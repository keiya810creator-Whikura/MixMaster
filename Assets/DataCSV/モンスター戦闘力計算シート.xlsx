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IYA\Documents\GitHub\MixMaster\Assets\DataCSV\"/>
    </mc:Choice>
  </mc:AlternateContent>
  <xr:revisionPtr revIDLastSave="0" documentId="13_ncr:1_{E11CC9B2-B178-4673-B0FD-8B6109E5C5D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使い方" sheetId="1" r:id="rId1"/>
    <sheet name="設定" sheetId="2" r:id="rId2"/>
    <sheet name="モンスター計算" sheetId="3" r:id="rId3"/>
    <sheet name="Stage比較" sheetId="4" r:id="rId4"/>
    <sheet name="個性タイプマスタ" sheetId="5" r:id="rId5"/>
    <sheet name="属性耐性マス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70" i="3" l="1"/>
  <c r="AO369" i="3"/>
  <c r="AO368" i="3"/>
  <c r="AO367" i="3"/>
  <c r="AO366" i="3"/>
  <c r="AO365" i="3"/>
  <c r="AO364" i="3"/>
  <c r="AO363" i="3"/>
  <c r="AO362" i="3"/>
  <c r="AO361" i="3"/>
  <c r="AO360" i="3"/>
  <c r="AO359" i="3"/>
  <c r="AO358" i="3"/>
  <c r="AO357" i="3"/>
  <c r="AO356" i="3"/>
  <c r="AO355" i="3"/>
  <c r="AO354" i="3"/>
  <c r="AO353" i="3"/>
  <c r="AO352" i="3"/>
  <c r="AO351" i="3"/>
  <c r="AO350" i="3"/>
  <c r="AO349" i="3"/>
  <c r="AO348" i="3"/>
  <c r="AO347" i="3"/>
  <c r="AO346" i="3"/>
  <c r="AO345" i="3"/>
  <c r="AO344" i="3"/>
  <c r="AO343" i="3"/>
  <c r="AO342" i="3"/>
  <c r="AO341" i="3"/>
  <c r="AO340" i="3"/>
  <c r="AO339" i="3"/>
  <c r="AO338" i="3"/>
  <c r="AO337" i="3"/>
  <c r="AO336" i="3"/>
  <c r="AO335" i="3"/>
  <c r="AO334" i="3"/>
  <c r="AO333" i="3"/>
  <c r="AO332" i="3"/>
  <c r="AO331" i="3"/>
  <c r="AO330" i="3"/>
  <c r="AO329" i="3"/>
  <c r="AO328" i="3"/>
  <c r="AO327" i="3"/>
  <c r="AO326" i="3"/>
  <c r="AO325" i="3"/>
  <c r="AO324" i="3"/>
  <c r="AO323" i="3"/>
  <c r="AO322" i="3"/>
  <c r="AO321" i="3"/>
  <c r="AO320" i="3"/>
  <c r="AO319" i="3"/>
  <c r="AO318" i="3"/>
  <c r="AO317" i="3"/>
  <c r="AO316" i="3"/>
  <c r="AO315" i="3"/>
  <c r="AO314" i="3"/>
  <c r="AO313" i="3"/>
  <c r="AO312" i="3"/>
  <c r="AO311" i="3"/>
  <c r="AO310" i="3"/>
  <c r="AO309" i="3"/>
  <c r="AO308" i="3"/>
  <c r="AO307" i="3"/>
  <c r="AO306" i="3"/>
  <c r="AO305" i="3"/>
  <c r="AO304" i="3"/>
  <c r="AO303" i="3"/>
  <c r="AO302" i="3"/>
  <c r="AO301" i="3"/>
  <c r="AO300" i="3"/>
  <c r="AO299" i="3"/>
  <c r="AO298" i="3"/>
  <c r="AO297" i="3"/>
  <c r="AO296" i="3"/>
  <c r="AO295" i="3"/>
  <c r="AO294" i="3"/>
  <c r="AO293" i="3"/>
  <c r="AO292" i="3"/>
  <c r="AO291" i="3"/>
  <c r="AO290" i="3"/>
  <c r="AO289" i="3"/>
  <c r="AO288" i="3"/>
  <c r="AO287" i="3"/>
  <c r="AO286" i="3"/>
  <c r="AO285" i="3"/>
  <c r="AO284" i="3"/>
  <c r="AO283" i="3"/>
  <c r="AO282" i="3"/>
  <c r="AO281" i="3"/>
  <c r="AO280" i="3"/>
  <c r="AO279" i="3"/>
  <c r="AO278" i="3"/>
  <c r="AO277" i="3"/>
  <c r="AO276" i="3"/>
  <c r="AO275" i="3"/>
  <c r="AO274" i="3"/>
  <c r="AO273" i="3"/>
  <c r="AO272" i="3"/>
  <c r="AO271" i="3"/>
  <c r="AO270" i="3"/>
  <c r="AO269" i="3"/>
  <c r="AO268" i="3"/>
  <c r="AO267" i="3"/>
  <c r="AO266" i="3"/>
  <c r="AO265" i="3"/>
  <c r="AO264" i="3"/>
  <c r="AO263" i="3"/>
  <c r="AO262" i="3"/>
  <c r="AO261" i="3"/>
  <c r="AO260" i="3"/>
  <c r="AO259" i="3"/>
  <c r="AO258" i="3"/>
  <c r="AO257" i="3"/>
  <c r="AO256" i="3"/>
  <c r="AO255" i="3"/>
  <c r="AO254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O222" i="3"/>
  <c r="AO221" i="3"/>
  <c r="AO220" i="3"/>
  <c r="AO219" i="3"/>
  <c r="AO218" i="3"/>
  <c r="AO217" i="3"/>
  <c r="AO216" i="3"/>
  <c r="AO215" i="3"/>
  <c r="AO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O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O154" i="3"/>
  <c r="AO153" i="3"/>
  <c r="AO152" i="3"/>
  <c r="AO151" i="3"/>
  <c r="AO150" i="3"/>
  <c r="AO149" i="3"/>
  <c r="AO148" i="3"/>
  <c r="AO147" i="3"/>
  <c r="AO146" i="3"/>
  <c r="AO145" i="3"/>
  <c r="AO144" i="3"/>
  <c r="AO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D370" i="3"/>
  <c r="AC370" i="3"/>
  <c r="AB370" i="3"/>
  <c r="AA370" i="3"/>
  <c r="Z370" i="3"/>
  <c r="Y370" i="3"/>
  <c r="X370" i="3"/>
  <c r="V370" i="3"/>
  <c r="U370" i="3"/>
  <c r="T370" i="3"/>
  <c r="S370" i="3"/>
  <c r="R370" i="3"/>
  <c r="Q370" i="3"/>
  <c r="P370" i="3"/>
  <c r="M370" i="3"/>
  <c r="L370" i="3"/>
  <c r="K370" i="3"/>
  <c r="AD369" i="3"/>
  <c r="AC369" i="3"/>
  <c r="AB369" i="3"/>
  <c r="AA369" i="3"/>
  <c r="Z369" i="3"/>
  <c r="Y369" i="3"/>
  <c r="X369" i="3"/>
  <c r="V369" i="3"/>
  <c r="U369" i="3"/>
  <c r="T369" i="3"/>
  <c r="S369" i="3"/>
  <c r="R369" i="3"/>
  <c r="Q369" i="3"/>
  <c r="P369" i="3"/>
  <c r="M369" i="3"/>
  <c r="L369" i="3"/>
  <c r="K369" i="3"/>
  <c r="AD368" i="3"/>
  <c r="AC368" i="3"/>
  <c r="AB368" i="3"/>
  <c r="AA368" i="3"/>
  <c r="Z368" i="3"/>
  <c r="Y368" i="3"/>
  <c r="X368" i="3"/>
  <c r="V368" i="3"/>
  <c r="U368" i="3"/>
  <c r="T368" i="3"/>
  <c r="S368" i="3"/>
  <c r="R368" i="3"/>
  <c r="Q368" i="3"/>
  <c r="P368" i="3"/>
  <c r="M368" i="3"/>
  <c r="L368" i="3"/>
  <c r="K368" i="3"/>
  <c r="AD367" i="3"/>
  <c r="AC367" i="3"/>
  <c r="AB367" i="3"/>
  <c r="AA367" i="3"/>
  <c r="Z367" i="3"/>
  <c r="Y367" i="3"/>
  <c r="X367" i="3"/>
  <c r="V367" i="3"/>
  <c r="U367" i="3"/>
  <c r="T367" i="3"/>
  <c r="S367" i="3"/>
  <c r="R367" i="3"/>
  <c r="Q367" i="3"/>
  <c r="P367" i="3"/>
  <c r="M367" i="3"/>
  <c r="L367" i="3"/>
  <c r="K367" i="3"/>
  <c r="AD366" i="3"/>
  <c r="AC366" i="3"/>
  <c r="AB366" i="3"/>
  <c r="AA366" i="3"/>
  <c r="Z366" i="3"/>
  <c r="Y366" i="3"/>
  <c r="X366" i="3"/>
  <c r="V366" i="3"/>
  <c r="U366" i="3"/>
  <c r="T366" i="3"/>
  <c r="S366" i="3"/>
  <c r="R366" i="3"/>
  <c r="Q366" i="3"/>
  <c r="P366" i="3"/>
  <c r="M366" i="3"/>
  <c r="L366" i="3"/>
  <c r="K366" i="3"/>
  <c r="AD365" i="3"/>
  <c r="AC365" i="3"/>
  <c r="AB365" i="3"/>
  <c r="AA365" i="3"/>
  <c r="Z365" i="3"/>
  <c r="Y365" i="3"/>
  <c r="X365" i="3"/>
  <c r="V365" i="3"/>
  <c r="U365" i="3"/>
  <c r="T365" i="3"/>
  <c r="S365" i="3"/>
  <c r="R365" i="3"/>
  <c r="Q365" i="3"/>
  <c r="P365" i="3"/>
  <c r="M365" i="3"/>
  <c r="L365" i="3"/>
  <c r="K365" i="3"/>
  <c r="AD364" i="3"/>
  <c r="AC364" i="3"/>
  <c r="AB364" i="3"/>
  <c r="AA364" i="3"/>
  <c r="Z364" i="3"/>
  <c r="Y364" i="3"/>
  <c r="X364" i="3"/>
  <c r="V364" i="3"/>
  <c r="U364" i="3"/>
  <c r="T364" i="3"/>
  <c r="S364" i="3"/>
  <c r="R364" i="3"/>
  <c r="Q364" i="3"/>
  <c r="P364" i="3"/>
  <c r="M364" i="3"/>
  <c r="L364" i="3"/>
  <c r="K364" i="3"/>
  <c r="AD363" i="3"/>
  <c r="AC363" i="3"/>
  <c r="AB363" i="3"/>
  <c r="AA363" i="3"/>
  <c r="Z363" i="3"/>
  <c r="Y363" i="3"/>
  <c r="X363" i="3"/>
  <c r="V363" i="3"/>
  <c r="U363" i="3"/>
  <c r="T363" i="3"/>
  <c r="S363" i="3"/>
  <c r="R363" i="3"/>
  <c r="Q363" i="3"/>
  <c r="P363" i="3"/>
  <c r="M363" i="3"/>
  <c r="L363" i="3"/>
  <c r="K363" i="3"/>
  <c r="AD362" i="3"/>
  <c r="AC362" i="3"/>
  <c r="AB362" i="3"/>
  <c r="AA362" i="3"/>
  <c r="Z362" i="3"/>
  <c r="Y362" i="3"/>
  <c r="X362" i="3"/>
  <c r="V362" i="3"/>
  <c r="U362" i="3"/>
  <c r="T362" i="3"/>
  <c r="S362" i="3"/>
  <c r="R362" i="3"/>
  <c r="Q362" i="3"/>
  <c r="P362" i="3"/>
  <c r="M362" i="3"/>
  <c r="L362" i="3"/>
  <c r="K362" i="3"/>
  <c r="AD361" i="3"/>
  <c r="AC361" i="3"/>
  <c r="AB361" i="3"/>
  <c r="AA361" i="3"/>
  <c r="Z361" i="3"/>
  <c r="Y361" i="3"/>
  <c r="X361" i="3"/>
  <c r="V361" i="3"/>
  <c r="U361" i="3"/>
  <c r="T361" i="3"/>
  <c r="S361" i="3"/>
  <c r="R361" i="3"/>
  <c r="Q361" i="3"/>
  <c r="P361" i="3"/>
  <c r="M361" i="3"/>
  <c r="L361" i="3"/>
  <c r="K361" i="3"/>
  <c r="AD360" i="3"/>
  <c r="AC360" i="3"/>
  <c r="AB360" i="3"/>
  <c r="AA360" i="3"/>
  <c r="Z360" i="3"/>
  <c r="Y360" i="3"/>
  <c r="X360" i="3"/>
  <c r="V360" i="3"/>
  <c r="U360" i="3"/>
  <c r="T360" i="3"/>
  <c r="S360" i="3"/>
  <c r="R360" i="3"/>
  <c r="Q360" i="3"/>
  <c r="P360" i="3"/>
  <c r="M360" i="3"/>
  <c r="L360" i="3"/>
  <c r="K360" i="3"/>
  <c r="AD359" i="3"/>
  <c r="AC359" i="3"/>
  <c r="AB359" i="3"/>
  <c r="AA359" i="3"/>
  <c r="Z359" i="3"/>
  <c r="Y359" i="3"/>
  <c r="X359" i="3"/>
  <c r="V359" i="3"/>
  <c r="U359" i="3"/>
  <c r="T359" i="3"/>
  <c r="S359" i="3"/>
  <c r="R359" i="3"/>
  <c r="Q359" i="3"/>
  <c r="P359" i="3"/>
  <c r="M359" i="3"/>
  <c r="L359" i="3"/>
  <c r="K359" i="3"/>
  <c r="AD358" i="3"/>
  <c r="AC358" i="3"/>
  <c r="AB358" i="3"/>
  <c r="AA358" i="3"/>
  <c r="Z358" i="3"/>
  <c r="Y358" i="3"/>
  <c r="X358" i="3"/>
  <c r="V358" i="3"/>
  <c r="U358" i="3"/>
  <c r="T358" i="3"/>
  <c r="S358" i="3"/>
  <c r="R358" i="3"/>
  <c r="Q358" i="3"/>
  <c r="P358" i="3"/>
  <c r="M358" i="3"/>
  <c r="L358" i="3"/>
  <c r="K358" i="3"/>
  <c r="AD357" i="3"/>
  <c r="AC357" i="3"/>
  <c r="AB357" i="3"/>
  <c r="AA357" i="3"/>
  <c r="Z357" i="3"/>
  <c r="Y357" i="3"/>
  <c r="X357" i="3"/>
  <c r="V357" i="3"/>
  <c r="U357" i="3"/>
  <c r="T357" i="3"/>
  <c r="S357" i="3"/>
  <c r="R357" i="3"/>
  <c r="Q357" i="3"/>
  <c r="P357" i="3"/>
  <c r="M357" i="3"/>
  <c r="L357" i="3"/>
  <c r="K357" i="3"/>
  <c r="AD356" i="3"/>
  <c r="AC356" i="3"/>
  <c r="AB356" i="3"/>
  <c r="AA356" i="3"/>
  <c r="Z356" i="3"/>
  <c r="Y356" i="3"/>
  <c r="X356" i="3"/>
  <c r="V356" i="3"/>
  <c r="U356" i="3"/>
  <c r="T356" i="3"/>
  <c r="S356" i="3"/>
  <c r="R356" i="3"/>
  <c r="Q356" i="3"/>
  <c r="P356" i="3"/>
  <c r="M356" i="3"/>
  <c r="L356" i="3"/>
  <c r="K356" i="3"/>
  <c r="AD355" i="3"/>
  <c r="AC355" i="3"/>
  <c r="AB355" i="3"/>
  <c r="AA355" i="3"/>
  <c r="Z355" i="3"/>
  <c r="Y355" i="3"/>
  <c r="X355" i="3"/>
  <c r="V355" i="3"/>
  <c r="U355" i="3"/>
  <c r="T355" i="3"/>
  <c r="S355" i="3"/>
  <c r="R355" i="3"/>
  <c r="Q355" i="3"/>
  <c r="P355" i="3"/>
  <c r="M355" i="3"/>
  <c r="L355" i="3"/>
  <c r="K355" i="3"/>
  <c r="AD354" i="3"/>
  <c r="AC354" i="3"/>
  <c r="AB354" i="3"/>
  <c r="AA354" i="3"/>
  <c r="Z354" i="3"/>
  <c r="Y354" i="3"/>
  <c r="X354" i="3"/>
  <c r="V354" i="3"/>
  <c r="U354" i="3"/>
  <c r="T354" i="3"/>
  <c r="S354" i="3"/>
  <c r="R354" i="3"/>
  <c r="Q354" i="3"/>
  <c r="P354" i="3"/>
  <c r="M354" i="3"/>
  <c r="L354" i="3"/>
  <c r="K354" i="3"/>
  <c r="AD353" i="3"/>
  <c r="AC353" i="3"/>
  <c r="AB353" i="3"/>
  <c r="AA353" i="3"/>
  <c r="Z353" i="3"/>
  <c r="Y353" i="3"/>
  <c r="X353" i="3"/>
  <c r="V353" i="3"/>
  <c r="U353" i="3"/>
  <c r="T353" i="3"/>
  <c r="S353" i="3"/>
  <c r="R353" i="3"/>
  <c r="Q353" i="3"/>
  <c r="P353" i="3"/>
  <c r="M353" i="3"/>
  <c r="L353" i="3"/>
  <c r="K353" i="3"/>
  <c r="AD352" i="3"/>
  <c r="AC352" i="3"/>
  <c r="AB352" i="3"/>
  <c r="AA352" i="3"/>
  <c r="Z352" i="3"/>
  <c r="Y352" i="3"/>
  <c r="X352" i="3"/>
  <c r="V352" i="3"/>
  <c r="U352" i="3"/>
  <c r="T352" i="3"/>
  <c r="S352" i="3"/>
  <c r="R352" i="3"/>
  <c r="Q352" i="3"/>
  <c r="P352" i="3"/>
  <c r="M352" i="3"/>
  <c r="L352" i="3"/>
  <c r="K352" i="3"/>
  <c r="AD351" i="3"/>
  <c r="AC351" i="3"/>
  <c r="AB351" i="3"/>
  <c r="AA351" i="3"/>
  <c r="Z351" i="3"/>
  <c r="Y351" i="3"/>
  <c r="X351" i="3"/>
  <c r="V351" i="3"/>
  <c r="U351" i="3"/>
  <c r="T351" i="3"/>
  <c r="S351" i="3"/>
  <c r="R351" i="3"/>
  <c r="Q351" i="3"/>
  <c r="P351" i="3"/>
  <c r="M351" i="3"/>
  <c r="L351" i="3"/>
  <c r="K351" i="3"/>
  <c r="AD350" i="3"/>
  <c r="AC350" i="3"/>
  <c r="AB350" i="3"/>
  <c r="AA350" i="3"/>
  <c r="Z350" i="3"/>
  <c r="Y350" i="3"/>
  <c r="X350" i="3"/>
  <c r="V350" i="3"/>
  <c r="U350" i="3"/>
  <c r="T350" i="3"/>
  <c r="S350" i="3"/>
  <c r="R350" i="3"/>
  <c r="Q350" i="3"/>
  <c r="P350" i="3"/>
  <c r="M350" i="3"/>
  <c r="L350" i="3"/>
  <c r="K350" i="3"/>
  <c r="AD349" i="3"/>
  <c r="AC349" i="3"/>
  <c r="AB349" i="3"/>
  <c r="AA349" i="3"/>
  <c r="Z349" i="3"/>
  <c r="Y349" i="3"/>
  <c r="X349" i="3"/>
  <c r="V349" i="3"/>
  <c r="U349" i="3"/>
  <c r="T349" i="3"/>
  <c r="S349" i="3"/>
  <c r="R349" i="3"/>
  <c r="Q349" i="3"/>
  <c r="P349" i="3"/>
  <c r="M349" i="3"/>
  <c r="L349" i="3"/>
  <c r="K349" i="3"/>
  <c r="AD348" i="3"/>
  <c r="AC348" i="3"/>
  <c r="AB348" i="3"/>
  <c r="AA348" i="3"/>
  <c r="Z348" i="3"/>
  <c r="Y348" i="3"/>
  <c r="X348" i="3"/>
  <c r="V348" i="3"/>
  <c r="U348" i="3"/>
  <c r="T348" i="3"/>
  <c r="S348" i="3"/>
  <c r="R348" i="3"/>
  <c r="Q348" i="3"/>
  <c r="P348" i="3"/>
  <c r="M348" i="3"/>
  <c r="L348" i="3"/>
  <c r="K348" i="3"/>
  <c r="AD347" i="3"/>
  <c r="AC347" i="3"/>
  <c r="AB347" i="3"/>
  <c r="AA347" i="3"/>
  <c r="Z347" i="3"/>
  <c r="Y347" i="3"/>
  <c r="X347" i="3"/>
  <c r="V347" i="3"/>
  <c r="U347" i="3"/>
  <c r="T347" i="3"/>
  <c r="S347" i="3"/>
  <c r="R347" i="3"/>
  <c r="Q347" i="3"/>
  <c r="P347" i="3"/>
  <c r="M347" i="3"/>
  <c r="L347" i="3"/>
  <c r="K347" i="3"/>
  <c r="AD346" i="3"/>
  <c r="AC346" i="3"/>
  <c r="AB346" i="3"/>
  <c r="AA346" i="3"/>
  <c r="Z346" i="3"/>
  <c r="Y346" i="3"/>
  <c r="X346" i="3"/>
  <c r="V346" i="3"/>
  <c r="U346" i="3"/>
  <c r="T346" i="3"/>
  <c r="S346" i="3"/>
  <c r="R346" i="3"/>
  <c r="Q346" i="3"/>
  <c r="P346" i="3"/>
  <c r="M346" i="3"/>
  <c r="L346" i="3"/>
  <c r="K346" i="3"/>
  <c r="AD345" i="3"/>
  <c r="AC345" i="3"/>
  <c r="AB345" i="3"/>
  <c r="AA345" i="3"/>
  <c r="Z345" i="3"/>
  <c r="Y345" i="3"/>
  <c r="X345" i="3"/>
  <c r="V345" i="3"/>
  <c r="U345" i="3"/>
  <c r="T345" i="3"/>
  <c r="S345" i="3"/>
  <c r="R345" i="3"/>
  <c r="Q345" i="3"/>
  <c r="P345" i="3"/>
  <c r="M345" i="3"/>
  <c r="L345" i="3"/>
  <c r="K345" i="3"/>
  <c r="AD344" i="3"/>
  <c r="AC344" i="3"/>
  <c r="AB344" i="3"/>
  <c r="AA344" i="3"/>
  <c r="Z344" i="3"/>
  <c r="Y344" i="3"/>
  <c r="X344" i="3"/>
  <c r="V344" i="3"/>
  <c r="U344" i="3"/>
  <c r="T344" i="3"/>
  <c r="S344" i="3"/>
  <c r="R344" i="3"/>
  <c r="Q344" i="3"/>
  <c r="P344" i="3"/>
  <c r="M344" i="3"/>
  <c r="L344" i="3"/>
  <c r="K344" i="3"/>
  <c r="AD343" i="3"/>
  <c r="AC343" i="3"/>
  <c r="AB343" i="3"/>
  <c r="AA343" i="3"/>
  <c r="Z343" i="3"/>
  <c r="Y343" i="3"/>
  <c r="X343" i="3"/>
  <c r="V343" i="3"/>
  <c r="U343" i="3"/>
  <c r="T343" i="3"/>
  <c r="S343" i="3"/>
  <c r="R343" i="3"/>
  <c r="Q343" i="3"/>
  <c r="P343" i="3"/>
  <c r="M343" i="3"/>
  <c r="L343" i="3"/>
  <c r="K343" i="3"/>
  <c r="AD342" i="3"/>
  <c r="AC342" i="3"/>
  <c r="AB342" i="3"/>
  <c r="AA342" i="3"/>
  <c r="Z342" i="3"/>
  <c r="Y342" i="3"/>
  <c r="X342" i="3"/>
  <c r="V342" i="3"/>
  <c r="U342" i="3"/>
  <c r="T342" i="3"/>
  <c r="S342" i="3"/>
  <c r="R342" i="3"/>
  <c r="Q342" i="3"/>
  <c r="P342" i="3"/>
  <c r="M342" i="3"/>
  <c r="L342" i="3"/>
  <c r="K342" i="3"/>
  <c r="AD341" i="3"/>
  <c r="AC341" i="3"/>
  <c r="AB341" i="3"/>
  <c r="AA341" i="3"/>
  <c r="Z341" i="3"/>
  <c r="Y341" i="3"/>
  <c r="X341" i="3"/>
  <c r="V341" i="3"/>
  <c r="U341" i="3"/>
  <c r="T341" i="3"/>
  <c r="S341" i="3"/>
  <c r="R341" i="3"/>
  <c r="Q341" i="3"/>
  <c r="P341" i="3"/>
  <c r="M341" i="3"/>
  <c r="L341" i="3"/>
  <c r="K341" i="3"/>
  <c r="AD340" i="3"/>
  <c r="AC340" i="3"/>
  <c r="AB340" i="3"/>
  <c r="AA340" i="3"/>
  <c r="Z340" i="3"/>
  <c r="Y340" i="3"/>
  <c r="X340" i="3"/>
  <c r="V340" i="3"/>
  <c r="U340" i="3"/>
  <c r="T340" i="3"/>
  <c r="S340" i="3"/>
  <c r="R340" i="3"/>
  <c r="Q340" i="3"/>
  <c r="P340" i="3"/>
  <c r="M340" i="3"/>
  <c r="L340" i="3"/>
  <c r="K340" i="3"/>
  <c r="AD339" i="3"/>
  <c r="AC339" i="3"/>
  <c r="AB339" i="3"/>
  <c r="AA339" i="3"/>
  <c r="Z339" i="3"/>
  <c r="Y339" i="3"/>
  <c r="X339" i="3"/>
  <c r="V339" i="3"/>
  <c r="U339" i="3"/>
  <c r="T339" i="3"/>
  <c r="S339" i="3"/>
  <c r="R339" i="3"/>
  <c r="Q339" i="3"/>
  <c r="P339" i="3"/>
  <c r="M339" i="3"/>
  <c r="L339" i="3"/>
  <c r="K339" i="3"/>
  <c r="AD338" i="3"/>
  <c r="AC338" i="3"/>
  <c r="AB338" i="3"/>
  <c r="AA338" i="3"/>
  <c r="Z338" i="3"/>
  <c r="Y338" i="3"/>
  <c r="X338" i="3"/>
  <c r="V338" i="3"/>
  <c r="U338" i="3"/>
  <c r="T338" i="3"/>
  <c r="S338" i="3"/>
  <c r="R338" i="3"/>
  <c r="Q338" i="3"/>
  <c r="P338" i="3"/>
  <c r="M338" i="3"/>
  <c r="L338" i="3"/>
  <c r="K338" i="3"/>
  <c r="AD337" i="3"/>
  <c r="AC337" i="3"/>
  <c r="AB337" i="3"/>
  <c r="AA337" i="3"/>
  <c r="Z337" i="3"/>
  <c r="Y337" i="3"/>
  <c r="X337" i="3"/>
  <c r="V337" i="3"/>
  <c r="U337" i="3"/>
  <c r="T337" i="3"/>
  <c r="S337" i="3"/>
  <c r="R337" i="3"/>
  <c r="Q337" i="3"/>
  <c r="P337" i="3"/>
  <c r="M337" i="3"/>
  <c r="L337" i="3"/>
  <c r="K337" i="3"/>
  <c r="AD336" i="3"/>
  <c r="AC336" i="3"/>
  <c r="AB336" i="3"/>
  <c r="AA336" i="3"/>
  <c r="Z336" i="3"/>
  <c r="Y336" i="3"/>
  <c r="X336" i="3"/>
  <c r="V336" i="3"/>
  <c r="U336" i="3"/>
  <c r="T336" i="3"/>
  <c r="S336" i="3"/>
  <c r="R336" i="3"/>
  <c r="Q336" i="3"/>
  <c r="P336" i="3"/>
  <c r="M336" i="3"/>
  <c r="L336" i="3"/>
  <c r="K336" i="3"/>
  <c r="AD335" i="3"/>
  <c r="AC335" i="3"/>
  <c r="AB335" i="3"/>
  <c r="AA335" i="3"/>
  <c r="Z335" i="3"/>
  <c r="Y335" i="3"/>
  <c r="X335" i="3"/>
  <c r="V335" i="3"/>
  <c r="U335" i="3"/>
  <c r="T335" i="3"/>
  <c r="S335" i="3"/>
  <c r="R335" i="3"/>
  <c r="Q335" i="3"/>
  <c r="P335" i="3"/>
  <c r="M335" i="3"/>
  <c r="L335" i="3"/>
  <c r="K335" i="3"/>
  <c r="AD334" i="3"/>
  <c r="AC334" i="3"/>
  <c r="AB334" i="3"/>
  <c r="AA334" i="3"/>
  <c r="Z334" i="3"/>
  <c r="Y334" i="3"/>
  <c r="X334" i="3"/>
  <c r="V334" i="3"/>
  <c r="U334" i="3"/>
  <c r="T334" i="3"/>
  <c r="S334" i="3"/>
  <c r="R334" i="3"/>
  <c r="Q334" i="3"/>
  <c r="P334" i="3"/>
  <c r="M334" i="3"/>
  <c r="L334" i="3"/>
  <c r="K334" i="3"/>
  <c r="AD333" i="3"/>
  <c r="AC333" i="3"/>
  <c r="AB333" i="3"/>
  <c r="AA333" i="3"/>
  <c r="Z333" i="3"/>
  <c r="Y333" i="3"/>
  <c r="X333" i="3"/>
  <c r="V333" i="3"/>
  <c r="U333" i="3"/>
  <c r="T333" i="3"/>
  <c r="S333" i="3"/>
  <c r="R333" i="3"/>
  <c r="Q333" i="3"/>
  <c r="P333" i="3"/>
  <c r="M333" i="3"/>
  <c r="L333" i="3"/>
  <c r="K333" i="3"/>
  <c r="AD332" i="3"/>
  <c r="AC332" i="3"/>
  <c r="AB332" i="3"/>
  <c r="AA332" i="3"/>
  <c r="Z332" i="3"/>
  <c r="Y332" i="3"/>
  <c r="X332" i="3"/>
  <c r="V332" i="3"/>
  <c r="U332" i="3"/>
  <c r="T332" i="3"/>
  <c r="S332" i="3"/>
  <c r="R332" i="3"/>
  <c r="Q332" i="3"/>
  <c r="P332" i="3"/>
  <c r="M332" i="3"/>
  <c r="L332" i="3"/>
  <c r="K332" i="3"/>
  <c r="AD331" i="3"/>
  <c r="AC331" i="3"/>
  <c r="AB331" i="3"/>
  <c r="AA331" i="3"/>
  <c r="Z331" i="3"/>
  <c r="Y331" i="3"/>
  <c r="X331" i="3"/>
  <c r="V331" i="3"/>
  <c r="U331" i="3"/>
  <c r="T331" i="3"/>
  <c r="S331" i="3"/>
  <c r="R331" i="3"/>
  <c r="Q331" i="3"/>
  <c r="P331" i="3"/>
  <c r="M331" i="3"/>
  <c r="L331" i="3"/>
  <c r="K331" i="3"/>
  <c r="AD330" i="3"/>
  <c r="AC330" i="3"/>
  <c r="AB330" i="3"/>
  <c r="AA330" i="3"/>
  <c r="Z330" i="3"/>
  <c r="Y330" i="3"/>
  <c r="X330" i="3"/>
  <c r="V330" i="3"/>
  <c r="U330" i="3"/>
  <c r="T330" i="3"/>
  <c r="S330" i="3"/>
  <c r="R330" i="3"/>
  <c r="Q330" i="3"/>
  <c r="P330" i="3"/>
  <c r="M330" i="3"/>
  <c r="L330" i="3"/>
  <c r="K330" i="3"/>
  <c r="AD329" i="3"/>
  <c r="AC329" i="3"/>
  <c r="AB329" i="3"/>
  <c r="AA329" i="3"/>
  <c r="Z329" i="3"/>
  <c r="Y329" i="3"/>
  <c r="X329" i="3"/>
  <c r="V329" i="3"/>
  <c r="U329" i="3"/>
  <c r="T329" i="3"/>
  <c r="S329" i="3"/>
  <c r="R329" i="3"/>
  <c r="Q329" i="3"/>
  <c r="P329" i="3"/>
  <c r="M329" i="3"/>
  <c r="L329" i="3"/>
  <c r="K329" i="3"/>
  <c r="AD328" i="3"/>
  <c r="AC328" i="3"/>
  <c r="AB328" i="3"/>
  <c r="AA328" i="3"/>
  <c r="Z328" i="3"/>
  <c r="Y328" i="3"/>
  <c r="X328" i="3"/>
  <c r="V328" i="3"/>
  <c r="U328" i="3"/>
  <c r="T328" i="3"/>
  <c r="S328" i="3"/>
  <c r="R328" i="3"/>
  <c r="Q328" i="3"/>
  <c r="P328" i="3"/>
  <c r="M328" i="3"/>
  <c r="L328" i="3"/>
  <c r="K328" i="3"/>
  <c r="AD327" i="3"/>
  <c r="AC327" i="3"/>
  <c r="AB327" i="3"/>
  <c r="AA327" i="3"/>
  <c r="Z327" i="3"/>
  <c r="Y327" i="3"/>
  <c r="X327" i="3"/>
  <c r="V327" i="3"/>
  <c r="U327" i="3"/>
  <c r="T327" i="3"/>
  <c r="S327" i="3"/>
  <c r="R327" i="3"/>
  <c r="Q327" i="3"/>
  <c r="P327" i="3"/>
  <c r="M327" i="3"/>
  <c r="L327" i="3"/>
  <c r="K327" i="3"/>
  <c r="AD326" i="3"/>
  <c r="AC326" i="3"/>
  <c r="AB326" i="3"/>
  <c r="AA326" i="3"/>
  <c r="Z326" i="3"/>
  <c r="Y326" i="3"/>
  <c r="X326" i="3"/>
  <c r="V326" i="3"/>
  <c r="U326" i="3"/>
  <c r="T326" i="3"/>
  <c r="S326" i="3"/>
  <c r="R326" i="3"/>
  <c r="Q326" i="3"/>
  <c r="P326" i="3"/>
  <c r="M326" i="3"/>
  <c r="L326" i="3"/>
  <c r="K326" i="3"/>
  <c r="AD325" i="3"/>
  <c r="AC325" i="3"/>
  <c r="AB325" i="3"/>
  <c r="AA325" i="3"/>
  <c r="Z325" i="3"/>
  <c r="Y325" i="3"/>
  <c r="X325" i="3"/>
  <c r="V325" i="3"/>
  <c r="U325" i="3"/>
  <c r="T325" i="3"/>
  <c r="S325" i="3"/>
  <c r="R325" i="3"/>
  <c r="Q325" i="3"/>
  <c r="P325" i="3"/>
  <c r="M325" i="3"/>
  <c r="L325" i="3"/>
  <c r="K325" i="3"/>
  <c r="AD324" i="3"/>
  <c r="AC324" i="3"/>
  <c r="AB324" i="3"/>
  <c r="AA324" i="3"/>
  <c r="Z324" i="3"/>
  <c r="Y324" i="3"/>
  <c r="X324" i="3"/>
  <c r="V324" i="3"/>
  <c r="U324" i="3"/>
  <c r="T324" i="3"/>
  <c r="S324" i="3"/>
  <c r="R324" i="3"/>
  <c r="Q324" i="3"/>
  <c r="P324" i="3"/>
  <c r="M324" i="3"/>
  <c r="L324" i="3"/>
  <c r="K324" i="3"/>
  <c r="AD323" i="3"/>
  <c r="AC323" i="3"/>
  <c r="AB323" i="3"/>
  <c r="AA323" i="3"/>
  <c r="Z323" i="3"/>
  <c r="Y323" i="3"/>
  <c r="X323" i="3"/>
  <c r="V323" i="3"/>
  <c r="U323" i="3"/>
  <c r="T323" i="3"/>
  <c r="S323" i="3"/>
  <c r="R323" i="3"/>
  <c r="Q323" i="3"/>
  <c r="P323" i="3"/>
  <c r="M323" i="3"/>
  <c r="L323" i="3"/>
  <c r="K323" i="3"/>
  <c r="AD322" i="3"/>
  <c r="AC322" i="3"/>
  <c r="AB322" i="3"/>
  <c r="AA322" i="3"/>
  <c r="Z322" i="3"/>
  <c r="Y322" i="3"/>
  <c r="X322" i="3"/>
  <c r="V322" i="3"/>
  <c r="U322" i="3"/>
  <c r="T322" i="3"/>
  <c r="S322" i="3"/>
  <c r="R322" i="3"/>
  <c r="Q322" i="3"/>
  <c r="P322" i="3"/>
  <c r="M322" i="3"/>
  <c r="L322" i="3"/>
  <c r="K322" i="3"/>
  <c r="AD321" i="3"/>
  <c r="AC321" i="3"/>
  <c r="AB321" i="3"/>
  <c r="AA321" i="3"/>
  <c r="Z321" i="3"/>
  <c r="Y321" i="3"/>
  <c r="X321" i="3"/>
  <c r="V321" i="3"/>
  <c r="U321" i="3"/>
  <c r="T321" i="3"/>
  <c r="S321" i="3"/>
  <c r="R321" i="3"/>
  <c r="Q321" i="3"/>
  <c r="P321" i="3"/>
  <c r="M321" i="3"/>
  <c r="L321" i="3"/>
  <c r="K321" i="3"/>
  <c r="AD320" i="3"/>
  <c r="AC320" i="3"/>
  <c r="AB320" i="3"/>
  <c r="AA320" i="3"/>
  <c r="Z320" i="3"/>
  <c r="Y320" i="3"/>
  <c r="X320" i="3"/>
  <c r="V320" i="3"/>
  <c r="U320" i="3"/>
  <c r="T320" i="3"/>
  <c r="S320" i="3"/>
  <c r="R320" i="3"/>
  <c r="Q320" i="3"/>
  <c r="P320" i="3"/>
  <c r="M320" i="3"/>
  <c r="L320" i="3"/>
  <c r="K320" i="3"/>
  <c r="AD319" i="3"/>
  <c r="AC319" i="3"/>
  <c r="AB319" i="3"/>
  <c r="AA319" i="3"/>
  <c r="Z319" i="3"/>
  <c r="Y319" i="3"/>
  <c r="X319" i="3"/>
  <c r="V319" i="3"/>
  <c r="U319" i="3"/>
  <c r="T319" i="3"/>
  <c r="S319" i="3"/>
  <c r="R319" i="3"/>
  <c r="Q319" i="3"/>
  <c r="P319" i="3"/>
  <c r="M319" i="3"/>
  <c r="L319" i="3"/>
  <c r="K319" i="3"/>
  <c r="AD318" i="3"/>
  <c r="AC318" i="3"/>
  <c r="AB318" i="3"/>
  <c r="AA318" i="3"/>
  <c r="Z318" i="3"/>
  <c r="Y318" i="3"/>
  <c r="X318" i="3"/>
  <c r="V318" i="3"/>
  <c r="U318" i="3"/>
  <c r="T318" i="3"/>
  <c r="S318" i="3"/>
  <c r="R318" i="3"/>
  <c r="Q318" i="3"/>
  <c r="P318" i="3"/>
  <c r="M318" i="3"/>
  <c r="L318" i="3"/>
  <c r="K318" i="3"/>
  <c r="AD317" i="3"/>
  <c r="AC317" i="3"/>
  <c r="AB317" i="3"/>
  <c r="AA317" i="3"/>
  <c r="Z317" i="3"/>
  <c r="Y317" i="3"/>
  <c r="X317" i="3"/>
  <c r="V317" i="3"/>
  <c r="U317" i="3"/>
  <c r="T317" i="3"/>
  <c r="S317" i="3"/>
  <c r="R317" i="3"/>
  <c r="Q317" i="3"/>
  <c r="P317" i="3"/>
  <c r="M317" i="3"/>
  <c r="L317" i="3"/>
  <c r="K317" i="3"/>
  <c r="AD316" i="3"/>
  <c r="AC316" i="3"/>
  <c r="AB316" i="3"/>
  <c r="AA316" i="3"/>
  <c r="Z316" i="3"/>
  <c r="Y316" i="3"/>
  <c r="X316" i="3"/>
  <c r="V316" i="3"/>
  <c r="U316" i="3"/>
  <c r="T316" i="3"/>
  <c r="S316" i="3"/>
  <c r="R316" i="3"/>
  <c r="Q316" i="3"/>
  <c r="P316" i="3"/>
  <c r="M316" i="3"/>
  <c r="L316" i="3"/>
  <c r="K316" i="3"/>
  <c r="AD315" i="3"/>
  <c r="AC315" i="3"/>
  <c r="AB315" i="3"/>
  <c r="AA315" i="3"/>
  <c r="Z315" i="3"/>
  <c r="Y315" i="3"/>
  <c r="X315" i="3"/>
  <c r="V315" i="3"/>
  <c r="U315" i="3"/>
  <c r="T315" i="3"/>
  <c r="S315" i="3"/>
  <c r="R315" i="3"/>
  <c r="Q315" i="3"/>
  <c r="P315" i="3"/>
  <c r="M315" i="3"/>
  <c r="L315" i="3"/>
  <c r="K315" i="3"/>
  <c r="AD314" i="3"/>
  <c r="AC314" i="3"/>
  <c r="AB314" i="3"/>
  <c r="AA314" i="3"/>
  <c r="Z314" i="3"/>
  <c r="Y314" i="3"/>
  <c r="X314" i="3"/>
  <c r="V314" i="3"/>
  <c r="U314" i="3"/>
  <c r="T314" i="3"/>
  <c r="S314" i="3"/>
  <c r="R314" i="3"/>
  <c r="Q314" i="3"/>
  <c r="P314" i="3"/>
  <c r="M314" i="3"/>
  <c r="L314" i="3"/>
  <c r="K314" i="3"/>
  <c r="AD313" i="3"/>
  <c r="AC313" i="3"/>
  <c r="AB313" i="3"/>
  <c r="AA313" i="3"/>
  <c r="Z313" i="3"/>
  <c r="Y313" i="3"/>
  <c r="X313" i="3"/>
  <c r="V313" i="3"/>
  <c r="U313" i="3"/>
  <c r="T313" i="3"/>
  <c r="S313" i="3"/>
  <c r="R313" i="3"/>
  <c r="Q313" i="3"/>
  <c r="P313" i="3"/>
  <c r="M313" i="3"/>
  <c r="L313" i="3"/>
  <c r="K313" i="3"/>
  <c r="AD312" i="3"/>
  <c r="AC312" i="3"/>
  <c r="AB312" i="3"/>
  <c r="AA312" i="3"/>
  <c r="Z312" i="3"/>
  <c r="Y312" i="3"/>
  <c r="X312" i="3"/>
  <c r="V312" i="3"/>
  <c r="U312" i="3"/>
  <c r="T312" i="3"/>
  <c r="S312" i="3"/>
  <c r="R312" i="3"/>
  <c r="Q312" i="3"/>
  <c r="P312" i="3"/>
  <c r="M312" i="3"/>
  <c r="L312" i="3"/>
  <c r="K312" i="3"/>
  <c r="AD311" i="3"/>
  <c r="AC311" i="3"/>
  <c r="AB311" i="3"/>
  <c r="AA311" i="3"/>
  <c r="Z311" i="3"/>
  <c r="Y311" i="3"/>
  <c r="X311" i="3"/>
  <c r="V311" i="3"/>
  <c r="U311" i="3"/>
  <c r="T311" i="3"/>
  <c r="S311" i="3"/>
  <c r="R311" i="3"/>
  <c r="Q311" i="3"/>
  <c r="P311" i="3"/>
  <c r="M311" i="3"/>
  <c r="L311" i="3"/>
  <c r="K311" i="3"/>
  <c r="AD310" i="3"/>
  <c r="AC310" i="3"/>
  <c r="AB310" i="3"/>
  <c r="AA310" i="3"/>
  <c r="Z310" i="3"/>
  <c r="Y310" i="3"/>
  <c r="X310" i="3"/>
  <c r="V310" i="3"/>
  <c r="U310" i="3"/>
  <c r="T310" i="3"/>
  <c r="S310" i="3"/>
  <c r="R310" i="3"/>
  <c r="Q310" i="3"/>
  <c r="P310" i="3"/>
  <c r="M310" i="3"/>
  <c r="L310" i="3"/>
  <c r="K310" i="3"/>
  <c r="AD309" i="3"/>
  <c r="AC309" i="3"/>
  <c r="AB309" i="3"/>
  <c r="AA309" i="3"/>
  <c r="Z309" i="3"/>
  <c r="Y309" i="3"/>
  <c r="X309" i="3"/>
  <c r="V309" i="3"/>
  <c r="U309" i="3"/>
  <c r="T309" i="3"/>
  <c r="S309" i="3"/>
  <c r="R309" i="3"/>
  <c r="Q309" i="3"/>
  <c r="P309" i="3"/>
  <c r="M309" i="3"/>
  <c r="L309" i="3"/>
  <c r="K309" i="3"/>
  <c r="AD308" i="3"/>
  <c r="AC308" i="3"/>
  <c r="AB308" i="3"/>
  <c r="AA308" i="3"/>
  <c r="Z308" i="3"/>
  <c r="Y308" i="3"/>
  <c r="X308" i="3"/>
  <c r="V308" i="3"/>
  <c r="U308" i="3"/>
  <c r="T308" i="3"/>
  <c r="S308" i="3"/>
  <c r="R308" i="3"/>
  <c r="Q308" i="3"/>
  <c r="P308" i="3"/>
  <c r="M308" i="3"/>
  <c r="L308" i="3"/>
  <c r="K308" i="3"/>
  <c r="AD307" i="3"/>
  <c r="AC307" i="3"/>
  <c r="AB307" i="3"/>
  <c r="AA307" i="3"/>
  <c r="Z307" i="3"/>
  <c r="Y307" i="3"/>
  <c r="X307" i="3"/>
  <c r="V307" i="3"/>
  <c r="U307" i="3"/>
  <c r="T307" i="3"/>
  <c r="S307" i="3"/>
  <c r="R307" i="3"/>
  <c r="Q307" i="3"/>
  <c r="P307" i="3"/>
  <c r="M307" i="3"/>
  <c r="L307" i="3"/>
  <c r="K307" i="3"/>
  <c r="AD306" i="3"/>
  <c r="AC306" i="3"/>
  <c r="AB306" i="3"/>
  <c r="AA306" i="3"/>
  <c r="Z306" i="3"/>
  <c r="Y306" i="3"/>
  <c r="X306" i="3"/>
  <c r="V306" i="3"/>
  <c r="U306" i="3"/>
  <c r="T306" i="3"/>
  <c r="S306" i="3"/>
  <c r="R306" i="3"/>
  <c r="Q306" i="3"/>
  <c r="P306" i="3"/>
  <c r="M306" i="3"/>
  <c r="L306" i="3"/>
  <c r="K306" i="3"/>
  <c r="AD305" i="3"/>
  <c r="AC305" i="3"/>
  <c r="AB305" i="3"/>
  <c r="AA305" i="3"/>
  <c r="Z305" i="3"/>
  <c r="Y305" i="3"/>
  <c r="X305" i="3"/>
  <c r="V305" i="3"/>
  <c r="U305" i="3"/>
  <c r="T305" i="3"/>
  <c r="S305" i="3"/>
  <c r="R305" i="3"/>
  <c r="Q305" i="3"/>
  <c r="P305" i="3"/>
  <c r="M305" i="3"/>
  <c r="L305" i="3"/>
  <c r="K305" i="3"/>
  <c r="AD304" i="3"/>
  <c r="AC304" i="3"/>
  <c r="AB304" i="3"/>
  <c r="AA304" i="3"/>
  <c r="Z304" i="3"/>
  <c r="Y304" i="3"/>
  <c r="X304" i="3"/>
  <c r="V304" i="3"/>
  <c r="U304" i="3"/>
  <c r="T304" i="3"/>
  <c r="S304" i="3"/>
  <c r="R304" i="3"/>
  <c r="Q304" i="3"/>
  <c r="P304" i="3"/>
  <c r="M304" i="3"/>
  <c r="L304" i="3"/>
  <c r="K304" i="3"/>
  <c r="AD303" i="3"/>
  <c r="AC303" i="3"/>
  <c r="AB303" i="3"/>
  <c r="AA303" i="3"/>
  <c r="Z303" i="3"/>
  <c r="Y303" i="3"/>
  <c r="X303" i="3"/>
  <c r="V303" i="3"/>
  <c r="U303" i="3"/>
  <c r="T303" i="3"/>
  <c r="S303" i="3"/>
  <c r="R303" i="3"/>
  <c r="Q303" i="3"/>
  <c r="P303" i="3"/>
  <c r="M303" i="3"/>
  <c r="L303" i="3"/>
  <c r="K303" i="3"/>
  <c r="AD302" i="3"/>
  <c r="AC302" i="3"/>
  <c r="AB302" i="3"/>
  <c r="AA302" i="3"/>
  <c r="Z302" i="3"/>
  <c r="Y302" i="3"/>
  <c r="X302" i="3"/>
  <c r="V302" i="3"/>
  <c r="U302" i="3"/>
  <c r="T302" i="3"/>
  <c r="S302" i="3"/>
  <c r="R302" i="3"/>
  <c r="Q302" i="3"/>
  <c r="P302" i="3"/>
  <c r="M302" i="3"/>
  <c r="L302" i="3"/>
  <c r="K302" i="3"/>
  <c r="AD301" i="3"/>
  <c r="AC301" i="3"/>
  <c r="AB301" i="3"/>
  <c r="AA301" i="3"/>
  <c r="Z301" i="3"/>
  <c r="Y301" i="3"/>
  <c r="X301" i="3"/>
  <c r="V301" i="3"/>
  <c r="U301" i="3"/>
  <c r="T301" i="3"/>
  <c r="S301" i="3"/>
  <c r="R301" i="3"/>
  <c r="Q301" i="3"/>
  <c r="P301" i="3"/>
  <c r="M301" i="3"/>
  <c r="L301" i="3"/>
  <c r="K301" i="3"/>
  <c r="AD300" i="3"/>
  <c r="AC300" i="3"/>
  <c r="AB300" i="3"/>
  <c r="AA300" i="3"/>
  <c r="Z300" i="3"/>
  <c r="Y300" i="3"/>
  <c r="X300" i="3"/>
  <c r="V300" i="3"/>
  <c r="U300" i="3"/>
  <c r="T300" i="3"/>
  <c r="S300" i="3"/>
  <c r="R300" i="3"/>
  <c r="Q300" i="3"/>
  <c r="P300" i="3"/>
  <c r="M300" i="3"/>
  <c r="L300" i="3"/>
  <c r="K300" i="3"/>
  <c r="AD299" i="3"/>
  <c r="AC299" i="3"/>
  <c r="AB299" i="3"/>
  <c r="AA299" i="3"/>
  <c r="Z299" i="3"/>
  <c r="Y299" i="3"/>
  <c r="X299" i="3"/>
  <c r="V299" i="3"/>
  <c r="U299" i="3"/>
  <c r="T299" i="3"/>
  <c r="S299" i="3"/>
  <c r="R299" i="3"/>
  <c r="Q299" i="3"/>
  <c r="P299" i="3"/>
  <c r="M299" i="3"/>
  <c r="L299" i="3"/>
  <c r="K299" i="3"/>
  <c r="AD298" i="3"/>
  <c r="AC298" i="3"/>
  <c r="AB298" i="3"/>
  <c r="AA298" i="3"/>
  <c r="Z298" i="3"/>
  <c r="Y298" i="3"/>
  <c r="X298" i="3"/>
  <c r="V298" i="3"/>
  <c r="U298" i="3"/>
  <c r="T298" i="3"/>
  <c r="S298" i="3"/>
  <c r="R298" i="3"/>
  <c r="Q298" i="3"/>
  <c r="P298" i="3"/>
  <c r="M298" i="3"/>
  <c r="L298" i="3"/>
  <c r="K298" i="3"/>
  <c r="AD297" i="3"/>
  <c r="AC297" i="3"/>
  <c r="AB297" i="3"/>
  <c r="AA297" i="3"/>
  <c r="Z297" i="3"/>
  <c r="Y297" i="3"/>
  <c r="X297" i="3"/>
  <c r="V297" i="3"/>
  <c r="U297" i="3"/>
  <c r="T297" i="3"/>
  <c r="S297" i="3"/>
  <c r="R297" i="3"/>
  <c r="Q297" i="3"/>
  <c r="P297" i="3"/>
  <c r="M297" i="3"/>
  <c r="L297" i="3"/>
  <c r="K297" i="3"/>
  <c r="AD296" i="3"/>
  <c r="AC296" i="3"/>
  <c r="AB296" i="3"/>
  <c r="AA296" i="3"/>
  <c r="Z296" i="3"/>
  <c r="Y296" i="3"/>
  <c r="X296" i="3"/>
  <c r="V296" i="3"/>
  <c r="U296" i="3"/>
  <c r="T296" i="3"/>
  <c r="S296" i="3"/>
  <c r="R296" i="3"/>
  <c r="Q296" i="3"/>
  <c r="P296" i="3"/>
  <c r="M296" i="3"/>
  <c r="L296" i="3"/>
  <c r="K296" i="3"/>
  <c r="AD295" i="3"/>
  <c r="AC295" i="3"/>
  <c r="AB295" i="3"/>
  <c r="AA295" i="3"/>
  <c r="Z295" i="3"/>
  <c r="Y295" i="3"/>
  <c r="X295" i="3"/>
  <c r="V295" i="3"/>
  <c r="U295" i="3"/>
  <c r="T295" i="3"/>
  <c r="S295" i="3"/>
  <c r="R295" i="3"/>
  <c r="Q295" i="3"/>
  <c r="P295" i="3"/>
  <c r="M295" i="3"/>
  <c r="L295" i="3"/>
  <c r="K295" i="3"/>
  <c r="AD294" i="3"/>
  <c r="AC294" i="3"/>
  <c r="AB294" i="3"/>
  <c r="AA294" i="3"/>
  <c r="Z294" i="3"/>
  <c r="Y294" i="3"/>
  <c r="X294" i="3"/>
  <c r="V294" i="3"/>
  <c r="U294" i="3"/>
  <c r="T294" i="3"/>
  <c r="S294" i="3"/>
  <c r="R294" i="3"/>
  <c r="Q294" i="3"/>
  <c r="P294" i="3"/>
  <c r="M294" i="3"/>
  <c r="L294" i="3"/>
  <c r="K294" i="3"/>
  <c r="AD293" i="3"/>
  <c r="AC293" i="3"/>
  <c r="AB293" i="3"/>
  <c r="AA293" i="3"/>
  <c r="Z293" i="3"/>
  <c r="Y293" i="3"/>
  <c r="X293" i="3"/>
  <c r="V293" i="3"/>
  <c r="U293" i="3"/>
  <c r="T293" i="3"/>
  <c r="S293" i="3"/>
  <c r="R293" i="3"/>
  <c r="Q293" i="3"/>
  <c r="P293" i="3"/>
  <c r="M293" i="3"/>
  <c r="L293" i="3"/>
  <c r="K293" i="3"/>
  <c r="AD292" i="3"/>
  <c r="AC292" i="3"/>
  <c r="AB292" i="3"/>
  <c r="AA292" i="3"/>
  <c r="Z292" i="3"/>
  <c r="Y292" i="3"/>
  <c r="X292" i="3"/>
  <c r="V292" i="3"/>
  <c r="U292" i="3"/>
  <c r="T292" i="3"/>
  <c r="S292" i="3"/>
  <c r="R292" i="3"/>
  <c r="Q292" i="3"/>
  <c r="P292" i="3"/>
  <c r="M292" i="3"/>
  <c r="L292" i="3"/>
  <c r="K292" i="3"/>
  <c r="AD291" i="3"/>
  <c r="AC291" i="3"/>
  <c r="AB291" i="3"/>
  <c r="AA291" i="3"/>
  <c r="Z291" i="3"/>
  <c r="Y291" i="3"/>
  <c r="X291" i="3"/>
  <c r="V291" i="3"/>
  <c r="U291" i="3"/>
  <c r="T291" i="3"/>
  <c r="S291" i="3"/>
  <c r="R291" i="3"/>
  <c r="Q291" i="3"/>
  <c r="P291" i="3"/>
  <c r="M291" i="3"/>
  <c r="L291" i="3"/>
  <c r="K291" i="3"/>
  <c r="AD290" i="3"/>
  <c r="AC290" i="3"/>
  <c r="AB290" i="3"/>
  <c r="AA290" i="3"/>
  <c r="Z290" i="3"/>
  <c r="Y290" i="3"/>
  <c r="X290" i="3"/>
  <c r="V290" i="3"/>
  <c r="U290" i="3"/>
  <c r="T290" i="3"/>
  <c r="S290" i="3"/>
  <c r="R290" i="3"/>
  <c r="Q290" i="3"/>
  <c r="P290" i="3"/>
  <c r="M290" i="3"/>
  <c r="L290" i="3"/>
  <c r="K290" i="3"/>
  <c r="AD289" i="3"/>
  <c r="AC289" i="3"/>
  <c r="AB289" i="3"/>
  <c r="AA289" i="3"/>
  <c r="Z289" i="3"/>
  <c r="Y289" i="3"/>
  <c r="X289" i="3"/>
  <c r="V289" i="3"/>
  <c r="U289" i="3"/>
  <c r="T289" i="3"/>
  <c r="S289" i="3"/>
  <c r="R289" i="3"/>
  <c r="Q289" i="3"/>
  <c r="P289" i="3"/>
  <c r="M289" i="3"/>
  <c r="L289" i="3"/>
  <c r="K289" i="3"/>
  <c r="AD288" i="3"/>
  <c r="AC288" i="3"/>
  <c r="AB288" i="3"/>
  <c r="AA288" i="3"/>
  <c r="Z288" i="3"/>
  <c r="Y288" i="3"/>
  <c r="X288" i="3"/>
  <c r="V288" i="3"/>
  <c r="U288" i="3"/>
  <c r="T288" i="3"/>
  <c r="S288" i="3"/>
  <c r="R288" i="3"/>
  <c r="Q288" i="3"/>
  <c r="P288" i="3"/>
  <c r="M288" i="3"/>
  <c r="L288" i="3"/>
  <c r="K288" i="3"/>
  <c r="AD287" i="3"/>
  <c r="AC287" i="3"/>
  <c r="AB287" i="3"/>
  <c r="AA287" i="3"/>
  <c r="Z287" i="3"/>
  <c r="Y287" i="3"/>
  <c r="X287" i="3"/>
  <c r="V287" i="3"/>
  <c r="U287" i="3"/>
  <c r="T287" i="3"/>
  <c r="S287" i="3"/>
  <c r="R287" i="3"/>
  <c r="Q287" i="3"/>
  <c r="P287" i="3"/>
  <c r="M287" i="3"/>
  <c r="L287" i="3"/>
  <c r="K287" i="3"/>
  <c r="AD286" i="3"/>
  <c r="AC286" i="3"/>
  <c r="AB286" i="3"/>
  <c r="AA286" i="3"/>
  <c r="Z286" i="3"/>
  <c r="Y286" i="3"/>
  <c r="X286" i="3"/>
  <c r="V286" i="3"/>
  <c r="U286" i="3"/>
  <c r="T286" i="3"/>
  <c r="S286" i="3"/>
  <c r="R286" i="3"/>
  <c r="Q286" i="3"/>
  <c r="P286" i="3"/>
  <c r="M286" i="3"/>
  <c r="L286" i="3"/>
  <c r="K286" i="3"/>
  <c r="AD285" i="3"/>
  <c r="AC285" i="3"/>
  <c r="AB285" i="3"/>
  <c r="AA285" i="3"/>
  <c r="Z285" i="3"/>
  <c r="Y285" i="3"/>
  <c r="X285" i="3"/>
  <c r="V285" i="3"/>
  <c r="U285" i="3"/>
  <c r="T285" i="3"/>
  <c r="S285" i="3"/>
  <c r="R285" i="3"/>
  <c r="Q285" i="3"/>
  <c r="P285" i="3"/>
  <c r="M285" i="3"/>
  <c r="L285" i="3"/>
  <c r="K285" i="3"/>
  <c r="AD284" i="3"/>
  <c r="AC284" i="3"/>
  <c r="AB284" i="3"/>
  <c r="AA284" i="3"/>
  <c r="Z284" i="3"/>
  <c r="Y284" i="3"/>
  <c r="X284" i="3"/>
  <c r="V284" i="3"/>
  <c r="U284" i="3"/>
  <c r="T284" i="3"/>
  <c r="S284" i="3"/>
  <c r="R284" i="3"/>
  <c r="Q284" i="3"/>
  <c r="P284" i="3"/>
  <c r="M284" i="3"/>
  <c r="L284" i="3"/>
  <c r="K284" i="3"/>
  <c r="AD283" i="3"/>
  <c r="AC283" i="3"/>
  <c r="AB283" i="3"/>
  <c r="AA283" i="3"/>
  <c r="Z283" i="3"/>
  <c r="Y283" i="3"/>
  <c r="X283" i="3"/>
  <c r="V283" i="3"/>
  <c r="U283" i="3"/>
  <c r="T283" i="3"/>
  <c r="S283" i="3"/>
  <c r="R283" i="3"/>
  <c r="Q283" i="3"/>
  <c r="P283" i="3"/>
  <c r="M283" i="3"/>
  <c r="L283" i="3"/>
  <c r="K283" i="3"/>
  <c r="AD282" i="3"/>
  <c r="AC282" i="3"/>
  <c r="AB282" i="3"/>
  <c r="AA282" i="3"/>
  <c r="Z282" i="3"/>
  <c r="Y282" i="3"/>
  <c r="X282" i="3"/>
  <c r="V282" i="3"/>
  <c r="U282" i="3"/>
  <c r="T282" i="3"/>
  <c r="S282" i="3"/>
  <c r="R282" i="3"/>
  <c r="Q282" i="3"/>
  <c r="P282" i="3"/>
  <c r="M282" i="3"/>
  <c r="L282" i="3"/>
  <c r="K282" i="3"/>
  <c r="AD281" i="3"/>
  <c r="AC281" i="3"/>
  <c r="AB281" i="3"/>
  <c r="AA281" i="3"/>
  <c r="Z281" i="3"/>
  <c r="Y281" i="3"/>
  <c r="X281" i="3"/>
  <c r="V281" i="3"/>
  <c r="U281" i="3"/>
  <c r="T281" i="3"/>
  <c r="S281" i="3"/>
  <c r="R281" i="3"/>
  <c r="Q281" i="3"/>
  <c r="P281" i="3"/>
  <c r="M281" i="3"/>
  <c r="L281" i="3"/>
  <c r="K281" i="3"/>
  <c r="AD280" i="3"/>
  <c r="AC280" i="3"/>
  <c r="AB280" i="3"/>
  <c r="AA280" i="3"/>
  <c r="Z280" i="3"/>
  <c r="Y280" i="3"/>
  <c r="X280" i="3"/>
  <c r="V280" i="3"/>
  <c r="U280" i="3"/>
  <c r="T280" i="3"/>
  <c r="S280" i="3"/>
  <c r="R280" i="3"/>
  <c r="Q280" i="3"/>
  <c r="P280" i="3"/>
  <c r="M280" i="3"/>
  <c r="L280" i="3"/>
  <c r="K280" i="3"/>
  <c r="AD279" i="3"/>
  <c r="AC279" i="3"/>
  <c r="AB279" i="3"/>
  <c r="AA279" i="3"/>
  <c r="Z279" i="3"/>
  <c r="Y279" i="3"/>
  <c r="X279" i="3"/>
  <c r="V279" i="3"/>
  <c r="U279" i="3"/>
  <c r="T279" i="3"/>
  <c r="S279" i="3"/>
  <c r="R279" i="3"/>
  <c r="Q279" i="3"/>
  <c r="P279" i="3"/>
  <c r="M279" i="3"/>
  <c r="L279" i="3"/>
  <c r="K279" i="3"/>
  <c r="AD278" i="3"/>
  <c r="AC278" i="3"/>
  <c r="AB278" i="3"/>
  <c r="AA278" i="3"/>
  <c r="Z278" i="3"/>
  <c r="Y278" i="3"/>
  <c r="X278" i="3"/>
  <c r="V278" i="3"/>
  <c r="U278" i="3"/>
  <c r="T278" i="3"/>
  <c r="S278" i="3"/>
  <c r="R278" i="3"/>
  <c r="Q278" i="3"/>
  <c r="P278" i="3"/>
  <c r="M278" i="3"/>
  <c r="L278" i="3"/>
  <c r="K278" i="3"/>
  <c r="AD277" i="3"/>
  <c r="AC277" i="3"/>
  <c r="AB277" i="3"/>
  <c r="AA277" i="3"/>
  <c r="Z277" i="3"/>
  <c r="Y277" i="3"/>
  <c r="X277" i="3"/>
  <c r="V277" i="3"/>
  <c r="U277" i="3"/>
  <c r="T277" i="3"/>
  <c r="S277" i="3"/>
  <c r="R277" i="3"/>
  <c r="Q277" i="3"/>
  <c r="P277" i="3"/>
  <c r="M277" i="3"/>
  <c r="L277" i="3"/>
  <c r="K277" i="3"/>
  <c r="AD276" i="3"/>
  <c r="AC276" i="3"/>
  <c r="AB276" i="3"/>
  <c r="AA276" i="3"/>
  <c r="Z276" i="3"/>
  <c r="Y276" i="3"/>
  <c r="X276" i="3"/>
  <c r="V276" i="3"/>
  <c r="U276" i="3"/>
  <c r="T276" i="3"/>
  <c r="S276" i="3"/>
  <c r="R276" i="3"/>
  <c r="Q276" i="3"/>
  <c r="P276" i="3"/>
  <c r="M276" i="3"/>
  <c r="L276" i="3"/>
  <c r="K276" i="3"/>
  <c r="AD275" i="3"/>
  <c r="AC275" i="3"/>
  <c r="AB275" i="3"/>
  <c r="AA275" i="3"/>
  <c r="Z275" i="3"/>
  <c r="Y275" i="3"/>
  <c r="X275" i="3"/>
  <c r="V275" i="3"/>
  <c r="U275" i="3"/>
  <c r="T275" i="3"/>
  <c r="S275" i="3"/>
  <c r="R275" i="3"/>
  <c r="Q275" i="3"/>
  <c r="P275" i="3"/>
  <c r="M275" i="3"/>
  <c r="L275" i="3"/>
  <c r="K275" i="3"/>
  <c r="AD274" i="3"/>
  <c r="AC274" i="3"/>
  <c r="AB274" i="3"/>
  <c r="AA274" i="3"/>
  <c r="Z274" i="3"/>
  <c r="Y274" i="3"/>
  <c r="X274" i="3"/>
  <c r="V274" i="3"/>
  <c r="U274" i="3"/>
  <c r="T274" i="3"/>
  <c r="S274" i="3"/>
  <c r="R274" i="3"/>
  <c r="Q274" i="3"/>
  <c r="P274" i="3"/>
  <c r="M274" i="3"/>
  <c r="L274" i="3"/>
  <c r="K274" i="3"/>
  <c r="AD273" i="3"/>
  <c r="AC273" i="3"/>
  <c r="AB273" i="3"/>
  <c r="AA273" i="3"/>
  <c r="Z273" i="3"/>
  <c r="Y273" i="3"/>
  <c r="X273" i="3"/>
  <c r="V273" i="3"/>
  <c r="U273" i="3"/>
  <c r="T273" i="3"/>
  <c r="S273" i="3"/>
  <c r="R273" i="3"/>
  <c r="Q273" i="3"/>
  <c r="P273" i="3"/>
  <c r="M273" i="3"/>
  <c r="L273" i="3"/>
  <c r="K273" i="3"/>
  <c r="AD272" i="3"/>
  <c r="AC272" i="3"/>
  <c r="AB272" i="3"/>
  <c r="AA272" i="3"/>
  <c r="Z272" i="3"/>
  <c r="Y272" i="3"/>
  <c r="X272" i="3"/>
  <c r="V272" i="3"/>
  <c r="U272" i="3"/>
  <c r="T272" i="3"/>
  <c r="S272" i="3"/>
  <c r="R272" i="3"/>
  <c r="Q272" i="3"/>
  <c r="P272" i="3"/>
  <c r="M272" i="3"/>
  <c r="L272" i="3"/>
  <c r="K272" i="3"/>
  <c r="AD271" i="3"/>
  <c r="AC271" i="3"/>
  <c r="AB271" i="3"/>
  <c r="AA271" i="3"/>
  <c r="Z271" i="3"/>
  <c r="Y271" i="3"/>
  <c r="X271" i="3"/>
  <c r="V271" i="3"/>
  <c r="U271" i="3"/>
  <c r="T271" i="3"/>
  <c r="S271" i="3"/>
  <c r="R271" i="3"/>
  <c r="Q271" i="3"/>
  <c r="P271" i="3"/>
  <c r="M271" i="3"/>
  <c r="L271" i="3"/>
  <c r="K271" i="3"/>
  <c r="AD270" i="3"/>
  <c r="AC270" i="3"/>
  <c r="AB270" i="3"/>
  <c r="AA270" i="3"/>
  <c r="Z270" i="3"/>
  <c r="Y270" i="3"/>
  <c r="X270" i="3"/>
  <c r="V270" i="3"/>
  <c r="U270" i="3"/>
  <c r="T270" i="3"/>
  <c r="S270" i="3"/>
  <c r="R270" i="3"/>
  <c r="Q270" i="3"/>
  <c r="P270" i="3"/>
  <c r="M270" i="3"/>
  <c r="L270" i="3"/>
  <c r="K270" i="3"/>
  <c r="AD269" i="3"/>
  <c r="AC269" i="3"/>
  <c r="AB269" i="3"/>
  <c r="AA269" i="3"/>
  <c r="Z269" i="3"/>
  <c r="Y269" i="3"/>
  <c r="X269" i="3"/>
  <c r="V269" i="3"/>
  <c r="U269" i="3"/>
  <c r="T269" i="3"/>
  <c r="S269" i="3"/>
  <c r="R269" i="3"/>
  <c r="Q269" i="3"/>
  <c r="P269" i="3"/>
  <c r="M269" i="3"/>
  <c r="L269" i="3"/>
  <c r="K269" i="3"/>
  <c r="AD268" i="3"/>
  <c r="AC268" i="3"/>
  <c r="AB268" i="3"/>
  <c r="AA268" i="3"/>
  <c r="Z268" i="3"/>
  <c r="Y268" i="3"/>
  <c r="X268" i="3"/>
  <c r="V268" i="3"/>
  <c r="U268" i="3"/>
  <c r="T268" i="3"/>
  <c r="S268" i="3"/>
  <c r="R268" i="3"/>
  <c r="Q268" i="3"/>
  <c r="P268" i="3"/>
  <c r="M268" i="3"/>
  <c r="L268" i="3"/>
  <c r="K268" i="3"/>
  <c r="AD267" i="3"/>
  <c r="AC267" i="3"/>
  <c r="AB267" i="3"/>
  <c r="AA267" i="3"/>
  <c r="Z267" i="3"/>
  <c r="Y267" i="3"/>
  <c r="X267" i="3"/>
  <c r="V267" i="3"/>
  <c r="U267" i="3"/>
  <c r="T267" i="3"/>
  <c r="S267" i="3"/>
  <c r="R267" i="3"/>
  <c r="Q267" i="3"/>
  <c r="P267" i="3"/>
  <c r="M267" i="3"/>
  <c r="L267" i="3"/>
  <c r="K267" i="3"/>
  <c r="AD266" i="3"/>
  <c r="AC266" i="3"/>
  <c r="AB266" i="3"/>
  <c r="AA266" i="3"/>
  <c r="Z266" i="3"/>
  <c r="Y266" i="3"/>
  <c r="X266" i="3"/>
  <c r="V266" i="3"/>
  <c r="U266" i="3"/>
  <c r="T266" i="3"/>
  <c r="S266" i="3"/>
  <c r="R266" i="3"/>
  <c r="Q266" i="3"/>
  <c r="P266" i="3"/>
  <c r="M266" i="3"/>
  <c r="L266" i="3"/>
  <c r="K266" i="3"/>
  <c r="AD265" i="3"/>
  <c r="AC265" i="3"/>
  <c r="AB265" i="3"/>
  <c r="AA265" i="3"/>
  <c r="Z265" i="3"/>
  <c r="Y265" i="3"/>
  <c r="X265" i="3"/>
  <c r="V265" i="3"/>
  <c r="U265" i="3"/>
  <c r="T265" i="3"/>
  <c r="S265" i="3"/>
  <c r="R265" i="3"/>
  <c r="Q265" i="3"/>
  <c r="P265" i="3"/>
  <c r="M265" i="3"/>
  <c r="L265" i="3"/>
  <c r="K265" i="3"/>
  <c r="AD264" i="3"/>
  <c r="AC264" i="3"/>
  <c r="AB264" i="3"/>
  <c r="AA264" i="3"/>
  <c r="Z264" i="3"/>
  <c r="Y264" i="3"/>
  <c r="X264" i="3"/>
  <c r="V264" i="3"/>
  <c r="U264" i="3"/>
  <c r="T264" i="3"/>
  <c r="S264" i="3"/>
  <c r="R264" i="3"/>
  <c r="Q264" i="3"/>
  <c r="P264" i="3"/>
  <c r="M264" i="3"/>
  <c r="L264" i="3"/>
  <c r="K264" i="3"/>
  <c r="AD263" i="3"/>
  <c r="AC263" i="3"/>
  <c r="AB263" i="3"/>
  <c r="AA263" i="3"/>
  <c r="Z263" i="3"/>
  <c r="Y263" i="3"/>
  <c r="X263" i="3"/>
  <c r="V263" i="3"/>
  <c r="U263" i="3"/>
  <c r="T263" i="3"/>
  <c r="S263" i="3"/>
  <c r="R263" i="3"/>
  <c r="Q263" i="3"/>
  <c r="P263" i="3"/>
  <c r="M263" i="3"/>
  <c r="L263" i="3"/>
  <c r="K263" i="3"/>
  <c r="AD262" i="3"/>
  <c r="AC262" i="3"/>
  <c r="AB262" i="3"/>
  <c r="AA262" i="3"/>
  <c r="Z262" i="3"/>
  <c r="Y262" i="3"/>
  <c r="X262" i="3"/>
  <c r="V262" i="3"/>
  <c r="U262" i="3"/>
  <c r="T262" i="3"/>
  <c r="S262" i="3"/>
  <c r="R262" i="3"/>
  <c r="Q262" i="3"/>
  <c r="P262" i="3"/>
  <c r="M262" i="3"/>
  <c r="L262" i="3"/>
  <c r="K262" i="3"/>
  <c r="AD261" i="3"/>
  <c r="AC261" i="3"/>
  <c r="AB261" i="3"/>
  <c r="AA261" i="3"/>
  <c r="Z261" i="3"/>
  <c r="Y261" i="3"/>
  <c r="X261" i="3"/>
  <c r="V261" i="3"/>
  <c r="U261" i="3"/>
  <c r="T261" i="3"/>
  <c r="S261" i="3"/>
  <c r="R261" i="3"/>
  <c r="Q261" i="3"/>
  <c r="P261" i="3"/>
  <c r="M261" i="3"/>
  <c r="L261" i="3"/>
  <c r="K261" i="3"/>
  <c r="AD260" i="3"/>
  <c r="AC260" i="3"/>
  <c r="AB260" i="3"/>
  <c r="AA260" i="3"/>
  <c r="Z260" i="3"/>
  <c r="Y260" i="3"/>
  <c r="X260" i="3"/>
  <c r="V260" i="3"/>
  <c r="U260" i="3"/>
  <c r="T260" i="3"/>
  <c r="S260" i="3"/>
  <c r="R260" i="3"/>
  <c r="Q260" i="3"/>
  <c r="P260" i="3"/>
  <c r="M260" i="3"/>
  <c r="L260" i="3"/>
  <c r="K260" i="3"/>
  <c r="AD259" i="3"/>
  <c r="AC259" i="3"/>
  <c r="AB259" i="3"/>
  <c r="AA259" i="3"/>
  <c r="Z259" i="3"/>
  <c r="Y259" i="3"/>
  <c r="X259" i="3"/>
  <c r="V259" i="3"/>
  <c r="U259" i="3"/>
  <c r="T259" i="3"/>
  <c r="S259" i="3"/>
  <c r="R259" i="3"/>
  <c r="Q259" i="3"/>
  <c r="P259" i="3"/>
  <c r="M259" i="3"/>
  <c r="L259" i="3"/>
  <c r="K259" i="3"/>
  <c r="AD258" i="3"/>
  <c r="AC258" i="3"/>
  <c r="AB258" i="3"/>
  <c r="AA258" i="3"/>
  <c r="Z258" i="3"/>
  <c r="Y258" i="3"/>
  <c r="X258" i="3"/>
  <c r="V258" i="3"/>
  <c r="U258" i="3"/>
  <c r="T258" i="3"/>
  <c r="S258" i="3"/>
  <c r="R258" i="3"/>
  <c r="Q258" i="3"/>
  <c r="P258" i="3"/>
  <c r="M258" i="3"/>
  <c r="L258" i="3"/>
  <c r="K258" i="3"/>
  <c r="AD257" i="3"/>
  <c r="AC257" i="3"/>
  <c r="AB257" i="3"/>
  <c r="AA257" i="3"/>
  <c r="Z257" i="3"/>
  <c r="Y257" i="3"/>
  <c r="X257" i="3"/>
  <c r="V257" i="3"/>
  <c r="U257" i="3"/>
  <c r="T257" i="3"/>
  <c r="S257" i="3"/>
  <c r="R257" i="3"/>
  <c r="Q257" i="3"/>
  <c r="P257" i="3"/>
  <c r="M257" i="3"/>
  <c r="L257" i="3"/>
  <c r="K257" i="3"/>
  <c r="AD256" i="3"/>
  <c r="AC256" i="3"/>
  <c r="AB256" i="3"/>
  <c r="AA256" i="3"/>
  <c r="Z256" i="3"/>
  <c r="Y256" i="3"/>
  <c r="X256" i="3"/>
  <c r="V256" i="3"/>
  <c r="U256" i="3"/>
  <c r="T256" i="3"/>
  <c r="S256" i="3"/>
  <c r="R256" i="3"/>
  <c r="Q256" i="3"/>
  <c r="P256" i="3"/>
  <c r="M256" i="3"/>
  <c r="L256" i="3"/>
  <c r="K256" i="3"/>
  <c r="AD255" i="3"/>
  <c r="AC255" i="3"/>
  <c r="AB255" i="3"/>
  <c r="AA255" i="3"/>
  <c r="Z255" i="3"/>
  <c r="Y255" i="3"/>
  <c r="X255" i="3"/>
  <c r="V255" i="3"/>
  <c r="U255" i="3"/>
  <c r="T255" i="3"/>
  <c r="S255" i="3"/>
  <c r="R255" i="3"/>
  <c r="Q255" i="3"/>
  <c r="P255" i="3"/>
  <c r="M255" i="3"/>
  <c r="L255" i="3"/>
  <c r="K255" i="3"/>
  <c r="AD254" i="3"/>
  <c r="AC254" i="3"/>
  <c r="AB254" i="3"/>
  <c r="AA254" i="3"/>
  <c r="Z254" i="3"/>
  <c r="Y254" i="3"/>
  <c r="X254" i="3"/>
  <c r="V254" i="3"/>
  <c r="U254" i="3"/>
  <c r="T254" i="3"/>
  <c r="S254" i="3"/>
  <c r="R254" i="3"/>
  <c r="Q254" i="3"/>
  <c r="P254" i="3"/>
  <c r="M254" i="3"/>
  <c r="L254" i="3"/>
  <c r="K254" i="3"/>
  <c r="AD253" i="3"/>
  <c r="AC253" i="3"/>
  <c r="AB253" i="3"/>
  <c r="AA253" i="3"/>
  <c r="Z253" i="3"/>
  <c r="Y253" i="3"/>
  <c r="X253" i="3"/>
  <c r="V253" i="3"/>
  <c r="U253" i="3"/>
  <c r="T253" i="3"/>
  <c r="S253" i="3"/>
  <c r="R253" i="3"/>
  <c r="Q253" i="3"/>
  <c r="P253" i="3"/>
  <c r="M253" i="3"/>
  <c r="L253" i="3"/>
  <c r="K253" i="3"/>
  <c r="AD252" i="3"/>
  <c r="AC252" i="3"/>
  <c r="AB252" i="3"/>
  <c r="AA252" i="3"/>
  <c r="Z252" i="3"/>
  <c r="Y252" i="3"/>
  <c r="X252" i="3"/>
  <c r="V252" i="3"/>
  <c r="U252" i="3"/>
  <c r="T252" i="3"/>
  <c r="S252" i="3"/>
  <c r="R252" i="3"/>
  <c r="Q252" i="3"/>
  <c r="P252" i="3"/>
  <c r="M252" i="3"/>
  <c r="L252" i="3"/>
  <c r="K252" i="3"/>
  <c r="AD251" i="3"/>
  <c r="AC251" i="3"/>
  <c r="AB251" i="3"/>
  <c r="AA251" i="3"/>
  <c r="Z251" i="3"/>
  <c r="Y251" i="3"/>
  <c r="X251" i="3"/>
  <c r="V251" i="3"/>
  <c r="U251" i="3"/>
  <c r="T251" i="3"/>
  <c r="S251" i="3"/>
  <c r="R251" i="3"/>
  <c r="Q251" i="3"/>
  <c r="P251" i="3"/>
  <c r="M251" i="3"/>
  <c r="L251" i="3"/>
  <c r="K251" i="3"/>
  <c r="AD250" i="3"/>
  <c r="AC250" i="3"/>
  <c r="AB250" i="3"/>
  <c r="AA250" i="3"/>
  <c r="Z250" i="3"/>
  <c r="Y250" i="3"/>
  <c r="X250" i="3"/>
  <c r="V250" i="3"/>
  <c r="U250" i="3"/>
  <c r="T250" i="3"/>
  <c r="S250" i="3"/>
  <c r="R250" i="3"/>
  <c r="Q250" i="3"/>
  <c r="P250" i="3"/>
  <c r="M250" i="3"/>
  <c r="L250" i="3"/>
  <c r="K250" i="3"/>
  <c r="AD249" i="3"/>
  <c r="AC249" i="3"/>
  <c r="AB249" i="3"/>
  <c r="AA249" i="3"/>
  <c r="Z249" i="3"/>
  <c r="Y249" i="3"/>
  <c r="X249" i="3"/>
  <c r="V249" i="3"/>
  <c r="U249" i="3"/>
  <c r="T249" i="3"/>
  <c r="S249" i="3"/>
  <c r="R249" i="3"/>
  <c r="Q249" i="3"/>
  <c r="P249" i="3"/>
  <c r="M249" i="3"/>
  <c r="L249" i="3"/>
  <c r="K249" i="3"/>
  <c r="AD248" i="3"/>
  <c r="AC248" i="3"/>
  <c r="AB248" i="3"/>
  <c r="AA248" i="3"/>
  <c r="Z248" i="3"/>
  <c r="Y248" i="3"/>
  <c r="X248" i="3"/>
  <c r="V248" i="3"/>
  <c r="U248" i="3"/>
  <c r="T248" i="3"/>
  <c r="S248" i="3"/>
  <c r="R248" i="3"/>
  <c r="Q248" i="3"/>
  <c r="P248" i="3"/>
  <c r="M248" i="3"/>
  <c r="L248" i="3"/>
  <c r="K248" i="3"/>
  <c r="AD247" i="3"/>
  <c r="AC247" i="3"/>
  <c r="AB247" i="3"/>
  <c r="AA247" i="3"/>
  <c r="Z247" i="3"/>
  <c r="Y247" i="3"/>
  <c r="X247" i="3"/>
  <c r="V247" i="3"/>
  <c r="U247" i="3"/>
  <c r="T247" i="3"/>
  <c r="S247" i="3"/>
  <c r="R247" i="3"/>
  <c r="Q247" i="3"/>
  <c r="P247" i="3"/>
  <c r="M247" i="3"/>
  <c r="L247" i="3"/>
  <c r="K247" i="3"/>
  <c r="AD246" i="3"/>
  <c r="AC246" i="3"/>
  <c r="AB246" i="3"/>
  <c r="AA246" i="3"/>
  <c r="Z246" i="3"/>
  <c r="Y246" i="3"/>
  <c r="X246" i="3"/>
  <c r="V246" i="3"/>
  <c r="U246" i="3"/>
  <c r="T246" i="3"/>
  <c r="S246" i="3"/>
  <c r="R246" i="3"/>
  <c r="Q246" i="3"/>
  <c r="P246" i="3"/>
  <c r="M246" i="3"/>
  <c r="L246" i="3"/>
  <c r="K246" i="3"/>
  <c r="AD245" i="3"/>
  <c r="AC245" i="3"/>
  <c r="AB245" i="3"/>
  <c r="AA245" i="3"/>
  <c r="Z245" i="3"/>
  <c r="Y245" i="3"/>
  <c r="X245" i="3"/>
  <c r="V245" i="3"/>
  <c r="U245" i="3"/>
  <c r="T245" i="3"/>
  <c r="S245" i="3"/>
  <c r="R245" i="3"/>
  <c r="Q245" i="3"/>
  <c r="P245" i="3"/>
  <c r="M245" i="3"/>
  <c r="L245" i="3"/>
  <c r="K245" i="3"/>
  <c r="AD244" i="3"/>
  <c r="AC244" i="3"/>
  <c r="AB244" i="3"/>
  <c r="AA244" i="3"/>
  <c r="Z244" i="3"/>
  <c r="Y244" i="3"/>
  <c r="X244" i="3"/>
  <c r="V244" i="3"/>
  <c r="U244" i="3"/>
  <c r="T244" i="3"/>
  <c r="S244" i="3"/>
  <c r="R244" i="3"/>
  <c r="Q244" i="3"/>
  <c r="P244" i="3"/>
  <c r="M244" i="3"/>
  <c r="L244" i="3"/>
  <c r="K244" i="3"/>
  <c r="AD243" i="3"/>
  <c r="AC243" i="3"/>
  <c r="AB243" i="3"/>
  <c r="AA243" i="3"/>
  <c r="Z243" i="3"/>
  <c r="Y243" i="3"/>
  <c r="X243" i="3"/>
  <c r="V243" i="3"/>
  <c r="U243" i="3"/>
  <c r="T243" i="3"/>
  <c r="S243" i="3"/>
  <c r="R243" i="3"/>
  <c r="Q243" i="3"/>
  <c r="P243" i="3"/>
  <c r="M243" i="3"/>
  <c r="L243" i="3"/>
  <c r="K243" i="3"/>
  <c r="AD242" i="3"/>
  <c r="AC242" i="3"/>
  <c r="AB242" i="3"/>
  <c r="AA242" i="3"/>
  <c r="Z242" i="3"/>
  <c r="Y242" i="3"/>
  <c r="X242" i="3"/>
  <c r="V242" i="3"/>
  <c r="U242" i="3"/>
  <c r="T242" i="3"/>
  <c r="S242" i="3"/>
  <c r="R242" i="3"/>
  <c r="Q242" i="3"/>
  <c r="P242" i="3"/>
  <c r="M242" i="3"/>
  <c r="L242" i="3"/>
  <c r="K242" i="3"/>
  <c r="AD241" i="3"/>
  <c r="AC241" i="3"/>
  <c r="AB241" i="3"/>
  <c r="AA241" i="3"/>
  <c r="Z241" i="3"/>
  <c r="Y241" i="3"/>
  <c r="X241" i="3"/>
  <c r="V241" i="3"/>
  <c r="U241" i="3"/>
  <c r="T241" i="3"/>
  <c r="S241" i="3"/>
  <c r="R241" i="3"/>
  <c r="Q241" i="3"/>
  <c r="P241" i="3"/>
  <c r="M241" i="3"/>
  <c r="L241" i="3"/>
  <c r="K241" i="3"/>
  <c r="AD240" i="3"/>
  <c r="AC240" i="3"/>
  <c r="AB240" i="3"/>
  <c r="AA240" i="3"/>
  <c r="Z240" i="3"/>
  <c r="Y240" i="3"/>
  <c r="X240" i="3"/>
  <c r="V240" i="3"/>
  <c r="U240" i="3"/>
  <c r="T240" i="3"/>
  <c r="S240" i="3"/>
  <c r="R240" i="3"/>
  <c r="Q240" i="3"/>
  <c r="P240" i="3"/>
  <c r="M240" i="3"/>
  <c r="L240" i="3"/>
  <c r="K240" i="3"/>
  <c r="AD239" i="3"/>
  <c r="AC239" i="3"/>
  <c r="AB239" i="3"/>
  <c r="AA239" i="3"/>
  <c r="Z239" i="3"/>
  <c r="Y239" i="3"/>
  <c r="X239" i="3"/>
  <c r="V239" i="3"/>
  <c r="U239" i="3"/>
  <c r="T239" i="3"/>
  <c r="S239" i="3"/>
  <c r="R239" i="3"/>
  <c r="Q239" i="3"/>
  <c r="P239" i="3"/>
  <c r="M239" i="3"/>
  <c r="L239" i="3"/>
  <c r="K239" i="3"/>
  <c r="AD238" i="3"/>
  <c r="AC238" i="3"/>
  <c r="AB238" i="3"/>
  <c r="AA238" i="3"/>
  <c r="Z238" i="3"/>
  <c r="Y238" i="3"/>
  <c r="X238" i="3"/>
  <c r="V238" i="3"/>
  <c r="U238" i="3"/>
  <c r="T238" i="3"/>
  <c r="S238" i="3"/>
  <c r="R238" i="3"/>
  <c r="Q238" i="3"/>
  <c r="P238" i="3"/>
  <c r="M238" i="3"/>
  <c r="L238" i="3"/>
  <c r="K238" i="3"/>
  <c r="AD237" i="3"/>
  <c r="AC237" i="3"/>
  <c r="AB237" i="3"/>
  <c r="AA237" i="3"/>
  <c r="Z237" i="3"/>
  <c r="Y237" i="3"/>
  <c r="X237" i="3"/>
  <c r="V237" i="3"/>
  <c r="U237" i="3"/>
  <c r="T237" i="3"/>
  <c r="S237" i="3"/>
  <c r="R237" i="3"/>
  <c r="Q237" i="3"/>
  <c r="P237" i="3"/>
  <c r="M237" i="3"/>
  <c r="L237" i="3"/>
  <c r="K237" i="3"/>
  <c r="AD236" i="3"/>
  <c r="AC236" i="3"/>
  <c r="AB236" i="3"/>
  <c r="AA236" i="3"/>
  <c r="Z236" i="3"/>
  <c r="Y236" i="3"/>
  <c r="X236" i="3"/>
  <c r="V236" i="3"/>
  <c r="U236" i="3"/>
  <c r="T236" i="3"/>
  <c r="S236" i="3"/>
  <c r="R236" i="3"/>
  <c r="Q236" i="3"/>
  <c r="P236" i="3"/>
  <c r="M236" i="3"/>
  <c r="L236" i="3"/>
  <c r="K236" i="3"/>
  <c r="AD235" i="3"/>
  <c r="AC235" i="3"/>
  <c r="AB235" i="3"/>
  <c r="AA235" i="3"/>
  <c r="Z235" i="3"/>
  <c r="Y235" i="3"/>
  <c r="X235" i="3"/>
  <c r="V235" i="3"/>
  <c r="U235" i="3"/>
  <c r="T235" i="3"/>
  <c r="S235" i="3"/>
  <c r="R235" i="3"/>
  <c r="Q235" i="3"/>
  <c r="P235" i="3"/>
  <c r="M235" i="3"/>
  <c r="L235" i="3"/>
  <c r="K235" i="3"/>
  <c r="AD234" i="3"/>
  <c r="AC234" i="3"/>
  <c r="AB234" i="3"/>
  <c r="AA234" i="3"/>
  <c r="Z234" i="3"/>
  <c r="Y234" i="3"/>
  <c r="X234" i="3"/>
  <c r="V234" i="3"/>
  <c r="U234" i="3"/>
  <c r="T234" i="3"/>
  <c r="S234" i="3"/>
  <c r="R234" i="3"/>
  <c r="Q234" i="3"/>
  <c r="P234" i="3"/>
  <c r="M234" i="3"/>
  <c r="L234" i="3"/>
  <c r="K234" i="3"/>
  <c r="AD233" i="3"/>
  <c r="AC233" i="3"/>
  <c r="AB233" i="3"/>
  <c r="AA233" i="3"/>
  <c r="Z233" i="3"/>
  <c r="Y233" i="3"/>
  <c r="X233" i="3"/>
  <c r="V233" i="3"/>
  <c r="U233" i="3"/>
  <c r="T233" i="3"/>
  <c r="S233" i="3"/>
  <c r="R233" i="3"/>
  <c r="Q233" i="3"/>
  <c r="P233" i="3"/>
  <c r="M233" i="3"/>
  <c r="L233" i="3"/>
  <c r="K233" i="3"/>
  <c r="AD232" i="3"/>
  <c r="AC232" i="3"/>
  <c r="AB232" i="3"/>
  <c r="AA232" i="3"/>
  <c r="Z232" i="3"/>
  <c r="Y232" i="3"/>
  <c r="X232" i="3"/>
  <c r="V232" i="3"/>
  <c r="U232" i="3"/>
  <c r="T232" i="3"/>
  <c r="S232" i="3"/>
  <c r="R232" i="3"/>
  <c r="Q232" i="3"/>
  <c r="P232" i="3"/>
  <c r="M232" i="3"/>
  <c r="L232" i="3"/>
  <c r="K232" i="3"/>
  <c r="AD231" i="3"/>
  <c r="AC231" i="3"/>
  <c r="AB231" i="3"/>
  <c r="AA231" i="3"/>
  <c r="Z231" i="3"/>
  <c r="Y231" i="3"/>
  <c r="X231" i="3"/>
  <c r="V231" i="3"/>
  <c r="U231" i="3"/>
  <c r="T231" i="3"/>
  <c r="S231" i="3"/>
  <c r="R231" i="3"/>
  <c r="Q231" i="3"/>
  <c r="P231" i="3"/>
  <c r="M231" i="3"/>
  <c r="L231" i="3"/>
  <c r="K231" i="3"/>
  <c r="AD230" i="3"/>
  <c r="AC230" i="3"/>
  <c r="AB230" i="3"/>
  <c r="AA230" i="3"/>
  <c r="Z230" i="3"/>
  <c r="Y230" i="3"/>
  <c r="X230" i="3"/>
  <c r="V230" i="3"/>
  <c r="U230" i="3"/>
  <c r="T230" i="3"/>
  <c r="S230" i="3"/>
  <c r="R230" i="3"/>
  <c r="Q230" i="3"/>
  <c r="P230" i="3"/>
  <c r="M230" i="3"/>
  <c r="L230" i="3"/>
  <c r="K230" i="3"/>
  <c r="AD229" i="3"/>
  <c r="AC229" i="3"/>
  <c r="AB229" i="3"/>
  <c r="AA229" i="3"/>
  <c r="Z229" i="3"/>
  <c r="Y229" i="3"/>
  <c r="X229" i="3"/>
  <c r="V229" i="3"/>
  <c r="U229" i="3"/>
  <c r="T229" i="3"/>
  <c r="S229" i="3"/>
  <c r="R229" i="3"/>
  <c r="Q229" i="3"/>
  <c r="P229" i="3"/>
  <c r="M229" i="3"/>
  <c r="L229" i="3"/>
  <c r="K229" i="3"/>
  <c r="AD228" i="3"/>
  <c r="AC228" i="3"/>
  <c r="AB228" i="3"/>
  <c r="AA228" i="3"/>
  <c r="Z228" i="3"/>
  <c r="Y228" i="3"/>
  <c r="X228" i="3"/>
  <c r="V228" i="3"/>
  <c r="U228" i="3"/>
  <c r="T228" i="3"/>
  <c r="S228" i="3"/>
  <c r="R228" i="3"/>
  <c r="Q228" i="3"/>
  <c r="P228" i="3"/>
  <c r="M228" i="3"/>
  <c r="L228" i="3"/>
  <c r="K228" i="3"/>
  <c r="AD227" i="3"/>
  <c r="AC227" i="3"/>
  <c r="AB227" i="3"/>
  <c r="AA227" i="3"/>
  <c r="Z227" i="3"/>
  <c r="Y227" i="3"/>
  <c r="X227" i="3"/>
  <c r="V227" i="3"/>
  <c r="U227" i="3"/>
  <c r="T227" i="3"/>
  <c r="S227" i="3"/>
  <c r="R227" i="3"/>
  <c r="Q227" i="3"/>
  <c r="P227" i="3"/>
  <c r="M227" i="3"/>
  <c r="L227" i="3"/>
  <c r="K227" i="3"/>
  <c r="AD226" i="3"/>
  <c r="AC226" i="3"/>
  <c r="AB226" i="3"/>
  <c r="AA226" i="3"/>
  <c r="Z226" i="3"/>
  <c r="Y226" i="3"/>
  <c r="X226" i="3"/>
  <c r="O226" i="3" s="1"/>
  <c r="AG226" i="3" s="1"/>
  <c r="V226" i="3"/>
  <c r="U226" i="3"/>
  <c r="T226" i="3"/>
  <c r="S226" i="3"/>
  <c r="R226" i="3"/>
  <c r="Q226" i="3"/>
  <c r="P226" i="3"/>
  <c r="M226" i="3"/>
  <c r="L226" i="3"/>
  <c r="K226" i="3"/>
  <c r="AD225" i="3"/>
  <c r="AC225" i="3"/>
  <c r="AB225" i="3"/>
  <c r="AA225" i="3"/>
  <c r="Z225" i="3"/>
  <c r="Y225" i="3"/>
  <c r="X225" i="3"/>
  <c r="V225" i="3"/>
  <c r="U225" i="3"/>
  <c r="T225" i="3"/>
  <c r="S225" i="3"/>
  <c r="R225" i="3"/>
  <c r="Q225" i="3"/>
  <c r="P225" i="3"/>
  <c r="M225" i="3"/>
  <c r="L225" i="3"/>
  <c r="K225" i="3"/>
  <c r="AD224" i="3"/>
  <c r="AC224" i="3"/>
  <c r="AB224" i="3"/>
  <c r="AA224" i="3"/>
  <c r="Z224" i="3"/>
  <c r="Y224" i="3"/>
  <c r="X224" i="3"/>
  <c r="V224" i="3"/>
  <c r="U224" i="3"/>
  <c r="T224" i="3"/>
  <c r="S224" i="3"/>
  <c r="R224" i="3"/>
  <c r="Q224" i="3"/>
  <c r="P224" i="3"/>
  <c r="M224" i="3"/>
  <c r="L224" i="3"/>
  <c r="K224" i="3"/>
  <c r="AD223" i="3"/>
  <c r="AC223" i="3"/>
  <c r="AB223" i="3"/>
  <c r="AA223" i="3"/>
  <c r="Z223" i="3"/>
  <c r="Y223" i="3"/>
  <c r="X223" i="3"/>
  <c r="V223" i="3"/>
  <c r="U223" i="3"/>
  <c r="T223" i="3"/>
  <c r="S223" i="3"/>
  <c r="R223" i="3"/>
  <c r="Q223" i="3"/>
  <c r="P223" i="3"/>
  <c r="M223" i="3"/>
  <c r="L223" i="3"/>
  <c r="K223" i="3"/>
  <c r="AD222" i="3"/>
  <c r="AC222" i="3"/>
  <c r="AB222" i="3"/>
  <c r="AA222" i="3"/>
  <c r="Z222" i="3"/>
  <c r="Y222" i="3"/>
  <c r="X222" i="3"/>
  <c r="V222" i="3"/>
  <c r="U222" i="3"/>
  <c r="T222" i="3"/>
  <c r="S222" i="3"/>
  <c r="R222" i="3"/>
  <c r="Q222" i="3"/>
  <c r="P222" i="3"/>
  <c r="M222" i="3"/>
  <c r="L222" i="3"/>
  <c r="K222" i="3"/>
  <c r="AD221" i="3"/>
  <c r="AC221" i="3"/>
  <c r="AB221" i="3"/>
  <c r="AA221" i="3"/>
  <c r="Z221" i="3"/>
  <c r="Y221" i="3"/>
  <c r="X221" i="3"/>
  <c r="V221" i="3"/>
  <c r="U221" i="3"/>
  <c r="T221" i="3"/>
  <c r="S221" i="3"/>
  <c r="R221" i="3"/>
  <c r="Q221" i="3"/>
  <c r="P221" i="3"/>
  <c r="M221" i="3"/>
  <c r="L221" i="3"/>
  <c r="K221" i="3"/>
  <c r="AD220" i="3"/>
  <c r="AC220" i="3"/>
  <c r="AB220" i="3"/>
  <c r="AA220" i="3"/>
  <c r="Z220" i="3"/>
  <c r="Y220" i="3"/>
  <c r="X220" i="3"/>
  <c r="V220" i="3"/>
  <c r="U220" i="3"/>
  <c r="T220" i="3"/>
  <c r="S220" i="3"/>
  <c r="R220" i="3"/>
  <c r="Q220" i="3"/>
  <c r="P220" i="3"/>
  <c r="M220" i="3"/>
  <c r="L220" i="3"/>
  <c r="K220" i="3"/>
  <c r="AD219" i="3"/>
  <c r="AC219" i="3"/>
  <c r="AB219" i="3"/>
  <c r="N219" i="3" s="1"/>
  <c r="AA219" i="3"/>
  <c r="Z219" i="3"/>
  <c r="Y219" i="3"/>
  <c r="X219" i="3"/>
  <c r="V219" i="3"/>
  <c r="U219" i="3"/>
  <c r="T219" i="3"/>
  <c r="S219" i="3"/>
  <c r="R219" i="3"/>
  <c r="Q219" i="3"/>
  <c r="P219" i="3"/>
  <c r="M219" i="3"/>
  <c r="L219" i="3"/>
  <c r="K219" i="3"/>
  <c r="AD218" i="3"/>
  <c r="AC218" i="3"/>
  <c r="AB218" i="3"/>
  <c r="AA218" i="3"/>
  <c r="Z218" i="3"/>
  <c r="Y218" i="3"/>
  <c r="X218" i="3"/>
  <c r="V218" i="3"/>
  <c r="U218" i="3"/>
  <c r="T218" i="3"/>
  <c r="S218" i="3"/>
  <c r="R218" i="3"/>
  <c r="Q218" i="3"/>
  <c r="P218" i="3"/>
  <c r="M218" i="3"/>
  <c r="L218" i="3"/>
  <c r="K218" i="3"/>
  <c r="AD217" i="3"/>
  <c r="AC217" i="3"/>
  <c r="AB217" i="3"/>
  <c r="AA217" i="3"/>
  <c r="Z217" i="3"/>
  <c r="Y217" i="3"/>
  <c r="X217" i="3"/>
  <c r="V217" i="3"/>
  <c r="U217" i="3"/>
  <c r="T217" i="3"/>
  <c r="S217" i="3"/>
  <c r="R217" i="3"/>
  <c r="Q217" i="3"/>
  <c r="P217" i="3"/>
  <c r="M217" i="3"/>
  <c r="L217" i="3"/>
  <c r="K217" i="3"/>
  <c r="AD216" i="3"/>
  <c r="AC216" i="3"/>
  <c r="AB216" i="3"/>
  <c r="AA216" i="3"/>
  <c r="Z216" i="3"/>
  <c r="Y216" i="3"/>
  <c r="X216" i="3"/>
  <c r="V216" i="3"/>
  <c r="U216" i="3"/>
  <c r="T216" i="3"/>
  <c r="S216" i="3"/>
  <c r="R216" i="3"/>
  <c r="Q216" i="3"/>
  <c r="P216" i="3"/>
  <c r="M216" i="3"/>
  <c r="L216" i="3"/>
  <c r="K216" i="3"/>
  <c r="AD215" i="3"/>
  <c r="AC215" i="3"/>
  <c r="AB215" i="3"/>
  <c r="AA215" i="3"/>
  <c r="Z215" i="3"/>
  <c r="Y215" i="3"/>
  <c r="X215" i="3"/>
  <c r="V215" i="3"/>
  <c r="U215" i="3"/>
  <c r="T215" i="3"/>
  <c r="S215" i="3"/>
  <c r="R215" i="3"/>
  <c r="Q215" i="3"/>
  <c r="P215" i="3"/>
  <c r="M215" i="3"/>
  <c r="L215" i="3"/>
  <c r="K215" i="3"/>
  <c r="AD214" i="3"/>
  <c r="AC214" i="3"/>
  <c r="AB214" i="3"/>
  <c r="AA214" i="3"/>
  <c r="Z214" i="3"/>
  <c r="Y214" i="3"/>
  <c r="X214" i="3"/>
  <c r="V214" i="3"/>
  <c r="U214" i="3"/>
  <c r="T214" i="3"/>
  <c r="S214" i="3"/>
  <c r="R214" i="3"/>
  <c r="Q214" i="3"/>
  <c r="P214" i="3"/>
  <c r="M214" i="3"/>
  <c r="L214" i="3"/>
  <c r="K214" i="3"/>
  <c r="AD213" i="3"/>
  <c r="AC213" i="3"/>
  <c r="AB213" i="3"/>
  <c r="AA213" i="3"/>
  <c r="Z213" i="3"/>
  <c r="Y213" i="3"/>
  <c r="X213" i="3"/>
  <c r="V213" i="3"/>
  <c r="U213" i="3"/>
  <c r="T213" i="3"/>
  <c r="S213" i="3"/>
  <c r="R213" i="3"/>
  <c r="Q213" i="3"/>
  <c r="P213" i="3"/>
  <c r="M213" i="3"/>
  <c r="L213" i="3"/>
  <c r="K213" i="3"/>
  <c r="AD212" i="3"/>
  <c r="AC212" i="3"/>
  <c r="AB212" i="3"/>
  <c r="AA212" i="3"/>
  <c r="Z212" i="3"/>
  <c r="Y212" i="3"/>
  <c r="X212" i="3"/>
  <c r="V212" i="3"/>
  <c r="U212" i="3"/>
  <c r="T212" i="3"/>
  <c r="S212" i="3"/>
  <c r="R212" i="3"/>
  <c r="Q212" i="3"/>
  <c r="P212" i="3"/>
  <c r="M212" i="3"/>
  <c r="L212" i="3"/>
  <c r="K212" i="3"/>
  <c r="AD211" i="3"/>
  <c r="AC211" i="3"/>
  <c r="AB211" i="3"/>
  <c r="AA211" i="3"/>
  <c r="Z211" i="3"/>
  <c r="Y211" i="3"/>
  <c r="X211" i="3"/>
  <c r="V211" i="3"/>
  <c r="U211" i="3"/>
  <c r="T211" i="3"/>
  <c r="S211" i="3"/>
  <c r="R211" i="3"/>
  <c r="Q211" i="3"/>
  <c r="P211" i="3"/>
  <c r="M211" i="3"/>
  <c r="L211" i="3"/>
  <c r="K211" i="3"/>
  <c r="AD210" i="3"/>
  <c r="AC210" i="3"/>
  <c r="AB210" i="3"/>
  <c r="AA210" i="3"/>
  <c r="Z210" i="3"/>
  <c r="Y210" i="3"/>
  <c r="X210" i="3"/>
  <c r="V210" i="3"/>
  <c r="U210" i="3"/>
  <c r="T210" i="3"/>
  <c r="S210" i="3"/>
  <c r="R210" i="3"/>
  <c r="Q210" i="3"/>
  <c r="P210" i="3"/>
  <c r="M210" i="3"/>
  <c r="L210" i="3"/>
  <c r="K210" i="3"/>
  <c r="AD209" i="3"/>
  <c r="AC209" i="3"/>
  <c r="AB209" i="3"/>
  <c r="AA209" i="3"/>
  <c r="Z209" i="3"/>
  <c r="Y209" i="3"/>
  <c r="X209" i="3"/>
  <c r="V209" i="3"/>
  <c r="U209" i="3"/>
  <c r="T209" i="3"/>
  <c r="S209" i="3"/>
  <c r="R209" i="3"/>
  <c r="Q209" i="3"/>
  <c r="P209" i="3"/>
  <c r="M209" i="3"/>
  <c r="L209" i="3"/>
  <c r="K209" i="3"/>
  <c r="AD208" i="3"/>
  <c r="AC208" i="3"/>
  <c r="AB208" i="3"/>
  <c r="AA208" i="3"/>
  <c r="Z208" i="3"/>
  <c r="Y208" i="3"/>
  <c r="X208" i="3"/>
  <c r="V208" i="3"/>
  <c r="U208" i="3"/>
  <c r="T208" i="3"/>
  <c r="S208" i="3"/>
  <c r="R208" i="3"/>
  <c r="Q208" i="3"/>
  <c r="P208" i="3"/>
  <c r="M208" i="3"/>
  <c r="L208" i="3"/>
  <c r="K208" i="3"/>
  <c r="AD207" i="3"/>
  <c r="AC207" i="3"/>
  <c r="AB207" i="3"/>
  <c r="AA207" i="3"/>
  <c r="Z207" i="3"/>
  <c r="Y207" i="3"/>
  <c r="X207" i="3"/>
  <c r="V207" i="3"/>
  <c r="U207" i="3"/>
  <c r="T207" i="3"/>
  <c r="S207" i="3"/>
  <c r="R207" i="3"/>
  <c r="Q207" i="3"/>
  <c r="P207" i="3"/>
  <c r="M207" i="3"/>
  <c r="L207" i="3"/>
  <c r="K207" i="3"/>
  <c r="AD206" i="3"/>
  <c r="AC206" i="3"/>
  <c r="AB206" i="3"/>
  <c r="AA206" i="3"/>
  <c r="Z206" i="3"/>
  <c r="Y206" i="3"/>
  <c r="X206" i="3"/>
  <c r="V206" i="3"/>
  <c r="U206" i="3"/>
  <c r="T206" i="3"/>
  <c r="S206" i="3"/>
  <c r="R206" i="3"/>
  <c r="Q206" i="3"/>
  <c r="P206" i="3"/>
  <c r="M206" i="3"/>
  <c r="L206" i="3"/>
  <c r="K206" i="3"/>
  <c r="AD205" i="3"/>
  <c r="AC205" i="3"/>
  <c r="AB205" i="3"/>
  <c r="AA205" i="3"/>
  <c r="Z205" i="3"/>
  <c r="Y205" i="3"/>
  <c r="X205" i="3"/>
  <c r="V205" i="3"/>
  <c r="U205" i="3"/>
  <c r="T205" i="3"/>
  <c r="S205" i="3"/>
  <c r="R205" i="3"/>
  <c r="Q205" i="3"/>
  <c r="P205" i="3"/>
  <c r="M205" i="3"/>
  <c r="L205" i="3"/>
  <c r="K205" i="3"/>
  <c r="AD204" i="3"/>
  <c r="AC204" i="3"/>
  <c r="AB204" i="3"/>
  <c r="AA204" i="3"/>
  <c r="Z204" i="3"/>
  <c r="Y204" i="3"/>
  <c r="X204" i="3"/>
  <c r="V204" i="3"/>
  <c r="U204" i="3"/>
  <c r="T204" i="3"/>
  <c r="S204" i="3"/>
  <c r="R204" i="3"/>
  <c r="Q204" i="3"/>
  <c r="P204" i="3"/>
  <c r="M204" i="3"/>
  <c r="L204" i="3"/>
  <c r="K204" i="3"/>
  <c r="AD203" i="3"/>
  <c r="AC203" i="3"/>
  <c r="AB203" i="3"/>
  <c r="AA203" i="3"/>
  <c r="Z203" i="3"/>
  <c r="Y203" i="3"/>
  <c r="X203" i="3"/>
  <c r="V203" i="3"/>
  <c r="U203" i="3"/>
  <c r="T203" i="3"/>
  <c r="S203" i="3"/>
  <c r="R203" i="3"/>
  <c r="Q203" i="3"/>
  <c r="P203" i="3"/>
  <c r="M203" i="3"/>
  <c r="L203" i="3"/>
  <c r="K203" i="3"/>
  <c r="AD202" i="3"/>
  <c r="AC202" i="3"/>
  <c r="AB202" i="3"/>
  <c r="AA202" i="3"/>
  <c r="Z202" i="3"/>
  <c r="Y202" i="3"/>
  <c r="X202" i="3"/>
  <c r="V202" i="3"/>
  <c r="U202" i="3"/>
  <c r="T202" i="3"/>
  <c r="S202" i="3"/>
  <c r="R202" i="3"/>
  <c r="Q202" i="3"/>
  <c r="P202" i="3"/>
  <c r="M202" i="3"/>
  <c r="L202" i="3"/>
  <c r="K202" i="3"/>
  <c r="AD201" i="3"/>
  <c r="AC201" i="3"/>
  <c r="AB201" i="3"/>
  <c r="AA201" i="3"/>
  <c r="Z201" i="3"/>
  <c r="Y201" i="3"/>
  <c r="X201" i="3"/>
  <c r="V201" i="3"/>
  <c r="U201" i="3"/>
  <c r="T201" i="3"/>
  <c r="S201" i="3"/>
  <c r="R201" i="3"/>
  <c r="Q201" i="3"/>
  <c r="P201" i="3"/>
  <c r="M201" i="3"/>
  <c r="L201" i="3"/>
  <c r="K201" i="3"/>
  <c r="AD200" i="3"/>
  <c r="AC200" i="3"/>
  <c r="AB200" i="3"/>
  <c r="AA200" i="3"/>
  <c r="Z200" i="3"/>
  <c r="Y200" i="3"/>
  <c r="X200" i="3"/>
  <c r="V200" i="3"/>
  <c r="U200" i="3"/>
  <c r="T200" i="3"/>
  <c r="S200" i="3"/>
  <c r="R200" i="3"/>
  <c r="Q200" i="3"/>
  <c r="P200" i="3"/>
  <c r="M200" i="3"/>
  <c r="L200" i="3"/>
  <c r="K200" i="3"/>
  <c r="AD199" i="3"/>
  <c r="AC199" i="3"/>
  <c r="AB199" i="3"/>
  <c r="AA199" i="3"/>
  <c r="Z199" i="3"/>
  <c r="Y199" i="3"/>
  <c r="X199" i="3"/>
  <c r="V199" i="3"/>
  <c r="U199" i="3"/>
  <c r="T199" i="3"/>
  <c r="S199" i="3"/>
  <c r="R199" i="3"/>
  <c r="Q199" i="3"/>
  <c r="P199" i="3"/>
  <c r="M199" i="3"/>
  <c r="L199" i="3"/>
  <c r="K199" i="3"/>
  <c r="AD198" i="3"/>
  <c r="AC198" i="3"/>
  <c r="AB198" i="3"/>
  <c r="AA198" i="3"/>
  <c r="Z198" i="3"/>
  <c r="Y198" i="3"/>
  <c r="X198" i="3"/>
  <c r="V198" i="3"/>
  <c r="U198" i="3"/>
  <c r="T198" i="3"/>
  <c r="S198" i="3"/>
  <c r="R198" i="3"/>
  <c r="Q198" i="3"/>
  <c r="P198" i="3"/>
  <c r="M198" i="3"/>
  <c r="L198" i="3"/>
  <c r="K198" i="3"/>
  <c r="AD197" i="3"/>
  <c r="AC197" i="3"/>
  <c r="AB197" i="3"/>
  <c r="AA197" i="3"/>
  <c r="Z197" i="3"/>
  <c r="Y197" i="3"/>
  <c r="X197" i="3"/>
  <c r="V197" i="3"/>
  <c r="U197" i="3"/>
  <c r="T197" i="3"/>
  <c r="S197" i="3"/>
  <c r="R197" i="3"/>
  <c r="Q197" i="3"/>
  <c r="P197" i="3"/>
  <c r="M197" i="3"/>
  <c r="L197" i="3"/>
  <c r="K197" i="3"/>
  <c r="AD196" i="3"/>
  <c r="AC196" i="3"/>
  <c r="AB196" i="3"/>
  <c r="AA196" i="3"/>
  <c r="Z196" i="3"/>
  <c r="Y196" i="3"/>
  <c r="X196" i="3"/>
  <c r="V196" i="3"/>
  <c r="U196" i="3"/>
  <c r="T196" i="3"/>
  <c r="S196" i="3"/>
  <c r="R196" i="3"/>
  <c r="Q196" i="3"/>
  <c r="P196" i="3"/>
  <c r="M196" i="3"/>
  <c r="L196" i="3"/>
  <c r="K196" i="3"/>
  <c r="AD195" i="3"/>
  <c r="AC195" i="3"/>
  <c r="AB195" i="3"/>
  <c r="AA195" i="3"/>
  <c r="Z195" i="3"/>
  <c r="Y195" i="3"/>
  <c r="X195" i="3"/>
  <c r="V195" i="3"/>
  <c r="U195" i="3"/>
  <c r="T195" i="3"/>
  <c r="S195" i="3"/>
  <c r="R195" i="3"/>
  <c r="Q195" i="3"/>
  <c r="P195" i="3"/>
  <c r="M195" i="3"/>
  <c r="L195" i="3"/>
  <c r="K195" i="3"/>
  <c r="AD194" i="3"/>
  <c r="AC194" i="3"/>
  <c r="AB194" i="3"/>
  <c r="AA194" i="3"/>
  <c r="Z194" i="3"/>
  <c r="Y194" i="3"/>
  <c r="X194" i="3"/>
  <c r="V194" i="3"/>
  <c r="U194" i="3"/>
  <c r="T194" i="3"/>
  <c r="S194" i="3"/>
  <c r="R194" i="3"/>
  <c r="Q194" i="3"/>
  <c r="P194" i="3"/>
  <c r="M194" i="3"/>
  <c r="L194" i="3"/>
  <c r="K194" i="3"/>
  <c r="AD193" i="3"/>
  <c r="AC193" i="3"/>
  <c r="AB193" i="3"/>
  <c r="AA193" i="3"/>
  <c r="Z193" i="3"/>
  <c r="Y193" i="3"/>
  <c r="X193" i="3"/>
  <c r="V193" i="3"/>
  <c r="U193" i="3"/>
  <c r="T193" i="3"/>
  <c r="S193" i="3"/>
  <c r="R193" i="3"/>
  <c r="Q193" i="3"/>
  <c r="P193" i="3"/>
  <c r="M193" i="3"/>
  <c r="L193" i="3"/>
  <c r="K193" i="3"/>
  <c r="AD192" i="3"/>
  <c r="AC192" i="3"/>
  <c r="AB192" i="3"/>
  <c r="AA192" i="3"/>
  <c r="Z192" i="3"/>
  <c r="Y192" i="3"/>
  <c r="X192" i="3"/>
  <c r="V192" i="3"/>
  <c r="U192" i="3"/>
  <c r="T192" i="3"/>
  <c r="S192" i="3"/>
  <c r="R192" i="3"/>
  <c r="Q192" i="3"/>
  <c r="P192" i="3"/>
  <c r="M192" i="3"/>
  <c r="L192" i="3"/>
  <c r="K192" i="3"/>
  <c r="AD191" i="3"/>
  <c r="AC191" i="3"/>
  <c r="AB191" i="3"/>
  <c r="AA191" i="3"/>
  <c r="Z191" i="3"/>
  <c r="Y191" i="3"/>
  <c r="X191" i="3"/>
  <c r="V191" i="3"/>
  <c r="U191" i="3"/>
  <c r="T191" i="3"/>
  <c r="S191" i="3"/>
  <c r="R191" i="3"/>
  <c r="Q191" i="3"/>
  <c r="P191" i="3"/>
  <c r="M191" i="3"/>
  <c r="L191" i="3"/>
  <c r="K191" i="3"/>
  <c r="AD190" i="3"/>
  <c r="AC190" i="3"/>
  <c r="AB190" i="3"/>
  <c r="AA190" i="3"/>
  <c r="Z190" i="3"/>
  <c r="Y190" i="3"/>
  <c r="X190" i="3"/>
  <c r="V190" i="3"/>
  <c r="U190" i="3"/>
  <c r="T190" i="3"/>
  <c r="S190" i="3"/>
  <c r="R190" i="3"/>
  <c r="Q190" i="3"/>
  <c r="P190" i="3"/>
  <c r="M190" i="3"/>
  <c r="L190" i="3"/>
  <c r="K190" i="3"/>
  <c r="AD189" i="3"/>
  <c r="AC189" i="3"/>
  <c r="AB189" i="3"/>
  <c r="AA189" i="3"/>
  <c r="Z189" i="3"/>
  <c r="Y189" i="3"/>
  <c r="X189" i="3"/>
  <c r="V189" i="3"/>
  <c r="U189" i="3"/>
  <c r="T189" i="3"/>
  <c r="S189" i="3"/>
  <c r="R189" i="3"/>
  <c r="Q189" i="3"/>
  <c r="P189" i="3"/>
  <c r="M189" i="3"/>
  <c r="L189" i="3"/>
  <c r="K189" i="3"/>
  <c r="AD188" i="3"/>
  <c r="AC188" i="3"/>
  <c r="AB188" i="3"/>
  <c r="AA188" i="3"/>
  <c r="Z188" i="3"/>
  <c r="Y188" i="3"/>
  <c r="X188" i="3"/>
  <c r="V188" i="3"/>
  <c r="U188" i="3"/>
  <c r="T188" i="3"/>
  <c r="S188" i="3"/>
  <c r="R188" i="3"/>
  <c r="Q188" i="3"/>
  <c r="P188" i="3"/>
  <c r="M188" i="3"/>
  <c r="L188" i="3"/>
  <c r="K188" i="3"/>
  <c r="AD187" i="3"/>
  <c r="AC187" i="3"/>
  <c r="AB187" i="3"/>
  <c r="AA187" i="3"/>
  <c r="Z187" i="3"/>
  <c r="Y187" i="3"/>
  <c r="X187" i="3"/>
  <c r="V187" i="3"/>
  <c r="U187" i="3"/>
  <c r="T187" i="3"/>
  <c r="S187" i="3"/>
  <c r="R187" i="3"/>
  <c r="Q187" i="3"/>
  <c r="P187" i="3"/>
  <c r="M187" i="3"/>
  <c r="L187" i="3"/>
  <c r="K187" i="3"/>
  <c r="AD186" i="3"/>
  <c r="AC186" i="3"/>
  <c r="AB186" i="3"/>
  <c r="AA186" i="3"/>
  <c r="Z186" i="3"/>
  <c r="Y186" i="3"/>
  <c r="X186" i="3"/>
  <c r="V186" i="3"/>
  <c r="U186" i="3"/>
  <c r="T186" i="3"/>
  <c r="S186" i="3"/>
  <c r="R186" i="3"/>
  <c r="Q186" i="3"/>
  <c r="P186" i="3"/>
  <c r="M186" i="3"/>
  <c r="L186" i="3"/>
  <c r="K186" i="3"/>
  <c r="AD185" i="3"/>
  <c r="AC185" i="3"/>
  <c r="AB185" i="3"/>
  <c r="AA185" i="3"/>
  <c r="Z185" i="3"/>
  <c r="Y185" i="3"/>
  <c r="X185" i="3"/>
  <c r="V185" i="3"/>
  <c r="U185" i="3"/>
  <c r="T185" i="3"/>
  <c r="S185" i="3"/>
  <c r="R185" i="3"/>
  <c r="Q185" i="3"/>
  <c r="P185" i="3"/>
  <c r="M185" i="3"/>
  <c r="L185" i="3"/>
  <c r="K185" i="3"/>
  <c r="AD184" i="3"/>
  <c r="AC184" i="3"/>
  <c r="AB184" i="3"/>
  <c r="AA184" i="3"/>
  <c r="Z184" i="3"/>
  <c r="Y184" i="3"/>
  <c r="X184" i="3"/>
  <c r="V184" i="3"/>
  <c r="U184" i="3"/>
  <c r="T184" i="3"/>
  <c r="S184" i="3"/>
  <c r="R184" i="3"/>
  <c r="Q184" i="3"/>
  <c r="P184" i="3"/>
  <c r="M184" i="3"/>
  <c r="L184" i="3"/>
  <c r="K184" i="3"/>
  <c r="AD183" i="3"/>
  <c r="AC183" i="3"/>
  <c r="AB183" i="3"/>
  <c r="AA183" i="3"/>
  <c r="Z183" i="3"/>
  <c r="Y183" i="3"/>
  <c r="X183" i="3"/>
  <c r="V183" i="3"/>
  <c r="U183" i="3"/>
  <c r="T183" i="3"/>
  <c r="S183" i="3"/>
  <c r="R183" i="3"/>
  <c r="Q183" i="3"/>
  <c r="P183" i="3"/>
  <c r="M183" i="3"/>
  <c r="L183" i="3"/>
  <c r="K183" i="3"/>
  <c r="AD182" i="3"/>
  <c r="AC182" i="3"/>
  <c r="AB182" i="3"/>
  <c r="AA182" i="3"/>
  <c r="Z182" i="3"/>
  <c r="Y182" i="3"/>
  <c r="X182" i="3"/>
  <c r="V182" i="3"/>
  <c r="U182" i="3"/>
  <c r="T182" i="3"/>
  <c r="S182" i="3"/>
  <c r="R182" i="3"/>
  <c r="Q182" i="3"/>
  <c r="P182" i="3"/>
  <c r="M182" i="3"/>
  <c r="L182" i="3"/>
  <c r="K182" i="3"/>
  <c r="AD181" i="3"/>
  <c r="AC181" i="3"/>
  <c r="AB181" i="3"/>
  <c r="AA181" i="3"/>
  <c r="Z181" i="3"/>
  <c r="Y181" i="3"/>
  <c r="X181" i="3"/>
  <c r="V181" i="3"/>
  <c r="U181" i="3"/>
  <c r="T181" i="3"/>
  <c r="S181" i="3"/>
  <c r="R181" i="3"/>
  <c r="Q181" i="3"/>
  <c r="P181" i="3"/>
  <c r="M181" i="3"/>
  <c r="L181" i="3"/>
  <c r="K181" i="3"/>
  <c r="AD180" i="3"/>
  <c r="AC180" i="3"/>
  <c r="AB180" i="3"/>
  <c r="AA180" i="3"/>
  <c r="Z180" i="3"/>
  <c r="Y180" i="3"/>
  <c r="X180" i="3"/>
  <c r="V180" i="3"/>
  <c r="U180" i="3"/>
  <c r="T180" i="3"/>
  <c r="S180" i="3"/>
  <c r="R180" i="3"/>
  <c r="Q180" i="3"/>
  <c r="P180" i="3"/>
  <c r="M180" i="3"/>
  <c r="L180" i="3"/>
  <c r="K180" i="3"/>
  <c r="AD179" i="3"/>
  <c r="AC179" i="3"/>
  <c r="AB179" i="3"/>
  <c r="AA179" i="3"/>
  <c r="Z179" i="3"/>
  <c r="Y179" i="3"/>
  <c r="X179" i="3"/>
  <c r="V179" i="3"/>
  <c r="U179" i="3"/>
  <c r="T179" i="3"/>
  <c r="S179" i="3"/>
  <c r="R179" i="3"/>
  <c r="Q179" i="3"/>
  <c r="P179" i="3"/>
  <c r="M179" i="3"/>
  <c r="L179" i="3"/>
  <c r="K179" i="3"/>
  <c r="AD178" i="3"/>
  <c r="AC178" i="3"/>
  <c r="AB178" i="3"/>
  <c r="AA178" i="3"/>
  <c r="Z178" i="3"/>
  <c r="Y178" i="3"/>
  <c r="X178" i="3"/>
  <c r="V178" i="3"/>
  <c r="U178" i="3"/>
  <c r="T178" i="3"/>
  <c r="S178" i="3"/>
  <c r="R178" i="3"/>
  <c r="Q178" i="3"/>
  <c r="P178" i="3"/>
  <c r="M178" i="3"/>
  <c r="L178" i="3"/>
  <c r="K178" i="3"/>
  <c r="AD177" i="3"/>
  <c r="AC177" i="3"/>
  <c r="AB177" i="3"/>
  <c r="AA177" i="3"/>
  <c r="Z177" i="3"/>
  <c r="Y177" i="3"/>
  <c r="X177" i="3"/>
  <c r="V177" i="3"/>
  <c r="U177" i="3"/>
  <c r="T177" i="3"/>
  <c r="S177" i="3"/>
  <c r="R177" i="3"/>
  <c r="Q177" i="3"/>
  <c r="P177" i="3"/>
  <c r="M177" i="3"/>
  <c r="L177" i="3"/>
  <c r="K177" i="3"/>
  <c r="AD176" i="3"/>
  <c r="AC176" i="3"/>
  <c r="AB176" i="3"/>
  <c r="AA176" i="3"/>
  <c r="Z176" i="3"/>
  <c r="Y176" i="3"/>
  <c r="X176" i="3"/>
  <c r="V176" i="3"/>
  <c r="U176" i="3"/>
  <c r="T176" i="3"/>
  <c r="S176" i="3"/>
  <c r="R176" i="3"/>
  <c r="Q176" i="3"/>
  <c r="P176" i="3"/>
  <c r="M176" i="3"/>
  <c r="L176" i="3"/>
  <c r="K176" i="3"/>
  <c r="AD175" i="3"/>
  <c r="AC175" i="3"/>
  <c r="AB175" i="3"/>
  <c r="AA175" i="3"/>
  <c r="Z175" i="3"/>
  <c r="Y175" i="3"/>
  <c r="X175" i="3"/>
  <c r="V175" i="3"/>
  <c r="U175" i="3"/>
  <c r="T175" i="3"/>
  <c r="S175" i="3"/>
  <c r="R175" i="3"/>
  <c r="Q175" i="3"/>
  <c r="P175" i="3"/>
  <c r="M175" i="3"/>
  <c r="L175" i="3"/>
  <c r="K175" i="3"/>
  <c r="AD174" i="3"/>
  <c r="AC174" i="3"/>
  <c r="AB174" i="3"/>
  <c r="AA174" i="3"/>
  <c r="Z174" i="3"/>
  <c r="Y174" i="3"/>
  <c r="X174" i="3"/>
  <c r="V174" i="3"/>
  <c r="U174" i="3"/>
  <c r="T174" i="3"/>
  <c r="S174" i="3"/>
  <c r="R174" i="3"/>
  <c r="Q174" i="3"/>
  <c r="P174" i="3"/>
  <c r="M174" i="3"/>
  <c r="L174" i="3"/>
  <c r="K174" i="3"/>
  <c r="AD173" i="3"/>
  <c r="AC173" i="3"/>
  <c r="AB173" i="3"/>
  <c r="AA173" i="3"/>
  <c r="Z173" i="3"/>
  <c r="Y173" i="3"/>
  <c r="X173" i="3"/>
  <c r="V173" i="3"/>
  <c r="U173" i="3"/>
  <c r="T173" i="3"/>
  <c r="S173" i="3"/>
  <c r="R173" i="3"/>
  <c r="Q173" i="3"/>
  <c r="P173" i="3"/>
  <c r="M173" i="3"/>
  <c r="L173" i="3"/>
  <c r="K173" i="3"/>
  <c r="AD172" i="3"/>
  <c r="AC172" i="3"/>
  <c r="AB172" i="3"/>
  <c r="AA172" i="3"/>
  <c r="Z172" i="3"/>
  <c r="Y172" i="3"/>
  <c r="X172" i="3"/>
  <c r="V172" i="3"/>
  <c r="U172" i="3"/>
  <c r="T172" i="3"/>
  <c r="S172" i="3"/>
  <c r="R172" i="3"/>
  <c r="Q172" i="3"/>
  <c r="P172" i="3"/>
  <c r="M172" i="3"/>
  <c r="L172" i="3"/>
  <c r="K172" i="3"/>
  <c r="AD171" i="3"/>
  <c r="AC171" i="3"/>
  <c r="AB171" i="3"/>
  <c r="AA171" i="3"/>
  <c r="Z171" i="3"/>
  <c r="Y171" i="3"/>
  <c r="X171" i="3"/>
  <c r="V171" i="3"/>
  <c r="U171" i="3"/>
  <c r="T171" i="3"/>
  <c r="S171" i="3"/>
  <c r="R171" i="3"/>
  <c r="Q171" i="3"/>
  <c r="P171" i="3"/>
  <c r="M171" i="3"/>
  <c r="L171" i="3"/>
  <c r="K171" i="3"/>
  <c r="AD170" i="3"/>
  <c r="AC170" i="3"/>
  <c r="AB170" i="3"/>
  <c r="AA170" i="3"/>
  <c r="Z170" i="3"/>
  <c r="Y170" i="3"/>
  <c r="X170" i="3"/>
  <c r="V170" i="3"/>
  <c r="U170" i="3"/>
  <c r="T170" i="3"/>
  <c r="S170" i="3"/>
  <c r="R170" i="3"/>
  <c r="Q170" i="3"/>
  <c r="P170" i="3"/>
  <c r="M170" i="3"/>
  <c r="L170" i="3"/>
  <c r="K170" i="3"/>
  <c r="AD169" i="3"/>
  <c r="AC169" i="3"/>
  <c r="AB169" i="3"/>
  <c r="AA169" i="3"/>
  <c r="Z169" i="3"/>
  <c r="Y169" i="3"/>
  <c r="X169" i="3"/>
  <c r="V169" i="3"/>
  <c r="U169" i="3"/>
  <c r="T169" i="3"/>
  <c r="S169" i="3"/>
  <c r="R169" i="3"/>
  <c r="Q169" i="3"/>
  <c r="P169" i="3"/>
  <c r="M169" i="3"/>
  <c r="L169" i="3"/>
  <c r="K169" i="3"/>
  <c r="AD168" i="3"/>
  <c r="AC168" i="3"/>
  <c r="AB168" i="3"/>
  <c r="AA168" i="3"/>
  <c r="Z168" i="3"/>
  <c r="Y168" i="3"/>
  <c r="X168" i="3"/>
  <c r="V168" i="3"/>
  <c r="U168" i="3"/>
  <c r="T168" i="3"/>
  <c r="S168" i="3"/>
  <c r="R168" i="3"/>
  <c r="Q168" i="3"/>
  <c r="P168" i="3"/>
  <c r="M168" i="3"/>
  <c r="L168" i="3"/>
  <c r="K168" i="3"/>
  <c r="AD167" i="3"/>
  <c r="AC167" i="3"/>
  <c r="AB167" i="3"/>
  <c r="AA167" i="3"/>
  <c r="Z167" i="3"/>
  <c r="Y167" i="3"/>
  <c r="X167" i="3"/>
  <c r="V167" i="3"/>
  <c r="U167" i="3"/>
  <c r="T167" i="3"/>
  <c r="S167" i="3"/>
  <c r="R167" i="3"/>
  <c r="Q167" i="3"/>
  <c r="P167" i="3"/>
  <c r="M167" i="3"/>
  <c r="L167" i="3"/>
  <c r="K167" i="3"/>
  <c r="AD166" i="3"/>
  <c r="AC166" i="3"/>
  <c r="AB166" i="3"/>
  <c r="AA166" i="3"/>
  <c r="Z166" i="3"/>
  <c r="Y166" i="3"/>
  <c r="X166" i="3"/>
  <c r="V166" i="3"/>
  <c r="U166" i="3"/>
  <c r="T166" i="3"/>
  <c r="S166" i="3"/>
  <c r="R166" i="3"/>
  <c r="Q166" i="3"/>
  <c r="P166" i="3"/>
  <c r="M166" i="3"/>
  <c r="L166" i="3"/>
  <c r="K166" i="3"/>
  <c r="AD165" i="3"/>
  <c r="AC165" i="3"/>
  <c r="AB165" i="3"/>
  <c r="AA165" i="3"/>
  <c r="Z165" i="3"/>
  <c r="Y165" i="3"/>
  <c r="X165" i="3"/>
  <c r="V165" i="3"/>
  <c r="U165" i="3"/>
  <c r="T165" i="3"/>
  <c r="S165" i="3"/>
  <c r="R165" i="3"/>
  <c r="Q165" i="3"/>
  <c r="P165" i="3"/>
  <c r="M165" i="3"/>
  <c r="L165" i="3"/>
  <c r="K165" i="3"/>
  <c r="AD164" i="3"/>
  <c r="AC164" i="3"/>
  <c r="AB164" i="3"/>
  <c r="N164" i="3" s="1"/>
  <c r="AA164" i="3"/>
  <c r="Z164" i="3"/>
  <c r="Y164" i="3"/>
  <c r="X164" i="3"/>
  <c r="V164" i="3"/>
  <c r="U164" i="3"/>
  <c r="T164" i="3"/>
  <c r="S164" i="3"/>
  <c r="R164" i="3"/>
  <c r="Q164" i="3"/>
  <c r="P164" i="3"/>
  <c r="M164" i="3"/>
  <c r="L164" i="3"/>
  <c r="K164" i="3"/>
  <c r="AD163" i="3"/>
  <c r="AC163" i="3"/>
  <c r="AB163" i="3"/>
  <c r="AA163" i="3"/>
  <c r="Z163" i="3"/>
  <c r="Y163" i="3"/>
  <c r="X163" i="3"/>
  <c r="V163" i="3"/>
  <c r="U163" i="3"/>
  <c r="T163" i="3"/>
  <c r="S163" i="3"/>
  <c r="R163" i="3"/>
  <c r="Q163" i="3"/>
  <c r="P163" i="3"/>
  <c r="M163" i="3"/>
  <c r="L163" i="3"/>
  <c r="K163" i="3"/>
  <c r="AD162" i="3"/>
  <c r="AC162" i="3"/>
  <c r="AB162" i="3"/>
  <c r="AA162" i="3"/>
  <c r="Z162" i="3"/>
  <c r="Y162" i="3"/>
  <c r="X162" i="3"/>
  <c r="V162" i="3"/>
  <c r="U162" i="3"/>
  <c r="T162" i="3"/>
  <c r="S162" i="3"/>
  <c r="R162" i="3"/>
  <c r="Q162" i="3"/>
  <c r="P162" i="3"/>
  <c r="M162" i="3"/>
  <c r="L162" i="3"/>
  <c r="K162" i="3"/>
  <c r="AD161" i="3"/>
  <c r="AC161" i="3"/>
  <c r="AB161" i="3"/>
  <c r="AA161" i="3"/>
  <c r="Z161" i="3"/>
  <c r="Y161" i="3"/>
  <c r="X161" i="3"/>
  <c r="V161" i="3"/>
  <c r="U161" i="3"/>
  <c r="T161" i="3"/>
  <c r="S161" i="3"/>
  <c r="R161" i="3"/>
  <c r="Q161" i="3"/>
  <c r="P161" i="3"/>
  <c r="M161" i="3"/>
  <c r="L161" i="3"/>
  <c r="K161" i="3"/>
  <c r="AD160" i="3"/>
  <c r="AC160" i="3"/>
  <c r="AB160" i="3"/>
  <c r="AA160" i="3"/>
  <c r="Z160" i="3"/>
  <c r="Y160" i="3"/>
  <c r="X160" i="3"/>
  <c r="V160" i="3"/>
  <c r="U160" i="3"/>
  <c r="T160" i="3"/>
  <c r="S160" i="3"/>
  <c r="R160" i="3"/>
  <c r="Q160" i="3"/>
  <c r="P160" i="3"/>
  <c r="M160" i="3"/>
  <c r="L160" i="3"/>
  <c r="K160" i="3"/>
  <c r="AD159" i="3"/>
  <c r="AC159" i="3"/>
  <c r="AB159" i="3"/>
  <c r="AA159" i="3"/>
  <c r="Z159" i="3"/>
  <c r="Y159" i="3"/>
  <c r="X159" i="3"/>
  <c r="V159" i="3"/>
  <c r="U159" i="3"/>
  <c r="T159" i="3"/>
  <c r="S159" i="3"/>
  <c r="R159" i="3"/>
  <c r="Q159" i="3"/>
  <c r="P159" i="3"/>
  <c r="M159" i="3"/>
  <c r="L159" i="3"/>
  <c r="K159" i="3"/>
  <c r="AD158" i="3"/>
  <c r="AC158" i="3"/>
  <c r="AB158" i="3"/>
  <c r="AA158" i="3"/>
  <c r="Z158" i="3"/>
  <c r="Y158" i="3"/>
  <c r="X158" i="3"/>
  <c r="V158" i="3"/>
  <c r="U158" i="3"/>
  <c r="T158" i="3"/>
  <c r="S158" i="3"/>
  <c r="R158" i="3"/>
  <c r="Q158" i="3"/>
  <c r="P158" i="3"/>
  <c r="M158" i="3"/>
  <c r="L158" i="3"/>
  <c r="K158" i="3"/>
  <c r="AD157" i="3"/>
  <c r="AC157" i="3"/>
  <c r="AB157" i="3"/>
  <c r="AA157" i="3"/>
  <c r="Z157" i="3"/>
  <c r="Y157" i="3"/>
  <c r="X157" i="3"/>
  <c r="V157" i="3"/>
  <c r="U157" i="3"/>
  <c r="T157" i="3"/>
  <c r="S157" i="3"/>
  <c r="R157" i="3"/>
  <c r="Q157" i="3"/>
  <c r="P157" i="3"/>
  <c r="M157" i="3"/>
  <c r="L157" i="3"/>
  <c r="K157" i="3"/>
  <c r="AD156" i="3"/>
  <c r="AC156" i="3"/>
  <c r="AB156" i="3"/>
  <c r="AA156" i="3"/>
  <c r="Z156" i="3"/>
  <c r="Y156" i="3"/>
  <c r="X156" i="3"/>
  <c r="V156" i="3"/>
  <c r="U156" i="3"/>
  <c r="T156" i="3"/>
  <c r="S156" i="3"/>
  <c r="R156" i="3"/>
  <c r="Q156" i="3"/>
  <c r="P156" i="3"/>
  <c r="M156" i="3"/>
  <c r="L156" i="3"/>
  <c r="K156" i="3"/>
  <c r="AD155" i="3"/>
  <c r="AC155" i="3"/>
  <c r="AB155" i="3"/>
  <c r="AA155" i="3"/>
  <c r="Z155" i="3"/>
  <c r="Y155" i="3"/>
  <c r="X155" i="3"/>
  <c r="V155" i="3"/>
  <c r="U155" i="3"/>
  <c r="T155" i="3"/>
  <c r="S155" i="3"/>
  <c r="R155" i="3"/>
  <c r="Q155" i="3"/>
  <c r="P155" i="3"/>
  <c r="M155" i="3"/>
  <c r="L155" i="3"/>
  <c r="K155" i="3"/>
  <c r="AD154" i="3"/>
  <c r="AC154" i="3"/>
  <c r="AB154" i="3"/>
  <c r="AA154" i="3"/>
  <c r="Z154" i="3"/>
  <c r="Y154" i="3"/>
  <c r="X154" i="3"/>
  <c r="V154" i="3"/>
  <c r="U154" i="3"/>
  <c r="T154" i="3"/>
  <c r="S154" i="3"/>
  <c r="R154" i="3"/>
  <c r="Q154" i="3"/>
  <c r="P154" i="3"/>
  <c r="M154" i="3"/>
  <c r="L154" i="3"/>
  <c r="K154" i="3"/>
  <c r="AD153" i="3"/>
  <c r="AC153" i="3"/>
  <c r="AB153" i="3"/>
  <c r="AA153" i="3"/>
  <c r="Z153" i="3"/>
  <c r="Y153" i="3"/>
  <c r="X153" i="3"/>
  <c r="V153" i="3"/>
  <c r="U153" i="3"/>
  <c r="T153" i="3"/>
  <c r="S153" i="3"/>
  <c r="R153" i="3"/>
  <c r="Q153" i="3"/>
  <c r="P153" i="3"/>
  <c r="M153" i="3"/>
  <c r="L153" i="3"/>
  <c r="K153" i="3"/>
  <c r="AD152" i="3"/>
  <c r="AC152" i="3"/>
  <c r="AB152" i="3"/>
  <c r="AA152" i="3"/>
  <c r="Z152" i="3"/>
  <c r="Y152" i="3"/>
  <c r="X152" i="3"/>
  <c r="V152" i="3"/>
  <c r="U152" i="3"/>
  <c r="T152" i="3"/>
  <c r="S152" i="3"/>
  <c r="R152" i="3"/>
  <c r="Q152" i="3"/>
  <c r="P152" i="3"/>
  <c r="M152" i="3"/>
  <c r="L152" i="3"/>
  <c r="K152" i="3"/>
  <c r="AD151" i="3"/>
  <c r="AC151" i="3"/>
  <c r="AB151" i="3"/>
  <c r="AA151" i="3"/>
  <c r="Z151" i="3"/>
  <c r="Y151" i="3"/>
  <c r="X151" i="3"/>
  <c r="V151" i="3"/>
  <c r="U151" i="3"/>
  <c r="T151" i="3"/>
  <c r="S151" i="3"/>
  <c r="R151" i="3"/>
  <c r="Q151" i="3"/>
  <c r="P151" i="3"/>
  <c r="M151" i="3"/>
  <c r="L151" i="3"/>
  <c r="K151" i="3"/>
  <c r="AD150" i="3"/>
  <c r="AC150" i="3"/>
  <c r="AB150" i="3"/>
  <c r="AA150" i="3"/>
  <c r="Z150" i="3"/>
  <c r="Y150" i="3"/>
  <c r="X150" i="3"/>
  <c r="V150" i="3"/>
  <c r="U150" i="3"/>
  <c r="T150" i="3"/>
  <c r="S150" i="3"/>
  <c r="R150" i="3"/>
  <c r="Q150" i="3"/>
  <c r="P150" i="3"/>
  <c r="M150" i="3"/>
  <c r="L150" i="3"/>
  <c r="K150" i="3"/>
  <c r="AD149" i="3"/>
  <c r="AC149" i="3"/>
  <c r="AB149" i="3"/>
  <c r="AA149" i="3"/>
  <c r="Z149" i="3"/>
  <c r="Y149" i="3"/>
  <c r="X149" i="3"/>
  <c r="V149" i="3"/>
  <c r="U149" i="3"/>
  <c r="T149" i="3"/>
  <c r="S149" i="3"/>
  <c r="R149" i="3"/>
  <c r="Q149" i="3"/>
  <c r="P149" i="3"/>
  <c r="M149" i="3"/>
  <c r="L149" i="3"/>
  <c r="K149" i="3"/>
  <c r="AD148" i="3"/>
  <c r="AC148" i="3"/>
  <c r="AB148" i="3"/>
  <c r="AA148" i="3"/>
  <c r="Z148" i="3"/>
  <c r="Y148" i="3"/>
  <c r="X148" i="3"/>
  <c r="V148" i="3"/>
  <c r="U148" i="3"/>
  <c r="T148" i="3"/>
  <c r="S148" i="3"/>
  <c r="R148" i="3"/>
  <c r="Q148" i="3"/>
  <c r="P148" i="3"/>
  <c r="M148" i="3"/>
  <c r="L148" i="3"/>
  <c r="K148" i="3"/>
  <c r="AD147" i="3"/>
  <c r="AC147" i="3"/>
  <c r="AB147" i="3"/>
  <c r="AA147" i="3"/>
  <c r="Z147" i="3"/>
  <c r="Y147" i="3"/>
  <c r="X147" i="3"/>
  <c r="V147" i="3"/>
  <c r="U147" i="3"/>
  <c r="T147" i="3"/>
  <c r="S147" i="3"/>
  <c r="R147" i="3"/>
  <c r="Q147" i="3"/>
  <c r="P147" i="3"/>
  <c r="M147" i="3"/>
  <c r="L147" i="3"/>
  <c r="K147" i="3"/>
  <c r="AD146" i="3"/>
  <c r="AC146" i="3"/>
  <c r="AB146" i="3"/>
  <c r="AA146" i="3"/>
  <c r="Z146" i="3"/>
  <c r="Y146" i="3"/>
  <c r="X146" i="3"/>
  <c r="V146" i="3"/>
  <c r="U146" i="3"/>
  <c r="T146" i="3"/>
  <c r="S146" i="3"/>
  <c r="R146" i="3"/>
  <c r="Q146" i="3"/>
  <c r="P146" i="3"/>
  <c r="M146" i="3"/>
  <c r="L146" i="3"/>
  <c r="K146" i="3"/>
  <c r="AD145" i="3"/>
  <c r="AC145" i="3"/>
  <c r="AB145" i="3"/>
  <c r="AA145" i="3"/>
  <c r="Z145" i="3"/>
  <c r="Y145" i="3"/>
  <c r="X145" i="3"/>
  <c r="V145" i="3"/>
  <c r="U145" i="3"/>
  <c r="T145" i="3"/>
  <c r="S145" i="3"/>
  <c r="R145" i="3"/>
  <c r="Q145" i="3"/>
  <c r="P145" i="3"/>
  <c r="M145" i="3"/>
  <c r="L145" i="3"/>
  <c r="K145" i="3"/>
  <c r="AD144" i="3"/>
  <c r="AC144" i="3"/>
  <c r="AB144" i="3"/>
  <c r="AA144" i="3"/>
  <c r="Z144" i="3"/>
  <c r="Y144" i="3"/>
  <c r="X144" i="3"/>
  <c r="V144" i="3"/>
  <c r="U144" i="3"/>
  <c r="T144" i="3"/>
  <c r="S144" i="3"/>
  <c r="R144" i="3"/>
  <c r="Q144" i="3"/>
  <c r="P144" i="3"/>
  <c r="M144" i="3"/>
  <c r="L144" i="3"/>
  <c r="K144" i="3"/>
  <c r="AD143" i="3"/>
  <c r="AC143" i="3"/>
  <c r="AB143" i="3"/>
  <c r="AA143" i="3"/>
  <c r="Z143" i="3"/>
  <c r="Y143" i="3"/>
  <c r="X143" i="3"/>
  <c r="V143" i="3"/>
  <c r="U143" i="3"/>
  <c r="T143" i="3"/>
  <c r="S143" i="3"/>
  <c r="R143" i="3"/>
  <c r="Q143" i="3"/>
  <c r="P143" i="3"/>
  <c r="M143" i="3"/>
  <c r="L143" i="3"/>
  <c r="K143" i="3"/>
  <c r="AD142" i="3"/>
  <c r="AC142" i="3"/>
  <c r="AB142" i="3"/>
  <c r="AA142" i="3"/>
  <c r="Z142" i="3"/>
  <c r="Y142" i="3"/>
  <c r="X142" i="3"/>
  <c r="V142" i="3"/>
  <c r="U142" i="3"/>
  <c r="T142" i="3"/>
  <c r="S142" i="3"/>
  <c r="R142" i="3"/>
  <c r="Q142" i="3"/>
  <c r="P142" i="3"/>
  <c r="M142" i="3"/>
  <c r="L142" i="3"/>
  <c r="K142" i="3"/>
  <c r="AD141" i="3"/>
  <c r="AC141" i="3"/>
  <c r="AB141" i="3"/>
  <c r="AA141" i="3"/>
  <c r="Z141" i="3"/>
  <c r="Y141" i="3"/>
  <c r="X141" i="3"/>
  <c r="V141" i="3"/>
  <c r="U141" i="3"/>
  <c r="T141" i="3"/>
  <c r="S141" i="3"/>
  <c r="R141" i="3"/>
  <c r="Q141" i="3"/>
  <c r="P141" i="3"/>
  <c r="M141" i="3"/>
  <c r="L141" i="3"/>
  <c r="K141" i="3"/>
  <c r="AD140" i="3"/>
  <c r="AC140" i="3"/>
  <c r="AB140" i="3"/>
  <c r="AA140" i="3"/>
  <c r="Z140" i="3"/>
  <c r="Y140" i="3"/>
  <c r="X140" i="3"/>
  <c r="V140" i="3"/>
  <c r="U140" i="3"/>
  <c r="T140" i="3"/>
  <c r="S140" i="3"/>
  <c r="R140" i="3"/>
  <c r="Q140" i="3"/>
  <c r="P140" i="3"/>
  <c r="M140" i="3"/>
  <c r="L140" i="3"/>
  <c r="K140" i="3"/>
  <c r="AD139" i="3"/>
  <c r="AC139" i="3"/>
  <c r="AB139" i="3"/>
  <c r="AA139" i="3"/>
  <c r="Z139" i="3"/>
  <c r="Y139" i="3"/>
  <c r="X139" i="3"/>
  <c r="V139" i="3"/>
  <c r="U139" i="3"/>
  <c r="T139" i="3"/>
  <c r="S139" i="3"/>
  <c r="R139" i="3"/>
  <c r="Q139" i="3"/>
  <c r="P139" i="3"/>
  <c r="M139" i="3"/>
  <c r="L139" i="3"/>
  <c r="K139" i="3"/>
  <c r="AD138" i="3"/>
  <c r="AC138" i="3"/>
  <c r="AB138" i="3"/>
  <c r="AA138" i="3"/>
  <c r="Z138" i="3"/>
  <c r="Y138" i="3"/>
  <c r="X138" i="3"/>
  <c r="V138" i="3"/>
  <c r="U138" i="3"/>
  <c r="T138" i="3"/>
  <c r="S138" i="3"/>
  <c r="R138" i="3"/>
  <c r="Q138" i="3"/>
  <c r="P138" i="3"/>
  <c r="M138" i="3"/>
  <c r="L138" i="3"/>
  <c r="K138" i="3"/>
  <c r="AD137" i="3"/>
  <c r="AC137" i="3"/>
  <c r="AB137" i="3"/>
  <c r="AA137" i="3"/>
  <c r="Z137" i="3"/>
  <c r="Y137" i="3"/>
  <c r="X137" i="3"/>
  <c r="V137" i="3"/>
  <c r="U137" i="3"/>
  <c r="T137" i="3"/>
  <c r="S137" i="3"/>
  <c r="R137" i="3"/>
  <c r="Q137" i="3"/>
  <c r="P137" i="3"/>
  <c r="M137" i="3"/>
  <c r="L137" i="3"/>
  <c r="K137" i="3"/>
  <c r="AD136" i="3"/>
  <c r="AC136" i="3"/>
  <c r="AB136" i="3"/>
  <c r="AA136" i="3"/>
  <c r="Z136" i="3"/>
  <c r="Y136" i="3"/>
  <c r="X136" i="3"/>
  <c r="V136" i="3"/>
  <c r="U136" i="3"/>
  <c r="T136" i="3"/>
  <c r="S136" i="3"/>
  <c r="R136" i="3"/>
  <c r="Q136" i="3"/>
  <c r="P136" i="3"/>
  <c r="M136" i="3"/>
  <c r="L136" i="3"/>
  <c r="K136" i="3"/>
  <c r="AD135" i="3"/>
  <c r="AC135" i="3"/>
  <c r="AB135" i="3"/>
  <c r="AA135" i="3"/>
  <c r="Z135" i="3"/>
  <c r="Y135" i="3"/>
  <c r="X135" i="3"/>
  <c r="V135" i="3"/>
  <c r="U135" i="3"/>
  <c r="T135" i="3"/>
  <c r="S135" i="3"/>
  <c r="R135" i="3"/>
  <c r="Q135" i="3"/>
  <c r="P135" i="3"/>
  <c r="M135" i="3"/>
  <c r="L135" i="3"/>
  <c r="K135" i="3"/>
  <c r="AD134" i="3"/>
  <c r="AC134" i="3"/>
  <c r="AB134" i="3"/>
  <c r="AA134" i="3"/>
  <c r="Z134" i="3"/>
  <c r="Y134" i="3"/>
  <c r="X134" i="3"/>
  <c r="V134" i="3"/>
  <c r="U134" i="3"/>
  <c r="T134" i="3"/>
  <c r="S134" i="3"/>
  <c r="R134" i="3"/>
  <c r="Q134" i="3"/>
  <c r="P134" i="3"/>
  <c r="M134" i="3"/>
  <c r="L134" i="3"/>
  <c r="K134" i="3"/>
  <c r="AD133" i="3"/>
  <c r="AC133" i="3"/>
  <c r="AB133" i="3"/>
  <c r="AA133" i="3"/>
  <c r="Z133" i="3"/>
  <c r="Y133" i="3"/>
  <c r="X133" i="3"/>
  <c r="V133" i="3"/>
  <c r="U133" i="3"/>
  <c r="T133" i="3"/>
  <c r="S133" i="3"/>
  <c r="R133" i="3"/>
  <c r="Q133" i="3"/>
  <c r="P133" i="3"/>
  <c r="M133" i="3"/>
  <c r="L133" i="3"/>
  <c r="K133" i="3"/>
  <c r="AD132" i="3"/>
  <c r="AC132" i="3"/>
  <c r="AB132" i="3"/>
  <c r="AA132" i="3"/>
  <c r="Z132" i="3"/>
  <c r="Y132" i="3"/>
  <c r="X132" i="3"/>
  <c r="V132" i="3"/>
  <c r="U132" i="3"/>
  <c r="T132" i="3"/>
  <c r="S132" i="3"/>
  <c r="R132" i="3"/>
  <c r="Q132" i="3"/>
  <c r="P132" i="3"/>
  <c r="M132" i="3"/>
  <c r="L132" i="3"/>
  <c r="K132" i="3"/>
  <c r="AD131" i="3"/>
  <c r="AC131" i="3"/>
  <c r="AB131" i="3"/>
  <c r="AA131" i="3"/>
  <c r="Z131" i="3"/>
  <c r="Y131" i="3"/>
  <c r="X131" i="3"/>
  <c r="V131" i="3"/>
  <c r="U131" i="3"/>
  <c r="T131" i="3"/>
  <c r="S131" i="3"/>
  <c r="R131" i="3"/>
  <c r="Q131" i="3"/>
  <c r="P131" i="3"/>
  <c r="M131" i="3"/>
  <c r="L131" i="3"/>
  <c r="K131" i="3"/>
  <c r="AD130" i="3"/>
  <c r="AC130" i="3"/>
  <c r="AB130" i="3"/>
  <c r="AA130" i="3"/>
  <c r="Z130" i="3"/>
  <c r="Y130" i="3"/>
  <c r="X130" i="3"/>
  <c r="V130" i="3"/>
  <c r="U130" i="3"/>
  <c r="T130" i="3"/>
  <c r="S130" i="3"/>
  <c r="R130" i="3"/>
  <c r="Q130" i="3"/>
  <c r="P130" i="3"/>
  <c r="M130" i="3"/>
  <c r="L130" i="3"/>
  <c r="K130" i="3"/>
  <c r="AD129" i="3"/>
  <c r="AC129" i="3"/>
  <c r="AB129" i="3"/>
  <c r="AA129" i="3"/>
  <c r="Z129" i="3"/>
  <c r="Y129" i="3"/>
  <c r="X129" i="3"/>
  <c r="V129" i="3"/>
  <c r="U129" i="3"/>
  <c r="T129" i="3"/>
  <c r="S129" i="3"/>
  <c r="R129" i="3"/>
  <c r="Q129" i="3"/>
  <c r="P129" i="3"/>
  <c r="M129" i="3"/>
  <c r="L129" i="3"/>
  <c r="K129" i="3"/>
  <c r="AD128" i="3"/>
  <c r="AC128" i="3"/>
  <c r="AB128" i="3"/>
  <c r="AA128" i="3"/>
  <c r="Z128" i="3"/>
  <c r="Y128" i="3"/>
  <c r="X128" i="3"/>
  <c r="V128" i="3"/>
  <c r="U128" i="3"/>
  <c r="T128" i="3"/>
  <c r="S128" i="3"/>
  <c r="R128" i="3"/>
  <c r="Q128" i="3"/>
  <c r="P128" i="3"/>
  <c r="M128" i="3"/>
  <c r="L128" i="3"/>
  <c r="K128" i="3"/>
  <c r="AD127" i="3"/>
  <c r="AC127" i="3"/>
  <c r="AB127" i="3"/>
  <c r="AA127" i="3"/>
  <c r="Z127" i="3"/>
  <c r="Y127" i="3"/>
  <c r="X127" i="3"/>
  <c r="V127" i="3"/>
  <c r="U127" i="3"/>
  <c r="T127" i="3"/>
  <c r="S127" i="3"/>
  <c r="R127" i="3"/>
  <c r="Q127" i="3"/>
  <c r="P127" i="3"/>
  <c r="M127" i="3"/>
  <c r="L127" i="3"/>
  <c r="K127" i="3"/>
  <c r="AD126" i="3"/>
  <c r="AC126" i="3"/>
  <c r="AB126" i="3"/>
  <c r="AA126" i="3"/>
  <c r="Z126" i="3"/>
  <c r="Y126" i="3"/>
  <c r="X126" i="3"/>
  <c r="V126" i="3"/>
  <c r="U126" i="3"/>
  <c r="T126" i="3"/>
  <c r="S126" i="3"/>
  <c r="R126" i="3"/>
  <c r="Q126" i="3"/>
  <c r="P126" i="3"/>
  <c r="M126" i="3"/>
  <c r="L126" i="3"/>
  <c r="K126" i="3"/>
  <c r="AD125" i="3"/>
  <c r="AC125" i="3"/>
  <c r="AB125" i="3"/>
  <c r="AA125" i="3"/>
  <c r="Z125" i="3"/>
  <c r="Y125" i="3"/>
  <c r="X125" i="3"/>
  <c r="V125" i="3"/>
  <c r="U125" i="3"/>
  <c r="T125" i="3"/>
  <c r="S125" i="3"/>
  <c r="R125" i="3"/>
  <c r="Q125" i="3"/>
  <c r="P125" i="3"/>
  <c r="M125" i="3"/>
  <c r="L125" i="3"/>
  <c r="K125" i="3"/>
  <c r="AD124" i="3"/>
  <c r="AC124" i="3"/>
  <c r="AB124" i="3"/>
  <c r="AA124" i="3"/>
  <c r="Z124" i="3"/>
  <c r="Y124" i="3"/>
  <c r="X124" i="3"/>
  <c r="V124" i="3"/>
  <c r="U124" i="3"/>
  <c r="T124" i="3"/>
  <c r="S124" i="3"/>
  <c r="R124" i="3"/>
  <c r="Q124" i="3"/>
  <c r="P124" i="3"/>
  <c r="M124" i="3"/>
  <c r="L124" i="3"/>
  <c r="K124" i="3"/>
  <c r="AD123" i="3"/>
  <c r="AC123" i="3"/>
  <c r="AB123" i="3"/>
  <c r="AA123" i="3"/>
  <c r="Z123" i="3"/>
  <c r="Y123" i="3"/>
  <c r="X123" i="3"/>
  <c r="V123" i="3"/>
  <c r="U123" i="3"/>
  <c r="T123" i="3"/>
  <c r="S123" i="3"/>
  <c r="R123" i="3"/>
  <c r="Q123" i="3"/>
  <c r="P123" i="3"/>
  <c r="M123" i="3"/>
  <c r="L123" i="3"/>
  <c r="K123" i="3"/>
  <c r="AD122" i="3"/>
  <c r="AC122" i="3"/>
  <c r="AB122" i="3"/>
  <c r="AA122" i="3"/>
  <c r="Z122" i="3"/>
  <c r="Y122" i="3"/>
  <c r="X122" i="3"/>
  <c r="V122" i="3"/>
  <c r="U122" i="3"/>
  <c r="T122" i="3"/>
  <c r="S122" i="3"/>
  <c r="R122" i="3"/>
  <c r="Q122" i="3"/>
  <c r="P122" i="3"/>
  <c r="M122" i="3"/>
  <c r="L122" i="3"/>
  <c r="K122" i="3"/>
  <c r="AD121" i="3"/>
  <c r="AC121" i="3"/>
  <c r="AB121" i="3"/>
  <c r="AA121" i="3"/>
  <c r="Z121" i="3"/>
  <c r="Y121" i="3"/>
  <c r="X121" i="3"/>
  <c r="V121" i="3"/>
  <c r="U121" i="3"/>
  <c r="T121" i="3"/>
  <c r="S121" i="3"/>
  <c r="R121" i="3"/>
  <c r="Q121" i="3"/>
  <c r="P121" i="3"/>
  <c r="M121" i="3"/>
  <c r="L121" i="3"/>
  <c r="K121" i="3"/>
  <c r="AD120" i="3"/>
  <c r="AC120" i="3"/>
  <c r="AB120" i="3"/>
  <c r="AA120" i="3"/>
  <c r="Z120" i="3"/>
  <c r="Y120" i="3"/>
  <c r="X120" i="3"/>
  <c r="V120" i="3"/>
  <c r="U120" i="3"/>
  <c r="T120" i="3"/>
  <c r="S120" i="3"/>
  <c r="R120" i="3"/>
  <c r="Q120" i="3"/>
  <c r="P120" i="3"/>
  <c r="M120" i="3"/>
  <c r="L120" i="3"/>
  <c r="K120" i="3"/>
  <c r="AD119" i="3"/>
  <c r="AC119" i="3"/>
  <c r="AB119" i="3"/>
  <c r="AA119" i="3"/>
  <c r="Z119" i="3"/>
  <c r="Y119" i="3"/>
  <c r="X119" i="3"/>
  <c r="V119" i="3"/>
  <c r="U119" i="3"/>
  <c r="T119" i="3"/>
  <c r="S119" i="3"/>
  <c r="R119" i="3"/>
  <c r="Q119" i="3"/>
  <c r="P119" i="3"/>
  <c r="M119" i="3"/>
  <c r="L119" i="3"/>
  <c r="K119" i="3"/>
  <c r="AD118" i="3"/>
  <c r="AC118" i="3"/>
  <c r="AB118" i="3"/>
  <c r="AA118" i="3"/>
  <c r="Z118" i="3"/>
  <c r="Y118" i="3"/>
  <c r="X118" i="3"/>
  <c r="V118" i="3"/>
  <c r="U118" i="3"/>
  <c r="T118" i="3"/>
  <c r="S118" i="3"/>
  <c r="R118" i="3"/>
  <c r="Q118" i="3"/>
  <c r="P118" i="3"/>
  <c r="M118" i="3"/>
  <c r="L118" i="3"/>
  <c r="K118" i="3"/>
  <c r="AD117" i="3"/>
  <c r="AC117" i="3"/>
  <c r="AB117" i="3"/>
  <c r="AA117" i="3"/>
  <c r="Z117" i="3"/>
  <c r="Y117" i="3"/>
  <c r="X117" i="3"/>
  <c r="V117" i="3"/>
  <c r="U117" i="3"/>
  <c r="T117" i="3"/>
  <c r="S117" i="3"/>
  <c r="R117" i="3"/>
  <c r="Q117" i="3"/>
  <c r="P117" i="3"/>
  <c r="M117" i="3"/>
  <c r="L117" i="3"/>
  <c r="K117" i="3"/>
  <c r="AD116" i="3"/>
  <c r="AC116" i="3"/>
  <c r="AB116" i="3"/>
  <c r="AA116" i="3"/>
  <c r="Z116" i="3"/>
  <c r="Y116" i="3"/>
  <c r="X116" i="3"/>
  <c r="V116" i="3"/>
  <c r="U116" i="3"/>
  <c r="T116" i="3"/>
  <c r="S116" i="3"/>
  <c r="R116" i="3"/>
  <c r="Q116" i="3"/>
  <c r="P116" i="3"/>
  <c r="M116" i="3"/>
  <c r="L116" i="3"/>
  <c r="K116" i="3"/>
  <c r="AD115" i="3"/>
  <c r="AC115" i="3"/>
  <c r="AB115" i="3"/>
  <c r="AA115" i="3"/>
  <c r="Z115" i="3"/>
  <c r="Y115" i="3"/>
  <c r="X115" i="3"/>
  <c r="V115" i="3"/>
  <c r="U115" i="3"/>
  <c r="T115" i="3"/>
  <c r="S115" i="3"/>
  <c r="R115" i="3"/>
  <c r="Q115" i="3"/>
  <c r="P115" i="3"/>
  <c r="M115" i="3"/>
  <c r="L115" i="3"/>
  <c r="K115" i="3"/>
  <c r="AD114" i="3"/>
  <c r="AC114" i="3"/>
  <c r="AB114" i="3"/>
  <c r="AA114" i="3"/>
  <c r="Z114" i="3"/>
  <c r="Y114" i="3"/>
  <c r="X114" i="3"/>
  <c r="V114" i="3"/>
  <c r="U114" i="3"/>
  <c r="T114" i="3"/>
  <c r="S114" i="3"/>
  <c r="R114" i="3"/>
  <c r="Q114" i="3"/>
  <c r="P114" i="3"/>
  <c r="M114" i="3"/>
  <c r="L114" i="3"/>
  <c r="K114" i="3"/>
  <c r="AD113" i="3"/>
  <c r="AC113" i="3"/>
  <c r="AB113" i="3"/>
  <c r="AA113" i="3"/>
  <c r="Z113" i="3"/>
  <c r="Y113" i="3"/>
  <c r="X113" i="3"/>
  <c r="V113" i="3"/>
  <c r="U113" i="3"/>
  <c r="T113" i="3"/>
  <c r="S113" i="3"/>
  <c r="R113" i="3"/>
  <c r="Q113" i="3"/>
  <c r="P113" i="3"/>
  <c r="M113" i="3"/>
  <c r="L113" i="3"/>
  <c r="K113" i="3"/>
  <c r="AD112" i="3"/>
  <c r="AC112" i="3"/>
  <c r="AB112" i="3"/>
  <c r="AA112" i="3"/>
  <c r="Z112" i="3"/>
  <c r="Y112" i="3"/>
  <c r="X112" i="3"/>
  <c r="V112" i="3"/>
  <c r="U112" i="3"/>
  <c r="T112" i="3"/>
  <c r="S112" i="3"/>
  <c r="R112" i="3"/>
  <c r="Q112" i="3"/>
  <c r="P112" i="3"/>
  <c r="M112" i="3"/>
  <c r="L112" i="3"/>
  <c r="K112" i="3"/>
  <c r="AD111" i="3"/>
  <c r="AC111" i="3"/>
  <c r="AB111" i="3"/>
  <c r="AA111" i="3"/>
  <c r="Z111" i="3"/>
  <c r="Y111" i="3"/>
  <c r="X111" i="3"/>
  <c r="V111" i="3"/>
  <c r="U111" i="3"/>
  <c r="T111" i="3"/>
  <c r="S111" i="3"/>
  <c r="R111" i="3"/>
  <c r="Q111" i="3"/>
  <c r="P111" i="3"/>
  <c r="M111" i="3"/>
  <c r="L111" i="3"/>
  <c r="K111" i="3"/>
  <c r="AD110" i="3"/>
  <c r="AC110" i="3"/>
  <c r="AB110" i="3"/>
  <c r="N110" i="3" s="1"/>
  <c r="AA110" i="3"/>
  <c r="Z110" i="3"/>
  <c r="Y110" i="3"/>
  <c r="X110" i="3"/>
  <c r="V110" i="3"/>
  <c r="U110" i="3"/>
  <c r="T110" i="3"/>
  <c r="S110" i="3"/>
  <c r="R110" i="3"/>
  <c r="Q110" i="3"/>
  <c r="P110" i="3"/>
  <c r="M110" i="3"/>
  <c r="L110" i="3"/>
  <c r="K110" i="3"/>
  <c r="AD109" i="3"/>
  <c r="AC109" i="3"/>
  <c r="AB109" i="3"/>
  <c r="AA109" i="3"/>
  <c r="Z109" i="3"/>
  <c r="Y109" i="3"/>
  <c r="X109" i="3"/>
  <c r="V109" i="3"/>
  <c r="U109" i="3"/>
  <c r="T109" i="3"/>
  <c r="S109" i="3"/>
  <c r="R109" i="3"/>
  <c r="Q109" i="3"/>
  <c r="P109" i="3"/>
  <c r="M109" i="3"/>
  <c r="L109" i="3"/>
  <c r="K109" i="3"/>
  <c r="AD108" i="3"/>
  <c r="AC108" i="3"/>
  <c r="AB108" i="3"/>
  <c r="AA108" i="3"/>
  <c r="Z108" i="3"/>
  <c r="Y108" i="3"/>
  <c r="X108" i="3"/>
  <c r="V108" i="3"/>
  <c r="U108" i="3"/>
  <c r="T108" i="3"/>
  <c r="S108" i="3"/>
  <c r="R108" i="3"/>
  <c r="Q108" i="3"/>
  <c r="P108" i="3"/>
  <c r="M108" i="3"/>
  <c r="L108" i="3"/>
  <c r="K108" i="3"/>
  <c r="AD107" i="3"/>
  <c r="AC107" i="3"/>
  <c r="AB107" i="3"/>
  <c r="AA107" i="3"/>
  <c r="Z107" i="3"/>
  <c r="Y107" i="3"/>
  <c r="X107" i="3"/>
  <c r="V107" i="3"/>
  <c r="U107" i="3"/>
  <c r="T107" i="3"/>
  <c r="S107" i="3"/>
  <c r="R107" i="3"/>
  <c r="Q107" i="3"/>
  <c r="P107" i="3"/>
  <c r="M107" i="3"/>
  <c r="L107" i="3"/>
  <c r="K107" i="3"/>
  <c r="AD106" i="3"/>
  <c r="AC106" i="3"/>
  <c r="AB106" i="3"/>
  <c r="AA106" i="3"/>
  <c r="Z106" i="3"/>
  <c r="Y106" i="3"/>
  <c r="X106" i="3"/>
  <c r="V106" i="3"/>
  <c r="U106" i="3"/>
  <c r="T106" i="3"/>
  <c r="S106" i="3"/>
  <c r="R106" i="3"/>
  <c r="Q106" i="3"/>
  <c r="P106" i="3"/>
  <c r="M106" i="3"/>
  <c r="L106" i="3"/>
  <c r="K106" i="3"/>
  <c r="AD105" i="3"/>
  <c r="AC105" i="3"/>
  <c r="AB105" i="3"/>
  <c r="AA105" i="3"/>
  <c r="Z105" i="3"/>
  <c r="Y105" i="3"/>
  <c r="X105" i="3"/>
  <c r="V105" i="3"/>
  <c r="U105" i="3"/>
  <c r="T105" i="3"/>
  <c r="S105" i="3"/>
  <c r="R105" i="3"/>
  <c r="Q105" i="3"/>
  <c r="P105" i="3"/>
  <c r="M105" i="3"/>
  <c r="L105" i="3"/>
  <c r="K105" i="3"/>
  <c r="AD104" i="3"/>
  <c r="AC104" i="3"/>
  <c r="AB104" i="3"/>
  <c r="AA104" i="3"/>
  <c r="Z104" i="3"/>
  <c r="Y104" i="3"/>
  <c r="X104" i="3"/>
  <c r="V104" i="3"/>
  <c r="U104" i="3"/>
  <c r="T104" i="3"/>
  <c r="S104" i="3"/>
  <c r="R104" i="3"/>
  <c r="Q104" i="3"/>
  <c r="P104" i="3"/>
  <c r="M104" i="3"/>
  <c r="L104" i="3"/>
  <c r="K104" i="3"/>
  <c r="AD103" i="3"/>
  <c r="AC103" i="3"/>
  <c r="AB103" i="3"/>
  <c r="AA103" i="3"/>
  <c r="Z103" i="3"/>
  <c r="Y103" i="3"/>
  <c r="X103" i="3"/>
  <c r="V103" i="3"/>
  <c r="U103" i="3"/>
  <c r="T103" i="3"/>
  <c r="S103" i="3"/>
  <c r="R103" i="3"/>
  <c r="Q103" i="3"/>
  <c r="P103" i="3"/>
  <c r="M103" i="3"/>
  <c r="L103" i="3"/>
  <c r="K103" i="3"/>
  <c r="AD102" i="3"/>
  <c r="AC102" i="3"/>
  <c r="AB102" i="3"/>
  <c r="AA102" i="3"/>
  <c r="Z102" i="3"/>
  <c r="Y102" i="3"/>
  <c r="X102" i="3"/>
  <c r="V102" i="3"/>
  <c r="U102" i="3"/>
  <c r="T102" i="3"/>
  <c r="S102" i="3"/>
  <c r="R102" i="3"/>
  <c r="Q102" i="3"/>
  <c r="P102" i="3"/>
  <c r="M102" i="3"/>
  <c r="L102" i="3"/>
  <c r="K102" i="3"/>
  <c r="AD101" i="3"/>
  <c r="AC101" i="3"/>
  <c r="AB101" i="3"/>
  <c r="AA101" i="3"/>
  <c r="Z101" i="3"/>
  <c r="Y101" i="3"/>
  <c r="X101" i="3"/>
  <c r="V101" i="3"/>
  <c r="U101" i="3"/>
  <c r="T101" i="3"/>
  <c r="S101" i="3"/>
  <c r="R101" i="3"/>
  <c r="Q101" i="3"/>
  <c r="P101" i="3"/>
  <c r="M101" i="3"/>
  <c r="L101" i="3"/>
  <c r="K101" i="3"/>
  <c r="AD100" i="3"/>
  <c r="AC100" i="3"/>
  <c r="AB100" i="3"/>
  <c r="AA100" i="3"/>
  <c r="Z100" i="3"/>
  <c r="Y100" i="3"/>
  <c r="X100" i="3"/>
  <c r="V100" i="3"/>
  <c r="U100" i="3"/>
  <c r="T100" i="3"/>
  <c r="S100" i="3"/>
  <c r="R100" i="3"/>
  <c r="Q100" i="3"/>
  <c r="P100" i="3"/>
  <c r="M100" i="3"/>
  <c r="L100" i="3"/>
  <c r="K100" i="3"/>
  <c r="AD99" i="3"/>
  <c r="AC99" i="3"/>
  <c r="AB99" i="3"/>
  <c r="AA99" i="3"/>
  <c r="Z99" i="3"/>
  <c r="Y99" i="3"/>
  <c r="X99" i="3"/>
  <c r="V99" i="3"/>
  <c r="U99" i="3"/>
  <c r="T99" i="3"/>
  <c r="S99" i="3"/>
  <c r="R99" i="3"/>
  <c r="Q99" i="3"/>
  <c r="P99" i="3"/>
  <c r="M99" i="3"/>
  <c r="L99" i="3"/>
  <c r="K99" i="3"/>
  <c r="AD98" i="3"/>
  <c r="AC98" i="3"/>
  <c r="AB98" i="3"/>
  <c r="AA98" i="3"/>
  <c r="Z98" i="3"/>
  <c r="Y98" i="3"/>
  <c r="X98" i="3"/>
  <c r="V98" i="3"/>
  <c r="U98" i="3"/>
  <c r="T98" i="3"/>
  <c r="S98" i="3"/>
  <c r="R98" i="3"/>
  <c r="Q98" i="3"/>
  <c r="P98" i="3"/>
  <c r="M98" i="3"/>
  <c r="L98" i="3"/>
  <c r="K98" i="3"/>
  <c r="AD97" i="3"/>
  <c r="AC97" i="3"/>
  <c r="AB97" i="3"/>
  <c r="AA97" i="3"/>
  <c r="Z97" i="3"/>
  <c r="Y97" i="3"/>
  <c r="X97" i="3"/>
  <c r="V97" i="3"/>
  <c r="U97" i="3"/>
  <c r="T97" i="3"/>
  <c r="S97" i="3"/>
  <c r="R97" i="3"/>
  <c r="Q97" i="3"/>
  <c r="P97" i="3"/>
  <c r="M97" i="3"/>
  <c r="L97" i="3"/>
  <c r="K97" i="3"/>
  <c r="AD96" i="3"/>
  <c r="AC96" i="3"/>
  <c r="AB96" i="3"/>
  <c r="AA96" i="3"/>
  <c r="Z96" i="3"/>
  <c r="Y96" i="3"/>
  <c r="X96" i="3"/>
  <c r="V96" i="3"/>
  <c r="U96" i="3"/>
  <c r="T96" i="3"/>
  <c r="S96" i="3"/>
  <c r="R96" i="3"/>
  <c r="Q96" i="3"/>
  <c r="P96" i="3"/>
  <c r="M96" i="3"/>
  <c r="L96" i="3"/>
  <c r="K96" i="3"/>
  <c r="AD95" i="3"/>
  <c r="AC95" i="3"/>
  <c r="AB95" i="3"/>
  <c r="AA95" i="3"/>
  <c r="Z95" i="3"/>
  <c r="Y95" i="3"/>
  <c r="X95" i="3"/>
  <c r="V95" i="3"/>
  <c r="U95" i="3"/>
  <c r="T95" i="3"/>
  <c r="S95" i="3"/>
  <c r="R95" i="3"/>
  <c r="Q95" i="3"/>
  <c r="P95" i="3"/>
  <c r="M95" i="3"/>
  <c r="L95" i="3"/>
  <c r="K95" i="3"/>
  <c r="AD94" i="3"/>
  <c r="AC94" i="3"/>
  <c r="AB94" i="3"/>
  <c r="AA94" i="3"/>
  <c r="Z94" i="3"/>
  <c r="Y94" i="3"/>
  <c r="X94" i="3"/>
  <c r="V94" i="3"/>
  <c r="U94" i="3"/>
  <c r="T94" i="3"/>
  <c r="S94" i="3"/>
  <c r="R94" i="3"/>
  <c r="Q94" i="3"/>
  <c r="P94" i="3"/>
  <c r="M94" i="3"/>
  <c r="L94" i="3"/>
  <c r="K94" i="3"/>
  <c r="AD93" i="3"/>
  <c r="AC93" i="3"/>
  <c r="AB93" i="3"/>
  <c r="AA93" i="3"/>
  <c r="Z93" i="3"/>
  <c r="Y93" i="3"/>
  <c r="X93" i="3"/>
  <c r="V93" i="3"/>
  <c r="U93" i="3"/>
  <c r="T93" i="3"/>
  <c r="S93" i="3"/>
  <c r="R93" i="3"/>
  <c r="Q93" i="3"/>
  <c r="P93" i="3"/>
  <c r="M93" i="3"/>
  <c r="L93" i="3"/>
  <c r="K93" i="3"/>
  <c r="AD92" i="3"/>
  <c r="AC92" i="3"/>
  <c r="AB92" i="3"/>
  <c r="AA92" i="3"/>
  <c r="Z92" i="3"/>
  <c r="Y92" i="3"/>
  <c r="X92" i="3"/>
  <c r="V92" i="3"/>
  <c r="U92" i="3"/>
  <c r="T92" i="3"/>
  <c r="S92" i="3"/>
  <c r="R92" i="3"/>
  <c r="Q92" i="3"/>
  <c r="P92" i="3"/>
  <c r="M92" i="3"/>
  <c r="L92" i="3"/>
  <c r="K92" i="3"/>
  <c r="AD91" i="3"/>
  <c r="AC91" i="3"/>
  <c r="AB91" i="3"/>
  <c r="AA91" i="3"/>
  <c r="Z91" i="3"/>
  <c r="Y91" i="3"/>
  <c r="X91" i="3"/>
  <c r="V91" i="3"/>
  <c r="U91" i="3"/>
  <c r="T91" i="3"/>
  <c r="S91" i="3"/>
  <c r="R91" i="3"/>
  <c r="Q91" i="3"/>
  <c r="P91" i="3"/>
  <c r="M91" i="3"/>
  <c r="L91" i="3"/>
  <c r="K91" i="3"/>
  <c r="AD90" i="3"/>
  <c r="AC90" i="3"/>
  <c r="AB90" i="3"/>
  <c r="AA90" i="3"/>
  <c r="Z90" i="3"/>
  <c r="Y90" i="3"/>
  <c r="X90" i="3"/>
  <c r="V90" i="3"/>
  <c r="U90" i="3"/>
  <c r="T90" i="3"/>
  <c r="S90" i="3"/>
  <c r="R90" i="3"/>
  <c r="Q90" i="3"/>
  <c r="P90" i="3"/>
  <c r="M90" i="3"/>
  <c r="L90" i="3"/>
  <c r="K90" i="3"/>
  <c r="AD89" i="3"/>
  <c r="AC89" i="3"/>
  <c r="AB89" i="3"/>
  <c r="AA89" i="3"/>
  <c r="Z89" i="3"/>
  <c r="Y89" i="3"/>
  <c r="X89" i="3"/>
  <c r="V89" i="3"/>
  <c r="U89" i="3"/>
  <c r="T89" i="3"/>
  <c r="S89" i="3"/>
  <c r="R89" i="3"/>
  <c r="Q89" i="3"/>
  <c r="P89" i="3"/>
  <c r="M89" i="3"/>
  <c r="L89" i="3"/>
  <c r="K89" i="3"/>
  <c r="AD88" i="3"/>
  <c r="AC88" i="3"/>
  <c r="AB88" i="3"/>
  <c r="AA88" i="3"/>
  <c r="Z88" i="3"/>
  <c r="Y88" i="3"/>
  <c r="X88" i="3"/>
  <c r="V88" i="3"/>
  <c r="U88" i="3"/>
  <c r="T88" i="3"/>
  <c r="S88" i="3"/>
  <c r="R88" i="3"/>
  <c r="Q88" i="3"/>
  <c r="P88" i="3"/>
  <c r="M88" i="3"/>
  <c r="L88" i="3"/>
  <c r="K88" i="3"/>
  <c r="AD87" i="3"/>
  <c r="AC87" i="3"/>
  <c r="AB87" i="3"/>
  <c r="AA87" i="3"/>
  <c r="Z87" i="3"/>
  <c r="Y87" i="3"/>
  <c r="X87" i="3"/>
  <c r="V87" i="3"/>
  <c r="U87" i="3"/>
  <c r="T87" i="3"/>
  <c r="S87" i="3"/>
  <c r="R87" i="3"/>
  <c r="Q87" i="3"/>
  <c r="P87" i="3"/>
  <c r="M87" i="3"/>
  <c r="L87" i="3"/>
  <c r="K87" i="3"/>
  <c r="AD86" i="3"/>
  <c r="AC86" i="3"/>
  <c r="AB86" i="3"/>
  <c r="AA86" i="3"/>
  <c r="Z86" i="3"/>
  <c r="Y86" i="3"/>
  <c r="X86" i="3"/>
  <c r="V86" i="3"/>
  <c r="U86" i="3"/>
  <c r="T86" i="3"/>
  <c r="S86" i="3"/>
  <c r="R86" i="3"/>
  <c r="Q86" i="3"/>
  <c r="P86" i="3"/>
  <c r="M86" i="3"/>
  <c r="L86" i="3"/>
  <c r="K86" i="3"/>
  <c r="AD85" i="3"/>
  <c r="AC85" i="3"/>
  <c r="AB85" i="3"/>
  <c r="AA85" i="3"/>
  <c r="Z85" i="3"/>
  <c r="Y85" i="3"/>
  <c r="X85" i="3"/>
  <c r="V85" i="3"/>
  <c r="U85" i="3"/>
  <c r="T85" i="3"/>
  <c r="S85" i="3"/>
  <c r="R85" i="3"/>
  <c r="Q85" i="3"/>
  <c r="P85" i="3"/>
  <c r="M85" i="3"/>
  <c r="L85" i="3"/>
  <c r="K85" i="3"/>
  <c r="AD84" i="3"/>
  <c r="AC84" i="3"/>
  <c r="AB84" i="3"/>
  <c r="AA84" i="3"/>
  <c r="Z84" i="3"/>
  <c r="Y84" i="3"/>
  <c r="X84" i="3"/>
  <c r="V84" i="3"/>
  <c r="U84" i="3"/>
  <c r="T84" i="3"/>
  <c r="S84" i="3"/>
  <c r="R84" i="3"/>
  <c r="Q84" i="3"/>
  <c r="P84" i="3"/>
  <c r="M84" i="3"/>
  <c r="L84" i="3"/>
  <c r="K84" i="3"/>
  <c r="AD83" i="3"/>
  <c r="AC83" i="3"/>
  <c r="AB83" i="3"/>
  <c r="AA83" i="3"/>
  <c r="Z83" i="3"/>
  <c r="Y83" i="3"/>
  <c r="X83" i="3"/>
  <c r="V83" i="3"/>
  <c r="U83" i="3"/>
  <c r="T83" i="3"/>
  <c r="S83" i="3"/>
  <c r="R83" i="3"/>
  <c r="Q83" i="3"/>
  <c r="P83" i="3"/>
  <c r="M83" i="3"/>
  <c r="L83" i="3"/>
  <c r="K83" i="3"/>
  <c r="AD82" i="3"/>
  <c r="AC82" i="3"/>
  <c r="AB82" i="3"/>
  <c r="AA82" i="3"/>
  <c r="Z82" i="3"/>
  <c r="Y82" i="3"/>
  <c r="X82" i="3"/>
  <c r="V82" i="3"/>
  <c r="U82" i="3"/>
  <c r="T82" i="3"/>
  <c r="S82" i="3"/>
  <c r="R82" i="3"/>
  <c r="Q82" i="3"/>
  <c r="P82" i="3"/>
  <c r="M82" i="3"/>
  <c r="L82" i="3"/>
  <c r="K82" i="3"/>
  <c r="AD81" i="3"/>
  <c r="AC81" i="3"/>
  <c r="AB81" i="3"/>
  <c r="AA81" i="3"/>
  <c r="Z81" i="3"/>
  <c r="Y81" i="3"/>
  <c r="X81" i="3"/>
  <c r="V81" i="3"/>
  <c r="U81" i="3"/>
  <c r="T81" i="3"/>
  <c r="S81" i="3"/>
  <c r="R81" i="3"/>
  <c r="Q81" i="3"/>
  <c r="P81" i="3"/>
  <c r="M81" i="3"/>
  <c r="L81" i="3"/>
  <c r="K81" i="3"/>
  <c r="AD80" i="3"/>
  <c r="AC80" i="3"/>
  <c r="AB80" i="3"/>
  <c r="AA80" i="3"/>
  <c r="Z80" i="3"/>
  <c r="Y80" i="3"/>
  <c r="X80" i="3"/>
  <c r="V80" i="3"/>
  <c r="U80" i="3"/>
  <c r="T80" i="3"/>
  <c r="S80" i="3"/>
  <c r="R80" i="3"/>
  <c r="Q80" i="3"/>
  <c r="P80" i="3"/>
  <c r="M80" i="3"/>
  <c r="L80" i="3"/>
  <c r="K80" i="3"/>
  <c r="AD79" i="3"/>
  <c r="AC79" i="3"/>
  <c r="AB79" i="3"/>
  <c r="AA79" i="3"/>
  <c r="Z79" i="3"/>
  <c r="Y79" i="3"/>
  <c r="X79" i="3"/>
  <c r="F79" i="3" s="1"/>
  <c r="V79" i="3"/>
  <c r="U79" i="3"/>
  <c r="T79" i="3"/>
  <c r="S79" i="3"/>
  <c r="R79" i="3"/>
  <c r="Q79" i="3"/>
  <c r="P79" i="3"/>
  <c r="M79" i="3"/>
  <c r="L79" i="3"/>
  <c r="K79" i="3"/>
  <c r="AD78" i="3"/>
  <c r="AC78" i="3"/>
  <c r="AB78" i="3"/>
  <c r="AA78" i="3"/>
  <c r="Z78" i="3"/>
  <c r="Y78" i="3"/>
  <c r="X78" i="3"/>
  <c r="V78" i="3"/>
  <c r="U78" i="3"/>
  <c r="T78" i="3"/>
  <c r="S78" i="3"/>
  <c r="R78" i="3"/>
  <c r="Q78" i="3"/>
  <c r="P78" i="3"/>
  <c r="M78" i="3"/>
  <c r="L78" i="3"/>
  <c r="K78" i="3"/>
  <c r="AD77" i="3"/>
  <c r="AC77" i="3"/>
  <c r="AB77" i="3"/>
  <c r="AA77" i="3"/>
  <c r="Z77" i="3"/>
  <c r="Y77" i="3"/>
  <c r="X77" i="3"/>
  <c r="V77" i="3"/>
  <c r="U77" i="3"/>
  <c r="T77" i="3"/>
  <c r="S77" i="3"/>
  <c r="R77" i="3"/>
  <c r="Q77" i="3"/>
  <c r="P77" i="3"/>
  <c r="M77" i="3"/>
  <c r="L77" i="3"/>
  <c r="K77" i="3"/>
  <c r="AD76" i="3"/>
  <c r="AC76" i="3"/>
  <c r="AB76" i="3"/>
  <c r="AA76" i="3"/>
  <c r="Z76" i="3"/>
  <c r="Y76" i="3"/>
  <c r="X76" i="3"/>
  <c r="V76" i="3"/>
  <c r="U76" i="3"/>
  <c r="T76" i="3"/>
  <c r="S76" i="3"/>
  <c r="R76" i="3"/>
  <c r="Q76" i="3"/>
  <c r="P76" i="3"/>
  <c r="M76" i="3"/>
  <c r="L76" i="3"/>
  <c r="K76" i="3"/>
  <c r="AD75" i="3"/>
  <c r="AC75" i="3"/>
  <c r="AB75" i="3"/>
  <c r="AA75" i="3"/>
  <c r="Z75" i="3"/>
  <c r="Y75" i="3"/>
  <c r="X75" i="3"/>
  <c r="V75" i="3"/>
  <c r="U75" i="3"/>
  <c r="T75" i="3"/>
  <c r="S75" i="3"/>
  <c r="R75" i="3"/>
  <c r="Q75" i="3"/>
  <c r="P75" i="3"/>
  <c r="M75" i="3"/>
  <c r="L75" i="3"/>
  <c r="K75" i="3"/>
  <c r="AD74" i="3"/>
  <c r="AC74" i="3"/>
  <c r="O74" i="3" s="1"/>
  <c r="AG74" i="3" s="1"/>
  <c r="AB74" i="3"/>
  <c r="AA74" i="3"/>
  <c r="Z74" i="3"/>
  <c r="Y74" i="3"/>
  <c r="X74" i="3"/>
  <c r="V74" i="3"/>
  <c r="U74" i="3"/>
  <c r="T74" i="3"/>
  <c r="S74" i="3"/>
  <c r="R74" i="3"/>
  <c r="Q74" i="3"/>
  <c r="P74" i="3"/>
  <c r="M74" i="3"/>
  <c r="L74" i="3"/>
  <c r="K74" i="3"/>
  <c r="AD73" i="3"/>
  <c r="AC73" i="3"/>
  <c r="AB73" i="3"/>
  <c r="AA73" i="3"/>
  <c r="Z73" i="3"/>
  <c r="Y73" i="3"/>
  <c r="X73" i="3"/>
  <c r="V73" i="3"/>
  <c r="U73" i="3"/>
  <c r="T73" i="3"/>
  <c r="S73" i="3"/>
  <c r="R73" i="3"/>
  <c r="Q73" i="3"/>
  <c r="P73" i="3"/>
  <c r="M73" i="3"/>
  <c r="L73" i="3"/>
  <c r="K73" i="3"/>
  <c r="AD72" i="3"/>
  <c r="AC72" i="3"/>
  <c r="AB72" i="3"/>
  <c r="AA72" i="3"/>
  <c r="Z72" i="3"/>
  <c r="Y72" i="3"/>
  <c r="X72" i="3"/>
  <c r="V72" i="3"/>
  <c r="U72" i="3"/>
  <c r="T72" i="3"/>
  <c r="S72" i="3"/>
  <c r="R72" i="3"/>
  <c r="Q72" i="3"/>
  <c r="P72" i="3"/>
  <c r="M72" i="3"/>
  <c r="L72" i="3"/>
  <c r="K72" i="3"/>
  <c r="AD71" i="3"/>
  <c r="AC71" i="3"/>
  <c r="AB71" i="3"/>
  <c r="AA71" i="3"/>
  <c r="Z71" i="3"/>
  <c r="Y71" i="3"/>
  <c r="X71" i="3"/>
  <c r="V71" i="3"/>
  <c r="U71" i="3"/>
  <c r="T71" i="3"/>
  <c r="S71" i="3"/>
  <c r="R71" i="3"/>
  <c r="Q71" i="3"/>
  <c r="P71" i="3"/>
  <c r="M71" i="3"/>
  <c r="L71" i="3"/>
  <c r="K71" i="3"/>
  <c r="AD70" i="3"/>
  <c r="AC70" i="3"/>
  <c r="AB70" i="3"/>
  <c r="AA70" i="3"/>
  <c r="Z70" i="3"/>
  <c r="Y70" i="3"/>
  <c r="X70" i="3"/>
  <c r="V70" i="3"/>
  <c r="U70" i="3"/>
  <c r="T70" i="3"/>
  <c r="S70" i="3"/>
  <c r="R70" i="3"/>
  <c r="Q70" i="3"/>
  <c r="P70" i="3"/>
  <c r="M70" i="3"/>
  <c r="L70" i="3"/>
  <c r="K70" i="3"/>
  <c r="AD69" i="3"/>
  <c r="AC69" i="3"/>
  <c r="AB69" i="3"/>
  <c r="AA69" i="3"/>
  <c r="Z69" i="3"/>
  <c r="Y69" i="3"/>
  <c r="X69" i="3"/>
  <c r="V69" i="3"/>
  <c r="U69" i="3"/>
  <c r="T69" i="3"/>
  <c r="S69" i="3"/>
  <c r="R69" i="3"/>
  <c r="Q69" i="3"/>
  <c r="P69" i="3"/>
  <c r="M69" i="3"/>
  <c r="L69" i="3"/>
  <c r="K69" i="3"/>
  <c r="AD68" i="3"/>
  <c r="AC68" i="3"/>
  <c r="AB68" i="3"/>
  <c r="AA68" i="3"/>
  <c r="Z68" i="3"/>
  <c r="Y68" i="3"/>
  <c r="X68" i="3"/>
  <c r="V68" i="3"/>
  <c r="U68" i="3"/>
  <c r="T68" i="3"/>
  <c r="S68" i="3"/>
  <c r="R68" i="3"/>
  <c r="Q68" i="3"/>
  <c r="P68" i="3"/>
  <c r="M68" i="3"/>
  <c r="L68" i="3"/>
  <c r="K68" i="3"/>
  <c r="AD67" i="3"/>
  <c r="AC67" i="3"/>
  <c r="AB67" i="3"/>
  <c r="AA67" i="3"/>
  <c r="Z67" i="3"/>
  <c r="Y67" i="3"/>
  <c r="X67" i="3"/>
  <c r="V67" i="3"/>
  <c r="U67" i="3"/>
  <c r="T67" i="3"/>
  <c r="S67" i="3"/>
  <c r="R67" i="3"/>
  <c r="Q67" i="3"/>
  <c r="P67" i="3"/>
  <c r="M67" i="3"/>
  <c r="L67" i="3"/>
  <c r="K67" i="3"/>
  <c r="AD66" i="3"/>
  <c r="AC66" i="3"/>
  <c r="AB66" i="3"/>
  <c r="AA66" i="3"/>
  <c r="Z66" i="3"/>
  <c r="Y66" i="3"/>
  <c r="X66" i="3"/>
  <c r="V66" i="3"/>
  <c r="U66" i="3"/>
  <c r="T66" i="3"/>
  <c r="S66" i="3"/>
  <c r="R66" i="3"/>
  <c r="Q66" i="3"/>
  <c r="P66" i="3"/>
  <c r="M66" i="3"/>
  <c r="L66" i="3"/>
  <c r="K66" i="3"/>
  <c r="AD65" i="3"/>
  <c r="AC65" i="3"/>
  <c r="AB65" i="3"/>
  <c r="AA65" i="3"/>
  <c r="Z65" i="3"/>
  <c r="Y65" i="3"/>
  <c r="X65" i="3"/>
  <c r="V65" i="3"/>
  <c r="U65" i="3"/>
  <c r="T65" i="3"/>
  <c r="S65" i="3"/>
  <c r="R65" i="3"/>
  <c r="Q65" i="3"/>
  <c r="P65" i="3"/>
  <c r="M65" i="3"/>
  <c r="L65" i="3"/>
  <c r="K65" i="3"/>
  <c r="AD64" i="3"/>
  <c r="AC64" i="3"/>
  <c r="AB64" i="3"/>
  <c r="AA64" i="3"/>
  <c r="Z64" i="3"/>
  <c r="Y64" i="3"/>
  <c r="X64" i="3"/>
  <c r="V64" i="3"/>
  <c r="U64" i="3"/>
  <c r="T64" i="3"/>
  <c r="S64" i="3"/>
  <c r="R64" i="3"/>
  <c r="Q64" i="3"/>
  <c r="P64" i="3"/>
  <c r="M64" i="3"/>
  <c r="L64" i="3"/>
  <c r="K64" i="3"/>
  <c r="AD63" i="3"/>
  <c r="AC63" i="3"/>
  <c r="O63" i="3" s="1"/>
  <c r="AG63" i="3" s="1"/>
  <c r="AB63" i="3"/>
  <c r="AA63" i="3"/>
  <c r="Z63" i="3"/>
  <c r="Y63" i="3"/>
  <c r="X63" i="3"/>
  <c r="V63" i="3"/>
  <c r="U63" i="3"/>
  <c r="T63" i="3"/>
  <c r="S63" i="3"/>
  <c r="R63" i="3"/>
  <c r="Q63" i="3"/>
  <c r="P63" i="3"/>
  <c r="M63" i="3"/>
  <c r="L63" i="3"/>
  <c r="K63" i="3"/>
  <c r="AD62" i="3"/>
  <c r="AC62" i="3"/>
  <c r="AB62" i="3"/>
  <c r="AA62" i="3"/>
  <c r="Z62" i="3"/>
  <c r="Y62" i="3"/>
  <c r="X62" i="3"/>
  <c r="V62" i="3"/>
  <c r="U62" i="3"/>
  <c r="T62" i="3"/>
  <c r="S62" i="3"/>
  <c r="R62" i="3"/>
  <c r="Q62" i="3"/>
  <c r="P62" i="3"/>
  <c r="M62" i="3"/>
  <c r="L62" i="3"/>
  <c r="K62" i="3"/>
  <c r="AD61" i="3"/>
  <c r="AC61" i="3"/>
  <c r="AB61" i="3"/>
  <c r="AA61" i="3"/>
  <c r="Z61" i="3"/>
  <c r="Y61" i="3"/>
  <c r="X61" i="3"/>
  <c r="V61" i="3"/>
  <c r="U61" i="3"/>
  <c r="T61" i="3"/>
  <c r="S61" i="3"/>
  <c r="R61" i="3"/>
  <c r="Q61" i="3"/>
  <c r="P61" i="3"/>
  <c r="M61" i="3"/>
  <c r="L61" i="3"/>
  <c r="K61" i="3"/>
  <c r="AD60" i="3"/>
  <c r="AC60" i="3"/>
  <c r="AB60" i="3"/>
  <c r="AA60" i="3"/>
  <c r="Z60" i="3"/>
  <c r="Y60" i="3"/>
  <c r="X60" i="3"/>
  <c r="V60" i="3"/>
  <c r="U60" i="3"/>
  <c r="T60" i="3"/>
  <c r="S60" i="3"/>
  <c r="R60" i="3"/>
  <c r="Q60" i="3"/>
  <c r="P60" i="3"/>
  <c r="M60" i="3"/>
  <c r="L60" i="3"/>
  <c r="K60" i="3"/>
  <c r="AD59" i="3"/>
  <c r="AC59" i="3"/>
  <c r="AB59" i="3"/>
  <c r="AA59" i="3"/>
  <c r="Z59" i="3"/>
  <c r="Y59" i="3"/>
  <c r="X59" i="3"/>
  <c r="V59" i="3"/>
  <c r="U59" i="3"/>
  <c r="T59" i="3"/>
  <c r="S59" i="3"/>
  <c r="R59" i="3"/>
  <c r="Q59" i="3"/>
  <c r="P59" i="3"/>
  <c r="M59" i="3"/>
  <c r="L59" i="3"/>
  <c r="K59" i="3"/>
  <c r="AD58" i="3"/>
  <c r="AC58" i="3"/>
  <c r="AB58" i="3"/>
  <c r="AA58" i="3"/>
  <c r="Z58" i="3"/>
  <c r="Y58" i="3"/>
  <c r="X58" i="3"/>
  <c r="V58" i="3"/>
  <c r="U58" i="3"/>
  <c r="T58" i="3"/>
  <c r="S58" i="3"/>
  <c r="R58" i="3"/>
  <c r="Q58" i="3"/>
  <c r="P58" i="3"/>
  <c r="M58" i="3"/>
  <c r="L58" i="3"/>
  <c r="K58" i="3"/>
  <c r="AD57" i="3"/>
  <c r="AC57" i="3"/>
  <c r="AB57" i="3"/>
  <c r="AA57" i="3"/>
  <c r="Z57" i="3"/>
  <c r="Y57" i="3"/>
  <c r="X57" i="3"/>
  <c r="V57" i="3"/>
  <c r="U57" i="3"/>
  <c r="T57" i="3"/>
  <c r="S57" i="3"/>
  <c r="R57" i="3"/>
  <c r="Q57" i="3"/>
  <c r="P57" i="3"/>
  <c r="M57" i="3"/>
  <c r="L57" i="3"/>
  <c r="K57" i="3"/>
  <c r="AD56" i="3"/>
  <c r="AC56" i="3"/>
  <c r="AB56" i="3"/>
  <c r="AA56" i="3"/>
  <c r="Z56" i="3"/>
  <c r="Y56" i="3"/>
  <c r="X56" i="3"/>
  <c r="V56" i="3"/>
  <c r="U56" i="3"/>
  <c r="T56" i="3"/>
  <c r="S56" i="3"/>
  <c r="R56" i="3"/>
  <c r="Q56" i="3"/>
  <c r="P56" i="3"/>
  <c r="M56" i="3"/>
  <c r="L56" i="3"/>
  <c r="K56" i="3"/>
  <c r="AD55" i="3"/>
  <c r="AC55" i="3"/>
  <c r="AB55" i="3"/>
  <c r="AA55" i="3"/>
  <c r="Z55" i="3"/>
  <c r="Y55" i="3"/>
  <c r="X55" i="3"/>
  <c r="V55" i="3"/>
  <c r="U55" i="3"/>
  <c r="T55" i="3"/>
  <c r="S55" i="3"/>
  <c r="R55" i="3"/>
  <c r="Q55" i="3"/>
  <c r="P55" i="3"/>
  <c r="M55" i="3"/>
  <c r="L55" i="3"/>
  <c r="K55" i="3"/>
  <c r="AD54" i="3"/>
  <c r="AC54" i="3"/>
  <c r="AB54" i="3"/>
  <c r="AA54" i="3"/>
  <c r="Z54" i="3"/>
  <c r="Y54" i="3"/>
  <c r="X54" i="3"/>
  <c r="V54" i="3"/>
  <c r="U54" i="3"/>
  <c r="T54" i="3"/>
  <c r="S54" i="3"/>
  <c r="R54" i="3"/>
  <c r="Q54" i="3"/>
  <c r="P54" i="3"/>
  <c r="M54" i="3"/>
  <c r="L54" i="3"/>
  <c r="K54" i="3"/>
  <c r="AD53" i="3"/>
  <c r="AC53" i="3"/>
  <c r="AB53" i="3"/>
  <c r="AA53" i="3"/>
  <c r="Z53" i="3"/>
  <c r="Y53" i="3"/>
  <c r="X53" i="3"/>
  <c r="V53" i="3"/>
  <c r="U53" i="3"/>
  <c r="T53" i="3"/>
  <c r="S53" i="3"/>
  <c r="R53" i="3"/>
  <c r="Q53" i="3"/>
  <c r="P53" i="3"/>
  <c r="M53" i="3"/>
  <c r="L53" i="3"/>
  <c r="K53" i="3"/>
  <c r="AD52" i="3"/>
  <c r="AC52" i="3"/>
  <c r="AB52" i="3"/>
  <c r="AA52" i="3"/>
  <c r="Z52" i="3"/>
  <c r="Y52" i="3"/>
  <c r="X52" i="3"/>
  <c r="V52" i="3"/>
  <c r="U52" i="3"/>
  <c r="T52" i="3"/>
  <c r="S52" i="3"/>
  <c r="R52" i="3"/>
  <c r="Q52" i="3"/>
  <c r="P52" i="3"/>
  <c r="M52" i="3"/>
  <c r="L52" i="3"/>
  <c r="K52" i="3"/>
  <c r="AD51" i="3"/>
  <c r="AC51" i="3"/>
  <c r="AB51" i="3"/>
  <c r="AA51" i="3"/>
  <c r="Z51" i="3"/>
  <c r="Y51" i="3"/>
  <c r="X51" i="3"/>
  <c r="V51" i="3"/>
  <c r="U51" i="3"/>
  <c r="T51" i="3"/>
  <c r="S51" i="3"/>
  <c r="R51" i="3"/>
  <c r="Q51" i="3"/>
  <c r="P51" i="3"/>
  <c r="M51" i="3"/>
  <c r="L51" i="3"/>
  <c r="K51" i="3"/>
  <c r="AD50" i="3"/>
  <c r="AC50" i="3"/>
  <c r="AB50" i="3"/>
  <c r="AA50" i="3"/>
  <c r="Z50" i="3"/>
  <c r="Y50" i="3"/>
  <c r="X50" i="3"/>
  <c r="V50" i="3"/>
  <c r="U50" i="3"/>
  <c r="T50" i="3"/>
  <c r="S50" i="3"/>
  <c r="R50" i="3"/>
  <c r="Q50" i="3"/>
  <c r="P50" i="3"/>
  <c r="M50" i="3"/>
  <c r="L50" i="3"/>
  <c r="K50" i="3"/>
  <c r="AD49" i="3"/>
  <c r="AC49" i="3"/>
  <c r="AB49" i="3"/>
  <c r="AA49" i="3"/>
  <c r="Z49" i="3"/>
  <c r="Y49" i="3"/>
  <c r="X49" i="3"/>
  <c r="V49" i="3"/>
  <c r="U49" i="3"/>
  <c r="T49" i="3"/>
  <c r="S49" i="3"/>
  <c r="R49" i="3"/>
  <c r="Q49" i="3"/>
  <c r="P49" i="3"/>
  <c r="M49" i="3"/>
  <c r="L49" i="3"/>
  <c r="K49" i="3"/>
  <c r="AD48" i="3"/>
  <c r="AC48" i="3"/>
  <c r="AB48" i="3"/>
  <c r="AA48" i="3"/>
  <c r="Z48" i="3"/>
  <c r="Y48" i="3"/>
  <c r="X48" i="3"/>
  <c r="V48" i="3"/>
  <c r="U48" i="3"/>
  <c r="T48" i="3"/>
  <c r="S48" i="3"/>
  <c r="R48" i="3"/>
  <c r="Q48" i="3"/>
  <c r="P48" i="3"/>
  <c r="M48" i="3"/>
  <c r="L48" i="3"/>
  <c r="K48" i="3"/>
  <c r="AD47" i="3"/>
  <c r="AC47" i="3"/>
  <c r="AB47" i="3"/>
  <c r="AA47" i="3"/>
  <c r="Z47" i="3"/>
  <c r="Y47" i="3"/>
  <c r="X47" i="3"/>
  <c r="V47" i="3"/>
  <c r="U47" i="3"/>
  <c r="T47" i="3"/>
  <c r="S47" i="3"/>
  <c r="R47" i="3"/>
  <c r="Q47" i="3"/>
  <c r="P47" i="3"/>
  <c r="M47" i="3"/>
  <c r="L47" i="3"/>
  <c r="K47" i="3"/>
  <c r="AD46" i="3"/>
  <c r="AC46" i="3"/>
  <c r="AB46" i="3"/>
  <c r="AA46" i="3"/>
  <c r="Z46" i="3"/>
  <c r="Y46" i="3"/>
  <c r="X46" i="3"/>
  <c r="V46" i="3"/>
  <c r="U46" i="3"/>
  <c r="T46" i="3"/>
  <c r="S46" i="3"/>
  <c r="R46" i="3"/>
  <c r="Q46" i="3"/>
  <c r="P46" i="3"/>
  <c r="M46" i="3"/>
  <c r="L46" i="3"/>
  <c r="K46" i="3"/>
  <c r="AD45" i="3"/>
  <c r="AC45" i="3"/>
  <c r="AB45" i="3"/>
  <c r="AA45" i="3"/>
  <c r="Z45" i="3"/>
  <c r="Y45" i="3"/>
  <c r="X45" i="3"/>
  <c r="V45" i="3"/>
  <c r="U45" i="3"/>
  <c r="T45" i="3"/>
  <c r="S45" i="3"/>
  <c r="R45" i="3"/>
  <c r="Q45" i="3"/>
  <c r="P45" i="3"/>
  <c r="M45" i="3"/>
  <c r="L45" i="3"/>
  <c r="K45" i="3"/>
  <c r="AD44" i="3"/>
  <c r="AC44" i="3"/>
  <c r="AB44" i="3"/>
  <c r="AA44" i="3"/>
  <c r="Z44" i="3"/>
  <c r="Y44" i="3"/>
  <c r="X44" i="3"/>
  <c r="V44" i="3"/>
  <c r="U44" i="3"/>
  <c r="T44" i="3"/>
  <c r="S44" i="3"/>
  <c r="R44" i="3"/>
  <c r="Q44" i="3"/>
  <c r="P44" i="3"/>
  <c r="M44" i="3"/>
  <c r="L44" i="3"/>
  <c r="K44" i="3"/>
  <c r="AD43" i="3"/>
  <c r="AC43" i="3"/>
  <c r="AB43" i="3"/>
  <c r="AA43" i="3"/>
  <c r="Z43" i="3"/>
  <c r="Y43" i="3"/>
  <c r="X43" i="3"/>
  <c r="V43" i="3"/>
  <c r="U43" i="3"/>
  <c r="T43" i="3"/>
  <c r="S43" i="3"/>
  <c r="R43" i="3"/>
  <c r="Q43" i="3"/>
  <c r="P43" i="3"/>
  <c r="M43" i="3"/>
  <c r="L43" i="3"/>
  <c r="K43" i="3"/>
  <c r="AD42" i="3"/>
  <c r="AC42" i="3"/>
  <c r="AB42" i="3"/>
  <c r="AA42" i="3"/>
  <c r="Z42" i="3"/>
  <c r="Y42" i="3"/>
  <c r="X42" i="3"/>
  <c r="V42" i="3"/>
  <c r="U42" i="3"/>
  <c r="T42" i="3"/>
  <c r="S42" i="3"/>
  <c r="R42" i="3"/>
  <c r="Q42" i="3"/>
  <c r="P42" i="3"/>
  <c r="M42" i="3"/>
  <c r="L42" i="3"/>
  <c r="K42" i="3"/>
  <c r="AD41" i="3"/>
  <c r="AC41" i="3"/>
  <c r="AB41" i="3"/>
  <c r="AA41" i="3"/>
  <c r="Z41" i="3"/>
  <c r="Y41" i="3"/>
  <c r="X41" i="3"/>
  <c r="V41" i="3"/>
  <c r="U41" i="3"/>
  <c r="T41" i="3"/>
  <c r="S41" i="3"/>
  <c r="R41" i="3"/>
  <c r="Q41" i="3"/>
  <c r="P41" i="3"/>
  <c r="M41" i="3"/>
  <c r="L41" i="3"/>
  <c r="K41" i="3"/>
  <c r="AD40" i="3"/>
  <c r="AC40" i="3"/>
  <c r="AB40" i="3"/>
  <c r="AA40" i="3"/>
  <c r="Z40" i="3"/>
  <c r="Y40" i="3"/>
  <c r="X40" i="3"/>
  <c r="V40" i="3"/>
  <c r="U40" i="3"/>
  <c r="T40" i="3"/>
  <c r="S40" i="3"/>
  <c r="R40" i="3"/>
  <c r="Q40" i="3"/>
  <c r="P40" i="3"/>
  <c r="M40" i="3"/>
  <c r="L40" i="3"/>
  <c r="K40" i="3"/>
  <c r="AD39" i="3"/>
  <c r="AC39" i="3"/>
  <c r="AB39" i="3"/>
  <c r="AA39" i="3"/>
  <c r="Z39" i="3"/>
  <c r="Y39" i="3"/>
  <c r="X39" i="3"/>
  <c r="V39" i="3"/>
  <c r="U39" i="3"/>
  <c r="T39" i="3"/>
  <c r="S39" i="3"/>
  <c r="R39" i="3"/>
  <c r="Q39" i="3"/>
  <c r="P39" i="3"/>
  <c r="M39" i="3"/>
  <c r="L39" i="3"/>
  <c r="K39" i="3"/>
  <c r="AD38" i="3"/>
  <c r="AC38" i="3"/>
  <c r="AB38" i="3"/>
  <c r="AA38" i="3"/>
  <c r="Z38" i="3"/>
  <c r="Y38" i="3"/>
  <c r="X38" i="3"/>
  <c r="V38" i="3"/>
  <c r="U38" i="3"/>
  <c r="T38" i="3"/>
  <c r="S38" i="3"/>
  <c r="R38" i="3"/>
  <c r="Q38" i="3"/>
  <c r="P38" i="3"/>
  <c r="M38" i="3"/>
  <c r="L38" i="3"/>
  <c r="K38" i="3"/>
  <c r="AD37" i="3"/>
  <c r="AC37" i="3"/>
  <c r="AB37" i="3"/>
  <c r="AA37" i="3"/>
  <c r="Z37" i="3"/>
  <c r="Y37" i="3"/>
  <c r="X37" i="3"/>
  <c r="V37" i="3"/>
  <c r="U37" i="3"/>
  <c r="T37" i="3"/>
  <c r="S37" i="3"/>
  <c r="R37" i="3"/>
  <c r="Q37" i="3"/>
  <c r="P37" i="3"/>
  <c r="M37" i="3"/>
  <c r="L37" i="3"/>
  <c r="K37" i="3"/>
  <c r="AD36" i="3"/>
  <c r="AC36" i="3"/>
  <c r="AB36" i="3"/>
  <c r="AA36" i="3"/>
  <c r="Z36" i="3"/>
  <c r="Y36" i="3"/>
  <c r="X36" i="3"/>
  <c r="V36" i="3"/>
  <c r="U36" i="3"/>
  <c r="T36" i="3"/>
  <c r="S36" i="3"/>
  <c r="R36" i="3"/>
  <c r="Q36" i="3"/>
  <c r="P36" i="3"/>
  <c r="M36" i="3"/>
  <c r="L36" i="3"/>
  <c r="K36" i="3"/>
  <c r="AD35" i="3"/>
  <c r="AC35" i="3"/>
  <c r="AB35" i="3"/>
  <c r="AA35" i="3"/>
  <c r="Z35" i="3"/>
  <c r="Y35" i="3"/>
  <c r="X35" i="3"/>
  <c r="V35" i="3"/>
  <c r="U35" i="3"/>
  <c r="T35" i="3"/>
  <c r="S35" i="3"/>
  <c r="R35" i="3"/>
  <c r="Q35" i="3"/>
  <c r="P35" i="3"/>
  <c r="M35" i="3"/>
  <c r="L35" i="3"/>
  <c r="K35" i="3"/>
  <c r="AD34" i="3"/>
  <c r="AC34" i="3"/>
  <c r="AB34" i="3"/>
  <c r="AA34" i="3"/>
  <c r="Z34" i="3"/>
  <c r="Y34" i="3"/>
  <c r="X34" i="3"/>
  <c r="V34" i="3"/>
  <c r="U34" i="3"/>
  <c r="T34" i="3"/>
  <c r="S34" i="3"/>
  <c r="R34" i="3"/>
  <c r="Q34" i="3"/>
  <c r="P34" i="3"/>
  <c r="M34" i="3"/>
  <c r="L34" i="3"/>
  <c r="K34" i="3"/>
  <c r="AD33" i="3"/>
  <c r="AC33" i="3"/>
  <c r="AB33" i="3"/>
  <c r="AA33" i="3"/>
  <c r="Z33" i="3"/>
  <c r="Y33" i="3"/>
  <c r="X33" i="3"/>
  <c r="V33" i="3"/>
  <c r="U33" i="3"/>
  <c r="T33" i="3"/>
  <c r="S33" i="3"/>
  <c r="R33" i="3"/>
  <c r="Q33" i="3"/>
  <c r="P33" i="3"/>
  <c r="M33" i="3"/>
  <c r="L33" i="3"/>
  <c r="K33" i="3"/>
  <c r="AD32" i="3"/>
  <c r="AC32" i="3"/>
  <c r="AB32" i="3"/>
  <c r="AA32" i="3"/>
  <c r="Z32" i="3"/>
  <c r="Y32" i="3"/>
  <c r="X32" i="3"/>
  <c r="V32" i="3"/>
  <c r="U32" i="3"/>
  <c r="T32" i="3"/>
  <c r="S32" i="3"/>
  <c r="R32" i="3"/>
  <c r="Q32" i="3"/>
  <c r="P32" i="3"/>
  <c r="M32" i="3"/>
  <c r="L32" i="3"/>
  <c r="K32" i="3"/>
  <c r="AD31" i="3"/>
  <c r="AC31" i="3"/>
  <c r="AB31" i="3"/>
  <c r="AA31" i="3"/>
  <c r="Z31" i="3"/>
  <c r="Y31" i="3"/>
  <c r="X31" i="3"/>
  <c r="V31" i="3"/>
  <c r="U31" i="3"/>
  <c r="T31" i="3"/>
  <c r="S31" i="3"/>
  <c r="R31" i="3"/>
  <c r="Q31" i="3"/>
  <c r="P31" i="3"/>
  <c r="M31" i="3"/>
  <c r="L31" i="3"/>
  <c r="K31" i="3"/>
  <c r="AD30" i="3"/>
  <c r="AC30" i="3"/>
  <c r="AB30" i="3"/>
  <c r="AA30" i="3"/>
  <c r="Z30" i="3"/>
  <c r="Y30" i="3"/>
  <c r="X30" i="3"/>
  <c r="V30" i="3"/>
  <c r="U30" i="3"/>
  <c r="T30" i="3"/>
  <c r="S30" i="3"/>
  <c r="R30" i="3"/>
  <c r="Q30" i="3"/>
  <c r="P30" i="3"/>
  <c r="M30" i="3"/>
  <c r="L30" i="3"/>
  <c r="K30" i="3"/>
  <c r="AD29" i="3"/>
  <c r="AC29" i="3"/>
  <c r="AB29" i="3"/>
  <c r="AA29" i="3"/>
  <c r="Z29" i="3"/>
  <c r="Y29" i="3"/>
  <c r="X29" i="3"/>
  <c r="V29" i="3"/>
  <c r="U29" i="3"/>
  <c r="T29" i="3"/>
  <c r="S29" i="3"/>
  <c r="R29" i="3"/>
  <c r="Q29" i="3"/>
  <c r="P29" i="3"/>
  <c r="M29" i="3"/>
  <c r="L29" i="3"/>
  <c r="K29" i="3"/>
  <c r="AD28" i="3"/>
  <c r="AC28" i="3"/>
  <c r="AB28" i="3"/>
  <c r="AA28" i="3"/>
  <c r="Z28" i="3"/>
  <c r="Y28" i="3"/>
  <c r="X28" i="3"/>
  <c r="V28" i="3"/>
  <c r="U28" i="3"/>
  <c r="T28" i="3"/>
  <c r="S28" i="3"/>
  <c r="R28" i="3"/>
  <c r="Q28" i="3"/>
  <c r="P28" i="3"/>
  <c r="M28" i="3"/>
  <c r="L28" i="3"/>
  <c r="K28" i="3"/>
  <c r="AD27" i="3"/>
  <c r="AC27" i="3"/>
  <c r="AB27" i="3"/>
  <c r="AA27" i="3"/>
  <c r="Z27" i="3"/>
  <c r="Y27" i="3"/>
  <c r="X27" i="3"/>
  <c r="V27" i="3"/>
  <c r="U27" i="3"/>
  <c r="T27" i="3"/>
  <c r="S27" i="3"/>
  <c r="R27" i="3"/>
  <c r="Q27" i="3"/>
  <c r="P27" i="3"/>
  <c r="M27" i="3"/>
  <c r="L27" i="3"/>
  <c r="K27" i="3"/>
  <c r="AD26" i="3"/>
  <c r="AC26" i="3"/>
  <c r="AB26" i="3"/>
  <c r="AA26" i="3"/>
  <c r="Z26" i="3"/>
  <c r="Y26" i="3"/>
  <c r="X26" i="3"/>
  <c r="V26" i="3"/>
  <c r="U26" i="3"/>
  <c r="T26" i="3"/>
  <c r="S26" i="3"/>
  <c r="R26" i="3"/>
  <c r="Q26" i="3"/>
  <c r="P26" i="3"/>
  <c r="M26" i="3"/>
  <c r="L26" i="3"/>
  <c r="K26" i="3"/>
  <c r="AD25" i="3"/>
  <c r="AC25" i="3"/>
  <c r="AB25" i="3"/>
  <c r="AA25" i="3"/>
  <c r="Z25" i="3"/>
  <c r="Y25" i="3"/>
  <c r="X25" i="3"/>
  <c r="V25" i="3"/>
  <c r="U25" i="3"/>
  <c r="T25" i="3"/>
  <c r="S25" i="3"/>
  <c r="R25" i="3"/>
  <c r="Q25" i="3"/>
  <c r="P25" i="3"/>
  <c r="M25" i="3"/>
  <c r="L25" i="3"/>
  <c r="K25" i="3"/>
  <c r="AD24" i="3"/>
  <c r="AC24" i="3"/>
  <c r="AB24" i="3"/>
  <c r="AA24" i="3"/>
  <c r="Z24" i="3"/>
  <c r="Y24" i="3"/>
  <c r="X24" i="3"/>
  <c r="V24" i="3"/>
  <c r="U24" i="3"/>
  <c r="T24" i="3"/>
  <c r="S24" i="3"/>
  <c r="R24" i="3"/>
  <c r="Q24" i="3"/>
  <c r="P24" i="3"/>
  <c r="M24" i="3"/>
  <c r="L24" i="3"/>
  <c r="K24" i="3"/>
  <c r="AD23" i="3"/>
  <c r="AC23" i="3"/>
  <c r="AB23" i="3"/>
  <c r="AA23" i="3"/>
  <c r="Z23" i="3"/>
  <c r="Y23" i="3"/>
  <c r="X23" i="3"/>
  <c r="V23" i="3"/>
  <c r="U23" i="3"/>
  <c r="T23" i="3"/>
  <c r="S23" i="3"/>
  <c r="R23" i="3"/>
  <c r="Q23" i="3"/>
  <c r="P23" i="3"/>
  <c r="M23" i="3"/>
  <c r="L23" i="3"/>
  <c r="K23" i="3"/>
  <c r="AD22" i="3"/>
  <c r="AC22" i="3"/>
  <c r="AB22" i="3"/>
  <c r="AA22" i="3"/>
  <c r="Z22" i="3"/>
  <c r="Y22" i="3"/>
  <c r="X22" i="3"/>
  <c r="V22" i="3"/>
  <c r="U22" i="3"/>
  <c r="T22" i="3"/>
  <c r="S22" i="3"/>
  <c r="R22" i="3"/>
  <c r="Q22" i="3"/>
  <c r="P22" i="3"/>
  <c r="M22" i="3"/>
  <c r="L22" i="3"/>
  <c r="K22" i="3"/>
  <c r="AD21" i="3"/>
  <c r="AC21" i="3"/>
  <c r="AB21" i="3"/>
  <c r="AA21" i="3"/>
  <c r="Z21" i="3"/>
  <c r="Y21" i="3"/>
  <c r="X21" i="3"/>
  <c r="V21" i="3"/>
  <c r="U21" i="3"/>
  <c r="T21" i="3"/>
  <c r="S21" i="3"/>
  <c r="R21" i="3"/>
  <c r="Q21" i="3"/>
  <c r="P21" i="3"/>
  <c r="M21" i="3"/>
  <c r="L21" i="3"/>
  <c r="K21" i="3"/>
  <c r="AD20" i="3"/>
  <c r="AC20" i="3"/>
  <c r="AB20" i="3"/>
  <c r="AA20" i="3"/>
  <c r="Z20" i="3"/>
  <c r="Y20" i="3"/>
  <c r="X20" i="3"/>
  <c r="V20" i="3"/>
  <c r="U20" i="3"/>
  <c r="T20" i="3"/>
  <c r="S20" i="3"/>
  <c r="R20" i="3"/>
  <c r="Q20" i="3"/>
  <c r="P20" i="3"/>
  <c r="M20" i="3"/>
  <c r="L20" i="3"/>
  <c r="K20" i="3"/>
  <c r="AD19" i="3"/>
  <c r="AC19" i="3"/>
  <c r="AB19" i="3"/>
  <c r="AA19" i="3"/>
  <c r="Z19" i="3"/>
  <c r="Y19" i="3"/>
  <c r="X19" i="3"/>
  <c r="V19" i="3"/>
  <c r="U19" i="3"/>
  <c r="T19" i="3"/>
  <c r="S19" i="3"/>
  <c r="R19" i="3"/>
  <c r="Q19" i="3"/>
  <c r="P19" i="3"/>
  <c r="M19" i="3"/>
  <c r="L19" i="3"/>
  <c r="K19" i="3"/>
  <c r="AD18" i="3"/>
  <c r="AC18" i="3"/>
  <c r="AB18" i="3"/>
  <c r="AA18" i="3"/>
  <c r="Z18" i="3"/>
  <c r="Y18" i="3"/>
  <c r="X18" i="3"/>
  <c r="V18" i="3"/>
  <c r="U18" i="3"/>
  <c r="T18" i="3"/>
  <c r="S18" i="3"/>
  <c r="R18" i="3"/>
  <c r="Q18" i="3"/>
  <c r="P18" i="3"/>
  <c r="M18" i="3"/>
  <c r="L18" i="3"/>
  <c r="K18" i="3"/>
  <c r="AD17" i="3"/>
  <c r="AC17" i="3"/>
  <c r="AB17" i="3"/>
  <c r="AA17" i="3"/>
  <c r="Z17" i="3"/>
  <c r="Y17" i="3"/>
  <c r="X17" i="3"/>
  <c r="V17" i="3"/>
  <c r="U17" i="3"/>
  <c r="T17" i="3"/>
  <c r="S17" i="3"/>
  <c r="R17" i="3"/>
  <c r="Q17" i="3"/>
  <c r="P17" i="3"/>
  <c r="M17" i="3"/>
  <c r="L17" i="3"/>
  <c r="K17" i="3"/>
  <c r="AD16" i="3"/>
  <c r="AC16" i="3"/>
  <c r="AB16" i="3"/>
  <c r="AA16" i="3"/>
  <c r="Z16" i="3"/>
  <c r="Y16" i="3"/>
  <c r="X16" i="3"/>
  <c r="V16" i="3"/>
  <c r="U16" i="3"/>
  <c r="T16" i="3"/>
  <c r="S16" i="3"/>
  <c r="R16" i="3"/>
  <c r="Q16" i="3"/>
  <c r="P16" i="3"/>
  <c r="M16" i="3"/>
  <c r="L16" i="3"/>
  <c r="K16" i="3"/>
  <c r="AD15" i="3"/>
  <c r="AC15" i="3"/>
  <c r="AB15" i="3"/>
  <c r="AA15" i="3"/>
  <c r="Z15" i="3"/>
  <c r="Y15" i="3"/>
  <c r="X15" i="3"/>
  <c r="V15" i="3"/>
  <c r="U15" i="3"/>
  <c r="T15" i="3"/>
  <c r="S15" i="3"/>
  <c r="R15" i="3"/>
  <c r="Q15" i="3"/>
  <c r="P15" i="3"/>
  <c r="M15" i="3"/>
  <c r="L15" i="3"/>
  <c r="K15" i="3"/>
  <c r="AD14" i="3"/>
  <c r="AC14" i="3"/>
  <c r="AB14" i="3"/>
  <c r="AA14" i="3"/>
  <c r="Z14" i="3"/>
  <c r="Y14" i="3"/>
  <c r="X14" i="3"/>
  <c r="V14" i="3"/>
  <c r="U14" i="3"/>
  <c r="T14" i="3"/>
  <c r="S14" i="3"/>
  <c r="R14" i="3"/>
  <c r="Q14" i="3"/>
  <c r="P14" i="3"/>
  <c r="M14" i="3"/>
  <c r="L14" i="3"/>
  <c r="K14" i="3"/>
  <c r="AD13" i="3"/>
  <c r="AC13" i="3"/>
  <c r="AB13" i="3"/>
  <c r="AA13" i="3"/>
  <c r="Z13" i="3"/>
  <c r="Y13" i="3"/>
  <c r="X13" i="3"/>
  <c r="V13" i="3"/>
  <c r="U13" i="3"/>
  <c r="T13" i="3"/>
  <c r="S13" i="3"/>
  <c r="R13" i="3"/>
  <c r="Q13" i="3"/>
  <c r="P13" i="3"/>
  <c r="M13" i="3"/>
  <c r="L13" i="3"/>
  <c r="K13" i="3"/>
  <c r="AD12" i="3"/>
  <c r="AC12" i="3"/>
  <c r="AB12" i="3"/>
  <c r="AA12" i="3"/>
  <c r="Z12" i="3"/>
  <c r="Y12" i="3"/>
  <c r="X12" i="3"/>
  <c r="V12" i="3"/>
  <c r="U12" i="3"/>
  <c r="T12" i="3"/>
  <c r="S12" i="3"/>
  <c r="R12" i="3"/>
  <c r="Q12" i="3"/>
  <c r="P12" i="3"/>
  <c r="M12" i="3"/>
  <c r="L12" i="3"/>
  <c r="K12" i="3"/>
  <c r="AD11" i="3"/>
  <c r="AC11" i="3"/>
  <c r="AB11" i="3"/>
  <c r="AA11" i="3"/>
  <c r="Z11" i="3"/>
  <c r="Y11" i="3"/>
  <c r="X11" i="3"/>
  <c r="V11" i="3"/>
  <c r="U11" i="3"/>
  <c r="T11" i="3"/>
  <c r="S11" i="3"/>
  <c r="R11" i="3"/>
  <c r="Q11" i="3"/>
  <c r="P11" i="3"/>
  <c r="M11" i="3"/>
  <c r="L11" i="3"/>
  <c r="K11" i="3"/>
  <c r="AD10" i="3"/>
  <c r="AC10" i="3"/>
  <c r="AB10" i="3"/>
  <c r="AA10" i="3"/>
  <c r="Z10" i="3"/>
  <c r="Y10" i="3"/>
  <c r="X10" i="3"/>
  <c r="V10" i="3"/>
  <c r="U10" i="3"/>
  <c r="T10" i="3"/>
  <c r="S10" i="3"/>
  <c r="R10" i="3"/>
  <c r="Q10" i="3"/>
  <c r="P10" i="3"/>
  <c r="M10" i="3"/>
  <c r="L10" i="3"/>
  <c r="K10" i="3"/>
  <c r="AD9" i="3"/>
  <c r="AC9" i="3"/>
  <c r="AB9" i="3"/>
  <c r="AA9" i="3"/>
  <c r="Z9" i="3"/>
  <c r="Y9" i="3"/>
  <c r="X9" i="3"/>
  <c r="V9" i="3"/>
  <c r="U9" i="3"/>
  <c r="T9" i="3"/>
  <c r="S9" i="3"/>
  <c r="R9" i="3"/>
  <c r="Q9" i="3"/>
  <c r="P9" i="3"/>
  <c r="M9" i="3"/>
  <c r="L9" i="3"/>
  <c r="K9" i="3"/>
  <c r="AD8" i="3"/>
  <c r="AC8" i="3"/>
  <c r="AB8" i="3"/>
  <c r="AA8" i="3"/>
  <c r="Z8" i="3"/>
  <c r="Y8" i="3"/>
  <c r="X8" i="3"/>
  <c r="V8" i="3"/>
  <c r="U8" i="3"/>
  <c r="T8" i="3"/>
  <c r="S8" i="3"/>
  <c r="R8" i="3"/>
  <c r="Q8" i="3"/>
  <c r="P8" i="3"/>
  <c r="M8" i="3"/>
  <c r="L8" i="3"/>
  <c r="K8" i="3"/>
  <c r="AD7" i="3"/>
  <c r="AC7" i="3"/>
  <c r="AB7" i="3"/>
  <c r="AA7" i="3"/>
  <c r="Z7" i="3"/>
  <c r="Y7" i="3"/>
  <c r="X7" i="3"/>
  <c r="V7" i="3"/>
  <c r="U7" i="3"/>
  <c r="T7" i="3"/>
  <c r="S7" i="3"/>
  <c r="R7" i="3"/>
  <c r="Q7" i="3"/>
  <c r="P7" i="3"/>
  <c r="M7" i="3"/>
  <c r="L7" i="3"/>
  <c r="K7" i="3"/>
  <c r="AD6" i="3"/>
  <c r="AC6" i="3"/>
  <c r="AB6" i="3"/>
  <c r="AA6" i="3"/>
  <c r="Z6" i="3"/>
  <c r="Y6" i="3"/>
  <c r="X6" i="3"/>
  <c r="V6" i="3"/>
  <c r="U6" i="3"/>
  <c r="T6" i="3"/>
  <c r="S6" i="3"/>
  <c r="R6" i="3"/>
  <c r="Q6" i="3"/>
  <c r="P6" i="3"/>
  <c r="M6" i="3"/>
  <c r="L6" i="3"/>
  <c r="K6" i="3"/>
  <c r="AD5" i="3"/>
  <c r="AC5" i="3"/>
  <c r="AB5" i="3"/>
  <c r="AA5" i="3"/>
  <c r="Z5" i="3"/>
  <c r="Y5" i="3"/>
  <c r="X5" i="3"/>
  <c r="V5" i="3"/>
  <c r="U5" i="3"/>
  <c r="T5" i="3"/>
  <c r="S5" i="3"/>
  <c r="R5" i="3"/>
  <c r="Q5" i="3"/>
  <c r="P5" i="3"/>
  <c r="M5" i="3"/>
  <c r="L5" i="3"/>
  <c r="K5" i="3"/>
  <c r="AP370" i="3"/>
  <c r="N370" i="3"/>
  <c r="O370" i="3"/>
  <c r="AG370" i="3" s="1"/>
  <c r="D370" i="3"/>
  <c r="AE370" i="3" s="1"/>
  <c r="F370" i="3" s="1"/>
  <c r="AP369" i="3"/>
  <c r="O369" i="3"/>
  <c r="AG369" i="3" s="1"/>
  <c r="N369" i="3"/>
  <c r="D369" i="3"/>
  <c r="AE369" i="3" s="1"/>
  <c r="F369" i="3" s="1"/>
  <c r="AP368" i="3"/>
  <c r="AE368" i="3"/>
  <c r="O368" i="3"/>
  <c r="AG368" i="3" s="1"/>
  <c r="N368" i="3"/>
  <c r="D368" i="3"/>
  <c r="AP367" i="3"/>
  <c r="AE367" i="3"/>
  <c r="N367" i="3"/>
  <c r="O367" i="3"/>
  <c r="AG367" i="3" s="1"/>
  <c r="D367" i="3"/>
  <c r="AL367" i="3" s="1"/>
  <c r="AP366" i="3"/>
  <c r="N366" i="3"/>
  <c r="O366" i="3"/>
  <c r="AG366" i="3" s="1"/>
  <c r="D366" i="3"/>
  <c r="AL366" i="3" s="1"/>
  <c r="AP365" i="3"/>
  <c r="O365" i="3"/>
  <c r="AG365" i="3" s="1"/>
  <c r="N365" i="3"/>
  <c r="D365" i="3"/>
  <c r="AL365" i="3" s="1"/>
  <c r="AP364" i="3"/>
  <c r="N364" i="3"/>
  <c r="O364" i="3"/>
  <c r="AG364" i="3" s="1"/>
  <c r="D364" i="3"/>
  <c r="AP363" i="3"/>
  <c r="N363" i="3"/>
  <c r="O363" i="3"/>
  <c r="AG363" i="3" s="1"/>
  <c r="D363" i="3"/>
  <c r="AL363" i="3" s="1"/>
  <c r="AP362" i="3"/>
  <c r="N362" i="3"/>
  <c r="O362" i="3"/>
  <c r="AG362" i="3" s="1"/>
  <c r="D362" i="3"/>
  <c r="AE362" i="3" s="1"/>
  <c r="AP361" i="3"/>
  <c r="AE361" i="3"/>
  <c r="F361" i="3" s="1"/>
  <c r="AL361" i="3"/>
  <c r="N361" i="3"/>
  <c r="O361" i="3"/>
  <c r="AG361" i="3" s="1"/>
  <c r="E361" i="3"/>
  <c r="D361" i="3"/>
  <c r="AP360" i="3"/>
  <c r="N360" i="3"/>
  <c r="O360" i="3"/>
  <c r="AG360" i="3" s="1"/>
  <c r="D360" i="3"/>
  <c r="AL360" i="3" s="1"/>
  <c r="AP359" i="3"/>
  <c r="N359" i="3"/>
  <c r="D359" i="3"/>
  <c r="AP358" i="3"/>
  <c r="AE358" i="3"/>
  <c r="E358" i="3" s="1"/>
  <c r="N358" i="3"/>
  <c r="O358" i="3"/>
  <c r="AG358" i="3" s="1"/>
  <c r="D358" i="3"/>
  <c r="AL358" i="3" s="1"/>
  <c r="AP357" i="3"/>
  <c r="AE357" i="3"/>
  <c r="F357" i="3" s="1"/>
  <c r="O357" i="3"/>
  <c r="AG357" i="3" s="1"/>
  <c r="N357" i="3"/>
  <c r="D357" i="3"/>
  <c r="AL357" i="3" s="1"/>
  <c r="AP356" i="3"/>
  <c r="AE356" i="3"/>
  <c r="I356" i="3" s="1"/>
  <c r="AL356" i="3"/>
  <c r="N356" i="3"/>
  <c r="J356" i="3"/>
  <c r="D356" i="3"/>
  <c r="AP355" i="3"/>
  <c r="AE355" i="3"/>
  <c r="F355" i="3" s="1"/>
  <c r="N355" i="3"/>
  <c r="D355" i="3"/>
  <c r="AL355" i="3" s="1"/>
  <c r="AP354" i="3"/>
  <c r="N354" i="3"/>
  <c r="O354" i="3"/>
  <c r="AG354" i="3" s="1"/>
  <c r="I354" i="3"/>
  <c r="D354" i="3"/>
  <c r="AE354" i="3" s="1"/>
  <c r="F354" i="3" s="1"/>
  <c r="AP353" i="3"/>
  <c r="O353" i="3"/>
  <c r="AG353" i="3" s="1"/>
  <c r="N353" i="3"/>
  <c r="D353" i="3"/>
  <c r="AP352" i="3"/>
  <c r="AE352" i="3"/>
  <c r="F352" i="3" s="1"/>
  <c r="AL352" i="3"/>
  <c r="N352" i="3"/>
  <c r="O352" i="3"/>
  <c r="AG352" i="3" s="1"/>
  <c r="D352" i="3"/>
  <c r="AP351" i="3"/>
  <c r="N351" i="3"/>
  <c r="O351" i="3"/>
  <c r="AG351" i="3" s="1"/>
  <c r="D351" i="3"/>
  <c r="AL351" i="3" s="1"/>
  <c r="AP350" i="3"/>
  <c r="N350" i="3"/>
  <c r="D350" i="3"/>
  <c r="AP349" i="3"/>
  <c r="N349" i="3"/>
  <c r="O349" i="3"/>
  <c r="AG349" i="3" s="1"/>
  <c r="D349" i="3"/>
  <c r="AE349" i="3" s="1"/>
  <c r="AP348" i="3"/>
  <c r="N348" i="3"/>
  <c r="O348" i="3"/>
  <c r="AG348" i="3" s="1"/>
  <c r="D348" i="3"/>
  <c r="AL348" i="3" s="1"/>
  <c r="AP347" i="3"/>
  <c r="N347" i="3"/>
  <c r="D347" i="3"/>
  <c r="AP346" i="3"/>
  <c r="O346" i="3"/>
  <c r="AG346" i="3" s="1"/>
  <c r="N346" i="3"/>
  <c r="D346" i="3"/>
  <c r="AE346" i="3" s="1"/>
  <c r="F346" i="3" s="1"/>
  <c r="AP345" i="3"/>
  <c r="O345" i="3"/>
  <c r="AG345" i="3" s="1"/>
  <c r="N345" i="3"/>
  <c r="D345" i="3"/>
  <c r="AP344" i="3"/>
  <c r="N344" i="3"/>
  <c r="D344" i="3"/>
  <c r="AL344" i="3" s="1"/>
  <c r="AP343" i="3"/>
  <c r="AG343" i="3"/>
  <c r="O343" i="3"/>
  <c r="N343" i="3"/>
  <c r="D343" i="3"/>
  <c r="AE343" i="3" s="1"/>
  <c r="F343" i="3" s="1"/>
  <c r="AP342" i="3"/>
  <c r="N342" i="3"/>
  <c r="O342" i="3"/>
  <c r="AG342" i="3" s="1"/>
  <c r="D342" i="3"/>
  <c r="AE342" i="3" s="1"/>
  <c r="F342" i="3" s="1"/>
  <c r="AP341" i="3"/>
  <c r="N341" i="3"/>
  <c r="D341" i="3"/>
  <c r="AL341" i="3" s="1"/>
  <c r="AP340" i="3"/>
  <c r="AE340" i="3"/>
  <c r="F340" i="3" s="1"/>
  <c r="N340" i="3"/>
  <c r="J340" i="3"/>
  <c r="D340" i="3"/>
  <c r="AL340" i="3" s="1"/>
  <c r="AP339" i="3"/>
  <c r="N339" i="3"/>
  <c r="D339" i="3"/>
  <c r="AE339" i="3" s="1"/>
  <c r="AP338" i="3"/>
  <c r="O338" i="3"/>
  <c r="AG338" i="3" s="1"/>
  <c r="N338" i="3"/>
  <c r="D338" i="3"/>
  <c r="AE338" i="3" s="1"/>
  <c r="I338" i="3" s="1"/>
  <c r="AP337" i="3"/>
  <c r="O337" i="3"/>
  <c r="AG337" i="3" s="1"/>
  <c r="N337" i="3"/>
  <c r="D337" i="3"/>
  <c r="AP336" i="3"/>
  <c r="N336" i="3"/>
  <c r="D336" i="3"/>
  <c r="AE336" i="3" s="1"/>
  <c r="AP335" i="3"/>
  <c r="AL335" i="3"/>
  <c r="N335" i="3"/>
  <c r="O335" i="3"/>
  <c r="AG335" i="3" s="1"/>
  <c r="D335" i="3"/>
  <c r="B60" i="4" s="1"/>
  <c r="AP334" i="3"/>
  <c r="N334" i="3"/>
  <c r="D334" i="3"/>
  <c r="AL334" i="3" s="1"/>
  <c r="AP333" i="3"/>
  <c r="O333" i="3"/>
  <c r="AG333" i="3" s="1"/>
  <c r="N333" i="3"/>
  <c r="D333" i="3"/>
  <c r="AE333" i="3" s="1"/>
  <c r="F333" i="3" s="1"/>
  <c r="AP332" i="3"/>
  <c r="O332" i="3"/>
  <c r="AG332" i="3" s="1"/>
  <c r="N332" i="3"/>
  <c r="D332" i="3"/>
  <c r="AE332" i="3" s="1"/>
  <c r="J332" i="3" s="1"/>
  <c r="AP331" i="3"/>
  <c r="N331" i="3"/>
  <c r="O331" i="3"/>
  <c r="AG331" i="3" s="1"/>
  <c r="D331" i="3"/>
  <c r="AL331" i="3" s="1"/>
  <c r="AP330" i="3"/>
  <c r="N330" i="3"/>
  <c r="D330" i="3"/>
  <c r="AP329" i="3"/>
  <c r="AE329" i="3"/>
  <c r="O329" i="3"/>
  <c r="AG329" i="3" s="1"/>
  <c r="N329" i="3"/>
  <c r="E329" i="3"/>
  <c r="D329" i="3"/>
  <c r="B59" i="4" s="1"/>
  <c r="AP328" i="3"/>
  <c r="AE328" i="3"/>
  <c r="F328" i="3" s="1"/>
  <c r="N328" i="3"/>
  <c r="O328" i="3"/>
  <c r="AG328" i="3" s="1"/>
  <c r="D328" i="3"/>
  <c r="AL328" i="3" s="1"/>
  <c r="AP327" i="3"/>
  <c r="N327" i="3"/>
  <c r="O327" i="3"/>
  <c r="AG327" i="3" s="1"/>
  <c r="D327" i="3"/>
  <c r="AL327" i="3" s="1"/>
  <c r="AP326" i="3"/>
  <c r="O326" i="3"/>
  <c r="AG326" i="3" s="1"/>
  <c r="N326" i="3"/>
  <c r="D326" i="3"/>
  <c r="AE326" i="3" s="1"/>
  <c r="AP325" i="3"/>
  <c r="AL325" i="3"/>
  <c r="O325" i="3"/>
  <c r="AG325" i="3" s="1"/>
  <c r="N325" i="3"/>
  <c r="D325" i="3"/>
  <c r="AE325" i="3" s="1"/>
  <c r="AP324" i="3"/>
  <c r="AE324" i="3"/>
  <c r="J324" i="3" s="1"/>
  <c r="N324" i="3"/>
  <c r="D324" i="3"/>
  <c r="AL324" i="3" s="1"/>
  <c r="AP323" i="3"/>
  <c r="AL323" i="3"/>
  <c r="AE323" i="3"/>
  <c r="E323" i="3" s="1"/>
  <c r="N323" i="3"/>
  <c r="I323" i="3"/>
  <c r="D323" i="3"/>
  <c r="B58" i="4" s="1"/>
  <c r="AP322" i="3"/>
  <c r="O322" i="3"/>
  <c r="AG322" i="3" s="1"/>
  <c r="N322" i="3"/>
  <c r="D322" i="3"/>
  <c r="AE322" i="3" s="1"/>
  <c r="F322" i="3" s="1"/>
  <c r="AP321" i="3"/>
  <c r="AL321" i="3"/>
  <c r="AE321" i="3"/>
  <c r="I321" i="3" s="1"/>
  <c r="O321" i="3"/>
  <c r="AG321" i="3" s="1"/>
  <c r="N321" i="3"/>
  <c r="D321" i="3"/>
  <c r="AP320" i="3"/>
  <c r="O320" i="3"/>
  <c r="AG320" i="3" s="1"/>
  <c r="N320" i="3"/>
  <c r="D320" i="3"/>
  <c r="AE320" i="3" s="1"/>
  <c r="J320" i="3" s="1"/>
  <c r="AP319" i="3"/>
  <c r="N319" i="3"/>
  <c r="O319" i="3"/>
  <c r="AG319" i="3" s="1"/>
  <c r="D319" i="3"/>
  <c r="AL319" i="3" s="1"/>
  <c r="AP318" i="3"/>
  <c r="N318" i="3"/>
  <c r="D318" i="3"/>
  <c r="AP317" i="3"/>
  <c r="O317" i="3"/>
  <c r="AG317" i="3" s="1"/>
  <c r="N317" i="3"/>
  <c r="D317" i="3"/>
  <c r="AP316" i="3"/>
  <c r="N316" i="3"/>
  <c r="O316" i="3"/>
  <c r="AG316" i="3" s="1"/>
  <c r="D316" i="3"/>
  <c r="AP315" i="3"/>
  <c r="N315" i="3"/>
  <c r="O315" i="3"/>
  <c r="AG315" i="3" s="1"/>
  <c r="D315" i="3"/>
  <c r="AL315" i="3" s="1"/>
  <c r="AP314" i="3"/>
  <c r="AE314" i="3"/>
  <c r="I314" i="3" s="1"/>
  <c r="O314" i="3"/>
  <c r="AG314" i="3" s="1"/>
  <c r="N314" i="3"/>
  <c r="E314" i="3"/>
  <c r="D314" i="3"/>
  <c r="AL314" i="3" s="1"/>
  <c r="AP313" i="3"/>
  <c r="O313" i="3"/>
  <c r="AG313" i="3" s="1"/>
  <c r="N313" i="3"/>
  <c r="D313" i="3"/>
  <c r="AP312" i="3"/>
  <c r="AE312" i="3"/>
  <c r="E312" i="3" s="1"/>
  <c r="N312" i="3"/>
  <c r="D312" i="3"/>
  <c r="AL312" i="3" s="1"/>
  <c r="AP311" i="3"/>
  <c r="N311" i="3"/>
  <c r="D311" i="3"/>
  <c r="B56" i="4" s="1"/>
  <c r="AP310" i="3"/>
  <c r="O310" i="3"/>
  <c r="AG310" i="3" s="1"/>
  <c r="N310" i="3"/>
  <c r="D310" i="3"/>
  <c r="AP309" i="3"/>
  <c r="N309" i="3"/>
  <c r="D309" i="3"/>
  <c r="AP308" i="3"/>
  <c r="N308" i="3"/>
  <c r="O308" i="3"/>
  <c r="AG308" i="3" s="1"/>
  <c r="D308" i="3"/>
  <c r="AE308" i="3" s="1"/>
  <c r="AP307" i="3"/>
  <c r="O307" i="3"/>
  <c r="AG307" i="3" s="1"/>
  <c r="N307" i="3"/>
  <c r="D307" i="3"/>
  <c r="AP306" i="3"/>
  <c r="N306" i="3"/>
  <c r="D306" i="3"/>
  <c r="AL306" i="3" s="1"/>
  <c r="AP305" i="3"/>
  <c r="O305" i="3"/>
  <c r="AG305" i="3" s="1"/>
  <c r="N305" i="3"/>
  <c r="D305" i="3"/>
  <c r="AP304" i="3"/>
  <c r="N304" i="3"/>
  <c r="O304" i="3"/>
  <c r="AG304" i="3" s="1"/>
  <c r="D304" i="3"/>
  <c r="AE304" i="3" s="1"/>
  <c r="AP303" i="3"/>
  <c r="N303" i="3"/>
  <c r="O303" i="3"/>
  <c r="AG303" i="3" s="1"/>
  <c r="D303" i="3"/>
  <c r="AP302" i="3"/>
  <c r="AE302" i="3"/>
  <c r="O302" i="3"/>
  <c r="AG302" i="3" s="1"/>
  <c r="N302" i="3"/>
  <c r="D302" i="3"/>
  <c r="AL302" i="3" s="1"/>
  <c r="AP301" i="3"/>
  <c r="AL301" i="3"/>
  <c r="AE301" i="3"/>
  <c r="F301" i="3" s="1"/>
  <c r="N301" i="3"/>
  <c r="E301" i="3"/>
  <c r="D301" i="3"/>
  <c r="AP300" i="3"/>
  <c r="N300" i="3"/>
  <c r="D300" i="3"/>
  <c r="AE300" i="3" s="1"/>
  <c r="AP299" i="3"/>
  <c r="N299" i="3"/>
  <c r="D299" i="3"/>
  <c r="B54" i="4" s="1"/>
  <c r="AP298" i="3"/>
  <c r="N298" i="3"/>
  <c r="D298" i="3"/>
  <c r="AE298" i="3" s="1"/>
  <c r="AP297" i="3"/>
  <c r="N297" i="3"/>
  <c r="D297" i="3"/>
  <c r="AP296" i="3"/>
  <c r="AL296" i="3"/>
  <c r="AE296" i="3"/>
  <c r="E296" i="3" s="1"/>
  <c r="N296" i="3"/>
  <c r="O296" i="3"/>
  <c r="AG296" i="3" s="1"/>
  <c r="D296" i="3"/>
  <c r="AP295" i="3"/>
  <c r="N295" i="3"/>
  <c r="D295" i="3"/>
  <c r="AL295" i="3" s="1"/>
  <c r="AP294" i="3"/>
  <c r="AL294" i="3"/>
  <c r="AE294" i="3"/>
  <c r="F294" i="3" s="1"/>
  <c r="O294" i="3"/>
  <c r="AG294" i="3" s="1"/>
  <c r="N294" i="3"/>
  <c r="D294" i="3"/>
  <c r="AP293" i="3"/>
  <c r="AE293" i="3"/>
  <c r="O293" i="3"/>
  <c r="AG293" i="3" s="1"/>
  <c r="N293" i="3"/>
  <c r="D293" i="3"/>
  <c r="B53" i="4" s="1"/>
  <c r="AP292" i="3"/>
  <c r="O292" i="3"/>
  <c r="AG292" i="3" s="1"/>
  <c r="N292" i="3"/>
  <c r="D292" i="3"/>
  <c r="AL292" i="3" s="1"/>
  <c r="AP291" i="3"/>
  <c r="AE291" i="3"/>
  <c r="N291" i="3"/>
  <c r="O291" i="3"/>
  <c r="AG291" i="3" s="1"/>
  <c r="D291" i="3"/>
  <c r="AL291" i="3" s="1"/>
  <c r="AP290" i="3"/>
  <c r="O290" i="3"/>
  <c r="AG290" i="3" s="1"/>
  <c r="N290" i="3"/>
  <c r="D290" i="3"/>
  <c r="AE290" i="3" s="1"/>
  <c r="I290" i="3" s="1"/>
  <c r="AP289" i="3"/>
  <c r="AE289" i="3"/>
  <c r="F289" i="3" s="1"/>
  <c r="O289" i="3"/>
  <c r="AG289" i="3" s="1"/>
  <c r="N289" i="3"/>
  <c r="J289" i="3"/>
  <c r="D289" i="3"/>
  <c r="AL289" i="3" s="1"/>
  <c r="AP288" i="3"/>
  <c r="N288" i="3"/>
  <c r="D288" i="3"/>
  <c r="AP287" i="3"/>
  <c r="O287" i="3"/>
  <c r="AG287" i="3" s="1"/>
  <c r="N287" i="3"/>
  <c r="D287" i="3"/>
  <c r="B52" i="4" s="1"/>
  <c r="AP286" i="3"/>
  <c r="AL286" i="3"/>
  <c r="N286" i="3"/>
  <c r="D286" i="3"/>
  <c r="AE286" i="3" s="1"/>
  <c r="AP285" i="3"/>
  <c r="AE285" i="3"/>
  <c r="N285" i="3"/>
  <c r="D285" i="3"/>
  <c r="AL285" i="3" s="1"/>
  <c r="AP284" i="3"/>
  <c r="AL284" i="3"/>
  <c r="N284" i="3"/>
  <c r="O284" i="3"/>
  <c r="AG284" i="3" s="1"/>
  <c r="D284" i="3"/>
  <c r="AE284" i="3" s="1"/>
  <c r="I284" i="3" s="1"/>
  <c r="AP283" i="3"/>
  <c r="N283" i="3"/>
  <c r="D283" i="3"/>
  <c r="AP282" i="3"/>
  <c r="N282" i="3"/>
  <c r="O282" i="3"/>
  <c r="AG282" i="3" s="1"/>
  <c r="D282" i="3"/>
  <c r="AE282" i="3" s="1"/>
  <c r="AP281" i="3"/>
  <c r="O281" i="3"/>
  <c r="AG281" i="3" s="1"/>
  <c r="N281" i="3"/>
  <c r="D281" i="3"/>
  <c r="B51" i="4" s="1"/>
  <c r="AP280" i="3"/>
  <c r="O280" i="3"/>
  <c r="AG280" i="3" s="1"/>
  <c r="N280" i="3"/>
  <c r="D280" i="3"/>
  <c r="AL280" i="3" s="1"/>
  <c r="AP279" i="3"/>
  <c r="N279" i="3"/>
  <c r="O279" i="3"/>
  <c r="AG279" i="3" s="1"/>
  <c r="D279" i="3"/>
  <c r="AP278" i="3"/>
  <c r="O278" i="3"/>
  <c r="AG278" i="3" s="1"/>
  <c r="N278" i="3"/>
  <c r="D278" i="3"/>
  <c r="AE278" i="3" s="1"/>
  <c r="AP277" i="3"/>
  <c r="AE277" i="3"/>
  <c r="O277" i="3"/>
  <c r="AG277" i="3" s="1"/>
  <c r="N277" i="3"/>
  <c r="D277" i="3"/>
  <c r="AL277" i="3" s="1"/>
  <c r="AP276" i="3"/>
  <c r="AE276" i="3"/>
  <c r="N276" i="3"/>
  <c r="I276" i="3"/>
  <c r="D276" i="3"/>
  <c r="AL276" i="3" s="1"/>
  <c r="AP275" i="3"/>
  <c r="O275" i="3"/>
  <c r="AG275" i="3" s="1"/>
  <c r="N275" i="3"/>
  <c r="D275" i="3"/>
  <c r="B50" i="4" s="1"/>
  <c r="AP274" i="3"/>
  <c r="AL274" i="3"/>
  <c r="AE274" i="3"/>
  <c r="F274" i="3" s="1"/>
  <c r="N274" i="3"/>
  <c r="D274" i="3"/>
  <c r="AP273" i="3"/>
  <c r="AE273" i="3"/>
  <c r="N273" i="3"/>
  <c r="D273" i="3"/>
  <c r="AL273" i="3" s="1"/>
  <c r="AP272" i="3"/>
  <c r="AE272" i="3"/>
  <c r="I272" i="3" s="1"/>
  <c r="N272" i="3"/>
  <c r="O272" i="3"/>
  <c r="AG272" i="3" s="1"/>
  <c r="D272" i="3"/>
  <c r="AL272" i="3" s="1"/>
  <c r="AP271" i="3"/>
  <c r="N271" i="3"/>
  <c r="D271" i="3"/>
  <c r="AP270" i="3"/>
  <c r="AL270" i="3"/>
  <c r="N270" i="3"/>
  <c r="O270" i="3"/>
  <c r="AG270" i="3" s="1"/>
  <c r="D270" i="3"/>
  <c r="AE270" i="3" s="1"/>
  <c r="F270" i="3" s="1"/>
  <c r="AP269" i="3"/>
  <c r="O269" i="3"/>
  <c r="AG269" i="3" s="1"/>
  <c r="N269" i="3"/>
  <c r="D269" i="3"/>
  <c r="AE269" i="3" s="1"/>
  <c r="AP268" i="3"/>
  <c r="O268" i="3"/>
  <c r="AG268" i="3" s="1"/>
  <c r="N268" i="3"/>
  <c r="D268" i="3"/>
  <c r="AP267" i="3"/>
  <c r="AE267" i="3"/>
  <c r="F267" i="3" s="1"/>
  <c r="N267" i="3"/>
  <c r="O267" i="3"/>
  <c r="AG267" i="3" s="1"/>
  <c r="D267" i="3"/>
  <c r="AL267" i="3" s="1"/>
  <c r="AP266" i="3"/>
  <c r="AL266" i="3"/>
  <c r="AE266" i="3"/>
  <c r="N266" i="3"/>
  <c r="D266" i="3"/>
  <c r="AP265" i="3"/>
  <c r="AE265" i="3"/>
  <c r="O265" i="3"/>
  <c r="AG265" i="3" s="1"/>
  <c r="N265" i="3"/>
  <c r="D265" i="3"/>
  <c r="AL265" i="3" s="1"/>
  <c r="AP264" i="3"/>
  <c r="AE264" i="3"/>
  <c r="F264" i="3" s="1"/>
  <c r="N264" i="3"/>
  <c r="O264" i="3"/>
  <c r="AG264" i="3" s="1"/>
  <c r="D264" i="3"/>
  <c r="AP263" i="3"/>
  <c r="O263" i="3"/>
  <c r="AG263" i="3" s="1"/>
  <c r="N263" i="3"/>
  <c r="D263" i="3"/>
  <c r="AP262" i="3"/>
  <c r="N262" i="3"/>
  <c r="D262" i="3"/>
  <c r="AL262" i="3" s="1"/>
  <c r="AP261" i="3"/>
  <c r="O261" i="3"/>
  <c r="AG261" i="3" s="1"/>
  <c r="N261" i="3"/>
  <c r="D261" i="3"/>
  <c r="AL261" i="3" s="1"/>
  <c r="AP260" i="3"/>
  <c r="AL260" i="3"/>
  <c r="AE260" i="3"/>
  <c r="E260" i="3" s="1"/>
  <c r="N260" i="3"/>
  <c r="I260" i="3"/>
  <c r="O260" i="3"/>
  <c r="AG260" i="3" s="1"/>
  <c r="D260" i="3"/>
  <c r="AP259" i="3"/>
  <c r="N259" i="3"/>
  <c r="D259" i="3"/>
  <c r="AE259" i="3" s="1"/>
  <c r="F259" i="3" s="1"/>
  <c r="AP258" i="3"/>
  <c r="N258" i="3"/>
  <c r="D258" i="3"/>
  <c r="AE258" i="3" s="1"/>
  <c r="F258" i="3" s="1"/>
  <c r="AP257" i="3"/>
  <c r="AL257" i="3"/>
  <c r="N257" i="3"/>
  <c r="O257" i="3"/>
  <c r="AG257" i="3" s="1"/>
  <c r="D257" i="3"/>
  <c r="B47" i="4" s="1"/>
  <c r="AP256" i="3"/>
  <c r="AL256" i="3"/>
  <c r="N256" i="3"/>
  <c r="D256" i="3"/>
  <c r="AE256" i="3" s="1"/>
  <c r="F256" i="3" s="1"/>
  <c r="AP255" i="3"/>
  <c r="O255" i="3"/>
  <c r="AG255" i="3" s="1"/>
  <c r="N255" i="3"/>
  <c r="D255" i="3"/>
  <c r="AL255" i="3" s="1"/>
  <c r="AP254" i="3"/>
  <c r="N254" i="3"/>
  <c r="D254" i="3"/>
  <c r="AP253" i="3"/>
  <c r="AL253" i="3"/>
  <c r="AG253" i="3"/>
  <c r="AE253" i="3"/>
  <c r="F253" i="3" s="1"/>
  <c r="N253" i="3"/>
  <c r="E253" i="3"/>
  <c r="O253" i="3"/>
  <c r="D253" i="3"/>
  <c r="AP252" i="3"/>
  <c r="AE252" i="3"/>
  <c r="F252" i="3" s="1"/>
  <c r="AL252" i="3"/>
  <c r="O252" i="3"/>
  <c r="AG252" i="3" s="1"/>
  <c r="N252" i="3"/>
  <c r="D252" i="3"/>
  <c r="AP251" i="3"/>
  <c r="AE251" i="3"/>
  <c r="E251" i="3" s="1"/>
  <c r="N251" i="3"/>
  <c r="O251" i="3"/>
  <c r="AG251" i="3" s="1"/>
  <c r="D251" i="3"/>
  <c r="B46" i="4" s="1"/>
  <c r="AP250" i="3"/>
  <c r="O250" i="3"/>
  <c r="AG250" i="3" s="1"/>
  <c r="N250" i="3"/>
  <c r="D250" i="3"/>
  <c r="AE250" i="3" s="1"/>
  <c r="F250" i="3" s="1"/>
  <c r="AP249" i="3"/>
  <c r="N249" i="3"/>
  <c r="D249" i="3"/>
  <c r="AE249" i="3" s="1"/>
  <c r="F249" i="3" s="1"/>
  <c r="AP248" i="3"/>
  <c r="AE248" i="3"/>
  <c r="E248" i="3" s="1"/>
  <c r="N248" i="3"/>
  <c r="O248" i="3"/>
  <c r="AG248" i="3" s="1"/>
  <c r="D248" i="3"/>
  <c r="AL248" i="3" s="1"/>
  <c r="AP247" i="3"/>
  <c r="AL247" i="3"/>
  <c r="AE247" i="3"/>
  <c r="N247" i="3"/>
  <c r="D247" i="3"/>
  <c r="AP246" i="3"/>
  <c r="N246" i="3"/>
  <c r="D246" i="3"/>
  <c r="AL246" i="3" s="1"/>
  <c r="AP245" i="3"/>
  <c r="N245" i="3"/>
  <c r="O245" i="3"/>
  <c r="AG245" i="3" s="1"/>
  <c r="D245" i="3"/>
  <c r="B45" i="4" s="1"/>
  <c r="AP244" i="3"/>
  <c r="O244" i="3"/>
  <c r="AG244" i="3" s="1"/>
  <c r="N244" i="3"/>
  <c r="D244" i="3"/>
  <c r="AL244" i="3" s="1"/>
  <c r="AP243" i="3"/>
  <c r="N243" i="3"/>
  <c r="O243" i="3"/>
  <c r="AG243" i="3" s="1"/>
  <c r="D243" i="3"/>
  <c r="AL243" i="3" s="1"/>
  <c r="AP242" i="3"/>
  <c r="O242" i="3"/>
  <c r="AG242" i="3" s="1"/>
  <c r="N242" i="3"/>
  <c r="D242" i="3"/>
  <c r="AP241" i="3"/>
  <c r="N241" i="3"/>
  <c r="O241" i="3"/>
  <c r="AG241" i="3" s="1"/>
  <c r="D241" i="3"/>
  <c r="AL241" i="3" s="1"/>
  <c r="AP240" i="3"/>
  <c r="AL240" i="3"/>
  <c r="O240" i="3"/>
  <c r="AG240" i="3" s="1"/>
  <c r="N240" i="3"/>
  <c r="D240" i="3"/>
  <c r="AE240" i="3" s="1"/>
  <c r="F240" i="3" s="1"/>
  <c r="AP239" i="3"/>
  <c r="AL239" i="3"/>
  <c r="AE239" i="3"/>
  <c r="E239" i="3" s="1"/>
  <c r="N239" i="3"/>
  <c r="O239" i="3"/>
  <c r="AG239" i="3" s="1"/>
  <c r="D239" i="3"/>
  <c r="B44" i="4" s="1"/>
  <c r="AP238" i="3"/>
  <c r="O238" i="3"/>
  <c r="AG238" i="3" s="1"/>
  <c r="N238" i="3"/>
  <c r="D238" i="3"/>
  <c r="AE238" i="3" s="1"/>
  <c r="F238" i="3" s="1"/>
  <c r="AP237" i="3"/>
  <c r="N237" i="3"/>
  <c r="D237" i="3"/>
  <c r="AE237" i="3" s="1"/>
  <c r="F237" i="3" s="1"/>
  <c r="AP236" i="3"/>
  <c r="AE236" i="3"/>
  <c r="E236" i="3" s="1"/>
  <c r="N236" i="3"/>
  <c r="O236" i="3"/>
  <c r="AG236" i="3" s="1"/>
  <c r="D236" i="3"/>
  <c r="AL236" i="3" s="1"/>
  <c r="AP235" i="3"/>
  <c r="N235" i="3"/>
  <c r="D235" i="3"/>
  <c r="AL235" i="3" s="1"/>
  <c r="AP234" i="3"/>
  <c r="N234" i="3"/>
  <c r="D234" i="3"/>
  <c r="AL234" i="3" s="1"/>
  <c r="AP233" i="3"/>
  <c r="N233" i="3"/>
  <c r="O233" i="3"/>
  <c r="AG233" i="3" s="1"/>
  <c r="D233" i="3"/>
  <c r="B43" i="4" s="1"/>
  <c r="AP232" i="3"/>
  <c r="O232" i="3"/>
  <c r="AG232" i="3" s="1"/>
  <c r="N232" i="3"/>
  <c r="D232" i="3"/>
  <c r="AL232" i="3" s="1"/>
  <c r="AP231" i="3"/>
  <c r="N231" i="3"/>
  <c r="O231" i="3"/>
  <c r="AG231" i="3" s="1"/>
  <c r="D231" i="3"/>
  <c r="AL231" i="3" s="1"/>
  <c r="AP230" i="3"/>
  <c r="O230" i="3"/>
  <c r="AG230" i="3" s="1"/>
  <c r="N230" i="3"/>
  <c r="D230" i="3"/>
  <c r="AP229" i="3"/>
  <c r="N229" i="3"/>
  <c r="O229" i="3"/>
  <c r="AG229" i="3" s="1"/>
  <c r="D229" i="3"/>
  <c r="AP228" i="3"/>
  <c r="O228" i="3"/>
  <c r="AG228" i="3" s="1"/>
  <c r="N228" i="3"/>
  <c r="D228" i="3"/>
  <c r="AE228" i="3" s="1"/>
  <c r="F228" i="3" s="1"/>
  <c r="AP227" i="3"/>
  <c r="N227" i="3"/>
  <c r="O227" i="3"/>
  <c r="AG227" i="3" s="1"/>
  <c r="D227" i="3"/>
  <c r="AL227" i="3" s="1"/>
  <c r="AP226" i="3"/>
  <c r="N226" i="3"/>
  <c r="D226" i="3"/>
  <c r="AE226" i="3" s="1"/>
  <c r="F226" i="3" s="1"/>
  <c r="AP225" i="3"/>
  <c r="N225" i="3"/>
  <c r="D225" i="3"/>
  <c r="AE225" i="3" s="1"/>
  <c r="F225" i="3" s="1"/>
  <c r="AP224" i="3"/>
  <c r="AE224" i="3"/>
  <c r="E224" i="3" s="1"/>
  <c r="N224" i="3"/>
  <c r="O224" i="3"/>
  <c r="AG224" i="3" s="1"/>
  <c r="J224" i="3"/>
  <c r="I224" i="3"/>
  <c r="AF224" i="3" s="1"/>
  <c r="D224" i="3"/>
  <c r="AL224" i="3" s="1"/>
  <c r="AP223" i="3"/>
  <c r="N223" i="3"/>
  <c r="J223" i="3"/>
  <c r="D223" i="3"/>
  <c r="AE223" i="3" s="1"/>
  <c r="F223" i="3" s="1"/>
  <c r="AP222" i="3"/>
  <c r="AE222" i="3"/>
  <c r="N222" i="3"/>
  <c r="D222" i="3"/>
  <c r="AL222" i="3" s="1"/>
  <c r="AP221" i="3"/>
  <c r="AL221" i="3"/>
  <c r="N221" i="3"/>
  <c r="O221" i="3"/>
  <c r="AG221" i="3" s="1"/>
  <c r="D221" i="3"/>
  <c r="AP220" i="3"/>
  <c r="AL220" i="3"/>
  <c r="O220" i="3"/>
  <c r="AG220" i="3" s="1"/>
  <c r="N220" i="3"/>
  <c r="D220" i="3"/>
  <c r="AP219" i="3"/>
  <c r="AE219" i="3"/>
  <c r="F219" i="3" s="1"/>
  <c r="O219" i="3"/>
  <c r="AG219" i="3" s="1"/>
  <c r="J219" i="3"/>
  <c r="D219" i="3"/>
  <c r="AL219" i="3" s="1"/>
  <c r="AP218" i="3"/>
  <c r="N218" i="3"/>
  <c r="D218" i="3"/>
  <c r="AL218" i="3" s="1"/>
  <c r="AP217" i="3"/>
  <c r="N217" i="3"/>
  <c r="D217" i="3"/>
  <c r="AE217" i="3" s="1"/>
  <c r="AP216" i="3"/>
  <c r="N216" i="3"/>
  <c r="D216" i="3"/>
  <c r="AL216" i="3" s="1"/>
  <c r="AP215" i="3"/>
  <c r="AL215" i="3"/>
  <c r="O215" i="3"/>
  <c r="AG215" i="3" s="1"/>
  <c r="N215" i="3"/>
  <c r="D215" i="3"/>
  <c r="AP214" i="3"/>
  <c r="N214" i="3"/>
  <c r="O214" i="3"/>
  <c r="AG214" i="3" s="1"/>
  <c r="D214" i="3"/>
  <c r="AL214" i="3" s="1"/>
  <c r="AP213" i="3"/>
  <c r="E213" i="3"/>
  <c r="O213" i="3"/>
  <c r="AG213" i="3" s="1"/>
  <c r="N213" i="3"/>
  <c r="I213" i="3"/>
  <c r="D213" i="3"/>
  <c r="AE213" i="3" s="1"/>
  <c r="F213" i="3" s="1"/>
  <c r="AP212" i="3"/>
  <c r="O212" i="3"/>
  <c r="AG212" i="3" s="1"/>
  <c r="N212" i="3"/>
  <c r="D212" i="3"/>
  <c r="AL212" i="3" s="1"/>
  <c r="AP211" i="3"/>
  <c r="O211" i="3"/>
  <c r="AG211" i="3" s="1"/>
  <c r="N211" i="3"/>
  <c r="D211" i="3"/>
  <c r="AP210" i="3"/>
  <c r="O210" i="3"/>
  <c r="AG210" i="3" s="1"/>
  <c r="N210" i="3"/>
  <c r="D210" i="3"/>
  <c r="AP209" i="3"/>
  <c r="O209" i="3"/>
  <c r="AG209" i="3" s="1"/>
  <c r="N209" i="3"/>
  <c r="D209" i="3"/>
  <c r="B39" i="4" s="1"/>
  <c r="AP208" i="3"/>
  <c r="AG208" i="3"/>
  <c r="AE208" i="3"/>
  <c r="F208" i="3" s="1"/>
  <c r="N208" i="3"/>
  <c r="O208" i="3"/>
  <c r="D208" i="3"/>
  <c r="AL208" i="3" s="1"/>
  <c r="AP207" i="3"/>
  <c r="O207" i="3"/>
  <c r="AG207" i="3" s="1"/>
  <c r="N207" i="3"/>
  <c r="D207" i="3"/>
  <c r="AL207" i="3" s="1"/>
  <c r="AP206" i="3"/>
  <c r="N206" i="3"/>
  <c r="O206" i="3"/>
  <c r="AG206" i="3" s="1"/>
  <c r="D206" i="3"/>
  <c r="AP205" i="3"/>
  <c r="AE205" i="3"/>
  <c r="N205" i="3"/>
  <c r="I205" i="3"/>
  <c r="D205" i="3"/>
  <c r="AL205" i="3" s="1"/>
  <c r="AP204" i="3"/>
  <c r="O204" i="3"/>
  <c r="AG204" i="3" s="1"/>
  <c r="N204" i="3"/>
  <c r="D204" i="3"/>
  <c r="AL204" i="3" s="1"/>
  <c r="AP203" i="3"/>
  <c r="AL203" i="3"/>
  <c r="AE203" i="3"/>
  <c r="I203" i="3"/>
  <c r="N203" i="3"/>
  <c r="D203" i="3"/>
  <c r="B38" i="4" s="1"/>
  <c r="AP202" i="3"/>
  <c r="AE202" i="3"/>
  <c r="F202" i="3" s="1"/>
  <c r="O202" i="3"/>
  <c r="AG202" i="3" s="1"/>
  <c r="N202" i="3"/>
  <c r="I202" i="3"/>
  <c r="D202" i="3"/>
  <c r="AL202" i="3" s="1"/>
  <c r="AP201" i="3"/>
  <c r="AL201" i="3"/>
  <c r="N201" i="3"/>
  <c r="O201" i="3"/>
  <c r="AG201" i="3" s="1"/>
  <c r="D201" i="3"/>
  <c r="AE201" i="3" s="1"/>
  <c r="F201" i="3" s="1"/>
  <c r="AP200" i="3"/>
  <c r="N200" i="3"/>
  <c r="D200" i="3"/>
  <c r="AP199" i="3"/>
  <c r="AL199" i="3"/>
  <c r="N199" i="3"/>
  <c r="O199" i="3"/>
  <c r="AG199" i="3" s="1"/>
  <c r="D199" i="3"/>
  <c r="AE199" i="3" s="1"/>
  <c r="AP198" i="3"/>
  <c r="N198" i="3"/>
  <c r="D198" i="3"/>
  <c r="AE198" i="3" s="1"/>
  <c r="F198" i="3" s="1"/>
  <c r="AP197" i="3"/>
  <c r="O197" i="3"/>
  <c r="AG197" i="3" s="1"/>
  <c r="N197" i="3"/>
  <c r="D197" i="3"/>
  <c r="B37" i="4" s="1"/>
  <c r="AP196" i="3"/>
  <c r="AE196" i="3"/>
  <c r="F196" i="3" s="1"/>
  <c r="N196" i="3"/>
  <c r="O196" i="3"/>
  <c r="AG196" i="3" s="1"/>
  <c r="D196" i="3"/>
  <c r="AL196" i="3" s="1"/>
  <c r="AP195" i="3"/>
  <c r="N195" i="3"/>
  <c r="O195" i="3"/>
  <c r="AG195" i="3" s="1"/>
  <c r="D195" i="3"/>
  <c r="AL195" i="3" s="1"/>
  <c r="AP194" i="3"/>
  <c r="AE194" i="3"/>
  <c r="I194" i="3" s="1"/>
  <c r="O194" i="3"/>
  <c r="AG194" i="3" s="1"/>
  <c r="N194" i="3"/>
  <c r="D194" i="3"/>
  <c r="AL194" i="3" s="1"/>
  <c r="AP193" i="3"/>
  <c r="N193" i="3"/>
  <c r="D193" i="3"/>
  <c r="AL193" i="3" s="1"/>
  <c r="AP192" i="3"/>
  <c r="O192" i="3"/>
  <c r="AG192" i="3" s="1"/>
  <c r="N192" i="3"/>
  <c r="J192" i="3"/>
  <c r="D192" i="3"/>
  <c r="AE192" i="3" s="1"/>
  <c r="F192" i="3" s="1"/>
  <c r="AP191" i="3"/>
  <c r="AL191" i="3"/>
  <c r="N191" i="3"/>
  <c r="D191" i="3"/>
  <c r="AP190" i="3"/>
  <c r="AE190" i="3"/>
  <c r="F190" i="3" s="1"/>
  <c r="O190" i="3"/>
  <c r="AG190" i="3" s="1"/>
  <c r="N190" i="3"/>
  <c r="D190" i="3"/>
  <c r="AL190" i="3" s="1"/>
  <c r="AP189" i="3"/>
  <c r="N189" i="3"/>
  <c r="O189" i="3"/>
  <c r="AG189" i="3" s="1"/>
  <c r="D189" i="3"/>
  <c r="AP188" i="3"/>
  <c r="N188" i="3"/>
  <c r="D188" i="3"/>
  <c r="AP187" i="3"/>
  <c r="AE187" i="3"/>
  <c r="N187" i="3"/>
  <c r="O187" i="3"/>
  <c r="AG187" i="3" s="1"/>
  <c r="D187" i="3"/>
  <c r="AL187" i="3" s="1"/>
  <c r="AP186" i="3"/>
  <c r="O186" i="3"/>
  <c r="AG186" i="3" s="1"/>
  <c r="N186" i="3"/>
  <c r="D186" i="3"/>
  <c r="AE186" i="3" s="1"/>
  <c r="F186" i="3" s="1"/>
  <c r="AP185" i="3"/>
  <c r="O185" i="3"/>
  <c r="AG185" i="3" s="1"/>
  <c r="N185" i="3"/>
  <c r="D185" i="3"/>
  <c r="B35" i="4" s="1"/>
  <c r="AP184" i="3"/>
  <c r="AG184" i="3"/>
  <c r="AE184" i="3"/>
  <c r="F184" i="3" s="1"/>
  <c r="N184" i="3"/>
  <c r="O184" i="3"/>
  <c r="D184" i="3"/>
  <c r="AL184" i="3" s="1"/>
  <c r="AP183" i="3"/>
  <c r="O183" i="3"/>
  <c r="AG183" i="3" s="1"/>
  <c r="N183" i="3"/>
  <c r="D183" i="3"/>
  <c r="AL183" i="3" s="1"/>
  <c r="AP182" i="3"/>
  <c r="AG182" i="3"/>
  <c r="O182" i="3"/>
  <c r="N182" i="3"/>
  <c r="D182" i="3"/>
  <c r="AP181" i="3"/>
  <c r="N181" i="3"/>
  <c r="D181" i="3"/>
  <c r="AL181" i="3" s="1"/>
  <c r="AP180" i="3"/>
  <c r="O180" i="3"/>
  <c r="AG180" i="3" s="1"/>
  <c r="N180" i="3"/>
  <c r="D180" i="3"/>
  <c r="AP179" i="3"/>
  <c r="N179" i="3"/>
  <c r="D179" i="3"/>
  <c r="B34" i="4" s="1"/>
  <c r="AP178" i="3"/>
  <c r="O178" i="3"/>
  <c r="AG178" i="3" s="1"/>
  <c r="N178" i="3"/>
  <c r="D178" i="3"/>
  <c r="AL178" i="3" s="1"/>
  <c r="AP177" i="3"/>
  <c r="N177" i="3"/>
  <c r="O177" i="3"/>
  <c r="AG177" i="3" s="1"/>
  <c r="D177" i="3"/>
  <c r="AE177" i="3" s="1"/>
  <c r="F177" i="3" s="1"/>
  <c r="AP176" i="3"/>
  <c r="N176" i="3"/>
  <c r="D176" i="3"/>
  <c r="AP175" i="3"/>
  <c r="AL175" i="3"/>
  <c r="N175" i="3"/>
  <c r="O175" i="3"/>
  <c r="AG175" i="3" s="1"/>
  <c r="D175" i="3"/>
  <c r="AE175" i="3" s="1"/>
  <c r="AP174" i="3"/>
  <c r="N174" i="3"/>
  <c r="D174" i="3"/>
  <c r="AL174" i="3" s="1"/>
  <c r="AP173" i="3"/>
  <c r="N173" i="3"/>
  <c r="D173" i="3"/>
  <c r="B33" i="4" s="1"/>
  <c r="AP172" i="3"/>
  <c r="O172" i="3"/>
  <c r="AG172" i="3" s="1"/>
  <c r="N172" i="3"/>
  <c r="D172" i="3"/>
  <c r="AP171" i="3"/>
  <c r="N171" i="3"/>
  <c r="D171" i="3"/>
  <c r="AL171" i="3" s="1"/>
  <c r="AP170" i="3"/>
  <c r="O170" i="3"/>
  <c r="AG170" i="3" s="1"/>
  <c r="N170" i="3"/>
  <c r="D170" i="3"/>
  <c r="AP169" i="3"/>
  <c r="N169" i="3"/>
  <c r="O169" i="3"/>
  <c r="AG169" i="3" s="1"/>
  <c r="D169" i="3"/>
  <c r="AE169" i="3" s="1"/>
  <c r="F169" i="3" s="1"/>
  <c r="AP168" i="3"/>
  <c r="AE168" i="3"/>
  <c r="F168" i="3" s="1"/>
  <c r="AL168" i="3"/>
  <c r="N168" i="3"/>
  <c r="O168" i="3"/>
  <c r="AG168" i="3" s="1"/>
  <c r="D168" i="3"/>
  <c r="AP167" i="3"/>
  <c r="N167" i="3"/>
  <c r="O167" i="3"/>
  <c r="AG167" i="3" s="1"/>
  <c r="D167" i="3"/>
  <c r="AE167" i="3" s="1"/>
  <c r="AP166" i="3"/>
  <c r="N166" i="3"/>
  <c r="O166" i="3"/>
  <c r="AG166" i="3" s="1"/>
  <c r="D166" i="3"/>
  <c r="AE166" i="3" s="1"/>
  <c r="F166" i="3" s="1"/>
  <c r="AP165" i="3"/>
  <c r="N165" i="3"/>
  <c r="O165" i="3"/>
  <c r="AG165" i="3" s="1"/>
  <c r="D165" i="3"/>
  <c r="AL165" i="3" s="1"/>
  <c r="AP164" i="3"/>
  <c r="AE164" i="3"/>
  <c r="O164" i="3"/>
  <c r="AG164" i="3" s="1"/>
  <c r="D164" i="3"/>
  <c r="AL164" i="3" s="1"/>
  <c r="AP163" i="3"/>
  <c r="O163" i="3"/>
  <c r="AG163" i="3" s="1"/>
  <c r="N163" i="3"/>
  <c r="D163" i="3"/>
  <c r="AE163" i="3" s="1"/>
  <c r="F163" i="3" s="1"/>
  <c r="AP162" i="3"/>
  <c r="O162" i="3"/>
  <c r="AG162" i="3" s="1"/>
  <c r="N162" i="3"/>
  <c r="D162" i="3"/>
  <c r="AE162" i="3" s="1"/>
  <c r="F162" i="3" s="1"/>
  <c r="AP161" i="3"/>
  <c r="AE161" i="3"/>
  <c r="E161" i="3" s="1"/>
  <c r="AL161" i="3"/>
  <c r="N161" i="3"/>
  <c r="O161" i="3"/>
  <c r="AG161" i="3" s="1"/>
  <c r="I161" i="3"/>
  <c r="D161" i="3"/>
  <c r="B31" i="4" s="1"/>
  <c r="AP160" i="3"/>
  <c r="O160" i="3"/>
  <c r="AG160" i="3" s="1"/>
  <c r="N160" i="3"/>
  <c r="D160" i="3"/>
  <c r="AE160" i="3" s="1"/>
  <c r="F160" i="3" s="1"/>
  <c r="AP159" i="3"/>
  <c r="N159" i="3"/>
  <c r="D159" i="3"/>
  <c r="AE159" i="3" s="1"/>
  <c r="F159" i="3" s="1"/>
  <c r="AP158" i="3"/>
  <c r="AE158" i="3"/>
  <c r="J158" i="3" s="1"/>
  <c r="N158" i="3"/>
  <c r="I158" i="3"/>
  <c r="D158" i="3"/>
  <c r="AL158" i="3" s="1"/>
  <c r="AP157" i="3"/>
  <c r="AE157" i="3"/>
  <c r="F157" i="3" s="1"/>
  <c r="I157" i="3"/>
  <c r="E157" i="3"/>
  <c r="O157" i="3"/>
  <c r="AG157" i="3" s="1"/>
  <c r="N157" i="3"/>
  <c r="J157" i="3"/>
  <c r="D157" i="3"/>
  <c r="AL157" i="3" s="1"/>
  <c r="AP156" i="3"/>
  <c r="AL156" i="3"/>
  <c r="N156" i="3"/>
  <c r="D156" i="3"/>
  <c r="AE156" i="3" s="1"/>
  <c r="AP155" i="3"/>
  <c r="N155" i="3"/>
  <c r="O155" i="3"/>
  <c r="AG155" i="3" s="1"/>
  <c r="D155" i="3"/>
  <c r="B30" i="4" s="1"/>
  <c r="AP154" i="3"/>
  <c r="O154" i="3"/>
  <c r="AG154" i="3" s="1"/>
  <c r="N154" i="3"/>
  <c r="D154" i="3"/>
  <c r="AP153" i="3"/>
  <c r="O153" i="3"/>
  <c r="AG153" i="3" s="1"/>
  <c r="N153" i="3"/>
  <c r="D153" i="3"/>
  <c r="AP152" i="3"/>
  <c r="AE152" i="3"/>
  <c r="F152" i="3" s="1"/>
  <c r="N152" i="3"/>
  <c r="O152" i="3"/>
  <c r="AG152" i="3" s="1"/>
  <c r="D152" i="3"/>
  <c r="AL152" i="3" s="1"/>
  <c r="AP151" i="3"/>
  <c r="O151" i="3"/>
  <c r="AG151" i="3" s="1"/>
  <c r="N151" i="3"/>
  <c r="D151" i="3"/>
  <c r="AE151" i="3" s="1"/>
  <c r="F151" i="3" s="1"/>
  <c r="AP150" i="3"/>
  <c r="O150" i="3"/>
  <c r="AG150" i="3" s="1"/>
  <c r="N150" i="3"/>
  <c r="D150" i="3"/>
  <c r="AE150" i="3" s="1"/>
  <c r="F150" i="3" s="1"/>
  <c r="AP149" i="3"/>
  <c r="AL149" i="3"/>
  <c r="N149" i="3"/>
  <c r="O149" i="3"/>
  <c r="AG149" i="3" s="1"/>
  <c r="D149" i="3"/>
  <c r="AP148" i="3"/>
  <c r="O148" i="3"/>
  <c r="AG148" i="3" s="1"/>
  <c r="N148" i="3"/>
  <c r="D148" i="3"/>
  <c r="AE148" i="3" s="1"/>
  <c r="F148" i="3" s="1"/>
  <c r="AP147" i="3"/>
  <c r="N147" i="3"/>
  <c r="D147" i="3"/>
  <c r="AE147" i="3" s="1"/>
  <c r="F147" i="3" s="1"/>
  <c r="AP146" i="3"/>
  <c r="N146" i="3"/>
  <c r="D146" i="3"/>
  <c r="AL146" i="3" s="1"/>
  <c r="AP145" i="3"/>
  <c r="O145" i="3"/>
  <c r="AG145" i="3" s="1"/>
  <c r="N145" i="3"/>
  <c r="D145" i="3"/>
  <c r="AL145" i="3" s="1"/>
  <c r="AP144" i="3"/>
  <c r="AL144" i="3"/>
  <c r="AE144" i="3"/>
  <c r="I144" i="3" s="1"/>
  <c r="N144" i="3"/>
  <c r="D144" i="3"/>
  <c r="AP143" i="3"/>
  <c r="N143" i="3"/>
  <c r="O143" i="3"/>
  <c r="AG143" i="3" s="1"/>
  <c r="D143" i="3"/>
  <c r="B28" i="4" s="1"/>
  <c r="AP142" i="3"/>
  <c r="O142" i="3"/>
  <c r="AG142" i="3" s="1"/>
  <c r="N142" i="3"/>
  <c r="D142" i="3"/>
  <c r="AP141" i="3"/>
  <c r="N141" i="3"/>
  <c r="D141" i="3"/>
  <c r="AP140" i="3"/>
  <c r="N140" i="3"/>
  <c r="O140" i="3"/>
  <c r="AG140" i="3" s="1"/>
  <c r="D140" i="3"/>
  <c r="AE140" i="3" s="1"/>
  <c r="AP139" i="3"/>
  <c r="O139" i="3"/>
  <c r="AG139" i="3" s="1"/>
  <c r="N139" i="3"/>
  <c r="D139" i="3"/>
  <c r="AP138" i="3"/>
  <c r="O138" i="3"/>
  <c r="AG138" i="3" s="1"/>
  <c r="N138" i="3"/>
  <c r="D138" i="3"/>
  <c r="AP137" i="3"/>
  <c r="AG137" i="3"/>
  <c r="AE137" i="3"/>
  <c r="F137" i="3" s="1"/>
  <c r="N137" i="3"/>
  <c r="O137" i="3"/>
  <c r="D137" i="3"/>
  <c r="B27" i="4" s="1"/>
  <c r="AP136" i="3"/>
  <c r="O136" i="3"/>
  <c r="AG136" i="3" s="1"/>
  <c r="N136" i="3"/>
  <c r="D136" i="3"/>
  <c r="AP135" i="3"/>
  <c r="O135" i="3"/>
  <c r="AG135" i="3" s="1"/>
  <c r="N135" i="3"/>
  <c r="D135" i="3"/>
  <c r="AP134" i="3"/>
  <c r="AE134" i="3"/>
  <c r="I134" i="3" s="1"/>
  <c r="N134" i="3"/>
  <c r="E134" i="3"/>
  <c r="D134" i="3"/>
  <c r="AP133" i="3"/>
  <c r="I133" i="3"/>
  <c r="AF133" i="3" s="1"/>
  <c r="E133" i="3"/>
  <c r="O133" i="3"/>
  <c r="AG133" i="3" s="1"/>
  <c r="N133" i="3"/>
  <c r="J133" i="3"/>
  <c r="D133" i="3"/>
  <c r="AE133" i="3" s="1"/>
  <c r="AP132" i="3"/>
  <c r="AL132" i="3"/>
  <c r="N132" i="3"/>
  <c r="O132" i="3"/>
  <c r="AG132" i="3" s="1"/>
  <c r="D132" i="3"/>
  <c r="AE132" i="3" s="1"/>
  <c r="AP131" i="3"/>
  <c r="N131" i="3"/>
  <c r="D131" i="3"/>
  <c r="AP130" i="3"/>
  <c r="AL130" i="3"/>
  <c r="N130" i="3"/>
  <c r="D130" i="3"/>
  <c r="AE130" i="3" s="1"/>
  <c r="AP129" i="3"/>
  <c r="N129" i="3"/>
  <c r="O129" i="3"/>
  <c r="AG129" i="3" s="1"/>
  <c r="D129" i="3"/>
  <c r="AE129" i="3" s="1"/>
  <c r="F129" i="3" s="1"/>
  <c r="AP128" i="3"/>
  <c r="AL128" i="3"/>
  <c r="N128" i="3"/>
  <c r="O128" i="3"/>
  <c r="AG128" i="3" s="1"/>
  <c r="D128" i="3"/>
  <c r="AE128" i="3" s="1"/>
  <c r="F128" i="3" s="1"/>
  <c r="AP127" i="3"/>
  <c r="AL127" i="3"/>
  <c r="AE127" i="3"/>
  <c r="E127" i="3" s="1"/>
  <c r="N127" i="3"/>
  <c r="D127" i="3"/>
  <c r="AP126" i="3"/>
  <c r="N126" i="3"/>
  <c r="D126" i="3"/>
  <c r="AL126" i="3" s="1"/>
  <c r="AP125" i="3"/>
  <c r="AL125" i="3"/>
  <c r="O125" i="3"/>
  <c r="AG125" i="3" s="1"/>
  <c r="N125" i="3"/>
  <c r="D125" i="3"/>
  <c r="B25" i="4" s="1"/>
  <c r="AP124" i="3"/>
  <c r="AL124" i="3"/>
  <c r="AE124" i="3"/>
  <c r="N124" i="3"/>
  <c r="D124" i="3"/>
  <c r="AP123" i="3"/>
  <c r="AE123" i="3"/>
  <c r="F123" i="3" s="1"/>
  <c r="O123" i="3"/>
  <c r="AG123" i="3" s="1"/>
  <c r="N123" i="3"/>
  <c r="D123" i="3"/>
  <c r="AL123" i="3" s="1"/>
  <c r="AP122" i="3"/>
  <c r="AL122" i="3"/>
  <c r="N122" i="3"/>
  <c r="O122" i="3"/>
  <c r="AG122" i="3" s="1"/>
  <c r="D122" i="3"/>
  <c r="AP121" i="3"/>
  <c r="N121" i="3"/>
  <c r="D121" i="3"/>
  <c r="AP120" i="3"/>
  <c r="AE120" i="3"/>
  <c r="F120" i="3" s="1"/>
  <c r="N120" i="3"/>
  <c r="O120" i="3"/>
  <c r="AG120" i="3" s="1"/>
  <c r="D120" i="3"/>
  <c r="AL120" i="3" s="1"/>
  <c r="AP119" i="3"/>
  <c r="N119" i="3"/>
  <c r="O119" i="3"/>
  <c r="AG119" i="3" s="1"/>
  <c r="D119" i="3"/>
  <c r="AP118" i="3"/>
  <c r="N118" i="3"/>
  <c r="D118" i="3"/>
  <c r="AE118" i="3" s="1"/>
  <c r="F118" i="3" s="1"/>
  <c r="AP117" i="3"/>
  <c r="AE117" i="3"/>
  <c r="F117" i="3" s="1"/>
  <c r="N117" i="3"/>
  <c r="O117" i="3"/>
  <c r="AG117" i="3" s="1"/>
  <c r="D117" i="3"/>
  <c r="AL117" i="3" s="1"/>
  <c r="AP116" i="3"/>
  <c r="N116" i="3"/>
  <c r="D116" i="3"/>
  <c r="AE116" i="3" s="1"/>
  <c r="F116" i="3" s="1"/>
  <c r="AP115" i="3"/>
  <c r="AE115" i="3"/>
  <c r="I115" i="3" s="1"/>
  <c r="J115" i="3"/>
  <c r="O115" i="3"/>
  <c r="AG115" i="3" s="1"/>
  <c r="N115" i="3"/>
  <c r="E115" i="3"/>
  <c r="D115" i="3"/>
  <c r="AL115" i="3" s="1"/>
  <c r="AP114" i="3"/>
  <c r="N114" i="3"/>
  <c r="O114" i="3"/>
  <c r="AG114" i="3" s="1"/>
  <c r="D114" i="3"/>
  <c r="AL114" i="3" s="1"/>
  <c r="AP113" i="3"/>
  <c r="O113" i="3"/>
  <c r="AG113" i="3" s="1"/>
  <c r="N113" i="3"/>
  <c r="D113" i="3"/>
  <c r="AP112" i="3"/>
  <c r="N112" i="3"/>
  <c r="D112" i="3"/>
  <c r="AE112" i="3" s="1"/>
  <c r="J112" i="3" s="1"/>
  <c r="AP111" i="3"/>
  <c r="AE111" i="3"/>
  <c r="F111" i="3" s="1"/>
  <c r="O111" i="3"/>
  <c r="AG111" i="3" s="1"/>
  <c r="N111" i="3"/>
  <c r="D111" i="3"/>
  <c r="AL111" i="3" s="1"/>
  <c r="AP110" i="3"/>
  <c r="AL110" i="3"/>
  <c r="O110" i="3"/>
  <c r="AG110" i="3" s="1"/>
  <c r="D110" i="3"/>
  <c r="AP109" i="3"/>
  <c r="O109" i="3"/>
  <c r="AG109" i="3" s="1"/>
  <c r="N109" i="3"/>
  <c r="D109" i="3"/>
  <c r="AP108" i="3"/>
  <c r="N108" i="3"/>
  <c r="O108" i="3"/>
  <c r="AG108" i="3" s="1"/>
  <c r="D108" i="3"/>
  <c r="AP107" i="3"/>
  <c r="N107" i="3"/>
  <c r="O107" i="3"/>
  <c r="AG107" i="3" s="1"/>
  <c r="D107" i="3"/>
  <c r="AP106" i="3"/>
  <c r="N106" i="3"/>
  <c r="D106" i="3"/>
  <c r="AE106" i="3" s="1"/>
  <c r="AP105" i="3"/>
  <c r="AE105" i="3"/>
  <c r="F105" i="3" s="1"/>
  <c r="N105" i="3"/>
  <c r="O105" i="3"/>
  <c r="AG105" i="3" s="1"/>
  <c r="D105" i="3"/>
  <c r="AL105" i="3" s="1"/>
  <c r="AP104" i="3"/>
  <c r="AL104" i="3"/>
  <c r="O104" i="3"/>
  <c r="AG104" i="3" s="1"/>
  <c r="N104" i="3"/>
  <c r="I104" i="3"/>
  <c r="D104" i="3"/>
  <c r="AE104" i="3" s="1"/>
  <c r="F104" i="3" s="1"/>
  <c r="AP103" i="3"/>
  <c r="AE103" i="3"/>
  <c r="J103" i="3" s="1"/>
  <c r="O103" i="3"/>
  <c r="AG103" i="3" s="1"/>
  <c r="N103" i="3"/>
  <c r="D103" i="3"/>
  <c r="AL103" i="3" s="1"/>
  <c r="AP102" i="3"/>
  <c r="AE102" i="3"/>
  <c r="J102" i="3" s="1"/>
  <c r="N102" i="3"/>
  <c r="O102" i="3"/>
  <c r="AG102" i="3" s="1"/>
  <c r="D102" i="3"/>
  <c r="AL102" i="3" s="1"/>
  <c r="AP101" i="3"/>
  <c r="O101" i="3"/>
  <c r="AG101" i="3" s="1"/>
  <c r="N101" i="3"/>
  <c r="D101" i="3"/>
  <c r="AP100" i="3"/>
  <c r="AL100" i="3"/>
  <c r="N100" i="3"/>
  <c r="D100" i="3"/>
  <c r="AE100" i="3" s="1"/>
  <c r="AP99" i="3"/>
  <c r="O99" i="3"/>
  <c r="AG99" i="3" s="1"/>
  <c r="N99" i="3"/>
  <c r="D99" i="3"/>
  <c r="AL99" i="3" s="1"/>
  <c r="AP98" i="3"/>
  <c r="N98" i="3"/>
  <c r="O98" i="3"/>
  <c r="AG98" i="3" s="1"/>
  <c r="D98" i="3"/>
  <c r="AL98" i="3" s="1"/>
  <c r="AP97" i="3"/>
  <c r="O97" i="3"/>
  <c r="AG97" i="3" s="1"/>
  <c r="N97" i="3"/>
  <c r="D97" i="3"/>
  <c r="AP96" i="3"/>
  <c r="N96" i="3"/>
  <c r="O96" i="3"/>
  <c r="AG96" i="3" s="1"/>
  <c r="D96" i="3"/>
  <c r="AL96" i="3" s="1"/>
  <c r="AP95" i="3"/>
  <c r="N95" i="3"/>
  <c r="O95" i="3"/>
  <c r="AG95" i="3" s="1"/>
  <c r="D95" i="3"/>
  <c r="AP94" i="3"/>
  <c r="N94" i="3"/>
  <c r="E94" i="3"/>
  <c r="D94" i="3"/>
  <c r="AE94" i="3" s="1"/>
  <c r="AP93" i="3"/>
  <c r="AE93" i="3"/>
  <c r="F93" i="3" s="1"/>
  <c r="N93" i="3"/>
  <c r="O93" i="3"/>
  <c r="AG93" i="3" s="1"/>
  <c r="D93" i="3"/>
  <c r="AP92" i="3"/>
  <c r="AL92" i="3"/>
  <c r="O92" i="3"/>
  <c r="AG92" i="3" s="1"/>
  <c r="N92" i="3"/>
  <c r="D92" i="3"/>
  <c r="AE92" i="3" s="1"/>
  <c r="F92" i="3" s="1"/>
  <c r="AP91" i="3"/>
  <c r="O91" i="3"/>
  <c r="AG91" i="3" s="1"/>
  <c r="N91" i="3"/>
  <c r="D91" i="3"/>
  <c r="AE91" i="3" s="1"/>
  <c r="J91" i="3" s="1"/>
  <c r="AP90" i="3"/>
  <c r="N90" i="3"/>
  <c r="D90" i="3"/>
  <c r="AL90" i="3" s="1"/>
  <c r="AP89" i="3"/>
  <c r="O89" i="3"/>
  <c r="AG89" i="3" s="1"/>
  <c r="N89" i="3"/>
  <c r="D89" i="3"/>
  <c r="AP88" i="3"/>
  <c r="AL88" i="3"/>
  <c r="AE88" i="3"/>
  <c r="J88" i="3" s="1"/>
  <c r="N88" i="3"/>
  <c r="D88" i="3"/>
  <c r="AP87" i="3"/>
  <c r="AE87" i="3"/>
  <c r="F87" i="3" s="1"/>
  <c r="O87" i="3"/>
  <c r="AG87" i="3" s="1"/>
  <c r="N87" i="3"/>
  <c r="D87" i="3"/>
  <c r="AL87" i="3" s="1"/>
  <c r="AP86" i="3"/>
  <c r="AL86" i="3"/>
  <c r="AE86" i="3"/>
  <c r="J86" i="3" s="1"/>
  <c r="N86" i="3"/>
  <c r="O86" i="3"/>
  <c r="AG86" i="3" s="1"/>
  <c r="D86" i="3"/>
  <c r="AP85" i="3"/>
  <c r="N85" i="3"/>
  <c r="D85" i="3"/>
  <c r="AE85" i="3" s="1"/>
  <c r="AP84" i="3"/>
  <c r="O84" i="3"/>
  <c r="AG84" i="3" s="1"/>
  <c r="N84" i="3"/>
  <c r="D84" i="3"/>
  <c r="AP83" i="3"/>
  <c r="N83" i="3"/>
  <c r="D83" i="3"/>
  <c r="AE83" i="3" s="1"/>
  <c r="AP82" i="3"/>
  <c r="N82" i="3"/>
  <c r="O82" i="3"/>
  <c r="AG82" i="3" s="1"/>
  <c r="D82" i="3"/>
  <c r="AE82" i="3" s="1"/>
  <c r="AP81" i="3"/>
  <c r="O81" i="3"/>
  <c r="AG81" i="3" s="1"/>
  <c r="N81" i="3"/>
  <c r="D81" i="3"/>
  <c r="AE81" i="3" s="1"/>
  <c r="F81" i="3" s="1"/>
  <c r="AP80" i="3"/>
  <c r="N80" i="3"/>
  <c r="D80" i="3"/>
  <c r="AE80" i="3" s="1"/>
  <c r="F80" i="3" s="1"/>
  <c r="AP79" i="3"/>
  <c r="O79" i="3"/>
  <c r="AG79" i="3" s="1"/>
  <c r="N79" i="3"/>
  <c r="D79" i="3"/>
  <c r="AE79" i="3" s="1"/>
  <c r="AP78" i="3"/>
  <c r="AL78" i="3"/>
  <c r="AE78" i="3"/>
  <c r="N78" i="3"/>
  <c r="O78" i="3"/>
  <c r="AG78" i="3" s="1"/>
  <c r="E78" i="3"/>
  <c r="D78" i="3"/>
  <c r="AP77" i="3"/>
  <c r="O77" i="3"/>
  <c r="AG77" i="3" s="1"/>
  <c r="N77" i="3"/>
  <c r="D77" i="3"/>
  <c r="B17" i="4" s="1"/>
  <c r="AP76" i="3"/>
  <c r="N76" i="3"/>
  <c r="O76" i="3"/>
  <c r="AG76" i="3" s="1"/>
  <c r="D76" i="3"/>
  <c r="AL76" i="3" s="1"/>
  <c r="AP75" i="3"/>
  <c r="O75" i="3"/>
  <c r="AG75" i="3" s="1"/>
  <c r="N75" i="3"/>
  <c r="D75" i="3"/>
  <c r="AP74" i="3"/>
  <c r="AE74" i="3"/>
  <c r="J74" i="3" s="1"/>
  <c r="N74" i="3"/>
  <c r="D74" i="3"/>
  <c r="AP73" i="3"/>
  <c r="AE73" i="3"/>
  <c r="N73" i="3"/>
  <c r="O73" i="3"/>
  <c r="AG73" i="3" s="1"/>
  <c r="D73" i="3"/>
  <c r="AL73" i="3" s="1"/>
  <c r="AP72" i="3"/>
  <c r="N72" i="3"/>
  <c r="O72" i="3"/>
  <c r="AG72" i="3" s="1"/>
  <c r="D72" i="3"/>
  <c r="AP71" i="3"/>
  <c r="AL71" i="3"/>
  <c r="O71" i="3"/>
  <c r="AG71" i="3" s="1"/>
  <c r="N71" i="3"/>
  <c r="D71" i="3"/>
  <c r="B16" i="4" s="1"/>
  <c r="AP70" i="3"/>
  <c r="N70" i="3"/>
  <c r="O70" i="3"/>
  <c r="AG70" i="3" s="1"/>
  <c r="J70" i="3"/>
  <c r="I70" i="3"/>
  <c r="E70" i="3"/>
  <c r="D70" i="3"/>
  <c r="AE70" i="3" s="1"/>
  <c r="AP69" i="3"/>
  <c r="O69" i="3"/>
  <c r="AG69" i="3" s="1"/>
  <c r="N69" i="3"/>
  <c r="D69" i="3"/>
  <c r="AE69" i="3" s="1"/>
  <c r="F69" i="3" s="1"/>
  <c r="AP68" i="3"/>
  <c r="N68" i="3"/>
  <c r="D68" i="3"/>
  <c r="AE68" i="3" s="1"/>
  <c r="F68" i="3" s="1"/>
  <c r="AP67" i="3"/>
  <c r="O67" i="3"/>
  <c r="AG67" i="3" s="1"/>
  <c r="N67" i="3"/>
  <c r="D67" i="3"/>
  <c r="AE67" i="3" s="1"/>
  <c r="AP66" i="3"/>
  <c r="AL66" i="3"/>
  <c r="AE66" i="3"/>
  <c r="F66" i="3" s="1"/>
  <c r="O66" i="3"/>
  <c r="AG66" i="3" s="1"/>
  <c r="N66" i="3"/>
  <c r="D66" i="3"/>
  <c r="AP65" i="3"/>
  <c r="AE65" i="3"/>
  <c r="O65" i="3"/>
  <c r="AG65" i="3" s="1"/>
  <c r="N65" i="3"/>
  <c r="D65" i="3"/>
  <c r="B15" i="4" s="1"/>
  <c r="AP64" i="3"/>
  <c r="N64" i="3"/>
  <c r="O64" i="3"/>
  <c r="AG64" i="3" s="1"/>
  <c r="D64" i="3"/>
  <c r="AL64" i="3" s="1"/>
  <c r="AP63" i="3"/>
  <c r="N63" i="3"/>
  <c r="D63" i="3"/>
  <c r="AP62" i="3"/>
  <c r="AE62" i="3"/>
  <c r="F62" i="3" s="1"/>
  <c r="O62" i="3"/>
  <c r="AG62" i="3" s="1"/>
  <c r="N62" i="3"/>
  <c r="D62" i="3"/>
  <c r="AP61" i="3"/>
  <c r="AE61" i="3"/>
  <c r="N61" i="3"/>
  <c r="O61" i="3"/>
  <c r="AG61" i="3" s="1"/>
  <c r="D61" i="3"/>
  <c r="AL61" i="3" s="1"/>
  <c r="AP60" i="3"/>
  <c r="AL60" i="3"/>
  <c r="N60" i="3"/>
  <c r="O60" i="3"/>
  <c r="AG60" i="3" s="1"/>
  <c r="D60" i="3"/>
  <c r="AE60" i="3" s="1"/>
  <c r="F60" i="3" s="1"/>
  <c r="AP59" i="3"/>
  <c r="O59" i="3"/>
  <c r="AG59" i="3" s="1"/>
  <c r="N59" i="3"/>
  <c r="D59" i="3"/>
  <c r="B14" i="4" s="1"/>
  <c r="AP58" i="3"/>
  <c r="AL58" i="3"/>
  <c r="AE58" i="3"/>
  <c r="E58" i="3" s="1"/>
  <c r="O58" i="3"/>
  <c r="AG58" i="3" s="1"/>
  <c r="N58" i="3"/>
  <c r="D58" i="3"/>
  <c r="AP57" i="3"/>
  <c r="N57" i="3"/>
  <c r="J57" i="3"/>
  <c r="D57" i="3"/>
  <c r="AE57" i="3" s="1"/>
  <c r="F57" i="3" s="1"/>
  <c r="AP56" i="3"/>
  <c r="N56" i="3"/>
  <c r="D56" i="3"/>
  <c r="AE56" i="3" s="1"/>
  <c r="F56" i="3" s="1"/>
  <c r="AP55" i="3"/>
  <c r="O55" i="3"/>
  <c r="AG55" i="3" s="1"/>
  <c r="N55" i="3"/>
  <c r="D55" i="3"/>
  <c r="AE55" i="3" s="1"/>
  <c r="AP54" i="3"/>
  <c r="AE54" i="3"/>
  <c r="E54" i="3" s="1"/>
  <c r="O54" i="3"/>
  <c r="AG54" i="3" s="1"/>
  <c r="N54" i="3"/>
  <c r="D54" i="3"/>
  <c r="AP53" i="3"/>
  <c r="AE53" i="3"/>
  <c r="O53" i="3"/>
  <c r="AG53" i="3" s="1"/>
  <c r="N53" i="3"/>
  <c r="D53" i="3"/>
  <c r="B13" i="4" s="1"/>
  <c r="AP52" i="3"/>
  <c r="O52" i="3"/>
  <c r="AG52" i="3" s="1"/>
  <c r="N52" i="3"/>
  <c r="D52" i="3"/>
  <c r="AP51" i="3"/>
  <c r="O51" i="3"/>
  <c r="AG51" i="3" s="1"/>
  <c r="N51" i="3"/>
  <c r="D51" i="3"/>
  <c r="AP50" i="3"/>
  <c r="O50" i="3"/>
  <c r="AG50" i="3" s="1"/>
  <c r="N50" i="3"/>
  <c r="D50" i="3"/>
  <c r="AL50" i="3" s="1"/>
  <c r="AP49" i="3"/>
  <c r="N49" i="3"/>
  <c r="D49" i="3"/>
  <c r="AL49" i="3" s="1"/>
  <c r="AP48" i="3"/>
  <c r="N48" i="3"/>
  <c r="D48" i="3"/>
  <c r="AP47" i="3"/>
  <c r="O47" i="3"/>
  <c r="AG47" i="3" s="1"/>
  <c r="N47" i="3"/>
  <c r="D47" i="3"/>
  <c r="B12" i="4" s="1"/>
  <c r="AP46" i="3"/>
  <c r="AE46" i="3"/>
  <c r="E46" i="3" s="1"/>
  <c r="N46" i="3"/>
  <c r="O46" i="3"/>
  <c r="AG46" i="3" s="1"/>
  <c r="D46" i="3"/>
  <c r="AL46" i="3" s="1"/>
  <c r="AP45" i="3"/>
  <c r="O45" i="3"/>
  <c r="AG45" i="3" s="1"/>
  <c r="N45" i="3"/>
  <c r="D45" i="3"/>
  <c r="AP44" i="3"/>
  <c r="N44" i="3"/>
  <c r="D44" i="3"/>
  <c r="AP43" i="3"/>
  <c r="AE43" i="3"/>
  <c r="I43" i="3" s="1"/>
  <c r="AL43" i="3"/>
  <c r="O43" i="3"/>
  <c r="AG43" i="3" s="1"/>
  <c r="N43" i="3"/>
  <c r="E43" i="3"/>
  <c r="D43" i="3"/>
  <c r="AP42" i="3"/>
  <c r="N42" i="3"/>
  <c r="O42" i="3"/>
  <c r="AG42" i="3" s="1"/>
  <c r="D42" i="3"/>
  <c r="AE42" i="3" s="1"/>
  <c r="AP41" i="3"/>
  <c r="O41" i="3"/>
  <c r="AG41" i="3" s="1"/>
  <c r="N41" i="3"/>
  <c r="D41" i="3"/>
  <c r="AP40" i="3"/>
  <c r="N40" i="3"/>
  <c r="O40" i="3"/>
  <c r="AG40" i="3" s="1"/>
  <c r="D40" i="3"/>
  <c r="AP39" i="3"/>
  <c r="AE39" i="3"/>
  <c r="F39" i="3" s="1"/>
  <c r="N39" i="3"/>
  <c r="O39" i="3"/>
  <c r="AG39" i="3" s="1"/>
  <c r="D39" i="3"/>
  <c r="AP38" i="3"/>
  <c r="AE38" i="3"/>
  <c r="E38" i="3" s="1"/>
  <c r="O38" i="3"/>
  <c r="AG38" i="3" s="1"/>
  <c r="N38" i="3"/>
  <c r="D38" i="3"/>
  <c r="AL38" i="3" s="1"/>
  <c r="AP37" i="3"/>
  <c r="AE37" i="3"/>
  <c r="E37" i="3" s="1"/>
  <c r="AL37" i="3"/>
  <c r="O37" i="3"/>
  <c r="AG37" i="3" s="1"/>
  <c r="N37" i="3"/>
  <c r="D37" i="3"/>
  <c r="AP36" i="3"/>
  <c r="N36" i="3"/>
  <c r="O36" i="3"/>
  <c r="AG36" i="3" s="1"/>
  <c r="D36" i="3"/>
  <c r="AE36" i="3" s="1"/>
  <c r="F36" i="3" s="1"/>
  <c r="AP35" i="3"/>
  <c r="N35" i="3"/>
  <c r="O35" i="3"/>
  <c r="AG35" i="3" s="1"/>
  <c r="D35" i="3"/>
  <c r="B10" i="4" s="1"/>
  <c r="AP34" i="3"/>
  <c r="O34" i="3"/>
  <c r="AG34" i="3" s="1"/>
  <c r="N34" i="3"/>
  <c r="D34" i="3"/>
  <c r="AL34" i="3" s="1"/>
  <c r="AP33" i="3"/>
  <c r="AL33" i="3"/>
  <c r="AE33" i="3"/>
  <c r="N33" i="3"/>
  <c r="J33" i="3"/>
  <c r="D33" i="3"/>
  <c r="AP32" i="3"/>
  <c r="AE32" i="3"/>
  <c r="F32" i="3" s="1"/>
  <c r="N32" i="3"/>
  <c r="J32" i="3"/>
  <c r="D32" i="3"/>
  <c r="AL32" i="3" s="1"/>
  <c r="AP31" i="3"/>
  <c r="N31" i="3"/>
  <c r="O31" i="3"/>
  <c r="AG31" i="3" s="1"/>
  <c r="D31" i="3"/>
  <c r="AE31" i="3" s="1"/>
  <c r="AP30" i="3"/>
  <c r="O30" i="3"/>
  <c r="AG30" i="3" s="1"/>
  <c r="N30" i="3"/>
  <c r="D30" i="3"/>
  <c r="AP29" i="3"/>
  <c r="O29" i="3"/>
  <c r="AG29" i="3" s="1"/>
  <c r="N29" i="3"/>
  <c r="D29" i="3"/>
  <c r="B9" i="4" s="1"/>
  <c r="AP28" i="3"/>
  <c r="N28" i="3"/>
  <c r="O28" i="3"/>
  <c r="AG28" i="3" s="1"/>
  <c r="D28" i="3"/>
  <c r="AL28" i="3" s="1"/>
  <c r="AP27" i="3"/>
  <c r="O27" i="3"/>
  <c r="AG27" i="3" s="1"/>
  <c r="N27" i="3"/>
  <c r="D27" i="3"/>
  <c r="AL27" i="3" s="1"/>
  <c r="AP26" i="3"/>
  <c r="O26" i="3"/>
  <c r="AG26" i="3" s="1"/>
  <c r="N26" i="3"/>
  <c r="D26" i="3"/>
  <c r="AE26" i="3" s="1"/>
  <c r="AP25" i="3"/>
  <c r="AE25" i="3"/>
  <c r="E25" i="3" s="1"/>
  <c r="AL25" i="3"/>
  <c r="O25" i="3"/>
  <c r="AG25" i="3" s="1"/>
  <c r="N25" i="3"/>
  <c r="D25" i="3"/>
  <c r="AP24" i="3"/>
  <c r="N24" i="3"/>
  <c r="O24" i="3"/>
  <c r="AG24" i="3" s="1"/>
  <c r="D24" i="3"/>
  <c r="AE24" i="3" s="1"/>
  <c r="F24" i="3" s="1"/>
  <c r="AP23" i="3"/>
  <c r="N23" i="3"/>
  <c r="O23" i="3"/>
  <c r="AG23" i="3" s="1"/>
  <c r="D23" i="3"/>
  <c r="B8" i="4" s="1"/>
  <c r="AP22" i="3"/>
  <c r="N22" i="3"/>
  <c r="D22" i="3"/>
  <c r="AE22" i="3" s="1"/>
  <c r="AP21" i="3"/>
  <c r="N21" i="3"/>
  <c r="D21" i="3"/>
  <c r="AE21" i="3" s="1"/>
  <c r="AP20" i="3"/>
  <c r="AE20" i="3"/>
  <c r="J20" i="3" s="1"/>
  <c r="N20" i="3"/>
  <c r="D20" i="3"/>
  <c r="AL20" i="3" s="1"/>
  <c r="AP19" i="3"/>
  <c r="AL19" i="3"/>
  <c r="N19" i="3"/>
  <c r="O19" i="3"/>
  <c r="AG19" i="3" s="1"/>
  <c r="D19" i="3"/>
  <c r="AE19" i="3" s="1"/>
  <c r="AP18" i="3"/>
  <c r="O18" i="3"/>
  <c r="AG18" i="3" s="1"/>
  <c r="N18" i="3"/>
  <c r="D18" i="3"/>
  <c r="AL18" i="3" s="1"/>
  <c r="AP17" i="3"/>
  <c r="O17" i="3"/>
  <c r="AG17" i="3" s="1"/>
  <c r="N17" i="3"/>
  <c r="D17" i="3"/>
  <c r="B7" i="4" s="1"/>
  <c r="AP16" i="3"/>
  <c r="N16" i="3"/>
  <c r="O16" i="3"/>
  <c r="AG16" i="3" s="1"/>
  <c r="D16" i="3"/>
  <c r="AL16" i="3" s="1"/>
  <c r="AP15" i="3"/>
  <c r="N15" i="3"/>
  <c r="O15" i="3"/>
  <c r="AG15" i="3" s="1"/>
  <c r="D15" i="3"/>
  <c r="AP14" i="3"/>
  <c r="AE14" i="3"/>
  <c r="F14" i="3" s="1"/>
  <c r="AL14" i="3"/>
  <c r="O14" i="3"/>
  <c r="AG14" i="3" s="1"/>
  <c r="N14" i="3"/>
  <c r="E14" i="3"/>
  <c r="D14" i="3"/>
  <c r="AP13" i="3"/>
  <c r="AL13" i="3"/>
  <c r="O13" i="3"/>
  <c r="AG13" i="3" s="1"/>
  <c r="N13" i="3"/>
  <c r="D13" i="3"/>
  <c r="AE13" i="3" s="1"/>
  <c r="AP12" i="3"/>
  <c r="AE12" i="3"/>
  <c r="N12" i="3"/>
  <c r="O12" i="3"/>
  <c r="AG12" i="3" s="1"/>
  <c r="D12" i="3"/>
  <c r="AP11" i="3"/>
  <c r="O11" i="3"/>
  <c r="AG11" i="3" s="1"/>
  <c r="N11" i="3"/>
  <c r="D11" i="3"/>
  <c r="B6" i="4" s="1"/>
  <c r="AP10" i="3"/>
  <c r="N10" i="3"/>
  <c r="D10" i="3"/>
  <c r="AE10" i="3" s="1"/>
  <c r="F10" i="3" s="1"/>
  <c r="AP9" i="3"/>
  <c r="AE9" i="3"/>
  <c r="I9" i="3" s="1"/>
  <c r="AL9" i="3"/>
  <c r="N9" i="3"/>
  <c r="D9" i="3"/>
  <c r="AP8" i="3"/>
  <c r="N8" i="3"/>
  <c r="D8" i="3"/>
  <c r="AL8" i="3" s="1"/>
  <c r="AP7" i="3"/>
  <c r="N7" i="3"/>
  <c r="D7" i="3"/>
  <c r="AE7" i="3" s="1"/>
  <c r="F7" i="3" s="1"/>
  <c r="AP6" i="3"/>
  <c r="AG6" i="3"/>
  <c r="O6" i="3"/>
  <c r="N6" i="3"/>
  <c r="D6" i="3"/>
  <c r="AE6" i="3" s="1"/>
  <c r="F6" i="3" s="1"/>
  <c r="AP5" i="3"/>
  <c r="AL5" i="3"/>
  <c r="O5" i="3"/>
  <c r="AG5" i="3" s="1"/>
  <c r="N5" i="3"/>
  <c r="D5" i="3"/>
  <c r="B5" i="4" s="1"/>
  <c r="B4" i="2"/>
  <c r="F26" i="3" l="1"/>
  <c r="E26" i="3"/>
  <c r="F300" i="3"/>
  <c r="I300" i="3"/>
  <c r="AF300" i="3" s="1"/>
  <c r="E300" i="3"/>
  <c r="J300" i="3"/>
  <c r="E132" i="3"/>
  <c r="J132" i="3"/>
  <c r="F132" i="3"/>
  <c r="F286" i="3"/>
  <c r="I286" i="3"/>
  <c r="J286" i="3"/>
  <c r="E286" i="3"/>
  <c r="E13" i="3"/>
  <c r="F13" i="3"/>
  <c r="I21" i="3"/>
  <c r="F21" i="3"/>
  <c r="J82" i="3"/>
  <c r="E82" i="3"/>
  <c r="I82" i="3"/>
  <c r="E140" i="3"/>
  <c r="F140" i="3"/>
  <c r="J175" i="3"/>
  <c r="F175" i="3"/>
  <c r="I175" i="3"/>
  <c r="E175" i="3"/>
  <c r="I83" i="3"/>
  <c r="J83" i="3"/>
  <c r="F83" i="3"/>
  <c r="I156" i="3"/>
  <c r="J156" i="3"/>
  <c r="F156" i="3"/>
  <c r="E325" i="3"/>
  <c r="F325" i="3"/>
  <c r="I325" i="3"/>
  <c r="J325" i="3"/>
  <c r="J349" i="3"/>
  <c r="E349" i="3"/>
  <c r="I349" i="3"/>
  <c r="F349" i="3"/>
  <c r="J100" i="3"/>
  <c r="E100" i="3"/>
  <c r="F42" i="3"/>
  <c r="I42" i="3"/>
  <c r="E42" i="3"/>
  <c r="J199" i="3"/>
  <c r="F199" i="3"/>
  <c r="I199" i="3"/>
  <c r="E199" i="3"/>
  <c r="AL17" i="3"/>
  <c r="E39" i="3"/>
  <c r="I46" i="3"/>
  <c r="I58" i="3"/>
  <c r="E62" i="3"/>
  <c r="E74" i="3"/>
  <c r="J78" i="3"/>
  <c r="F78" i="3"/>
  <c r="AL83" i="3"/>
  <c r="E88" i="3"/>
  <c r="AE90" i="3"/>
  <c r="J120" i="3"/>
  <c r="AE146" i="3"/>
  <c r="I190" i="3"/>
  <c r="AE234" i="3"/>
  <c r="J256" i="3"/>
  <c r="I265" i="3"/>
  <c r="F265" i="3"/>
  <c r="AL282" i="3"/>
  <c r="AE360" i="3"/>
  <c r="F38" i="3"/>
  <c r="AE34" i="3"/>
  <c r="F34" i="3" s="1"/>
  <c r="J46" i="3"/>
  <c r="AE50" i="3"/>
  <c r="J58" i="3"/>
  <c r="I62" i="3"/>
  <c r="I74" i="3"/>
  <c r="AF74" i="3" s="1"/>
  <c r="AL137" i="3"/>
  <c r="AE178" i="3"/>
  <c r="AL206" i="3"/>
  <c r="AE206" i="3"/>
  <c r="AL217" i="3"/>
  <c r="I256" i="3"/>
  <c r="AL258" i="3"/>
  <c r="AL299" i="3"/>
  <c r="E340" i="3"/>
  <c r="AL342" i="3"/>
  <c r="J9" i="3"/>
  <c r="F74" i="3"/>
  <c r="F115" i="3"/>
  <c r="AE72" i="3"/>
  <c r="F72" i="3" s="1"/>
  <c r="AL72" i="3"/>
  <c r="J187" i="3"/>
  <c r="F187" i="3"/>
  <c r="I187" i="3"/>
  <c r="J222" i="3"/>
  <c r="E222" i="3"/>
  <c r="F222" i="3"/>
  <c r="J277" i="3"/>
  <c r="F277" i="3"/>
  <c r="F285" i="3"/>
  <c r="I285" i="3"/>
  <c r="AL297" i="3"/>
  <c r="AE297" i="3"/>
  <c r="I312" i="3"/>
  <c r="F312" i="3"/>
  <c r="I324" i="3"/>
  <c r="F324" i="3"/>
  <c r="F43" i="3"/>
  <c r="F54" i="3"/>
  <c r="I247" i="3"/>
  <c r="F247" i="3"/>
  <c r="J247" i="3"/>
  <c r="AE254" i="3"/>
  <c r="AL254" i="3"/>
  <c r="J273" i="3"/>
  <c r="I273" i="3"/>
  <c r="F273" i="3"/>
  <c r="AL288" i="3"/>
  <c r="AE288" i="3"/>
  <c r="B55" i="4"/>
  <c r="AE305" i="3"/>
  <c r="E338" i="3"/>
  <c r="J368" i="3"/>
  <c r="E368" i="3"/>
  <c r="AL42" i="3"/>
  <c r="F70" i="3"/>
  <c r="F88" i="3"/>
  <c r="B24" i="4"/>
  <c r="AE119" i="3"/>
  <c r="J119" i="3" s="1"/>
  <c r="J177" i="3"/>
  <c r="AE235" i="3"/>
  <c r="AL313" i="3"/>
  <c r="AE313" i="3"/>
  <c r="J338" i="3"/>
  <c r="J358" i="3"/>
  <c r="I358" i="3"/>
  <c r="F358" i="3"/>
  <c r="F134" i="3"/>
  <c r="F86" i="3"/>
  <c r="I86" i="3"/>
  <c r="I103" i="3"/>
  <c r="E103" i="3"/>
  <c r="AE77" i="3"/>
  <c r="F77" i="3" s="1"/>
  <c r="AE99" i="3"/>
  <c r="F99" i="3" s="1"/>
  <c r="I116" i="3"/>
  <c r="AL167" i="3"/>
  <c r="AE181" i="3"/>
  <c r="B36" i="4"/>
  <c r="AE191" i="3"/>
  <c r="AL228" i="3"/>
  <c r="AE245" i="3"/>
  <c r="J272" i="3"/>
  <c r="AF272" i="3" s="1"/>
  <c r="AF284" i="3"/>
  <c r="J321" i="3"/>
  <c r="AF321" i="3" s="1"/>
  <c r="AL364" i="3"/>
  <c r="AE364" i="3"/>
  <c r="AL7" i="3"/>
  <c r="F37" i="3"/>
  <c r="F130" i="3"/>
  <c r="J53" i="3"/>
  <c r="F53" i="3"/>
  <c r="I33" i="3"/>
  <c r="F33" i="3"/>
  <c r="AL21" i="3"/>
  <c r="AL26" i="3"/>
  <c r="AL31" i="3"/>
  <c r="AL70" i="3"/>
  <c r="AL82" i="3"/>
  <c r="I102" i="3"/>
  <c r="E112" i="3"/>
  <c r="AE114" i="3"/>
  <c r="AL116" i="3"/>
  <c r="AL133" i="3"/>
  <c r="AE145" i="3"/>
  <c r="J148" i="3"/>
  <c r="AL169" i="3"/>
  <c r="AE204" i="3"/>
  <c r="B41" i="4"/>
  <c r="AE221" i="3"/>
  <c r="I221" i="3" s="1"/>
  <c r="AE233" i="3"/>
  <c r="E274" i="3"/>
  <c r="J284" i="3"/>
  <c r="AL309" i="3"/>
  <c r="AE309" i="3"/>
  <c r="J336" i="3"/>
  <c r="F336" i="3"/>
  <c r="E336" i="3"/>
  <c r="E343" i="3"/>
  <c r="F73" i="3"/>
  <c r="F100" i="3"/>
  <c r="F102" i="3"/>
  <c r="J65" i="3"/>
  <c r="F65" i="3"/>
  <c r="AE165" i="3"/>
  <c r="F165" i="3" s="1"/>
  <c r="AL177" i="3"/>
  <c r="AE179" i="3"/>
  <c r="AL182" i="3"/>
  <c r="AE182" i="3"/>
  <c r="AE189" i="3"/>
  <c r="F189" i="3" s="1"/>
  <c r="AL189" i="3"/>
  <c r="AE193" i="3"/>
  <c r="AE216" i="3"/>
  <c r="E219" i="3"/>
  <c r="AL233" i="3"/>
  <c r="I236" i="3"/>
  <c r="AF236" i="3" s="1"/>
  <c r="AI236" i="3" s="1"/>
  <c r="AN236" i="3" s="1"/>
  <c r="AL245" i="3"/>
  <c r="J253" i="3"/>
  <c r="J260" i="3"/>
  <c r="E272" i="3"/>
  <c r="J274" i="3"/>
  <c r="AE281" i="3"/>
  <c r="I298" i="3"/>
  <c r="F298" i="3"/>
  <c r="AE311" i="3"/>
  <c r="AL316" i="3"/>
  <c r="AE316" i="3"/>
  <c r="F316" i="3" s="1"/>
  <c r="AL338" i="3"/>
  <c r="AL349" i="3"/>
  <c r="I357" i="3"/>
  <c r="J21" i="3"/>
  <c r="AL54" i="3"/>
  <c r="AE8" i="3"/>
  <c r="E9" i="3"/>
  <c r="AE49" i="3"/>
  <c r="J49" i="3" s="1"/>
  <c r="AL29" i="3"/>
  <c r="J69" i="3"/>
  <c r="B22" i="4"/>
  <c r="AE107" i="3"/>
  <c r="AL112" i="3"/>
  <c r="J124" i="3"/>
  <c r="E124" i="3"/>
  <c r="F124" i="3"/>
  <c r="J144" i="3"/>
  <c r="AF144" i="3" s="1"/>
  <c r="AL170" i="3"/>
  <c r="AE170" i="3"/>
  <c r="AL179" i="3"/>
  <c r="I219" i="3"/>
  <c r="AE231" i="3"/>
  <c r="J236" i="3"/>
  <c r="AE243" i="3"/>
  <c r="AE262" i="3"/>
  <c r="F262" i="3" s="1"/>
  <c r="E265" i="3"/>
  <c r="I274" i="3"/>
  <c r="E276" i="3"/>
  <c r="F276" i="3"/>
  <c r="AL279" i="3"/>
  <c r="AE279" i="3"/>
  <c r="E284" i="3"/>
  <c r="E289" i="3"/>
  <c r="J298" i="3"/>
  <c r="AL311" i="3"/>
  <c r="AL336" i="3"/>
  <c r="J66" i="3"/>
  <c r="E66" i="3"/>
  <c r="B40" i="4"/>
  <c r="AE215" i="3"/>
  <c r="F215" i="3" s="1"/>
  <c r="B42" i="4"/>
  <c r="AE227" i="3"/>
  <c r="F227" i="3" s="1"/>
  <c r="AF260" i="3"/>
  <c r="F282" i="3"/>
  <c r="E282" i="3"/>
  <c r="F321" i="3"/>
  <c r="E321" i="3"/>
  <c r="AI321" i="3" s="1"/>
  <c r="AN321" i="3" s="1"/>
  <c r="I339" i="3"/>
  <c r="F339" i="3"/>
  <c r="F22" i="3"/>
  <c r="F31" i="3"/>
  <c r="E120" i="3"/>
  <c r="I127" i="3"/>
  <c r="F127" i="3"/>
  <c r="B29" i="4"/>
  <c r="AE149" i="3"/>
  <c r="E187" i="3"/>
  <c r="E194" i="3"/>
  <c r="J203" i="3"/>
  <c r="AF203" i="3" s="1"/>
  <c r="AI203" i="3" s="1"/>
  <c r="E203" i="3"/>
  <c r="F217" i="3"/>
  <c r="E217" i="3"/>
  <c r="J248" i="3"/>
  <c r="I248" i="3"/>
  <c r="AF248" i="3" s="1"/>
  <c r="AI248" i="3" s="1"/>
  <c r="J367" i="3"/>
  <c r="F367" i="3"/>
  <c r="F94" i="3"/>
  <c r="E12" i="3"/>
  <c r="F12" i="3"/>
  <c r="AL47" i="3"/>
  <c r="AL59" i="3"/>
  <c r="E86" i="3"/>
  <c r="I120" i="3"/>
  <c r="AF120" i="3" s="1"/>
  <c r="J194" i="3"/>
  <c r="E205" i="3"/>
  <c r="F205" i="3"/>
  <c r="J217" i="3"/>
  <c r="AE246" i="3"/>
  <c r="E256" i="3"/>
  <c r="I258" i="3"/>
  <c r="J265" i="3"/>
  <c r="AF265" i="3" s="1"/>
  <c r="E277" i="3"/>
  <c r="E291" i="3"/>
  <c r="F291" i="3"/>
  <c r="J304" i="3"/>
  <c r="F304" i="3"/>
  <c r="J312" i="3"/>
  <c r="B57" i="4"/>
  <c r="AE317" i="3"/>
  <c r="E324" i="3"/>
  <c r="AE334" i="3"/>
  <c r="F9" i="3"/>
  <c r="F20" i="3"/>
  <c r="F58" i="3"/>
  <c r="F144" i="3"/>
  <c r="F167" i="3"/>
  <c r="F203" i="3"/>
  <c r="F239" i="3"/>
  <c r="F311" i="3"/>
  <c r="F182" i="3"/>
  <c r="F254" i="3"/>
  <c r="F290" i="3"/>
  <c r="F326" i="3"/>
  <c r="F362" i="3"/>
  <c r="F161" i="3"/>
  <c r="F233" i="3"/>
  <c r="F269" i="3"/>
  <c r="F305" i="3"/>
  <c r="F67" i="3"/>
  <c r="F103" i="3"/>
  <c r="F248" i="3"/>
  <c r="F284" i="3"/>
  <c r="F320" i="3"/>
  <c r="F356" i="3"/>
  <c r="AL93" i="3"/>
  <c r="AL30" i="3"/>
  <c r="F46" i="3"/>
  <c r="F82" i="3"/>
  <c r="F191" i="3"/>
  <c r="E356" i="3"/>
  <c r="F25" i="3"/>
  <c r="F61" i="3"/>
  <c r="F133" i="3"/>
  <c r="F170" i="3"/>
  <c r="F206" i="3"/>
  <c r="F278" i="3"/>
  <c r="F314" i="3"/>
  <c r="F112" i="3"/>
  <c r="F221" i="3"/>
  <c r="F293" i="3"/>
  <c r="F329" i="3"/>
  <c r="F19" i="3"/>
  <c r="F55" i="3"/>
  <c r="F91" i="3"/>
  <c r="F164" i="3"/>
  <c r="F236" i="3"/>
  <c r="F272" i="3"/>
  <c r="F308" i="3"/>
  <c r="F106" i="3"/>
  <c r="F179" i="3"/>
  <c r="F251" i="3"/>
  <c r="F323" i="3"/>
  <c r="AL251" i="3"/>
  <c r="AF356" i="3"/>
  <c r="AL6" i="3"/>
  <c r="J42" i="3"/>
  <c r="F49" i="3"/>
  <c r="F85" i="3"/>
  <c r="F158" i="3"/>
  <c r="F194" i="3"/>
  <c r="F266" i="3"/>
  <c r="F302" i="3"/>
  <c r="F338" i="3"/>
  <c r="F119" i="3"/>
  <c r="F245" i="3"/>
  <c r="F281" i="3"/>
  <c r="F317" i="3"/>
  <c r="F224" i="3"/>
  <c r="F260" i="3"/>
  <c r="F296" i="3"/>
  <c r="F332" i="3"/>
  <c r="F368" i="3"/>
  <c r="AL12" i="3"/>
  <c r="AL48" i="3"/>
  <c r="J39" i="3"/>
  <c r="AF33" i="3"/>
  <c r="AF187" i="3"/>
  <c r="AF256" i="3"/>
  <c r="AF324" i="3"/>
  <c r="AI324" i="3" s="1"/>
  <c r="AF9" i="3"/>
  <c r="AI9" i="3" s="1"/>
  <c r="AF21" i="3"/>
  <c r="AF157" i="3"/>
  <c r="AI157" i="3" s="1"/>
  <c r="AN157" i="3" s="1"/>
  <c r="AF338" i="3"/>
  <c r="AI356" i="3"/>
  <c r="G9" i="4"/>
  <c r="AF70" i="3"/>
  <c r="AI70" i="3" s="1"/>
  <c r="AN70" i="3" s="1"/>
  <c r="AI74" i="3"/>
  <c r="AN74" i="3" s="1"/>
  <c r="AI120" i="3"/>
  <c r="AN120" i="3" s="1"/>
  <c r="AF274" i="3"/>
  <c r="AF349" i="3"/>
  <c r="AF325" i="3"/>
  <c r="AL15" i="3"/>
  <c r="I32" i="3"/>
  <c r="AF32" i="3" s="1"/>
  <c r="AL39" i="3"/>
  <c r="J54" i="3"/>
  <c r="AF83" i="3"/>
  <c r="AF158" i="3"/>
  <c r="AF175" i="3"/>
  <c r="AF42" i="3"/>
  <c r="AI42" i="3" s="1"/>
  <c r="AN42" i="3" s="1"/>
  <c r="AF82" i="3"/>
  <c r="AI82" i="3" s="1"/>
  <c r="AN82" i="3" s="1"/>
  <c r="AF86" i="3"/>
  <c r="AI86" i="3" s="1"/>
  <c r="AN86" i="3" s="1"/>
  <c r="AF247" i="3"/>
  <c r="AI284" i="3"/>
  <c r="E36" i="3"/>
  <c r="J36" i="3"/>
  <c r="I36" i="3"/>
  <c r="E22" i="3"/>
  <c r="I22" i="3"/>
  <c r="J22" i="3"/>
  <c r="J31" i="3"/>
  <c r="I31" i="3"/>
  <c r="E31" i="3"/>
  <c r="J19" i="3"/>
  <c r="I19" i="3"/>
  <c r="E19" i="3"/>
  <c r="E24" i="3"/>
  <c r="J24" i="3"/>
  <c r="I24" i="3"/>
  <c r="E10" i="3"/>
  <c r="J10" i="3"/>
  <c r="I10" i="3"/>
  <c r="I6" i="3"/>
  <c r="J6" i="3"/>
  <c r="E6" i="3"/>
  <c r="J7" i="3"/>
  <c r="I7" i="3"/>
  <c r="E7" i="3"/>
  <c r="I56" i="3"/>
  <c r="AF56" i="3" s="1"/>
  <c r="E56" i="3"/>
  <c r="J56" i="3"/>
  <c r="E60" i="3"/>
  <c r="J60" i="3"/>
  <c r="I60" i="3"/>
  <c r="I12" i="3"/>
  <c r="AE15" i="3"/>
  <c r="F15" i="3" s="1"/>
  <c r="AE27" i="3"/>
  <c r="F27" i="3" s="1"/>
  <c r="AL52" i="3"/>
  <c r="AE52" i="3"/>
  <c r="F52" i="3" s="1"/>
  <c r="E69" i="3"/>
  <c r="I69" i="3"/>
  <c r="AF69" i="3" s="1"/>
  <c r="AL74" i="3"/>
  <c r="J12" i="3"/>
  <c r="I13" i="3"/>
  <c r="AE16" i="3"/>
  <c r="F16" i="3" s="1"/>
  <c r="I25" i="3"/>
  <c r="AE28" i="3"/>
  <c r="F28" i="3" s="1"/>
  <c r="I37" i="3"/>
  <c r="I50" i="3"/>
  <c r="AL51" i="3"/>
  <c r="AE51" i="3"/>
  <c r="F51" i="3" s="1"/>
  <c r="J55" i="3"/>
  <c r="I55" i="3"/>
  <c r="E55" i="3"/>
  <c r="AL75" i="3"/>
  <c r="AE75" i="3"/>
  <c r="F75" i="3" s="1"/>
  <c r="J85" i="3"/>
  <c r="E85" i="3"/>
  <c r="I85" i="3"/>
  <c r="O7" i="3"/>
  <c r="AG7" i="3" s="1"/>
  <c r="AE5" i="3"/>
  <c r="F5" i="3" s="1"/>
  <c r="O8" i="3"/>
  <c r="AG8" i="3" s="1"/>
  <c r="AL10" i="3"/>
  <c r="J13" i="3"/>
  <c r="I14" i="3"/>
  <c r="AE17" i="3"/>
  <c r="F17" i="3" s="1"/>
  <c r="O20" i="3"/>
  <c r="AG20" i="3" s="1"/>
  <c r="AL22" i="3"/>
  <c r="G7" i="4" s="1"/>
  <c r="J25" i="3"/>
  <c r="I26" i="3"/>
  <c r="AE29" i="3"/>
  <c r="F29" i="3" s="1"/>
  <c r="O32" i="3"/>
  <c r="AG32" i="3" s="1"/>
  <c r="J37" i="3"/>
  <c r="I38" i="3"/>
  <c r="I39" i="3"/>
  <c r="AE44" i="3"/>
  <c r="F44" i="3" s="1"/>
  <c r="AL44" i="3"/>
  <c r="O68" i="3"/>
  <c r="AG68" i="3" s="1"/>
  <c r="O94" i="3"/>
  <c r="AG94" i="3" s="1"/>
  <c r="O56" i="3"/>
  <c r="AG56" i="3" s="1"/>
  <c r="O9" i="3"/>
  <c r="AG9" i="3" s="1"/>
  <c r="AL11" i="3"/>
  <c r="J14" i="3"/>
  <c r="AE18" i="3"/>
  <c r="F18" i="3" s="1"/>
  <c r="O21" i="3"/>
  <c r="AG21" i="3" s="1"/>
  <c r="AL23" i="3"/>
  <c r="J26" i="3"/>
  <c r="AE30" i="3"/>
  <c r="F30" i="3" s="1"/>
  <c r="O33" i="3"/>
  <c r="AG33" i="3" s="1"/>
  <c r="AL35" i="3"/>
  <c r="J38" i="3"/>
  <c r="B11" i="4"/>
  <c r="AL41" i="3"/>
  <c r="AE41" i="3"/>
  <c r="F41" i="3" s="1"/>
  <c r="I68" i="3"/>
  <c r="E68" i="3"/>
  <c r="J68" i="3"/>
  <c r="E72" i="3"/>
  <c r="J72" i="3"/>
  <c r="I72" i="3"/>
  <c r="J77" i="3"/>
  <c r="E81" i="3"/>
  <c r="I81" i="3"/>
  <c r="E8" i="3"/>
  <c r="O10" i="3"/>
  <c r="AG10" i="3" s="1"/>
  <c r="E20" i="3"/>
  <c r="O22" i="3"/>
  <c r="AG22" i="3" s="1"/>
  <c r="AL24" i="3"/>
  <c r="E32" i="3"/>
  <c r="AI32" i="3" s="1"/>
  <c r="AL36" i="3"/>
  <c r="AE45" i="3"/>
  <c r="F45" i="3" s="1"/>
  <c r="AL45" i="3"/>
  <c r="I49" i="3"/>
  <c r="AF49" i="3" s="1"/>
  <c r="E49" i="3"/>
  <c r="J81" i="3"/>
  <c r="E21" i="3"/>
  <c r="AI21" i="3" s="1"/>
  <c r="AN21" i="3" s="1"/>
  <c r="E33" i="3"/>
  <c r="J61" i="3"/>
  <c r="I61" i="3"/>
  <c r="E61" i="3"/>
  <c r="J67" i="3"/>
  <c r="I67" i="3"/>
  <c r="AF67" i="3" s="1"/>
  <c r="E67" i="3"/>
  <c r="O80" i="3"/>
  <c r="AG80" i="3" s="1"/>
  <c r="O48" i="3"/>
  <c r="AG48" i="3" s="1"/>
  <c r="I80" i="3"/>
  <c r="E80" i="3"/>
  <c r="J80" i="3"/>
  <c r="AL136" i="3"/>
  <c r="AE136" i="3"/>
  <c r="F136" i="3" s="1"/>
  <c r="J43" i="3"/>
  <c r="AF43" i="3" s="1"/>
  <c r="AI43" i="3" s="1"/>
  <c r="AN43" i="3" s="1"/>
  <c r="B19" i="4"/>
  <c r="AE89" i="3"/>
  <c r="F89" i="3" s="1"/>
  <c r="AL89" i="3"/>
  <c r="I8" i="3"/>
  <c r="AE11" i="3"/>
  <c r="F11" i="3" s="1"/>
  <c r="I20" i="3"/>
  <c r="AF20" i="3" s="1"/>
  <c r="AE23" i="3"/>
  <c r="F23" i="3" s="1"/>
  <c r="AE35" i="3"/>
  <c r="F35" i="3" s="1"/>
  <c r="AL40" i="3"/>
  <c r="AE40" i="3"/>
  <c r="F40" i="3" s="1"/>
  <c r="O44" i="3"/>
  <c r="AG44" i="3" s="1"/>
  <c r="E57" i="3"/>
  <c r="AI57" i="3" s="1"/>
  <c r="I57" i="3"/>
  <c r="AF57" i="3" s="1"/>
  <c r="AL62" i="3"/>
  <c r="G5" i="4"/>
  <c r="O49" i="3"/>
  <c r="AG49" i="3" s="1"/>
  <c r="AL63" i="3"/>
  <c r="G14" i="4" s="1"/>
  <c r="AE63" i="3"/>
  <c r="F63" i="3" s="1"/>
  <c r="J73" i="3"/>
  <c r="I73" i="3"/>
  <c r="E73" i="3"/>
  <c r="J79" i="3"/>
  <c r="I79" i="3"/>
  <c r="E79" i="3"/>
  <c r="I128" i="3"/>
  <c r="J128" i="3"/>
  <c r="E128" i="3"/>
  <c r="AE48" i="3"/>
  <c r="F48" i="3" s="1"/>
  <c r="AL53" i="3"/>
  <c r="AL65" i="3"/>
  <c r="AL77" i="3"/>
  <c r="O83" i="3"/>
  <c r="AG83" i="3" s="1"/>
  <c r="O85" i="3"/>
  <c r="AG85" i="3" s="1"/>
  <c r="O88" i="3"/>
  <c r="AG88" i="3" s="1"/>
  <c r="B20" i="4"/>
  <c r="AL95" i="3"/>
  <c r="G20" i="4" s="1"/>
  <c r="AL97" i="3"/>
  <c r="AE97" i="3"/>
  <c r="F97" i="3" s="1"/>
  <c r="E104" i="3"/>
  <c r="J104" i="3"/>
  <c r="AF104" i="3" s="1"/>
  <c r="B23" i="4"/>
  <c r="AE113" i="3"/>
  <c r="F113" i="3" s="1"/>
  <c r="AL113" i="3"/>
  <c r="E119" i="3"/>
  <c r="I119" i="3"/>
  <c r="AF119" i="3" s="1"/>
  <c r="AL55" i="3"/>
  <c r="AL67" i="3"/>
  <c r="AL79" i="3"/>
  <c r="E106" i="3"/>
  <c r="J106" i="3"/>
  <c r="I106" i="3"/>
  <c r="AF106" i="3" s="1"/>
  <c r="AL108" i="3"/>
  <c r="AL109" i="3"/>
  <c r="AE109" i="3"/>
  <c r="F109" i="3" s="1"/>
  <c r="E116" i="3"/>
  <c r="J116" i="3"/>
  <c r="AF116" i="3" s="1"/>
  <c r="J123" i="3"/>
  <c r="E162" i="3"/>
  <c r="J162" i="3"/>
  <c r="I162" i="3"/>
  <c r="AL56" i="3"/>
  <c r="AL68" i="3"/>
  <c r="AL80" i="3"/>
  <c r="AL84" i="3"/>
  <c r="AE84" i="3"/>
  <c r="F84" i="3" s="1"/>
  <c r="O106" i="3"/>
  <c r="AG106" i="3" s="1"/>
  <c r="E53" i="3"/>
  <c r="AL57" i="3"/>
  <c r="AE64" i="3"/>
  <c r="F64" i="3" s="1"/>
  <c r="E65" i="3"/>
  <c r="AL69" i="3"/>
  <c r="AE76" i="3"/>
  <c r="F76" i="3" s="1"/>
  <c r="E77" i="3"/>
  <c r="AL81" i="3"/>
  <c r="I91" i="3"/>
  <c r="AF91" i="3" s="1"/>
  <c r="E91" i="3"/>
  <c r="E118" i="3"/>
  <c r="J118" i="3"/>
  <c r="I118" i="3"/>
  <c r="J87" i="3"/>
  <c r="E87" i="3"/>
  <c r="O118" i="3"/>
  <c r="AG118" i="3" s="1"/>
  <c r="I160" i="3"/>
  <c r="E160" i="3"/>
  <c r="J160" i="3"/>
  <c r="O57" i="3"/>
  <c r="AG57" i="3" s="1"/>
  <c r="J62" i="3"/>
  <c r="AF62" i="3" s="1"/>
  <c r="AI62" i="3" s="1"/>
  <c r="AN62" i="3" s="1"/>
  <c r="G16" i="4"/>
  <c r="E93" i="3"/>
  <c r="J93" i="3"/>
  <c r="I93" i="3"/>
  <c r="AF103" i="3"/>
  <c r="AI103" i="3" s="1"/>
  <c r="AN103" i="3" s="1"/>
  <c r="AI133" i="3"/>
  <c r="AN133" i="3" s="1"/>
  <c r="E92" i="3"/>
  <c r="J92" i="3"/>
  <c r="J99" i="3"/>
  <c r="I99" i="3"/>
  <c r="E99" i="3"/>
  <c r="AL121" i="3"/>
  <c r="AE121" i="3"/>
  <c r="F121" i="3" s="1"/>
  <c r="I53" i="3"/>
  <c r="AF53" i="3" s="1"/>
  <c r="I65" i="3"/>
  <c r="AF65" i="3" s="1"/>
  <c r="I77" i="3"/>
  <c r="B18" i="4"/>
  <c r="O90" i="3"/>
  <c r="AG90" i="3" s="1"/>
  <c r="AE95" i="3"/>
  <c r="F95" i="3" s="1"/>
  <c r="AF102" i="3"/>
  <c r="AF115" i="3"/>
  <c r="AI115" i="3" s="1"/>
  <c r="AN115" i="3" s="1"/>
  <c r="O121" i="3"/>
  <c r="AG121" i="3" s="1"/>
  <c r="O130" i="3"/>
  <c r="AG130" i="3" s="1"/>
  <c r="I54" i="3"/>
  <c r="AF54" i="3" s="1"/>
  <c r="AI54" i="3" s="1"/>
  <c r="AN54" i="3" s="1"/>
  <c r="I66" i="3"/>
  <c r="AF66" i="3" s="1"/>
  <c r="AI66" i="3" s="1"/>
  <c r="AN66" i="3" s="1"/>
  <c r="G66" i="3" s="1"/>
  <c r="I78" i="3"/>
  <c r="AF78" i="3" s="1"/>
  <c r="AI78" i="3" s="1"/>
  <c r="AN78" i="3" s="1"/>
  <c r="G78" i="3" s="1"/>
  <c r="E83" i="3"/>
  <c r="AL85" i="3"/>
  <c r="I92" i="3"/>
  <c r="E105" i="3"/>
  <c r="J111" i="3"/>
  <c r="I111" i="3"/>
  <c r="E111" i="3"/>
  <c r="AL139" i="3"/>
  <c r="AE139" i="3"/>
  <c r="F139" i="3" s="1"/>
  <c r="I87" i="3"/>
  <c r="B21" i="4"/>
  <c r="AE101" i="3"/>
  <c r="F101" i="3" s="1"/>
  <c r="AL101" i="3"/>
  <c r="E107" i="3"/>
  <c r="I107" i="3"/>
  <c r="E129" i="3"/>
  <c r="J129" i="3"/>
  <c r="I129" i="3"/>
  <c r="AE47" i="3"/>
  <c r="F47" i="3" s="1"/>
  <c r="AE59" i="3"/>
  <c r="F59" i="3" s="1"/>
  <c r="AE71" i="3"/>
  <c r="F71" i="3" s="1"/>
  <c r="J90" i="3"/>
  <c r="E90" i="3"/>
  <c r="J94" i="3"/>
  <c r="I94" i="3"/>
  <c r="E117" i="3"/>
  <c r="AE96" i="3"/>
  <c r="F96" i="3" s="1"/>
  <c r="I105" i="3"/>
  <c r="AE108" i="3"/>
  <c r="F108" i="3" s="1"/>
  <c r="I117" i="3"/>
  <c r="O127" i="3"/>
  <c r="AG127" i="3" s="1"/>
  <c r="O131" i="3"/>
  <c r="AG131" i="3" s="1"/>
  <c r="E168" i="3"/>
  <c r="J168" i="3"/>
  <c r="I168" i="3"/>
  <c r="O100" i="3"/>
  <c r="AG100" i="3" s="1"/>
  <c r="J105" i="3"/>
  <c r="O112" i="3"/>
  <c r="AG112" i="3" s="1"/>
  <c r="J117" i="3"/>
  <c r="O124" i="3"/>
  <c r="AG124" i="3" s="1"/>
  <c r="O126" i="3"/>
  <c r="AG126" i="3" s="1"/>
  <c r="AL140" i="3"/>
  <c r="E151" i="3"/>
  <c r="J151" i="3"/>
  <c r="I151" i="3"/>
  <c r="O159" i="3"/>
  <c r="AG159" i="3" s="1"/>
  <c r="E167" i="3"/>
  <c r="J167" i="3"/>
  <c r="I167" i="3"/>
  <c r="AL91" i="3"/>
  <c r="AE98" i="3"/>
  <c r="F98" i="3" s="1"/>
  <c r="AE110" i="3"/>
  <c r="F110" i="3" s="1"/>
  <c r="AE122" i="3"/>
  <c r="F122" i="3" s="1"/>
  <c r="E123" i="3"/>
  <c r="AL129" i="3"/>
  <c r="G25" i="4" s="1"/>
  <c r="O134" i="3"/>
  <c r="AG134" i="3" s="1"/>
  <c r="AL141" i="3"/>
  <c r="AE141" i="3"/>
  <c r="F141" i="3" s="1"/>
  <c r="AE142" i="3"/>
  <c r="F142" i="3" s="1"/>
  <c r="I148" i="3"/>
  <c r="AF148" i="3" s="1"/>
  <c r="E148" i="3"/>
  <c r="E150" i="3"/>
  <c r="J150" i="3"/>
  <c r="I150" i="3"/>
  <c r="J159" i="3"/>
  <c r="I159" i="3"/>
  <c r="E159" i="3"/>
  <c r="E166" i="3"/>
  <c r="J166" i="3"/>
  <c r="I166" i="3"/>
  <c r="B26" i="4"/>
  <c r="AE131" i="3"/>
  <c r="F131" i="3" s="1"/>
  <c r="J137" i="3"/>
  <c r="O141" i="3"/>
  <c r="AG141" i="3" s="1"/>
  <c r="J165" i="3"/>
  <c r="I165" i="3"/>
  <c r="J169" i="3"/>
  <c r="E169" i="3"/>
  <c r="I169" i="3"/>
  <c r="AL172" i="3"/>
  <c r="G32" i="4" s="1"/>
  <c r="AE172" i="3"/>
  <c r="F172" i="3" s="1"/>
  <c r="AE126" i="3"/>
  <c r="F126" i="3" s="1"/>
  <c r="O147" i="3"/>
  <c r="AG147" i="3" s="1"/>
  <c r="E164" i="3"/>
  <c r="J164" i="3"/>
  <c r="I164" i="3"/>
  <c r="AL94" i="3"/>
  <c r="E102" i="3"/>
  <c r="AI102" i="3" s="1"/>
  <c r="AN102" i="3" s="1"/>
  <c r="G102" i="3" s="1"/>
  <c r="AL106" i="3"/>
  <c r="E114" i="3"/>
  <c r="O116" i="3"/>
  <c r="AG116" i="3" s="1"/>
  <c r="AL118" i="3"/>
  <c r="AE125" i="3"/>
  <c r="F125" i="3" s="1"/>
  <c r="I132" i="3"/>
  <c r="AF132" i="3" s="1"/>
  <c r="AI132" i="3" s="1"/>
  <c r="AN132" i="3" s="1"/>
  <c r="AE135" i="3"/>
  <c r="F135" i="3" s="1"/>
  <c r="AL135" i="3"/>
  <c r="E137" i="3"/>
  <c r="J147" i="3"/>
  <c r="I147" i="3"/>
  <c r="E147" i="3"/>
  <c r="AL107" i="3"/>
  <c r="AL119" i="3"/>
  <c r="I123" i="3"/>
  <c r="AF123" i="3" s="1"/>
  <c r="I88" i="3"/>
  <c r="AF88" i="3" s="1"/>
  <c r="AI88" i="3" s="1"/>
  <c r="AN88" i="3" s="1"/>
  <c r="I100" i="3"/>
  <c r="AF100" i="3" s="1"/>
  <c r="AI100" i="3" s="1"/>
  <c r="AN100" i="3" s="1"/>
  <c r="I112" i="3"/>
  <c r="AF112" i="3" s="1"/>
  <c r="AI112" i="3" s="1"/>
  <c r="AN112" i="3" s="1"/>
  <c r="I124" i="3"/>
  <c r="AF124" i="3" s="1"/>
  <c r="AI124" i="3" s="1"/>
  <c r="J127" i="3"/>
  <c r="AF127" i="3" s="1"/>
  <c r="AI127" i="3" s="1"/>
  <c r="AN127" i="3" s="1"/>
  <c r="G127" i="3" s="1"/>
  <c r="E130" i="3"/>
  <c r="E152" i="3"/>
  <c r="J152" i="3"/>
  <c r="I152" i="3"/>
  <c r="I137" i="3"/>
  <c r="AE138" i="3"/>
  <c r="F138" i="3" s="1"/>
  <c r="AL138" i="3"/>
  <c r="AL154" i="3"/>
  <c r="AE154" i="3"/>
  <c r="F154" i="3" s="1"/>
  <c r="AF156" i="3"/>
  <c r="E165" i="3"/>
  <c r="AI175" i="3"/>
  <c r="AN175" i="3" s="1"/>
  <c r="I130" i="3"/>
  <c r="AL131" i="3"/>
  <c r="G26" i="4" s="1"/>
  <c r="J134" i="3"/>
  <c r="AF134" i="3" s="1"/>
  <c r="AI134" i="3" s="1"/>
  <c r="J130" i="3"/>
  <c r="AL134" i="3"/>
  <c r="J140" i="3"/>
  <c r="I140" i="3"/>
  <c r="AL142" i="3"/>
  <c r="AL153" i="3"/>
  <c r="E163" i="3"/>
  <c r="J163" i="3"/>
  <c r="I163" i="3"/>
  <c r="O144" i="3"/>
  <c r="AG144" i="3" s="1"/>
  <c r="J149" i="3"/>
  <c r="AE153" i="3"/>
  <c r="F153" i="3" s="1"/>
  <c r="O156" i="3"/>
  <c r="AG156" i="3" s="1"/>
  <c r="J161" i="3"/>
  <c r="AF161" i="3" s="1"/>
  <c r="AI161" i="3" s="1"/>
  <c r="AN161" i="3" s="1"/>
  <c r="O179" i="3"/>
  <c r="AG179" i="3" s="1"/>
  <c r="AL198" i="3"/>
  <c r="AE200" i="3"/>
  <c r="F200" i="3" s="1"/>
  <c r="AL200" i="3"/>
  <c r="O203" i="3"/>
  <c r="AG203" i="3" s="1"/>
  <c r="AL147" i="3"/>
  <c r="AL159" i="3"/>
  <c r="AE180" i="3"/>
  <c r="F180" i="3" s="1"/>
  <c r="AL180" i="3"/>
  <c r="G34" i="4" s="1"/>
  <c r="AE143" i="3"/>
  <c r="F143" i="3" s="1"/>
  <c r="E144" i="3"/>
  <c r="O146" i="3"/>
  <c r="AG146" i="3" s="1"/>
  <c r="AL148" i="3"/>
  <c r="AE155" i="3"/>
  <c r="F155" i="3" s="1"/>
  <c r="E156" i="3"/>
  <c r="AI156" i="3" s="1"/>
  <c r="O158" i="3"/>
  <c r="AG158" i="3" s="1"/>
  <c r="AL160" i="3"/>
  <c r="O173" i="3"/>
  <c r="AG173" i="3" s="1"/>
  <c r="J190" i="3"/>
  <c r="AF190" i="3" s="1"/>
  <c r="AF199" i="3"/>
  <c r="AI199" i="3" s="1"/>
  <c r="AN199" i="3" s="1"/>
  <c r="O181" i="3"/>
  <c r="AG181" i="3" s="1"/>
  <c r="O205" i="3"/>
  <c r="AG205" i="3" s="1"/>
  <c r="J208" i="3"/>
  <c r="I208" i="3"/>
  <c r="AF208" i="3" s="1"/>
  <c r="E208" i="3"/>
  <c r="E146" i="3"/>
  <c r="AL150" i="3"/>
  <c r="E158" i="3"/>
  <c r="AI158" i="3" s="1"/>
  <c r="AL162" i="3"/>
  <c r="AE171" i="3"/>
  <c r="F171" i="3" s="1"/>
  <c r="O216" i="3"/>
  <c r="AG216" i="3" s="1"/>
  <c r="AL151" i="3"/>
  <c r="AL163" i="3"/>
  <c r="AE176" i="3"/>
  <c r="F176" i="3" s="1"/>
  <c r="AL176" i="3"/>
  <c r="J178" i="3"/>
  <c r="E178" i="3"/>
  <c r="J184" i="3"/>
  <c r="I184" i="3"/>
  <c r="E184" i="3"/>
  <c r="J186" i="3"/>
  <c r="I186" i="3"/>
  <c r="E186" i="3"/>
  <c r="AI224" i="3"/>
  <c r="O176" i="3"/>
  <c r="AG176" i="3" s="1"/>
  <c r="I177" i="3"/>
  <c r="AF177" i="3" s="1"/>
  <c r="E177" i="3"/>
  <c r="AF194" i="3"/>
  <c r="AI194" i="3" s="1"/>
  <c r="AN194" i="3" s="1"/>
  <c r="J202" i="3"/>
  <c r="AF202" i="3" s="1"/>
  <c r="AE174" i="3"/>
  <c r="F174" i="3" s="1"/>
  <c r="J189" i="3"/>
  <c r="I189" i="3"/>
  <c r="E189" i="3"/>
  <c r="O191" i="3"/>
  <c r="AG191" i="3" s="1"/>
  <c r="E192" i="3"/>
  <c r="I192" i="3"/>
  <c r="AF192" i="3" s="1"/>
  <c r="O193" i="3"/>
  <c r="AG193" i="3" s="1"/>
  <c r="J196" i="3"/>
  <c r="I196" i="3"/>
  <c r="AF196" i="3" s="1"/>
  <c r="E196" i="3"/>
  <c r="J198" i="3"/>
  <c r="I198" i="3"/>
  <c r="E198" i="3"/>
  <c r="AL143" i="3"/>
  <c r="AL155" i="3"/>
  <c r="AL166" i="3"/>
  <c r="B32" i="4"/>
  <c r="O171" i="3"/>
  <c r="AG171" i="3" s="1"/>
  <c r="AL186" i="3"/>
  <c r="AI187" i="3"/>
  <c r="AN187" i="3" s="1"/>
  <c r="AE188" i="3"/>
  <c r="F188" i="3" s="1"/>
  <c r="AL188" i="3"/>
  <c r="G38" i="4"/>
  <c r="J201" i="3"/>
  <c r="I201" i="3"/>
  <c r="E201" i="3"/>
  <c r="O223" i="3"/>
  <c r="AG223" i="3" s="1"/>
  <c r="O174" i="3"/>
  <c r="AG174" i="3" s="1"/>
  <c r="J179" i="3"/>
  <c r="AE183" i="3"/>
  <c r="F183" i="3" s="1"/>
  <c r="AE195" i="3"/>
  <c r="F195" i="3" s="1"/>
  <c r="O198" i="3"/>
  <c r="AG198" i="3" s="1"/>
  <c r="I204" i="3"/>
  <c r="AE207" i="3"/>
  <c r="F207" i="3" s="1"/>
  <c r="AL210" i="3"/>
  <c r="AE212" i="3"/>
  <c r="F212" i="3" s="1"/>
  <c r="E216" i="3"/>
  <c r="AN248" i="3"/>
  <c r="AI256" i="3"/>
  <c r="J262" i="3"/>
  <c r="I262" i="3"/>
  <c r="E262" i="3"/>
  <c r="O222" i="3"/>
  <c r="AG222" i="3" s="1"/>
  <c r="E237" i="3"/>
  <c r="J237" i="3"/>
  <c r="O247" i="3"/>
  <c r="AG247" i="3" s="1"/>
  <c r="AE173" i="3"/>
  <c r="F173" i="3" s="1"/>
  <c r="J181" i="3"/>
  <c r="AE185" i="3"/>
  <c r="F185" i="3" s="1"/>
  <c r="O188" i="3"/>
  <c r="AG188" i="3" s="1"/>
  <c r="J193" i="3"/>
  <c r="AE197" i="3"/>
  <c r="F197" i="3" s="1"/>
  <c r="O200" i="3"/>
  <c r="AG200" i="3" s="1"/>
  <c r="J205" i="3"/>
  <c r="AF205" i="3" s="1"/>
  <c r="AI205" i="3" s="1"/>
  <c r="I206" i="3"/>
  <c r="AE209" i="3"/>
  <c r="F209" i="3" s="1"/>
  <c r="AE210" i="3"/>
  <c r="F210" i="3" s="1"/>
  <c r="AE211" i="3"/>
  <c r="F211" i="3" s="1"/>
  <c r="AL213" i="3"/>
  <c r="E215" i="3"/>
  <c r="AE220" i="3"/>
  <c r="F220" i="3" s="1"/>
  <c r="I223" i="3"/>
  <c r="AF223" i="3" s="1"/>
  <c r="E223" i="3"/>
  <c r="AI223" i="3" s="1"/>
  <c r="AN223" i="3" s="1"/>
  <c r="E227" i="3"/>
  <c r="J227" i="3"/>
  <c r="I227" i="3"/>
  <c r="I237" i="3"/>
  <c r="E250" i="3"/>
  <c r="J250" i="3"/>
  <c r="I250" i="3"/>
  <c r="AL192" i="3"/>
  <c r="G36" i="4" s="1"/>
  <c r="J228" i="3"/>
  <c r="I228" i="3"/>
  <c r="AL230" i="3"/>
  <c r="AE230" i="3"/>
  <c r="F230" i="3" s="1"/>
  <c r="E249" i="3"/>
  <c r="J249" i="3"/>
  <c r="J254" i="3"/>
  <c r="E254" i="3"/>
  <c r="I254" i="3"/>
  <c r="O254" i="3"/>
  <c r="AG254" i="3" s="1"/>
  <c r="AL283" i="3"/>
  <c r="AE283" i="3"/>
  <c r="F283" i="3" s="1"/>
  <c r="J221" i="3"/>
  <c r="AF221" i="3" s="1"/>
  <c r="E221" i="3"/>
  <c r="E225" i="3"/>
  <c r="J225" i="3"/>
  <c r="E226" i="3"/>
  <c r="J226" i="3"/>
  <c r="I226" i="3"/>
  <c r="I249" i="3"/>
  <c r="E190" i="3"/>
  <c r="E202" i="3"/>
  <c r="AE214" i="3"/>
  <c r="F214" i="3" s="1"/>
  <c r="AL211" i="3"/>
  <c r="G40" i="4"/>
  <c r="I217" i="3"/>
  <c r="AF217" i="3" s="1"/>
  <c r="AI217" i="3" s="1"/>
  <c r="I225" i="3"/>
  <c r="AL229" i="3"/>
  <c r="J240" i="3"/>
  <c r="I240" i="3"/>
  <c r="E240" i="3"/>
  <c r="AL242" i="3"/>
  <c r="AE242" i="3"/>
  <c r="F242" i="3" s="1"/>
  <c r="O218" i="3"/>
  <c r="AG218" i="3" s="1"/>
  <c r="E228" i="3"/>
  <c r="AL173" i="3"/>
  <c r="AL185" i="3"/>
  <c r="G35" i="4" s="1"/>
  <c r="AL197" i="3"/>
  <c r="AL209" i="3"/>
  <c r="G39" i="4" s="1"/>
  <c r="J213" i="3"/>
  <c r="AF213" i="3" s="1"/>
  <c r="AI213" i="3" s="1"/>
  <c r="AN213" i="3" s="1"/>
  <c r="AF219" i="3"/>
  <c r="AI219" i="3" s="1"/>
  <c r="AN219" i="3" s="1"/>
  <c r="O217" i="3"/>
  <c r="AG217" i="3" s="1"/>
  <c r="J252" i="3"/>
  <c r="I252" i="3"/>
  <c r="E252" i="3"/>
  <c r="E259" i="3"/>
  <c r="I259" i="3"/>
  <c r="AE218" i="3"/>
  <c r="F218" i="3" s="1"/>
  <c r="O235" i="3"/>
  <c r="AG235" i="3" s="1"/>
  <c r="E238" i="3"/>
  <c r="J238" i="3"/>
  <c r="I238" i="3"/>
  <c r="J259" i="3"/>
  <c r="O259" i="3"/>
  <c r="AG259" i="3" s="1"/>
  <c r="AI260" i="3"/>
  <c r="J281" i="3"/>
  <c r="I281" i="3"/>
  <c r="AF281" i="3" s="1"/>
  <c r="E281" i="3"/>
  <c r="E290" i="3"/>
  <c r="J290" i="3"/>
  <c r="AF290" i="3" s="1"/>
  <c r="O298" i="3"/>
  <c r="AG298" i="3" s="1"/>
  <c r="AE229" i="3"/>
  <c r="F229" i="3" s="1"/>
  <c r="AE241" i="3"/>
  <c r="F241" i="3" s="1"/>
  <c r="J258" i="3"/>
  <c r="AF258" i="3" s="1"/>
  <c r="AL259" i="3"/>
  <c r="AL223" i="3"/>
  <c r="I239" i="3"/>
  <c r="I251" i="3"/>
  <c r="E264" i="3"/>
  <c r="J264" i="3"/>
  <c r="E266" i="3"/>
  <c r="J266" i="3"/>
  <c r="O276" i="3"/>
  <c r="AG276" i="3" s="1"/>
  <c r="J282" i="3"/>
  <c r="I282" i="3"/>
  <c r="J302" i="3"/>
  <c r="I302" i="3"/>
  <c r="E302" i="3"/>
  <c r="O234" i="3"/>
  <c r="AG234" i="3" s="1"/>
  <c r="J239" i="3"/>
  <c r="O246" i="3"/>
  <c r="AG246" i="3" s="1"/>
  <c r="J251" i="3"/>
  <c r="AE261" i="3"/>
  <c r="F261" i="3" s="1"/>
  <c r="AL264" i="3"/>
  <c r="J294" i="3"/>
  <c r="I294" i="3"/>
  <c r="AN224" i="3"/>
  <c r="AL225" i="3"/>
  <c r="AE232" i="3"/>
  <c r="F232" i="3" s="1"/>
  <c r="E233" i="3"/>
  <c r="AL237" i="3"/>
  <c r="AE244" i="3"/>
  <c r="F244" i="3" s="1"/>
  <c r="E245" i="3"/>
  <c r="AL249" i="3"/>
  <c r="AE255" i="3"/>
  <c r="F255" i="3" s="1"/>
  <c r="G47" i="4"/>
  <c r="AL226" i="3"/>
  <c r="AL238" i="3"/>
  <c r="AL250" i="3"/>
  <c r="AN260" i="3"/>
  <c r="J269" i="3"/>
  <c r="I269" i="3"/>
  <c r="AF269" i="3" s="1"/>
  <c r="E269" i="3"/>
  <c r="AF273" i="3"/>
  <c r="AI274" i="3"/>
  <c r="E278" i="3"/>
  <c r="J278" i="3"/>
  <c r="J293" i="3"/>
  <c r="I293" i="3"/>
  <c r="E293" i="3"/>
  <c r="O225" i="3"/>
  <c r="AG225" i="3" s="1"/>
  <c r="E235" i="3"/>
  <c r="O237" i="3"/>
  <c r="AG237" i="3" s="1"/>
  <c r="G44" i="4"/>
  <c r="E247" i="3"/>
  <c r="AI247" i="3" s="1"/>
  <c r="AN247" i="3" s="1"/>
  <c r="O249" i="3"/>
  <c r="AG249" i="3" s="1"/>
  <c r="G46" i="4"/>
  <c r="O258" i="3"/>
  <c r="AG258" i="3" s="1"/>
  <c r="J267" i="3"/>
  <c r="I267" i="3"/>
  <c r="AL271" i="3"/>
  <c r="AE271" i="3"/>
  <c r="F271" i="3" s="1"/>
  <c r="I278" i="3"/>
  <c r="J285" i="3"/>
  <c r="AF285" i="3" s="1"/>
  <c r="I264" i="3"/>
  <c r="AF264" i="3" s="1"/>
  <c r="I266" i="3"/>
  <c r="O266" i="3"/>
  <c r="AG266" i="3" s="1"/>
  <c r="B48" i="4"/>
  <c r="AE263" i="3"/>
  <c r="F263" i="3" s="1"/>
  <c r="AL263" i="3"/>
  <c r="J270" i="3"/>
  <c r="I270" i="3"/>
  <c r="O288" i="3"/>
  <c r="AG288" i="3" s="1"/>
  <c r="I222" i="3"/>
  <c r="AF222" i="3" s="1"/>
  <c r="AI222" i="3" s="1"/>
  <c r="I234" i="3"/>
  <c r="I246" i="3"/>
  <c r="E258" i="3"/>
  <c r="AI258" i="3" s="1"/>
  <c r="AN258" i="3" s="1"/>
  <c r="O262" i="3"/>
  <c r="AG262" i="3" s="1"/>
  <c r="E267" i="3"/>
  <c r="E270" i="3"/>
  <c r="E294" i="3"/>
  <c r="I253" i="3"/>
  <c r="AF253" i="3" s="1"/>
  <c r="AI253" i="3" s="1"/>
  <c r="AN253" i="3" s="1"/>
  <c r="O256" i="3"/>
  <c r="AG256" i="3" s="1"/>
  <c r="AE257" i="3"/>
  <c r="F257" i="3" s="1"/>
  <c r="AL268" i="3"/>
  <c r="AE268" i="3"/>
  <c r="F268" i="3" s="1"/>
  <c r="B49" i="4"/>
  <c r="AL269" i="3"/>
  <c r="AF298" i="3"/>
  <c r="O271" i="3"/>
  <c r="AG271" i="3" s="1"/>
  <c r="J276" i="3"/>
  <c r="AF276" i="3" s="1"/>
  <c r="AI276" i="3" s="1"/>
  <c r="I277" i="3"/>
  <c r="AF277" i="3" s="1"/>
  <c r="AI277" i="3" s="1"/>
  <c r="AN277" i="3" s="1"/>
  <c r="AE280" i="3"/>
  <c r="F280" i="3" s="1"/>
  <c r="O283" i="3"/>
  <c r="AG283" i="3" s="1"/>
  <c r="AN284" i="3"/>
  <c r="J288" i="3"/>
  <c r="I289" i="3"/>
  <c r="AF289" i="3" s="1"/>
  <c r="AI289" i="3" s="1"/>
  <c r="AN289" i="3" s="1"/>
  <c r="AE292" i="3"/>
  <c r="F292" i="3" s="1"/>
  <c r="AE295" i="3"/>
  <c r="F295" i="3" s="1"/>
  <c r="AL304" i="3"/>
  <c r="AL318" i="3"/>
  <c r="AE318" i="3"/>
  <c r="F318" i="3" s="1"/>
  <c r="O273" i="3"/>
  <c r="AG273" i="3" s="1"/>
  <c r="AL275" i="3"/>
  <c r="I279" i="3"/>
  <c r="O285" i="3"/>
  <c r="AG285" i="3" s="1"/>
  <c r="AL287" i="3"/>
  <c r="I291" i="3"/>
  <c r="I296" i="3"/>
  <c r="AL298" i="3"/>
  <c r="J333" i="3"/>
  <c r="I333" i="3"/>
  <c r="E333" i="3"/>
  <c r="AI349" i="3"/>
  <c r="AN349" i="3" s="1"/>
  <c r="J352" i="3"/>
  <c r="I352" i="3"/>
  <c r="E352" i="3"/>
  <c r="O274" i="3"/>
  <c r="AG274" i="3" s="1"/>
  <c r="J279" i="3"/>
  <c r="O286" i="3"/>
  <c r="AG286" i="3" s="1"/>
  <c r="J291" i="3"/>
  <c r="J296" i="3"/>
  <c r="O299" i="3"/>
  <c r="AG299" i="3" s="1"/>
  <c r="O300" i="3"/>
  <c r="AG300" i="3" s="1"/>
  <c r="J305" i="3"/>
  <c r="J328" i="3"/>
  <c r="I328" i="3"/>
  <c r="E328" i="3"/>
  <c r="E273" i="3"/>
  <c r="AI273" i="3" s="1"/>
  <c r="E285" i="3"/>
  <c r="AL300" i="3"/>
  <c r="AL278" i="3"/>
  <c r="AL290" i="3"/>
  <c r="E305" i="3"/>
  <c r="AE299" i="3"/>
  <c r="F299" i="3" s="1"/>
  <c r="J308" i="3"/>
  <c r="I308" i="3"/>
  <c r="E308" i="3"/>
  <c r="AI325" i="3"/>
  <c r="J346" i="3"/>
  <c r="I346" i="3"/>
  <c r="E346" i="3"/>
  <c r="AE275" i="3"/>
  <c r="F275" i="3" s="1"/>
  <c r="AE287" i="3"/>
  <c r="F287" i="3" s="1"/>
  <c r="O297" i="3"/>
  <c r="AG297" i="3" s="1"/>
  <c r="I305" i="3"/>
  <c r="J316" i="3"/>
  <c r="I316" i="3"/>
  <c r="E316" i="3"/>
  <c r="O323" i="3"/>
  <c r="AG323" i="3" s="1"/>
  <c r="AL330" i="3"/>
  <c r="AE330" i="3"/>
  <c r="F330" i="3" s="1"/>
  <c r="AL281" i="3"/>
  <c r="G51" i="4" s="1"/>
  <c r="AL293" i="3"/>
  <c r="G53" i="4" s="1"/>
  <c r="AL303" i="3"/>
  <c r="AE303" i="3"/>
  <c r="F303" i="3" s="1"/>
  <c r="AE306" i="3"/>
  <c r="F306" i="3" s="1"/>
  <c r="O295" i="3"/>
  <c r="AG295" i="3" s="1"/>
  <c r="E298" i="3"/>
  <c r="I301" i="3"/>
  <c r="AL307" i="3"/>
  <c r="AE307" i="3"/>
  <c r="F307" i="3" s="1"/>
  <c r="O311" i="3"/>
  <c r="AG311" i="3" s="1"/>
  <c r="J322" i="3"/>
  <c r="I322" i="3"/>
  <c r="AF322" i="3" s="1"/>
  <c r="E322" i="3"/>
  <c r="AL343" i="3"/>
  <c r="J301" i="3"/>
  <c r="O301" i="3"/>
  <c r="AG301" i="3" s="1"/>
  <c r="AL337" i="3"/>
  <c r="AE337" i="3"/>
  <c r="F337" i="3" s="1"/>
  <c r="AI338" i="3"/>
  <c r="AN338" i="3" s="1"/>
  <c r="I304" i="3"/>
  <c r="AF304" i="3" s="1"/>
  <c r="E304" i="3"/>
  <c r="AE310" i="3"/>
  <c r="F310" i="3" s="1"/>
  <c r="AL310" i="3"/>
  <c r="E326" i="3"/>
  <c r="J326" i="3"/>
  <c r="I326" i="3"/>
  <c r="O336" i="3"/>
  <c r="AG336" i="3" s="1"/>
  <c r="E339" i="3"/>
  <c r="J339" i="3"/>
  <c r="AF339" i="3" s="1"/>
  <c r="E342" i="3"/>
  <c r="J342" i="3"/>
  <c r="I342" i="3"/>
  <c r="O306" i="3"/>
  <c r="AG306" i="3" s="1"/>
  <c r="AL308" i="3"/>
  <c r="J311" i="3"/>
  <c r="AE315" i="3"/>
  <c r="F315" i="3" s="1"/>
  <c r="O318" i="3"/>
  <c r="AG318" i="3" s="1"/>
  <c r="AL320" i="3"/>
  <c r="J323" i="3"/>
  <c r="AF323" i="3" s="1"/>
  <c r="AI323" i="3" s="1"/>
  <c r="AE327" i="3"/>
  <c r="F327" i="3" s="1"/>
  <c r="O330" i="3"/>
  <c r="AG330" i="3" s="1"/>
  <c r="AL332" i="3"/>
  <c r="AL333" i="3"/>
  <c r="I340" i="3"/>
  <c r="AF340" i="3" s="1"/>
  <c r="AI340" i="3" s="1"/>
  <c r="O341" i="3"/>
  <c r="AG341" i="3" s="1"/>
  <c r="AL345" i="3"/>
  <c r="J313" i="3"/>
  <c r="AL322" i="3"/>
  <c r="O334" i="3"/>
  <c r="AG334" i="3" s="1"/>
  <c r="J343" i="3"/>
  <c r="O309" i="3"/>
  <c r="AG309" i="3" s="1"/>
  <c r="G56" i="4"/>
  <c r="J314" i="3"/>
  <c r="AF314" i="3" s="1"/>
  <c r="AI314" i="3" s="1"/>
  <c r="AN314" i="3" s="1"/>
  <c r="AL346" i="3"/>
  <c r="O355" i="3"/>
  <c r="AG355" i="3" s="1"/>
  <c r="J370" i="3"/>
  <c r="I370" i="3"/>
  <c r="E370" i="3"/>
  <c r="AE319" i="3"/>
  <c r="F319" i="3" s="1"/>
  <c r="E320" i="3"/>
  <c r="AE331" i="3"/>
  <c r="F331" i="3" s="1"/>
  <c r="E332" i="3"/>
  <c r="AI332" i="3" s="1"/>
  <c r="AN332" i="3" s="1"/>
  <c r="AE335" i="3"/>
  <c r="F335" i="3" s="1"/>
  <c r="AL339" i="3"/>
  <c r="O344" i="3"/>
  <c r="AG344" i="3" s="1"/>
  <c r="AE348" i="3"/>
  <c r="F348" i="3" s="1"/>
  <c r="I329" i="3"/>
  <c r="J334" i="3"/>
  <c r="E357" i="3"/>
  <c r="O312" i="3"/>
  <c r="AG312" i="3" s="1"/>
  <c r="J317" i="3"/>
  <c r="O324" i="3"/>
  <c r="AG324" i="3" s="1"/>
  <c r="AN325" i="3"/>
  <c r="AL326" i="3"/>
  <c r="G58" i="4" s="1"/>
  <c r="J329" i="3"/>
  <c r="I336" i="3"/>
  <c r="AF336" i="3" s="1"/>
  <c r="AI336" i="3" s="1"/>
  <c r="O340" i="3"/>
  <c r="AG340" i="3" s="1"/>
  <c r="I343" i="3"/>
  <c r="AF343" i="3" s="1"/>
  <c r="AI343" i="3" s="1"/>
  <c r="AN343" i="3" s="1"/>
  <c r="O347" i="3"/>
  <c r="AG347" i="3" s="1"/>
  <c r="AE350" i="3"/>
  <c r="F350" i="3" s="1"/>
  <c r="O339" i="3"/>
  <c r="AG339" i="3" s="1"/>
  <c r="B61" i="4"/>
  <c r="AE341" i="3"/>
  <c r="F341" i="3" s="1"/>
  <c r="AE345" i="3"/>
  <c r="F345" i="3" s="1"/>
  <c r="AL350" i="3"/>
  <c r="B63" i="4"/>
  <c r="AE353" i="3"/>
  <c r="F353" i="3" s="1"/>
  <c r="AL353" i="3"/>
  <c r="O356" i="3"/>
  <c r="AG356" i="3" s="1"/>
  <c r="AN356" i="3" s="1"/>
  <c r="J369" i="3"/>
  <c r="I369" i="3"/>
  <c r="E369" i="3"/>
  <c r="I320" i="3"/>
  <c r="AF320" i="3" s="1"/>
  <c r="I332" i="3"/>
  <c r="AF332" i="3" s="1"/>
  <c r="AE351" i="3"/>
  <c r="F351" i="3" s="1"/>
  <c r="AL305" i="3"/>
  <c r="AL317" i="3"/>
  <c r="AL329" i="3"/>
  <c r="I334" i="3"/>
  <c r="AE347" i="3"/>
  <c r="F347" i="3" s="1"/>
  <c r="AL347" i="3"/>
  <c r="B62" i="4"/>
  <c r="O350" i="3"/>
  <c r="AG350" i="3" s="1"/>
  <c r="J355" i="3"/>
  <c r="I355" i="3"/>
  <c r="AF355" i="3" s="1"/>
  <c r="E355" i="3"/>
  <c r="E362" i="3"/>
  <c r="J362" i="3"/>
  <c r="I362" i="3"/>
  <c r="AE344" i="3"/>
  <c r="F344" i="3" s="1"/>
  <c r="J354" i="3"/>
  <c r="AF354" i="3" s="1"/>
  <c r="E354" i="3"/>
  <c r="AL354" i="3"/>
  <c r="J357" i="3"/>
  <c r="AF357" i="3" s="1"/>
  <c r="AE359" i="3"/>
  <c r="F359" i="3" s="1"/>
  <c r="AL359" i="3"/>
  <c r="B64" i="4"/>
  <c r="I360" i="3"/>
  <c r="AE363" i="3"/>
  <c r="F363" i="3" s="1"/>
  <c r="AL368" i="3"/>
  <c r="J360" i="3"/>
  <c r="I361" i="3"/>
  <c r="AL369" i="3"/>
  <c r="J361" i="3"/>
  <c r="AE365" i="3"/>
  <c r="F365" i="3" s="1"/>
  <c r="AL370" i="3"/>
  <c r="AE366" i="3"/>
  <c r="F366" i="3" s="1"/>
  <c r="E367" i="3"/>
  <c r="O359" i="3"/>
  <c r="AG359" i="3" s="1"/>
  <c r="J364" i="3"/>
  <c r="AL362" i="3"/>
  <c r="B65" i="4"/>
  <c r="I367" i="3"/>
  <c r="AF367" i="3" s="1"/>
  <c r="I368" i="3"/>
  <c r="AF368" i="3" s="1"/>
  <c r="AI368" i="3" s="1"/>
  <c r="AN368" i="3" s="1"/>
  <c r="AN9" i="3" l="1"/>
  <c r="G9" i="3" s="1"/>
  <c r="AI190" i="3"/>
  <c r="AN190" i="3" s="1"/>
  <c r="AF150" i="3"/>
  <c r="AI265" i="3"/>
  <c r="AN265" i="3" s="1"/>
  <c r="J114" i="3"/>
  <c r="F114" i="3"/>
  <c r="I114" i="3"/>
  <c r="AF114" i="3" s="1"/>
  <c r="J191" i="3"/>
  <c r="I191" i="3"/>
  <c r="AF191" i="3" s="1"/>
  <c r="E191" i="3"/>
  <c r="J206" i="3"/>
  <c r="AF206" i="3" s="1"/>
  <c r="AI206" i="3" s="1"/>
  <c r="AN206" i="3" s="1"/>
  <c r="E206" i="3"/>
  <c r="E360" i="3"/>
  <c r="F360" i="3"/>
  <c r="G54" i="4"/>
  <c r="AF79" i="3"/>
  <c r="AF358" i="3"/>
  <c r="AI358" i="3" s="1"/>
  <c r="AN358" i="3" s="1"/>
  <c r="AF286" i="3"/>
  <c r="AI286" i="3" s="1"/>
  <c r="AN286" i="3" s="1"/>
  <c r="AF334" i="3"/>
  <c r="AI285" i="3"/>
  <c r="AN285" i="3" s="1"/>
  <c r="I243" i="3"/>
  <c r="F243" i="3"/>
  <c r="J243" i="3"/>
  <c r="E243" i="3"/>
  <c r="J107" i="3"/>
  <c r="F107" i="3"/>
  <c r="E181" i="3"/>
  <c r="F181" i="3"/>
  <c r="I181" i="3"/>
  <c r="AF181" i="3" s="1"/>
  <c r="AI181" i="3" s="1"/>
  <c r="AN181" i="3" s="1"/>
  <c r="F178" i="3"/>
  <c r="I178" i="3"/>
  <c r="AF178" i="3" s="1"/>
  <c r="AI178" i="3" s="1"/>
  <c r="AN178" i="3" s="1"/>
  <c r="AN324" i="3"/>
  <c r="G45" i="4"/>
  <c r="AF107" i="3"/>
  <c r="AF22" i="3"/>
  <c r="J233" i="3"/>
  <c r="I233" i="3"/>
  <c r="AI146" i="3"/>
  <c r="AN146" i="3" s="1"/>
  <c r="G146" i="3" s="1"/>
  <c r="AH146" i="3" s="1"/>
  <c r="AJ146" i="3" s="1"/>
  <c r="AK146" i="3" s="1"/>
  <c r="AN323" i="3"/>
  <c r="G61" i="4"/>
  <c r="G65" i="4"/>
  <c r="AF313" i="3"/>
  <c r="AI313" i="3" s="1"/>
  <c r="AN313" i="3" s="1"/>
  <c r="AF259" i="3"/>
  <c r="G33" i="4"/>
  <c r="G28" i="4"/>
  <c r="G31" i="4"/>
  <c r="AI107" i="3"/>
  <c r="AN107" i="3" s="1"/>
  <c r="G107" i="3" s="1"/>
  <c r="G18" i="4"/>
  <c r="AF93" i="3"/>
  <c r="AF118" i="3"/>
  <c r="AF73" i="3"/>
  <c r="F231" i="3"/>
  <c r="I231" i="3"/>
  <c r="J231" i="3"/>
  <c r="E231" i="3"/>
  <c r="E313" i="3"/>
  <c r="F313" i="3"/>
  <c r="I313" i="3"/>
  <c r="AF58" i="3"/>
  <c r="AI58" i="3" s="1"/>
  <c r="AN58" i="3" s="1"/>
  <c r="H58" i="3" s="1"/>
  <c r="AH58" i="3" s="1"/>
  <c r="AJ58" i="3" s="1"/>
  <c r="AK58" i="3" s="1"/>
  <c r="AF360" i="3"/>
  <c r="AI360" i="3" s="1"/>
  <c r="AN360" i="3" s="1"/>
  <c r="G360" i="3" s="1"/>
  <c r="AN276" i="3"/>
  <c r="AF189" i="3"/>
  <c r="AN124" i="3"/>
  <c r="H124" i="3" s="1"/>
  <c r="AH124" i="3" s="1"/>
  <c r="AJ124" i="3" s="1"/>
  <c r="AK124" i="3" s="1"/>
  <c r="AI83" i="3"/>
  <c r="E149" i="3"/>
  <c r="F149" i="3"/>
  <c r="I149" i="3"/>
  <c r="AF149" i="3" s="1"/>
  <c r="AI149" i="3" s="1"/>
  <c r="AN149" i="3" s="1"/>
  <c r="E311" i="3"/>
  <c r="I311" i="3"/>
  <c r="AF311" i="3" s="1"/>
  <c r="AI311" i="3" s="1"/>
  <c r="AN311" i="3" s="1"/>
  <c r="J216" i="3"/>
  <c r="I216" i="3"/>
  <c r="F216" i="3"/>
  <c r="F364" i="3"/>
  <c r="I364" i="3"/>
  <c r="AF364" i="3" s="1"/>
  <c r="AI364" i="3" s="1"/>
  <c r="AN364" i="3" s="1"/>
  <c r="E364" i="3"/>
  <c r="J234" i="3"/>
  <c r="F234" i="3"/>
  <c r="E234" i="3"/>
  <c r="AF46" i="3"/>
  <c r="AI46" i="3" s="1"/>
  <c r="AN46" i="3" s="1"/>
  <c r="H46" i="3" s="1"/>
  <c r="AH46" i="3" s="1"/>
  <c r="AJ46" i="3" s="1"/>
  <c r="AK46" i="3" s="1"/>
  <c r="AF168" i="3"/>
  <c r="E334" i="3"/>
  <c r="F334" i="3"/>
  <c r="E193" i="3"/>
  <c r="F193" i="3"/>
  <c r="I193" i="3"/>
  <c r="AF193" i="3" s="1"/>
  <c r="AI193" i="3" s="1"/>
  <c r="AN193" i="3" s="1"/>
  <c r="F204" i="3"/>
  <c r="E204" i="3"/>
  <c r="J204" i="3"/>
  <c r="AF204" i="3" s="1"/>
  <c r="AI204" i="3" s="1"/>
  <c r="AN204" i="3" s="1"/>
  <c r="I235" i="3"/>
  <c r="AF235" i="3" s="1"/>
  <c r="J235" i="3"/>
  <c r="F235" i="3"/>
  <c r="E288" i="3"/>
  <c r="F288" i="3"/>
  <c r="I288" i="3"/>
  <c r="AF288" i="3" s="1"/>
  <c r="AI288" i="3" s="1"/>
  <c r="J246" i="3"/>
  <c r="F246" i="3"/>
  <c r="E246" i="3"/>
  <c r="E279" i="3"/>
  <c r="F279" i="3"/>
  <c r="I170" i="3"/>
  <c r="J170" i="3"/>
  <c r="AF170" i="3" s="1"/>
  <c r="AI170" i="3" s="1"/>
  <c r="AN170" i="3" s="1"/>
  <c r="E170" i="3"/>
  <c r="J50" i="3"/>
  <c r="AF50" i="3" s="1"/>
  <c r="AI50" i="3" s="1"/>
  <c r="AN50" i="3" s="1"/>
  <c r="F50" i="3"/>
  <c r="E50" i="3"/>
  <c r="J146" i="3"/>
  <c r="F146" i="3"/>
  <c r="I146" i="3"/>
  <c r="AF146" i="3" s="1"/>
  <c r="AI300" i="3"/>
  <c r="AF369" i="3"/>
  <c r="AF301" i="3"/>
  <c r="AI301" i="3" s="1"/>
  <c r="AN301" i="3" s="1"/>
  <c r="G301" i="3" s="1"/>
  <c r="AF316" i="3"/>
  <c r="AN300" i="3"/>
  <c r="AF239" i="3"/>
  <c r="AI239" i="3" s="1"/>
  <c r="AN239" i="3" s="1"/>
  <c r="AF249" i="3"/>
  <c r="AI249" i="3" s="1"/>
  <c r="AN249" i="3" s="1"/>
  <c r="AI208" i="3"/>
  <c r="AN208" i="3" s="1"/>
  <c r="AF8" i="3"/>
  <c r="AI8" i="3" s="1"/>
  <c r="AN8" i="3" s="1"/>
  <c r="I317" i="3"/>
  <c r="AF317" i="3" s="1"/>
  <c r="AI317" i="3" s="1"/>
  <c r="AN317" i="3" s="1"/>
  <c r="E317" i="3"/>
  <c r="J8" i="3"/>
  <c r="F8" i="3"/>
  <c r="AI235" i="3"/>
  <c r="AN235" i="3" s="1"/>
  <c r="AF39" i="3"/>
  <c r="AI39" i="3" s="1"/>
  <c r="AN39" i="3" s="1"/>
  <c r="H39" i="3" s="1"/>
  <c r="H66" i="3"/>
  <c r="J215" i="3"/>
  <c r="I215" i="3"/>
  <c r="AF215" i="3" s="1"/>
  <c r="AI215" i="3" s="1"/>
  <c r="AN215" i="3" s="1"/>
  <c r="I182" i="3"/>
  <c r="J182" i="3"/>
  <c r="E182" i="3"/>
  <c r="F145" i="3"/>
  <c r="I145" i="3"/>
  <c r="AF145" i="3" s="1"/>
  <c r="E145" i="3"/>
  <c r="J145" i="3"/>
  <c r="I34" i="3"/>
  <c r="AF34" i="3" s="1"/>
  <c r="J34" i="3"/>
  <c r="E34" i="3"/>
  <c r="F90" i="3"/>
  <c r="I90" i="3"/>
  <c r="AF90" i="3" s="1"/>
  <c r="AI90" i="3" s="1"/>
  <c r="AN90" i="3" s="1"/>
  <c r="AF246" i="3"/>
  <c r="AI246" i="3" s="1"/>
  <c r="AN246" i="3" s="1"/>
  <c r="G246" i="3" s="1"/>
  <c r="AF305" i="3"/>
  <c r="AI305" i="3" s="1"/>
  <c r="AN305" i="3" s="1"/>
  <c r="AF234" i="3"/>
  <c r="AI234" i="3" s="1"/>
  <c r="AN234" i="3" s="1"/>
  <c r="AF278" i="3"/>
  <c r="AI262" i="3"/>
  <c r="AN262" i="3" s="1"/>
  <c r="G24" i="4"/>
  <c r="AI123" i="3"/>
  <c r="AN123" i="3" s="1"/>
  <c r="AN32" i="3"/>
  <c r="G32" i="3" s="1"/>
  <c r="AI272" i="3"/>
  <c r="AN272" i="3" s="1"/>
  <c r="G272" i="3" s="1"/>
  <c r="AH272" i="3" s="1"/>
  <c r="AJ272" i="3" s="1"/>
  <c r="AK272" i="3" s="1"/>
  <c r="J245" i="3"/>
  <c r="I245" i="3"/>
  <c r="AF312" i="3"/>
  <c r="AI312" i="3" s="1"/>
  <c r="AN312" i="3" s="1"/>
  <c r="G62" i="4"/>
  <c r="G60" i="4"/>
  <c r="AN222" i="3"/>
  <c r="H222" i="3" s="1"/>
  <c r="AH222" i="3" s="1"/>
  <c r="AJ222" i="3" s="1"/>
  <c r="AK222" i="3" s="1"/>
  <c r="AF262" i="3"/>
  <c r="AN205" i="3"/>
  <c r="G205" i="3" s="1"/>
  <c r="AI144" i="3"/>
  <c r="AN144" i="3" s="1"/>
  <c r="AF137" i="3"/>
  <c r="G22" i="4"/>
  <c r="AF129" i="3"/>
  <c r="AI106" i="3"/>
  <c r="AN106" i="3" s="1"/>
  <c r="I179" i="3"/>
  <c r="AF179" i="3" s="1"/>
  <c r="AI179" i="3" s="1"/>
  <c r="AN179" i="3" s="1"/>
  <c r="E179" i="3"/>
  <c r="F309" i="3"/>
  <c r="I309" i="3"/>
  <c r="J309" i="3"/>
  <c r="E309" i="3"/>
  <c r="J297" i="3"/>
  <c r="F297" i="3"/>
  <c r="I297" i="3"/>
  <c r="AF297" i="3" s="1"/>
  <c r="AI297" i="3" s="1"/>
  <c r="AN297" i="3" s="1"/>
  <c r="E297" i="3"/>
  <c r="H42" i="3"/>
  <c r="G42" i="3"/>
  <c r="G175" i="3"/>
  <c r="H175" i="3"/>
  <c r="H146" i="3"/>
  <c r="H338" i="3"/>
  <c r="G338" i="3"/>
  <c r="H301" i="3"/>
  <c r="AH301" i="3" s="1"/>
  <c r="AJ301" i="3" s="1"/>
  <c r="AK301" i="3" s="1"/>
  <c r="G157" i="3"/>
  <c r="H157" i="3"/>
  <c r="H314" i="3"/>
  <c r="G314" i="3"/>
  <c r="G86" i="3"/>
  <c r="H86" i="3"/>
  <c r="G74" i="3"/>
  <c r="AH74" i="3" s="1"/>
  <c r="AJ74" i="3" s="1"/>
  <c r="AK74" i="3" s="1"/>
  <c r="H74" i="3"/>
  <c r="H324" i="3"/>
  <c r="G324" i="3"/>
  <c r="AH358" i="3"/>
  <c r="AJ358" i="3" s="1"/>
  <c r="AK358" i="3" s="1"/>
  <c r="G358" i="3"/>
  <c r="H358" i="3"/>
  <c r="H246" i="3"/>
  <c r="AH246" i="3" s="1"/>
  <c r="AJ246" i="3" s="1"/>
  <c r="AK246" i="3" s="1"/>
  <c r="G37" i="4"/>
  <c r="AN217" i="3"/>
  <c r="G208" i="3"/>
  <c r="H208" i="3"/>
  <c r="AH208" i="3" s="1"/>
  <c r="AJ208" i="3" s="1"/>
  <c r="AK208" i="3" s="1"/>
  <c r="AN203" i="3"/>
  <c r="AN83" i="3"/>
  <c r="H127" i="3"/>
  <c r="H356" i="3"/>
  <c r="G356" i="3"/>
  <c r="AH356" i="3" s="1"/>
  <c r="AJ356" i="3" s="1"/>
  <c r="AK356" i="3" s="1"/>
  <c r="G289" i="3"/>
  <c r="H289" i="3"/>
  <c r="AH289" i="3" s="1"/>
  <c r="AJ289" i="3" s="1"/>
  <c r="AK289" i="3" s="1"/>
  <c r="H234" i="3"/>
  <c r="AH234" i="3" s="1"/>
  <c r="AJ234" i="3" s="1"/>
  <c r="AK234" i="3" s="1"/>
  <c r="G234" i="3"/>
  <c r="G235" i="3"/>
  <c r="H235" i="3"/>
  <c r="H260" i="3"/>
  <c r="G260" i="3"/>
  <c r="AH260" i="3" s="1"/>
  <c r="AJ260" i="3" s="1"/>
  <c r="AK260" i="3" s="1"/>
  <c r="AI264" i="3"/>
  <c r="AN264" i="3" s="1"/>
  <c r="G223" i="3"/>
  <c r="H223" i="3"/>
  <c r="G187" i="3"/>
  <c r="H187" i="3"/>
  <c r="H194" i="3"/>
  <c r="G194" i="3"/>
  <c r="AH194" i="3" s="1"/>
  <c r="AJ194" i="3" s="1"/>
  <c r="AK194" i="3" s="1"/>
  <c r="H112" i="3"/>
  <c r="G112" i="3"/>
  <c r="G132" i="3"/>
  <c r="H132" i="3"/>
  <c r="AH132" i="3" s="1"/>
  <c r="AJ132" i="3" s="1"/>
  <c r="AK132" i="3" s="1"/>
  <c r="G8" i="4"/>
  <c r="H82" i="3"/>
  <c r="AH82" i="3" s="1"/>
  <c r="AJ82" i="3" s="1"/>
  <c r="AK82" i="3" s="1"/>
  <c r="G82" i="3"/>
  <c r="H321" i="3"/>
  <c r="G321" i="3"/>
  <c r="AH321" i="3" s="1"/>
  <c r="AJ321" i="3" s="1"/>
  <c r="AK321" i="3" s="1"/>
  <c r="G313" i="3"/>
  <c r="H313" i="3"/>
  <c r="G63" i="4"/>
  <c r="G343" i="3"/>
  <c r="H343" i="3"/>
  <c r="AF346" i="3"/>
  <c r="AI346" i="3" s="1"/>
  <c r="AN346" i="3" s="1"/>
  <c r="H285" i="3"/>
  <c r="G285" i="3"/>
  <c r="AF291" i="3"/>
  <c r="AI291" i="3" s="1"/>
  <c r="AN291" i="3" s="1"/>
  <c r="AI221" i="3"/>
  <c r="AN221" i="3" s="1"/>
  <c r="AF228" i="3"/>
  <c r="AI177" i="3"/>
  <c r="AN177" i="3" s="1"/>
  <c r="H100" i="3"/>
  <c r="G100" i="3"/>
  <c r="AF151" i="3"/>
  <c r="AI151" i="3" s="1"/>
  <c r="AN151" i="3" s="1"/>
  <c r="G120" i="3"/>
  <c r="H120" i="3"/>
  <c r="G12" i="4"/>
  <c r="H248" i="3"/>
  <c r="G248" i="3"/>
  <c r="H144" i="3"/>
  <c r="G144" i="3"/>
  <c r="H88" i="3"/>
  <c r="G88" i="3"/>
  <c r="H54" i="3"/>
  <c r="G54" i="3"/>
  <c r="H43" i="3"/>
  <c r="G43" i="3"/>
  <c r="H78" i="3"/>
  <c r="AI228" i="3"/>
  <c r="AN228" i="3" s="1"/>
  <c r="G59" i="4"/>
  <c r="AN336" i="3"/>
  <c r="AN340" i="3"/>
  <c r="AF342" i="3"/>
  <c r="G253" i="3"/>
  <c r="H253" i="3"/>
  <c r="AH253" i="3" s="1"/>
  <c r="AJ253" i="3" s="1"/>
  <c r="AK253" i="3" s="1"/>
  <c r="AF270" i="3"/>
  <c r="H224" i="3"/>
  <c r="G224" i="3"/>
  <c r="G41" i="4"/>
  <c r="G27" i="4"/>
  <c r="G62" i="3"/>
  <c r="AH62" i="3" s="1"/>
  <c r="AJ62" i="3" s="1"/>
  <c r="AK62" i="3" s="1"/>
  <c r="H239" i="3"/>
  <c r="AH239" i="3" s="1"/>
  <c r="AJ239" i="3" s="1"/>
  <c r="G239" i="3"/>
  <c r="AF362" i="3"/>
  <c r="AI362" i="3" s="1"/>
  <c r="AN362" i="3" s="1"/>
  <c r="G57" i="4"/>
  <c r="AF328" i="3"/>
  <c r="AI328" i="3" s="1"/>
  <c r="AN328" i="3" s="1"/>
  <c r="AF279" i="3"/>
  <c r="AI279" i="3" s="1"/>
  <c r="AN279" i="3" s="1"/>
  <c r="AF267" i="3"/>
  <c r="G199" i="3"/>
  <c r="H199" i="3"/>
  <c r="G161" i="3"/>
  <c r="H161" i="3"/>
  <c r="AH161" i="3" s="1"/>
  <c r="AJ161" i="3" s="1"/>
  <c r="G123" i="3"/>
  <c r="AH123" i="3" s="1"/>
  <c r="AJ123" i="3" s="1"/>
  <c r="AK123" i="3" s="1"/>
  <c r="H123" i="3"/>
  <c r="G17" i="4"/>
  <c r="AI73" i="3"/>
  <c r="AN73" i="3" s="1"/>
  <c r="AI33" i="3"/>
  <c r="AN33" i="3" s="1"/>
  <c r="G6" i="4"/>
  <c r="AF85" i="3"/>
  <c r="H62" i="3"/>
  <c r="H32" i="3"/>
  <c r="H284" i="3"/>
  <c r="G284" i="3"/>
  <c r="AH284" i="3" s="1"/>
  <c r="AJ284" i="3" s="1"/>
  <c r="AK284" i="3" s="1"/>
  <c r="AI342" i="3"/>
  <c r="AN342" i="3" s="1"/>
  <c r="AI316" i="3"/>
  <c r="AN316" i="3" s="1"/>
  <c r="G277" i="3"/>
  <c r="H277" i="3"/>
  <c r="AF294" i="3"/>
  <c r="AI294" i="3" s="1"/>
  <c r="AN294" i="3" s="1"/>
  <c r="AF201" i="3"/>
  <c r="AI201" i="3" s="1"/>
  <c r="AN201" i="3" s="1"/>
  <c r="G30" i="4"/>
  <c r="AF117" i="3"/>
  <c r="H115" i="3"/>
  <c r="AH115" i="3" s="1"/>
  <c r="AJ115" i="3" s="1"/>
  <c r="AK115" i="3" s="1"/>
  <c r="G115" i="3"/>
  <c r="AF99" i="3"/>
  <c r="AI99" i="3" s="1"/>
  <c r="AN99" i="3" s="1"/>
  <c r="H21" i="3"/>
  <c r="G21" i="3"/>
  <c r="AF25" i="3"/>
  <c r="AI25" i="3" s="1"/>
  <c r="AN25" i="3" s="1"/>
  <c r="H368" i="3"/>
  <c r="G368" i="3"/>
  <c r="AI298" i="3"/>
  <c r="AN298" i="3" s="1"/>
  <c r="H276" i="3"/>
  <c r="G276" i="3"/>
  <c r="AN288" i="3"/>
  <c r="G190" i="3"/>
  <c r="H190" i="3"/>
  <c r="AH190" i="3" s="1"/>
  <c r="AJ190" i="3" s="1"/>
  <c r="AK190" i="3" s="1"/>
  <c r="AF186" i="3"/>
  <c r="AF60" i="3"/>
  <c r="H102" i="3"/>
  <c r="H9" i="3"/>
  <c r="G325" i="3"/>
  <c r="H325" i="3"/>
  <c r="AH325" i="3" s="1"/>
  <c r="AJ325" i="3" s="1"/>
  <c r="AK325" i="3" s="1"/>
  <c r="AH349" i="3"/>
  <c r="AJ349" i="3" s="1"/>
  <c r="AK349" i="3" s="1"/>
  <c r="G349" i="3"/>
  <c r="H349" i="3"/>
  <c r="H236" i="3"/>
  <c r="G236" i="3"/>
  <c r="AH236" i="3" s="1"/>
  <c r="AJ236" i="3" s="1"/>
  <c r="AK236" i="3" s="1"/>
  <c r="AF240" i="3"/>
  <c r="AI189" i="3"/>
  <c r="AN189" i="3" s="1"/>
  <c r="H170" i="3"/>
  <c r="G170" i="3"/>
  <c r="AN134" i="3"/>
  <c r="AF147" i="3"/>
  <c r="AI49" i="3"/>
  <c r="H323" i="3"/>
  <c r="G323" i="3"/>
  <c r="AH144" i="3"/>
  <c r="AJ144" i="3" s="1"/>
  <c r="AK144" i="3" s="1"/>
  <c r="H70" i="3"/>
  <c r="AH70" i="3" s="1"/>
  <c r="AJ70" i="3" s="1"/>
  <c r="AK70" i="3" s="1"/>
  <c r="G70" i="3"/>
  <c r="H300" i="3"/>
  <c r="G300" i="3"/>
  <c r="H219" i="3"/>
  <c r="G219" i="3"/>
  <c r="AH219" i="3" s="1"/>
  <c r="AJ219" i="3" s="1"/>
  <c r="AK219" i="3" s="1"/>
  <c r="AI369" i="3"/>
  <c r="AN369" i="3" s="1"/>
  <c r="AF333" i="3"/>
  <c r="AI333" i="3" s="1"/>
  <c r="AN333" i="3" s="1"/>
  <c r="H213" i="3"/>
  <c r="G213" i="3"/>
  <c r="AH213" i="3" s="1"/>
  <c r="AJ213" i="3" s="1"/>
  <c r="AK213" i="3" s="1"/>
  <c r="G42" i="4"/>
  <c r="AF227" i="3"/>
  <c r="AI227" i="3" s="1"/>
  <c r="AN227" i="3" s="1"/>
  <c r="G29" i="4"/>
  <c r="AN158" i="3"/>
  <c r="AF130" i="3"/>
  <c r="AI137" i="3"/>
  <c r="AN137" i="3" s="1"/>
  <c r="AI148" i="3"/>
  <c r="AN148" i="3" s="1"/>
  <c r="AF92" i="3"/>
  <c r="G133" i="3"/>
  <c r="H133" i="3"/>
  <c r="AI65" i="3"/>
  <c r="AN65" i="3" s="1"/>
  <c r="AF162" i="3"/>
  <c r="H332" i="3"/>
  <c r="G332" i="3"/>
  <c r="AH332" i="3" s="1"/>
  <c r="AJ332" i="3" s="1"/>
  <c r="AK332" i="3" s="1"/>
  <c r="AI320" i="3"/>
  <c r="AN320" i="3" s="1"/>
  <c r="H258" i="3"/>
  <c r="AH258" i="3" s="1"/>
  <c r="AJ258" i="3" s="1"/>
  <c r="AK258" i="3" s="1"/>
  <c r="G258" i="3"/>
  <c r="AF266" i="3"/>
  <c r="G43" i="4"/>
  <c r="G247" i="3"/>
  <c r="H247" i="3"/>
  <c r="AH247" i="3" s="1"/>
  <c r="AJ247" i="3" s="1"/>
  <c r="AK247" i="3" s="1"/>
  <c r="AF77" i="3"/>
  <c r="AI77" i="3" s="1"/>
  <c r="AN77" i="3" s="1"/>
  <c r="H103" i="3"/>
  <c r="G103" i="3"/>
  <c r="AF55" i="3"/>
  <c r="H360" i="3"/>
  <c r="AH360" i="3" s="1"/>
  <c r="AJ360" i="3" s="1"/>
  <c r="AK360" i="3" s="1"/>
  <c r="AH314" i="3"/>
  <c r="AJ314" i="3" s="1"/>
  <c r="AK314" i="3" s="1"/>
  <c r="AH277" i="3"/>
  <c r="AJ277" i="3" s="1"/>
  <c r="AK277" i="3" s="1"/>
  <c r="AH343" i="3"/>
  <c r="AJ343" i="3" s="1"/>
  <c r="AK343" i="3" s="1"/>
  <c r="AH313" i="3"/>
  <c r="AJ313" i="3" s="1"/>
  <c r="AK313" i="3" s="1"/>
  <c r="AH323" i="3"/>
  <c r="AJ323" i="3" s="1"/>
  <c r="AH368" i="3"/>
  <c r="AJ368" i="3" s="1"/>
  <c r="AK368" i="3" s="1"/>
  <c r="AH276" i="3"/>
  <c r="AJ276" i="3" s="1"/>
  <c r="AK276" i="3" s="1"/>
  <c r="J96" i="3"/>
  <c r="I96" i="3"/>
  <c r="E96" i="3"/>
  <c r="E95" i="3"/>
  <c r="I95" i="3"/>
  <c r="AF95" i="3" s="1"/>
  <c r="J95" i="3"/>
  <c r="AI354" i="3"/>
  <c r="AN354" i="3" s="1"/>
  <c r="E363" i="3"/>
  <c r="J363" i="3"/>
  <c r="I363" i="3"/>
  <c r="AI339" i="3"/>
  <c r="AN339" i="3" s="1"/>
  <c r="AN273" i="3"/>
  <c r="AH285" i="3"/>
  <c r="AJ285" i="3" s="1"/>
  <c r="AK285" i="3" s="1"/>
  <c r="AI269" i="3"/>
  <c r="AN269" i="3" s="1"/>
  <c r="E261" i="3"/>
  <c r="J261" i="3"/>
  <c r="I261" i="3"/>
  <c r="AN156" i="3"/>
  <c r="J52" i="3"/>
  <c r="I52" i="3"/>
  <c r="E52" i="3"/>
  <c r="AH338" i="3"/>
  <c r="AJ338" i="3" s="1"/>
  <c r="AK338" i="3" s="1"/>
  <c r="AF329" i="3"/>
  <c r="AI329" i="3" s="1"/>
  <c r="AN329" i="3" s="1"/>
  <c r="AF326" i="3"/>
  <c r="AI326" i="3" s="1"/>
  <c r="AN326" i="3" s="1"/>
  <c r="AI304" i="3"/>
  <c r="AN304" i="3" s="1"/>
  <c r="I295" i="3"/>
  <c r="J295" i="3"/>
  <c r="E295" i="3"/>
  <c r="G49" i="4"/>
  <c r="AH300" i="3"/>
  <c r="AJ300" i="3" s="1"/>
  <c r="AK300" i="3" s="1"/>
  <c r="AF251" i="3"/>
  <c r="AI251" i="3" s="1"/>
  <c r="AN251" i="3" s="1"/>
  <c r="AH187" i="3"/>
  <c r="AJ187" i="3" s="1"/>
  <c r="AK187" i="3" s="1"/>
  <c r="AH100" i="3"/>
  <c r="AJ100" i="3" s="1"/>
  <c r="AK100" i="3" s="1"/>
  <c r="J271" i="3"/>
  <c r="I271" i="3"/>
  <c r="E271" i="3"/>
  <c r="J318" i="3"/>
  <c r="I318" i="3"/>
  <c r="E318" i="3"/>
  <c r="E292" i="3"/>
  <c r="J292" i="3"/>
  <c r="I292" i="3"/>
  <c r="AH78" i="3"/>
  <c r="AJ78" i="3" s="1"/>
  <c r="AK78" i="3" s="1"/>
  <c r="AH32" i="3"/>
  <c r="AJ32" i="3" s="1"/>
  <c r="AK32" i="3" s="1"/>
  <c r="I353" i="3"/>
  <c r="J353" i="3"/>
  <c r="E353" i="3"/>
  <c r="J303" i="3"/>
  <c r="E303" i="3"/>
  <c r="I303" i="3"/>
  <c r="J268" i="3"/>
  <c r="I268" i="3"/>
  <c r="E268" i="3"/>
  <c r="AH223" i="3"/>
  <c r="AJ223" i="3" s="1"/>
  <c r="AK223" i="3" s="1"/>
  <c r="AH102" i="3"/>
  <c r="AJ102" i="3" s="1"/>
  <c r="AK102" i="3" s="1"/>
  <c r="AH66" i="3"/>
  <c r="AJ66" i="3" s="1"/>
  <c r="AK66" i="3" s="1"/>
  <c r="AI367" i="3"/>
  <c r="AN367" i="3" s="1"/>
  <c r="I344" i="3"/>
  <c r="AF344" i="3" s="1"/>
  <c r="J344" i="3"/>
  <c r="E344" i="3"/>
  <c r="G55" i="4"/>
  <c r="J331" i="3"/>
  <c r="I331" i="3"/>
  <c r="E331" i="3"/>
  <c r="AF370" i="3"/>
  <c r="AI370" i="3" s="1"/>
  <c r="AN370" i="3" s="1"/>
  <c r="AH324" i="3"/>
  <c r="AJ324" i="3" s="1"/>
  <c r="AK324" i="3" s="1"/>
  <c r="J275" i="3"/>
  <c r="I275" i="3"/>
  <c r="E275" i="3"/>
  <c r="AF352" i="3"/>
  <c r="AI352" i="3" s="1"/>
  <c r="AN352" i="3" s="1"/>
  <c r="G50" i="4"/>
  <c r="AI278" i="3"/>
  <c r="AN278" i="3" s="1"/>
  <c r="AF238" i="3"/>
  <c r="AH199" i="3"/>
  <c r="AJ199" i="3" s="1"/>
  <c r="AK199" i="3" s="1"/>
  <c r="AH54" i="3"/>
  <c r="AJ54" i="3" s="1"/>
  <c r="AK54" i="3" s="1"/>
  <c r="J307" i="3"/>
  <c r="I307" i="3"/>
  <c r="E307" i="3"/>
  <c r="J241" i="3"/>
  <c r="I241" i="3"/>
  <c r="E241" i="3"/>
  <c r="I335" i="3"/>
  <c r="J335" i="3"/>
  <c r="E335" i="3"/>
  <c r="J330" i="3"/>
  <c r="I330" i="3"/>
  <c r="E330" i="3"/>
  <c r="E207" i="3"/>
  <c r="J207" i="3"/>
  <c r="I207" i="3"/>
  <c r="AH133" i="3"/>
  <c r="AJ133" i="3" s="1"/>
  <c r="AK133" i="3" s="1"/>
  <c r="J306" i="3"/>
  <c r="I306" i="3"/>
  <c r="E306" i="3"/>
  <c r="AF361" i="3"/>
  <c r="AI361" i="3" s="1"/>
  <c r="AN361" i="3" s="1"/>
  <c r="G64" i="4"/>
  <c r="AI355" i="3"/>
  <c r="AN355" i="3" s="1"/>
  <c r="E351" i="3"/>
  <c r="I351" i="3"/>
  <c r="J351" i="3"/>
  <c r="J350" i="3"/>
  <c r="I350" i="3"/>
  <c r="E350" i="3"/>
  <c r="J337" i="3"/>
  <c r="I337" i="3"/>
  <c r="E337" i="3"/>
  <c r="AF296" i="3"/>
  <c r="AI296" i="3" s="1"/>
  <c r="AN296" i="3" s="1"/>
  <c r="E257" i="3"/>
  <c r="J257" i="3"/>
  <c r="I257" i="3"/>
  <c r="AI270" i="3"/>
  <c r="AN270" i="3" s="1"/>
  <c r="G48" i="4"/>
  <c r="I255" i="3"/>
  <c r="J255" i="3"/>
  <c r="E255" i="3"/>
  <c r="J242" i="3"/>
  <c r="I242" i="3"/>
  <c r="E242" i="3"/>
  <c r="AF226" i="3"/>
  <c r="AI226" i="3" s="1"/>
  <c r="AN226" i="3" s="1"/>
  <c r="AF164" i="3"/>
  <c r="AI164" i="3" s="1"/>
  <c r="AN164" i="3" s="1"/>
  <c r="AH9" i="3"/>
  <c r="AJ9" i="3" s="1"/>
  <c r="AK9" i="3" s="1"/>
  <c r="AF308" i="3"/>
  <c r="AI308" i="3" s="1"/>
  <c r="AN308" i="3" s="1"/>
  <c r="AI267" i="3"/>
  <c r="AN267" i="3" s="1"/>
  <c r="E263" i="3"/>
  <c r="J263" i="3"/>
  <c r="I263" i="3"/>
  <c r="J283" i="3"/>
  <c r="I283" i="3"/>
  <c r="E283" i="3"/>
  <c r="AH127" i="3"/>
  <c r="AJ127" i="3" s="1"/>
  <c r="AK127" i="3" s="1"/>
  <c r="AH43" i="3"/>
  <c r="AJ43" i="3" s="1"/>
  <c r="AK43" i="3" s="1"/>
  <c r="E327" i="3"/>
  <c r="J327" i="3"/>
  <c r="I327" i="3"/>
  <c r="E348" i="3"/>
  <c r="J348" i="3"/>
  <c r="I348" i="3"/>
  <c r="J319" i="3"/>
  <c r="I319" i="3"/>
  <c r="E319" i="3"/>
  <c r="E315" i="3"/>
  <c r="J315" i="3"/>
  <c r="I315" i="3"/>
  <c r="AF315" i="3" s="1"/>
  <c r="AN274" i="3"/>
  <c r="AI266" i="3"/>
  <c r="AN266" i="3" s="1"/>
  <c r="AH235" i="3"/>
  <c r="AJ235" i="3" s="1"/>
  <c r="AK235" i="3" s="1"/>
  <c r="AN57" i="3"/>
  <c r="J287" i="3"/>
  <c r="I287" i="3"/>
  <c r="E287" i="3"/>
  <c r="E345" i="3"/>
  <c r="I345" i="3"/>
  <c r="J345" i="3"/>
  <c r="J365" i="3"/>
  <c r="I365" i="3"/>
  <c r="E365" i="3"/>
  <c r="I347" i="3"/>
  <c r="E347" i="3"/>
  <c r="J347" i="3"/>
  <c r="I341" i="3"/>
  <c r="E341" i="3"/>
  <c r="J341" i="3"/>
  <c r="E280" i="3"/>
  <c r="AI280" i="3" s="1"/>
  <c r="AN280" i="3" s="1"/>
  <c r="J280" i="3"/>
  <c r="I280" i="3"/>
  <c r="AF280" i="3" s="1"/>
  <c r="E71" i="3"/>
  <c r="J71" i="3"/>
  <c r="I71" i="3"/>
  <c r="AH88" i="3"/>
  <c r="AJ88" i="3" s="1"/>
  <c r="AK88" i="3" s="1"/>
  <c r="AN49" i="3"/>
  <c r="E299" i="3"/>
  <c r="J299" i="3"/>
  <c r="I299" i="3"/>
  <c r="AF299" i="3" s="1"/>
  <c r="J366" i="3"/>
  <c r="I366" i="3"/>
  <c r="AF366" i="3" s="1"/>
  <c r="E366" i="3"/>
  <c r="I359" i="3"/>
  <c r="E359" i="3"/>
  <c r="J359" i="3"/>
  <c r="AI357" i="3"/>
  <c r="AN357" i="3" s="1"/>
  <c r="J310" i="3"/>
  <c r="I310" i="3"/>
  <c r="E310" i="3"/>
  <c r="AI322" i="3"/>
  <c r="AN322" i="3" s="1"/>
  <c r="G52" i="4"/>
  <c r="AF293" i="3"/>
  <c r="AI293" i="3" s="1"/>
  <c r="AN293" i="3" s="1"/>
  <c r="AH224" i="3"/>
  <c r="AJ224" i="3" s="1"/>
  <c r="AK224" i="3" s="1"/>
  <c r="AI290" i="3"/>
  <c r="AN290" i="3" s="1"/>
  <c r="AH112" i="3"/>
  <c r="AJ112" i="3" s="1"/>
  <c r="AK112" i="3" s="1"/>
  <c r="AH21" i="3"/>
  <c r="AJ21" i="3" s="1"/>
  <c r="AK21" i="3" s="1"/>
  <c r="AF302" i="3"/>
  <c r="AI302" i="3" s="1"/>
  <c r="AN302" i="3" s="1"/>
  <c r="J229" i="3"/>
  <c r="I229" i="3"/>
  <c r="E229" i="3"/>
  <c r="AF252" i="3"/>
  <c r="AI252" i="3" s="1"/>
  <c r="AN252" i="3" s="1"/>
  <c r="E214" i="3"/>
  <c r="I214" i="3"/>
  <c r="J214" i="3"/>
  <c r="E183" i="3"/>
  <c r="J183" i="3"/>
  <c r="I183" i="3"/>
  <c r="AI196" i="3"/>
  <c r="AN196" i="3" s="1"/>
  <c r="AF163" i="3"/>
  <c r="AI163" i="3" s="1"/>
  <c r="AN163" i="3" s="1"/>
  <c r="J126" i="3"/>
  <c r="I126" i="3"/>
  <c r="E126" i="3"/>
  <c r="AF169" i="3"/>
  <c r="AI169" i="3" s="1"/>
  <c r="AN169" i="3" s="1"/>
  <c r="J110" i="3"/>
  <c r="I110" i="3"/>
  <c r="AF110" i="3" s="1"/>
  <c r="E110" i="3"/>
  <c r="AF94" i="3"/>
  <c r="AI94" i="3" s="1"/>
  <c r="AN94" i="3" s="1"/>
  <c r="AF111" i="3"/>
  <c r="J64" i="3"/>
  <c r="I64" i="3"/>
  <c r="E64" i="3"/>
  <c r="I89" i="3"/>
  <c r="E89" i="3"/>
  <c r="J89" i="3"/>
  <c r="E136" i="3"/>
  <c r="J136" i="3"/>
  <c r="I136" i="3"/>
  <c r="AF68" i="3"/>
  <c r="J29" i="3"/>
  <c r="I29" i="3"/>
  <c r="E29" i="3"/>
  <c r="AF14" i="3"/>
  <c r="AI14" i="3" s="1"/>
  <c r="AN14" i="3" s="1"/>
  <c r="J51" i="3"/>
  <c r="I51" i="3"/>
  <c r="E51" i="3"/>
  <c r="AI56" i="3"/>
  <c r="AN56" i="3" s="1"/>
  <c r="AF36" i="3"/>
  <c r="AI36" i="3" s="1"/>
  <c r="AN36" i="3" s="1"/>
  <c r="E218" i="3"/>
  <c r="J218" i="3"/>
  <c r="I218" i="3"/>
  <c r="AI202" i="3"/>
  <c r="AN202" i="3" s="1"/>
  <c r="AF254" i="3"/>
  <c r="AI254" i="3" s="1"/>
  <c r="AN254" i="3" s="1"/>
  <c r="J173" i="3"/>
  <c r="I173" i="3"/>
  <c r="E173" i="3"/>
  <c r="AI192" i="3"/>
  <c r="AN192" i="3" s="1"/>
  <c r="J155" i="3"/>
  <c r="I155" i="3"/>
  <c r="E155" i="3"/>
  <c r="J153" i="3"/>
  <c r="I153" i="3"/>
  <c r="E153" i="3"/>
  <c r="AI114" i="3"/>
  <c r="AN114" i="3" s="1"/>
  <c r="E59" i="3"/>
  <c r="J59" i="3"/>
  <c r="I59" i="3"/>
  <c r="J84" i="3"/>
  <c r="I84" i="3"/>
  <c r="E84" i="3"/>
  <c r="AI116" i="3"/>
  <c r="AN116" i="3" s="1"/>
  <c r="AI104" i="3"/>
  <c r="AN104" i="3" s="1"/>
  <c r="AF128" i="3"/>
  <c r="E11" i="3"/>
  <c r="I11" i="3"/>
  <c r="J11" i="3"/>
  <c r="AF72" i="3"/>
  <c r="AI72" i="3" s="1"/>
  <c r="AN72" i="3" s="1"/>
  <c r="I41" i="3"/>
  <c r="E41" i="3"/>
  <c r="J41" i="3"/>
  <c r="AF26" i="3"/>
  <c r="AI26" i="3" s="1"/>
  <c r="AN26" i="3" s="1"/>
  <c r="J75" i="3"/>
  <c r="I75" i="3"/>
  <c r="E75" i="3"/>
  <c r="AF24" i="3"/>
  <c r="J232" i="3"/>
  <c r="I232" i="3"/>
  <c r="E232" i="3"/>
  <c r="AF282" i="3"/>
  <c r="AI282" i="3" s="1"/>
  <c r="AN282" i="3" s="1"/>
  <c r="AI281" i="3"/>
  <c r="AN281" i="3" s="1"/>
  <c r="AI238" i="3"/>
  <c r="AN238" i="3" s="1"/>
  <c r="AF225" i="3"/>
  <c r="AI225" i="3" s="1"/>
  <c r="AN225" i="3" s="1"/>
  <c r="J230" i="3"/>
  <c r="I230" i="3"/>
  <c r="AF230" i="3" s="1"/>
  <c r="E230" i="3"/>
  <c r="E220" i="3"/>
  <c r="J220" i="3"/>
  <c r="I220" i="3"/>
  <c r="J197" i="3"/>
  <c r="I197" i="3"/>
  <c r="AF197" i="3" s="1"/>
  <c r="E197" i="3"/>
  <c r="AI197" i="3" s="1"/>
  <c r="AN197" i="3" s="1"/>
  <c r="AH175" i="3"/>
  <c r="AJ175" i="3" s="1"/>
  <c r="AK175" i="3" s="1"/>
  <c r="J176" i="3"/>
  <c r="I176" i="3"/>
  <c r="E176" i="3"/>
  <c r="E180" i="3"/>
  <c r="I180" i="3"/>
  <c r="AF180" i="3" s="1"/>
  <c r="J180" i="3"/>
  <c r="AF152" i="3"/>
  <c r="AI152" i="3" s="1"/>
  <c r="AN152" i="3" s="1"/>
  <c r="I135" i="3"/>
  <c r="J135" i="3"/>
  <c r="E135" i="3"/>
  <c r="AI53" i="3"/>
  <c r="AN53" i="3" s="1"/>
  <c r="AI67" i="3"/>
  <c r="AN67" i="3" s="1"/>
  <c r="G11" i="4"/>
  <c r="AF37" i="3"/>
  <c r="AI37" i="3" s="1"/>
  <c r="AN37" i="3" s="1"/>
  <c r="AF237" i="3"/>
  <c r="AI237" i="3" s="1"/>
  <c r="AN237" i="3" s="1"/>
  <c r="J188" i="3"/>
  <c r="I188" i="3"/>
  <c r="E188" i="3"/>
  <c r="AI186" i="3"/>
  <c r="AN186" i="3" s="1"/>
  <c r="AH157" i="3"/>
  <c r="AJ157" i="3" s="1"/>
  <c r="AK157" i="3" s="1"/>
  <c r="AF165" i="3"/>
  <c r="AI165" i="3" s="1"/>
  <c r="AN165" i="3" s="1"/>
  <c r="AF159" i="3"/>
  <c r="AI159" i="3" s="1"/>
  <c r="AN159" i="3" s="1"/>
  <c r="J98" i="3"/>
  <c r="I98" i="3"/>
  <c r="E98" i="3"/>
  <c r="E47" i="3"/>
  <c r="J47" i="3"/>
  <c r="I47" i="3"/>
  <c r="E139" i="3"/>
  <c r="J139" i="3"/>
  <c r="I139" i="3"/>
  <c r="AI92" i="3"/>
  <c r="AN92" i="3" s="1"/>
  <c r="AH103" i="3"/>
  <c r="AJ103" i="3" s="1"/>
  <c r="AK103" i="3" s="1"/>
  <c r="G15" i="4"/>
  <c r="AI20" i="3"/>
  <c r="AN20" i="3" s="1"/>
  <c r="I44" i="3"/>
  <c r="AF44" i="3" s="1"/>
  <c r="J44" i="3"/>
  <c r="E44" i="3"/>
  <c r="J28" i="3"/>
  <c r="I28" i="3"/>
  <c r="E28" i="3"/>
  <c r="AF7" i="3"/>
  <c r="AI7" i="3" s="1"/>
  <c r="AN7" i="3" s="1"/>
  <c r="AN256" i="3"/>
  <c r="AH170" i="3"/>
  <c r="AJ170" i="3" s="1"/>
  <c r="AK170" i="3" s="1"/>
  <c r="J138" i="3"/>
  <c r="I138" i="3"/>
  <c r="E138" i="3"/>
  <c r="E131" i="3"/>
  <c r="J131" i="3"/>
  <c r="I131" i="3"/>
  <c r="AF131" i="3" s="1"/>
  <c r="AI118" i="3"/>
  <c r="AN118" i="3" s="1"/>
  <c r="AH86" i="3"/>
  <c r="AJ86" i="3" s="1"/>
  <c r="AK86" i="3" s="1"/>
  <c r="J40" i="3"/>
  <c r="E40" i="3"/>
  <c r="I40" i="3"/>
  <c r="AF40" i="3" s="1"/>
  <c r="J18" i="3"/>
  <c r="I18" i="3"/>
  <c r="E18" i="3"/>
  <c r="J5" i="3"/>
  <c r="I5" i="3"/>
  <c r="E5" i="3"/>
  <c r="AI24" i="3"/>
  <c r="AN24" i="3" s="1"/>
  <c r="AI22" i="3"/>
  <c r="AN22" i="3" s="1"/>
  <c r="AH42" i="3"/>
  <c r="AJ42" i="3" s="1"/>
  <c r="AK42" i="3" s="1"/>
  <c r="AH248" i="3"/>
  <c r="AJ248" i="3" s="1"/>
  <c r="AK248" i="3" s="1"/>
  <c r="I174" i="3"/>
  <c r="E174" i="3"/>
  <c r="J174" i="3"/>
  <c r="J200" i="3"/>
  <c r="I200" i="3"/>
  <c r="E200" i="3"/>
  <c r="I142" i="3"/>
  <c r="E142" i="3"/>
  <c r="J142" i="3"/>
  <c r="J122" i="3"/>
  <c r="I122" i="3"/>
  <c r="E122" i="3"/>
  <c r="G21" i="4"/>
  <c r="AF160" i="3"/>
  <c r="AI160" i="3" s="1"/>
  <c r="AN160" i="3" s="1"/>
  <c r="J76" i="3"/>
  <c r="I76" i="3"/>
  <c r="E76" i="3"/>
  <c r="J109" i="3"/>
  <c r="I109" i="3"/>
  <c r="AF109" i="3" s="1"/>
  <c r="E109" i="3"/>
  <c r="J97" i="3"/>
  <c r="I97" i="3"/>
  <c r="E97" i="3"/>
  <c r="J63" i="3"/>
  <c r="I63" i="3"/>
  <c r="E63" i="3"/>
  <c r="E45" i="3"/>
  <c r="I45" i="3"/>
  <c r="AF45" i="3" s="1"/>
  <c r="J45" i="3"/>
  <c r="AF38" i="3"/>
  <c r="AI38" i="3" s="1"/>
  <c r="AN38" i="3" s="1"/>
  <c r="AF10" i="3"/>
  <c r="AI10" i="3" s="1"/>
  <c r="AN10" i="3" s="1"/>
  <c r="J211" i="3"/>
  <c r="I211" i="3"/>
  <c r="E211" i="3"/>
  <c r="E195" i="3"/>
  <c r="J195" i="3"/>
  <c r="I195" i="3"/>
  <c r="AI117" i="3"/>
  <c r="AN117" i="3" s="1"/>
  <c r="J101" i="3"/>
  <c r="I101" i="3"/>
  <c r="E101" i="3"/>
  <c r="G13" i="4"/>
  <c r="AI79" i="3"/>
  <c r="AN79" i="3" s="1"/>
  <c r="E35" i="3"/>
  <c r="J35" i="3"/>
  <c r="I35" i="3"/>
  <c r="AF35" i="3" s="1"/>
  <c r="AF81" i="3"/>
  <c r="AI81" i="3" s="1"/>
  <c r="AN81" i="3" s="1"/>
  <c r="AI55" i="3"/>
  <c r="AN55" i="3" s="1"/>
  <c r="J244" i="3"/>
  <c r="I244" i="3"/>
  <c r="E244" i="3"/>
  <c r="AI259" i="3"/>
  <c r="AN259" i="3" s="1"/>
  <c r="J210" i="3"/>
  <c r="I210" i="3"/>
  <c r="E210" i="3"/>
  <c r="AF198" i="3"/>
  <c r="AI198" i="3" s="1"/>
  <c r="AN198" i="3" s="1"/>
  <c r="J143" i="3"/>
  <c r="E143" i="3"/>
  <c r="I143" i="3"/>
  <c r="AI130" i="3"/>
  <c r="AN130" i="3" s="1"/>
  <c r="AI147" i="3"/>
  <c r="AN147" i="3" s="1"/>
  <c r="J125" i="3"/>
  <c r="I125" i="3"/>
  <c r="E125" i="3"/>
  <c r="J141" i="3"/>
  <c r="I141" i="3"/>
  <c r="E141" i="3"/>
  <c r="AI168" i="3"/>
  <c r="AN168" i="3" s="1"/>
  <c r="J108" i="3"/>
  <c r="I108" i="3"/>
  <c r="E108" i="3"/>
  <c r="AI129" i="3"/>
  <c r="AN129" i="3" s="1"/>
  <c r="J121" i="3"/>
  <c r="I121" i="3"/>
  <c r="E121" i="3"/>
  <c r="AI93" i="3"/>
  <c r="AN93" i="3" s="1"/>
  <c r="AH120" i="3"/>
  <c r="AJ120" i="3" s="1"/>
  <c r="AK120" i="3" s="1"/>
  <c r="AI162" i="3"/>
  <c r="AN162" i="3" s="1"/>
  <c r="AI119" i="3"/>
  <c r="AN119" i="3" s="1"/>
  <c r="E48" i="3"/>
  <c r="J48" i="3"/>
  <c r="I48" i="3"/>
  <c r="AF80" i="3"/>
  <c r="AI80" i="3" s="1"/>
  <c r="AN80" i="3" s="1"/>
  <c r="AF61" i="3"/>
  <c r="AI61" i="3" s="1"/>
  <c r="AN61" i="3" s="1"/>
  <c r="G10" i="4"/>
  <c r="J17" i="3"/>
  <c r="I17" i="3"/>
  <c r="E17" i="3"/>
  <c r="J16" i="3"/>
  <c r="I16" i="3"/>
  <c r="E16" i="3"/>
  <c r="AI69" i="3"/>
  <c r="AN69" i="3" s="1"/>
  <c r="J27" i="3"/>
  <c r="I27" i="3"/>
  <c r="E27" i="3"/>
  <c r="AI60" i="3"/>
  <c r="AN60" i="3" s="1"/>
  <c r="AF31" i="3"/>
  <c r="AI31" i="3" s="1"/>
  <c r="AN31" i="3" s="1"/>
  <c r="AI240" i="3"/>
  <c r="AN240" i="3" s="1"/>
  <c r="AF250" i="3"/>
  <c r="AI250" i="3" s="1"/>
  <c r="AN250" i="3" s="1"/>
  <c r="J209" i="3"/>
  <c r="I209" i="3"/>
  <c r="E209" i="3"/>
  <c r="J185" i="3"/>
  <c r="I185" i="3"/>
  <c r="E185" i="3"/>
  <c r="AF184" i="3"/>
  <c r="AI184" i="3" s="1"/>
  <c r="AN184" i="3" s="1"/>
  <c r="AF140" i="3"/>
  <c r="AI140" i="3" s="1"/>
  <c r="AN140" i="3" s="1"/>
  <c r="E172" i="3"/>
  <c r="J172" i="3"/>
  <c r="I172" i="3"/>
  <c r="AF166" i="3"/>
  <c r="AI166" i="3" s="1"/>
  <c r="AN166" i="3" s="1"/>
  <c r="AI150" i="3"/>
  <c r="AN150" i="3" s="1"/>
  <c r="AF167" i="3"/>
  <c r="AI167" i="3" s="1"/>
  <c r="AN167" i="3" s="1"/>
  <c r="G23" i="4"/>
  <c r="AI68" i="3"/>
  <c r="AN68" i="3" s="1"/>
  <c r="J15" i="3"/>
  <c r="I15" i="3"/>
  <c r="E15" i="3"/>
  <c r="J212" i="3"/>
  <c r="E212" i="3"/>
  <c r="I212" i="3"/>
  <c r="J171" i="3"/>
  <c r="I171" i="3"/>
  <c r="E171" i="3"/>
  <c r="J154" i="3"/>
  <c r="I154" i="3"/>
  <c r="E154" i="3"/>
  <c r="AF105" i="3"/>
  <c r="AI105" i="3" s="1"/>
  <c r="AN105" i="3" s="1"/>
  <c r="AF87" i="3"/>
  <c r="AI87" i="3" s="1"/>
  <c r="AN87" i="3" s="1"/>
  <c r="AI111" i="3"/>
  <c r="AN111" i="3" s="1"/>
  <c r="AI91" i="3"/>
  <c r="AN91" i="3" s="1"/>
  <c r="J113" i="3"/>
  <c r="I113" i="3"/>
  <c r="E113" i="3"/>
  <c r="AI128" i="3"/>
  <c r="AN128" i="3" s="1"/>
  <c r="E23" i="3"/>
  <c r="J23" i="3"/>
  <c r="I23" i="3"/>
  <c r="G19" i="4"/>
  <c r="J30" i="3"/>
  <c r="I30" i="3"/>
  <c r="E30" i="3"/>
  <c r="AI85" i="3"/>
  <c r="AN85" i="3" s="1"/>
  <c r="AF13" i="3"/>
  <c r="AI13" i="3" s="1"/>
  <c r="AN13" i="3" s="1"/>
  <c r="AF12" i="3"/>
  <c r="AI12" i="3" s="1"/>
  <c r="AN12" i="3" s="1"/>
  <c r="AF6" i="3"/>
  <c r="AI6" i="3" s="1"/>
  <c r="AN6" i="3" s="1"/>
  <c r="AF19" i="3"/>
  <c r="AI19" i="3" s="1"/>
  <c r="AN19" i="3" s="1"/>
  <c r="H272" i="3" l="1"/>
  <c r="G124" i="3"/>
  <c r="H205" i="3"/>
  <c r="AH205" i="3" s="1"/>
  <c r="AJ205" i="3" s="1"/>
  <c r="AK205" i="3" s="1"/>
  <c r="G39" i="3"/>
  <c r="AH39" i="3" s="1"/>
  <c r="AJ39" i="3" s="1"/>
  <c r="AK39" i="3" s="1"/>
  <c r="H297" i="3"/>
  <c r="G297" i="3"/>
  <c r="AH297" i="3" s="1"/>
  <c r="AJ297" i="3" s="1"/>
  <c r="AK297" i="3" s="1"/>
  <c r="H206" i="3"/>
  <c r="G206" i="3"/>
  <c r="AH206" i="3" s="1"/>
  <c r="AJ206" i="3" s="1"/>
  <c r="AK206" i="3" s="1"/>
  <c r="G193" i="3"/>
  <c r="H193" i="3"/>
  <c r="AH193" i="3" s="1"/>
  <c r="AJ193" i="3" s="1"/>
  <c r="AK193" i="3" s="1"/>
  <c r="G317" i="3"/>
  <c r="H317" i="3"/>
  <c r="AH317" i="3" s="1"/>
  <c r="AJ317" i="3" s="1"/>
  <c r="G311" i="3"/>
  <c r="H311" i="3"/>
  <c r="AH311" i="3" s="1"/>
  <c r="AJ311" i="3" s="1"/>
  <c r="G50" i="3"/>
  <c r="AH50" i="3" s="1"/>
  <c r="AJ50" i="3" s="1"/>
  <c r="AK50" i="3" s="1"/>
  <c r="H50" i="3"/>
  <c r="H149" i="3"/>
  <c r="AH149" i="3" s="1"/>
  <c r="AJ149" i="3" s="1"/>
  <c r="G149" i="3"/>
  <c r="H312" i="3"/>
  <c r="AH312" i="3" s="1"/>
  <c r="AJ312" i="3" s="1"/>
  <c r="AK312" i="3" s="1"/>
  <c r="G312" i="3"/>
  <c r="H215" i="3"/>
  <c r="AH215" i="3" s="1"/>
  <c r="AJ215" i="3" s="1"/>
  <c r="G215" i="3"/>
  <c r="H286" i="3"/>
  <c r="AH286" i="3" s="1"/>
  <c r="AJ286" i="3" s="1"/>
  <c r="AK286" i="3" s="1"/>
  <c r="G286" i="3"/>
  <c r="H179" i="3"/>
  <c r="AH179" i="3" s="1"/>
  <c r="AJ179" i="3" s="1"/>
  <c r="G179" i="3"/>
  <c r="G181" i="3"/>
  <c r="H181" i="3"/>
  <c r="AH181" i="3" s="1"/>
  <c r="AJ181" i="3" s="1"/>
  <c r="AK181" i="3" s="1"/>
  <c r="H204" i="3"/>
  <c r="AH204" i="3" s="1"/>
  <c r="AJ204" i="3" s="1"/>
  <c r="AK204" i="3" s="1"/>
  <c r="G204" i="3"/>
  <c r="G364" i="3"/>
  <c r="H364" i="3"/>
  <c r="AH364" i="3" s="1"/>
  <c r="AJ364" i="3" s="1"/>
  <c r="AK364" i="3" s="1"/>
  <c r="AF113" i="3"/>
  <c r="AF98" i="3"/>
  <c r="AF176" i="3"/>
  <c r="AF89" i="3"/>
  <c r="AF287" i="3"/>
  <c r="AF307" i="3"/>
  <c r="AF182" i="3"/>
  <c r="AI182" i="3" s="1"/>
  <c r="AN182" i="3" s="1"/>
  <c r="AI191" i="3"/>
  <c r="AN191" i="3" s="1"/>
  <c r="AI334" i="3"/>
  <c r="AN334" i="3" s="1"/>
  <c r="G58" i="3"/>
  <c r="AF245" i="3"/>
  <c r="AI245" i="3" s="1"/>
  <c r="AN245" i="3" s="1"/>
  <c r="AF174" i="3"/>
  <c r="H107" i="3"/>
  <c r="AH107" i="3" s="1"/>
  <c r="AJ107" i="3" s="1"/>
  <c r="AF233" i="3"/>
  <c r="AI233" i="3" s="1"/>
  <c r="AN233" i="3" s="1"/>
  <c r="AF263" i="3"/>
  <c r="AF337" i="3"/>
  <c r="AI309" i="3"/>
  <c r="AN309" i="3" s="1"/>
  <c r="AI34" i="3"/>
  <c r="AN34" i="3" s="1"/>
  <c r="AF231" i="3"/>
  <c r="AI231" i="3" s="1"/>
  <c r="AN231" i="3" s="1"/>
  <c r="AF261" i="3"/>
  <c r="G46" i="3"/>
  <c r="G222" i="3"/>
  <c r="AF309" i="3"/>
  <c r="G265" i="3"/>
  <c r="H265" i="3"/>
  <c r="AH265" i="3" s="1"/>
  <c r="AJ265" i="3" s="1"/>
  <c r="AK265" i="3" s="1"/>
  <c r="AF350" i="3"/>
  <c r="AI350" i="3" s="1"/>
  <c r="AN350" i="3" s="1"/>
  <c r="AI145" i="3"/>
  <c r="AN145" i="3" s="1"/>
  <c r="AF126" i="3"/>
  <c r="AI287" i="3"/>
  <c r="AN287" i="3" s="1"/>
  <c r="H287" i="3" s="1"/>
  <c r="AH287" i="3" s="1"/>
  <c r="AJ287" i="3" s="1"/>
  <c r="AF353" i="3"/>
  <c r="AF216" i="3"/>
  <c r="AI216" i="3" s="1"/>
  <c r="AN216" i="3" s="1"/>
  <c r="AF243" i="3"/>
  <c r="AI243" i="3" s="1"/>
  <c r="AN243" i="3" s="1"/>
  <c r="H31" i="3"/>
  <c r="G31" i="3"/>
  <c r="H61" i="3"/>
  <c r="G61" i="3"/>
  <c r="H302" i="3"/>
  <c r="G302" i="3"/>
  <c r="AH302" i="3" s="1"/>
  <c r="AJ302" i="3" s="1"/>
  <c r="AK302" i="3" s="1"/>
  <c r="G370" i="3"/>
  <c r="H370" i="3"/>
  <c r="H198" i="3"/>
  <c r="AH198" i="3" s="1"/>
  <c r="AJ198" i="3" s="1"/>
  <c r="AK198" i="3" s="1"/>
  <c r="G198" i="3"/>
  <c r="H165" i="3"/>
  <c r="G165" i="3"/>
  <c r="H227" i="3"/>
  <c r="AH227" i="3" s="1"/>
  <c r="AJ227" i="3" s="1"/>
  <c r="G227" i="3"/>
  <c r="H10" i="3"/>
  <c r="G10" i="3"/>
  <c r="H36" i="3"/>
  <c r="G36" i="3"/>
  <c r="G169" i="3"/>
  <c r="H169" i="3"/>
  <c r="AH169" i="3" s="1"/>
  <c r="AJ169" i="3" s="1"/>
  <c r="AK169" i="3" s="1"/>
  <c r="G72" i="3"/>
  <c r="H72" i="3"/>
  <c r="H167" i="3"/>
  <c r="AH167" i="3" s="1"/>
  <c r="AJ167" i="3" s="1"/>
  <c r="G167" i="3"/>
  <c r="H252" i="3"/>
  <c r="G252" i="3"/>
  <c r="G77" i="3"/>
  <c r="H77" i="3"/>
  <c r="AH77" i="3" s="1"/>
  <c r="AJ77" i="3" s="1"/>
  <c r="G328" i="3"/>
  <c r="H328" i="3"/>
  <c r="G151" i="3"/>
  <c r="H151" i="3"/>
  <c r="AH151" i="3" s="1"/>
  <c r="AJ151" i="3" s="1"/>
  <c r="AK151" i="3" s="1"/>
  <c r="G99" i="3"/>
  <c r="AH99" i="3" s="1"/>
  <c r="AJ99" i="3" s="1"/>
  <c r="AK99" i="3" s="1"/>
  <c r="H99" i="3"/>
  <c r="G130" i="3"/>
  <c r="H130" i="3"/>
  <c r="H24" i="3"/>
  <c r="G24" i="3"/>
  <c r="G87" i="3"/>
  <c r="H87" i="3"/>
  <c r="G184" i="3"/>
  <c r="H184" i="3"/>
  <c r="AH184" i="3" s="1"/>
  <c r="AJ184" i="3" s="1"/>
  <c r="AK184" i="3" s="1"/>
  <c r="AF48" i="3"/>
  <c r="AF142" i="3"/>
  <c r="AI142" i="3" s="1"/>
  <c r="AN142" i="3" s="1"/>
  <c r="G90" i="3"/>
  <c r="H90" i="3"/>
  <c r="AH90" i="3" s="1"/>
  <c r="AJ90" i="3" s="1"/>
  <c r="AK90" i="3" s="1"/>
  <c r="AI230" i="3"/>
  <c r="AN230" i="3" s="1"/>
  <c r="G202" i="3"/>
  <c r="H202" i="3"/>
  <c r="AF183" i="3"/>
  <c r="AF71" i="3"/>
  <c r="AF347" i="3"/>
  <c r="G57" i="3"/>
  <c r="H57" i="3"/>
  <c r="H267" i="3"/>
  <c r="G267" i="3"/>
  <c r="AH267" i="3" s="1"/>
  <c r="AJ267" i="3" s="1"/>
  <c r="AK267" i="3" s="1"/>
  <c r="AF303" i="3"/>
  <c r="H273" i="3"/>
  <c r="G273" i="3"/>
  <c r="AF96" i="3"/>
  <c r="H225" i="3"/>
  <c r="G225" i="3"/>
  <c r="H228" i="3"/>
  <c r="AH228" i="3" s="1"/>
  <c r="AJ228" i="3" s="1"/>
  <c r="AK228" i="3" s="1"/>
  <c r="G228" i="3"/>
  <c r="G105" i="3"/>
  <c r="H105" i="3"/>
  <c r="AI76" i="3"/>
  <c r="AN76" i="3" s="1"/>
  <c r="H237" i="3"/>
  <c r="G237" i="3"/>
  <c r="AH237" i="3" s="1"/>
  <c r="AJ237" i="3" s="1"/>
  <c r="AK237" i="3" s="1"/>
  <c r="H94" i="3"/>
  <c r="G94" i="3"/>
  <c r="H290" i="3"/>
  <c r="G290" i="3"/>
  <c r="H278" i="3"/>
  <c r="G278" i="3"/>
  <c r="H305" i="3"/>
  <c r="G305" i="3"/>
  <c r="H294" i="3"/>
  <c r="AH294" i="3" s="1"/>
  <c r="AJ294" i="3" s="1"/>
  <c r="AK294" i="3" s="1"/>
  <c r="G294" i="3"/>
  <c r="H33" i="3"/>
  <c r="G33" i="3"/>
  <c r="AH33" i="3" s="1"/>
  <c r="AJ33" i="3" s="1"/>
  <c r="AK33" i="3" s="1"/>
  <c r="H201" i="3"/>
  <c r="G201" i="3"/>
  <c r="AH201" i="3" s="1"/>
  <c r="AJ201" i="3" s="1"/>
  <c r="AK201" i="3" s="1"/>
  <c r="H177" i="3"/>
  <c r="G177" i="3"/>
  <c r="AH177" i="3" s="1"/>
  <c r="AJ177" i="3" s="1"/>
  <c r="AK177" i="3" s="1"/>
  <c r="G217" i="3"/>
  <c r="H217" i="3"/>
  <c r="AH217" i="3" s="1"/>
  <c r="AJ217" i="3" s="1"/>
  <c r="AK217" i="3" s="1"/>
  <c r="G280" i="3"/>
  <c r="H280" i="3"/>
  <c r="G14" i="3"/>
  <c r="H14" i="3"/>
  <c r="G68" i="3"/>
  <c r="AH68" i="3" s="1"/>
  <c r="AJ68" i="3" s="1"/>
  <c r="AK68" i="3" s="1"/>
  <c r="H68" i="3"/>
  <c r="G69" i="3"/>
  <c r="H69" i="3"/>
  <c r="H168" i="3"/>
  <c r="G168" i="3"/>
  <c r="AI45" i="3"/>
  <c r="AN45" i="3" s="1"/>
  <c r="AF76" i="3"/>
  <c r="AF200" i="3"/>
  <c r="H37" i="3"/>
  <c r="G37" i="3"/>
  <c r="G104" i="3"/>
  <c r="AH104" i="3" s="1"/>
  <c r="AJ104" i="3" s="1"/>
  <c r="AK104" i="3" s="1"/>
  <c r="H104" i="3"/>
  <c r="H308" i="3"/>
  <c r="G308" i="3"/>
  <c r="AI307" i="3"/>
  <c r="AN307" i="3" s="1"/>
  <c r="H309" i="3"/>
  <c r="G309" i="3"/>
  <c r="G65" i="3"/>
  <c r="H65" i="3"/>
  <c r="AH65" i="3" s="1"/>
  <c r="AJ65" i="3" s="1"/>
  <c r="H73" i="3"/>
  <c r="AH73" i="3" s="1"/>
  <c r="AJ73" i="3" s="1"/>
  <c r="AK73" i="3" s="1"/>
  <c r="G73" i="3"/>
  <c r="G117" i="3"/>
  <c r="H117" i="3"/>
  <c r="G81" i="3"/>
  <c r="AH81" i="3" s="1"/>
  <c r="AJ81" i="3" s="1"/>
  <c r="AK81" i="3" s="1"/>
  <c r="H81" i="3"/>
  <c r="G119" i="3"/>
  <c r="H119" i="3"/>
  <c r="AI141" i="3"/>
  <c r="AN141" i="3" s="1"/>
  <c r="G226" i="3"/>
  <c r="H226" i="3"/>
  <c r="G116" i="3"/>
  <c r="H116" i="3"/>
  <c r="H293" i="3"/>
  <c r="G293" i="3"/>
  <c r="G346" i="3"/>
  <c r="H346" i="3"/>
  <c r="AH346" i="3" s="1"/>
  <c r="AJ346" i="3" s="1"/>
  <c r="AK346" i="3" s="1"/>
  <c r="G352" i="3"/>
  <c r="H352" i="3"/>
  <c r="H251" i="3"/>
  <c r="G251" i="3"/>
  <c r="G339" i="3"/>
  <c r="H339" i="3"/>
  <c r="H249" i="3"/>
  <c r="G249" i="3"/>
  <c r="AH249" i="3" s="1"/>
  <c r="AJ249" i="3" s="1"/>
  <c r="AK249" i="3" s="1"/>
  <c r="H25" i="3"/>
  <c r="AH25" i="3" s="1"/>
  <c r="AJ25" i="3" s="1"/>
  <c r="AK25" i="3" s="1"/>
  <c r="G25" i="3"/>
  <c r="G340" i="3"/>
  <c r="H340" i="3"/>
  <c r="AH340" i="3" s="1"/>
  <c r="AJ340" i="3" s="1"/>
  <c r="AK340" i="3" s="1"/>
  <c r="H221" i="3"/>
  <c r="AH221" i="3" s="1"/>
  <c r="AJ221" i="3" s="1"/>
  <c r="G221" i="3"/>
  <c r="G259" i="3"/>
  <c r="H259" i="3"/>
  <c r="G164" i="3"/>
  <c r="H164" i="3"/>
  <c r="H288" i="3"/>
  <c r="AH288" i="3" s="1"/>
  <c r="AJ288" i="3" s="1"/>
  <c r="AK288" i="3" s="1"/>
  <c r="G288" i="3"/>
  <c r="AI16" i="3"/>
  <c r="AN16" i="3" s="1"/>
  <c r="H19" i="3"/>
  <c r="AH19" i="3" s="1"/>
  <c r="AJ19" i="3" s="1"/>
  <c r="AK19" i="3" s="1"/>
  <c r="G19" i="3"/>
  <c r="AF16" i="3"/>
  <c r="H162" i="3"/>
  <c r="G162" i="3"/>
  <c r="AF141" i="3"/>
  <c r="H79" i="3"/>
  <c r="G79" i="3"/>
  <c r="AF63" i="3"/>
  <c r="AI63" i="3" s="1"/>
  <c r="AN63" i="3" s="1"/>
  <c r="G160" i="3"/>
  <c r="H160" i="3"/>
  <c r="G20" i="3"/>
  <c r="AH20" i="3" s="1"/>
  <c r="AJ20" i="3" s="1"/>
  <c r="AK20" i="3" s="1"/>
  <c r="H20" i="3"/>
  <c r="H67" i="3"/>
  <c r="AH67" i="3" s="1"/>
  <c r="AJ67" i="3" s="1"/>
  <c r="AK67" i="3" s="1"/>
  <c r="G67" i="3"/>
  <c r="G26" i="3"/>
  <c r="H26" i="3"/>
  <c r="G262" i="3"/>
  <c r="H262" i="3"/>
  <c r="AF255" i="3"/>
  <c r="G367" i="3"/>
  <c r="H367" i="3"/>
  <c r="AI353" i="3"/>
  <c r="AN353" i="3" s="1"/>
  <c r="H106" i="3"/>
  <c r="AH106" i="3" s="1"/>
  <c r="AJ106" i="3" s="1"/>
  <c r="AK106" i="3" s="1"/>
  <c r="G106" i="3"/>
  <c r="G316" i="3"/>
  <c r="H316" i="3"/>
  <c r="AH316" i="3" s="1"/>
  <c r="AJ316" i="3" s="1"/>
  <c r="AK316" i="3" s="1"/>
  <c r="G336" i="3"/>
  <c r="H336" i="3"/>
  <c r="AH336" i="3" s="1"/>
  <c r="AJ336" i="3" s="1"/>
  <c r="AK336" i="3" s="1"/>
  <c r="G322" i="3"/>
  <c r="H322" i="3"/>
  <c r="H85" i="3"/>
  <c r="G85" i="3"/>
  <c r="H22" i="3"/>
  <c r="G22" i="3"/>
  <c r="G128" i="3"/>
  <c r="AH128" i="3" s="1"/>
  <c r="AJ128" i="3" s="1"/>
  <c r="AK128" i="3" s="1"/>
  <c r="H128" i="3"/>
  <c r="AF209" i="3"/>
  <c r="AI174" i="3"/>
  <c r="AN174" i="3" s="1"/>
  <c r="AF138" i="3"/>
  <c r="AI138" i="3" s="1"/>
  <c r="AN138" i="3" s="1"/>
  <c r="H159" i="3"/>
  <c r="G159" i="3"/>
  <c r="G53" i="3"/>
  <c r="H53" i="3"/>
  <c r="G238" i="3"/>
  <c r="H238" i="3"/>
  <c r="AF84" i="3"/>
  <c r="AI84" i="3" s="1"/>
  <c r="AN84" i="3" s="1"/>
  <c r="G56" i="3"/>
  <c r="AH56" i="3" s="1"/>
  <c r="AJ56" i="3" s="1"/>
  <c r="AK56" i="3" s="1"/>
  <c r="H56" i="3"/>
  <c r="AF283" i="3"/>
  <c r="H134" i="3"/>
  <c r="G134" i="3"/>
  <c r="AH134" i="3" s="1"/>
  <c r="AJ134" i="3" s="1"/>
  <c r="AK134" i="3" s="1"/>
  <c r="G342" i="3"/>
  <c r="H342" i="3"/>
  <c r="AH342" i="3" s="1"/>
  <c r="AJ342" i="3" s="1"/>
  <c r="AK342" i="3" s="1"/>
  <c r="H279" i="3"/>
  <c r="G279" i="3"/>
  <c r="AH279" i="3" s="1"/>
  <c r="AJ279" i="3" s="1"/>
  <c r="AK279" i="3" s="1"/>
  <c r="H216" i="3"/>
  <c r="AH216" i="3" s="1"/>
  <c r="AJ216" i="3" s="1"/>
  <c r="AK216" i="3" s="1"/>
  <c r="G216" i="3"/>
  <c r="H197" i="3"/>
  <c r="AH197" i="3" s="1"/>
  <c r="AJ197" i="3" s="1"/>
  <c r="G197" i="3"/>
  <c r="G166" i="3"/>
  <c r="H166" i="3"/>
  <c r="AH166" i="3" s="1"/>
  <c r="AJ166" i="3" s="1"/>
  <c r="AK166" i="3" s="1"/>
  <c r="G92" i="3"/>
  <c r="AH92" i="3" s="1"/>
  <c r="AJ92" i="3" s="1"/>
  <c r="AK92" i="3" s="1"/>
  <c r="H92" i="3"/>
  <c r="H282" i="3"/>
  <c r="G282" i="3"/>
  <c r="H192" i="3"/>
  <c r="G192" i="3"/>
  <c r="AI229" i="3"/>
  <c r="AN229" i="3" s="1"/>
  <c r="H266" i="3"/>
  <c r="G266" i="3"/>
  <c r="H270" i="3"/>
  <c r="AH270" i="3" s="1"/>
  <c r="AJ270" i="3" s="1"/>
  <c r="AK270" i="3" s="1"/>
  <c r="G270" i="3"/>
  <c r="AF351" i="3"/>
  <c r="H354" i="3"/>
  <c r="G354" i="3"/>
  <c r="H137" i="3"/>
  <c r="AH137" i="3" s="1"/>
  <c r="AJ137" i="3" s="1"/>
  <c r="G137" i="3"/>
  <c r="H291" i="3"/>
  <c r="G291" i="3"/>
  <c r="AH291" i="3" s="1"/>
  <c r="AJ291" i="3" s="1"/>
  <c r="AK291" i="3" s="1"/>
  <c r="H150" i="3"/>
  <c r="G150" i="3"/>
  <c r="H281" i="3"/>
  <c r="AH281" i="3" s="1"/>
  <c r="AJ281" i="3" s="1"/>
  <c r="G281" i="3"/>
  <c r="H156" i="3"/>
  <c r="AH156" i="3" s="1"/>
  <c r="AJ156" i="3" s="1"/>
  <c r="AK156" i="3" s="1"/>
  <c r="G156" i="3"/>
  <c r="G148" i="3"/>
  <c r="H148" i="3"/>
  <c r="AH148" i="3" s="1"/>
  <c r="AJ148" i="3" s="1"/>
  <c r="AK148" i="3" s="1"/>
  <c r="G12" i="3"/>
  <c r="H12" i="3"/>
  <c r="G250" i="3"/>
  <c r="H250" i="3"/>
  <c r="H13" i="3"/>
  <c r="G13" i="3"/>
  <c r="AF172" i="3"/>
  <c r="H240" i="3"/>
  <c r="AH240" i="3" s="1"/>
  <c r="AJ240" i="3" s="1"/>
  <c r="AK240" i="3" s="1"/>
  <c r="G240" i="3"/>
  <c r="AF244" i="3"/>
  <c r="AF122" i="3"/>
  <c r="G256" i="3"/>
  <c r="H256" i="3"/>
  <c r="AF139" i="3"/>
  <c r="AF41" i="3"/>
  <c r="AI41" i="3" s="1"/>
  <c r="AN41" i="3" s="1"/>
  <c r="AF229" i="3"/>
  <c r="G274" i="3"/>
  <c r="H274" i="3"/>
  <c r="AH274" i="3" s="1"/>
  <c r="AJ274" i="3" s="1"/>
  <c r="AK274" i="3" s="1"/>
  <c r="AF257" i="3"/>
  <c r="AI351" i="3"/>
  <c r="AN351" i="3" s="1"/>
  <c r="AF335" i="3"/>
  <c r="AI335" i="3" s="1"/>
  <c r="AN335" i="3" s="1"/>
  <c r="AF295" i="3"/>
  <c r="G369" i="3"/>
  <c r="AH369" i="3" s="1"/>
  <c r="AJ369" i="3" s="1"/>
  <c r="AK369" i="3" s="1"/>
  <c r="H369" i="3"/>
  <c r="G83" i="3"/>
  <c r="H83" i="3"/>
  <c r="AH83" i="3" s="1"/>
  <c r="AJ83" i="3" s="1"/>
  <c r="H7" i="3"/>
  <c r="G7" i="3"/>
  <c r="G163" i="3"/>
  <c r="H163" i="3"/>
  <c r="G355" i="3"/>
  <c r="H355" i="3"/>
  <c r="AH355" i="3" s="1"/>
  <c r="AJ355" i="3" s="1"/>
  <c r="AK355" i="3" s="1"/>
  <c r="G304" i="3"/>
  <c r="H304" i="3"/>
  <c r="AH304" i="3" s="1"/>
  <c r="AJ304" i="3" s="1"/>
  <c r="AK304" i="3" s="1"/>
  <c r="H158" i="3"/>
  <c r="G158" i="3"/>
  <c r="AH158" i="3" s="1"/>
  <c r="AJ158" i="3" s="1"/>
  <c r="AK158" i="3" s="1"/>
  <c r="G298" i="3"/>
  <c r="H298" i="3"/>
  <c r="AH298" i="3" s="1"/>
  <c r="AJ298" i="3" s="1"/>
  <c r="AK298" i="3" s="1"/>
  <c r="H203" i="3"/>
  <c r="AH203" i="3" s="1"/>
  <c r="AJ203" i="3" s="1"/>
  <c r="G203" i="3"/>
  <c r="G93" i="3"/>
  <c r="H93" i="3"/>
  <c r="H147" i="3"/>
  <c r="G147" i="3"/>
  <c r="AH147" i="3" s="1"/>
  <c r="AJ147" i="3" s="1"/>
  <c r="AK147" i="3" s="1"/>
  <c r="H186" i="3"/>
  <c r="G186" i="3"/>
  <c r="H91" i="3"/>
  <c r="AH91" i="3" s="1"/>
  <c r="AJ91" i="3" s="1"/>
  <c r="AK91" i="3" s="1"/>
  <c r="G91" i="3"/>
  <c r="G60" i="3"/>
  <c r="H60" i="3"/>
  <c r="H55" i="3"/>
  <c r="G55" i="3"/>
  <c r="G152" i="3"/>
  <c r="AH152" i="3" s="1"/>
  <c r="AJ152" i="3" s="1"/>
  <c r="AK152" i="3" s="1"/>
  <c r="H152" i="3"/>
  <c r="G114" i="3"/>
  <c r="H114" i="3"/>
  <c r="AH114" i="3" s="1"/>
  <c r="AJ114" i="3" s="1"/>
  <c r="AK114" i="3" s="1"/>
  <c r="AI29" i="3"/>
  <c r="AN29" i="3" s="1"/>
  <c r="H49" i="3"/>
  <c r="AH49" i="3" s="1"/>
  <c r="AJ49" i="3" s="1"/>
  <c r="AK49" i="3" s="1"/>
  <c r="G49" i="3"/>
  <c r="G178" i="3"/>
  <c r="H178" i="3"/>
  <c r="H326" i="3"/>
  <c r="G326" i="3"/>
  <c r="AH326" i="3" s="1"/>
  <c r="AJ326" i="3" s="1"/>
  <c r="AK326" i="3" s="1"/>
  <c r="H269" i="3"/>
  <c r="G269" i="3"/>
  <c r="H320" i="3"/>
  <c r="G320" i="3"/>
  <c r="AH320" i="3" s="1"/>
  <c r="AJ320" i="3" s="1"/>
  <c r="AK320" i="3" s="1"/>
  <c r="G333" i="3"/>
  <c r="AH333" i="3" s="1"/>
  <c r="AJ333" i="3" s="1"/>
  <c r="AK333" i="3" s="1"/>
  <c r="H333" i="3"/>
  <c r="H189" i="3"/>
  <c r="G189" i="3"/>
  <c r="AH189" i="3" s="1"/>
  <c r="AJ189" i="3" s="1"/>
  <c r="AK189" i="3" s="1"/>
  <c r="H362" i="3"/>
  <c r="G362" i="3"/>
  <c r="AH362" i="3" s="1"/>
  <c r="AJ362" i="3" s="1"/>
  <c r="AK362" i="3" s="1"/>
  <c r="G6" i="3"/>
  <c r="H6" i="3"/>
  <c r="G129" i="3"/>
  <c r="H129" i="3"/>
  <c r="G38" i="3"/>
  <c r="AH38" i="3" s="1"/>
  <c r="AJ38" i="3" s="1"/>
  <c r="AK38" i="3" s="1"/>
  <c r="H38" i="3"/>
  <c r="AF30" i="3"/>
  <c r="G111" i="3"/>
  <c r="AH111" i="3" s="1"/>
  <c r="AJ111" i="3" s="1"/>
  <c r="AK111" i="3" s="1"/>
  <c r="H111" i="3"/>
  <c r="G140" i="3"/>
  <c r="H140" i="3"/>
  <c r="G80" i="3"/>
  <c r="H80" i="3"/>
  <c r="G8" i="3"/>
  <c r="H8" i="3"/>
  <c r="H118" i="3"/>
  <c r="AH118" i="3" s="1"/>
  <c r="AJ118" i="3" s="1"/>
  <c r="AK118" i="3" s="1"/>
  <c r="G118" i="3"/>
  <c r="AF47" i="3"/>
  <c r="AF188" i="3"/>
  <c r="H254" i="3"/>
  <c r="G254" i="3"/>
  <c r="AH254" i="3" s="1"/>
  <c r="AJ254" i="3" s="1"/>
  <c r="AK254" i="3" s="1"/>
  <c r="AF29" i="3"/>
  <c r="G196" i="3"/>
  <c r="H196" i="3"/>
  <c r="G357" i="3"/>
  <c r="AH357" i="3" s="1"/>
  <c r="AJ357" i="3" s="1"/>
  <c r="AK357" i="3" s="1"/>
  <c r="H357" i="3"/>
  <c r="H296" i="3"/>
  <c r="G296" i="3"/>
  <c r="G361" i="3"/>
  <c r="H361" i="3"/>
  <c r="AF241" i="3"/>
  <c r="H329" i="3"/>
  <c r="AH329" i="3" s="1"/>
  <c r="AJ329" i="3" s="1"/>
  <c r="G329" i="3"/>
  <c r="AI96" i="3"/>
  <c r="AN96" i="3" s="1"/>
  <c r="H264" i="3"/>
  <c r="AH264" i="3" s="1"/>
  <c r="AJ264" i="3" s="1"/>
  <c r="AK264" i="3" s="1"/>
  <c r="G264" i="3"/>
  <c r="AH105" i="3"/>
  <c r="AJ105" i="3" s="1"/>
  <c r="AK105" i="3" s="1"/>
  <c r="AK179" i="3"/>
  <c r="AH80" i="3"/>
  <c r="AJ80" i="3" s="1"/>
  <c r="AK80" i="3" s="1"/>
  <c r="AH160" i="3"/>
  <c r="AJ160" i="3" s="1"/>
  <c r="AK160" i="3" s="1"/>
  <c r="AH352" i="3"/>
  <c r="AJ352" i="3" s="1"/>
  <c r="AK352" i="3" s="1"/>
  <c r="AH7" i="3"/>
  <c r="AJ7" i="3" s="1"/>
  <c r="AK7" i="3" s="1"/>
  <c r="AK311" i="3"/>
  <c r="AH159" i="3"/>
  <c r="AJ159" i="3" s="1"/>
  <c r="AK159" i="3" s="1"/>
  <c r="AH87" i="3"/>
  <c r="AJ87" i="3" s="1"/>
  <c r="AK87" i="3" s="1"/>
  <c r="AH280" i="3"/>
  <c r="AJ280" i="3" s="1"/>
  <c r="AK280" i="3" s="1"/>
  <c r="AK323" i="3"/>
  <c r="AH250" i="3"/>
  <c r="AJ250" i="3" s="1"/>
  <c r="AK250" i="3" s="1"/>
  <c r="AH6" i="3"/>
  <c r="AJ6" i="3" s="1"/>
  <c r="AK6" i="3" s="1"/>
  <c r="AH293" i="3"/>
  <c r="AJ293" i="3" s="1"/>
  <c r="AH163" i="3"/>
  <c r="AJ163" i="3" s="1"/>
  <c r="AK163" i="3" s="1"/>
  <c r="AH308" i="3"/>
  <c r="AJ308" i="3" s="1"/>
  <c r="AK308" i="3" s="1"/>
  <c r="AK77" i="3"/>
  <c r="AH93" i="3"/>
  <c r="AJ93" i="3" s="1"/>
  <c r="AK93" i="3" s="1"/>
  <c r="AH130" i="3"/>
  <c r="AJ130" i="3" s="1"/>
  <c r="AK130" i="3" s="1"/>
  <c r="AF15" i="3"/>
  <c r="AI172" i="3"/>
  <c r="AN172" i="3" s="1"/>
  <c r="AH69" i="3"/>
  <c r="AJ69" i="3" s="1"/>
  <c r="AK69" i="3" s="1"/>
  <c r="AF143" i="3"/>
  <c r="AH259" i="3"/>
  <c r="AJ259" i="3" s="1"/>
  <c r="AK259" i="3" s="1"/>
  <c r="AH165" i="3"/>
  <c r="AJ165" i="3" s="1"/>
  <c r="AK165" i="3" s="1"/>
  <c r="AH225" i="3"/>
  <c r="AJ225" i="3" s="1"/>
  <c r="AK225" i="3" s="1"/>
  <c r="AF135" i="3"/>
  <c r="AH26" i="3"/>
  <c r="AJ26" i="3" s="1"/>
  <c r="AK26" i="3" s="1"/>
  <c r="AF155" i="3"/>
  <c r="AF218" i="3"/>
  <c r="AI218" i="3" s="1"/>
  <c r="AN218" i="3" s="1"/>
  <c r="AH14" i="3"/>
  <c r="AJ14" i="3" s="1"/>
  <c r="AK14" i="3" s="1"/>
  <c r="AF214" i="3"/>
  <c r="AI214" i="3" s="1"/>
  <c r="AN214" i="3" s="1"/>
  <c r="AF310" i="3"/>
  <c r="AI310" i="3" s="1"/>
  <c r="AN310" i="3" s="1"/>
  <c r="AH328" i="3"/>
  <c r="AJ328" i="3" s="1"/>
  <c r="AK328" i="3" s="1"/>
  <c r="AF242" i="3"/>
  <c r="AK137" i="3"/>
  <c r="AH278" i="3"/>
  <c r="AJ278" i="3" s="1"/>
  <c r="AK278" i="3" s="1"/>
  <c r="AI303" i="3"/>
  <c r="AN303" i="3" s="1"/>
  <c r="AF318" i="3"/>
  <c r="AF23" i="3"/>
  <c r="AK65" i="3"/>
  <c r="AF171" i="3"/>
  <c r="AI171" i="3" s="1"/>
  <c r="AN171" i="3" s="1"/>
  <c r="AH140" i="3"/>
  <c r="AJ140" i="3" s="1"/>
  <c r="AK140" i="3" s="1"/>
  <c r="AF121" i="3"/>
  <c r="AI121" i="3" s="1"/>
  <c r="AN121" i="3" s="1"/>
  <c r="AI244" i="3"/>
  <c r="AN244" i="3" s="1"/>
  <c r="AI35" i="3"/>
  <c r="AN35" i="3" s="1"/>
  <c r="AF195" i="3"/>
  <c r="AI122" i="3"/>
  <c r="AN122" i="3" s="1"/>
  <c r="AI200" i="3"/>
  <c r="AN200" i="3" s="1"/>
  <c r="AF18" i="3"/>
  <c r="AI18" i="3" s="1"/>
  <c r="AN18" i="3" s="1"/>
  <c r="AI139" i="3"/>
  <c r="AN139" i="3" s="1"/>
  <c r="AF232" i="3"/>
  <c r="AI232" i="3" s="1"/>
  <c r="AN232" i="3" s="1"/>
  <c r="AH116" i="3"/>
  <c r="AJ116" i="3" s="1"/>
  <c r="AK116" i="3" s="1"/>
  <c r="AI89" i="3"/>
  <c r="AN89" i="3" s="1"/>
  <c r="AI110" i="3"/>
  <c r="AN110" i="3" s="1"/>
  <c r="AI71" i="3"/>
  <c r="AN71" i="3" s="1"/>
  <c r="AF365" i="3"/>
  <c r="AI365" i="3" s="1"/>
  <c r="AN365" i="3" s="1"/>
  <c r="AH262" i="3"/>
  <c r="AJ262" i="3" s="1"/>
  <c r="AK262" i="3" s="1"/>
  <c r="AI315" i="3"/>
  <c r="AN315" i="3" s="1"/>
  <c r="AF327" i="3"/>
  <c r="AI327" i="3" s="1"/>
  <c r="AN327" i="3" s="1"/>
  <c r="AF330" i="3"/>
  <c r="AI330" i="3" s="1"/>
  <c r="AN330" i="3" s="1"/>
  <c r="AF331" i="3"/>
  <c r="AI331" i="3" s="1"/>
  <c r="AN331" i="3" s="1"/>
  <c r="AH305" i="3"/>
  <c r="AJ305" i="3" s="1"/>
  <c r="AH290" i="3"/>
  <c r="AJ290" i="3" s="1"/>
  <c r="AK290" i="3" s="1"/>
  <c r="AH37" i="3"/>
  <c r="AJ37" i="3" s="1"/>
  <c r="AK37" i="3" s="1"/>
  <c r="AH196" i="3"/>
  <c r="AJ196" i="3" s="1"/>
  <c r="AK196" i="3" s="1"/>
  <c r="AF207" i="3"/>
  <c r="AI207" i="3" s="1"/>
  <c r="AN207" i="3" s="1"/>
  <c r="AK149" i="3"/>
  <c r="AH251" i="3"/>
  <c r="AJ251" i="3" s="1"/>
  <c r="AH309" i="3"/>
  <c r="AJ309" i="3" s="1"/>
  <c r="AK309" i="3" s="1"/>
  <c r="AI95" i="3"/>
  <c r="AN95" i="3" s="1"/>
  <c r="AH31" i="3"/>
  <c r="AJ31" i="3" s="1"/>
  <c r="AK31" i="3" s="1"/>
  <c r="AH22" i="3"/>
  <c r="AJ22" i="3" s="1"/>
  <c r="AK22" i="3" s="1"/>
  <c r="AH72" i="3"/>
  <c r="AJ72" i="3" s="1"/>
  <c r="AK72" i="3" s="1"/>
  <c r="AH256" i="3"/>
  <c r="AJ256" i="3" s="1"/>
  <c r="AK256" i="3" s="1"/>
  <c r="AH36" i="3"/>
  <c r="AJ36" i="3" s="1"/>
  <c r="AK36" i="3" s="1"/>
  <c r="AH192" i="3"/>
  <c r="AJ192" i="3" s="1"/>
  <c r="AK192" i="3" s="1"/>
  <c r="AH361" i="3"/>
  <c r="AJ361" i="3" s="1"/>
  <c r="AK361" i="3" s="1"/>
  <c r="AI271" i="3"/>
  <c r="AN271" i="3" s="1"/>
  <c r="AH339" i="3"/>
  <c r="AJ339" i="3" s="1"/>
  <c r="AK339" i="3" s="1"/>
  <c r="AH273" i="3"/>
  <c r="AJ273" i="3" s="1"/>
  <c r="AK273" i="3" s="1"/>
  <c r="AH79" i="3"/>
  <c r="AJ79" i="3" s="1"/>
  <c r="AK79" i="3" s="1"/>
  <c r="AH24" i="3"/>
  <c r="AJ24" i="3" s="1"/>
  <c r="AK24" i="3" s="1"/>
  <c r="AI180" i="3"/>
  <c r="AN180" i="3" s="1"/>
  <c r="AF341" i="3"/>
  <c r="AI341" i="3" s="1"/>
  <c r="AN341" i="3" s="1"/>
  <c r="AH266" i="3"/>
  <c r="AJ266" i="3" s="1"/>
  <c r="AK266" i="3" s="1"/>
  <c r="AK215" i="3"/>
  <c r="AH370" i="3"/>
  <c r="AJ370" i="3" s="1"/>
  <c r="AK370" i="3" s="1"/>
  <c r="AH252" i="3"/>
  <c r="AJ252" i="3" s="1"/>
  <c r="AK252" i="3" s="1"/>
  <c r="AH10" i="3"/>
  <c r="AJ10" i="3" s="1"/>
  <c r="AK10" i="3" s="1"/>
  <c r="AI23" i="3"/>
  <c r="AN23" i="3" s="1"/>
  <c r="AH13" i="3"/>
  <c r="AJ13" i="3" s="1"/>
  <c r="AK13" i="3" s="1"/>
  <c r="AF212" i="3"/>
  <c r="AI212" i="3" s="1"/>
  <c r="AN212" i="3" s="1"/>
  <c r="AF185" i="3"/>
  <c r="AI185" i="3" s="1"/>
  <c r="AN185" i="3" s="1"/>
  <c r="AH60" i="3"/>
  <c r="AJ60" i="3" s="1"/>
  <c r="AK60" i="3" s="1"/>
  <c r="AI48" i="3"/>
  <c r="AN48" i="3" s="1"/>
  <c r="AI195" i="3"/>
  <c r="AN195" i="3" s="1"/>
  <c r="AH8" i="3"/>
  <c r="AJ8" i="3" s="1"/>
  <c r="AK8" i="3" s="1"/>
  <c r="AI5" i="3"/>
  <c r="AN5" i="3" s="1"/>
  <c r="AI47" i="3"/>
  <c r="AN47" i="3" s="1"/>
  <c r="AH53" i="3"/>
  <c r="AJ53" i="3" s="1"/>
  <c r="AH226" i="3"/>
  <c r="AJ226" i="3" s="1"/>
  <c r="AK226" i="3" s="1"/>
  <c r="AF153" i="3"/>
  <c r="AI153" i="3" s="1"/>
  <c r="AN153" i="3" s="1"/>
  <c r="AI299" i="3"/>
  <c r="AN299" i="3" s="1"/>
  <c r="AF345" i="3"/>
  <c r="AI345" i="3" s="1"/>
  <c r="AN345" i="3" s="1"/>
  <c r="AF319" i="3"/>
  <c r="AI319" i="3" s="1"/>
  <c r="AN319" i="3" s="1"/>
  <c r="AI255" i="3"/>
  <c r="AN255" i="3" s="1"/>
  <c r="AF275" i="3"/>
  <c r="AI275" i="3" s="1"/>
  <c r="AN275" i="3" s="1"/>
  <c r="AI344" i="3"/>
  <c r="AN344" i="3" s="1"/>
  <c r="AF292" i="3"/>
  <c r="AI292" i="3" s="1"/>
  <c r="AN292" i="3" s="1"/>
  <c r="AF271" i="3"/>
  <c r="AF363" i="3"/>
  <c r="AI143" i="3"/>
  <c r="AN143" i="3" s="1"/>
  <c r="AH94" i="3"/>
  <c r="AJ94" i="3" s="1"/>
  <c r="AK94" i="3" s="1"/>
  <c r="AH12" i="3"/>
  <c r="AJ12" i="3" s="1"/>
  <c r="AK12" i="3" s="1"/>
  <c r="AH129" i="3"/>
  <c r="AJ129" i="3" s="1"/>
  <c r="AK129" i="3" s="1"/>
  <c r="AH150" i="3"/>
  <c r="AJ150" i="3" s="1"/>
  <c r="AK150" i="3" s="1"/>
  <c r="AH119" i="3"/>
  <c r="AJ119" i="3" s="1"/>
  <c r="AF108" i="3"/>
  <c r="AI108" i="3" s="1"/>
  <c r="AN108" i="3" s="1"/>
  <c r="AI101" i="3"/>
  <c r="AN101" i="3" s="1"/>
  <c r="AI40" i="3"/>
  <c r="AN40" i="3" s="1"/>
  <c r="AI131" i="3"/>
  <c r="AN131" i="3" s="1"/>
  <c r="AH186" i="3"/>
  <c r="AJ186" i="3" s="1"/>
  <c r="AK186" i="3" s="1"/>
  <c r="AH164" i="3"/>
  <c r="AJ164" i="3" s="1"/>
  <c r="AK164" i="3" s="1"/>
  <c r="AF173" i="3"/>
  <c r="AI173" i="3" s="1"/>
  <c r="AN173" i="3" s="1"/>
  <c r="AH322" i="3"/>
  <c r="AJ322" i="3" s="1"/>
  <c r="AK322" i="3" s="1"/>
  <c r="AF359" i="3"/>
  <c r="AI359" i="3" s="1"/>
  <c r="AN359" i="3" s="1"/>
  <c r="AH57" i="3"/>
  <c r="AJ57" i="3" s="1"/>
  <c r="AK57" i="3" s="1"/>
  <c r="AI263" i="3"/>
  <c r="AN263" i="3" s="1"/>
  <c r="AH178" i="3"/>
  <c r="AJ178" i="3" s="1"/>
  <c r="AK178" i="3" s="1"/>
  <c r="AI295" i="3"/>
  <c r="AN295" i="3" s="1"/>
  <c r="AI261" i="3"/>
  <c r="AN261" i="3" s="1"/>
  <c r="AK317" i="3"/>
  <c r="AH85" i="3"/>
  <c r="AJ85" i="3" s="1"/>
  <c r="AK85" i="3" s="1"/>
  <c r="AH162" i="3"/>
  <c r="AJ162" i="3" s="1"/>
  <c r="AK162" i="3" s="1"/>
  <c r="AF125" i="3"/>
  <c r="AI125" i="3" s="1"/>
  <c r="AN125" i="3" s="1"/>
  <c r="AH55" i="3"/>
  <c r="AJ55" i="3" s="1"/>
  <c r="AK55" i="3" s="1"/>
  <c r="AF97" i="3"/>
  <c r="AI97" i="3" s="1"/>
  <c r="AN97" i="3" s="1"/>
  <c r="AF5" i="3"/>
  <c r="AF28" i="3"/>
  <c r="AI28" i="3" s="1"/>
  <c r="AN28" i="3" s="1"/>
  <c r="AI98" i="3"/>
  <c r="AN98" i="3" s="1"/>
  <c r="AI135" i="3"/>
  <c r="AN135" i="3" s="1"/>
  <c r="AI176" i="3"/>
  <c r="AN176" i="3" s="1"/>
  <c r="AF220" i="3"/>
  <c r="AI220" i="3" s="1"/>
  <c r="AN220" i="3" s="1"/>
  <c r="AH238" i="3"/>
  <c r="AJ238" i="3" s="1"/>
  <c r="AK238" i="3" s="1"/>
  <c r="AF11" i="3"/>
  <c r="AI11" i="3" s="1"/>
  <c r="AN11" i="3" s="1"/>
  <c r="AF59" i="3"/>
  <c r="AF136" i="3"/>
  <c r="AI136" i="3" s="1"/>
  <c r="AN136" i="3" s="1"/>
  <c r="AF64" i="3"/>
  <c r="AI64" i="3" s="1"/>
  <c r="AN64" i="3" s="1"/>
  <c r="AI183" i="3"/>
  <c r="AN183" i="3" s="1"/>
  <c r="AI366" i="3"/>
  <c r="AN366" i="3" s="1"/>
  <c r="AI283" i="3"/>
  <c r="AN283" i="3" s="1"/>
  <c r="AI257" i="3"/>
  <c r="AN257" i="3" s="1"/>
  <c r="AF306" i="3"/>
  <c r="AI306" i="3" s="1"/>
  <c r="AN306" i="3" s="1"/>
  <c r="AF268" i="3"/>
  <c r="AI268" i="3" s="1"/>
  <c r="AN268" i="3" s="1"/>
  <c r="AF52" i="3"/>
  <c r="AI52" i="3" s="1"/>
  <c r="AN52" i="3" s="1"/>
  <c r="AH269" i="3"/>
  <c r="AJ269" i="3" s="1"/>
  <c r="D41" i="4"/>
  <c r="AK221" i="3"/>
  <c r="AK239" i="3"/>
  <c r="AI30" i="3"/>
  <c r="AN30" i="3" s="1"/>
  <c r="AI113" i="3"/>
  <c r="AN113" i="3" s="1"/>
  <c r="AF154" i="3"/>
  <c r="AI154" i="3" s="1"/>
  <c r="AN154" i="3" s="1"/>
  <c r="AI209" i="3"/>
  <c r="AN209" i="3" s="1"/>
  <c r="AF27" i="3"/>
  <c r="AI27" i="3" s="1"/>
  <c r="AN27" i="3" s="1"/>
  <c r="AF17" i="3"/>
  <c r="AI17" i="3" s="1"/>
  <c r="AN17" i="3" s="1"/>
  <c r="AF210" i="3"/>
  <c r="AI210" i="3" s="1"/>
  <c r="AN210" i="3" s="1"/>
  <c r="AF101" i="3"/>
  <c r="AF211" i="3"/>
  <c r="AI211" i="3" s="1"/>
  <c r="AN211" i="3" s="1"/>
  <c r="AI188" i="3"/>
  <c r="AN188" i="3" s="1"/>
  <c r="AF75" i="3"/>
  <c r="AI75" i="3" s="1"/>
  <c r="AN75" i="3" s="1"/>
  <c r="AK203" i="3"/>
  <c r="AF51" i="3"/>
  <c r="AI51" i="3" s="1"/>
  <c r="AN51" i="3" s="1"/>
  <c r="AI126" i="3"/>
  <c r="AN126" i="3" s="1"/>
  <c r="AI347" i="3"/>
  <c r="AN347" i="3" s="1"/>
  <c r="AF348" i="3"/>
  <c r="AI348" i="3" s="1"/>
  <c r="AN348" i="3" s="1"/>
  <c r="AH296" i="3"/>
  <c r="AJ296" i="3" s="1"/>
  <c r="AK296" i="3" s="1"/>
  <c r="AI363" i="3"/>
  <c r="AN363" i="3" s="1"/>
  <c r="AK161" i="3"/>
  <c r="AH61" i="3"/>
  <c r="AJ61" i="3" s="1"/>
  <c r="AK61" i="3" s="1"/>
  <c r="AH282" i="3"/>
  <c r="AJ282" i="3" s="1"/>
  <c r="AK282" i="3" s="1"/>
  <c r="AI155" i="3"/>
  <c r="AN155" i="3" s="1"/>
  <c r="AI242" i="3"/>
  <c r="AN242" i="3" s="1"/>
  <c r="AK83" i="3"/>
  <c r="AH367" i="3"/>
  <c r="AJ367" i="3" s="1"/>
  <c r="AK367" i="3" s="1"/>
  <c r="AI318" i="3"/>
  <c r="AN318" i="3" s="1"/>
  <c r="AH354" i="3"/>
  <c r="AJ354" i="3" s="1"/>
  <c r="AK354" i="3" s="1"/>
  <c r="AI15" i="3"/>
  <c r="AN15" i="3" s="1"/>
  <c r="AH168" i="3"/>
  <c r="AJ168" i="3" s="1"/>
  <c r="AK168" i="3" s="1"/>
  <c r="AH117" i="3"/>
  <c r="AJ117" i="3" s="1"/>
  <c r="AK117" i="3" s="1"/>
  <c r="AI109" i="3"/>
  <c r="AN109" i="3" s="1"/>
  <c r="AI44" i="3"/>
  <c r="AN44" i="3" s="1"/>
  <c r="AI59" i="3"/>
  <c r="AN59" i="3" s="1"/>
  <c r="AH202" i="3"/>
  <c r="AJ202" i="3" s="1"/>
  <c r="AK202" i="3" s="1"/>
  <c r="AK107" i="3"/>
  <c r="AI337" i="3"/>
  <c r="AN337" i="3" s="1"/>
  <c r="AI241" i="3"/>
  <c r="AN241" i="3" s="1"/>
  <c r="AK227" i="3"/>
  <c r="H243" i="3" l="1"/>
  <c r="G243" i="3"/>
  <c r="AH243" i="3" s="1"/>
  <c r="AJ243" i="3" s="1"/>
  <c r="AK243" i="3" s="1"/>
  <c r="H350" i="3"/>
  <c r="G350" i="3"/>
  <c r="AH350" i="3" s="1"/>
  <c r="AJ350" i="3" s="1"/>
  <c r="AK350" i="3" s="1"/>
  <c r="G191" i="3"/>
  <c r="H191" i="3"/>
  <c r="AH191" i="3" s="1"/>
  <c r="AJ191" i="3" s="1"/>
  <c r="AK191" i="3" s="1"/>
  <c r="H182" i="3"/>
  <c r="G182" i="3"/>
  <c r="AH182" i="3" s="1"/>
  <c r="AJ182" i="3" s="1"/>
  <c r="AK182" i="3" s="1"/>
  <c r="G287" i="3"/>
  <c r="H34" i="3"/>
  <c r="AH34" i="3" s="1"/>
  <c r="AJ34" i="3" s="1"/>
  <c r="AK34" i="3" s="1"/>
  <c r="G34" i="3"/>
  <c r="H231" i="3"/>
  <c r="G231" i="3"/>
  <c r="AH231" i="3" s="1"/>
  <c r="AJ231" i="3" s="1"/>
  <c r="AK231" i="3" s="1"/>
  <c r="G145" i="3"/>
  <c r="H145" i="3"/>
  <c r="AH145" i="3" s="1"/>
  <c r="AJ145" i="3" s="1"/>
  <c r="AK145" i="3" s="1"/>
  <c r="H233" i="3"/>
  <c r="AH233" i="3" s="1"/>
  <c r="AJ233" i="3" s="1"/>
  <c r="AK233" i="3" s="1"/>
  <c r="G233" i="3"/>
  <c r="H245" i="3"/>
  <c r="AH245" i="3" s="1"/>
  <c r="AJ245" i="3" s="1"/>
  <c r="G245" i="3"/>
  <c r="G334" i="3"/>
  <c r="H334" i="3"/>
  <c r="AH334" i="3" s="1"/>
  <c r="AJ334" i="3" s="1"/>
  <c r="AK334" i="3" s="1"/>
  <c r="H306" i="3"/>
  <c r="G306" i="3"/>
  <c r="G41" i="3"/>
  <c r="H41" i="3"/>
  <c r="AH41" i="3" s="1"/>
  <c r="AJ41" i="3" s="1"/>
  <c r="H138" i="3"/>
  <c r="AH138" i="3" s="1"/>
  <c r="AJ138" i="3" s="1"/>
  <c r="AK138" i="3" s="1"/>
  <c r="G138" i="3"/>
  <c r="G319" i="3"/>
  <c r="H319" i="3"/>
  <c r="H212" i="3"/>
  <c r="G212" i="3"/>
  <c r="G84" i="3"/>
  <c r="H84" i="3"/>
  <c r="AH84" i="3" s="1"/>
  <c r="AJ84" i="3" s="1"/>
  <c r="H171" i="3"/>
  <c r="G171" i="3"/>
  <c r="H341" i="3"/>
  <c r="G341" i="3"/>
  <c r="G214" i="3"/>
  <c r="H214" i="3"/>
  <c r="G345" i="3"/>
  <c r="H345" i="3"/>
  <c r="G63" i="3"/>
  <c r="AH63" i="3" s="1"/>
  <c r="AJ63" i="3" s="1"/>
  <c r="AK63" i="3" s="1"/>
  <c r="H63" i="3"/>
  <c r="H97" i="3"/>
  <c r="AH97" i="3" s="1"/>
  <c r="AJ97" i="3" s="1"/>
  <c r="AK97" i="3" s="1"/>
  <c r="G97" i="3"/>
  <c r="H359" i="3"/>
  <c r="G359" i="3"/>
  <c r="G310" i="3"/>
  <c r="H310" i="3"/>
  <c r="G337" i="3"/>
  <c r="H337" i="3"/>
  <c r="G155" i="3"/>
  <c r="H155" i="3"/>
  <c r="AH155" i="3" s="1"/>
  <c r="AJ155" i="3" s="1"/>
  <c r="H209" i="3"/>
  <c r="G209" i="3"/>
  <c r="H125" i="3"/>
  <c r="AH125" i="3" s="1"/>
  <c r="AJ125" i="3" s="1"/>
  <c r="G125" i="3"/>
  <c r="H51" i="3"/>
  <c r="G51" i="3"/>
  <c r="AH51" i="3" s="1"/>
  <c r="AJ51" i="3" s="1"/>
  <c r="AK51" i="3" s="1"/>
  <c r="G154" i="3"/>
  <c r="H154" i="3"/>
  <c r="G11" i="3"/>
  <c r="H11" i="3"/>
  <c r="G35" i="3"/>
  <c r="H35" i="3"/>
  <c r="H230" i="3"/>
  <c r="G230" i="3"/>
  <c r="AH230" i="3" s="1"/>
  <c r="AJ230" i="3" s="1"/>
  <c r="AK230" i="3" s="1"/>
  <c r="H335" i="3"/>
  <c r="AH335" i="3" s="1"/>
  <c r="AJ335" i="3" s="1"/>
  <c r="G335" i="3"/>
  <c r="G75" i="3"/>
  <c r="H75" i="3"/>
  <c r="H30" i="3"/>
  <c r="AH30" i="3" s="1"/>
  <c r="AJ30" i="3" s="1"/>
  <c r="AK30" i="3" s="1"/>
  <c r="G30" i="3"/>
  <c r="G268" i="3"/>
  <c r="H268" i="3"/>
  <c r="G220" i="3"/>
  <c r="H220" i="3"/>
  <c r="H195" i="3"/>
  <c r="G195" i="3"/>
  <c r="G95" i="3"/>
  <c r="H95" i="3"/>
  <c r="G89" i="3"/>
  <c r="H89" i="3"/>
  <c r="AH89" i="3" s="1"/>
  <c r="AJ89" i="3" s="1"/>
  <c r="G121" i="3"/>
  <c r="H121" i="3"/>
  <c r="G172" i="3"/>
  <c r="H172" i="3"/>
  <c r="G229" i="3"/>
  <c r="H229" i="3"/>
  <c r="AH229" i="3" s="1"/>
  <c r="AJ229" i="3" s="1"/>
  <c r="AK229" i="3" s="1"/>
  <c r="H16" i="3"/>
  <c r="AH16" i="3" s="1"/>
  <c r="AJ16" i="3" s="1"/>
  <c r="AK16" i="3" s="1"/>
  <c r="G16" i="3"/>
  <c r="H318" i="3"/>
  <c r="AH318" i="3" s="1"/>
  <c r="AJ318" i="3" s="1"/>
  <c r="G318" i="3"/>
  <c r="H48" i="3"/>
  <c r="G48" i="3"/>
  <c r="H327" i="3"/>
  <c r="G327" i="3"/>
  <c r="G331" i="3"/>
  <c r="H331" i="3"/>
  <c r="H76" i="3"/>
  <c r="AH76" i="3" s="1"/>
  <c r="AJ76" i="3" s="1"/>
  <c r="AK76" i="3" s="1"/>
  <c r="G76" i="3"/>
  <c r="G136" i="3"/>
  <c r="H136" i="3"/>
  <c r="AH136" i="3" s="1"/>
  <c r="AJ136" i="3" s="1"/>
  <c r="AK136" i="3" s="1"/>
  <c r="F31" i="4"/>
  <c r="C31" i="4"/>
  <c r="H188" i="3"/>
  <c r="G188" i="3"/>
  <c r="AH188" i="3" s="1"/>
  <c r="AJ188" i="3" s="1"/>
  <c r="AK188" i="3" s="1"/>
  <c r="F41" i="4"/>
  <c r="H257" i="3"/>
  <c r="AH257" i="3" s="1"/>
  <c r="AJ257" i="3" s="1"/>
  <c r="G257" i="3"/>
  <c r="H135" i="3"/>
  <c r="G135" i="3"/>
  <c r="G330" i="3"/>
  <c r="H330" i="3"/>
  <c r="G96" i="3"/>
  <c r="H96" i="3"/>
  <c r="AH96" i="3" s="1"/>
  <c r="AJ96" i="3" s="1"/>
  <c r="AK96" i="3" s="1"/>
  <c r="H173" i="3"/>
  <c r="G173" i="3"/>
  <c r="D31" i="4"/>
  <c r="G98" i="3"/>
  <c r="H98" i="3"/>
  <c r="H299" i="3"/>
  <c r="G299" i="3"/>
  <c r="H185" i="3"/>
  <c r="G185" i="3"/>
  <c r="G232" i="3"/>
  <c r="H232" i="3"/>
  <c r="F15" i="4"/>
  <c r="H218" i="3"/>
  <c r="G218" i="3"/>
  <c r="H52" i="3"/>
  <c r="AH52" i="3" s="1"/>
  <c r="AJ52" i="3" s="1"/>
  <c r="AK52" i="3" s="1"/>
  <c r="G52" i="3"/>
  <c r="G110" i="3"/>
  <c r="AH110" i="3" s="1"/>
  <c r="AJ110" i="3" s="1"/>
  <c r="AK110" i="3" s="1"/>
  <c r="H110" i="3"/>
  <c r="G59" i="3"/>
  <c r="H59" i="3"/>
  <c r="G283" i="3"/>
  <c r="H283" i="3"/>
  <c r="H109" i="3"/>
  <c r="G109" i="3"/>
  <c r="E31" i="4"/>
  <c r="E41" i="4"/>
  <c r="H28" i="3"/>
  <c r="AH28" i="3" s="1"/>
  <c r="AJ28" i="3" s="1"/>
  <c r="AK28" i="3" s="1"/>
  <c r="G28" i="3"/>
  <c r="G131" i="3"/>
  <c r="H131" i="3"/>
  <c r="G143" i="3"/>
  <c r="H143" i="3"/>
  <c r="H180" i="3"/>
  <c r="G180" i="3"/>
  <c r="G139" i="3"/>
  <c r="H139" i="3"/>
  <c r="AH139" i="3" s="1"/>
  <c r="AJ139" i="3" s="1"/>
  <c r="G271" i="3"/>
  <c r="H271" i="3"/>
  <c r="H176" i="3"/>
  <c r="G176" i="3"/>
  <c r="AH176" i="3" s="1"/>
  <c r="AJ176" i="3" s="1"/>
  <c r="AK176" i="3" s="1"/>
  <c r="G44" i="3"/>
  <c r="AH44" i="3" s="1"/>
  <c r="AJ44" i="3" s="1"/>
  <c r="AK44" i="3" s="1"/>
  <c r="H44" i="3"/>
  <c r="G211" i="3"/>
  <c r="H211" i="3"/>
  <c r="H261" i="3"/>
  <c r="G261" i="3"/>
  <c r="AH261" i="3" s="1"/>
  <c r="AJ261" i="3" s="1"/>
  <c r="AK261" i="3" s="1"/>
  <c r="G363" i="3"/>
  <c r="H363" i="3"/>
  <c r="G366" i="3"/>
  <c r="H366" i="3"/>
  <c r="G295" i="3"/>
  <c r="H295" i="3"/>
  <c r="AH295" i="3" s="1"/>
  <c r="AJ295" i="3" s="1"/>
  <c r="AK295" i="3" s="1"/>
  <c r="H40" i="3"/>
  <c r="AH40" i="3" s="1"/>
  <c r="AJ40" i="3" s="1"/>
  <c r="AK40" i="3" s="1"/>
  <c r="G40" i="3"/>
  <c r="H153" i="3"/>
  <c r="G153" i="3"/>
  <c r="G113" i="3"/>
  <c r="H113" i="3"/>
  <c r="G142" i="3"/>
  <c r="H142" i="3"/>
  <c r="AH142" i="3" s="1"/>
  <c r="AJ142" i="3" s="1"/>
  <c r="AK142" i="3" s="1"/>
  <c r="G101" i="3"/>
  <c r="H101" i="3"/>
  <c r="H315" i="3"/>
  <c r="G315" i="3"/>
  <c r="AH315" i="3" s="1"/>
  <c r="AJ315" i="3" s="1"/>
  <c r="H18" i="3"/>
  <c r="G18" i="3"/>
  <c r="H45" i="3"/>
  <c r="G45" i="3"/>
  <c r="AH45" i="3" s="1"/>
  <c r="AJ45" i="3" s="1"/>
  <c r="AK45" i="3" s="1"/>
  <c r="H353" i="3"/>
  <c r="AH353" i="3" s="1"/>
  <c r="AJ353" i="3" s="1"/>
  <c r="G353" i="3"/>
  <c r="H210" i="3"/>
  <c r="G210" i="3"/>
  <c r="H183" i="3"/>
  <c r="G183" i="3"/>
  <c r="H15" i="3"/>
  <c r="G15" i="3"/>
  <c r="G348" i="3"/>
  <c r="H348" i="3"/>
  <c r="G17" i="3"/>
  <c r="H17" i="3"/>
  <c r="AH17" i="3" s="1"/>
  <c r="AJ17" i="3" s="1"/>
  <c r="H64" i="3"/>
  <c r="AH64" i="3" s="1"/>
  <c r="AJ64" i="3" s="1"/>
  <c r="AK64" i="3" s="1"/>
  <c r="G64" i="3"/>
  <c r="H207" i="3"/>
  <c r="G207" i="3"/>
  <c r="AH207" i="3" s="1"/>
  <c r="AJ207" i="3" s="1"/>
  <c r="G108" i="3"/>
  <c r="H108" i="3"/>
  <c r="G292" i="3"/>
  <c r="H292" i="3"/>
  <c r="AH292" i="3" s="1"/>
  <c r="AJ292" i="3" s="1"/>
  <c r="AK292" i="3" s="1"/>
  <c r="G23" i="3"/>
  <c r="H23" i="3"/>
  <c r="H200" i="3"/>
  <c r="G200" i="3"/>
  <c r="AH200" i="3" s="1"/>
  <c r="AJ200" i="3" s="1"/>
  <c r="AK200" i="3" s="1"/>
  <c r="H303" i="3"/>
  <c r="G303" i="3"/>
  <c r="AH303" i="3" s="1"/>
  <c r="AJ303" i="3" s="1"/>
  <c r="AK303" i="3" s="1"/>
  <c r="H174" i="3"/>
  <c r="AH174" i="3" s="1"/>
  <c r="AJ174" i="3" s="1"/>
  <c r="AK174" i="3" s="1"/>
  <c r="G174" i="3"/>
  <c r="H255" i="3"/>
  <c r="G255" i="3"/>
  <c r="G244" i="3"/>
  <c r="H244" i="3"/>
  <c r="AH244" i="3" s="1"/>
  <c r="AJ244" i="3" s="1"/>
  <c r="AK244" i="3" s="1"/>
  <c r="G241" i="3"/>
  <c r="H241" i="3"/>
  <c r="H347" i="3"/>
  <c r="G347" i="3"/>
  <c r="H344" i="3"/>
  <c r="G344" i="3"/>
  <c r="AH344" i="3" s="1"/>
  <c r="AJ344" i="3" s="1"/>
  <c r="AK344" i="3" s="1"/>
  <c r="G122" i="3"/>
  <c r="H122" i="3"/>
  <c r="G29" i="3"/>
  <c r="H29" i="3"/>
  <c r="AH29" i="3" s="1"/>
  <c r="AJ29" i="3" s="1"/>
  <c r="H141" i="3"/>
  <c r="G141" i="3"/>
  <c r="AH141" i="3" s="1"/>
  <c r="AJ141" i="3" s="1"/>
  <c r="AK141" i="3" s="1"/>
  <c r="H242" i="3"/>
  <c r="G242" i="3"/>
  <c r="H27" i="3"/>
  <c r="G27" i="3"/>
  <c r="H263" i="3"/>
  <c r="AH263" i="3" s="1"/>
  <c r="AJ263" i="3" s="1"/>
  <c r="G263" i="3"/>
  <c r="G47" i="3"/>
  <c r="H47" i="3"/>
  <c r="AH47" i="3" s="1"/>
  <c r="AJ47" i="3" s="1"/>
  <c r="H365" i="3"/>
  <c r="G365" i="3"/>
  <c r="G126" i="3"/>
  <c r="H126" i="3"/>
  <c r="AH126" i="3" s="1"/>
  <c r="AJ126" i="3" s="1"/>
  <c r="AK126" i="3" s="1"/>
  <c r="H275" i="3"/>
  <c r="AH275" i="3" s="1"/>
  <c r="AJ275" i="3" s="1"/>
  <c r="G275" i="3"/>
  <c r="G5" i="3"/>
  <c r="H5" i="3"/>
  <c r="G71" i="3"/>
  <c r="H71" i="3"/>
  <c r="AH71" i="3" s="1"/>
  <c r="AJ71" i="3" s="1"/>
  <c r="H351" i="3"/>
  <c r="G351" i="3"/>
  <c r="AH351" i="3" s="1"/>
  <c r="AJ351" i="3" s="1"/>
  <c r="AK351" i="3" s="1"/>
  <c r="G307" i="3"/>
  <c r="H307" i="3"/>
  <c r="AH307" i="3" s="1"/>
  <c r="AJ307" i="3" s="1"/>
  <c r="AK307" i="3" s="1"/>
  <c r="AH210" i="3"/>
  <c r="AJ210" i="3" s="1"/>
  <c r="AK210" i="3" s="1"/>
  <c r="AH108" i="3"/>
  <c r="AJ108" i="3" s="1"/>
  <c r="AH75" i="3"/>
  <c r="AJ75" i="3" s="1"/>
  <c r="AK75" i="3" s="1"/>
  <c r="AH154" i="3"/>
  <c r="AJ154" i="3" s="1"/>
  <c r="AK154" i="3" s="1"/>
  <c r="AH359" i="3"/>
  <c r="AJ359" i="3" s="1"/>
  <c r="AH185" i="3"/>
  <c r="AJ185" i="3" s="1"/>
  <c r="AH121" i="3"/>
  <c r="AJ121" i="3" s="1"/>
  <c r="AK121" i="3" s="1"/>
  <c r="AH365" i="3"/>
  <c r="AJ365" i="3" s="1"/>
  <c r="AH11" i="3"/>
  <c r="AJ11" i="3" s="1"/>
  <c r="AH173" i="3"/>
  <c r="AJ173" i="3" s="1"/>
  <c r="AH18" i="3"/>
  <c r="AJ18" i="3" s="1"/>
  <c r="AK18" i="3" s="1"/>
  <c r="AH220" i="3"/>
  <c r="AJ220" i="3" s="1"/>
  <c r="AK220" i="3" s="1"/>
  <c r="AH268" i="3"/>
  <c r="AJ268" i="3" s="1"/>
  <c r="AK268" i="3" s="1"/>
  <c r="AH331" i="3"/>
  <c r="AJ331" i="3" s="1"/>
  <c r="AK331" i="3" s="1"/>
  <c r="AH330" i="3"/>
  <c r="AJ330" i="3" s="1"/>
  <c r="AK330" i="3" s="1"/>
  <c r="AH218" i="3"/>
  <c r="AJ218" i="3" s="1"/>
  <c r="AH211" i="3"/>
  <c r="AJ211" i="3" s="1"/>
  <c r="AK211" i="3" s="1"/>
  <c r="AH153" i="3"/>
  <c r="AJ153" i="3" s="1"/>
  <c r="AK153" i="3" s="1"/>
  <c r="AH348" i="3"/>
  <c r="AJ348" i="3" s="1"/>
  <c r="AK348" i="3" s="1"/>
  <c r="AH27" i="3"/>
  <c r="AJ27" i="3" s="1"/>
  <c r="AK27" i="3" s="1"/>
  <c r="AH232" i="3"/>
  <c r="AJ232" i="3" s="1"/>
  <c r="AH283" i="3"/>
  <c r="AJ283" i="3" s="1"/>
  <c r="AK283" i="3" s="1"/>
  <c r="AH195" i="3"/>
  <c r="AJ195" i="3" s="1"/>
  <c r="AH23" i="3"/>
  <c r="AJ23" i="3" s="1"/>
  <c r="AK329" i="3"/>
  <c r="F59" i="4" s="1"/>
  <c r="C15" i="4"/>
  <c r="AH101" i="3"/>
  <c r="AJ101" i="3" s="1"/>
  <c r="AH310" i="3"/>
  <c r="AJ310" i="3" s="1"/>
  <c r="AK310" i="3" s="1"/>
  <c r="AH209" i="3"/>
  <c r="AJ209" i="3" s="1"/>
  <c r="AH214" i="3"/>
  <c r="AJ214" i="3" s="1"/>
  <c r="AK214" i="3" s="1"/>
  <c r="AH135" i="3"/>
  <c r="AJ135" i="3" s="1"/>
  <c r="AK135" i="3" s="1"/>
  <c r="AH327" i="3"/>
  <c r="AJ327" i="3" s="1"/>
  <c r="AK251" i="3"/>
  <c r="D15" i="4"/>
  <c r="AK197" i="3"/>
  <c r="AH98" i="3"/>
  <c r="AJ98" i="3" s="1"/>
  <c r="AK98" i="3" s="1"/>
  <c r="AH319" i="3"/>
  <c r="AJ319" i="3" s="1"/>
  <c r="AK319" i="3" s="1"/>
  <c r="AK41" i="3"/>
  <c r="E15" i="4"/>
  <c r="AK119" i="3"/>
  <c r="AH306" i="3"/>
  <c r="AJ306" i="3" s="1"/>
  <c r="AK306" i="3" s="1"/>
  <c r="AH48" i="3"/>
  <c r="AJ48" i="3" s="1"/>
  <c r="AK48" i="3" s="1"/>
  <c r="AK167" i="3"/>
  <c r="AH341" i="3"/>
  <c r="AJ341" i="3" s="1"/>
  <c r="AH122" i="3"/>
  <c r="AJ122" i="3" s="1"/>
  <c r="AK122" i="3" s="1"/>
  <c r="F43" i="4"/>
  <c r="AH366" i="3"/>
  <c r="AJ366" i="3" s="1"/>
  <c r="AK366" i="3" s="1"/>
  <c r="AH337" i="3"/>
  <c r="AJ337" i="3" s="1"/>
  <c r="AK337" i="3" s="1"/>
  <c r="AH183" i="3"/>
  <c r="AJ183" i="3" s="1"/>
  <c r="AK183" i="3" s="1"/>
  <c r="AH255" i="3"/>
  <c r="AJ255" i="3" s="1"/>
  <c r="AK255" i="3" s="1"/>
  <c r="AH59" i="3"/>
  <c r="AJ59" i="3" s="1"/>
  <c r="AH241" i="3"/>
  <c r="AJ241" i="3" s="1"/>
  <c r="C43" i="4"/>
  <c r="C51" i="4"/>
  <c r="AK281" i="3"/>
  <c r="AH109" i="3"/>
  <c r="AJ109" i="3" s="1"/>
  <c r="AK109" i="3" s="1"/>
  <c r="D43" i="4"/>
  <c r="C18" i="4"/>
  <c r="E13" i="4"/>
  <c r="D13" i="4"/>
  <c r="C13" i="4"/>
  <c r="AK53" i="3"/>
  <c r="F13" i="4" s="1"/>
  <c r="AH35" i="3"/>
  <c r="AJ35" i="3" s="1"/>
  <c r="F17" i="4"/>
  <c r="AH363" i="3"/>
  <c r="AJ363" i="3" s="1"/>
  <c r="AK363" i="3" s="1"/>
  <c r="AH113" i="3"/>
  <c r="AJ113" i="3" s="1"/>
  <c r="E43" i="4"/>
  <c r="D18" i="4"/>
  <c r="AH172" i="3"/>
  <c r="AJ172" i="3" s="1"/>
  <c r="AK172" i="3" s="1"/>
  <c r="C17" i="4"/>
  <c r="AK293" i="3"/>
  <c r="AH347" i="3"/>
  <c r="AJ347" i="3" s="1"/>
  <c r="AK269" i="3"/>
  <c r="AH143" i="3"/>
  <c r="AJ143" i="3" s="1"/>
  <c r="AH180" i="3"/>
  <c r="AJ180" i="3" s="1"/>
  <c r="D17" i="4"/>
  <c r="AK29" i="3"/>
  <c r="AH131" i="3"/>
  <c r="AJ131" i="3" s="1"/>
  <c r="AH212" i="3"/>
  <c r="AJ212" i="3" s="1"/>
  <c r="AK212" i="3" s="1"/>
  <c r="AH5" i="3"/>
  <c r="AJ5" i="3" s="1"/>
  <c r="AH271" i="3"/>
  <c r="AJ271" i="3" s="1"/>
  <c r="AK271" i="3" s="1"/>
  <c r="AK305" i="3"/>
  <c r="AH171" i="3"/>
  <c r="AJ171" i="3" s="1"/>
  <c r="AK171" i="3" s="1"/>
  <c r="E17" i="4"/>
  <c r="AK287" i="3"/>
  <c r="AH345" i="3"/>
  <c r="AJ345" i="3" s="1"/>
  <c r="AK345" i="3" s="1"/>
  <c r="AH299" i="3"/>
  <c r="AJ299" i="3" s="1"/>
  <c r="AH15" i="3"/>
  <c r="AJ15" i="3" s="1"/>
  <c r="AK15" i="3" s="1"/>
  <c r="AH242" i="3"/>
  <c r="AJ242" i="3" s="1"/>
  <c r="AK242" i="3" s="1"/>
  <c r="C41" i="4"/>
  <c r="AH95" i="3"/>
  <c r="AJ95" i="3" s="1"/>
  <c r="E63" i="4"/>
  <c r="D63" i="4"/>
  <c r="C63" i="4"/>
  <c r="AK353" i="3"/>
  <c r="F63" i="4" s="1"/>
  <c r="C55" i="4" l="1"/>
  <c r="F52" i="4"/>
  <c r="D52" i="4"/>
  <c r="E52" i="4"/>
  <c r="C11" i="4"/>
  <c r="D60" i="4"/>
  <c r="E45" i="4"/>
  <c r="D45" i="4"/>
  <c r="C45" i="4"/>
  <c r="AK245" i="3"/>
  <c r="F45" i="4" s="1"/>
  <c r="F49" i="4"/>
  <c r="F37" i="4"/>
  <c r="E55" i="4"/>
  <c r="C53" i="4"/>
  <c r="F11" i="4"/>
  <c r="AK84" i="3"/>
  <c r="F18" i="4" s="1"/>
  <c r="E18" i="4"/>
  <c r="F9" i="4"/>
  <c r="C9" i="4"/>
  <c r="F55" i="4"/>
  <c r="C29" i="4"/>
  <c r="D55" i="4"/>
  <c r="F24" i="4"/>
  <c r="C37" i="4"/>
  <c r="AK335" i="3"/>
  <c r="F60" i="4" s="1"/>
  <c r="C60" i="4"/>
  <c r="C24" i="4"/>
  <c r="C49" i="4"/>
  <c r="D24" i="4"/>
  <c r="C52" i="4"/>
  <c r="F53" i="4"/>
  <c r="F51" i="4"/>
  <c r="F29" i="4"/>
  <c r="AK318" i="3"/>
  <c r="F57" i="4" s="1"/>
  <c r="C57" i="4"/>
  <c r="D57" i="4"/>
  <c r="E57" i="4"/>
  <c r="AK139" i="3"/>
  <c r="F27" i="4" s="1"/>
  <c r="E27" i="4"/>
  <c r="D27" i="4"/>
  <c r="D9" i="4"/>
  <c r="D49" i="4"/>
  <c r="E23" i="4"/>
  <c r="D23" i="4"/>
  <c r="C23" i="4"/>
  <c r="AK113" i="3"/>
  <c r="F23" i="4" s="1"/>
  <c r="D51" i="4"/>
  <c r="D11" i="4"/>
  <c r="D37" i="4"/>
  <c r="C59" i="4"/>
  <c r="E47" i="4"/>
  <c r="D47" i="4"/>
  <c r="C47" i="4"/>
  <c r="AK257" i="3"/>
  <c r="F47" i="4" s="1"/>
  <c r="E25" i="4"/>
  <c r="D25" i="4"/>
  <c r="C25" i="4"/>
  <c r="AK125" i="3"/>
  <c r="F25" i="4" s="1"/>
  <c r="E9" i="4"/>
  <c r="E49" i="4"/>
  <c r="E29" i="4"/>
  <c r="E51" i="4"/>
  <c r="E11" i="4"/>
  <c r="E37" i="4"/>
  <c r="E21" i="4"/>
  <c r="D21" i="4"/>
  <c r="C21" i="4"/>
  <c r="AK101" i="3"/>
  <c r="F21" i="4" s="1"/>
  <c r="D59" i="4"/>
  <c r="E65" i="4"/>
  <c r="D65" i="4"/>
  <c r="C65" i="4"/>
  <c r="AK365" i="3"/>
  <c r="F65" i="4" s="1"/>
  <c r="AK207" i="3"/>
  <c r="F38" i="4" s="1"/>
  <c r="C38" i="4"/>
  <c r="E38" i="4"/>
  <c r="D38" i="4"/>
  <c r="E62" i="4"/>
  <c r="D62" i="4"/>
  <c r="C62" i="4"/>
  <c r="AK347" i="3"/>
  <c r="F62" i="4" s="1"/>
  <c r="E12" i="4"/>
  <c r="D12" i="4"/>
  <c r="C12" i="4"/>
  <c r="AK47" i="3"/>
  <c r="F12" i="4" s="1"/>
  <c r="E59" i="4"/>
  <c r="AK232" i="3"/>
  <c r="F42" i="4" s="1"/>
  <c r="E42" i="4"/>
  <c r="D42" i="4"/>
  <c r="C42" i="4"/>
  <c r="AK108" i="3"/>
  <c r="F22" i="4" s="1"/>
  <c r="E22" i="4"/>
  <c r="D22" i="4"/>
  <c r="C22" i="4"/>
  <c r="E5" i="4"/>
  <c r="D5" i="4"/>
  <c r="C5" i="4"/>
  <c r="AK5" i="3"/>
  <c r="F5" i="4" s="1"/>
  <c r="E8" i="4"/>
  <c r="D8" i="4"/>
  <c r="C8" i="4"/>
  <c r="AK23" i="3"/>
  <c r="F8" i="4" s="1"/>
  <c r="E20" i="4"/>
  <c r="D20" i="4"/>
  <c r="C20" i="4"/>
  <c r="AK95" i="3"/>
  <c r="F20" i="4" s="1"/>
  <c r="E48" i="4"/>
  <c r="D48" i="4"/>
  <c r="C48" i="4"/>
  <c r="AK263" i="3"/>
  <c r="F48" i="4" s="1"/>
  <c r="E10" i="4"/>
  <c r="D10" i="4"/>
  <c r="C10" i="4"/>
  <c r="AK35" i="3"/>
  <c r="F10" i="4" s="1"/>
  <c r="AK241" i="3"/>
  <c r="F44" i="4" s="1"/>
  <c r="E44" i="4"/>
  <c r="D44" i="4"/>
  <c r="C44" i="4"/>
  <c r="F46" i="4"/>
  <c r="E54" i="4"/>
  <c r="D54" i="4"/>
  <c r="C54" i="4"/>
  <c r="AK299" i="3"/>
  <c r="F54" i="4" s="1"/>
  <c r="C46" i="4"/>
  <c r="E35" i="4"/>
  <c r="D35" i="4"/>
  <c r="C35" i="4"/>
  <c r="AK185" i="3"/>
  <c r="F35" i="4" s="1"/>
  <c r="E14" i="4"/>
  <c r="D14" i="4"/>
  <c r="C14" i="4"/>
  <c r="AK59" i="3"/>
  <c r="F14" i="4" s="1"/>
  <c r="AK315" i="3"/>
  <c r="F56" i="4" s="1"/>
  <c r="E56" i="4"/>
  <c r="D56" i="4"/>
  <c r="C56" i="4"/>
  <c r="E26" i="4"/>
  <c r="D26" i="4"/>
  <c r="C26" i="4"/>
  <c r="AK131" i="3"/>
  <c r="F26" i="4" s="1"/>
  <c r="D53" i="4"/>
  <c r="D29" i="4"/>
  <c r="E61" i="4"/>
  <c r="D61" i="4"/>
  <c r="C61" i="4"/>
  <c r="AK341" i="3"/>
  <c r="F61" i="4" s="1"/>
  <c r="E24" i="4"/>
  <c r="D46" i="4"/>
  <c r="E60" i="4"/>
  <c r="AK195" i="3"/>
  <c r="F36" i="4" s="1"/>
  <c r="C36" i="4"/>
  <c r="D36" i="4"/>
  <c r="E36" i="4"/>
  <c r="AK218" i="3"/>
  <c r="F40" i="4" s="1"/>
  <c r="C40" i="4"/>
  <c r="D40" i="4"/>
  <c r="E40" i="4"/>
  <c r="AK180" i="3"/>
  <c r="F34" i="4" s="1"/>
  <c r="E34" i="4"/>
  <c r="D34" i="4"/>
  <c r="C34" i="4"/>
  <c r="E53" i="4"/>
  <c r="F32" i="4"/>
  <c r="E46" i="4"/>
  <c r="E39" i="4"/>
  <c r="D39" i="4"/>
  <c r="C39" i="4"/>
  <c r="AK209" i="3"/>
  <c r="F39" i="4" s="1"/>
  <c r="C27" i="4"/>
  <c r="E28" i="4"/>
  <c r="D28" i="4"/>
  <c r="C28" i="4"/>
  <c r="AK143" i="3"/>
  <c r="F28" i="4" s="1"/>
  <c r="C32" i="4"/>
  <c r="AK327" i="3"/>
  <c r="F58" i="4" s="1"/>
  <c r="E58" i="4"/>
  <c r="D58" i="4"/>
  <c r="C58" i="4"/>
  <c r="E50" i="4"/>
  <c r="D50" i="4"/>
  <c r="C50" i="4"/>
  <c r="AK275" i="3"/>
  <c r="F50" i="4" s="1"/>
  <c r="E33" i="4"/>
  <c r="D33" i="4"/>
  <c r="C33" i="4"/>
  <c r="AK173" i="3"/>
  <c r="F33" i="4" s="1"/>
  <c r="E64" i="4"/>
  <c r="D64" i="4"/>
  <c r="C64" i="4"/>
  <c r="AK359" i="3"/>
  <c r="F64" i="4" s="1"/>
  <c r="E7" i="4"/>
  <c r="D7" i="4"/>
  <c r="C7" i="4"/>
  <c r="AK17" i="3"/>
  <c r="F7" i="4" s="1"/>
  <c r="E19" i="4"/>
  <c r="D19" i="4"/>
  <c r="C19" i="4"/>
  <c r="AK89" i="3"/>
  <c r="F19" i="4" s="1"/>
  <c r="D32" i="4"/>
  <c r="E30" i="4"/>
  <c r="D30" i="4"/>
  <c r="C30" i="4"/>
  <c r="AK155" i="3"/>
  <c r="F30" i="4" s="1"/>
  <c r="E16" i="4"/>
  <c r="D16" i="4"/>
  <c r="C16" i="4"/>
  <c r="AK71" i="3"/>
  <c r="F16" i="4" s="1"/>
  <c r="E6" i="4"/>
  <c r="D6" i="4"/>
  <c r="C6" i="4"/>
  <c r="AK11" i="3"/>
  <c r="F6" i="4" s="1"/>
  <c r="E32" i="4"/>
</calcChain>
</file>

<file path=xl/sharedStrings.xml><?xml version="1.0" encoding="utf-8"?>
<sst xmlns="http://schemas.openxmlformats.org/spreadsheetml/2006/main" count="1774" uniqueCount="982">
  <si>
    <t>モンスター戦闘力 自動配分シート</t>
  </si>
  <si>
    <t>はじめに</t>
  </si>
  <si>
    <t>いただいた『モンスター計算シート.csv』をベースに、同Stage6体の目標戦闘力を揃えた試算です。</t>
  </si>
  <si>
    <t>① 成長倍率</t>
  </si>
  <si>
    <t>『モンスター計算』D2（初期値1.10）を変更 → 全モンスターの目標戦闘力と基礎値を再計算。</t>
  </si>
  <si>
    <t>② 目標戦闘力</t>
  </si>
  <si>
    <t>各Stage = 『設定』初期戦闘力 × 成長倍率^(Stage-1)。同Stageは同じ値。</t>
  </si>
  <si>
    <t>③ 個性調整</t>
  </si>
  <si>
    <t>④ 自動配分</t>
  </si>
  <si>
    <t>個性タイプを選ぶ</t>
  </si>
  <si>
    <t>『モンスター計算』AM列をプルダウン選択。HP・防御・攻速・射程・会心・移動速度・MPなどが連動。</t>
  </si>
  <si>
    <t>属性を選ぶ</t>
  </si>
  <si>
    <t>『モンスター計算』C列をプルダウン選択。属性耐性マスタの6属性耐性を参照して自動配分。</t>
  </si>
  <si>
    <t>タイプを編集</t>
  </si>
  <si>
    <t>『個性タイプマスタ』A5:P30のタイプ定義を調整。同じタイプの全モンスターに反映。空欄行は新タイプ用。</t>
  </si>
  <si>
    <t>耐性を編集</t>
  </si>
  <si>
    <t>『属性耐性マスタ』の行＝属性、列＝耐性。個性タイプの一律耐性補正を足した結果がP:Uに出ます。</t>
  </si>
  <si>
    <t>自動計算の範囲</t>
  </si>
  <si>
    <t>攻撃方式X、HP等の指数Y:AD、クリ率K・クリ倍L・移速M、耐性P:U、索敵Vを自動化。</t>
  </si>
  <si>
    <t>CSV出力</t>
  </si>
  <si>
    <t>Windows版Excelで保存→『ExportToCSV.bat』で再計算・CSV出力。モンスター.csvを横に置くとUnity用をマージ。</t>
  </si>
  <si>
    <t>注意事項</t>
  </si>
  <si>
    <t>タイプの数値はバランス調整用の試算。親密度の実装は別工程。CSVで差し替えると既存の種族基礎値が変更されます。</t>
  </si>
  <si>
    <t>タイプ判定</t>
  </si>
  <si>
    <t>AO列が未登録なら個性タイプマスタのA列を、AP列が未登録なら属性耐性マスタのA列を確認。</t>
  </si>
  <si>
    <t>耐性の対応</t>
  </si>
  <si>
    <t>火↔水／風↔雷／光↔闇を初期弱点に設定。得意・弱点はマスタ表で編集できます。</t>
  </si>
  <si>
    <t>新タイプ追加</t>
  </si>
  <si>
    <t>個性タイプマスタ20～30行は予備枠。名前・方式・各係数を記入するとドロップダウンで選択できます。</t>
  </si>
  <si>
    <t>推定戦闘力</t>
  </si>
  <si>
    <t>戦闘力はDPS×耐久の目安で、耐性も一部評価。実戦のスキル・射程・属性相性までは完全再現しません。</t>
  </si>
  <si>
    <t>バランス設定（青色セルは変更可）</t>
  </si>
  <si>
    <t>成長倍率（参照）</t>
  </si>
  <si>
    <t>『モンスター計算』D2を編集</t>
  </si>
  <si>
    <t>Stage1基準戦闘力</t>
  </si>
  <si>
    <t>通常100</t>
  </si>
  <si>
    <t>基準HP</t>
  </si>
  <si>
    <t>戦闘力100の耐久基準</t>
  </si>
  <si>
    <t>基準主攻撃力</t>
  </si>
  <si>
    <t>魔法型の魔力／近接型の攻撃力に対応</t>
  </si>
  <si>
    <t>基準物理防御</t>
  </si>
  <si>
    <t>強さ推定用・CSV出力</t>
  </si>
  <si>
    <t>基準魔法防御</t>
  </si>
  <si>
    <t>基準攻撃速度</t>
  </si>
  <si>
    <t>攻撃ゲージ/秒</t>
  </si>
  <si>
    <t>基準クリティカル率</t>
  </si>
  <si>
    <t>0.05=5%</t>
  </si>
  <si>
    <t>基準クリ倍率</t>
  </si>
  <si>
    <t>1.5倍</t>
  </si>
  <si>
    <t>防御評価係数</t>
  </si>
  <si>
    <t>推定耐久指数への重み</t>
  </si>
  <si>
    <t>射程評価係数</t>
  </si>
  <si>
    <t>基準射程からの差の重み</t>
  </si>
  <si>
    <t>MP配分係数</t>
  </si>
  <si>
    <t>魔法型のMPは追加係数1.35</t>
  </si>
  <si>
    <t>副攻撃力の比率</t>
  </si>
  <si>
    <t>普段使わない攻撃/魔力も残す</t>
  </si>
  <si>
    <t>耐性評価係数</t>
  </si>
  <si>
    <t>総合戦闘力の耐性評価。0なら耐性は戦闘力評価に含めない</t>
  </si>
  <si>
    <t>索敵範囲の標準値</t>
  </si>
  <si>
    <t>各個性タイプの索敵倍率を掛ける基準</t>
  </si>
  <si>
    <t>MONSTER POWER BALANCER</t>
  </si>
  <si>
    <t>成長倍率（編集）</t>
  </si>
  <si>
    <t>水色＝タイプ・属性・成長倍率を編集 / 緑色＝自動計算 / 個性タイプマスタ・属性耐性マスタで一括調整</t>
  </si>
  <si>
    <t>ID</t>
  </si>
  <si>
    <t>名前</t>
  </si>
  <si>
    <t>属性</t>
  </si>
  <si>
    <t>戦闘力</t>
  </si>
  <si>
    <t>基礎HP</t>
  </si>
  <si>
    <t>基礎MP</t>
  </si>
  <si>
    <t>基礎攻撃力</t>
  </si>
  <si>
    <t>基礎魔力</t>
  </si>
  <si>
    <t>基礎防御力</t>
  </si>
  <si>
    <t>基礎魔防</t>
  </si>
  <si>
    <t>クリ率</t>
  </si>
  <si>
    <t>クリ倍</t>
  </si>
  <si>
    <t>移動速度</t>
  </si>
  <si>
    <t>攻撃速度</t>
  </si>
  <si>
    <t>攻撃範囲</t>
  </si>
  <si>
    <t>火耐性</t>
  </si>
  <si>
    <t>水耐性</t>
  </si>
  <si>
    <t>風耐性</t>
  </si>
  <si>
    <t>雷耐性</t>
  </si>
  <si>
    <t>光耐性</t>
  </si>
  <si>
    <t>闇耐性</t>
  </si>
  <si>
    <t>索敵範囲</t>
  </si>
  <si>
    <t>出現ステージ</t>
  </si>
  <si>
    <t>攻撃方式</t>
  </si>
  <si>
    <t>HP個性倍率</t>
  </si>
  <si>
    <t>物防個性倍率</t>
  </si>
  <si>
    <t>魔防個性倍率</t>
  </si>
  <si>
    <t>攻速個性倍率</t>
  </si>
  <si>
    <t>射程個性倍率</t>
  </si>
  <si>
    <t>親密度Lv1戦闘力比</t>
  </si>
  <si>
    <t>ステージ倍率</t>
  </si>
  <si>
    <t>防御補正指数</t>
  </si>
  <si>
    <t>射程補正指数</t>
  </si>
  <si>
    <t>想定DPS</t>
  </si>
  <si>
    <t>想定耐久値</t>
  </si>
  <si>
    <t>推定総合戦闘力</t>
  </si>
  <si>
    <t>目標差率</t>
  </si>
  <si>
    <t>親密度Lv1想定戦闘力</t>
  </si>
  <si>
    <t>個性タイプ</t>
  </si>
  <si>
    <t>必要主攻撃値</t>
  </si>
  <si>
    <t>タイプ照合</t>
  </si>
  <si>
    <t>属性照合</t>
  </si>
  <si>
    <t>MON_001</t>
  </si>
  <si>
    <t>ブルースライム</t>
  </si>
  <si>
    <t>水</t>
  </si>
  <si>
    <t>MON_002</t>
  </si>
  <si>
    <t>レッドスライム</t>
  </si>
  <si>
    <t>火</t>
  </si>
  <si>
    <t>MON_003</t>
  </si>
  <si>
    <t>グリーンスライム</t>
  </si>
  <si>
    <t>風</t>
  </si>
  <si>
    <t>MON_004</t>
  </si>
  <si>
    <t>レッドボア</t>
  </si>
  <si>
    <t>MON_005</t>
  </si>
  <si>
    <t>ブルーボア</t>
  </si>
  <si>
    <t>MON_006</t>
  </si>
  <si>
    <t>スライムフォース</t>
  </si>
  <si>
    <t>光</t>
  </si>
  <si>
    <t>MON_007</t>
  </si>
  <si>
    <t>ゴブリン</t>
  </si>
  <si>
    <t>MON_008</t>
  </si>
  <si>
    <t>ゴブリンウォーリアー</t>
  </si>
  <si>
    <t>MON_009</t>
  </si>
  <si>
    <t>ゴブリンメイジ</t>
  </si>
  <si>
    <t>MON_010</t>
  </si>
  <si>
    <t>ボブゴブリン</t>
  </si>
  <si>
    <t>MON_011</t>
  </si>
  <si>
    <t>マテリアスライム</t>
  </si>
  <si>
    <t>MON_012</t>
  </si>
  <si>
    <t>ゴブリンキング</t>
  </si>
  <si>
    <t>MON_013</t>
  </si>
  <si>
    <t>ルーインズスラッグ</t>
  </si>
  <si>
    <t>MON_014</t>
  </si>
  <si>
    <t>ライティングスラッグ</t>
  </si>
  <si>
    <t>MON_015</t>
  </si>
  <si>
    <t>幽霊</t>
  </si>
  <si>
    <t>MON_016</t>
  </si>
  <si>
    <t>怨念</t>
  </si>
  <si>
    <t>MON_017</t>
  </si>
  <si>
    <t>ドラゴンゾンビ</t>
  </si>
  <si>
    <t>MON_018</t>
  </si>
  <si>
    <t>エクリス・カース</t>
  </si>
  <si>
    <t>MON_019</t>
  </si>
  <si>
    <t>コボルト</t>
  </si>
  <si>
    <t>MON_020</t>
  </si>
  <si>
    <t>ウルフ</t>
  </si>
  <si>
    <t>MON_021</t>
  </si>
  <si>
    <t>ブラッドウルフ</t>
  </si>
  <si>
    <t>MON_022</t>
  </si>
  <si>
    <t>人狼</t>
  </si>
  <si>
    <t>MON_023</t>
  </si>
  <si>
    <t>ラグナ・ヴォルグ</t>
  </si>
  <si>
    <t>MON_024</t>
  </si>
  <si>
    <t>ヴォルグ・スカー</t>
  </si>
  <si>
    <t>MON_025</t>
  </si>
  <si>
    <t>ドレッドハンター</t>
  </si>
  <si>
    <t>MON_026</t>
  </si>
  <si>
    <t>アシッドスライム</t>
  </si>
  <si>
    <t>MON_027</t>
  </si>
  <si>
    <t>浮遊甲冑</t>
  </si>
  <si>
    <t>MON_028</t>
  </si>
  <si>
    <t>グラーヴナイト</t>
  </si>
  <si>
    <t>MON_029</t>
  </si>
  <si>
    <t>ネクロウィスプ</t>
  </si>
  <si>
    <t>MON_030</t>
  </si>
  <si>
    <t>ボーンアバドン</t>
  </si>
  <si>
    <t>MON_031</t>
  </si>
  <si>
    <t>スケルトン</t>
  </si>
  <si>
    <t>MON_032</t>
  </si>
  <si>
    <t>サンドワーム</t>
  </si>
  <si>
    <t>MON_033</t>
  </si>
  <si>
    <t>ブラックサンドワーム</t>
  </si>
  <si>
    <t>MON_034</t>
  </si>
  <si>
    <t>ブラックコボルト</t>
  </si>
  <si>
    <t>MON_035</t>
  </si>
  <si>
    <t>ヴォルドーム</t>
  </si>
  <si>
    <t>MON_036</t>
  </si>
  <si>
    <t>ラヴァスコール</t>
  </si>
  <si>
    <t>MON_037</t>
  </si>
  <si>
    <t>魔法使い</t>
  </si>
  <si>
    <t>MON_038</t>
  </si>
  <si>
    <t>魔女</t>
  </si>
  <si>
    <t>MON_039</t>
  </si>
  <si>
    <t>カーラ＆ヴィクトリア</t>
  </si>
  <si>
    <t>MON_040</t>
  </si>
  <si>
    <t>セリウス・アークレイン</t>
  </si>
  <si>
    <t>MON_041</t>
  </si>
  <si>
    <t>マグナ・アルセリオン</t>
  </si>
  <si>
    <t>MON_042</t>
  </si>
  <si>
    <t>アルカ・マギウス</t>
  </si>
  <si>
    <t>MON_043</t>
  </si>
  <si>
    <t>ゴーレムナイト</t>
  </si>
  <si>
    <t>MON_044</t>
  </si>
  <si>
    <t>溶岩魔人</t>
  </si>
  <si>
    <t>MON_045</t>
  </si>
  <si>
    <t>蒼溶岩魔人</t>
  </si>
  <si>
    <t>MON_046</t>
  </si>
  <si>
    <t>魔人の土偶</t>
  </si>
  <si>
    <t>MON_047</t>
  </si>
  <si>
    <t>グラヴィアズール</t>
  </si>
  <si>
    <t>MON_048</t>
  </si>
  <si>
    <t>ヴォルザロック</t>
  </si>
  <si>
    <t>MON_049</t>
  </si>
  <si>
    <t>ゴーレムガーディアン</t>
  </si>
  <si>
    <t>MON_050</t>
  </si>
  <si>
    <t>シルバーゴーレム</t>
  </si>
  <si>
    <t>MON_051</t>
  </si>
  <si>
    <t>ゴールドゴーレム</t>
  </si>
  <si>
    <t>MON_052</t>
  </si>
  <si>
    <t>シルバースライム</t>
  </si>
  <si>
    <t>MON_053</t>
  </si>
  <si>
    <t>アストラ・コロッサス</t>
  </si>
  <si>
    <t>MON_054</t>
  </si>
  <si>
    <t>グラヴェルノス</t>
  </si>
  <si>
    <t>MON_055</t>
  </si>
  <si>
    <t>ファイヤリザード</t>
  </si>
  <si>
    <t>MON_056</t>
  </si>
  <si>
    <t>サイクロプス</t>
  </si>
  <si>
    <t>MON_057</t>
  </si>
  <si>
    <t>ソルドリム・アイアンハート</t>
  </si>
  <si>
    <t>MON_058</t>
  </si>
  <si>
    <t>ヴァルサイクロプス</t>
  </si>
  <si>
    <t>MON_059</t>
  </si>
  <si>
    <t>グラウンドタイタン</t>
  </si>
  <si>
    <t>MON_060</t>
  </si>
  <si>
    <t>煌獄騎デュザリオン</t>
  </si>
  <si>
    <t>MON_061</t>
  </si>
  <si>
    <t>ゴーレムメーカー</t>
  </si>
  <si>
    <t>MON_062</t>
  </si>
  <si>
    <t>リヴィア・ハートライン</t>
  </si>
  <si>
    <t>MON_063</t>
  </si>
  <si>
    <t>アクア・レギュレイター</t>
  </si>
  <si>
    <t>MON_064</t>
  </si>
  <si>
    <t>フォレスト・ガンナー</t>
  </si>
  <si>
    <t>MON_065</t>
  </si>
  <si>
    <t>レジスト・ゴレイオン</t>
  </si>
  <si>
    <t>MON_066</t>
  </si>
  <si>
    <t>インフェルノ・ギア</t>
  </si>
  <si>
    <t>MON_067</t>
  </si>
  <si>
    <t>サラマンダー</t>
  </si>
  <si>
    <t>MON_068</t>
  </si>
  <si>
    <t>赤竜</t>
  </si>
  <si>
    <t>MON_069</t>
  </si>
  <si>
    <t>エンシェント・レッド</t>
  </si>
  <si>
    <t>MON_070</t>
  </si>
  <si>
    <t>ヴァルイグニス</t>
  </si>
  <si>
    <t>MON_071</t>
  </si>
  <si>
    <t>ヘルグラッド</t>
  </si>
  <si>
    <t>MON_072</t>
  </si>
  <si>
    <t>グラン・スライオス</t>
  </si>
  <si>
    <t>MON_073</t>
  </si>
  <si>
    <t>スイマーゴブリン</t>
  </si>
  <si>
    <t>MON_074</t>
  </si>
  <si>
    <t>漕手ゴブリン</t>
  </si>
  <si>
    <t>MON_075</t>
  </si>
  <si>
    <t>メガロドン</t>
  </si>
  <si>
    <t>MON_076</t>
  </si>
  <si>
    <t>ブルオメガ</t>
  </si>
  <si>
    <t>MON_077</t>
  </si>
  <si>
    <t>ネプチ・アブル</t>
  </si>
  <si>
    <t>MON_078</t>
  </si>
  <si>
    <t>アビサル・ネプトゥス</t>
  </si>
  <si>
    <t>MON_079</t>
  </si>
  <si>
    <t>狩猟ゴブリン</t>
  </si>
  <si>
    <t>MON_080</t>
  </si>
  <si>
    <t>フェアリー</t>
  </si>
  <si>
    <t>MON_081</t>
  </si>
  <si>
    <t>長老ゴブリン</t>
  </si>
  <si>
    <t>MON_082</t>
  </si>
  <si>
    <t>リザ・ヴァルク</t>
  </si>
  <si>
    <t>MON_083</t>
  </si>
  <si>
    <t>ボル・グルナ</t>
  </si>
  <si>
    <t>MON_084</t>
  </si>
  <si>
    <t>ガル・フェンリオ</t>
  </si>
  <si>
    <t>MON_085</t>
  </si>
  <si>
    <t>人食いキノコ</t>
  </si>
  <si>
    <t>MON_086</t>
  </si>
  <si>
    <t>ゴールドスライム</t>
  </si>
  <si>
    <t>MON_087</t>
  </si>
  <si>
    <t>スライムキング</t>
  </si>
  <si>
    <t>MON_088</t>
  </si>
  <si>
    <t>マグ・スライム</t>
  </si>
  <si>
    <t>MON_089</t>
  </si>
  <si>
    <t>キング・グリット</t>
  </si>
  <si>
    <t>MON_090</t>
  </si>
  <si>
    <t>ルクス・ジェリー</t>
  </si>
  <si>
    <t>MON_091</t>
  </si>
  <si>
    <t>キラーマンティス</t>
  </si>
  <si>
    <t>MON_092</t>
  </si>
  <si>
    <t>スタグビートル</t>
  </si>
  <si>
    <t>MON_093</t>
  </si>
  <si>
    <t>キラーセンチピード</t>
  </si>
  <si>
    <t>MON_094</t>
  </si>
  <si>
    <t>ヴェス・カリバー</t>
  </si>
  <si>
    <t>MON_095</t>
  </si>
  <si>
    <t>インフェル・ビートル</t>
  </si>
  <si>
    <t>MON_096</t>
  </si>
  <si>
    <t>ルミナ・ミラージュ</t>
  </si>
  <si>
    <t>MON_097</t>
  </si>
  <si>
    <t>ラストコア</t>
  </si>
  <si>
    <t>MON_098</t>
  </si>
  <si>
    <t>ターミナス・ギアロード</t>
  </si>
  <si>
    <t>MON_099</t>
  </si>
  <si>
    <t>インフェルナル・オーバードライブ</t>
  </si>
  <si>
    <t>MON_100</t>
  </si>
  <si>
    <t>ブルー・ヴォルテクス</t>
  </si>
  <si>
    <t>MON_101</t>
  </si>
  <si>
    <t>マグナ・ギアゴーレム</t>
  </si>
  <si>
    <t>MON_102</t>
  </si>
  <si>
    <t>アーク・セラフィオン</t>
  </si>
  <si>
    <t>MON_103</t>
  </si>
  <si>
    <t>ラグス</t>
  </si>
  <si>
    <t>MON_104</t>
  </si>
  <si>
    <t>バルド</t>
  </si>
  <si>
    <t>MON_105</t>
  </si>
  <si>
    <t>バルザック</t>
  </si>
  <si>
    <t>MON_106</t>
  </si>
  <si>
    <t>ゴルダン</t>
  </si>
  <si>
    <t>MON_107</t>
  </si>
  <si>
    <t>カーンヴァル</t>
  </si>
  <si>
    <t>MON_108</t>
  </si>
  <si>
    <t>グリモルダン</t>
  </si>
  <si>
    <t>MON_109</t>
  </si>
  <si>
    <t>ライトワーム</t>
  </si>
  <si>
    <t>MON_110</t>
  </si>
  <si>
    <t>ケイブスパイダー</t>
  </si>
  <si>
    <t>MON_111</t>
  </si>
  <si>
    <t>亡霊鉱夫</t>
  </si>
  <si>
    <t>MON_112</t>
  </si>
  <si>
    <t>マイコドレイク</t>
  </si>
  <si>
    <t>MON_113</t>
  </si>
  <si>
    <t>アースドラゴン</t>
  </si>
  <si>
    <t>MON_114</t>
  </si>
  <si>
    <t>アビスドラゴン</t>
  </si>
  <si>
    <t>MON_115</t>
  </si>
  <si>
    <t>フィローナ</t>
  </si>
  <si>
    <t>MON_116</t>
  </si>
  <si>
    <t>キューㇾリス</t>
  </si>
  <si>
    <t>MON_117</t>
  </si>
  <si>
    <t>コランチュラ</t>
  </si>
  <si>
    <t>MON_118</t>
  </si>
  <si>
    <t>ダルンドゥ</t>
  </si>
  <si>
    <t>MON_119</t>
  </si>
  <si>
    <t>ガルブロッサ</t>
  </si>
  <si>
    <t>MON_120</t>
  </si>
  <si>
    <t>ドレインタス</t>
  </si>
  <si>
    <t>MON_121</t>
  </si>
  <si>
    <t>スカイレイヴン</t>
  </si>
  <si>
    <t>MON_122</t>
  </si>
  <si>
    <t>ガレウィングホーク</t>
  </si>
  <si>
    <t>MON_123</t>
  </si>
  <si>
    <t>フェザードヴァルチャー</t>
  </si>
  <si>
    <t>MON_124</t>
  </si>
  <si>
    <t>ハーピー</t>
  </si>
  <si>
    <t>MON_125</t>
  </si>
  <si>
    <t>ストームコンドル</t>
  </si>
  <si>
    <t>MON_126</t>
  </si>
  <si>
    <t>アル・ヴォレオス</t>
  </si>
  <si>
    <t>MON_127</t>
  </si>
  <si>
    <t>魔導覇鬼ゴルヴァス</t>
  </si>
  <si>
    <t>MON_128</t>
  </si>
  <si>
    <t>マキナレクス</t>
  </si>
  <si>
    <t>MON_129</t>
  </si>
  <si>
    <t>ヴェルザーク</t>
  </si>
  <si>
    <t>MON_130</t>
  </si>
  <si>
    <t>灼岩王グレアラグ</t>
  </si>
  <si>
    <t>MON_131</t>
  </si>
  <si>
    <t>アヴィドゥス・マグマ―ル</t>
  </si>
  <si>
    <t>MON_132</t>
  </si>
  <si>
    <t>雷牙王ヴァルドゥーン</t>
  </si>
  <si>
    <t>MON_133</t>
  </si>
  <si>
    <t>ネグロスパイダー</t>
  </si>
  <si>
    <t>MON_134</t>
  </si>
  <si>
    <t>リッチ・モルディガン</t>
  </si>
  <si>
    <t>MON_135</t>
  </si>
  <si>
    <t>ネクロ・ドラグニル</t>
  </si>
  <si>
    <t>MON_136</t>
  </si>
  <si>
    <t>ヴァル・ディアブロ</t>
  </si>
  <si>
    <t>MON_137</t>
  </si>
  <si>
    <t>ブラッド・ミノタウロス</t>
  </si>
  <si>
    <t>MON_138</t>
  </si>
  <si>
    <t>アズラ・ヒュドラ</t>
  </si>
  <si>
    <t>MON_139</t>
  </si>
  <si>
    <t>マグ・ヴォルム</t>
  </si>
  <si>
    <t>MON_140</t>
  </si>
  <si>
    <t>フロスティア・レクイエム</t>
  </si>
  <si>
    <t>MON_141</t>
  </si>
  <si>
    <t>インフェルノ・バルガス</t>
  </si>
  <si>
    <t>MON_142</t>
  </si>
  <si>
    <t>ネフェル・アンムート</t>
  </si>
  <si>
    <t>MON_143</t>
  </si>
  <si>
    <t>ヴァル・ノクティス</t>
  </si>
  <si>
    <t>MON_144</t>
  </si>
  <si>
    <t>モル・カヴァリエ</t>
  </si>
  <si>
    <t>MON_145</t>
  </si>
  <si>
    <t>グリーン・カタストラ</t>
  </si>
  <si>
    <t>MON_146</t>
  </si>
  <si>
    <t>タラッサ・ミルディア</t>
  </si>
  <si>
    <t>MON_147</t>
  </si>
  <si>
    <t>スカルロード</t>
  </si>
  <si>
    <t>MON_148</t>
  </si>
  <si>
    <t>アシュタロス・リリア</t>
  </si>
  <si>
    <t>MON_149</t>
  </si>
  <si>
    <t>ブッチャー・ゴルム</t>
  </si>
  <si>
    <t>MON_150</t>
  </si>
  <si>
    <t>ヴォイド・バルザーク</t>
  </si>
  <si>
    <t>MON_151</t>
  </si>
  <si>
    <t>錆びた坑夫スケルトン</t>
  </si>
  <si>
    <t>MON_152</t>
  </si>
  <si>
    <t>掘削ゴブリン</t>
  </si>
  <si>
    <t>MON_153</t>
  </si>
  <si>
    <t>鉄屑スライム</t>
  </si>
  <si>
    <t>MON_154</t>
  </si>
  <si>
    <t>崩落モール</t>
  </si>
  <si>
    <t>MON_155</t>
  </si>
  <si>
    <t>煤まみれの幽霊</t>
  </si>
  <si>
    <t>MON_156</t>
  </si>
  <si>
    <t>坑道王・アイアンレイバー</t>
  </si>
  <si>
    <t>MON_157</t>
  </si>
  <si>
    <t>水苔スライム</t>
  </si>
  <si>
    <t>MON_158</t>
  </si>
  <si>
    <t>湿潤ラット</t>
  </si>
  <si>
    <t>MON_159</t>
  </si>
  <si>
    <t>水没スケルトン</t>
  </si>
  <si>
    <t>MON_160</t>
  </si>
  <si>
    <t>沼トカゲ</t>
  </si>
  <si>
    <t>MON_161</t>
  </si>
  <si>
    <t>下水ワーム</t>
  </si>
  <si>
    <t>MON_162</t>
  </si>
  <si>
    <t>水路の守護獣・モスガーディアン</t>
  </si>
  <si>
    <t>MON_163</t>
  </si>
  <si>
    <t>腐骨スケルトン</t>
  </si>
  <si>
    <t>MON_164</t>
  </si>
  <si>
    <t>墓守ゾンビ</t>
  </si>
  <si>
    <t>MON_165</t>
  </si>
  <si>
    <t>霊火ウィスプ</t>
  </si>
  <si>
    <t>MON_166</t>
  </si>
  <si>
    <t>墓標ゴーレム</t>
  </si>
  <si>
    <t>MON_167</t>
  </si>
  <si>
    <t>彷徨う亡霊</t>
  </si>
  <si>
    <t>MON_168</t>
  </si>
  <si>
    <t>死霊侯・ネクロロード</t>
  </si>
  <si>
    <t>MON_169</t>
  </si>
  <si>
    <t>落石クラブ</t>
  </si>
  <si>
    <t>MON_170</t>
  </si>
  <si>
    <t>岩皮バット</t>
  </si>
  <si>
    <t>MON_171</t>
  </si>
  <si>
    <t>洞穴トロール</t>
  </si>
  <si>
    <t>MON_172</t>
  </si>
  <si>
    <t>地割れスライム</t>
  </si>
  <si>
    <t>MON_173</t>
  </si>
  <si>
    <t>採掘ビートル</t>
  </si>
  <si>
    <t>MON_174</t>
  </si>
  <si>
    <t>洞窟崩壊獣・ロックタイタン</t>
  </si>
  <si>
    <t>MON_175</t>
  </si>
  <si>
    <t>火花インプ</t>
  </si>
  <si>
    <t>MON_176</t>
  </si>
  <si>
    <t>溶岩スライム</t>
  </si>
  <si>
    <t>MON_177</t>
  </si>
  <si>
    <t>焼骨スケルトン</t>
  </si>
  <si>
    <t>MON_178</t>
  </si>
  <si>
    <t>火蜥蜴</t>
  </si>
  <si>
    <t>MON_179</t>
  </si>
  <si>
    <t>灰翼コウモリ</t>
  </si>
  <si>
    <t>MON_180</t>
  </si>
  <si>
    <t>灼熱竜・マグナ＝ドラコ</t>
  </si>
  <si>
    <t>MON_181</t>
  </si>
  <si>
    <t>氷晶スライム</t>
  </si>
  <si>
    <t>MON_182</t>
  </si>
  <si>
    <t>凍骨スケルトン</t>
  </si>
  <si>
    <t>MON_183</t>
  </si>
  <si>
    <t>雪皮ウルフ</t>
  </si>
  <si>
    <t>MON_184</t>
  </si>
  <si>
    <t>氷刃バット</t>
  </si>
  <si>
    <t>MON_185</t>
  </si>
  <si>
    <t>霜ゴーレム</t>
  </si>
  <si>
    <t>MON_186</t>
  </si>
  <si>
    <t>氷王・フロストコロッサス</t>
  </si>
  <si>
    <t>MON_187</t>
  </si>
  <si>
    <t>風刃バード</t>
  </si>
  <si>
    <t>MON_188</t>
  </si>
  <si>
    <t>峡谷ゴブリン</t>
  </si>
  <si>
    <t>MON_189</t>
  </si>
  <si>
    <t>突風スライム</t>
  </si>
  <si>
    <t>MON_190</t>
  </si>
  <si>
    <t>崖跳ねヤギ</t>
  </si>
  <si>
    <t>MON_191</t>
  </si>
  <si>
    <t>空裂ウィスプ</t>
  </si>
  <si>
    <t>MON_192</t>
  </si>
  <si>
    <t>暴風獣・テンペストハウル</t>
  </si>
  <si>
    <t>MON_193</t>
  </si>
  <si>
    <t>放電スライム</t>
  </si>
  <si>
    <t>MON_194</t>
  </si>
  <si>
    <t>雷骨スケルトン</t>
  </si>
  <si>
    <t>MON_195</t>
  </si>
  <si>
    <t>スパークインプ</t>
  </si>
  <si>
    <t>MON_196</t>
  </si>
  <si>
    <t>電撃ビートル</t>
  </si>
  <si>
    <t>MON_197</t>
  </si>
  <si>
    <t>雷羽バード</t>
  </si>
  <si>
    <t>MON_198</t>
  </si>
  <si>
    <t>雷帝・ヴォルトタイラント</t>
  </si>
  <si>
    <t>MON_199</t>
  </si>
  <si>
    <t>砂塵スケルトン</t>
  </si>
  <si>
    <t>MON_200</t>
  </si>
  <si>
    <t>遺跡スカラベ</t>
  </si>
  <si>
    <t>MON_201</t>
  </si>
  <si>
    <t>砂蛇</t>
  </si>
  <si>
    <t>MON_202</t>
  </si>
  <si>
    <t>石像ガーディアン</t>
  </si>
  <si>
    <t>MON_203</t>
  </si>
  <si>
    <t>流砂スライム</t>
  </si>
  <si>
    <t>MON_204</t>
  </si>
  <si>
    <t>砂王・デザートファラオ</t>
  </si>
  <si>
    <t>MON_205</t>
  </si>
  <si>
    <t>毒胞スライム</t>
  </si>
  <si>
    <t>MON_206</t>
  </si>
  <si>
    <t>腐葉スケルトン</t>
  </si>
  <si>
    <t>MON_207</t>
  </si>
  <si>
    <t>毒牙ウルフ</t>
  </si>
  <si>
    <t>MON_208</t>
  </si>
  <si>
    <t>毒霧ウィスプ</t>
  </si>
  <si>
    <t>MON_209</t>
  </si>
  <si>
    <t>腐根トレント</t>
  </si>
  <si>
    <t>MON_210</t>
  </si>
  <si>
    <t>瘴気王・ヴェノムドライアド</t>
  </si>
  <si>
    <t>MON_211</t>
  </si>
  <si>
    <t>呪符スケルトン</t>
  </si>
  <si>
    <t>MON_212</t>
  </si>
  <si>
    <t>暴走グリモア</t>
  </si>
  <si>
    <t>MON_213</t>
  </si>
  <si>
    <t>インクスライム</t>
  </si>
  <si>
    <t>MON_214</t>
  </si>
  <si>
    <t>魔導ゴーレム</t>
  </si>
  <si>
    <t>MON_215</t>
  </si>
  <si>
    <t>詠唱ウィスプ</t>
  </si>
  <si>
    <t>MON_216</t>
  </si>
  <si>
    <t>禁書管理者・アーカイヴロード</t>
  </si>
  <si>
    <t>MON_217</t>
  </si>
  <si>
    <t>影兵スケルトン</t>
  </si>
  <si>
    <t>MON_218</t>
  </si>
  <si>
    <t>シャドウインプ</t>
  </si>
  <si>
    <t>MON_219</t>
  </si>
  <si>
    <t>闇染みスライム</t>
  </si>
  <si>
    <t>MON_220</t>
  </si>
  <si>
    <t>影走りハウンド</t>
  </si>
  <si>
    <t>MON_221</t>
  </si>
  <si>
    <t>暗幕ウィスプ</t>
  </si>
  <si>
    <t>MON_222</t>
  </si>
  <si>
    <t>影王・ナイトステッチャー</t>
  </si>
  <si>
    <t>MON_223</t>
  </si>
  <si>
    <t>鏡像スケルトン</t>
  </si>
  <si>
    <t>MON_224</t>
  </si>
  <si>
    <t>分裂スライム</t>
  </si>
  <si>
    <t>MON_225</t>
  </si>
  <si>
    <t>反射ビートル</t>
  </si>
  <si>
    <t>MON_226</t>
  </si>
  <si>
    <t>虚像インプ</t>
  </si>
  <si>
    <t>MON_227</t>
  </si>
  <si>
    <t>鏡霊ウィスプ</t>
  </si>
  <si>
    <t>MON_228</t>
  </si>
  <si>
    <t>迷宮主・リフレクタス</t>
  </si>
  <si>
    <t>MON_229</t>
  </si>
  <si>
    <t>血晶スケルトン</t>
  </si>
  <si>
    <t>MON_230</t>
  </si>
  <si>
    <t>供物ゾンビ</t>
  </si>
  <si>
    <t>MON_231</t>
  </si>
  <si>
    <t>血滴スライム</t>
  </si>
  <si>
    <t>MON_232</t>
  </si>
  <si>
    <t>血祭インプ</t>
  </si>
  <si>
    <t>MON_233</t>
  </si>
  <si>
    <t>結晶ゴーレム</t>
  </si>
  <si>
    <t>MON_234</t>
  </si>
  <si>
    <t>血王・サクリファイスロード</t>
  </si>
  <si>
    <t>MON_235</t>
  </si>
  <si>
    <t>結界兵スケルトン</t>
  </si>
  <si>
    <t>MON_236</t>
  </si>
  <si>
    <t>結界スライム</t>
  </si>
  <si>
    <t>MON_237</t>
  </si>
  <si>
    <t>深層インプ</t>
  </si>
  <si>
    <t>MON_238</t>
  </si>
  <si>
    <t>結界ビートル</t>
  </si>
  <si>
    <t>MON_239</t>
  </si>
  <si>
    <t>防護ウィスプ</t>
  </si>
  <si>
    <t>MON_240</t>
  </si>
  <si>
    <t>結界核・プロテクトコア</t>
  </si>
  <si>
    <t>MON_241</t>
  </si>
  <si>
    <t>歪時スケルトン</t>
  </si>
  <si>
    <t>MON_242</t>
  </si>
  <si>
    <t>加速インプ</t>
  </si>
  <si>
    <t>MON_243</t>
  </si>
  <si>
    <t>減速スライム</t>
  </si>
  <si>
    <t>MON_244</t>
  </si>
  <si>
    <t>時喰いワーム</t>
  </si>
  <si>
    <t>MON_245</t>
  </si>
  <si>
    <t>歪曲ウィスプ</t>
  </si>
  <si>
    <t>MON_246</t>
  </si>
  <si>
    <t>時王・クロノディストータ</t>
  </si>
  <si>
    <t>MON_247</t>
  </si>
  <si>
    <t>星殻スケルトン</t>
  </si>
  <si>
    <t>MON_248</t>
  </si>
  <si>
    <t>星光スライム</t>
  </si>
  <si>
    <t>MON_249</t>
  </si>
  <si>
    <t>宇宙インプ</t>
  </si>
  <si>
    <t>MON_250</t>
  </si>
  <si>
    <t>重力ビートル</t>
  </si>
  <si>
    <t>MON_251</t>
  </si>
  <si>
    <t>星霊ウィスプ</t>
  </si>
  <si>
    <t>MON_252</t>
  </si>
  <si>
    <t>星喰獣・アストラデヴァウラー</t>
  </si>
  <si>
    <t>MON_253</t>
  </si>
  <si>
    <t>契約兵スケルトン</t>
  </si>
  <si>
    <t>MON_254</t>
  </si>
  <si>
    <t>契約インプ</t>
  </si>
  <si>
    <t>MON_255</t>
  </si>
  <si>
    <t>誓約スライム</t>
  </si>
  <si>
    <t>MON_256</t>
  </si>
  <si>
    <t>試練ゴーレム</t>
  </si>
  <si>
    <t>MON_257</t>
  </si>
  <si>
    <t>契約ウィスプ</t>
  </si>
  <si>
    <t>MON_258</t>
  </si>
  <si>
    <t>契約王・オースブリンガー</t>
  </si>
  <si>
    <t>MON_259</t>
  </si>
  <si>
    <t>反復スケルトン</t>
  </si>
  <si>
    <t>MON_260</t>
  </si>
  <si>
    <t>無限スライム</t>
  </si>
  <si>
    <t>MON_261</t>
  </si>
  <si>
    <t>反復インプ</t>
  </si>
  <si>
    <t>MON_262</t>
  </si>
  <si>
    <t>ループビートル</t>
  </si>
  <si>
    <t>MON_263</t>
  </si>
  <si>
    <t>回廊ウィスプ</t>
  </si>
  <si>
    <t>MON_264</t>
  </si>
  <si>
    <t>循環王・インフィニティループ</t>
  </si>
  <si>
    <t>MON_265</t>
  </si>
  <si>
    <t>混成スケルトン</t>
  </si>
  <si>
    <t>MON_266</t>
  </si>
  <si>
    <t>破滅インプ</t>
  </si>
  <si>
    <t>MON_267</t>
  </si>
  <si>
    <t>暴走スライム</t>
  </si>
  <si>
    <t>MON_268</t>
  </si>
  <si>
    <t>前哨ゴーレム</t>
  </si>
  <si>
    <t>MON_269</t>
  </si>
  <si>
    <t>崩壊ウィスプ</t>
  </si>
  <si>
    <t>MON_270</t>
  </si>
  <si>
    <t>破滅将・アポカリプスガード</t>
  </si>
  <si>
    <t>MON_271</t>
  </si>
  <si>
    <t>深淵骨スケルトン</t>
  </si>
  <si>
    <t>MON_272</t>
  </si>
  <si>
    <t>侵食スライム</t>
  </si>
  <si>
    <t>MON_273</t>
  </si>
  <si>
    <t>深淵インプ</t>
  </si>
  <si>
    <t>MON_274</t>
  </si>
  <si>
    <t>侵食ビートル</t>
  </si>
  <si>
    <t>MON_275</t>
  </si>
  <si>
    <t>深淵ウィスプ</t>
  </si>
  <si>
    <t>MON_276</t>
  </si>
  <si>
    <t>深淵王・アビスオーバーロード</t>
  </si>
  <si>
    <t>MON_277</t>
  </si>
  <si>
    <t>無色スケルトン</t>
  </si>
  <si>
    <t>MON_278</t>
  </si>
  <si>
    <t>虚無スライム</t>
  </si>
  <si>
    <t>MON_279</t>
  </si>
  <si>
    <t>無音インプ</t>
  </si>
  <si>
    <t>MON_280</t>
  </si>
  <si>
    <t>虚無ゴーレム</t>
  </si>
  <si>
    <t>MON_281</t>
  </si>
  <si>
    <t>空白ウィスプ</t>
  </si>
  <si>
    <t>MON_282</t>
  </si>
  <si>
    <t>虚無監視者・ナッシングウォーデン</t>
  </si>
  <si>
    <t>MON_283</t>
  </si>
  <si>
    <t>黒曜骨兵</t>
  </si>
  <si>
    <t>MON_284</t>
  </si>
  <si>
    <t>戦場インプ</t>
  </si>
  <si>
    <t>MON_285</t>
  </si>
  <si>
    <t>黒刃スライム</t>
  </si>
  <si>
    <t>MON_286</t>
  </si>
  <si>
    <t>黒曜ビートル</t>
  </si>
  <si>
    <t>MON_287</t>
  </si>
  <si>
    <t>血煙ウィスプ</t>
  </si>
  <si>
    <t>MON_288</t>
  </si>
  <si>
    <t>戦王・オブシディアンロード</t>
  </si>
  <si>
    <t>MON_289</t>
  </si>
  <si>
    <t>神骨スケルトン</t>
  </si>
  <si>
    <t>MON_290</t>
  </si>
  <si>
    <t>神骸スライム</t>
  </si>
  <si>
    <t>MON_291</t>
  </si>
  <si>
    <t>眷属インプ</t>
  </si>
  <si>
    <t>MON_292</t>
  </si>
  <si>
    <t>神殻ゴーレム</t>
  </si>
  <si>
    <t>MON_293</t>
  </si>
  <si>
    <t>神光ウィスプ</t>
  </si>
  <si>
    <t>MON_294</t>
  </si>
  <si>
    <t>神骸王・ディヴァインレムナント</t>
  </si>
  <si>
    <t>MON_295</t>
  </si>
  <si>
    <t>混沌骨スケルトン</t>
  </si>
  <si>
    <t>MON_296</t>
  </si>
  <si>
    <t>混沌スライム</t>
  </si>
  <si>
    <t>MON_297</t>
  </si>
  <si>
    <t>終焉インプ</t>
  </si>
  <si>
    <t>MON_298</t>
  </si>
  <si>
    <t>崩壊ゴーレム</t>
  </si>
  <si>
    <t>MON_299</t>
  </si>
  <si>
    <t>終焉ウィスプ</t>
  </si>
  <si>
    <t>MON_300</t>
  </si>
  <si>
    <t>終焉竜・エンドオブカタストロフ</t>
  </si>
  <si>
    <t>MON_301</t>
  </si>
  <si>
    <t>スライム・ルミナ</t>
  </si>
  <si>
    <t>MON_302</t>
  </si>
  <si>
    <t>若葉精モックル</t>
  </si>
  <si>
    <t>MON_303</t>
  </si>
  <si>
    <t>棍棒ゴブリン・ガズ</t>
  </si>
  <si>
    <t>MON_304</t>
  </si>
  <si>
    <t>灰牙狼ヴァルグ</t>
  </si>
  <si>
    <t>MON_305</t>
  </si>
  <si>
    <t>剛牙猪グランボア</t>
  </si>
  <si>
    <t>MON_306</t>
  </si>
  <si>
    <t>翠羽ハーピー・フィアナ</t>
  </si>
  <si>
    <t>MON_307</t>
  </si>
  <si>
    <t>リフィル</t>
  </si>
  <si>
    <t>MON_308</t>
  </si>
  <si>
    <t>モスガルド</t>
  </si>
  <si>
    <t>MON_309</t>
  </si>
  <si>
    <t>エルドラン樹王</t>
  </si>
  <si>
    <t>MON_310</t>
  </si>
  <si>
    <t>シルヴェリオン</t>
  </si>
  <si>
    <t>MON_311</t>
  </si>
  <si>
    <t>ヴァルグリーフ</t>
  </si>
  <si>
    <t>MON_312</t>
  </si>
  <si>
    <t>ルミフェリア</t>
  </si>
  <si>
    <t>MON_313</t>
  </si>
  <si>
    <t>ポポグリ</t>
  </si>
  <si>
    <t>MON_314</t>
  </si>
  <si>
    <t>フィルゼッタ</t>
  </si>
  <si>
    <t>MON_315</t>
  </si>
  <si>
    <t>ガンロック</t>
  </si>
  <si>
    <t>MON_316</t>
  </si>
  <si>
    <t>ヴェルナガ</t>
  </si>
  <si>
    <t>MON_317</t>
  </si>
  <si>
    <t>嶺殻獣グランモルド</t>
  </si>
  <si>
    <t>MON_318</t>
  </si>
  <si>
    <t>ガルド・ヴァラン</t>
  </si>
  <si>
    <t>MON_319</t>
  </si>
  <si>
    <t>苔耳獣モスピコ</t>
  </si>
  <si>
    <t>MON_320</t>
  </si>
  <si>
    <t>灯茸精チロルーム</t>
  </si>
  <si>
    <t>MON_321</t>
  </si>
  <si>
    <t>裂晶獣クラグレイス</t>
  </si>
  <si>
    <t>MON_322</t>
  </si>
  <si>
    <t>古灯機兵ガルドランプ</t>
  </si>
  <si>
    <t>MON_323</t>
  </si>
  <si>
    <t>鍾甲巨獣グラドガーン</t>
  </si>
  <si>
    <t>MON_324</t>
  </si>
  <si>
    <t>封晶古竜ヴァル＝セレグナ</t>
  </si>
  <si>
    <t>MON_325</t>
  </si>
  <si>
    <t>ミストフェルム</t>
  </si>
  <si>
    <t>MON_326</t>
  </si>
  <si>
    <t>ヴォルガスト</t>
  </si>
  <si>
    <t>MON_327</t>
  </si>
  <si>
    <t>ライゼルヴァーン</t>
  </si>
  <si>
    <t>MON_328</t>
  </si>
  <si>
    <t>フロレシア</t>
  </si>
  <si>
    <t>MON_329</t>
  </si>
  <si>
    <t>グランテラドン</t>
  </si>
  <si>
    <t>MON_330</t>
  </si>
  <si>
    <t>セレスクリオス</t>
  </si>
  <si>
    <t>MON_331</t>
  </si>
  <si>
    <t>クリスタモ</t>
  </si>
  <si>
    <t>MON_332</t>
  </si>
  <si>
    <t>ガレキモグリ</t>
  </si>
  <si>
    <t>MON_333</t>
  </si>
  <si>
    <t>裂晶翼ヴェルキア</t>
  </si>
  <si>
    <t>MON_334</t>
  </si>
  <si>
    <t>封鎖魔兵ガルドーン</t>
  </si>
  <si>
    <t>MON_335</t>
  </si>
  <si>
    <t>迷宮喰獣ラビリオス</t>
  </si>
  <si>
    <t>MON_336</t>
  </si>
  <si>
    <t>破界王ゼル＝アビス</t>
  </si>
  <si>
    <t>MON_337</t>
  </si>
  <si>
    <t>ルミネグラ</t>
  </si>
  <si>
    <t>MON_338</t>
  </si>
  <si>
    <t>ヴァルゼイン</t>
  </si>
  <si>
    <t>MON_339</t>
  </si>
  <si>
    <t>ネフィレイア</t>
  </si>
  <si>
    <t>MON_340</t>
  </si>
  <si>
    <t>グラディオル</t>
  </si>
  <si>
    <t>MON_341</t>
  </si>
  <si>
    <t>ゼルガディス</t>
  </si>
  <si>
    <t>MON_342</t>
  </si>
  <si>
    <t>フィルメリア</t>
  </si>
  <si>
    <t>MON_343</t>
  </si>
  <si>
    <t>アズレフィア</t>
  </si>
  <si>
    <t>MON_344</t>
  </si>
  <si>
    <t>ヴァルグレイド</t>
  </si>
  <si>
    <t>MON_345</t>
  </si>
  <si>
    <t>ノクティレム</t>
  </si>
  <si>
    <t>MON_346</t>
  </si>
  <si>
    <t>シェルディア</t>
  </si>
  <si>
    <t>MON_347</t>
  </si>
  <si>
    <t>リュセリアス</t>
  </si>
  <si>
    <t>MON_348</t>
  </si>
  <si>
    <t>ヴェルグノア</t>
  </si>
  <si>
    <t>MON_349</t>
  </si>
  <si>
    <t>グラヴェリア</t>
  </si>
  <si>
    <t>MON_350</t>
  </si>
  <si>
    <t>エルドレシア</t>
  </si>
  <si>
    <t>MON_351</t>
  </si>
  <si>
    <t>オルフェギオン</t>
  </si>
  <si>
    <t>MON_352</t>
  </si>
  <si>
    <t>セレグノス</t>
  </si>
  <si>
    <t>MON_353</t>
  </si>
  <si>
    <t>ヴァルディオス</t>
  </si>
  <si>
    <t>MON_354</t>
  </si>
  <si>
    <t>ネブラキア</t>
  </si>
  <si>
    <t>MON_355</t>
  </si>
  <si>
    <t>ゼフィラグナ</t>
  </si>
  <si>
    <t>MON_356</t>
  </si>
  <si>
    <t>ヴェルセディオ</t>
  </si>
  <si>
    <t>MON_357</t>
  </si>
  <si>
    <t>グロメディア</t>
  </si>
  <si>
    <t>MON_358</t>
  </si>
  <si>
    <t>ルクシエル</t>
  </si>
  <si>
    <t>MON_359</t>
  </si>
  <si>
    <t>ザルヴェイン</t>
  </si>
  <si>
    <t>MON_360</t>
  </si>
  <si>
    <t>バルグレシオ</t>
  </si>
  <si>
    <t>MON_361</t>
  </si>
  <si>
    <t>セレフィネア</t>
  </si>
  <si>
    <t>MON_362</t>
  </si>
  <si>
    <t>グランヴェリオ</t>
  </si>
  <si>
    <t>MON_363</t>
  </si>
  <si>
    <t>ゼルアラクス</t>
  </si>
  <si>
    <t>MON_364</t>
  </si>
  <si>
    <t>ノクティエル</t>
  </si>
  <si>
    <t>MON_365</t>
  </si>
  <si>
    <t>ヴァルグディア</t>
  </si>
  <si>
    <t>MON_366</t>
  </si>
  <si>
    <t>アステルヴェイン</t>
  </si>
  <si>
    <t>STAGE POWER OVERVIEW</t>
  </si>
  <si>
    <t>同じステージの6体を目標値に合わせた検証。差率の目安: ±5%以内。</t>
  </si>
  <si>
    <t>Stage</t>
  </si>
  <si>
    <t>目標戦闘力</t>
  </si>
  <si>
    <t>平均実測戦闘力</t>
  </si>
  <si>
    <t>最小実測</t>
  </si>
  <si>
    <t>最大実測</t>
  </si>
  <si>
    <t>最大差率(絶対)</t>
  </si>
  <si>
    <t>Lv1想定平均</t>
  </si>
  <si>
    <t>PERSONALITY MASTER | 個性タイプの数値を調整すると対象モンスターが全員更新</t>
  </si>
  <si>
    <t>青いセル＝設定値。倍率1.0は標準。耐性補正0.05＝＋5％ポイント。青いタイプ名を変更するとドロップダウンに反映。</t>
  </si>
  <si>
    <t>個性タイプ（ドロップダウン）</t>
  </si>
  <si>
    <t>HP倍率</t>
  </si>
  <si>
    <t>物防倍率</t>
  </si>
  <si>
    <t>魔防倍率</t>
  </si>
  <si>
    <t>攻速倍率</t>
  </si>
  <si>
    <t>射程倍率</t>
  </si>
  <si>
    <t>親密Lv1比</t>
  </si>
  <si>
    <t>耐性一律補正</t>
  </si>
  <si>
    <t>索敵倍率</t>
  </si>
  <si>
    <t>MP倍率</t>
  </si>
  <si>
    <t>副攻撃倍率</t>
  </si>
  <si>
    <t>設計メモ</t>
  </si>
  <si>
    <t>ELEMENT RESISTANCES | 属性ごとの基礎耐性（値は小数: 0.2＝20%軽減）</t>
  </si>
  <si>
    <t>個性タイプの「耐性一律補正」を足して最終耐性を算出。既存Unity仕様 -10.0～0.8 に制限。</t>
  </si>
  <si>
    <t>苦手な属性の例</t>
  </si>
  <si>
    <t>火と水</t>
  </si>
  <si>
    <t>水と火</t>
  </si>
  <si>
    <t>風と雷</t>
  </si>
  <si>
    <t>雷</t>
  </si>
  <si>
    <t>雷と風</t>
  </si>
  <si>
    <t>光と闇</t>
  </si>
  <si>
    <t>闇</t>
  </si>
  <si>
    <t>闇と光</t>
  </si>
  <si>
    <t>無</t>
  </si>
  <si>
    <t>耐性ニュートラル</t>
  </si>
  <si>
    <t>魔法・軽量</t>
    <phoneticPr fontId="20"/>
  </si>
  <si>
    <t>Ranged</t>
    <phoneticPr fontId="20"/>
  </si>
  <si>
    <t>軽快な魔法型。耐久控えめ・成長余地大</t>
    <phoneticPr fontId="20"/>
  </si>
  <si>
    <t>魔法・均衡</t>
    <phoneticPr fontId="20"/>
  </si>
  <si>
    <t>標準的な魔法型</t>
    <phoneticPr fontId="20"/>
  </si>
  <si>
    <t>魔法・速攻</t>
    <phoneticPr fontId="20"/>
  </si>
  <si>
    <t>高速の魔法型。攻速と射程が優秀</t>
    <phoneticPr fontId="20"/>
  </si>
  <si>
    <t>近接・耐久</t>
    <phoneticPr fontId="20"/>
  </si>
  <si>
    <t>Melee</t>
    <phoneticPr fontId="20"/>
  </si>
  <si>
    <t>HP・物防寄りの近接型</t>
    <phoneticPr fontId="20"/>
  </si>
  <si>
    <t>近接・重装</t>
    <phoneticPr fontId="20"/>
  </si>
  <si>
    <t>高耐久の近接型。耐性も高め</t>
    <phoneticPr fontId="20"/>
  </si>
  <si>
    <t>魔法・守護</t>
    <phoneticPr fontId="20"/>
  </si>
  <si>
    <t>HP・防御・耐性の高い魔法型</t>
    <phoneticPr fontId="20"/>
  </si>
  <si>
    <t>近接・最終層</t>
    <phoneticPr fontId="20"/>
  </si>
  <si>
    <t>終盤近接の特別配分</t>
    <phoneticPr fontId="20"/>
  </si>
  <si>
    <t>魔法・最終層</t>
    <phoneticPr fontId="20"/>
  </si>
  <si>
    <t>終盤魔法の特別配分</t>
    <phoneticPr fontId="20"/>
  </si>
  <si>
    <t>魔法・火力</t>
    <phoneticPr fontId="20"/>
  </si>
  <si>
    <t>火力偏重。反撃に弱い</t>
    <phoneticPr fontId="20"/>
  </si>
  <si>
    <t>魔法・支援</t>
    <phoneticPr fontId="20"/>
  </si>
  <si>
    <t>MPと魔防寄りの支援型</t>
    <phoneticPr fontId="20"/>
  </si>
  <si>
    <t>近接・火力</t>
    <phoneticPr fontId="20"/>
  </si>
  <si>
    <t>攻撃とクリティカル特化</t>
    <phoneticPr fontId="20"/>
  </si>
  <si>
    <t>近接・速攻</t>
    <phoneticPr fontId="20"/>
  </si>
  <si>
    <t>手数と移動重視</t>
    <phoneticPr fontId="20"/>
  </si>
  <si>
    <t>近接・守護</t>
    <phoneticPr fontId="20"/>
  </si>
  <si>
    <t>高防御・低攻速の盾役</t>
    <phoneticPr fontId="20"/>
  </si>
  <si>
    <t>魔法・万能</t>
    <phoneticPr fontId="20"/>
  </si>
  <si>
    <t>バランス重視</t>
    <phoneticPr fontId="20"/>
  </si>
  <si>
    <t>魔法・連射</t>
    <phoneticPr fontId="20"/>
  </si>
  <si>
    <t>手数重視。ひと撃ちは軽いが高速</t>
    <phoneticPr fontId="20"/>
  </si>
  <si>
    <t>魔法・狙撃</t>
    <phoneticPr fontId="20"/>
  </si>
  <si>
    <t>長射程・高会心。接近戦に弱い</t>
    <phoneticPr fontId="20"/>
  </si>
  <si>
    <t>魔法・砲撃</t>
    <phoneticPr fontId="20"/>
  </si>
  <si>
    <t>低速高威力の遠距離砲台</t>
    <phoneticPr fontId="20"/>
  </si>
  <si>
    <t>魔法・超軽量</t>
    <phoneticPr fontId="20"/>
  </si>
  <si>
    <t>超高速移動・極低耐久</t>
    <phoneticPr fontId="20"/>
  </si>
  <si>
    <t>魔法・重装砲</t>
    <phoneticPr fontId="20"/>
  </si>
  <si>
    <t>高耐久・射撃間隔は長い</t>
    <phoneticPr fontId="20"/>
  </si>
  <si>
    <t>魔法・長射程</t>
    <phoneticPr fontId="20"/>
  </si>
  <si>
    <t>射程を優先した後衛</t>
    <phoneticPr fontId="20"/>
  </si>
  <si>
    <t>魔法・近距離</t>
    <phoneticPr fontId="20"/>
  </si>
  <si>
    <t>短射程の連発型</t>
    <phoneticPr fontId="20"/>
  </si>
  <si>
    <t>魔法・高会心</t>
    <phoneticPr fontId="20"/>
  </si>
  <si>
    <t>高い会心率で平均火力を確保</t>
    <phoneticPr fontId="20"/>
  </si>
  <si>
    <t>魔法・会心一撃</t>
    <phoneticPr fontId="20"/>
  </si>
  <si>
    <t>会心倍率が極めて高い一撃型</t>
    <phoneticPr fontId="20"/>
  </si>
  <si>
    <t>魔法・魔防障壁</t>
    <phoneticPr fontId="20"/>
  </si>
  <si>
    <t>魔法防御に偏重した耐久型</t>
    <phoneticPr fontId="20"/>
  </si>
  <si>
    <t>魔法・物防障壁</t>
    <phoneticPr fontId="20"/>
  </si>
  <si>
    <t>物理防御を集中的に強化</t>
    <phoneticPr fontId="20"/>
  </si>
  <si>
    <t>魔法・耐性特化</t>
    <phoneticPr fontId="20"/>
  </si>
  <si>
    <t>属性耐性重視・他能力は平均</t>
    <phoneticPr fontId="20"/>
  </si>
  <si>
    <t>魔法・高MP</t>
    <phoneticPr fontId="20"/>
  </si>
  <si>
    <t>MP容量を重視する後衛</t>
    <phoneticPr fontId="20"/>
  </si>
  <si>
    <t>魔法・探索</t>
    <phoneticPr fontId="20"/>
  </si>
  <si>
    <t>高索敵・長射程寄りの探索型</t>
    <phoneticPr fontId="20"/>
  </si>
  <si>
    <t>魔法・疾走</t>
    <phoneticPr fontId="20"/>
  </si>
  <si>
    <t>移動と攻撃速度に特化</t>
    <phoneticPr fontId="20"/>
  </si>
  <si>
    <t>魔法・鈍足賢者</t>
    <phoneticPr fontId="20"/>
  </si>
  <si>
    <t>低機動・高MP・高魔防</t>
    <phoneticPr fontId="20"/>
  </si>
  <si>
    <t>魔法・薄命結界</t>
    <phoneticPr fontId="20"/>
  </si>
  <si>
    <t>低HPだが防御・耐性が高い極端な守護型</t>
    <phoneticPr fontId="20"/>
  </si>
  <si>
    <t>近接・狂戦士</t>
    <phoneticPr fontId="20"/>
  </si>
  <si>
    <t>紙耐久の高回転会心型</t>
    <phoneticPr fontId="20"/>
  </si>
  <si>
    <t>近接・重撃</t>
    <phoneticPr fontId="20"/>
  </si>
  <si>
    <t>一撃重視の低速型</t>
    <phoneticPr fontId="20"/>
  </si>
  <si>
    <t>近接・刺突</t>
    <phoneticPr fontId="20"/>
  </si>
  <si>
    <t>近接としては長めの射程</t>
    <phoneticPr fontId="20"/>
  </si>
  <si>
    <t>近接・連撃</t>
    <phoneticPr fontId="20"/>
  </si>
  <si>
    <t>高攻速・短射程の手数型</t>
    <phoneticPr fontId="20"/>
  </si>
  <si>
    <t>近接・機動</t>
    <phoneticPr fontId="20"/>
  </si>
  <si>
    <t>高移動速度で接敵に優れる</t>
    <phoneticPr fontId="20"/>
  </si>
  <si>
    <t>近接・鉄壁</t>
    <phoneticPr fontId="20"/>
  </si>
  <si>
    <t>物防とHPが突出した防壁型</t>
    <phoneticPr fontId="20"/>
  </si>
  <si>
    <t>近接・魔法盾</t>
    <phoneticPr fontId="20"/>
  </si>
  <si>
    <t>魔法耐久を重視した近接</t>
    <phoneticPr fontId="20"/>
  </si>
  <si>
    <t>近接・耐性鎧</t>
    <phoneticPr fontId="20"/>
  </si>
  <si>
    <t>属性耐性重視の堅実型</t>
    <phoneticPr fontId="20"/>
  </si>
  <si>
    <t>近接・長柄</t>
    <phoneticPr fontId="20"/>
  </si>
  <si>
    <t>攻撃範囲の広い近接</t>
    <phoneticPr fontId="20"/>
  </si>
  <si>
    <t>近接・短剣</t>
    <phoneticPr fontId="20"/>
  </si>
  <si>
    <t>短射程・高機動・会心型</t>
    <phoneticPr fontId="20"/>
  </si>
  <si>
    <t>近接・捨身</t>
    <phoneticPr fontId="20"/>
  </si>
  <si>
    <t>極端な低耐久・攻撃重視</t>
    <phoneticPr fontId="20"/>
  </si>
  <si>
    <t>近接・堅実</t>
    <phoneticPr fontId="20"/>
  </si>
  <si>
    <t>手堅いステータスの安定型</t>
    <phoneticPr fontId="20"/>
  </si>
  <si>
    <t>近接・強襲</t>
    <phoneticPr fontId="20"/>
  </si>
  <si>
    <t>速い接近・間合い広めの強襲型</t>
    <phoneticPr fontId="20"/>
  </si>
  <si>
    <t>近接・巨体</t>
    <phoneticPr fontId="20"/>
  </si>
  <si>
    <t>巨大なHPと極端な鈍足</t>
    <phoneticPr fontId="20"/>
  </si>
  <si>
    <t>近接・会心</t>
    <phoneticPr fontId="20"/>
  </si>
  <si>
    <t>クリティカル確率に特化</t>
    <phoneticPr fontId="20"/>
  </si>
  <si>
    <t>近接・高魔防</t>
    <phoneticPr fontId="20"/>
  </si>
  <si>
    <t>物理に弱い魔法防御型</t>
    <phoneticPr fontId="20"/>
  </si>
  <si>
    <t>近接・斥候</t>
    <phoneticPr fontId="20"/>
  </si>
  <si>
    <t>索敵能力・機動力が高い</t>
    <phoneticPr fontId="20"/>
  </si>
  <si>
    <t>近接・槍盾</t>
    <phoneticPr fontId="20"/>
  </si>
  <si>
    <t>長い射程と物防を両立</t>
    <phoneticPr fontId="20"/>
  </si>
  <si>
    <t>近接・軽装強打</t>
    <phoneticPr fontId="20"/>
  </si>
  <si>
    <t>高い会心倍率と中距離の強打</t>
    <phoneticPr fontId="20"/>
  </si>
  <si>
    <t>AM列で50種類から個性タイプを選択。係数・耐性が連動します。</t>
    <phoneticPr fontId="20"/>
  </si>
  <si>
    <t>タイプを変更すると各ステータスを自動配分します。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</si>
</sst>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"/>
    <numFmt numFmtId="178" formatCode="#,##0.0"/>
    <numFmt numFmtId="179" formatCode="\+0.0%;\-0.0%;0.0%"/>
  </numFmts>
  <fonts count="22">
    <font>
      <sz val="11"/>
      <name val="Carlito"/>
    </font>
    <font>
      <b/>
      <sz val="17"/>
      <color rgb="FFFFFFFF"/>
      <name val="Carlito"/>
    </font>
    <font>
      <b/>
      <sz val="10"/>
      <color rgb="FFFFFFFF"/>
      <name val="Carlito"/>
    </font>
    <font>
      <b/>
      <sz val="11"/>
      <color rgb="FF14263F"/>
      <name val="Carlito"/>
    </font>
    <font>
      <sz val="11"/>
      <color rgb="FF223B57"/>
      <name val="Carlito"/>
    </font>
    <font>
      <b/>
      <sz val="11"/>
      <color rgb="FF165C9A"/>
      <name val="Carlito"/>
    </font>
    <font>
      <b/>
      <sz val="11"/>
      <color rgb="FF137244"/>
      <name val="Carlito"/>
    </font>
    <font>
      <sz val="11"/>
      <color rgb="FF5A6E85"/>
      <name val="Carlito"/>
    </font>
    <font>
      <b/>
      <sz val="11"/>
      <color rgb="FF7C4A14"/>
      <name val="Carlito"/>
    </font>
    <font>
      <b/>
      <sz val="15"/>
      <color rgb="FF00507E"/>
      <name val="Carlito"/>
    </font>
    <font>
      <sz val="11"/>
      <color rgb="FF174B75"/>
      <name val="Carlito"/>
    </font>
    <font>
      <sz val="11"/>
      <color rgb="FF137244"/>
      <name val="Carlito"/>
    </font>
    <font>
      <sz val="11"/>
      <color rgb="FF49408C"/>
      <name val="Carlito"/>
    </font>
    <font>
      <b/>
      <sz val="14"/>
      <color rgb="FFFFFFFF"/>
      <name val="Carlito"/>
    </font>
    <font>
      <sz val="10"/>
      <color rgb="FF17334B"/>
      <name val="Carlito"/>
    </font>
    <font>
      <b/>
      <sz val="11"/>
      <color rgb="FFFFFFFF"/>
      <name val="Carlito"/>
    </font>
    <font>
      <b/>
      <sz val="11"/>
      <color rgb="FF1163A5"/>
      <name val="Carlito"/>
    </font>
    <font>
      <sz val="11"/>
      <color rgb="FF1163A5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rgb="FF14263F"/>
      </patternFill>
    </fill>
    <fill>
      <patternFill patternType="solid">
        <fgColor rgb="FF165C9A"/>
      </patternFill>
    </fill>
    <fill>
      <patternFill patternType="solid">
        <fgColor rgb="FF157B85"/>
      </patternFill>
    </fill>
    <fill>
      <patternFill patternType="solid">
        <fgColor rgb="FF4B548D"/>
      </patternFill>
    </fill>
    <fill>
      <patternFill patternType="solid">
        <fgColor rgb="FFE4EEF8"/>
      </patternFill>
    </fill>
    <fill>
      <patternFill patternType="solid">
        <fgColor rgb="FFF4F8FD"/>
      </patternFill>
    </fill>
    <fill>
      <patternFill patternType="solid">
        <fgColor rgb="FFE7F3FF"/>
      </patternFill>
    </fill>
    <fill>
      <patternFill patternType="solid">
        <fgColor rgb="FFE7F6EF"/>
      </patternFill>
    </fill>
    <fill>
      <patternFill patternType="solid">
        <fgColor rgb="FFF1F6FC"/>
      </patternFill>
    </fill>
    <fill>
      <patternFill patternType="solid">
        <fgColor rgb="FFD9F0FF"/>
      </patternFill>
    </fill>
    <fill>
      <patternFill patternType="solid">
        <fgColor rgb="FFEFECFF"/>
      </patternFill>
    </fill>
    <fill>
      <patternFill patternType="solid">
        <fgColor rgb="FF17324E"/>
      </patternFill>
    </fill>
    <fill>
      <patternFill patternType="solid">
        <fgColor rgb="FFD9EFF1"/>
      </patternFill>
    </fill>
    <fill>
      <patternFill patternType="solid">
        <fgColor rgb="FF0B7078"/>
      </patternFill>
    </fill>
    <fill>
      <patternFill patternType="solid">
        <fgColor rgb="FFEAF3FF"/>
      </patternFill>
    </fill>
    <fill>
      <patternFill patternType="solid">
        <fgColor rgb="FFEAF8FC"/>
      </patternFill>
    </fill>
    <fill>
      <patternFill patternType="solid">
        <fgColor rgb="FFF3F7FA"/>
      </patternFill>
    </fill>
    <fill>
      <patternFill patternType="solid">
        <fgColor rgb="FFD9F0FF"/>
      </patternFill>
    </fill>
    <fill>
      <patternFill patternType="solid">
        <fgColor rgb="FFE4F4EB"/>
      </patternFill>
    </fill>
    <fill>
      <patternFill patternType="solid">
        <fgColor rgb="FFE5F2EB"/>
      </patternFill>
    </fill>
    <fill>
      <patternFill patternType="solid">
        <fgColor rgb="FFDFEEFB"/>
      </patternFill>
    </fill>
    <fill>
      <patternFill patternType="solid">
        <fgColor rgb="FFDCEEEE"/>
      </patternFill>
    </fill>
    <fill>
      <patternFill patternType="solid">
        <fgColor rgb="FFE5F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/>
  </cellStyleXfs>
  <cellXfs count="114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3" fillId="6" borderId="0" xfId="1" applyFont="1" applyFill="1"/>
    <xf numFmtId="0" fontId="3" fillId="6" borderId="0" xfId="1" applyFont="1" applyFill="1" applyAlignment="1">
      <alignment vertical="center"/>
    </xf>
    <xf numFmtId="0" fontId="4" fillId="0" borderId="0" xfId="1" applyFont="1" applyAlignment="1">
      <alignment vertical="center" wrapText="1"/>
    </xf>
    <xf numFmtId="0" fontId="3" fillId="7" borderId="0" xfId="1" applyFont="1" applyFill="1"/>
    <xf numFmtId="0" fontId="5" fillId="8" borderId="0" xfId="1" applyFont="1" applyFill="1"/>
    <xf numFmtId="0" fontId="6" fillId="9" borderId="0" xfId="1" applyFont="1" applyFill="1"/>
    <xf numFmtId="0" fontId="7" fillId="0" borderId="0" xfId="1" applyFont="1"/>
    <xf numFmtId="176" fontId="5" fillId="8" borderId="0" xfId="1" applyNumberFormat="1" applyFont="1" applyFill="1"/>
    <xf numFmtId="2" fontId="5" fillId="8" borderId="0" xfId="1" applyNumberFormat="1" applyFont="1" applyFill="1"/>
    <xf numFmtId="0" fontId="7" fillId="10" borderId="0" xfId="1" applyFont="1" applyFill="1"/>
    <xf numFmtId="177" fontId="9" fillId="11" borderId="0" xfId="1" applyNumberFormat="1" applyFont="1" applyFill="1"/>
    <xf numFmtId="4" fontId="11" fillId="9" borderId="0" xfId="1" applyNumberFormat="1" applyFont="1" applyFill="1"/>
    <xf numFmtId="10" fontId="12" fillId="12" borderId="0" xfId="1" applyNumberFormat="1" applyFont="1" applyFill="1"/>
    <xf numFmtId="4" fontId="0" fillId="0" borderId="0" xfId="1" applyNumberFormat="1" applyFont="1"/>
    <xf numFmtId="0" fontId="2" fillId="15" borderId="0" xfId="1" applyFont="1" applyFill="1" applyAlignment="1">
      <alignment vertical="center" wrapText="1"/>
    </xf>
    <xf numFmtId="0" fontId="0" fillId="16" borderId="0" xfId="1" applyFont="1" applyFill="1"/>
    <xf numFmtId="179" fontId="0" fillId="17" borderId="0" xfId="1" applyNumberFormat="1" applyFont="1" applyFill="1"/>
    <xf numFmtId="0" fontId="8" fillId="22" borderId="0" xfId="1" applyFont="1" applyFill="1"/>
    <xf numFmtId="0" fontId="0" fillId="22" borderId="0" xfId="1" applyFont="1" applyFill="1"/>
    <xf numFmtId="0" fontId="17" fillId="22" borderId="0" xfId="1" applyFont="1" applyFill="1"/>
    <xf numFmtId="2" fontId="16" fillId="22" borderId="0" xfId="1" applyNumberFormat="1" applyFont="1" applyFill="1"/>
    <xf numFmtId="0" fontId="18" fillId="23" borderId="0" xfId="1" applyFont="1" applyFill="1"/>
    <xf numFmtId="0" fontId="0" fillId="16" borderId="1" xfId="1" applyFont="1" applyFill="1" applyBorder="1"/>
    <xf numFmtId="2" fontId="0" fillId="17" borderId="1" xfId="1" applyNumberFormat="1" applyFont="1" applyFill="1" applyBorder="1"/>
    <xf numFmtId="176" fontId="0" fillId="17" borderId="1" xfId="1" applyNumberFormat="1" applyFont="1" applyFill="1" applyBorder="1"/>
    <xf numFmtId="179" fontId="0" fillId="17" borderId="1" xfId="1" applyNumberFormat="1" applyFont="1" applyFill="1" applyBorder="1"/>
    <xf numFmtId="0" fontId="0" fillId="24" borderId="1" xfId="1" applyFont="1" applyFill="1" applyBorder="1"/>
    <xf numFmtId="2" fontId="0" fillId="24" borderId="1" xfId="1" applyNumberFormat="1" applyFont="1" applyFill="1" applyBorder="1"/>
    <xf numFmtId="176" fontId="0" fillId="24" borderId="1" xfId="1" applyNumberFormat="1" applyFont="1" applyFill="1" applyBorder="1"/>
    <xf numFmtId="179" fontId="0" fillId="24" borderId="1" xfId="1" applyNumberFormat="1" applyFont="1" applyFill="1" applyBorder="1"/>
    <xf numFmtId="0" fontId="0" fillId="16" borderId="2" xfId="1" applyFont="1" applyFill="1" applyBorder="1"/>
    <xf numFmtId="0" fontId="0" fillId="18" borderId="3" xfId="1" applyFont="1" applyFill="1" applyBorder="1"/>
    <xf numFmtId="0" fontId="0" fillId="24" borderId="2" xfId="1" applyFont="1" applyFill="1" applyBorder="1"/>
    <xf numFmtId="0" fontId="0" fillId="24" borderId="3" xfId="1" applyFont="1" applyFill="1" applyBorder="1"/>
    <xf numFmtId="0" fontId="0" fillId="24" borderId="4" xfId="1" applyFont="1" applyFill="1" applyBorder="1"/>
    <xf numFmtId="0" fontId="0" fillId="24" borderId="5" xfId="1" applyFont="1" applyFill="1" applyBorder="1"/>
    <xf numFmtId="2" fontId="0" fillId="24" borderId="5" xfId="1" applyNumberFormat="1" applyFont="1" applyFill="1" applyBorder="1"/>
    <xf numFmtId="176" fontId="0" fillId="24" borderId="5" xfId="1" applyNumberFormat="1" applyFont="1" applyFill="1" applyBorder="1"/>
    <xf numFmtId="179" fontId="0" fillId="24" borderId="5" xfId="1" applyNumberFormat="1" applyFont="1" applyFill="1" applyBorder="1"/>
    <xf numFmtId="0" fontId="0" fillId="24" borderId="6" xfId="1" applyFont="1" applyFill="1" applyBorder="1"/>
    <xf numFmtId="0" fontId="0" fillId="16" borderId="7" xfId="1" applyFont="1" applyFill="1" applyBorder="1"/>
    <xf numFmtId="0" fontId="0" fillId="16" borderId="8" xfId="1" applyFont="1" applyFill="1" applyBorder="1"/>
    <xf numFmtId="2" fontId="0" fillId="17" borderId="8" xfId="1" applyNumberFormat="1" applyFont="1" applyFill="1" applyBorder="1"/>
    <xf numFmtId="176" fontId="0" fillId="17" borderId="8" xfId="1" applyNumberFormat="1" applyFont="1" applyFill="1" applyBorder="1"/>
    <xf numFmtId="179" fontId="0" fillId="17" borderId="8" xfId="1" applyNumberFormat="1" applyFont="1" applyFill="1" applyBorder="1"/>
    <xf numFmtId="0" fontId="0" fillId="18" borderId="9" xfId="1" applyFont="1" applyFill="1" applyBorder="1"/>
    <xf numFmtId="0" fontId="2" fillId="15" borderId="10" xfId="1" applyFont="1" applyFill="1" applyBorder="1" applyAlignment="1">
      <alignment vertical="center" wrapText="1"/>
    </xf>
    <xf numFmtId="0" fontId="2" fillId="15" borderId="11" xfId="1" applyFont="1" applyFill="1" applyBorder="1" applyAlignment="1">
      <alignment vertical="center" wrapText="1"/>
    </xf>
    <xf numFmtId="0" fontId="2" fillId="15" borderId="12" xfId="1" applyFont="1" applyFill="1" applyBorder="1" applyAlignment="1">
      <alignment vertical="center" wrapText="1"/>
    </xf>
    <xf numFmtId="0" fontId="0" fillId="0" borderId="1" xfId="0" applyBorder="1"/>
    <xf numFmtId="0" fontId="0" fillId="19" borderId="1" xfId="1" applyFont="1" applyFill="1" applyBorder="1"/>
    <xf numFmtId="4" fontId="11" fillId="9" borderId="1" xfId="1" applyNumberFormat="1" applyFont="1" applyFill="1" applyBorder="1"/>
    <xf numFmtId="3" fontId="11" fillId="9" borderId="1" xfId="1" applyNumberFormat="1" applyFont="1" applyFill="1" applyBorder="1"/>
    <xf numFmtId="176" fontId="10" fillId="8" borderId="1" xfId="1" applyNumberFormat="1" applyFont="1" applyFill="1" applyBorder="1"/>
    <xf numFmtId="2" fontId="10" fillId="8" borderId="1" xfId="1" applyNumberFormat="1" applyFont="1" applyFill="1" applyBorder="1"/>
    <xf numFmtId="2" fontId="11" fillId="9" borderId="1" xfId="1" applyNumberFormat="1" applyFont="1" applyFill="1" applyBorder="1"/>
    <xf numFmtId="179" fontId="10" fillId="20" borderId="1" xfId="1" applyNumberFormat="1" applyFont="1" applyFill="1" applyBorder="1"/>
    <xf numFmtId="0" fontId="10" fillId="8" borderId="1" xfId="1" applyFont="1" applyFill="1" applyBorder="1"/>
    <xf numFmtId="177" fontId="11" fillId="9" borderId="1" xfId="1" applyNumberFormat="1" applyFont="1" applyFill="1" applyBorder="1"/>
    <xf numFmtId="4" fontId="12" fillId="12" borderId="1" xfId="1" applyNumberFormat="1" applyFont="1" applyFill="1" applyBorder="1"/>
    <xf numFmtId="10" fontId="12" fillId="12" borderId="1" xfId="1" applyNumberFormat="1" applyFont="1" applyFill="1" applyBorder="1"/>
    <xf numFmtId="178" fontId="12" fillId="12" borderId="1" xfId="1" applyNumberFormat="1" applyFont="1" applyFill="1" applyBorder="1"/>
    <xf numFmtId="0" fontId="10" fillId="19" borderId="1" xfId="1" applyFont="1" applyFill="1" applyBorder="1"/>
    <xf numFmtId="0" fontId="0" fillId="21" borderId="1" xfId="1" applyFont="1" applyFill="1" applyBorder="1"/>
    <xf numFmtId="0" fontId="0" fillId="0" borderId="2" xfId="0" applyBorder="1"/>
    <xf numFmtId="0" fontId="0" fillId="21" borderId="3" xfId="1" applyFont="1" applyFill="1" applyBorder="1"/>
    <xf numFmtId="0" fontId="0" fillId="0" borderId="4" xfId="0" applyBorder="1"/>
    <xf numFmtId="0" fontId="0" fillId="0" borderId="5" xfId="0" applyBorder="1"/>
    <xf numFmtId="0" fontId="0" fillId="19" borderId="5" xfId="1" applyFont="1" applyFill="1" applyBorder="1"/>
    <xf numFmtId="4" fontId="11" fillId="9" borderId="5" xfId="1" applyNumberFormat="1" applyFont="1" applyFill="1" applyBorder="1"/>
    <xf numFmtId="3" fontId="11" fillId="9" borderId="5" xfId="1" applyNumberFormat="1" applyFont="1" applyFill="1" applyBorder="1"/>
    <xf numFmtId="176" fontId="10" fillId="8" borderId="5" xfId="1" applyNumberFormat="1" applyFont="1" applyFill="1" applyBorder="1"/>
    <xf numFmtId="2" fontId="10" fillId="8" borderId="5" xfId="1" applyNumberFormat="1" applyFont="1" applyFill="1" applyBorder="1"/>
    <xf numFmtId="2" fontId="11" fillId="9" borderId="5" xfId="1" applyNumberFormat="1" applyFont="1" applyFill="1" applyBorder="1"/>
    <xf numFmtId="179" fontId="10" fillId="20" borderId="5" xfId="1" applyNumberFormat="1" applyFont="1" applyFill="1" applyBorder="1"/>
    <xf numFmtId="0" fontId="10" fillId="8" borderId="5" xfId="1" applyFont="1" applyFill="1" applyBorder="1"/>
    <xf numFmtId="177" fontId="11" fillId="9" borderId="5" xfId="1" applyNumberFormat="1" applyFont="1" applyFill="1" applyBorder="1"/>
    <xf numFmtId="4" fontId="12" fillId="12" borderId="5" xfId="1" applyNumberFormat="1" applyFont="1" applyFill="1" applyBorder="1"/>
    <xf numFmtId="10" fontId="12" fillId="12" borderId="5" xfId="1" applyNumberFormat="1" applyFont="1" applyFill="1" applyBorder="1"/>
    <xf numFmtId="178" fontId="12" fillId="12" borderId="5" xfId="1" applyNumberFormat="1" applyFont="1" applyFill="1" applyBorder="1"/>
    <xf numFmtId="0" fontId="10" fillId="19" borderId="5" xfId="1" applyFont="1" applyFill="1" applyBorder="1"/>
    <xf numFmtId="0" fontId="0" fillId="21" borderId="5" xfId="1" applyFont="1" applyFill="1" applyBorder="1"/>
    <xf numFmtId="0" fontId="0" fillId="21" borderId="6" xfId="1" applyFont="1" applyFill="1" applyBorder="1"/>
    <xf numFmtId="0" fontId="0" fillId="0" borderId="7" xfId="0" applyBorder="1"/>
    <xf numFmtId="0" fontId="0" fillId="0" borderId="8" xfId="0" applyBorder="1"/>
    <xf numFmtId="4" fontId="11" fillId="9" borderId="8" xfId="1" applyNumberFormat="1" applyFont="1" applyFill="1" applyBorder="1"/>
    <xf numFmtId="3" fontId="11" fillId="9" borderId="8" xfId="1" applyNumberFormat="1" applyFont="1" applyFill="1" applyBorder="1"/>
    <xf numFmtId="176" fontId="10" fillId="8" borderId="8" xfId="1" applyNumberFormat="1" applyFont="1" applyFill="1" applyBorder="1"/>
    <xf numFmtId="2" fontId="10" fillId="8" borderId="8" xfId="1" applyNumberFormat="1" applyFont="1" applyFill="1" applyBorder="1"/>
    <xf numFmtId="2" fontId="11" fillId="9" borderId="8" xfId="1" applyNumberFormat="1" applyFont="1" applyFill="1" applyBorder="1"/>
    <xf numFmtId="179" fontId="10" fillId="20" borderId="8" xfId="1" applyNumberFormat="1" applyFont="1" applyFill="1" applyBorder="1"/>
    <xf numFmtId="0" fontId="10" fillId="8" borderId="8" xfId="1" applyFont="1" applyFill="1" applyBorder="1"/>
    <xf numFmtId="177" fontId="11" fillId="9" borderId="8" xfId="1" applyNumberFormat="1" applyFont="1" applyFill="1" applyBorder="1"/>
    <xf numFmtId="4" fontId="12" fillId="12" borderId="8" xfId="1" applyNumberFormat="1" applyFont="1" applyFill="1" applyBorder="1"/>
    <xf numFmtId="10" fontId="12" fillId="12" borderId="8" xfId="1" applyNumberFormat="1" applyFont="1" applyFill="1" applyBorder="1"/>
    <xf numFmtId="178" fontId="12" fillId="12" borderId="8" xfId="1" applyNumberFormat="1" applyFont="1" applyFill="1" applyBorder="1"/>
    <xf numFmtId="0" fontId="10" fillId="19" borderId="8" xfId="1" applyFont="1" applyFill="1" applyBorder="1"/>
    <xf numFmtId="0" fontId="0" fillId="21" borderId="8" xfId="1" applyFont="1" applyFill="1" applyBorder="1"/>
    <xf numFmtId="0" fontId="0" fillId="21" borderId="9" xfId="1" applyFont="1" applyFill="1" applyBorder="1"/>
    <xf numFmtId="0" fontId="2" fillId="3" borderId="10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4" borderId="11" xfId="1" applyFont="1" applyFill="1" applyBorder="1" applyAlignment="1">
      <alignment horizontal="center" vertical="center" wrapText="1"/>
    </xf>
    <xf numFmtId="0" fontId="2" fillId="5" borderId="11" xfId="1" applyFont="1" applyFill="1" applyBorder="1" applyAlignment="1">
      <alignment horizontal="center" vertical="center" wrapText="1"/>
    </xf>
    <xf numFmtId="0" fontId="2" fillId="15" borderId="11" xfId="1" applyFont="1" applyFill="1" applyBorder="1" applyAlignment="1">
      <alignment horizontal="center" vertical="center" wrapText="1"/>
    </xf>
    <xf numFmtId="0" fontId="15" fillId="15" borderId="11" xfId="1" applyFont="1" applyFill="1" applyBorder="1" applyAlignment="1">
      <alignment vertical="center"/>
    </xf>
    <xf numFmtId="0" fontId="15" fillId="15" borderId="12" xfId="1" applyFont="1" applyFill="1" applyBorder="1" applyAlignment="1">
      <alignment vertical="center"/>
    </xf>
    <xf numFmtId="0" fontId="21" fillId="19" borderId="8" xfId="1" applyFont="1" applyFill="1" applyBorder="1"/>
    <xf numFmtId="0" fontId="21" fillId="19" borderId="1" xfId="1" applyFont="1" applyFill="1" applyBorder="1"/>
    <xf numFmtId="0" fontId="1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13" fillId="13" borderId="0" xfId="1" applyFont="1" applyFill="1" applyAlignment="1">
      <alignment vertical="center"/>
    </xf>
    <xf numFmtId="0" fontId="14" fillId="14" borderId="0" xfId="1" applyFont="1" applyFill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3">
    <dxf>
      <font>
        <color rgb="FFB91C1C"/>
      </font>
      <fill>
        <patternFill>
          <bgColor rgb="FFFCE4E4"/>
        </patternFill>
      </fill>
    </dxf>
    <dxf>
      <font>
        <color rgb="FFB91C1C"/>
      </font>
      <fill>
        <patternFill>
          <bgColor rgb="FFFCE4E4"/>
        </patternFill>
      </fill>
    </dxf>
    <dxf>
      <font>
        <color rgb="FFB91C1C"/>
      </font>
      <fill>
        <patternFill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目標 </a:t>
            </a:r>
            <a:r>
              <a:rPr lang="en-US"/>
              <a:t>vs </a:t>
            </a:r>
            <a:r>
              <a:rPr lang="ja-JP" altLang="en-US"/>
              <a:t>自動配分後の総合戦闘力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目標戦闘力</c:v>
          </c:tx>
          <c:marker>
            <c:symbol val="none"/>
          </c:marker>
          <c:cat>
            <c:numRef>
              <c:f>Stage比較!$A$5:$A$65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</c:numCache>
            </c:numRef>
          </c:cat>
          <c:val>
            <c:numRef>
              <c:f>Stage比較!$B$5:$B$65</c:f>
              <c:numCache>
                <c:formatCode>#,##0.00</c:formatCode>
                <c:ptCount val="61"/>
                <c:pt idx="0">
                  <c:v>100</c:v>
                </c:pt>
                <c:pt idx="1">
                  <c:v>110</c:v>
                </c:pt>
                <c:pt idx="2">
                  <c:v>121</c:v>
                </c:pt>
                <c:pt idx="3">
                  <c:v>133.1</c:v>
                </c:pt>
                <c:pt idx="4">
                  <c:v>146.41</c:v>
                </c:pt>
                <c:pt idx="5">
                  <c:v>161.05000000000001</c:v>
                </c:pt>
                <c:pt idx="6">
                  <c:v>177.16</c:v>
                </c:pt>
                <c:pt idx="7">
                  <c:v>194.87</c:v>
                </c:pt>
                <c:pt idx="8">
                  <c:v>214.36</c:v>
                </c:pt>
                <c:pt idx="9">
                  <c:v>235.79</c:v>
                </c:pt>
                <c:pt idx="10">
                  <c:v>259.37</c:v>
                </c:pt>
                <c:pt idx="11">
                  <c:v>285.31</c:v>
                </c:pt>
                <c:pt idx="12">
                  <c:v>313.83999999999997</c:v>
                </c:pt>
                <c:pt idx="13">
                  <c:v>345.23</c:v>
                </c:pt>
                <c:pt idx="14">
                  <c:v>379.75</c:v>
                </c:pt>
                <c:pt idx="15">
                  <c:v>417.72</c:v>
                </c:pt>
                <c:pt idx="16">
                  <c:v>459.5</c:v>
                </c:pt>
                <c:pt idx="17">
                  <c:v>505.45</c:v>
                </c:pt>
                <c:pt idx="18">
                  <c:v>555.99</c:v>
                </c:pt>
                <c:pt idx="19">
                  <c:v>611.59</c:v>
                </c:pt>
                <c:pt idx="20">
                  <c:v>672.75</c:v>
                </c:pt>
                <c:pt idx="21">
                  <c:v>740.02</c:v>
                </c:pt>
                <c:pt idx="22">
                  <c:v>814.03</c:v>
                </c:pt>
                <c:pt idx="23">
                  <c:v>895.43</c:v>
                </c:pt>
                <c:pt idx="24">
                  <c:v>984.97</c:v>
                </c:pt>
                <c:pt idx="25">
                  <c:v>1083.47</c:v>
                </c:pt>
                <c:pt idx="26">
                  <c:v>1191.82</c:v>
                </c:pt>
                <c:pt idx="27">
                  <c:v>1311</c:v>
                </c:pt>
                <c:pt idx="28">
                  <c:v>1442.1</c:v>
                </c:pt>
                <c:pt idx="29">
                  <c:v>1586.31</c:v>
                </c:pt>
                <c:pt idx="30">
                  <c:v>1744.94</c:v>
                </c:pt>
                <c:pt idx="31">
                  <c:v>1919.43</c:v>
                </c:pt>
                <c:pt idx="32">
                  <c:v>2111.38</c:v>
                </c:pt>
                <c:pt idx="33">
                  <c:v>2322.52</c:v>
                </c:pt>
                <c:pt idx="34">
                  <c:v>2554.77</c:v>
                </c:pt>
                <c:pt idx="35">
                  <c:v>2810.24</c:v>
                </c:pt>
                <c:pt idx="36">
                  <c:v>3091.27</c:v>
                </c:pt>
                <c:pt idx="37">
                  <c:v>3400.39</c:v>
                </c:pt>
                <c:pt idx="38">
                  <c:v>3740.43</c:v>
                </c:pt>
                <c:pt idx="39">
                  <c:v>4114.4799999999996</c:v>
                </c:pt>
                <c:pt idx="40">
                  <c:v>4525.93</c:v>
                </c:pt>
                <c:pt idx="41">
                  <c:v>4978.5200000000004</c:v>
                </c:pt>
                <c:pt idx="42">
                  <c:v>5476.37</c:v>
                </c:pt>
                <c:pt idx="43">
                  <c:v>6024.01</c:v>
                </c:pt>
                <c:pt idx="44">
                  <c:v>6626.41</c:v>
                </c:pt>
                <c:pt idx="45">
                  <c:v>7289.05</c:v>
                </c:pt>
                <c:pt idx="46">
                  <c:v>8017.95</c:v>
                </c:pt>
                <c:pt idx="47">
                  <c:v>8819.75</c:v>
                </c:pt>
                <c:pt idx="48">
                  <c:v>9701.7199999999993</c:v>
                </c:pt>
                <c:pt idx="49">
                  <c:v>10671.9</c:v>
                </c:pt>
                <c:pt idx="50">
                  <c:v>11739.09</c:v>
                </c:pt>
                <c:pt idx="51">
                  <c:v>12912.99</c:v>
                </c:pt>
                <c:pt idx="52">
                  <c:v>14204.29</c:v>
                </c:pt>
                <c:pt idx="53">
                  <c:v>15624.72</c:v>
                </c:pt>
                <c:pt idx="54">
                  <c:v>17187.189999999999</c:v>
                </c:pt>
                <c:pt idx="55">
                  <c:v>18905.91</c:v>
                </c:pt>
                <c:pt idx="56">
                  <c:v>20796.509999999998</c:v>
                </c:pt>
                <c:pt idx="57">
                  <c:v>22876.16</c:v>
                </c:pt>
                <c:pt idx="58">
                  <c:v>25163.77</c:v>
                </c:pt>
                <c:pt idx="59">
                  <c:v>27680.15</c:v>
                </c:pt>
                <c:pt idx="60">
                  <c:v>30448.16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6-4280-95C0-2C443EB64083}"/>
            </c:ext>
          </c:extLst>
        </c:ser>
        <c:ser>
          <c:idx val="1"/>
          <c:order val="1"/>
          <c:tx>
            <c:v>平均実測戦闘力</c:v>
          </c:tx>
          <c:marker>
            <c:symbol val="none"/>
          </c:marker>
          <c:cat>
            <c:numRef>
              <c:f>Stage比較!$A$5:$A$65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</c:numCache>
            </c:numRef>
          </c:cat>
          <c:val>
            <c:numRef>
              <c:f>Stage比較!$C$5:$C$65</c:f>
              <c:numCache>
                <c:formatCode>#,##0.00</c:formatCode>
                <c:ptCount val="61"/>
                <c:pt idx="0">
                  <c:v>98.968371363078901</c:v>
                </c:pt>
                <c:pt idx="1">
                  <c:v>109.5949224344223</c:v>
                </c:pt>
                <c:pt idx="2">
                  <c:v>120.93502719613498</c:v>
                </c:pt>
                <c:pt idx="3">
                  <c:v>133.42639272276691</c:v>
                </c:pt>
                <c:pt idx="4">
                  <c:v>146.45583804757527</c:v>
                </c:pt>
                <c:pt idx="5">
                  <c:v>161.13475323577839</c:v>
                </c:pt>
                <c:pt idx="6">
                  <c:v>177.48186042439644</c:v>
                </c:pt>
                <c:pt idx="7">
                  <c:v>195.16035056561032</c:v>
                </c:pt>
                <c:pt idx="8">
                  <c:v>214.46186676393924</c:v>
                </c:pt>
                <c:pt idx="9">
                  <c:v>235.39628467963101</c:v>
                </c:pt>
                <c:pt idx="10">
                  <c:v>259.74542870696985</c:v>
                </c:pt>
                <c:pt idx="11">
                  <c:v>285.78663937851627</c:v>
                </c:pt>
                <c:pt idx="12">
                  <c:v>314.0502880095305</c:v>
                </c:pt>
                <c:pt idx="13">
                  <c:v>345.96815770596078</c:v>
                </c:pt>
                <c:pt idx="14">
                  <c:v>379.67802196676433</c:v>
                </c:pt>
                <c:pt idx="15">
                  <c:v>417.22389035636746</c:v>
                </c:pt>
                <c:pt idx="16">
                  <c:v>459.9536996185065</c:v>
                </c:pt>
                <c:pt idx="17">
                  <c:v>505.3889233408172</c:v>
                </c:pt>
                <c:pt idx="18">
                  <c:v>556.34894385748669</c:v>
                </c:pt>
                <c:pt idx="19">
                  <c:v>611.51037038309642</c:v>
                </c:pt>
                <c:pt idx="20">
                  <c:v>672.70483291722178</c:v>
                </c:pt>
                <c:pt idx="21">
                  <c:v>739.86380415821429</c:v>
                </c:pt>
                <c:pt idx="22">
                  <c:v>813.66944969980239</c:v>
                </c:pt>
                <c:pt idx="23">
                  <c:v>895.66371177738029</c:v>
                </c:pt>
                <c:pt idx="24">
                  <c:v>984.86660335074828</c:v>
                </c:pt>
                <c:pt idx="25">
                  <c:v>1083.1382979568741</c:v>
                </c:pt>
                <c:pt idx="26">
                  <c:v>1192.4548462419957</c:v>
                </c:pt>
                <c:pt idx="27">
                  <c:v>1311.0019415113902</c:v>
                </c:pt>
                <c:pt idx="28">
                  <c:v>1442.626133774065</c:v>
                </c:pt>
                <c:pt idx="29">
                  <c:v>1586.5913348180923</c:v>
                </c:pt>
                <c:pt idx="30">
                  <c:v>1745.1473148572484</c:v>
                </c:pt>
                <c:pt idx="31">
                  <c:v>1919.2487921595387</c:v>
                </c:pt>
                <c:pt idx="32">
                  <c:v>2111.3436957192544</c:v>
                </c:pt>
                <c:pt idx="33">
                  <c:v>2322.4564073237557</c:v>
                </c:pt>
                <c:pt idx="34">
                  <c:v>2554.9067575031299</c:v>
                </c:pt>
                <c:pt idx="35">
                  <c:v>2809.9372436934718</c:v>
                </c:pt>
                <c:pt idx="36">
                  <c:v>3091.0606960309974</c:v>
                </c:pt>
                <c:pt idx="37">
                  <c:v>3400.4488777578104</c:v>
                </c:pt>
                <c:pt idx="38">
                  <c:v>3739.2516747792538</c:v>
                </c:pt>
                <c:pt idx="39">
                  <c:v>4114.0568491254753</c:v>
                </c:pt>
                <c:pt idx="40">
                  <c:v>4525.9554614355338</c:v>
                </c:pt>
                <c:pt idx="41">
                  <c:v>4978.6455803594772</c:v>
                </c:pt>
                <c:pt idx="42">
                  <c:v>5476.2652013927936</c:v>
                </c:pt>
                <c:pt idx="43">
                  <c:v>6023.9963614085309</c:v>
                </c:pt>
                <c:pt idx="44">
                  <c:v>6626.2835651875348</c:v>
                </c:pt>
                <c:pt idx="45">
                  <c:v>7288.9297122786593</c:v>
                </c:pt>
                <c:pt idx="46">
                  <c:v>8017.0844997146369</c:v>
                </c:pt>
                <c:pt idx="47">
                  <c:v>8819.8736753178218</c:v>
                </c:pt>
                <c:pt idx="48">
                  <c:v>9701.3309482571331</c:v>
                </c:pt>
                <c:pt idx="49">
                  <c:v>10671.660936725748</c:v>
                </c:pt>
                <c:pt idx="50">
                  <c:v>11738.92491016345</c:v>
                </c:pt>
                <c:pt idx="51">
                  <c:v>12912.950543499255</c:v>
                </c:pt>
                <c:pt idx="52">
                  <c:v>14204.052536959032</c:v>
                </c:pt>
                <c:pt idx="53">
                  <c:v>15624.524976291859</c:v>
                </c:pt>
                <c:pt idx="54">
                  <c:v>17187.435374882622</c:v>
                </c:pt>
                <c:pt idx="55">
                  <c:v>18905.887276917314</c:v>
                </c:pt>
                <c:pt idx="56">
                  <c:v>20797.159930837333</c:v>
                </c:pt>
                <c:pt idx="57">
                  <c:v>22876.122611242728</c:v>
                </c:pt>
                <c:pt idx="58">
                  <c:v>25163.536499677666</c:v>
                </c:pt>
                <c:pt idx="59">
                  <c:v>27680.383906191451</c:v>
                </c:pt>
                <c:pt idx="60">
                  <c:v>30448.439252285072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6-4280-95C0-2C443EB6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A5" workbookViewId="0">
      <selection activeCell="B15" sqref="B15"/>
    </sheetView>
  </sheetViews>
  <sheetFormatPr defaultRowHeight="14.25"/>
  <cols>
    <col min="1" max="1" width="24" customWidth="1"/>
    <col min="2" max="2" width="105" customWidth="1"/>
    <col min="3" max="8" width="12" customWidth="1"/>
  </cols>
  <sheetData>
    <row r="1" spans="1:8" ht="33.950000000000003" customHeight="1">
      <c r="A1" s="110" t="s">
        <v>0</v>
      </c>
      <c r="B1" s="110"/>
      <c r="C1" s="110"/>
      <c r="D1" s="110"/>
      <c r="E1" s="110"/>
      <c r="F1" s="110"/>
      <c r="G1" s="110"/>
      <c r="H1" s="110"/>
    </row>
    <row r="3" spans="1:8" ht="38.1" customHeight="1">
      <c r="A3" s="3" t="s">
        <v>1</v>
      </c>
      <c r="B3" s="4" t="s">
        <v>2</v>
      </c>
    </row>
    <row r="4" spans="1:8" ht="38.1" customHeight="1">
      <c r="A4" s="3" t="s">
        <v>3</v>
      </c>
      <c r="B4" s="4" t="s">
        <v>4</v>
      </c>
    </row>
    <row r="5" spans="1:8" ht="38.1" customHeight="1">
      <c r="A5" s="3" t="s">
        <v>5</v>
      </c>
      <c r="B5" s="4" t="s">
        <v>6</v>
      </c>
    </row>
    <row r="6" spans="1:8" ht="38.1" customHeight="1">
      <c r="A6" s="3" t="s">
        <v>7</v>
      </c>
      <c r="B6" s="4" t="s">
        <v>980</v>
      </c>
    </row>
    <row r="7" spans="1:8" ht="38.1" customHeight="1">
      <c r="A7" s="3" t="s">
        <v>8</v>
      </c>
      <c r="B7" s="4" t="s">
        <v>981</v>
      </c>
    </row>
    <row r="8" spans="1:8" ht="38.1" customHeight="1">
      <c r="A8" s="3" t="s">
        <v>9</v>
      </c>
      <c r="B8" s="4" t="s">
        <v>10</v>
      </c>
    </row>
    <row r="9" spans="1:8" ht="38.1" customHeight="1">
      <c r="A9" s="3" t="s">
        <v>11</v>
      </c>
      <c r="B9" s="4" t="s">
        <v>12</v>
      </c>
    </row>
    <row r="10" spans="1:8" ht="38.1" customHeight="1">
      <c r="A10" s="3" t="s">
        <v>13</v>
      </c>
      <c r="B10" s="4" t="s">
        <v>14</v>
      </c>
    </row>
    <row r="11" spans="1:8" ht="38.1" customHeight="1">
      <c r="A11" s="3" t="s">
        <v>15</v>
      </c>
      <c r="B11" s="4" t="s">
        <v>16</v>
      </c>
    </row>
    <row r="12" spans="1:8" ht="38.1" customHeight="1">
      <c r="A12" s="3" t="s">
        <v>17</v>
      </c>
      <c r="B12" s="4" t="s">
        <v>18</v>
      </c>
    </row>
    <row r="13" spans="1:8">
      <c r="A13" t="s">
        <v>19</v>
      </c>
      <c r="B13" t="s">
        <v>20</v>
      </c>
    </row>
    <row r="14" spans="1:8" ht="32.1" customHeight="1">
      <c r="A14" s="5" t="s">
        <v>21</v>
      </c>
      <c r="B14" s="5" t="s">
        <v>22</v>
      </c>
    </row>
    <row r="15" spans="1:8" ht="24.95" customHeight="1">
      <c r="A15" s="23" t="s">
        <v>23</v>
      </c>
      <c r="B15" t="s">
        <v>24</v>
      </c>
    </row>
    <row r="16" spans="1:8" ht="24.95" customHeight="1">
      <c r="A16" s="23" t="s">
        <v>25</v>
      </c>
      <c r="B16" t="s">
        <v>26</v>
      </c>
    </row>
    <row r="17" spans="1:2" ht="24.95" customHeight="1">
      <c r="A17" s="23" t="s">
        <v>27</v>
      </c>
      <c r="B17" t="s">
        <v>28</v>
      </c>
    </row>
    <row r="18" spans="1:2" ht="24.95" customHeight="1">
      <c r="A18" s="23" t="s">
        <v>29</v>
      </c>
      <c r="B18" t="s">
        <v>30</v>
      </c>
    </row>
  </sheetData>
  <mergeCells count="1">
    <mergeCell ref="A1:H1"/>
  </mergeCells>
  <phoneticPr fontId="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B14" sqref="B14"/>
    </sheetView>
  </sheetViews>
  <sheetFormatPr defaultRowHeight="14.25"/>
  <cols>
    <col min="1" max="1" width="27" customWidth="1"/>
    <col min="2" max="2" width="19" customWidth="1"/>
    <col min="3" max="3" width="56" customWidth="1"/>
  </cols>
  <sheetData>
    <row r="1" spans="1:6" ht="33.950000000000003" customHeight="1">
      <c r="A1" s="110" t="s">
        <v>31</v>
      </c>
      <c r="B1" s="110"/>
      <c r="C1" s="110"/>
      <c r="D1" s="110"/>
      <c r="E1" s="110"/>
      <c r="F1" s="110"/>
    </row>
    <row r="4" spans="1:6" ht="26.1" customHeight="1">
      <c r="A4" s="2" t="s">
        <v>32</v>
      </c>
      <c r="B4" s="7">
        <f>モンスター計算!$D$2</f>
        <v>1.1000000000000001</v>
      </c>
      <c r="C4" s="8" t="s">
        <v>33</v>
      </c>
    </row>
    <row r="5" spans="1:6" ht="26.1" customHeight="1">
      <c r="A5" s="2" t="s">
        <v>34</v>
      </c>
      <c r="B5" s="6">
        <v>100</v>
      </c>
      <c r="C5" s="8" t="s">
        <v>35</v>
      </c>
    </row>
    <row r="6" spans="1:6" ht="26.1" customHeight="1">
      <c r="A6" s="2" t="s">
        <v>36</v>
      </c>
      <c r="B6" s="6">
        <v>100</v>
      </c>
      <c r="C6" s="8" t="s">
        <v>37</v>
      </c>
    </row>
    <row r="7" spans="1:6" ht="26.1" customHeight="1">
      <c r="A7" s="2" t="s">
        <v>38</v>
      </c>
      <c r="B7" s="6">
        <v>18</v>
      </c>
      <c r="C7" s="8" t="s">
        <v>39</v>
      </c>
    </row>
    <row r="8" spans="1:6" ht="26.1" customHeight="1">
      <c r="A8" s="2" t="s">
        <v>40</v>
      </c>
      <c r="B8" s="6">
        <v>8</v>
      </c>
      <c r="C8" s="8" t="s">
        <v>41</v>
      </c>
    </row>
    <row r="9" spans="1:6" ht="26.1" customHeight="1">
      <c r="A9" s="2" t="s">
        <v>42</v>
      </c>
      <c r="B9" s="6">
        <v>8</v>
      </c>
      <c r="C9" s="8" t="s">
        <v>41</v>
      </c>
    </row>
    <row r="10" spans="1:6" ht="26.1" customHeight="1">
      <c r="A10" s="2" t="s">
        <v>43</v>
      </c>
      <c r="B10" s="6">
        <v>1</v>
      </c>
      <c r="C10" s="8" t="s">
        <v>44</v>
      </c>
    </row>
    <row r="11" spans="1:6" ht="26.1" customHeight="1">
      <c r="A11" s="2" t="s">
        <v>45</v>
      </c>
      <c r="B11" s="9">
        <v>0.05</v>
      </c>
      <c r="C11" s="8" t="s">
        <v>46</v>
      </c>
    </row>
    <row r="12" spans="1:6" ht="26.1" customHeight="1">
      <c r="A12" s="2" t="s">
        <v>47</v>
      </c>
      <c r="B12" s="6">
        <v>1.5</v>
      </c>
      <c r="C12" s="8" t="s">
        <v>48</v>
      </c>
    </row>
    <row r="13" spans="1:6" ht="26.1" customHeight="1">
      <c r="A13" s="2" t="s">
        <v>49</v>
      </c>
      <c r="B13" s="10">
        <v>0.3</v>
      </c>
      <c r="C13" s="8" t="s">
        <v>50</v>
      </c>
    </row>
    <row r="14" spans="1:6" ht="26.1" customHeight="1">
      <c r="A14" s="2" t="s">
        <v>51</v>
      </c>
      <c r="B14" s="10">
        <v>0.12</v>
      </c>
      <c r="C14" s="8" t="s">
        <v>52</v>
      </c>
    </row>
    <row r="15" spans="1:6" ht="26.1" customHeight="1">
      <c r="A15" s="2" t="s">
        <v>53</v>
      </c>
      <c r="B15" s="10">
        <v>0.6</v>
      </c>
      <c r="C15" s="8" t="s">
        <v>54</v>
      </c>
    </row>
    <row r="16" spans="1:6" ht="26.1" customHeight="1">
      <c r="A16" s="2" t="s">
        <v>55</v>
      </c>
      <c r="B16" s="10">
        <v>0.45</v>
      </c>
      <c r="C16" s="8" t="s">
        <v>56</v>
      </c>
    </row>
    <row r="18" spans="1:3" ht="27.95" customHeight="1">
      <c r="A18" s="19" t="s">
        <v>57</v>
      </c>
      <c r="B18" s="22">
        <v>0.45</v>
      </c>
      <c r="C18" s="20" t="s">
        <v>58</v>
      </c>
    </row>
    <row r="19" spans="1:3">
      <c r="A19" s="20" t="s">
        <v>59</v>
      </c>
      <c r="B19" s="21">
        <v>4</v>
      </c>
      <c r="C19" s="20" t="s">
        <v>60</v>
      </c>
    </row>
  </sheetData>
  <mergeCells count="1">
    <mergeCell ref="A1:F1"/>
  </mergeCells>
  <phoneticPr fontId="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70"/>
  <sheetViews>
    <sheetView tabSelected="1" workbookViewId="0">
      <pane ySplit="4" topLeftCell="A5" activePane="bottomLeft" state="frozen"/>
      <selection pane="bottomLeft" activeCell="B5" sqref="B5"/>
    </sheetView>
  </sheetViews>
  <sheetFormatPr defaultRowHeight="14.25"/>
  <cols>
    <col min="1" max="1" width="15" customWidth="1"/>
    <col min="2" max="2" width="26" customWidth="1"/>
    <col min="3" max="3" width="10" customWidth="1"/>
    <col min="4" max="4" width="15" customWidth="1"/>
    <col min="5" max="10" width="14" customWidth="1"/>
    <col min="11" max="22" width="12" customWidth="1"/>
    <col min="23" max="24" width="14" customWidth="1"/>
    <col min="25" max="30" width="15" customWidth="1"/>
    <col min="31" max="38" width="17" customWidth="1"/>
    <col min="39" max="39" width="18" customWidth="1"/>
    <col min="40" max="40" width="16" customWidth="1"/>
    <col min="41" max="42" width="14" customWidth="1"/>
  </cols>
  <sheetData>
    <row r="1" spans="1:42" ht="33.950000000000003" customHeight="1">
      <c r="A1" s="110" t="s">
        <v>61</v>
      </c>
      <c r="B1" s="110"/>
      <c r="C1" s="110"/>
      <c r="D1" s="111" t="s">
        <v>62</v>
      </c>
      <c r="E1" s="110"/>
      <c r="F1" s="110"/>
      <c r="G1" s="110"/>
      <c r="H1" s="110"/>
    </row>
    <row r="2" spans="1:42" ht="27.95" customHeight="1">
      <c r="D2" s="12">
        <v>1.1000000000000001</v>
      </c>
    </row>
    <row r="3" spans="1:42" ht="24.95" customHeight="1" thickBot="1">
      <c r="A3" s="11" t="s">
        <v>63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2" ht="30" customHeight="1" thickBot="1">
      <c r="A4" s="101" t="s">
        <v>64</v>
      </c>
      <c r="B4" s="102" t="s">
        <v>65</v>
      </c>
      <c r="C4" s="102" t="s">
        <v>66</v>
      </c>
      <c r="D4" s="102" t="s">
        <v>67</v>
      </c>
      <c r="E4" s="102" t="s">
        <v>68</v>
      </c>
      <c r="F4" s="102" t="s">
        <v>69</v>
      </c>
      <c r="G4" s="102" t="s">
        <v>70</v>
      </c>
      <c r="H4" s="102" t="s">
        <v>71</v>
      </c>
      <c r="I4" s="102" t="s">
        <v>72</v>
      </c>
      <c r="J4" s="102" t="s">
        <v>73</v>
      </c>
      <c r="K4" s="102" t="s">
        <v>74</v>
      </c>
      <c r="L4" s="102" t="s">
        <v>75</v>
      </c>
      <c r="M4" s="102" t="s">
        <v>76</v>
      </c>
      <c r="N4" s="102" t="s">
        <v>77</v>
      </c>
      <c r="O4" s="102" t="s">
        <v>78</v>
      </c>
      <c r="P4" s="102" t="s">
        <v>79</v>
      </c>
      <c r="Q4" s="102" t="s">
        <v>80</v>
      </c>
      <c r="R4" s="102" t="s">
        <v>81</v>
      </c>
      <c r="S4" s="102" t="s">
        <v>82</v>
      </c>
      <c r="T4" s="102" t="s">
        <v>83</v>
      </c>
      <c r="U4" s="102" t="s">
        <v>84</v>
      </c>
      <c r="V4" s="102" t="s">
        <v>85</v>
      </c>
      <c r="W4" s="103" t="s">
        <v>86</v>
      </c>
      <c r="X4" s="103" t="s">
        <v>87</v>
      </c>
      <c r="Y4" s="103" t="s">
        <v>88</v>
      </c>
      <c r="Z4" s="103" t="s">
        <v>89</v>
      </c>
      <c r="AA4" s="103" t="s">
        <v>90</v>
      </c>
      <c r="AB4" s="103" t="s">
        <v>91</v>
      </c>
      <c r="AC4" s="103" t="s">
        <v>92</v>
      </c>
      <c r="AD4" s="103" t="s">
        <v>93</v>
      </c>
      <c r="AE4" s="104" t="s">
        <v>94</v>
      </c>
      <c r="AF4" s="104" t="s">
        <v>95</v>
      </c>
      <c r="AG4" s="104" t="s">
        <v>96</v>
      </c>
      <c r="AH4" s="104" t="s">
        <v>97</v>
      </c>
      <c r="AI4" s="104" t="s">
        <v>98</v>
      </c>
      <c r="AJ4" s="104" t="s">
        <v>99</v>
      </c>
      <c r="AK4" s="104" t="s">
        <v>100</v>
      </c>
      <c r="AL4" s="104" t="s">
        <v>101</v>
      </c>
      <c r="AM4" s="105" t="s">
        <v>102</v>
      </c>
      <c r="AN4" s="105" t="s">
        <v>103</v>
      </c>
      <c r="AO4" s="106" t="s">
        <v>104</v>
      </c>
      <c r="AP4" s="107" t="s">
        <v>105</v>
      </c>
    </row>
    <row r="5" spans="1:42">
      <c r="A5" s="85" t="s">
        <v>106</v>
      </c>
      <c r="B5" s="86" t="s">
        <v>107</v>
      </c>
      <c r="C5" s="108" t="s">
        <v>108</v>
      </c>
      <c r="D5" s="87">
        <f>ROUND(設定!$B$5*POWER($D$2,W5-1),2)</f>
        <v>100</v>
      </c>
      <c r="E5" s="88">
        <f>MAX(1,ROUND(設定!$B$6*AE5*Y5,0))</f>
        <v>82</v>
      </c>
      <c r="F5" s="88">
        <f>MAX(0,ROUND(設定!$B$7*AE5*設定!$B$15*IF(X5="Melee",0.6,1.35)*IFERROR(VLOOKUP($AM5,個性タイプマスタ!$A$5:$P$100,14,FALSE),1),0))</f>
        <v>13</v>
      </c>
      <c r="G5" s="88">
        <f>IF(X5="Melee",AN5,MAX(1,ROUND(AN5*設定!$B$16*IFERROR(VLOOKUP($AM5,個性タイプマスタ!$A$5:$P$100,15,FALSE),1),0)))</f>
        <v>10</v>
      </c>
      <c r="H5" s="88">
        <f>IF(X5="Ranged",AN5,MAX(1,ROUND(AN5*設定!$B$16*IFERROR(VLOOKUP($AM5,個性タイプマスタ!$A$5:$P$100,15,FALSE),1),0)))</f>
        <v>22</v>
      </c>
      <c r="I5" s="88">
        <f>MAX(0,ROUND(設定!$B$8*AE5*Z5,0))</f>
        <v>7</v>
      </c>
      <c r="J5" s="88">
        <f>MAX(0,ROUND(設定!$B$9*AE5*AA5,0))</f>
        <v>8</v>
      </c>
      <c r="K5" s="89">
        <f>IFERROR(VLOOKUP($AM5,個性タイプマスタ!$A$5:$P$100,9,FALSE),0.05)</f>
        <v>0.05</v>
      </c>
      <c r="L5" s="90">
        <f>IFERROR(VLOOKUP($AM5,個性タイプマスタ!$A$5:$P$100,10,FALSE),1.5)</f>
        <v>1.5</v>
      </c>
      <c r="M5" s="90">
        <f>IFERROR(VLOOKUP($AM5,個性タイプマスタ!$A$5:$P$100,11,FALSE),2)</f>
        <v>2</v>
      </c>
      <c r="N5" s="91">
        <f>MAX(0.1,ROUND(設定!$B$10*AB5,3))</f>
        <v>1</v>
      </c>
      <c r="O5" s="91">
        <f t="shared" ref="O5:O68" si="0">MAX(0.1,ROUND(IF(X5="Melee",1.5,2.5)*AC5,3))</f>
        <v>2.5</v>
      </c>
      <c r="P5" s="92">
        <f>MAX(-10,MIN(0.8,IFERROR(INDEX(属性耐性マスタ!$B$5:$G$11,MATCH($C5,属性耐性マスタ!$A$5:$A$11,0),1),0)+IFERROR(VLOOKUP($AM5,個性タイプマスタ!$A$5:$P$100,12,FALSE),0)))</f>
        <v>-0.12000000000000001</v>
      </c>
      <c r="Q5" s="92">
        <f>MAX(-10,MIN(0.8,IFERROR(INDEX(属性耐性マスタ!$B$5:$G$11,MATCH($C5,属性耐性マスタ!$A$5:$A$11,0),2),0)+IFERROR(VLOOKUP($AM5,個性タイプマスタ!$A$5:$P$100,12,FALSE),0)))</f>
        <v>0.18000000000000002</v>
      </c>
      <c r="R5" s="92">
        <f>MAX(-10,MIN(0.8,IFERROR(INDEX(属性耐性マスタ!$B$5:$G$11,MATCH($C5,属性耐性マスタ!$A$5:$A$11,0),3),0)+IFERROR(VLOOKUP($AM5,個性タイプマスタ!$A$5:$P$100,12,FALSE),0)))</f>
        <v>-0.02</v>
      </c>
      <c r="S5" s="92">
        <f>MAX(-10,MIN(0.8,IFERROR(INDEX(属性耐性マスタ!$B$5:$G$11,MATCH($C5,属性耐性マスタ!$A$5:$A$11,0),4),0)+IFERROR(VLOOKUP($AM5,個性タイプマスタ!$A$5:$P$100,12,FALSE),0)))</f>
        <v>-0.02</v>
      </c>
      <c r="T5" s="92">
        <f>MAX(-10,MIN(0.8,IFERROR(INDEX(属性耐性マスタ!$B$5:$G$11,MATCH($C5,属性耐性マスタ!$A$5:$A$11,0),5),0)+IFERROR(VLOOKUP($AM5,個性タイプマスタ!$A$5:$P$100,12,FALSE),0)))</f>
        <v>-0.02</v>
      </c>
      <c r="U5" s="92">
        <f>MAX(-10,MIN(0.8,IFERROR(INDEX(属性耐性マスタ!$B$5:$G$11,MATCH($C5,属性耐性マスタ!$A$5:$A$11,0),6),0)+IFERROR(VLOOKUP($AM5,個性タイプマスタ!$A$5:$P$100,12,FALSE),0)))</f>
        <v>-0.02</v>
      </c>
      <c r="V5" s="93">
        <f>ROUND(設定!$B$19*IFERROR(VLOOKUP($AM5,個性タイプマスタ!$A$5:$P$100,13,FALSE),1),2)</f>
        <v>4</v>
      </c>
      <c r="W5" s="93">
        <v>1</v>
      </c>
      <c r="X5" s="93" t="str">
        <f>IFERROR(VLOOKUP($AM5,個性タイプマスタ!$A$5:$P$100,2,FALSE),"Ranged")</f>
        <v>Ranged</v>
      </c>
      <c r="Y5" s="90">
        <f>IFERROR(VLOOKUP($AM5,個性タイプマスタ!$A$5:$P$100,3,FALSE),1)</f>
        <v>0.82</v>
      </c>
      <c r="Z5" s="90">
        <f>IFERROR(VLOOKUP($AM5,個性タイプマスタ!$A$5:$P$100,4,FALSE),1)</f>
        <v>0.85</v>
      </c>
      <c r="AA5" s="90">
        <f>IFERROR(VLOOKUP($AM5,個性タイプマスタ!$A$5:$P$100,5,FALSE),1)</f>
        <v>1</v>
      </c>
      <c r="AB5" s="90">
        <f>IFERROR(VLOOKUP($AM5,個性タイプマスタ!$A$5:$P$100,6,FALSE),1)</f>
        <v>1</v>
      </c>
      <c r="AC5" s="90">
        <f>IFERROR(VLOOKUP($AM5,個性タイプマスタ!$A$5:$P$100,7,FALSE),1)</f>
        <v>1</v>
      </c>
      <c r="AD5" s="90">
        <f>IFERROR(VLOOKUP($AM5,個性タイプマスタ!$A$5:$P$100,8,FALSE),1)</f>
        <v>0.68</v>
      </c>
      <c r="AE5" s="94">
        <f>IFERROR(D5/設定!$B$5,1)</f>
        <v>1</v>
      </c>
      <c r="AF5" s="94">
        <f>1+設定!$B$13*((I5/設定!$B$8+J5/設定!$B$9)/(2*AE5))</f>
        <v>1.28125</v>
      </c>
      <c r="AG5" s="94">
        <f>MAX(0.7,1+設定!$B$14*(O5/IF(X5="Melee",1.5,2.5)-1))</f>
        <v>1</v>
      </c>
      <c r="AH5" s="87">
        <f t="shared" ref="AH5:AH68" si="1">IF(X5="Melee",G5,H5)*N5*(1+K5*(L5-1))*AG5</f>
        <v>22.549999999999997</v>
      </c>
      <c r="AI5" s="87">
        <f>E5*AF5*(1+設定!$B$18*AVERAGE(P5:U5))</f>
        <v>104.90490625000001</v>
      </c>
      <c r="AJ5" s="95">
        <f>設定!$B$5*SQRT((AH5/(設定!$B$7*設定!$B$10*(1+設定!$B$11*(設定!$B$12-1))))*(AI5/(設定!$B$6*(1+設定!$B$13))))</f>
        <v>99.311904793739032</v>
      </c>
      <c r="AK5" s="96">
        <f t="shared" ref="AK5:AK68" si="2">IF(D5=0,0,AJ5/D5-1)</f>
        <v>-6.8809520626096354E-3</v>
      </c>
      <c r="AL5" s="97">
        <f t="shared" ref="AL5:AL68" si="3">D5*AD5</f>
        <v>68</v>
      </c>
      <c r="AM5" s="98" t="s">
        <v>878</v>
      </c>
      <c r="AN5" s="88">
        <f>MAX(1,ROUND((設定!$B$7*設定!$B$10*(1+設定!$B$11*(設定!$B$12-1)))*AE5^2*(設定!$B$6*(1+設定!$B$13))/(AI5*N5*(1+K5*(L5-1))*AG5),0))</f>
        <v>22</v>
      </c>
      <c r="AO5" s="99" t="str">
        <f>IF($A5="","",IF(COUNTIF(個性タイプマスタ!$A$5:$A$100,$AM5)&gt;0,"OK","未登録"))</f>
        <v>OK</v>
      </c>
      <c r="AP5" s="100" t="str">
        <f>IF($A5="","",IF(COUNTIF(属性耐性マスタ!$A$5:$A$11,$C5)&gt;0,"OK","未登録"))</f>
        <v>OK</v>
      </c>
    </row>
    <row r="6" spans="1:42">
      <c r="A6" s="66" t="s">
        <v>109</v>
      </c>
      <c r="B6" s="51" t="s">
        <v>110</v>
      </c>
      <c r="C6" s="109" t="s">
        <v>111</v>
      </c>
      <c r="D6" s="53">
        <f>ROUND(設定!$B$5*POWER($D$2,W6-1),2)</f>
        <v>100</v>
      </c>
      <c r="E6" s="54">
        <f>MAX(1,ROUND(設定!$B$6*AE6*Y6,0))</f>
        <v>112</v>
      </c>
      <c r="F6" s="54">
        <f>MAX(0,ROUND(設定!$B$7*AE6*設定!$B$15*IF(X6="Melee",0.6,1.35)*IFERROR(VLOOKUP($AM6,個性タイプマスタ!$A$5:$P$100,14,FALSE),1),0))</f>
        <v>20</v>
      </c>
      <c r="G6" s="54">
        <f>IF(X6="Melee",AN6,MAX(1,ROUND(AN6*設定!$B$16*IFERROR(VLOOKUP($AM6,個性タイプマスタ!$A$5:$P$100,15,FALSE),1),0)))</f>
        <v>5</v>
      </c>
      <c r="H6" s="54">
        <f>IF(X6="Ranged",AN6,MAX(1,ROUND(AN6*設定!$B$16*IFERROR(VLOOKUP($AM6,個性タイプマスタ!$A$5:$P$100,15,FALSE),1),0)))</f>
        <v>16</v>
      </c>
      <c r="I6" s="54">
        <f>MAX(0,ROUND(設定!$B$8*AE6*Z6,0))</f>
        <v>16</v>
      </c>
      <c r="J6" s="54">
        <f>MAX(0,ROUND(設定!$B$9*AE6*AA6,0))</f>
        <v>6</v>
      </c>
      <c r="K6" s="55">
        <f>IFERROR(VLOOKUP($AM6,個性タイプマスタ!$A$5:$P$100,9,FALSE),0.05)</f>
        <v>5.5E-2</v>
      </c>
      <c r="L6" s="56">
        <f>IFERROR(VLOOKUP($AM6,個性タイプマスタ!$A$5:$P$100,10,FALSE),1.5)</f>
        <v>1.5</v>
      </c>
      <c r="M6" s="56">
        <f>IFERROR(VLOOKUP($AM6,個性タイプマスタ!$A$5:$P$100,11,FALSE),2)</f>
        <v>1.85</v>
      </c>
      <c r="N6" s="57">
        <f>MAX(0.1,ROUND(設定!$B$10*AB6,3))</f>
        <v>0.87</v>
      </c>
      <c r="O6" s="57">
        <f t="shared" si="0"/>
        <v>2.35</v>
      </c>
      <c r="P6" s="58">
        <f>MAX(-10,MIN(0.8,IFERROR(INDEX(属性耐性マスタ!$B$5:$G$11,MATCH($C6,属性耐性マスタ!$A$5:$A$11,0),1),0)+IFERROR(VLOOKUP($AM6,個性タイプマスタ!$A$5:$P$100,12,FALSE),0)))</f>
        <v>0.26500000000000001</v>
      </c>
      <c r="Q6" s="58">
        <f>MAX(-10,MIN(0.8,IFERROR(INDEX(属性耐性マスタ!$B$5:$G$11,MATCH($C6,属性耐性マスタ!$A$5:$A$11,0),2),0)+IFERROR(VLOOKUP($AM6,個性タイプマスタ!$A$5:$P$100,12,FALSE),0)))</f>
        <v>-3.5000000000000003E-2</v>
      </c>
      <c r="R6" s="58">
        <f>MAX(-10,MIN(0.8,IFERROR(INDEX(属性耐性マスタ!$B$5:$G$11,MATCH($C6,属性耐性マスタ!$A$5:$A$11,0),3),0)+IFERROR(VLOOKUP($AM6,個性タイプマスタ!$A$5:$P$100,12,FALSE),0)))</f>
        <v>6.5000000000000002E-2</v>
      </c>
      <c r="S6" s="58">
        <f>MAX(-10,MIN(0.8,IFERROR(INDEX(属性耐性マスタ!$B$5:$G$11,MATCH($C6,属性耐性マスタ!$A$5:$A$11,0),4),0)+IFERROR(VLOOKUP($AM6,個性タイプマスタ!$A$5:$P$100,12,FALSE),0)))</f>
        <v>6.5000000000000002E-2</v>
      </c>
      <c r="T6" s="58">
        <f>MAX(-10,MIN(0.8,IFERROR(INDEX(属性耐性マスタ!$B$5:$G$11,MATCH($C6,属性耐性マスタ!$A$5:$A$11,0),5),0)+IFERROR(VLOOKUP($AM6,個性タイプマスタ!$A$5:$P$100,12,FALSE),0)))</f>
        <v>6.5000000000000002E-2</v>
      </c>
      <c r="U6" s="58">
        <f>MAX(-10,MIN(0.8,IFERROR(INDEX(属性耐性マスタ!$B$5:$G$11,MATCH($C6,属性耐性マスタ!$A$5:$A$11,0),6),0)+IFERROR(VLOOKUP($AM6,個性タイプマスタ!$A$5:$P$100,12,FALSE),0)))</f>
        <v>6.5000000000000002E-2</v>
      </c>
      <c r="V6" s="59">
        <f>ROUND(設定!$B$19*IFERROR(VLOOKUP($AM6,個性タイプマスタ!$A$5:$P$100,13,FALSE),1),2)</f>
        <v>4.2</v>
      </c>
      <c r="W6" s="59">
        <v>1</v>
      </c>
      <c r="X6" s="59" t="str">
        <f>IFERROR(VLOOKUP($AM6,個性タイプマスタ!$A$5:$P$100,2,FALSE),"Ranged")</f>
        <v>Ranged</v>
      </c>
      <c r="Y6" s="56">
        <f>IFERROR(VLOOKUP($AM6,個性タイプマスタ!$A$5:$P$100,3,FALSE),1)</f>
        <v>1.1200000000000001</v>
      </c>
      <c r="Z6" s="56">
        <f>IFERROR(VLOOKUP($AM6,個性タイプマスタ!$A$5:$P$100,4,FALSE),1)</f>
        <v>1.95</v>
      </c>
      <c r="AA6" s="56">
        <f>IFERROR(VLOOKUP($AM6,個性タイプマスタ!$A$5:$P$100,5,FALSE),1)</f>
        <v>0.72</v>
      </c>
      <c r="AB6" s="56">
        <f>IFERROR(VLOOKUP($AM6,個性タイプマスタ!$A$5:$P$100,6,FALSE),1)</f>
        <v>0.87</v>
      </c>
      <c r="AC6" s="56">
        <f>IFERROR(VLOOKUP($AM6,個性タイプマスタ!$A$5:$P$100,7,FALSE),1)</f>
        <v>0.94</v>
      </c>
      <c r="AD6" s="56">
        <f>IFERROR(VLOOKUP($AM6,個性タイプマスタ!$A$5:$P$100,8,FALSE),1)</f>
        <v>0.82</v>
      </c>
      <c r="AE6" s="60">
        <f>IFERROR(D6/設定!$B$5,1)</f>
        <v>1</v>
      </c>
      <c r="AF6" s="60">
        <f>1+設定!$B$13*((I6/設定!$B$8+J6/設定!$B$9)/(2*AE6))</f>
        <v>1.4125000000000001</v>
      </c>
      <c r="AG6" s="60">
        <f>MAX(0.7,1+設定!$B$14*(O6/IF(X6="Melee",1.5,2.5)-1))</f>
        <v>0.99280000000000002</v>
      </c>
      <c r="AH6" s="53">
        <f t="shared" si="1"/>
        <v>14.199819840000002</v>
      </c>
      <c r="AI6" s="53">
        <f>E6*AF6*(1+設定!$B$18*AVERAGE(P6:U6))</f>
        <v>164.01385000000002</v>
      </c>
      <c r="AJ6" s="61">
        <f>設定!$B$5*SQRT((AH6/(設定!$B$7*設定!$B$10*(1+設定!$B$11*(設定!$B$12-1))))*(AI6/(設定!$B$6*(1+設定!$B$13))))</f>
        <v>98.539831963976795</v>
      </c>
      <c r="AK6" s="62">
        <f t="shared" si="2"/>
        <v>-1.4601680360232017E-2</v>
      </c>
      <c r="AL6" s="63">
        <f t="shared" si="3"/>
        <v>82</v>
      </c>
      <c r="AM6" s="64" t="s">
        <v>928</v>
      </c>
      <c r="AN6" s="54">
        <f>MAX(1,ROUND((設定!$B$7*設定!$B$10*(1+設定!$B$11*(設定!$B$12-1)))*AE6^2*(設定!$B$6*(1+設定!$B$13))/(AI6*N6*(1+K6*(L6-1))*AG6),0))</f>
        <v>16</v>
      </c>
      <c r="AO6" s="65" t="str">
        <f>IF($A6="","",IF(COUNTIF(個性タイプマスタ!$A$5:$A$100,$AM6)&gt;0,"OK","未登録"))</f>
        <v>OK</v>
      </c>
      <c r="AP6" s="67" t="str">
        <f>IF($A6="","",IF(COUNTIF(属性耐性マスタ!$A$5:$A$11,$C6)&gt;0,"OK","未登録"))</f>
        <v>OK</v>
      </c>
    </row>
    <row r="7" spans="1:42">
      <c r="A7" s="66" t="s">
        <v>112</v>
      </c>
      <c r="B7" s="51" t="s">
        <v>113</v>
      </c>
      <c r="C7" s="109" t="s">
        <v>114</v>
      </c>
      <c r="D7" s="53">
        <f>ROUND(設定!$B$5*POWER($D$2,W7-1),2)</f>
        <v>100</v>
      </c>
      <c r="E7" s="54">
        <f>MAX(1,ROUND(設定!$B$6*AE7*Y7,0))</f>
        <v>92</v>
      </c>
      <c r="F7" s="54">
        <f>MAX(0,ROUND(設定!$B$7*AE7*設定!$B$15*IF(X7="Melee",0.6,1.35)*IFERROR(VLOOKUP($AM7,個性タイプマスタ!$A$5:$P$100,14,FALSE),1),0))</f>
        <v>15</v>
      </c>
      <c r="G7" s="54">
        <f>IF(X7="Melee",AN7,MAX(1,ROUND(AN7*設定!$B$16*IFERROR(VLOOKUP($AM7,個性タイプマスタ!$A$5:$P$100,15,FALSE),1),0)))</f>
        <v>8</v>
      </c>
      <c r="H7" s="54">
        <f>IF(X7="Ranged",AN7,MAX(1,ROUND(AN7*設定!$B$16*IFERROR(VLOOKUP($AM7,個性タイプマスタ!$A$5:$P$100,15,FALSE),1),0)))</f>
        <v>18</v>
      </c>
      <c r="I7" s="54">
        <f>MAX(0,ROUND(設定!$B$8*AE7*Z7,0))</f>
        <v>8</v>
      </c>
      <c r="J7" s="54">
        <f>MAX(0,ROUND(設定!$B$9*AE7*AA7,0))</f>
        <v>8</v>
      </c>
      <c r="K7" s="55">
        <f>IFERROR(VLOOKUP($AM7,個性タイプマスタ!$A$5:$P$100,9,FALSE),0.05)</f>
        <v>0.05</v>
      </c>
      <c r="L7" s="56">
        <f>IFERROR(VLOOKUP($AM7,個性タイプマスタ!$A$5:$P$100,10,FALSE),1.5)</f>
        <v>1.5</v>
      </c>
      <c r="M7" s="56">
        <f>IFERROR(VLOOKUP($AM7,個性タイプマスタ!$A$5:$P$100,11,FALSE),2)</f>
        <v>2</v>
      </c>
      <c r="N7" s="57">
        <f>MAX(0.1,ROUND(設定!$B$10*AB7,3))</f>
        <v>1.05</v>
      </c>
      <c r="O7" s="57">
        <f t="shared" si="0"/>
        <v>2.5</v>
      </c>
      <c r="P7" s="58">
        <f>MAX(-10,MIN(0.8,IFERROR(INDEX(属性耐性マスタ!$B$5:$G$11,MATCH($C7,属性耐性マスタ!$A$5:$A$11,0),1),0)+IFERROR(VLOOKUP($AM7,個性タイプマスタ!$A$5:$P$100,12,FALSE),0)))</f>
        <v>0</v>
      </c>
      <c r="Q7" s="58">
        <f>MAX(-10,MIN(0.8,IFERROR(INDEX(属性耐性マスタ!$B$5:$G$11,MATCH($C7,属性耐性マスタ!$A$5:$A$11,0),2),0)+IFERROR(VLOOKUP($AM7,個性タイプマスタ!$A$5:$P$100,12,FALSE),0)))</f>
        <v>0</v>
      </c>
      <c r="R7" s="58">
        <f>MAX(-10,MIN(0.8,IFERROR(INDEX(属性耐性マスタ!$B$5:$G$11,MATCH($C7,属性耐性マスタ!$A$5:$A$11,0),3),0)+IFERROR(VLOOKUP($AM7,個性タイプマスタ!$A$5:$P$100,12,FALSE),0)))</f>
        <v>0.2</v>
      </c>
      <c r="S7" s="58">
        <f>MAX(-10,MIN(0.8,IFERROR(INDEX(属性耐性マスタ!$B$5:$G$11,MATCH($C7,属性耐性マスタ!$A$5:$A$11,0),4),0)+IFERROR(VLOOKUP($AM7,個性タイプマスタ!$A$5:$P$100,12,FALSE),0)))</f>
        <v>-0.1</v>
      </c>
      <c r="T7" s="58">
        <f>MAX(-10,MIN(0.8,IFERROR(INDEX(属性耐性マスタ!$B$5:$G$11,MATCH($C7,属性耐性マスタ!$A$5:$A$11,0),5),0)+IFERROR(VLOOKUP($AM7,個性タイプマスタ!$A$5:$P$100,12,FALSE),0)))</f>
        <v>0</v>
      </c>
      <c r="U7" s="58">
        <f>MAX(-10,MIN(0.8,IFERROR(INDEX(属性耐性マスタ!$B$5:$G$11,MATCH($C7,属性耐性マスタ!$A$5:$A$11,0),6),0)+IFERROR(VLOOKUP($AM7,個性タイプマスタ!$A$5:$P$100,12,FALSE),0)))</f>
        <v>0</v>
      </c>
      <c r="V7" s="59">
        <f>ROUND(設定!$B$19*IFERROR(VLOOKUP($AM7,個性タイプマスタ!$A$5:$P$100,13,FALSE),1),2)</f>
        <v>4</v>
      </c>
      <c r="W7" s="59">
        <v>1</v>
      </c>
      <c r="X7" s="59" t="str">
        <f>IFERROR(VLOOKUP($AM7,個性タイプマスタ!$A$5:$P$100,2,FALSE),"Ranged")</f>
        <v>Ranged</v>
      </c>
      <c r="Y7" s="56">
        <f>IFERROR(VLOOKUP($AM7,個性タイプマスタ!$A$5:$P$100,3,FALSE),1)</f>
        <v>0.92</v>
      </c>
      <c r="Z7" s="56">
        <f>IFERROR(VLOOKUP($AM7,個性タイプマスタ!$A$5:$P$100,4,FALSE),1)</f>
        <v>0.95</v>
      </c>
      <c r="AA7" s="56">
        <f>IFERROR(VLOOKUP($AM7,個性タイプマスタ!$A$5:$P$100,5,FALSE),1)</f>
        <v>1.05</v>
      </c>
      <c r="AB7" s="56">
        <f>IFERROR(VLOOKUP($AM7,個性タイプマスタ!$A$5:$P$100,6,FALSE),1)</f>
        <v>1.05</v>
      </c>
      <c r="AC7" s="56">
        <f>IFERROR(VLOOKUP($AM7,個性タイプマスタ!$A$5:$P$100,7,FALSE),1)</f>
        <v>1</v>
      </c>
      <c r="AD7" s="56">
        <f>IFERROR(VLOOKUP($AM7,個性タイプマスタ!$A$5:$P$100,8,FALSE),1)</f>
        <v>0.74</v>
      </c>
      <c r="AE7" s="60">
        <f>IFERROR(D7/設定!$B$5,1)</f>
        <v>1</v>
      </c>
      <c r="AF7" s="60">
        <f>1+設定!$B$13*((I7/設定!$B$8+J7/設定!$B$9)/(2*AE7))</f>
        <v>1.3</v>
      </c>
      <c r="AG7" s="60">
        <f>MAX(0.7,1+設定!$B$14*(O7/IF(X7="Melee",1.5,2.5)-1))</f>
        <v>1</v>
      </c>
      <c r="AH7" s="53">
        <f t="shared" si="1"/>
        <v>19.372500000000002</v>
      </c>
      <c r="AI7" s="53">
        <f>E7*AF7*(1+設定!$B$18*AVERAGE(P7:U7))</f>
        <v>120.49700000000001</v>
      </c>
      <c r="AJ7" s="61">
        <f>設定!$B$5*SQRT((AH7/(設定!$B$7*設定!$B$10*(1+設定!$B$11*(設定!$B$12-1))))*(AI7/(設定!$B$6*(1+設定!$B$13))))</f>
        <v>98.653180384618139</v>
      </c>
      <c r="AK7" s="62">
        <f t="shared" si="2"/>
        <v>-1.3468196153818557E-2</v>
      </c>
      <c r="AL7" s="63">
        <f t="shared" si="3"/>
        <v>74</v>
      </c>
      <c r="AM7" s="64" t="s">
        <v>881</v>
      </c>
      <c r="AN7" s="54">
        <f>MAX(1,ROUND((設定!$B$7*設定!$B$10*(1+設定!$B$11*(設定!$B$12-1)))*AE7^2*(設定!$B$6*(1+設定!$B$13))/(AI7*N7*(1+K7*(L7-1))*AG7),0))</f>
        <v>18</v>
      </c>
      <c r="AO7" s="65" t="str">
        <f>IF($A7="","",IF(COUNTIF(個性タイプマスタ!$A$5:$A$100,$AM7)&gt;0,"OK","未登録"))</f>
        <v>OK</v>
      </c>
      <c r="AP7" s="67" t="str">
        <f>IF($A7="","",IF(COUNTIF(属性耐性マスタ!$A$5:$A$11,$C7)&gt;0,"OK","未登録"))</f>
        <v>OK</v>
      </c>
    </row>
    <row r="8" spans="1:42">
      <c r="A8" s="66" t="s">
        <v>115</v>
      </c>
      <c r="B8" s="51" t="s">
        <v>116</v>
      </c>
      <c r="C8" s="109" t="s">
        <v>111</v>
      </c>
      <c r="D8" s="53">
        <f>ROUND(設定!$B$5*POWER($D$2,W8-1),2)</f>
        <v>100</v>
      </c>
      <c r="E8" s="54">
        <f>MAX(1,ROUND(設定!$B$6*AE8*Y8,0))</f>
        <v>127</v>
      </c>
      <c r="F8" s="54">
        <f>MAX(0,ROUND(設定!$B$7*AE8*設定!$B$15*IF(X8="Melee",0.6,1.35)*IFERROR(VLOOKUP($AM8,個性タイプマスタ!$A$5:$P$100,14,FALSE),1),0))</f>
        <v>5</v>
      </c>
      <c r="G8" s="54">
        <f>IF(X8="Melee",AN8,MAX(1,ROUND(AN8*設定!$B$16*IFERROR(VLOOKUP($AM8,個性タイプマスタ!$A$5:$P$100,15,FALSE),1),0)))</f>
        <v>25</v>
      </c>
      <c r="H8" s="54">
        <f>IF(X8="Ranged",AN8,MAX(1,ROUND(AN8*設定!$B$16*IFERROR(VLOOKUP($AM8,個性タイプマスタ!$A$5:$P$100,15,FALSE),1),0)))</f>
        <v>7</v>
      </c>
      <c r="I8" s="54">
        <f>MAX(0,ROUND(設定!$B$8*AE8*Z8,0))</f>
        <v>8</v>
      </c>
      <c r="J8" s="54">
        <f>MAX(0,ROUND(設定!$B$9*AE8*AA8,0))</f>
        <v>7</v>
      </c>
      <c r="K8" s="55">
        <f>IFERROR(VLOOKUP($AM8,個性タイプマスタ!$A$5:$P$100,9,FALSE),0.05)</f>
        <v>0.06</v>
      </c>
      <c r="L8" s="56">
        <f>IFERROR(VLOOKUP($AM8,個性タイプマスタ!$A$5:$P$100,10,FALSE),1.5)</f>
        <v>2.15</v>
      </c>
      <c r="M8" s="56">
        <f>IFERROR(VLOOKUP($AM8,個性タイプマスタ!$A$5:$P$100,11,FALSE),2)</f>
        <v>1.65</v>
      </c>
      <c r="N8" s="57">
        <f>MAX(0.1,ROUND(設定!$B$10*AB8,3))</f>
        <v>0.53</v>
      </c>
      <c r="O8" s="57">
        <f t="shared" si="0"/>
        <v>1.86</v>
      </c>
      <c r="P8" s="58">
        <f>MAX(-10,MIN(0.8,IFERROR(INDEX(属性耐性マスタ!$B$5:$G$11,MATCH($C8,属性耐性マスタ!$A$5:$A$11,0),1),0)+IFERROR(VLOOKUP($AM8,個性タイプマスタ!$A$5:$P$100,12,FALSE),0)))</f>
        <v>0.17500000000000002</v>
      </c>
      <c r="Q8" s="58">
        <f>MAX(-10,MIN(0.8,IFERROR(INDEX(属性耐性マスタ!$B$5:$G$11,MATCH($C8,属性耐性マスタ!$A$5:$A$11,0),2),0)+IFERROR(VLOOKUP($AM8,個性タイプマスタ!$A$5:$P$100,12,FALSE),0)))</f>
        <v>-0.125</v>
      </c>
      <c r="R8" s="58">
        <f>MAX(-10,MIN(0.8,IFERROR(INDEX(属性耐性マスタ!$B$5:$G$11,MATCH($C8,属性耐性マスタ!$A$5:$A$11,0),3),0)+IFERROR(VLOOKUP($AM8,個性タイプマスタ!$A$5:$P$100,12,FALSE),0)))</f>
        <v>-2.5000000000000001E-2</v>
      </c>
      <c r="S8" s="58">
        <f>MAX(-10,MIN(0.8,IFERROR(INDEX(属性耐性マスタ!$B$5:$G$11,MATCH($C8,属性耐性マスタ!$A$5:$A$11,0),4),0)+IFERROR(VLOOKUP($AM8,個性タイプマスタ!$A$5:$P$100,12,FALSE),0)))</f>
        <v>-2.5000000000000001E-2</v>
      </c>
      <c r="T8" s="58">
        <f>MAX(-10,MIN(0.8,IFERROR(INDEX(属性耐性マスタ!$B$5:$G$11,MATCH($C8,属性耐性マスタ!$A$5:$A$11,0),5),0)+IFERROR(VLOOKUP($AM8,個性タイプマスタ!$A$5:$P$100,12,FALSE),0)))</f>
        <v>-2.5000000000000001E-2</v>
      </c>
      <c r="U8" s="58">
        <f>MAX(-10,MIN(0.8,IFERROR(INDEX(属性耐性マスタ!$B$5:$G$11,MATCH($C8,属性耐性マスタ!$A$5:$A$11,0),6),0)+IFERROR(VLOOKUP($AM8,個性タイプマスタ!$A$5:$P$100,12,FALSE),0)))</f>
        <v>-2.5000000000000001E-2</v>
      </c>
      <c r="V8" s="59">
        <f>ROUND(設定!$B$19*IFERROR(VLOOKUP($AM8,個性タイプマスタ!$A$5:$P$100,13,FALSE),1),2)</f>
        <v>4.4000000000000004</v>
      </c>
      <c r="W8" s="59">
        <v>1</v>
      </c>
      <c r="X8" s="59" t="str">
        <f>IFERROR(VLOOKUP($AM8,個性タイプマスタ!$A$5:$P$100,2,FALSE),"Ranged")</f>
        <v>Melee</v>
      </c>
      <c r="Y8" s="56">
        <f>IFERROR(VLOOKUP($AM8,個性タイプマスタ!$A$5:$P$100,3,FALSE),1)</f>
        <v>1.27</v>
      </c>
      <c r="Z8" s="56">
        <f>IFERROR(VLOOKUP($AM8,個性タイプマスタ!$A$5:$P$100,4,FALSE),1)</f>
        <v>1.05</v>
      </c>
      <c r="AA8" s="56">
        <f>IFERROR(VLOOKUP($AM8,個性タイプマスタ!$A$5:$P$100,5,FALSE),1)</f>
        <v>0.88</v>
      </c>
      <c r="AB8" s="56">
        <f>IFERROR(VLOOKUP($AM8,個性タイプマスタ!$A$5:$P$100,6,FALSE),1)</f>
        <v>0.53</v>
      </c>
      <c r="AC8" s="56">
        <f>IFERROR(VLOOKUP($AM8,個性タイプマスタ!$A$5:$P$100,7,FALSE),1)</f>
        <v>1.24</v>
      </c>
      <c r="AD8" s="56">
        <f>IFERROR(VLOOKUP($AM8,個性タイプマスタ!$A$5:$P$100,8,FALSE),1)</f>
        <v>0.8</v>
      </c>
      <c r="AE8" s="60">
        <f>IFERROR(D8/設定!$B$5,1)</f>
        <v>1</v>
      </c>
      <c r="AF8" s="60">
        <f>1+設定!$B$13*((I8/設定!$B$8+J8/設定!$B$9)/(2*AE8))</f>
        <v>1.28125</v>
      </c>
      <c r="AG8" s="60">
        <f>MAX(0.7,1+設定!$B$14*(O8/IF(X8="Melee",1.5,2.5)-1))</f>
        <v>1.0287999999999999</v>
      </c>
      <c r="AH8" s="53">
        <f t="shared" si="1"/>
        <v>14.572180399999999</v>
      </c>
      <c r="AI8" s="53">
        <f>E8*AF8*(1+設定!$B$18*AVERAGE(P8:U8))</f>
        <v>162.1085546875</v>
      </c>
      <c r="AJ8" s="61">
        <f>設定!$B$5*SQRT((AH8/(設定!$B$7*設定!$B$10*(1+設定!$B$11*(設定!$B$12-1))))*(AI8/(設定!$B$6*(1+設定!$B$13))))</f>
        <v>99.241969628317023</v>
      </c>
      <c r="AK8" s="62">
        <f t="shared" si="2"/>
        <v>-7.5803037168298282E-3</v>
      </c>
      <c r="AL8" s="63">
        <f t="shared" si="3"/>
        <v>80</v>
      </c>
      <c r="AM8" s="64" t="s">
        <v>944</v>
      </c>
      <c r="AN8" s="54">
        <f>MAX(1,ROUND((設定!$B$7*設定!$B$10*(1+設定!$B$11*(設定!$B$12-1)))*AE8^2*(設定!$B$6*(1+設定!$B$13))/(AI8*N8*(1+K8*(L8-1))*AG8),0))</f>
        <v>25</v>
      </c>
      <c r="AO8" s="65" t="str">
        <f>IF($A8="","",IF(COUNTIF(個性タイプマスタ!$A$5:$A$100,$AM8)&gt;0,"OK","未登録"))</f>
        <v>OK</v>
      </c>
      <c r="AP8" s="67" t="str">
        <f>IF($A8="","",IF(COUNTIF(属性耐性マスタ!$A$5:$A$11,$C8)&gt;0,"OK","未登録"))</f>
        <v>OK</v>
      </c>
    </row>
    <row r="9" spans="1:42">
      <c r="A9" s="66" t="s">
        <v>117</v>
      </c>
      <c r="B9" s="51" t="s">
        <v>118</v>
      </c>
      <c r="C9" s="109" t="s">
        <v>108</v>
      </c>
      <c r="D9" s="53">
        <f>ROUND(設定!$B$5*POWER($D$2,W9-1),2)</f>
        <v>100</v>
      </c>
      <c r="E9" s="54">
        <f>MAX(1,ROUND(設定!$B$6*AE9*Y9,0))</f>
        <v>92</v>
      </c>
      <c r="F9" s="54">
        <f>MAX(0,ROUND(設定!$B$7*AE9*設定!$B$15*IF(X9="Melee",0.6,1.35)*IFERROR(VLOOKUP($AM9,個性タイプマスタ!$A$5:$P$100,14,FALSE),1),0))</f>
        <v>6</v>
      </c>
      <c r="G9" s="54">
        <f>IF(X9="Melee",AN9,MAX(1,ROUND(AN9*設定!$B$16*IFERROR(VLOOKUP($AM9,個性タイプマスタ!$A$5:$P$100,15,FALSE),1),0)))</f>
        <v>19</v>
      </c>
      <c r="H9" s="54">
        <f>IF(X9="Ranged",AN9,MAX(1,ROUND(AN9*設定!$B$16*IFERROR(VLOOKUP($AM9,個性タイプマスタ!$A$5:$P$100,15,FALSE),1),0)))</f>
        <v>7</v>
      </c>
      <c r="I9" s="54">
        <f>MAX(0,ROUND(設定!$B$8*AE9*Z9,0))</f>
        <v>7</v>
      </c>
      <c r="J9" s="54">
        <f>MAX(0,ROUND(設定!$B$9*AE9*AA9,0))</f>
        <v>7</v>
      </c>
      <c r="K9" s="55">
        <f>IFERROR(VLOOKUP($AM9,個性タイプマスタ!$A$5:$P$100,9,FALSE),0.05)</f>
        <v>7.0000000000000007E-2</v>
      </c>
      <c r="L9" s="56">
        <f>IFERROR(VLOOKUP($AM9,個性タイプマスタ!$A$5:$P$100,10,FALSE),1.5)</f>
        <v>1.6</v>
      </c>
      <c r="M9" s="56">
        <f>IFERROR(VLOOKUP($AM9,個性タイプマスタ!$A$5:$P$100,11,FALSE),2)</f>
        <v>2.4500000000000002</v>
      </c>
      <c r="N9" s="57">
        <f>MAX(0.1,ROUND(設定!$B$10*AB9,3))</f>
        <v>0.94</v>
      </c>
      <c r="O9" s="57">
        <f t="shared" si="0"/>
        <v>2.73</v>
      </c>
      <c r="P9" s="58">
        <f>MAX(-10,MIN(0.8,IFERROR(INDEX(属性耐性マスタ!$B$5:$G$11,MATCH($C9,属性耐性マスタ!$A$5:$A$11,0),1),0)+IFERROR(VLOOKUP($AM9,個性タイプマスタ!$A$5:$P$100,12,FALSE),0)))</f>
        <v>-0.13500000000000001</v>
      </c>
      <c r="Q9" s="58">
        <f>MAX(-10,MIN(0.8,IFERROR(INDEX(属性耐性マスタ!$B$5:$G$11,MATCH($C9,属性耐性マスタ!$A$5:$A$11,0),2),0)+IFERROR(VLOOKUP($AM9,個性タイプマスタ!$A$5:$P$100,12,FALSE),0)))</f>
        <v>0.16500000000000001</v>
      </c>
      <c r="R9" s="58">
        <f>MAX(-10,MIN(0.8,IFERROR(INDEX(属性耐性マスタ!$B$5:$G$11,MATCH($C9,属性耐性マスタ!$A$5:$A$11,0),3),0)+IFERROR(VLOOKUP($AM9,個性タイプマスタ!$A$5:$P$100,12,FALSE),0)))</f>
        <v>-3.5000000000000003E-2</v>
      </c>
      <c r="S9" s="58">
        <f>MAX(-10,MIN(0.8,IFERROR(INDEX(属性耐性マスタ!$B$5:$G$11,MATCH($C9,属性耐性マスタ!$A$5:$A$11,0),4),0)+IFERROR(VLOOKUP($AM9,個性タイプマスタ!$A$5:$P$100,12,FALSE),0)))</f>
        <v>-3.5000000000000003E-2</v>
      </c>
      <c r="T9" s="58">
        <f>MAX(-10,MIN(0.8,IFERROR(INDEX(属性耐性マスタ!$B$5:$G$11,MATCH($C9,属性耐性マスタ!$A$5:$A$11,0),5),0)+IFERROR(VLOOKUP($AM9,個性タイプマスタ!$A$5:$P$100,12,FALSE),0)))</f>
        <v>-3.5000000000000003E-2</v>
      </c>
      <c r="U9" s="58">
        <f>MAX(-10,MIN(0.8,IFERROR(INDEX(属性耐性マスタ!$B$5:$G$11,MATCH($C9,属性耐性マスタ!$A$5:$A$11,0),6),0)+IFERROR(VLOOKUP($AM9,個性タイプマスタ!$A$5:$P$100,12,FALSE),0)))</f>
        <v>-3.5000000000000003E-2</v>
      </c>
      <c r="V9" s="59">
        <f>ROUND(設定!$B$19*IFERROR(VLOOKUP($AM9,個性タイプマスタ!$A$5:$P$100,13,FALSE),1),2)</f>
        <v>5.6</v>
      </c>
      <c r="W9" s="59">
        <v>1</v>
      </c>
      <c r="X9" s="59" t="str">
        <f>IFERROR(VLOOKUP($AM9,個性タイプマスタ!$A$5:$P$100,2,FALSE),"Ranged")</f>
        <v>Melee</v>
      </c>
      <c r="Y9" s="56">
        <f>IFERROR(VLOOKUP($AM9,個性タイプマスタ!$A$5:$P$100,3,FALSE),1)</f>
        <v>0.92</v>
      </c>
      <c r="Z9" s="56">
        <f>IFERROR(VLOOKUP($AM9,個性タイプマスタ!$A$5:$P$100,4,FALSE),1)</f>
        <v>0.92</v>
      </c>
      <c r="AA9" s="56">
        <f>IFERROR(VLOOKUP($AM9,個性タイプマスタ!$A$5:$P$100,5,FALSE),1)</f>
        <v>0.85</v>
      </c>
      <c r="AB9" s="56">
        <f>IFERROR(VLOOKUP($AM9,個性タイプマスタ!$A$5:$P$100,6,FALSE),1)</f>
        <v>0.94</v>
      </c>
      <c r="AC9" s="56">
        <f>IFERROR(VLOOKUP($AM9,個性タイプマスタ!$A$5:$P$100,7,FALSE),1)</f>
        <v>1.82</v>
      </c>
      <c r="AD9" s="56">
        <f>IFERROR(VLOOKUP($AM9,個性タイプマスタ!$A$5:$P$100,8,FALSE),1)</f>
        <v>0.74</v>
      </c>
      <c r="AE9" s="60">
        <f>IFERROR(D9/設定!$B$5,1)</f>
        <v>1</v>
      </c>
      <c r="AF9" s="60">
        <f>1+設定!$B$13*((I9/設定!$B$8+J9/設定!$B$9)/(2*AE9))</f>
        <v>1.2625</v>
      </c>
      <c r="AG9" s="60">
        <f>MAX(0.7,1+設定!$B$14*(O9/IF(X9="Melee",1.5,2.5)-1))</f>
        <v>1.0984</v>
      </c>
      <c r="AH9" s="53">
        <f t="shared" si="1"/>
        <v>20.441355808000001</v>
      </c>
      <c r="AI9" s="53">
        <f>E9*AF9*(1+設定!$B$18*AVERAGE(P9:U9))</f>
        <v>115.1917625</v>
      </c>
      <c r="AJ9" s="61">
        <f>設定!$B$5*SQRT((AH9/(設定!$B$7*設定!$B$10*(1+設定!$B$11*(設定!$B$12-1))))*(AI9/(設定!$B$6*(1+設定!$B$13))))</f>
        <v>99.082213257491631</v>
      </c>
      <c r="AK9" s="62">
        <f t="shared" si="2"/>
        <v>-9.1778674250836412E-3</v>
      </c>
      <c r="AL9" s="63">
        <f t="shared" si="3"/>
        <v>74</v>
      </c>
      <c r="AM9" s="64" t="s">
        <v>958</v>
      </c>
      <c r="AN9" s="54">
        <f>MAX(1,ROUND((設定!$B$7*設定!$B$10*(1+設定!$B$11*(設定!$B$12-1)))*AE9^2*(設定!$B$6*(1+設定!$B$13))/(AI9*N9*(1+K9*(L9-1))*AG9),0))</f>
        <v>19</v>
      </c>
      <c r="AO9" s="65" t="str">
        <f>IF($A9="","",IF(COUNTIF(個性タイプマスタ!$A$5:$A$100,$AM9)&gt;0,"OK","未登録"))</f>
        <v>OK</v>
      </c>
      <c r="AP9" s="67" t="str">
        <f>IF($A9="","",IF(COUNTIF(属性耐性マスタ!$A$5:$A$11,$C9)&gt;0,"OK","未登録"))</f>
        <v>OK</v>
      </c>
    </row>
    <row r="10" spans="1:42">
      <c r="A10" s="66" t="s">
        <v>119</v>
      </c>
      <c r="B10" s="51" t="s">
        <v>120</v>
      </c>
      <c r="C10" s="109" t="s">
        <v>121</v>
      </c>
      <c r="D10" s="53">
        <f>ROUND(設定!$B$5*POWER($D$2,W10-1),2)</f>
        <v>100</v>
      </c>
      <c r="E10" s="54">
        <f>MAX(1,ROUND(設定!$B$6*AE10*Y10,0))</f>
        <v>172</v>
      </c>
      <c r="F10" s="54">
        <f>MAX(0,ROUND(設定!$B$7*AE10*設定!$B$15*IF(X10="Melee",0.6,1.35)*IFERROR(VLOOKUP($AM10,個性タイプマスタ!$A$5:$P$100,14,FALSE),1),0))</f>
        <v>20</v>
      </c>
      <c r="G10" s="54">
        <f>IF(X10="Melee",AN10,MAX(1,ROUND(AN10*設定!$B$16*IFERROR(VLOOKUP($AM10,個性タイプマスタ!$A$5:$P$100,15,FALSE),1),0)))</f>
        <v>4</v>
      </c>
      <c r="H10" s="54">
        <f>IF(X10="Ranged",AN10,MAX(1,ROUND(AN10*設定!$B$16*IFERROR(VLOOKUP($AM10,個性タイプマスタ!$A$5:$P$100,15,FALSE),1),0)))</f>
        <v>14</v>
      </c>
      <c r="I10" s="54">
        <f>MAX(0,ROUND(設定!$B$8*AE10*Z10,0))</f>
        <v>13</v>
      </c>
      <c r="J10" s="54">
        <f>MAX(0,ROUND(設定!$B$9*AE10*AA10,0))</f>
        <v>12</v>
      </c>
      <c r="K10" s="55">
        <f>IFERROR(VLOOKUP($AM10,個性タイプマスタ!$A$5:$P$100,9,FALSE),0.05)</f>
        <v>3.5000000000000003E-2</v>
      </c>
      <c r="L10" s="56">
        <f>IFERROR(VLOOKUP($AM10,個性タイプマスタ!$A$5:$P$100,10,FALSE),1.5)</f>
        <v>1.4</v>
      </c>
      <c r="M10" s="56">
        <f>IFERROR(VLOOKUP($AM10,個性タイプマスタ!$A$5:$P$100,11,FALSE),2)</f>
        <v>1.5</v>
      </c>
      <c r="N10" s="57">
        <f>MAX(0.1,ROUND(設定!$B$10*AB10,3))</f>
        <v>0.6</v>
      </c>
      <c r="O10" s="57">
        <f t="shared" si="0"/>
        <v>3.1</v>
      </c>
      <c r="P10" s="58">
        <f>MAX(-10,MIN(0.8,IFERROR(INDEX(属性耐性マスタ!$B$5:$G$11,MATCH($C10,属性耐性マスタ!$A$5:$A$11,0),1),0)+IFERROR(VLOOKUP($AM10,個性タイプマスタ!$A$5:$P$100,12,FALSE),0)))</f>
        <v>0.12</v>
      </c>
      <c r="Q10" s="58">
        <f>MAX(-10,MIN(0.8,IFERROR(INDEX(属性耐性マスタ!$B$5:$G$11,MATCH($C10,属性耐性マスタ!$A$5:$A$11,0),2),0)+IFERROR(VLOOKUP($AM10,個性タイプマスタ!$A$5:$P$100,12,FALSE),0)))</f>
        <v>0.12</v>
      </c>
      <c r="R10" s="58">
        <f>MAX(-10,MIN(0.8,IFERROR(INDEX(属性耐性マスタ!$B$5:$G$11,MATCH($C10,属性耐性マスタ!$A$5:$A$11,0),3),0)+IFERROR(VLOOKUP($AM10,個性タイプマスタ!$A$5:$P$100,12,FALSE),0)))</f>
        <v>0.12</v>
      </c>
      <c r="S10" s="58">
        <f>MAX(-10,MIN(0.8,IFERROR(INDEX(属性耐性マスタ!$B$5:$G$11,MATCH($C10,属性耐性マスタ!$A$5:$A$11,0),4),0)+IFERROR(VLOOKUP($AM10,個性タイプマスタ!$A$5:$P$100,12,FALSE),0)))</f>
        <v>0.12</v>
      </c>
      <c r="T10" s="58">
        <f>MAX(-10,MIN(0.8,IFERROR(INDEX(属性耐性マスタ!$B$5:$G$11,MATCH($C10,属性耐性マスタ!$A$5:$A$11,0),5),0)+IFERROR(VLOOKUP($AM10,個性タイプマスタ!$A$5:$P$100,12,FALSE),0)))</f>
        <v>0.32</v>
      </c>
      <c r="U10" s="58">
        <f>MAX(-10,MIN(0.8,IFERROR(INDEX(属性耐性マスタ!$B$5:$G$11,MATCH($C10,属性耐性マスタ!$A$5:$A$11,0),6),0)+IFERROR(VLOOKUP($AM10,個性タイプマスタ!$A$5:$P$100,12,FALSE),0)))</f>
        <v>1.999999999999999E-2</v>
      </c>
      <c r="V10" s="59">
        <f>ROUND(設定!$B$19*IFERROR(VLOOKUP($AM10,個性タイプマスタ!$A$5:$P$100,13,FALSE),1),2)</f>
        <v>4.12</v>
      </c>
      <c r="W10" s="59">
        <v>1</v>
      </c>
      <c r="X10" s="59" t="str">
        <f>IFERROR(VLOOKUP($AM10,個性タイプマスタ!$A$5:$P$100,2,FALSE),"Ranged")</f>
        <v>Ranged</v>
      </c>
      <c r="Y10" s="56">
        <f>IFERROR(VLOOKUP($AM10,個性タイプマスタ!$A$5:$P$100,3,FALSE),1)</f>
        <v>1.72</v>
      </c>
      <c r="Z10" s="56">
        <f>IFERROR(VLOOKUP($AM10,個性タイプマスタ!$A$5:$P$100,4,FALSE),1)</f>
        <v>1.64</v>
      </c>
      <c r="AA10" s="56">
        <f>IFERROR(VLOOKUP($AM10,個性タイプマスタ!$A$5:$P$100,5,FALSE),1)</f>
        <v>1.55</v>
      </c>
      <c r="AB10" s="56">
        <f>IFERROR(VLOOKUP($AM10,個性タイプマスタ!$A$5:$P$100,6,FALSE),1)</f>
        <v>0.6</v>
      </c>
      <c r="AC10" s="56">
        <f>IFERROR(VLOOKUP($AM10,個性タイプマスタ!$A$5:$P$100,7,FALSE),1)</f>
        <v>1.24</v>
      </c>
      <c r="AD10" s="56">
        <f>IFERROR(VLOOKUP($AM10,個性タイプマスタ!$A$5:$P$100,8,FALSE),1)</f>
        <v>0.91</v>
      </c>
      <c r="AE10" s="60">
        <f>IFERROR(D10/設定!$B$5,1)</f>
        <v>1</v>
      </c>
      <c r="AF10" s="60">
        <f>1+設定!$B$13*((I10/設定!$B$8+J10/設定!$B$9)/(2*AE10))</f>
        <v>1.46875</v>
      </c>
      <c r="AG10" s="60">
        <f>MAX(0.7,1+設定!$B$14*(O10/IF(X10="Melee",1.5,2.5)-1))</f>
        <v>1.0287999999999999</v>
      </c>
      <c r="AH10" s="53">
        <f t="shared" si="1"/>
        <v>8.7629068799999992</v>
      </c>
      <c r="AI10" s="53">
        <f>E10*AF10*(1+設定!$B$18*AVERAGE(P10:U10))</f>
        <v>268.16143750000003</v>
      </c>
      <c r="AJ10" s="61">
        <f>設定!$B$5*SQRT((AH10/(設定!$B$7*設定!$B$10*(1+設定!$B$11*(設定!$B$12-1))))*(AI10/(設定!$B$6*(1+設定!$B$13))))</f>
        <v>98.981128150330733</v>
      </c>
      <c r="AK10" s="62">
        <f t="shared" si="2"/>
        <v>-1.0188718496692672E-2</v>
      </c>
      <c r="AL10" s="63">
        <f t="shared" si="3"/>
        <v>91</v>
      </c>
      <c r="AM10" s="64" t="s">
        <v>916</v>
      </c>
      <c r="AN10" s="54">
        <f>MAX(1,ROUND((設定!$B$7*設定!$B$10*(1+設定!$B$11*(設定!$B$12-1)))*AE10^2*(設定!$B$6*(1+設定!$B$13))/(AI10*N10*(1+K10*(L10-1))*AG10),0))</f>
        <v>14</v>
      </c>
      <c r="AO10" s="65" t="str">
        <f>IF($A10="","",IF(COUNTIF(個性タイプマスタ!$A$5:$A$100,$AM10)&gt;0,"OK","未登録"))</f>
        <v>OK</v>
      </c>
      <c r="AP10" s="67" t="str">
        <f>IF($A10="","",IF(COUNTIF(属性耐性マスタ!$A$5:$A$11,$C10)&gt;0,"OK","未登録"))</f>
        <v>OK</v>
      </c>
    </row>
    <row r="11" spans="1:42">
      <c r="A11" s="66" t="s">
        <v>122</v>
      </c>
      <c r="B11" s="51" t="s">
        <v>123</v>
      </c>
      <c r="C11" s="109" t="s">
        <v>114</v>
      </c>
      <c r="D11" s="53">
        <f>ROUND(設定!$B$5*POWER($D$2,W11-1),2)</f>
        <v>110</v>
      </c>
      <c r="E11" s="54">
        <f>MAX(1,ROUND(設定!$B$6*AE11*Y11,0))</f>
        <v>117</v>
      </c>
      <c r="F11" s="54">
        <f>MAX(0,ROUND(設定!$B$7*AE11*設定!$B$15*IF(X11="Melee",0.6,1.35)*IFERROR(VLOOKUP($AM11,個性タイプマスタ!$A$5:$P$100,14,FALSE),1),0))</f>
        <v>28</v>
      </c>
      <c r="G11" s="54">
        <f>IF(X11="Melee",AN11,MAX(1,ROUND(AN11*設定!$B$16*IFERROR(VLOOKUP($AM11,個性タイプマスタ!$A$5:$P$100,15,FALSE),1),0)))</f>
        <v>6</v>
      </c>
      <c r="H11" s="54">
        <f>IF(X11="Ranged",AN11,MAX(1,ROUND(AN11*設定!$B$16*IFERROR(VLOOKUP($AM11,個性タイプマスタ!$A$5:$P$100,15,FALSE),1),0)))</f>
        <v>19</v>
      </c>
      <c r="I11" s="54">
        <f>MAX(0,ROUND(設定!$B$8*AE11*Z11,0))</f>
        <v>7</v>
      </c>
      <c r="J11" s="54">
        <f>MAX(0,ROUND(設定!$B$9*AE11*AA11,0))</f>
        <v>18</v>
      </c>
      <c r="K11" s="55">
        <f>IFERROR(VLOOKUP($AM11,個性タイプマスタ!$A$5:$P$100,9,FALSE),0.05)</f>
        <v>4.4999999999999998E-2</v>
      </c>
      <c r="L11" s="56">
        <f>IFERROR(VLOOKUP($AM11,個性タイプマスタ!$A$5:$P$100,10,FALSE),1.5)</f>
        <v>1.45</v>
      </c>
      <c r="M11" s="56">
        <f>IFERROR(VLOOKUP($AM11,個性タイプマスタ!$A$5:$P$100,11,FALSE),2)</f>
        <v>1.9</v>
      </c>
      <c r="N11" s="57">
        <f>MAX(0.1,ROUND(設定!$B$10*AB11,3))</f>
        <v>0.84</v>
      </c>
      <c r="O11" s="57">
        <f t="shared" si="0"/>
        <v>2.65</v>
      </c>
      <c r="P11" s="58">
        <f>MAX(-10,MIN(0.8,IFERROR(INDEX(属性耐性マスタ!$B$5:$G$11,MATCH($C11,属性耐性マスタ!$A$5:$A$11,0),1),0)+IFERROR(VLOOKUP($AM11,個性タイプマスタ!$A$5:$P$100,12,FALSE),0)))</f>
        <v>0.09</v>
      </c>
      <c r="Q11" s="58">
        <f>MAX(-10,MIN(0.8,IFERROR(INDEX(属性耐性マスタ!$B$5:$G$11,MATCH($C11,属性耐性マスタ!$A$5:$A$11,0),2),0)+IFERROR(VLOOKUP($AM11,個性タイプマスタ!$A$5:$P$100,12,FALSE),0)))</f>
        <v>0.09</v>
      </c>
      <c r="R11" s="58">
        <f>MAX(-10,MIN(0.8,IFERROR(INDEX(属性耐性マスタ!$B$5:$G$11,MATCH($C11,属性耐性マスタ!$A$5:$A$11,0),3),0)+IFERROR(VLOOKUP($AM11,個性タイプマスタ!$A$5:$P$100,12,FALSE),0)))</f>
        <v>0.29000000000000004</v>
      </c>
      <c r="S11" s="58">
        <f>MAX(-10,MIN(0.8,IFERROR(INDEX(属性耐性マスタ!$B$5:$G$11,MATCH($C11,属性耐性マスタ!$A$5:$A$11,0),4),0)+IFERROR(VLOOKUP($AM11,個性タイプマスタ!$A$5:$P$100,12,FALSE),0)))</f>
        <v>-1.0000000000000009E-2</v>
      </c>
      <c r="T11" s="58">
        <f>MAX(-10,MIN(0.8,IFERROR(INDEX(属性耐性マスタ!$B$5:$G$11,MATCH($C11,属性耐性マスタ!$A$5:$A$11,0),5),0)+IFERROR(VLOOKUP($AM11,個性タイプマスタ!$A$5:$P$100,12,FALSE),0)))</f>
        <v>0.09</v>
      </c>
      <c r="U11" s="58">
        <f>MAX(-10,MIN(0.8,IFERROR(INDEX(属性耐性マスタ!$B$5:$G$11,MATCH($C11,属性耐性マスタ!$A$5:$A$11,0),6),0)+IFERROR(VLOOKUP($AM11,個性タイプマスタ!$A$5:$P$100,12,FALSE),0)))</f>
        <v>0.09</v>
      </c>
      <c r="V11" s="59">
        <f>ROUND(設定!$B$19*IFERROR(VLOOKUP($AM11,個性タイプマスタ!$A$5:$P$100,13,FALSE),1),2)</f>
        <v>4.4000000000000004</v>
      </c>
      <c r="W11" s="59">
        <v>2</v>
      </c>
      <c r="X11" s="59" t="str">
        <f>IFERROR(VLOOKUP($AM11,個性タイプマスタ!$A$5:$P$100,2,FALSE),"Ranged")</f>
        <v>Ranged</v>
      </c>
      <c r="Y11" s="56">
        <f>IFERROR(VLOOKUP($AM11,個性タイプマスタ!$A$5:$P$100,3,FALSE),1)</f>
        <v>1.06</v>
      </c>
      <c r="Z11" s="56">
        <f>IFERROR(VLOOKUP($AM11,個性タイプマスタ!$A$5:$P$100,4,FALSE),1)</f>
        <v>0.77</v>
      </c>
      <c r="AA11" s="56">
        <f>IFERROR(VLOOKUP($AM11,個性タイプマスタ!$A$5:$P$100,5,FALSE),1)</f>
        <v>2.0499999999999998</v>
      </c>
      <c r="AB11" s="56">
        <f>IFERROR(VLOOKUP($AM11,個性タイプマスタ!$A$5:$P$100,6,FALSE),1)</f>
        <v>0.84</v>
      </c>
      <c r="AC11" s="56">
        <f>IFERROR(VLOOKUP($AM11,個性タイプマスタ!$A$5:$P$100,7,FALSE),1)</f>
        <v>1.06</v>
      </c>
      <c r="AD11" s="56">
        <f>IFERROR(VLOOKUP($AM11,個性タイプマスタ!$A$5:$P$100,8,FALSE),1)</f>
        <v>0.82</v>
      </c>
      <c r="AE11" s="60">
        <f>IFERROR(D11/設定!$B$5,1)</f>
        <v>1.1000000000000001</v>
      </c>
      <c r="AF11" s="60">
        <f>1+設定!$B$13*((I11/設定!$B$8+J11/設定!$B$9)/(2*AE11))</f>
        <v>1.4261363636363635</v>
      </c>
      <c r="AG11" s="60">
        <f>MAX(0.7,1+設定!$B$14*(O11/IF(X11="Melee",1.5,2.5)-1))</f>
        <v>1.0072000000000001</v>
      </c>
      <c r="AH11" s="53">
        <f t="shared" si="1"/>
        <v>16.400428968000003</v>
      </c>
      <c r="AI11" s="53">
        <f>E11*AF11*(1+設定!$B$18*AVERAGE(P11:U11))</f>
        <v>174.86713636363635</v>
      </c>
      <c r="AJ11" s="61">
        <f>設定!$B$5*SQRT((AH11/(設定!$B$7*設定!$B$10*(1+設定!$B$11*(設定!$B$12-1))))*(AI11/(設定!$B$6*(1+設定!$B$13))))</f>
        <v>109.34825110574418</v>
      </c>
      <c r="AK11" s="62">
        <f t="shared" si="2"/>
        <v>-5.9249899477801238E-3</v>
      </c>
      <c r="AL11" s="63">
        <f t="shared" si="3"/>
        <v>90.199999999999989</v>
      </c>
      <c r="AM11" s="64" t="s">
        <v>926</v>
      </c>
      <c r="AN11" s="54">
        <f>MAX(1,ROUND((設定!$B$7*設定!$B$10*(1+設定!$B$11*(設定!$B$12-1)))*AE11^2*(設定!$B$6*(1+設定!$B$13))/(AI11*N11*(1+K11*(L11-1))*AG11),0))</f>
        <v>19</v>
      </c>
      <c r="AO11" s="65" t="str">
        <f>IF($A11="","",IF(COUNTIF(個性タイプマスタ!$A$5:$A$100,$AM11)&gt;0,"OK","未登録"))</f>
        <v>OK</v>
      </c>
      <c r="AP11" s="67" t="str">
        <f>IF($A11="","",IF(COUNTIF(属性耐性マスタ!$A$5:$A$11,$C11)&gt;0,"OK","未登録"))</f>
        <v>OK</v>
      </c>
    </row>
    <row r="12" spans="1:42">
      <c r="A12" s="66" t="s">
        <v>124</v>
      </c>
      <c r="B12" s="51" t="s">
        <v>125</v>
      </c>
      <c r="C12" s="109" t="s">
        <v>111</v>
      </c>
      <c r="D12" s="53">
        <f>ROUND(設定!$B$5*POWER($D$2,W12-1),2)</f>
        <v>110</v>
      </c>
      <c r="E12" s="54">
        <f>MAX(1,ROUND(設定!$B$6*AE12*Y12,0))</f>
        <v>61</v>
      </c>
      <c r="F12" s="54">
        <f>MAX(0,ROUND(設定!$B$7*AE12*設定!$B$15*IF(X12="Melee",0.6,1.35)*IFERROR(VLOOKUP($AM12,個性タイプマスタ!$A$5:$P$100,14,FALSE),1),0))</f>
        <v>24</v>
      </c>
      <c r="G12" s="54">
        <f>IF(X12="Melee",AN12,MAX(1,ROUND(AN12*設定!$B$16*IFERROR(VLOOKUP($AM12,個性タイプマスタ!$A$5:$P$100,15,FALSE),1),0)))</f>
        <v>11</v>
      </c>
      <c r="H12" s="54">
        <f>IF(X12="Ranged",AN12,MAX(1,ROUND(AN12*設定!$B$16*IFERROR(VLOOKUP($AM12,個性タイプマスタ!$A$5:$P$100,15,FALSE),1),0)))</f>
        <v>31</v>
      </c>
      <c r="I12" s="54">
        <f>MAX(0,ROUND(設定!$B$8*AE12*Z12,0))</f>
        <v>13</v>
      </c>
      <c r="J12" s="54">
        <f>MAX(0,ROUND(設定!$B$9*AE12*AA12,0))</f>
        <v>20</v>
      </c>
      <c r="K12" s="55">
        <f>IFERROR(VLOOKUP($AM12,個性タイプマスタ!$A$5:$P$100,9,FALSE),0.05)</f>
        <v>0.04</v>
      </c>
      <c r="L12" s="56">
        <f>IFERROR(VLOOKUP($AM12,個性タイプマスタ!$A$5:$P$100,10,FALSE),1.5)</f>
        <v>1.38</v>
      </c>
      <c r="M12" s="56">
        <f>IFERROR(VLOOKUP($AM12,個性タイプマスタ!$A$5:$P$100,11,FALSE),2)</f>
        <v>2.2000000000000002</v>
      </c>
      <c r="N12" s="57">
        <f>MAX(0.1,ROUND(設定!$B$10*AB12,3))</f>
        <v>0.88</v>
      </c>
      <c r="O12" s="57">
        <f t="shared" si="0"/>
        <v>3.15</v>
      </c>
      <c r="P12" s="58">
        <f>MAX(-10,MIN(0.8,IFERROR(INDEX(属性耐性マスタ!$B$5:$G$11,MATCH($C12,属性耐性マスタ!$A$5:$A$11,0),1),0)+IFERROR(VLOOKUP($AM12,個性タイプマスタ!$A$5:$P$100,12,FALSE),0)))</f>
        <v>0.33</v>
      </c>
      <c r="Q12" s="58">
        <f>MAX(-10,MIN(0.8,IFERROR(INDEX(属性耐性マスタ!$B$5:$G$11,MATCH($C12,属性耐性マスタ!$A$5:$A$11,0),2),0)+IFERROR(VLOOKUP($AM12,個性タイプマスタ!$A$5:$P$100,12,FALSE),0)))</f>
        <v>0.03</v>
      </c>
      <c r="R12" s="58">
        <f>MAX(-10,MIN(0.8,IFERROR(INDEX(属性耐性マスタ!$B$5:$G$11,MATCH($C12,属性耐性マスタ!$A$5:$A$11,0),3),0)+IFERROR(VLOOKUP($AM12,個性タイプマスタ!$A$5:$P$100,12,FALSE),0)))</f>
        <v>0.13</v>
      </c>
      <c r="S12" s="58">
        <f>MAX(-10,MIN(0.8,IFERROR(INDEX(属性耐性マスタ!$B$5:$G$11,MATCH($C12,属性耐性マスタ!$A$5:$A$11,0),4),0)+IFERROR(VLOOKUP($AM12,個性タイプマスタ!$A$5:$P$100,12,FALSE),0)))</f>
        <v>0.13</v>
      </c>
      <c r="T12" s="58">
        <f>MAX(-10,MIN(0.8,IFERROR(INDEX(属性耐性マスタ!$B$5:$G$11,MATCH($C12,属性耐性マスタ!$A$5:$A$11,0),5),0)+IFERROR(VLOOKUP($AM12,個性タイプマスタ!$A$5:$P$100,12,FALSE),0)))</f>
        <v>0.13</v>
      </c>
      <c r="U12" s="58">
        <f>MAX(-10,MIN(0.8,IFERROR(INDEX(属性耐性マスタ!$B$5:$G$11,MATCH($C12,属性耐性マスタ!$A$5:$A$11,0),6),0)+IFERROR(VLOOKUP($AM12,個性タイプマスタ!$A$5:$P$100,12,FALSE),0)))</f>
        <v>0.13</v>
      </c>
      <c r="V12" s="59">
        <f>ROUND(設定!$B$19*IFERROR(VLOOKUP($AM12,個性タイプマスタ!$A$5:$P$100,13,FALSE),1),2)</f>
        <v>4.4800000000000004</v>
      </c>
      <c r="W12" s="59">
        <v>2</v>
      </c>
      <c r="X12" s="59" t="str">
        <f>IFERROR(VLOOKUP($AM12,個性タイプマスタ!$A$5:$P$100,2,FALSE),"Ranged")</f>
        <v>Ranged</v>
      </c>
      <c r="Y12" s="56">
        <f>IFERROR(VLOOKUP($AM12,個性タイプマスタ!$A$5:$P$100,3,FALSE),1)</f>
        <v>0.55000000000000004</v>
      </c>
      <c r="Z12" s="56">
        <f>IFERROR(VLOOKUP($AM12,個性タイプマスタ!$A$5:$P$100,4,FALSE),1)</f>
        <v>1.45</v>
      </c>
      <c r="AA12" s="56">
        <f>IFERROR(VLOOKUP($AM12,個性タイプマスタ!$A$5:$P$100,5,FALSE),1)</f>
        <v>2.25</v>
      </c>
      <c r="AB12" s="56">
        <f>IFERROR(VLOOKUP($AM12,個性タイプマスタ!$A$5:$P$100,6,FALSE),1)</f>
        <v>0.88</v>
      </c>
      <c r="AC12" s="56">
        <f>IFERROR(VLOOKUP($AM12,個性タイプマスタ!$A$5:$P$100,7,FALSE),1)</f>
        <v>1.26</v>
      </c>
      <c r="AD12" s="56">
        <f>IFERROR(VLOOKUP($AM12,個性タイプマスタ!$A$5:$P$100,8,FALSE),1)</f>
        <v>0.75</v>
      </c>
      <c r="AE12" s="60">
        <f>IFERROR(D12/設定!$B$5,1)</f>
        <v>1.1000000000000001</v>
      </c>
      <c r="AF12" s="60">
        <f>1+設定!$B$13*((I12/設定!$B$8+J12/設定!$B$9)/(2*AE12))</f>
        <v>1.5625</v>
      </c>
      <c r="AG12" s="60">
        <f>MAX(0.7,1+設定!$B$14*(O12/IF(X12="Melee",1.5,2.5)-1))</f>
        <v>1.0311999999999999</v>
      </c>
      <c r="AH12" s="53">
        <f t="shared" si="1"/>
        <v>28.558729267200004</v>
      </c>
      <c r="AI12" s="53">
        <f>E12*AF12*(1+設定!$B$18*AVERAGE(P12:U12))</f>
        <v>101.60312500000001</v>
      </c>
      <c r="AJ12" s="61">
        <f>設定!$B$5*SQRT((AH12/(設定!$B$7*設定!$B$10*(1+設定!$B$11*(設定!$B$12-1))))*(AI12/(設定!$B$6*(1+設定!$B$13))))</f>
        <v>109.98997698335972</v>
      </c>
      <c r="AK12" s="62">
        <f t="shared" si="2"/>
        <v>-9.1118333093387349E-5</v>
      </c>
      <c r="AL12" s="63">
        <f t="shared" si="3"/>
        <v>82.5</v>
      </c>
      <c r="AM12" s="64" t="s">
        <v>940</v>
      </c>
      <c r="AN12" s="54">
        <f>MAX(1,ROUND((設定!$B$7*設定!$B$10*(1+設定!$B$11*(設定!$B$12-1)))*AE12^2*(設定!$B$6*(1+設定!$B$13))/(AI12*N12*(1+K12*(L12-1))*AG12),0))</f>
        <v>31</v>
      </c>
      <c r="AO12" s="65" t="str">
        <f>IF($A12="","",IF(COUNTIF(個性タイプマスタ!$A$5:$A$100,$AM12)&gt;0,"OK","未登録"))</f>
        <v>OK</v>
      </c>
      <c r="AP12" s="67" t="str">
        <f>IF($A12="","",IF(COUNTIF(属性耐性マスタ!$A$5:$A$11,$C12)&gt;0,"OK","未登録"))</f>
        <v>OK</v>
      </c>
    </row>
    <row r="13" spans="1:42">
      <c r="A13" s="66" t="s">
        <v>126</v>
      </c>
      <c r="B13" s="51" t="s">
        <v>127</v>
      </c>
      <c r="C13" s="109" t="s">
        <v>871</v>
      </c>
      <c r="D13" s="53">
        <f>ROUND(設定!$B$5*POWER($D$2,W13-1),2)</f>
        <v>110</v>
      </c>
      <c r="E13" s="54">
        <f>MAX(1,ROUND(設定!$B$6*AE13*Y13,0))</f>
        <v>110</v>
      </c>
      <c r="F13" s="54">
        <f>MAX(0,ROUND(設定!$B$7*AE13*設定!$B$15*IF(X13="Melee",0.6,1.35)*IFERROR(VLOOKUP($AM13,個性タイプマスタ!$A$5:$P$100,14,FALSE),1),0))</f>
        <v>23</v>
      </c>
      <c r="G13" s="54">
        <f>IF(X13="Melee",AN13,MAX(1,ROUND(AN13*設定!$B$16*IFERROR(VLOOKUP($AM13,個性タイプマスタ!$A$5:$P$100,15,FALSE),1),0)))</f>
        <v>9</v>
      </c>
      <c r="H13" s="54">
        <f>IF(X13="Ranged",AN13,MAX(1,ROUND(AN13*設定!$B$16*IFERROR(VLOOKUP($AM13,個性タイプマスタ!$A$5:$P$100,15,FALSE),1),0)))</f>
        <v>19</v>
      </c>
      <c r="I13" s="54">
        <f>MAX(0,ROUND(設定!$B$8*AE13*Z13,0))</f>
        <v>9</v>
      </c>
      <c r="J13" s="54">
        <f>MAX(0,ROUND(設定!$B$9*AE13*AA13,0))</f>
        <v>11</v>
      </c>
      <c r="K13" s="55">
        <f>IFERROR(VLOOKUP($AM13,個性タイプマスタ!$A$5:$P$100,9,FALSE),0.05)</f>
        <v>0.06</v>
      </c>
      <c r="L13" s="56">
        <f>IFERROR(VLOOKUP($AM13,個性タイプマスタ!$A$5:$P$100,10,FALSE),1.5)</f>
        <v>1.4</v>
      </c>
      <c r="M13" s="56">
        <f>IFERROR(VLOOKUP($AM13,個性タイプマスタ!$A$5:$P$100,11,FALSE),2)</f>
        <v>2.1</v>
      </c>
      <c r="N13" s="57">
        <f>MAX(0.1,ROUND(設定!$B$10*AB13,3))</f>
        <v>0.95</v>
      </c>
      <c r="O13" s="57">
        <f t="shared" si="0"/>
        <v>2.875</v>
      </c>
      <c r="P13" s="58">
        <f>MAX(-10,MIN(0.8,IFERROR(INDEX(属性耐性マスタ!$B$5:$G$11,MATCH($C13,属性耐性マスタ!$A$5:$A$11,0),1),0)+IFERROR(VLOOKUP($AM13,個性タイプマスタ!$A$5:$P$100,12,FALSE),0)))</f>
        <v>0.03</v>
      </c>
      <c r="Q13" s="58">
        <f>MAX(-10,MIN(0.8,IFERROR(INDEX(属性耐性マスタ!$B$5:$G$11,MATCH($C13,属性耐性マスタ!$A$5:$A$11,0),2),0)+IFERROR(VLOOKUP($AM13,個性タイプマスタ!$A$5:$P$100,12,FALSE),0)))</f>
        <v>0.03</v>
      </c>
      <c r="R13" s="58">
        <f>MAX(-10,MIN(0.8,IFERROR(INDEX(属性耐性マスタ!$B$5:$G$11,MATCH($C13,属性耐性マスタ!$A$5:$A$11,0),3),0)+IFERROR(VLOOKUP($AM13,個性タイプマスタ!$A$5:$P$100,12,FALSE),0)))</f>
        <v>-7.0000000000000007E-2</v>
      </c>
      <c r="S13" s="58">
        <f>MAX(-10,MIN(0.8,IFERROR(INDEX(属性耐性マスタ!$B$5:$G$11,MATCH($C13,属性耐性マスタ!$A$5:$A$11,0),4),0)+IFERROR(VLOOKUP($AM13,個性タイプマスタ!$A$5:$P$100,12,FALSE),0)))</f>
        <v>0.23</v>
      </c>
      <c r="T13" s="58">
        <f>MAX(-10,MIN(0.8,IFERROR(INDEX(属性耐性マスタ!$B$5:$G$11,MATCH($C13,属性耐性マスタ!$A$5:$A$11,0),5),0)+IFERROR(VLOOKUP($AM13,個性タイプマスタ!$A$5:$P$100,12,FALSE),0)))</f>
        <v>0.03</v>
      </c>
      <c r="U13" s="58">
        <f>MAX(-10,MIN(0.8,IFERROR(INDEX(属性耐性マスタ!$B$5:$G$11,MATCH($C13,属性耐性マスタ!$A$5:$A$11,0),6),0)+IFERROR(VLOOKUP($AM13,個性タイプマスタ!$A$5:$P$100,12,FALSE),0)))</f>
        <v>0.03</v>
      </c>
      <c r="V13" s="59">
        <f>ROUND(設定!$B$19*IFERROR(VLOOKUP($AM13,個性タイプマスタ!$A$5:$P$100,13,FALSE),1),2)</f>
        <v>4.8</v>
      </c>
      <c r="W13" s="59">
        <v>2</v>
      </c>
      <c r="X13" s="59" t="str">
        <f>IFERROR(VLOOKUP($AM13,個性タイプマスタ!$A$5:$P$100,2,FALSE),"Ranged")</f>
        <v>Ranged</v>
      </c>
      <c r="Y13" s="56">
        <f>IFERROR(VLOOKUP($AM13,個性タイプマスタ!$A$5:$P$100,3,FALSE),1)</f>
        <v>1</v>
      </c>
      <c r="Z13" s="56">
        <f>IFERROR(VLOOKUP($AM13,個性タイプマスタ!$A$5:$P$100,4,FALSE),1)</f>
        <v>1</v>
      </c>
      <c r="AA13" s="56">
        <f>IFERROR(VLOOKUP($AM13,個性タイプマスタ!$A$5:$P$100,5,FALSE),1)</f>
        <v>1.2</v>
      </c>
      <c r="AB13" s="56">
        <f>IFERROR(VLOOKUP($AM13,個性タイプマスタ!$A$5:$P$100,6,FALSE),1)</f>
        <v>0.95</v>
      </c>
      <c r="AC13" s="56">
        <f>IFERROR(VLOOKUP($AM13,個性タイプマスタ!$A$5:$P$100,7,FALSE),1)</f>
        <v>1.1499999999999999</v>
      </c>
      <c r="AD13" s="56">
        <f>IFERROR(VLOOKUP($AM13,個性タイプマスタ!$A$5:$P$100,8,FALSE),1)</f>
        <v>0.84</v>
      </c>
      <c r="AE13" s="60">
        <f>IFERROR(D13/設定!$B$5,1)</f>
        <v>1.1000000000000001</v>
      </c>
      <c r="AF13" s="60">
        <f>1+設定!$B$13*((I13/設定!$B$8+J13/設定!$B$9)/(2*AE13))</f>
        <v>1.3409090909090908</v>
      </c>
      <c r="AG13" s="60">
        <f>MAX(0.7,1+設定!$B$14*(O13/IF(X13="Melee",1.5,2.5)-1))</f>
        <v>1.018</v>
      </c>
      <c r="AH13" s="53">
        <f t="shared" si="1"/>
        <v>18.8158976</v>
      </c>
      <c r="AI13" s="53">
        <f>E13*AF13*(1+設定!$B$18*AVERAGE(P13:U13))</f>
        <v>150.5975</v>
      </c>
      <c r="AJ13" s="61">
        <f>設定!$B$5*SQRT((AH13/(設定!$B$7*設定!$B$10*(1+設定!$B$11*(設定!$B$12-1))))*(AI13/(設定!$B$6*(1+設定!$B$13))))</f>
        <v>108.69297860172473</v>
      </c>
      <c r="AK13" s="62">
        <f t="shared" si="2"/>
        <v>-1.1882012711593393E-2</v>
      </c>
      <c r="AL13" s="63">
        <f t="shared" si="3"/>
        <v>92.399999999999991</v>
      </c>
      <c r="AM13" s="64" t="s">
        <v>898</v>
      </c>
      <c r="AN13" s="54">
        <f>MAX(1,ROUND((設定!$B$7*設定!$B$10*(1+設定!$B$11*(設定!$B$12-1)))*AE13^2*(設定!$B$6*(1+設定!$B$13))/(AI13*N13*(1+K13*(L13-1))*AG13),0))</f>
        <v>19</v>
      </c>
      <c r="AO13" s="65" t="str">
        <f>IF($A13="","",IF(COUNTIF(個性タイプマスタ!$A$5:$A$100,$AM13)&gt;0,"OK","未登録"))</f>
        <v>OK</v>
      </c>
      <c r="AP13" s="67" t="str">
        <f>IF($A13="","",IF(COUNTIF(属性耐性マスタ!$A$5:$A$11,$C13)&gt;0,"OK","未登録"))</f>
        <v>OK</v>
      </c>
    </row>
    <row r="14" spans="1:42">
      <c r="A14" s="66" t="s">
        <v>128</v>
      </c>
      <c r="B14" s="51" t="s">
        <v>129</v>
      </c>
      <c r="C14" s="109" t="s">
        <v>871</v>
      </c>
      <c r="D14" s="53">
        <f>ROUND(設定!$B$5*POWER($D$2,W14-1),2)</f>
        <v>110</v>
      </c>
      <c r="E14" s="54">
        <f>MAX(1,ROUND(設定!$B$6*AE14*Y14,0))</f>
        <v>130</v>
      </c>
      <c r="F14" s="54">
        <f>MAX(0,ROUND(設定!$B$7*AE14*設定!$B$15*IF(X14="Melee",0.6,1.35)*IFERROR(VLOOKUP($AM14,個性タイプマスタ!$A$5:$P$100,14,FALSE),1),0))</f>
        <v>7</v>
      </c>
      <c r="G14" s="54">
        <f>IF(X14="Melee",AN14,MAX(1,ROUND(AN14*設定!$B$16*IFERROR(VLOOKUP($AM14,個性タイプマスタ!$A$5:$P$100,15,FALSE),1),0)))</f>
        <v>17</v>
      </c>
      <c r="H14" s="54">
        <f>IF(X14="Ranged",AN14,MAX(1,ROUND(AN14*設定!$B$16*IFERROR(VLOOKUP($AM14,個性タイプマスタ!$A$5:$P$100,15,FALSE),1),0)))</f>
        <v>5</v>
      </c>
      <c r="I14" s="54">
        <f>MAX(0,ROUND(設定!$B$8*AE14*Z14,0))</f>
        <v>10</v>
      </c>
      <c r="J14" s="54">
        <f>MAX(0,ROUND(設定!$B$9*AE14*AA14,0))</f>
        <v>10</v>
      </c>
      <c r="K14" s="55">
        <f>IFERROR(VLOOKUP($AM14,個性タイプマスタ!$A$5:$P$100,9,FALSE),0.05)</f>
        <v>0.04</v>
      </c>
      <c r="L14" s="56">
        <f>IFERROR(VLOOKUP($AM14,個性タイプマスタ!$A$5:$P$100,10,FALSE),1.5)</f>
        <v>1.43</v>
      </c>
      <c r="M14" s="56">
        <f>IFERROR(VLOOKUP($AM14,個性タイプマスタ!$A$5:$P$100,11,FALSE),2)</f>
        <v>2.15</v>
      </c>
      <c r="N14" s="57">
        <f>MAX(0.1,ROUND(設定!$B$10*AB14,3))</f>
        <v>0.88</v>
      </c>
      <c r="O14" s="57">
        <f t="shared" si="0"/>
        <v>1.425</v>
      </c>
      <c r="P14" s="58">
        <f>MAX(-10,MIN(0.8,IFERROR(INDEX(属性耐性マスタ!$B$5:$G$11,MATCH($C14,属性耐性マスタ!$A$5:$A$11,0),1),0)+IFERROR(VLOOKUP($AM14,個性タイプマスタ!$A$5:$P$100,12,FALSE),0)))</f>
        <v>0.19</v>
      </c>
      <c r="Q14" s="58">
        <f>MAX(-10,MIN(0.8,IFERROR(INDEX(属性耐性マスタ!$B$5:$G$11,MATCH($C14,属性耐性マスタ!$A$5:$A$11,0),2),0)+IFERROR(VLOOKUP($AM14,個性タイプマスタ!$A$5:$P$100,12,FALSE),0)))</f>
        <v>0.19</v>
      </c>
      <c r="R14" s="58">
        <f>MAX(-10,MIN(0.8,IFERROR(INDEX(属性耐性マスタ!$B$5:$G$11,MATCH($C14,属性耐性マスタ!$A$5:$A$11,0),3),0)+IFERROR(VLOOKUP($AM14,個性タイプマスタ!$A$5:$P$100,12,FALSE),0)))</f>
        <v>0.09</v>
      </c>
      <c r="S14" s="58">
        <f>MAX(-10,MIN(0.8,IFERROR(INDEX(属性耐性マスタ!$B$5:$G$11,MATCH($C14,属性耐性マスタ!$A$5:$A$11,0),4),0)+IFERROR(VLOOKUP($AM14,個性タイプマスタ!$A$5:$P$100,12,FALSE),0)))</f>
        <v>0.39</v>
      </c>
      <c r="T14" s="58">
        <f>MAX(-10,MIN(0.8,IFERROR(INDEX(属性耐性マスタ!$B$5:$G$11,MATCH($C14,属性耐性マスタ!$A$5:$A$11,0),5),0)+IFERROR(VLOOKUP($AM14,個性タイプマスタ!$A$5:$P$100,12,FALSE),0)))</f>
        <v>0.19</v>
      </c>
      <c r="U14" s="58">
        <f>MAX(-10,MIN(0.8,IFERROR(INDEX(属性耐性マスタ!$B$5:$G$11,MATCH($C14,属性耐性マスタ!$A$5:$A$11,0),6),0)+IFERROR(VLOOKUP($AM14,個性タイプマスタ!$A$5:$P$100,12,FALSE),0)))</f>
        <v>0.19</v>
      </c>
      <c r="V14" s="59">
        <f>ROUND(設定!$B$19*IFERROR(VLOOKUP($AM14,個性タイプマスタ!$A$5:$P$100,13,FALSE),1),2)</f>
        <v>3.8</v>
      </c>
      <c r="W14" s="59">
        <v>2</v>
      </c>
      <c r="X14" s="59" t="str">
        <f>IFERROR(VLOOKUP($AM14,個性タイプマスタ!$A$5:$P$100,2,FALSE),"Ranged")</f>
        <v>Melee</v>
      </c>
      <c r="Y14" s="56">
        <f>IFERROR(VLOOKUP($AM14,個性タイプマスタ!$A$5:$P$100,3,FALSE),1)</f>
        <v>1.18</v>
      </c>
      <c r="Z14" s="56">
        <f>IFERROR(VLOOKUP($AM14,個性タイプマスタ!$A$5:$P$100,4,FALSE),1)</f>
        <v>1.1399999999999999</v>
      </c>
      <c r="AA14" s="56">
        <f>IFERROR(VLOOKUP($AM14,個性タイプマスタ!$A$5:$P$100,5,FALSE),1)</f>
        <v>1.1399999999999999</v>
      </c>
      <c r="AB14" s="56">
        <f>IFERROR(VLOOKUP($AM14,個性タイプマスタ!$A$5:$P$100,6,FALSE),1)</f>
        <v>0.88</v>
      </c>
      <c r="AC14" s="56">
        <f>IFERROR(VLOOKUP($AM14,個性タイプマスタ!$A$5:$P$100,7,FALSE),1)</f>
        <v>0.95</v>
      </c>
      <c r="AD14" s="56">
        <f>IFERROR(VLOOKUP($AM14,個性タイプマスタ!$A$5:$P$100,8,FALSE),1)</f>
        <v>0.88</v>
      </c>
      <c r="AE14" s="60">
        <f>IFERROR(D14/設定!$B$5,1)</f>
        <v>1.1000000000000001</v>
      </c>
      <c r="AF14" s="60">
        <f>1+設定!$B$13*((I14/設定!$B$8+J14/設定!$B$9)/(2*AE14))</f>
        <v>1.3409090909090908</v>
      </c>
      <c r="AG14" s="60">
        <f>MAX(0.7,1+設定!$B$14*(O14/IF(X14="Melee",1.5,2.5)-1))</f>
        <v>0.99399999999999999</v>
      </c>
      <c r="AH14" s="53">
        <f t="shared" si="1"/>
        <v>15.126008128000004</v>
      </c>
      <c r="AI14" s="53">
        <f>E14*AF14*(1+設定!$B$18*AVERAGE(P14:U14))</f>
        <v>190.52977272727273</v>
      </c>
      <c r="AJ14" s="61">
        <f>設定!$B$5*SQRT((AH14/(設定!$B$7*設定!$B$10*(1+設定!$B$11*(設定!$B$12-1))))*(AI14/(設定!$B$6*(1+設定!$B$13))))</f>
        <v>109.61594392797831</v>
      </c>
      <c r="AK14" s="62">
        <f t="shared" si="2"/>
        <v>-3.491418836560789E-3</v>
      </c>
      <c r="AL14" s="63">
        <f t="shared" si="3"/>
        <v>96.8</v>
      </c>
      <c r="AM14" s="64" t="s">
        <v>956</v>
      </c>
      <c r="AN14" s="54">
        <f>MAX(1,ROUND((設定!$B$7*設定!$B$10*(1+設定!$B$11*(設定!$B$12-1)))*AE14^2*(設定!$B$6*(1+設定!$B$13))/(AI14*N14*(1+K14*(L14-1))*AG14),0))</f>
        <v>17</v>
      </c>
      <c r="AO14" s="65" t="str">
        <f>IF($A14="","",IF(COUNTIF(個性タイプマスタ!$A$5:$A$100,$AM14)&gt;0,"OK","未登録"))</f>
        <v>OK</v>
      </c>
      <c r="AP14" s="67" t="str">
        <f>IF($A14="","",IF(COUNTIF(属性耐性マスタ!$A$5:$A$11,$C14)&gt;0,"OK","未登録"))</f>
        <v>OK</v>
      </c>
    </row>
    <row r="15" spans="1:42">
      <c r="A15" s="66" t="s">
        <v>130</v>
      </c>
      <c r="B15" s="51" t="s">
        <v>131</v>
      </c>
      <c r="C15" s="109" t="s">
        <v>871</v>
      </c>
      <c r="D15" s="53">
        <f>ROUND(設定!$B$5*POWER($D$2,W15-1),2)</f>
        <v>110</v>
      </c>
      <c r="E15" s="54">
        <f>MAX(1,ROUND(設定!$B$6*AE15*Y15,0))</f>
        <v>96</v>
      </c>
      <c r="F15" s="54">
        <f>MAX(0,ROUND(設定!$B$7*AE15*設定!$B$15*IF(X15="Melee",0.6,1.35)*IFERROR(VLOOKUP($AM15,個性タイプマスタ!$A$5:$P$100,14,FALSE),1),0))</f>
        <v>5</v>
      </c>
      <c r="G15" s="54">
        <f>IF(X15="Melee",AN15,MAX(1,ROUND(AN15*設定!$B$16*IFERROR(VLOOKUP($AM15,個性タイプマスタ!$A$5:$P$100,15,FALSE),1),0)))</f>
        <v>18</v>
      </c>
      <c r="H15" s="54">
        <f>IF(X15="Ranged",AN15,MAX(1,ROUND(AN15*設定!$B$16*IFERROR(VLOOKUP($AM15,個性タイプマスタ!$A$5:$P$100,15,FALSE),1),0)))</f>
        <v>5</v>
      </c>
      <c r="I15" s="54">
        <f>MAX(0,ROUND(設定!$B$8*AE15*Z15,0))</f>
        <v>8</v>
      </c>
      <c r="J15" s="54">
        <f>MAX(0,ROUND(設定!$B$9*AE15*AA15,0))</f>
        <v>7</v>
      </c>
      <c r="K15" s="55">
        <f>IFERROR(VLOOKUP($AM15,個性タイプマスタ!$A$5:$P$100,9,FALSE),0.05)</f>
        <v>0.27</v>
      </c>
      <c r="L15" s="56">
        <f>IFERROR(VLOOKUP($AM15,個性タイプマスタ!$A$5:$P$100,10,FALSE),1.5)</f>
        <v>2.0299999999999998</v>
      </c>
      <c r="M15" s="56">
        <f>IFERROR(VLOOKUP($AM15,個性タイプマスタ!$A$5:$P$100,11,FALSE),2)</f>
        <v>2.75</v>
      </c>
      <c r="N15" s="57">
        <f>MAX(0.1,ROUND(設定!$B$10*AB15,3))</f>
        <v>1.04</v>
      </c>
      <c r="O15" s="57">
        <f t="shared" si="0"/>
        <v>1.53</v>
      </c>
      <c r="P15" s="58">
        <f>MAX(-10,MIN(0.8,IFERROR(INDEX(属性耐性マスタ!$B$5:$G$11,MATCH($C15,属性耐性マスタ!$A$5:$A$11,0),1),0)+IFERROR(VLOOKUP($AM15,個性タイプマスタ!$A$5:$P$100,12,FALSE),0)))</f>
        <v>-0.06</v>
      </c>
      <c r="Q15" s="58">
        <f>MAX(-10,MIN(0.8,IFERROR(INDEX(属性耐性マスタ!$B$5:$G$11,MATCH($C15,属性耐性マスタ!$A$5:$A$11,0),2),0)+IFERROR(VLOOKUP($AM15,個性タイプマスタ!$A$5:$P$100,12,FALSE),0)))</f>
        <v>-0.06</v>
      </c>
      <c r="R15" s="58">
        <f>MAX(-10,MIN(0.8,IFERROR(INDEX(属性耐性マスタ!$B$5:$G$11,MATCH($C15,属性耐性マスタ!$A$5:$A$11,0),3),0)+IFERROR(VLOOKUP($AM15,個性タイプマスタ!$A$5:$P$100,12,FALSE),0)))</f>
        <v>-0.16</v>
      </c>
      <c r="S15" s="58">
        <f>MAX(-10,MIN(0.8,IFERROR(INDEX(属性耐性マスタ!$B$5:$G$11,MATCH($C15,属性耐性マスタ!$A$5:$A$11,0),4),0)+IFERROR(VLOOKUP($AM15,個性タイプマスタ!$A$5:$P$100,12,FALSE),0)))</f>
        <v>0.14000000000000001</v>
      </c>
      <c r="T15" s="58">
        <f>MAX(-10,MIN(0.8,IFERROR(INDEX(属性耐性マスタ!$B$5:$G$11,MATCH($C15,属性耐性マスタ!$A$5:$A$11,0),5),0)+IFERROR(VLOOKUP($AM15,個性タイプマスタ!$A$5:$P$100,12,FALSE),0)))</f>
        <v>-0.06</v>
      </c>
      <c r="U15" s="58">
        <f>MAX(-10,MIN(0.8,IFERROR(INDEX(属性耐性マスタ!$B$5:$G$11,MATCH($C15,属性耐性マスタ!$A$5:$A$11,0),6),0)+IFERROR(VLOOKUP($AM15,個性タイプマスタ!$A$5:$P$100,12,FALSE),0)))</f>
        <v>-0.06</v>
      </c>
      <c r="V15" s="59">
        <f>ROUND(設定!$B$19*IFERROR(VLOOKUP($AM15,個性タイプマスタ!$A$5:$P$100,13,FALSE),1),2)</f>
        <v>4.2</v>
      </c>
      <c r="W15" s="59">
        <v>2</v>
      </c>
      <c r="X15" s="59" t="str">
        <f>IFERROR(VLOOKUP($AM15,個性タイプマスタ!$A$5:$P$100,2,FALSE),"Ranged")</f>
        <v>Melee</v>
      </c>
      <c r="Y15" s="56">
        <f>IFERROR(VLOOKUP($AM15,個性タイプマスタ!$A$5:$P$100,3,FALSE),1)</f>
        <v>0.87</v>
      </c>
      <c r="Z15" s="56">
        <f>IFERROR(VLOOKUP($AM15,個性タイプマスタ!$A$5:$P$100,4,FALSE),1)</f>
        <v>0.86</v>
      </c>
      <c r="AA15" s="56">
        <f>IFERROR(VLOOKUP($AM15,個性タイプマスタ!$A$5:$P$100,5,FALSE),1)</f>
        <v>0.77</v>
      </c>
      <c r="AB15" s="56">
        <f>IFERROR(VLOOKUP($AM15,個性タイプマスタ!$A$5:$P$100,6,FALSE),1)</f>
        <v>1.04</v>
      </c>
      <c r="AC15" s="56">
        <f>IFERROR(VLOOKUP($AM15,個性タイプマスタ!$A$5:$P$100,7,FALSE),1)</f>
        <v>1.02</v>
      </c>
      <c r="AD15" s="56">
        <f>IFERROR(VLOOKUP($AM15,個性タイプマスタ!$A$5:$P$100,8,FALSE),1)</f>
        <v>0.7</v>
      </c>
      <c r="AE15" s="60">
        <f>IFERROR(D15/設定!$B$5,1)</f>
        <v>1.1000000000000001</v>
      </c>
      <c r="AF15" s="60">
        <f>1+設定!$B$13*((I15/設定!$B$8+J15/設定!$B$9)/(2*AE15))</f>
        <v>1.2556818181818181</v>
      </c>
      <c r="AG15" s="60">
        <f>MAX(0.7,1+設定!$B$14*(O15/IF(X15="Melee",1.5,2.5)-1))</f>
        <v>1.0024</v>
      </c>
      <c r="AH15" s="53">
        <f t="shared" si="1"/>
        <v>23.983454476799999</v>
      </c>
      <c r="AI15" s="53">
        <f>E15*AF15*(1+設定!$B$18*AVERAGE(P15:U15))</f>
        <v>118.19481818181818</v>
      </c>
      <c r="AJ15" s="61">
        <f>設定!$B$5*SQRT((AH15/(設定!$B$7*設定!$B$10*(1+設定!$B$11*(設定!$B$12-1))))*(AI15/(設定!$B$6*(1+設定!$B$13))))</f>
        <v>108.71393749362157</v>
      </c>
      <c r="AK15" s="62">
        <f t="shared" si="2"/>
        <v>-1.1691477330712963E-2</v>
      </c>
      <c r="AL15" s="63">
        <f t="shared" si="3"/>
        <v>77</v>
      </c>
      <c r="AM15" s="64" t="s">
        <v>970</v>
      </c>
      <c r="AN15" s="54">
        <f>MAX(1,ROUND((設定!$B$7*設定!$B$10*(1+設定!$B$11*(設定!$B$12-1)))*AE15^2*(設定!$B$6*(1+設定!$B$13))/(AI15*N15*(1+K15*(L15-1))*AG15),0))</f>
        <v>18</v>
      </c>
      <c r="AO15" s="65" t="str">
        <f>IF($A15="","",IF(COUNTIF(個性タイプマスタ!$A$5:$A$100,$AM15)&gt;0,"OK","未登録"))</f>
        <v>OK</v>
      </c>
      <c r="AP15" s="67" t="str">
        <f>IF($A15="","",IF(COUNTIF(属性耐性マスタ!$A$5:$A$11,$C15)&gt;0,"OK","未登録"))</f>
        <v>OK</v>
      </c>
    </row>
    <row r="16" spans="1:42">
      <c r="A16" s="66" t="s">
        <v>132</v>
      </c>
      <c r="B16" s="51" t="s">
        <v>133</v>
      </c>
      <c r="C16" s="109" t="s">
        <v>874</v>
      </c>
      <c r="D16" s="53">
        <f>ROUND(設定!$B$5*POWER($D$2,W16-1),2)</f>
        <v>110</v>
      </c>
      <c r="E16" s="54">
        <f>MAX(1,ROUND(設定!$B$6*AE16*Y16,0))</f>
        <v>110</v>
      </c>
      <c r="F16" s="54">
        <f>MAX(0,ROUND(設定!$B$7*AE16*設定!$B$15*IF(X16="Melee",0.6,1.35)*IFERROR(VLOOKUP($AM16,個性タイプマスタ!$A$5:$P$100,14,FALSE),1),0))</f>
        <v>18</v>
      </c>
      <c r="G16" s="54">
        <f>IF(X16="Melee",AN16,MAX(1,ROUND(AN16*設定!$B$16*IFERROR(VLOOKUP($AM16,個性タイプマスタ!$A$5:$P$100,15,FALSE),1),0)))</f>
        <v>8</v>
      </c>
      <c r="H16" s="54">
        <f>IF(X16="Ranged",AN16,MAX(1,ROUND(AN16*設定!$B$16*IFERROR(VLOOKUP($AM16,個性タイプマスタ!$A$5:$P$100,15,FALSE),1),0)))</f>
        <v>18</v>
      </c>
      <c r="I16" s="54">
        <f>MAX(0,ROUND(設定!$B$8*AE16*Z16,0))</f>
        <v>8</v>
      </c>
      <c r="J16" s="54">
        <f>MAX(0,ROUND(設定!$B$9*AE16*AA16,0))</f>
        <v>10</v>
      </c>
      <c r="K16" s="55">
        <f>IFERROR(VLOOKUP($AM16,個性タイプマスタ!$A$5:$P$100,9,FALSE),0.05)</f>
        <v>7.0000000000000007E-2</v>
      </c>
      <c r="L16" s="56">
        <f>IFERROR(VLOOKUP($AM16,個性タイプマスタ!$A$5:$P$100,10,FALSE),1.5)</f>
        <v>1.55</v>
      </c>
      <c r="M16" s="56">
        <f>IFERROR(VLOOKUP($AM16,個性タイプマスタ!$A$5:$P$100,11,FALSE),2)</f>
        <v>2.2999999999999998</v>
      </c>
      <c r="N16" s="57">
        <f>MAX(0.1,ROUND(設定!$B$10*AB16,3))</f>
        <v>1.1000000000000001</v>
      </c>
      <c r="O16" s="57">
        <f t="shared" si="0"/>
        <v>2.7</v>
      </c>
      <c r="P16" s="58">
        <f>MAX(-10,MIN(0.8,IFERROR(INDEX(属性耐性マスタ!$B$5:$G$11,MATCH($C16,属性耐性マスタ!$A$5:$A$11,0),1),0)+IFERROR(VLOOKUP($AM16,個性タイプマスタ!$A$5:$P$100,12,FALSE),0)))</f>
        <v>-0.03</v>
      </c>
      <c r="Q16" s="58">
        <f>MAX(-10,MIN(0.8,IFERROR(INDEX(属性耐性マスタ!$B$5:$G$11,MATCH($C16,属性耐性マスタ!$A$5:$A$11,0),2),0)+IFERROR(VLOOKUP($AM16,個性タイプマスタ!$A$5:$P$100,12,FALSE),0)))</f>
        <v>-0.03</v>
      </c>
      <c r="R16" s="58">
        <f>MAX(-10,MIN(0.8,IFERROR(INDEX(属性耐性マスタ!$B$5:$G$11,MATCH($C16,属性耐性マスタ!$A$5:$A$11,0),3),0)+IFERROR(VLOOKUP($AM16,個性タイプマスタ!$A$5:$P$100,12,FALSE),0)))</f>
        <v>-0.03</v>
      </c>
      <c r="S16" s="58">
        <f>MAX(-10,MIN(0.8,IFERROR(INDEX(属性耐性マスタ!$B$5:$G$11,MATCH($C16,属性耐性マスタ!$A$5:$A$11,0),4),0)+IFERROR(VLOOKUP($AM16,個性タイプマスタ!$A$5:$P$100,12,FALSE),0)))</f>
        <v>-0.03</v>
      </c>
      <c r="T16" s="58">
        <f>MAX(-10,MIN(0.8,IFERROR(INDEX(属性耐性マスタ!$B$5:$G$11,MATCH($C16,属性耐性マスタ!$A$5:$A$11,0),5),0)+IFERROR(VLOOKUP($AM16,個性タイプマスタ!$A$5:$P$100,12,FALSE),0)))</f>
        <v>-0.13</v>
      </c>
      <c r="U16" s="58">
        <f>MAX(-10,MIN(0.8,IFERROR(INDEX(属性耐性マスタ!$B$5:$G$11,MATCH($C16,属性耐性マスタ!$A$5:$A$11,0),6),0)+IFERROR(VLOOKUP($AM16,個性タイプマスタ!$A$5:$P$100,12,FALSE),0)))</f>
        <v>0.17</v>
      </c>
      <c r="V16" s="59">
        <f>ROUND(設定!$B$19*IFERROR(VLOOKUP($AM16,個性タイプマスタ!$A$5:$P$100,13,FALSE),1),2)</f>
        <v>4</v>
      </c>
      <c r="W16" s="59">
        <v>2</v>
      </c>
      <c r="X16" s="59" t="str">
        <f>IFERROR(VLOOKUP($AM16,個性タイプマスタ!$A$5:$P$100,2,FALSE),"Ranged")</f>
        <v>Ranged</v>
      </c>
      <c r="Y16" s="56">
        <f>IFERROR(VLOOKUP($AM16,個性タイプマスタ!$A$5:$P$100,3,FALSE),1)</f>
        <v>1</v>
      </c>
      <c r="Z16" s="56">
        <f>IFERROR(VLOOKUP($AM16,個性タイプマスタ!$A$5:$P$100,4,FALSE),1)</f>
        <v>0.95</v>
      </c>
      <c r="AA16" s="56">
        <f>IFERROR(VLOOKUP($AM16,個性タイプマスタ!$A$5:$P$100,5,FALSE),1)</f>
        <v>1.1000000000000001</v>
      </c>
      <c r="AB16" s="56">
        <f>IFERROR(VLOOKUP($AM16,個性タイプマスタ!$A$5:$P$100,6,FALSE),1)</f>
        <v>1.1000000000000001</v>
      </c>
      <c r="AC16" s="56">
        <f>IFERROR(VLOOKUP($AM16,個性タイプマスタ!$A$5:$P$100,7,FALSE),1)</f>
        <v>1.08</v>
      </c>
      <c r="AD16" s="56">
        <f>IFERROR(VLOOKUP($AM16,個性タイプマスタ!$A$5:$P$100,8,FALSE),1)</f>
        <v>0.8</v>
      </c>
      <c r="AE16" s="60">
        <f>IFERROR(D16/設定!$B$5,1)</f>
        <v>1.1000000000000001</v>
      </c>
      <c r="AF16" s="60">
        <f>1+設定!$B$13*((I16/設定!$B$8+J16/設定!$B$9)/(2*AE16))</f>
        <v>1.3068181818181819</v>
      </c>
      <c r="AG16" s="60">
        <f>MAX(0.7,1+設定!$B$14*(O16/IF(X16="Melee",1.5,2.5)-1))</f>
        <v>1.0096000000000001</v>
      </c>
      <c r="AH16" s="53">
        <f t="shared" si="1"/>
        <v>20.759698080000003</v>
      </c>
      <c r="AI16" s="53">
        <f>E16*AF16*(1+設定!$B$18*AVERAGE(P16:U16))</f>
        <v>142.88749999999999</v>
      </c>
      <c r="AJ16" s="61">
        <f>設定!$B$5*SQRT((AH16/(設定!$B$7*設定!$B$10*(1+設定!$B$11*(設定!$B$12-1))))*(AI16/(設定!$B$6*(1+設定!$B$13))))</f>
        <v>111.20844649410526</v>
      </c>
      <c r="AK16" s="62">
        <f t="shared" si="2"/>
        <v>1.0985877219138684E-2</v>
      </c>
      <c r="AL16" s="63">
        <f t="shared" si="3"/>
        <v>88</v>
      </c>
      <c r="AM16" s="64" t="s">
        <v>883</v>
      </c>
      <c r="AN16" s="54">
        <f>MAX(1,ROUND((設定!$B$7*設定!$B$10*(1+設定!$B$11*(設定!$B$12-1)))*AE16^2*(設定!$B$6*(1+設定!$B$13))/(AI16*N16*(1+K16*(L16-1))*AG16),0))</f>
        <v>18</v>
      </c>
      <c r="AO16" s="65" t="str">
        <f>IF($A16="","",IF(COUNTIF(個性タイプマスタ!$A$5:$A$100,$AM16)&gt;0,"OK","未登録"))</f>
        <v>OK</v>
      </c>
      <c r="AP16" s="67" t="str">
        <f>IF($A16="","",IF(COUNTIF(属性耐性マスタ!$A$5:$A$11,$C16)&gt;0,"OK","未登録"))</f>
        <v>OK</v>
      </c>
    </row>
    <row r="17" spans="1:42">
      <c r="A17" s="66" t="s">
        <v>134</v>
      </c>
      <c r="B17" s="51" t="s">
        <v>135</v>
      </c>
      <c r="C17" s="109" t="s">
        <v>874</v>
      </c>
      <c r="D17" s="53">
        <f>ROUND(設定!$B$5*POWER($D$2,W17-1),2)</f>
        <v>121</v>
      </c>
      <c r="E17" s="54">
        <f>MAX(1,ROUND(設定!$B$6*AE17*Y17,0))</f>
        <v>169</v>
      </c>
      <c r="F17" s="54">
        <f>MAX(0,ROUND(設定!$B$7*AE17*設定!$B$15*IF(X17="Melee",0.6,1.35)*IFERROR(VLOOKUP($AM17,個性タイプマスタ!$A$5:$P$100,14,FALSE),1),0))</f>
        <v>39</v>
      </c>
      <c r="G17" s="54">
        <f>IF(X17="Melee",AN17,MAX(1,ROUND(AN17*設定!$B$16*IFERROR(VLOOKUP($AM17,個性タイプマスタ!$A$5:$P$100,15,FALSE),1),0)))</f>
        <v>6</v>
      </c>
      <c r="H17" s="54">
        <f>IF(X17="Ranged",AN17,MAX(1,ROUND(AN17*設定!$B$16*IFERROR(VLOOKUP($AM17,個性タイプマスタ!$A$5:$P$100,15,FALSE),1),0)))</f>
        <v>17</v>
      </c>
      <c r="I17" s="54">
        <f>MAX(0,ROUND(設定!$B$8*AE17*Z17,0))</f>
        <v>9</v>
      </c>
      <c r="J17" s="54">
        <f>MAX(0,ROUND(設定!$B$9*AE17*AA17,0))</f>
        <v>16</v>
      </c>
      <c r="K17" s="55">
        <f>IFERROR(VLOOKUP($AM17,個性タイプマスタ!$A$5:$P$100,9,FALSE),0.05)</f>
        <v>0.115</v>
      </c>
      <c r="L17" s="56">
        <f>IFERROR(VLOOKUP($AM17,個性タイプマスタ!$A$5:$P$100,10,FALSE),1.5)</f>
        <v>1.95</v>
      </c>
      <c r="M17" s="56">
        <f>IFERROR(VLOOKUP($AM17,個性タイプマスタ!$A$5:$P$100,11,FALSE),2)</f>
        <v>1.2</v>
      </c>
      <c r="N17" s="57">
        <f>MAX(0.1,ROUND(設定!$B$10*AB17,3))</f>
        <v>0.72</v>
      </c>
      <c r="O17" s="57">
        <f t="shared" si="0"/>
        <v>3.3250000000000002</v>
      </c>
      <c r="P17" s="58">
        <f>MAX(-10,MIN(0.8,IFERROR(INDEX(属性耐性マスタ!$B$5:$G$11,MATCH($C17,属性耐性マスタ!$A$5:$A$11,0),1),0)+IFERROR(VLOOKUP($AM17,個性タイプマスタ!$A$5:$P$100,12,FALSE),0)))</f>
        <v>0.08</v>
      </c>
      <c r="Q17" s="58">
        <f>MAX(-10,MIN(0.8,IFERROR(INDEX(属性耐性マスタ!$B$5:$G$11,MATCH($C17,属性耐性マスタ!$A$5:$A$11,0),2),0)+IFERROR(VLOOKUP($AM17,個性タイプマスタ!$A$5:$P$100,12,FALSE),0)))</f>
        <v>0.08</v>
      </c>
      <c r="R17" s="58">
        <f>MAX(-10,MIN(0.8,IFERROR(INDEX(属性耐性マスタ!$B$5:$G$11,MATCH($C17,属性耐性マスタ!$A$5:$A$11,0),3),0)+IFERROR(VLOOKUP($AM17,個性タイプマスタ!$A$5:$P$100,12,FALSE),0)))</f>
        <v>0.08</v>
      </c>
      <c r="S17" s="58">
        <f>MAX(-10,MIN(0.8,IFERROR(INDEX(属性耐性マスタ!$B$5:$G$11,MATCH($C17,属性耐性マスタ!$A$5:$A$11,0),4),0)+IFERROR(VLOOKUP($AM17,個性タイプマスタ!$A$5:$P$100,12,FALSE),0)))</f>
        <v>0.08</v>
      </c>
      <c r="T17" s="58">
        <f>MAX(-10,MIN(0.8,IFERROR(INDEX(属性耐性マスタ!$B$5:$G$11,MATCH($C17,属性耐性マスタ!$A$5:$A$11,0),5),0)+IFERROR(VLOOKUP($AM17,個性タイプマスタ!$A$5:$P$100,12,FALSE),0)))</f>
        <v>-2.0000000000000004E-2</v>
      </c>
      <c r="U17" s="58">
        <f>MAX(-10,MIN(0.8,IFERROR(INDEX(属性耐性マスタ!$B$5:$G$11,MATCH($C17,属性耐性マスタ!$A$5:$A$11,0),6),0)+IFERROR(VLOOKUP($AM17,個性タイプマスタ!$A$5:$P$100,12,FALSE),0)))</f>
        <v>0.28000000000000003</v>
      </c>
      <c r="V17" s="59">
        <f>ROUND(設定!$B$19*IFERROR(VLOOKUP($AM17,個性タイプマスタ!$A$5:$P$100,13,FALSE),1),2)</f>
        <v>5</v>
      </c>
      <c r="W17" s="59">
        <v>3</v>
      </c>
      <c r="X17" s="59" t="str">
        <f>IFERROR(VLOOKUP($AM17,個性タイプマスタ!$A$5:$P$100,2,FALSE),"Ranged")</f>
        <v>Ranged</v>
      </c>
      <c r="Y17" s="56">
        <f>IFERROR(VLOOKUP($AM17,個性タイプマスタ!$A$5:$P$100,3,FALSE),1)</f>
        <v>1.4</v>
      </c>
      <c r="Z17" s="56">
        <f>IFERROR(VLOOKUP($AM17,個性タイプマスタ!$A$5:$P$100,4,FALSE),1)</f>
        <v>0.95</v>
      </c>
      <c r="AA17" s="56">
        <f>IFERROR(VLOOKUP($AM17,個性タイプマスタ!$A$5:$P$100,5,FALSE),1)</f>
        <v>1.68</v>
      </c>
      <c r="AB17" s="56">
        <f>IFERROR(VLOOKUP($AM17,個性タイプマスタ!$A$5:$P$100,6,FALSE),1)</f>
        <v>0.72</v>
      </c>
      <c r="AC17" s="56">
        <f>IFERROR(VLOOKUP($AM17,個性タイプマスタ!$A$5:$P$100,7,FALSE),1)</f>
        <v>1.33</v>
      </c>
      <c r="AD17" s="56">
        <f>IFERROR(VLOOKUP($AM17,個性タイプマスタ!$A$5:$P$100,8,FALSE),1)</f>
        <v>0.86</v>
      </c>
      <c r="AE17" s="60">
        <f>IFERROR(D17/設定!$B$5,1)</f>
        <v>1.21</v>
      </c>
      <c r="AF17" s="60">
        <f>1+設定!$B$13*((I17/設定!$B$8+J17/設定!$B$9)/(2*AE17))</f>
        <v>1.3873966942148761</v>
      </c>
      <c r="AG17" s="60">
        <f>MAX(0.7,1+設定!$B$14*(O17/IF(X17="Melee",1.5,2.5)-1))</f>
        <v>1.0396000000000001</v>
      </c>
      <c r="AH17" s="53">
        <f t="shared" si="1"/>
        <v>14.114877912000001</v>
      </c>
      <c r="AI17" s="53">
        <f>E17*AF17*(1+設定!$B$18*AVERAGE(P17:U17))</f>
        <v>244.66948811983477</v>
      </c>
      <c r="AJ17" s="61">
        <f>設定!$B$5*SQRT((AH17/(設定!$B$7*設定!$B$10*(1+設定!$B$11*(設定!$B$12-1))))*(AI17/(設定!$B$6*(1+設定!$B$13))))</f>
        <v>119.9937451222853</v>
      </c>
      <c r="AK17" s="62">
        <f t="shared" si="2"/>
        <v>-8.3161560141710167E-3</v>
      </c>
      <c r="AL17" s="63">
        <f t="shared" si="3"/>
        <v>104.06</v>
      </c>
      <c r="AM17" s="64" t="s">
        <v>938</v>
      </c>
      <c r="AN17" s="54">
        <f>MAX(1,ROUND((設定!$B$7*設定!$B$10*(1+設定!$B$11*(設定!$B$12-1)))*AE17^2*(設定!$B$6*(1+設定!$B$13))/(AI17*N17*(1+K17*(L17-1))*AG17),0))</f>
        <v>17</v>
      </c>
      <c r="AO17" s="65" t="str">
        <f>IF($A17="","",IF(COUNTIF(個性タイプマスタ!$A$5:$A$100,$AM17)&gt;0,"OK","未登録"))</f>
        <v>OK</v>
      </c>
      <c r="AP17" s="67" t="str">
        <f>IF($A17="","",IF(COUNTIF(属性耐性マスタ!$A$5:$A$11,$C17)&gt;0,"OK","未登録"))</f>
        <v>OK</v>
      </c>
    </row>
    <row r="18" spans="1:42">
      <c r="A18" s="66" t="s">
        <v>136</v>
      </c>
      <c r="B18" s="51" t="s">
        <v>137</v>
      </c>
      <c r="C18" s="109" t="s">
        <v>871</v>
      </c>
      <c r="D18" s="53">
        <f>ROUND(設定!$B$5*POWER($D$2,W18-1),2)</f>
        <v>121</v>
      </c>
      <c r="E18" s="54">
        <f>MAX(1,ROUND(設定!$B$6*AE18*Y18,0))</f>
        <v>94</v>
      </c>
      <c r="F18" s="54">
        <f>MAX(0,ROUND(設定!$B$7*AE18*設定!$B$15*IF(X18="Melee",0.6,1.35)*IFERROR(VLOOKUP($AM18,個性タイプマスタ!$A$5:$P$100,14,FALSE),1),0))</f>
        <v>20</v>
      </c>
      <c r="G18" s="54">
        <f>IF(X18="Melee",AN18,MAX(1,ROUND(AN18*設定!$B$16*IFERROR(VLOOKUP($AM18,個性タイプマスタ!$A$5:$P$100,15,FALSE),1),0)))</f>
        <v>12</v>
      </c>
      <c r="H18" s="54">
        <f>IF(X18="Ranged",AN18,MAX(1,ROUND(AN18*設定!$B$16*IFERROR(VLOOKUP($AM18,個性タイプマスタ!$A$5:$P$100,15,FALSE),1),0)))</f>
        <v>26</v>
      </c>
      <c r="I18" s="54">
        <f>MAX(0,ROUND(設定!$B$8*AE18*Z18,0))</f>
        <v>7</v>
      </c>
      <c r="J18" s="54">
        <f>MAX(0,ROUND(設定!$B$9*AE18*AA18,0))</f>
        <v>8</v>
      </c>
      <c r="K18" s="55">
        <f>IFERROR(VLOOKUP($AM18,個性タイプマスタ!$A$5:$P$100,9,FALSE),0.05)</f>
        <v>0.11</v>
      </c>
      <c r="L18" s="56">
        <f>IFERROR(VLOOKUP($AM18,個性タイプマスタ!$A$5:$P$100,10,FALSE),1.5)</f>
        <v>1.65</v>
      </c>
      <c r="M18" s="56">
        <f>IFERROR(VLOOKUP($AM18,個性タイプマスタ!$A$5:$P$100,11,FALSE),2)</f>
        <v>2.2000000000000002</v>
      </c>
      <c r="N18" s="57">
        <f>MAX(0.1,ROUND(設定!$B$10*AB18,3))</f>
        <v>1.1000000000000001</v>
      </c>
      <c r="O18" s="57">
        <f t="shared" si="0"/>
        <v>2.75</v>
      </c>
      <c r="P18" s="58">
        <f>MAX(-10,MIN(0.8,IFERROR(INDEX(属性耐性マスタ!$B$5:$G$11,MATCH($C18,属性耐性マスタ!$A$5:$A$11,0),1),0)+IFERROR(VLOOKUP($AM18,個性タイプマスタ!$A$5:$P$100,12,FALSE),0)))</f>
        <v>-0.04</v>
      </c>
      <c r="Q18" s="58">
        <f>MAX(-10,MIN(0.8,IFERROR(INDEX(属性耐性マスタ!$B$5:$G$11,MATCH($C18,属性耐性マスタ!$A$5:$A$11,0),2),0)+IFERROR(VLOOKUP($AM18,個性タイプマスタ!$A$5:$P$100,12,FALSE),0)))</f>
        <v>-0.04</v>
      </c>
      <c r="R18" s="58">
        <f>MAX(-10,MIN(0.8,IFERROR(INDEX(属性耐性マスタ!$B$5:$G$11,MATCH($C18,属性耐性マスタ!$A$5:$A$11,0),3),0)+IFERROR(VLOOKUP($AM18,個性タイプマスタ!$A$5:$P$100,12,FALSE),0)))</f>
        <v>-0.14000000000000001</v>
      </c>
      <c r="S18" s="58">
        <f>MAX(-10,MIN(0.8,IFERROR(INDEX(属性耐性マスタ!$B$5:$G$11,MATCH($C18,属性耐性マスタ!$A$5:$A$11,0),4),0)+IFERROR(VLOOKUP($AM18,個性タイプマスタ!$A$5:$P$100,12,FALSE),0)))</f>
        <v>0.16</v>
      </c>
      <c r="T18" s="58">
        <f>MAX(-10,MIN(0.8,IFERROR(INDEX(属性耐性マスタ!$B$5:$G$11,MATCH($C18,属性耐性マスタ!$A$5:$A$11,0),5),0)+IFERROR(VLOOKUP($AM18,個性タイプマスタ!$A$5:$P$100,12,FALSE),0)))</f>
        <v>-0.04</v>
      </c>
      <c r="U18" s="58">
        <f>MAX(-10,MIN(0.8,IFERROR(INDEX(属性耐性マスタ!$B$5:$G$11,MATCH($C18,属性耐性マスタ!$A$5:$A$11,0),6),0)+IFERROR(VLOOKUP($AM18,個性タイプマスタ!$A$5:$P$100,12,FALSE),0)))</f>
        <v>-0.04</v>
      </c>
      <c r="V18" s="59">
        <f>ROUND(設定!$B$19*IFERROR(VLOOKUP($AM18,個性タイプマスタ!$A$5:$P$100,13,FALSE),1),2)</f>
        <v>4.2</v>
      </c>
      <c r="W18" s="59">
        <v>3</v>
      </c>
      <c r="X18" s="59" t="str">
        <f>IFERROR(VLOOKUP($AM18,個性タイプマスタ!$A$5:$P$100,2,FALSE),"Ranged")</f>
        <v>Ranged</v>
      </c>
      <c r="Y18" s="56">
        <f>IFERROR(VLOOKUP($AM18,個性タイプマスタ!$A$5:$P$100,3,FALSE),1)</f>
        <v>0.78</v>
      </c>
      <c r="Z18" s="56">
        <f>IFERROR(VLOOKUP($AM18,個性タイプマスタ!$A$5:$P$100,4,FALSE),1)</f>
        <v>0.75</v>
      </c>
      <c r="AA18" s="56">
        <f>IFERROR(VLOOKUP($AM18,個性タイプマスタ!$A$5:$P$100,5,FALSE),1)</f>
        <v>0.8</v>
      </c>
      <c r="AB18" s="56">
        <f>IFERROR(VLOOKUP($AM18,個性タイプマスタ!$A$5:$P$100,6,FALSE),1)</f>
        <v>1.1000000000000001</v>
      </c>
      <c r="AC18" s="56">
        <f>IFERROR(VLOOKUP($AM18,個性タイプマスタ!$A$5:$P$100,7,FALSE),1)</f>
        <v>1.1000000000000001</v>
      </c>
      <c r="AD18" s="56">
        <f>IFERROR(VLOOKUP($AM18,個性タイプマスタ!$A$5:$P$100,8,FALSE),1)</f>
        <v>0.72</v>
      </c>
      <c r="AE18" s="60">
        <f>IFERROR(D18/設定!$B$5,1)</f>
        <v>1.21</v>
      </c>
      <c r="AF18" s="60">
        <f>1+設定!$B$13*((I18/設定!$B$8+J18/設定!$B$9)/(2*AE18))</f>
        <v>1.2324380165289257</v>
      </c>
      <c r="AG18" s="60">
        <f>MAX(0.7,1+設定!$B$14*(O18/IF(X18="Melee",1.5,2.5)-1))</f>
        <v>1.012</v>
      </c>
      <c r="AH18" s="53">
        <f t="shared" si="1"/>
        <v>31.012638800000001</v>
      </c>
      <c r="AI18" s="53">
        <f>E18*AF18*(1+設定!$B$18*AVERAGE(P18:U18))</f>
        <v>114.63275723140497</v>
      </c>
      <c r="AJ18" s="61">
        <f>設定!$B$5*SQRT((AH18/(設定!$B$7*設定!$B$10*(1+設定!$B$11*(設定!$B$12-1))))*(AI18/(設定!$B$6*(1+設定!$B$13))))</f>
        <v>121.74576651461173</v>
      </c>
      <c r="AK18" s="62">
        <f t="shared" si="2"/>
        <v>6.16335962489023E-3</v>
      </c>
      <c r="AL18" s="63">
        <f t="shared" si="3"/>
        <v>87.11999999999999</v>
      </c>
      <c r="AM18" s="64" t="s">
        <v>896</v>
      </c>
      <c r="AN18" s="54">
        <f>MAX(1,ROUND((設定!$B$7*設定!$B$10*(1+設定!$B$11*(設定!$B$12-1)))*AE18^2*(設定!$B$6*(1+設定!$B$13))/(AI18*N18*(1+K18*(L18-1))*AG18),0))</f>
        <v>26</v>
      </c>
      <c r="AO18" s="65" t="str">
        <f>IF($A18="","",IF(COUNTIF(個性タイプマスタ!$A$5:$A$100,$AM18)&gt;0,"OK","未登録"))</f>
        <v>OK</v>
      </c>
      <c r="AP18" s="67" t="str">
        <f>IF($A18="","",IF(COUNTIF(属性耐性マスタ!$A$5:$A$11,$C18)&gt;0,"OK","未登録"))</f>
        <v>OK</v>
      </c>
    </row>
    <row r="19" spans="1:42">
      <c r="A19" s="66" t="s">
        <v>138</v>
      </c>
      <c r="B19" s="51" t="s">
        <v>139</v>
      </c>
      <c r="C19" s="109" t="s">
        <v>874</v>
      </c>
      <c r="D19" s="53">
        <f>ROUND(設定!$B$5*POWER($D$2,W19-1),2)</f>
        <v>121</v>
      </c>
      <c r="E19" s="54">
        <f>MAX(1,ROUND(設定!$B$6*AE19*Y19,0))</f>
        <v>208</v>
      </c>
      <c r="F19" s="54">
        <f>MAX(0,ROUND(設定!$B$7*AE19*設定!$B$15*IF(X19="Melee",0.6,1.35)*IFERROR(VLOOKUP($AM19,個性タイプマスタ!$A$5:$P$100,14,FALSE),1),0))</f>
        <v>24</v>
      </c>
      <c r="G19" s="54">
        <f>IF(X19="Melee",AN19,MAX(1,ROUND(AN19*設定!$B$16*IFERROR(VLOOKUP($AM19,個性タイプマスタ!$A$5:$P$100,15,FALSE),1),0)))</f>
        <v>5</v>
      </c>
      <c r="H19" s="54">
        <f>IF(X19="Ranged",AN19,MAX(1,ROUND(AN19*設定!$B$16*IFERROR(VLOOKUP($AM19,個性タイプマスタ!$A$5:$P$100,15,FALSE),1),0)))</f>
        <v>17</v>
      </c>
      <c r="I19" s="54">
        <f>MAX(0,ROUND(設定!$B$8*AE19*Z19,0))</f>
        <v>16</v>
      </c>
      <c r="J19" s="54">
        <f>MAX(0,ROUND(設定!$B$9*AE19*AA19,0))</f>
        <v>15</v>
      </c>
      <c r="K19" s="55">
        <f>IFERROR(VLOOKUP($AM19,個性タイプマスタ!$A$5:$P$100,9,FALSE),0.05)</f>
        <v>3.5000000000000003E-2</v>
      </c>
      <c r="L19" s="56">
        <f>IFERROR(VLOOKUP($AM19,個性タイプマスタ!$A$5:$P$100,10,FALSE),1.5)</f>
        <v>1.4</v>
      </c>
      <c r="M19" s="56">
        <f>IFERROR(VLOOKUP($AM19,個性タイプマスタ!$A$5:$P$100,11,FALSE),2)</f>
        <v>1.5</v>
      </c>
      <c r="N19" s="57">
        <f>MAX(0.1,ROUND(設定!$B$10*AB19,3))</f>
        <v>0.6</v>
      </c>
      <c r="O19" s="57">
        <f t="shared" si="0"/>
        <v>3.1</v>
      </c>
      <c r="P19" s="58">
        <f>MAX(-10,MIN(0.8,IFERROR(INDEX(属性耐性マスタ!$B$5:$G$11,MATCH($C19,属性耐性マスタ!$A$5:$A$11,0),1),0)+IFERROR(VLOOKUP($AM19,個性タイプマスタ!$A$5:$P$100,12,FALSE),0)))</f>
        <v>0.12</v>
      </c>
      <c r="Q19" s="58">
        <f>MAX(-10,MIN(0.8,IFERROR(INDEX(属性耐性マスタ!$B$5:$G$11,MATCH($C19,属性耐性マスタ!$A$5:$A$11,0),2),0)+IFERROR(VLOOKUP($AM19,個性タイプマスタ!$A$5:$P$100,12,FALSE),0)))</f>
        <v>0.12</v>
      </c>
      <c r="R19" s="58">
        <f>MAX(-10,MIN(0.8,IFERROR(INDEX(属性耐性マスタ!$B$5:$G$11,MATCH($C19,属性耐性マスタ!$A$5:$A$11,0),3),0)+IFERROR(VLOOKUP($AM19,個性タイプマスタ!$A$5:$P$100,12,FALSE),0)))</f>
        <v>0.12</v>
      </c>
      <c r="S19" s="58">
        <f>MAX(-10,MIN(0.8,IFERROR(INDEX(属性耐性マスタ!$B$5:$G$11,MATCH($C19,属性耐性マスタ!$A$5:$A$11,0),4),0)+IFERROR(VLOOKUP($AM19,個性タイプマスタ!$A$5:$P$100,12,FALSE),0)))</f>
        <v>0.12</v>
      </c>
      <c r="T19" s="58">
        <f>MAX(-10,MIN(0.8,IFERROR(INDEX(属性耐性マスタ!$B$5:$G$11,MATCH($C19,属性耐性マスタ!$A$5:$A$11,0),5),0)+IFERROR(VLOOKUP($AM19,個性タイプマスタ!$A$5:$P$100,12,FALSE),0)))</f>
        <v>1.999999999999999E-2</v>
      </c>
      <c r="U19" s="58">
        <f>MAX(-10,MIN(0.8,IFERROR(INDEX(属性耐性マスタ!$B$5:$G$11,MATCH($C19,属性耐性マスタ!$A$5:$A$11,0),6),0)+IFERROR(VLOOKUP($AM19,個性タイプマスタ!$A$5:$P$100,12,FALSE),0)))</f>
        <v>0.32</v>
      </c>
      <c r="V19" s="59">
        <f>ROUND(設定!$B$19*IFERROR(VLOOKUP($AM19,個性タイプマスタ!$A$5:$P$100,13,FALSE),1),2)</f>
        <v>4.12</v>
      </c>
      <c r="W19" s="59">
        <v>3</v>
      </c>
      <c r="X19" s="59" t="str">
        <f>IFERROR(VLOOKUP($AM19,個性タイプマスタ!$A$5:$P$100,2,FALSE),"Ranged")</f>
        <v>Ranged</v>
      </c>
      <c r="Y19" s="56">
        <f>IFERROR(VLOOKUP($AM19,個性タイプマスタ!$A$5:$P$100,3,FALSE),1)</f>
        <v>1.72</v>
      </c>
      <c r="Z19" s="56">
        <f>IFERROR(VLOOKUP($AM19,個性タイプマスタ!$A$5:$P$100,4,FALSE),1)</f>
        <v>1.64</v>
      </c>
      <c r="AA19" s="56">
        <f>IFERROR(VLOOKUP($AM19,個性タイプマスタ!$A$5:$P$100,5,FALSE),1)</f>
        <v>1.55</v>
      </c>
      <c r="AB19" s="56">
        <f>IFERROR(VLOOKUP($AM19,個性タイプマスタ!$A$5:$P$100,6,FALSE),1)</f>
        <v>0.6</v>
      </c>
      <c r="AC19" s="56">
        <f>IFERROR(VLOOKUP($AM19,個性タイプマスタ!$A$5:$P$100,7,FALSE),1)</f>
        <v>1.24</v>
      </c>
      <c r="AD19" s="56">
        <f>IFERROR(VLOOKUP($AM19,個性タイプマスタ!$A$5:$P$100,8,FALSE),1)</f>
        <v>0.91</v>
      </c>
      <c r="AE19" s="60">
        <f>IFERROR(D19/設定!$B$5,1)</f>
        <v>1.21</v>
      </c>
      <c r="AF19" s="60">
        <f>1+設定!$B$13*((I19/設定!$B$8+J19/設定!$B$9)/(2*AE19))</f>
        <v>1.4803719008264462</v>
      </c>
      <c r="AG19" s="60">
        <f>MAX(0.7,1+設定!$B$14*(O19/IF(X19="Melee",1.5,2.5)-1))</f>
        <v>1.0287999999999999</v>
      </c>
      <c r="AH19" s="53">
        <f t="shared" si="1"/>
        <v>10.640672639999998</v>
      </c>
      <c r="AI19" s="53">
        <f>E19*AF19*(1+設定!$B$18*AVERAGE(P19:U19))</f>
        <v>326.85427272727276</v>
      </c>
      <c r="AJ19" s="61">
        <f>設定!$B$5*SQRT((AH19/(設定!$B$7*設定!$B$10*(1+設定!$B$11*(設定!$B$12-1))))*(AI19/(設定!$B$6*(1+設定!$B$13))))</f>
        <v>120.41809794114133</v>
      </c>
      <c r="AK19" s="62">
        <f t="shared" si="2"/>
        <v>-4.8091079244518831E-3</v>
      </c>
      <c r="AL19" s="63">
        <f t="shared" si="3"/>
        <v>110.11</v>
      </c>
      <c r="AM19" s="64" t="s">
        <v>916</v>
      </c>
      <c r="AN19" s="54">
        <f>MAX(1,ROUND((設定!$B$7*設定!$B$10*(1+設定!$B$11*(設定!$B$12-1)))*AE19^2*(設定!$B$6*(1+設定!$B$13))/(AI19*N19*(1+K19*(L19-1))*AG19),0))</f>
        <v>17</v>
      </c>
      <c r="AO19" s="65" t="str">
        <f>IF($A19="","",IF(COUNTIF(個性タイプマスタ!$A$5:$A$100,$AM19)&gt;0,"OK","未登録"))</f>
        <v>OK</v>
      </c>
      <c r="AP19" s="67" t="str">
        <f>IF($A19="","",IF(COUNTIF(属性耐性マスタ!$A$5:$A$11,$C19)&gt;0,"OK","未登録"))</f>
        <v>OK</v>
      </c>
    </row>
    <row r="20" spans="1:42">
      <c r="A20" s="66" t="s">
        <v>140</v>
      </c>
      <c r="B20" s="51" t="s">
        <v>141</v>
      </c>
      <c r="C20" s="109" t="s">
        <v>874</v>
      </c>
      <c r="D20" s="53">
        <f>ROUND(設定!$B$5*POWER($D$2,W20-1),2)</f>
        <v>121</v>
      </c>
      <c r="E20" s="54">
        <f>MAX(1,ROUND(設定!$B$6*AE20*Y20,0))</f>
        <v>248</v>
      </c>
      <c r="F20" s="54">
        <f>MAX(0,ROUND(設定!$B$7*AE20*設定!$B$15*IF(X20="Melee",0.6,1.35)*IFERROR(VLOOKUP($AM20,個性タイプマスタ!$A$5:$P$100,14,FALSE),1),0))</f>
        <v>5</v>
      </c>
      <c r="G20" s="54">
        <f>IF(X20="Melee",AN20,MAX(1,ROUND(AN20*設定!$B$16*IFERROR(VLOOKUP($AM20,個性タイプマスタ!$A$5:$P$100,15,FALSE),1),0)))</f>
        <v>19</v>
      </c>
      <c r="H20" s="54">
        <f>IF(X20="Ranged",AN20,MAX(1,ROUND(AN20*設定!$B$16*IFERROR(VLOOKUP($AM20,個性タイプマスタ!$A$5:$P$100,15,FALSE),1),0)))</f>
        <v>8</v>
      </c>
      <c r="I20" s="54">
        <f>MAX(0,ROUND(設定!$B$8*AE20*Z20,0))</f>
        <v>15</v>
      </c>
      <c r="J20" s="54">
        <f>MAX(0,ROUND(設定!$B$9*AE20*AA20,0))</f>
        <v>13</v>
      </c>
      <c r="K20" s="55">
        <f>IFERROR(VLOOKUP($AM20,個性タイプマスタ!$A$5:$P$100,9,FALSE),0.05)</f>
        <v>2.5000000000000001E-2</v>
      </c>
      <c r="L20" s="56">
        <f>IFERROR(VLOOKUP($AM20,個性タイプマスタ!$A$5:$P$100,10,FALSE),1.5)</f>
        <v>1.35</v>
      </c>
      <c r="M20" s="56">
        <f>IFERROR(VLOOKUP($AM20,個性タイプマスタ!$A$5:$P$100,11,FALSE),2)</f>
        <v>1.1499999999999999</v>
      </c>
      <c r="N20" s="57">
        <f>MAX(0.1,ROUND(設定!$B$10*AB20,3))</f>
        <v>0.51</v>
      </c>
      <c r="O20" s="57">
        <f t="shared" si="0"/>
        <v>1.2749999999999999</v>
      </c>
      <c r="P20" s="58">
        <f>MAX(-10,MIN(0.8,IFERROR(INDEX(属性耐性マスタ!$B$5:$G$11,MATCH($C20,属性耐性マスタ!$A$5:$A$11,0),1),0)+IFERROR(VLOOKUP($AM20,個性タイプマスタ!$A$5:$P$100,12,FALSE),0)))</f>
        <v>0.05</v>
      </c>
      <c r="Q20" s="58">
        <f>MAX(-10,MIN(0.8,IFERROR(INDEX(属性耐性マスタ!$B$5:$G$11,MATCH($C20,属性耐性マスタ!$A$5:$A$11,0),2),0)+IFERROR(VLOOKUP($AM20,個性タイプマスタ!$A$5:$P$100,12,FALSE),0)))</f>
        <v>0.05</v>
      </c>
      <c r="R20" s="58">
        <f>MAX(-10,MIN(0.8,IFERROR(INDEX(属性耐性マスタ!$B$5:$G$11,MATCH($C20,属性耐性マスタ!$A$5:$A$11,0),3),0)+IFERROR(VLOOKUP($AM20,個性タイプマスタ!$A$5:$P$100,12,FALSE),0)))</f>
        <v>0.05</v>
      </c>
      <c r="S20" s="58">
        <f>MAX(-10,MIN(0.8,IFERROR(INDEX(属性耐性マスタ!$B$5:$G$11,MATCH($C20,属性耐性マスタ!$A$5:$A$11,0),4),0)+IFERROR(VLOOKUP($AM20,個性タイプマスタ!$A$5:$P$100,12,FALSE),0)))</f>
        <v>0.05</v>
      </c>
      <c r="T20" s="58">
        <f>MAX(-10,MIN(0.8,IFERROR(INDEX(属性耐性マスタ!$B$5:$G$11,MATCH($C20,属性耐性マスタ!$A$5:$A$11,0),5),0)+IFERROR(VLOOKUP($AM20,個性タイプマスタ!$A$5:$P$100,12,FALSE),0)))</f>
        <v>-0.05</v>
      </c>
      <c r="U20" s="58">
        <f>MAX(-10,MIN(0.8,IFERROR(INDEX(属性耐性マスタ!$B$5:$G$11,MATCH($C20,属性耐性マスタ!$A$5:$A$11,0),6),0)+IFERROR(VLOOKUP($AM20,個性タイプマスタ!$A$5:$P$100,12,FALSE),0)))</f>
        <v>0.25</v>
      </c>
      <c r="V20" s="59">
        <f>ROUND(設定!$B$19*IFERROR(VLOOKUP($AM20,個性タイプマスタ!$A$5:$P$100,13,FALSE),1),2)</f>
        <v>3.2</v>
      </c>
      <c r="W20" s="59">
        <v>3</v>
      </c>
      <c r="X20" s="59" t="str">
        <f>IFERROR(VLOOKUP($AM20,個性タイプマスタ!$A$5:$P$100,2,FALSE),"Ranged")</f>
        <v>Melee</v>
      </c>
      <c r="Y20" s="56">
        <f>IFERROR(VLOOKUP($AM20,個性タイプマスタ!$A$5:$P$100,3,FALSE),1)</f>
        <v>2.0499999999999998</v>
      </c>
      <c r="Z20" s="56">
        <f>IFERROR(VLOOKUP($AM20,個性タイプマスタ!$A$5:$P$100,4,FALSE),1)</f>
        <v>1.52</v>
      </c>
      <c r="AA20" s="56">
        <f>IFERROR(VLOOKUP($AM20,個性タイプマスタ!$A$5:$P$100,5,FALSE),1)</f>
        <v>1.3</v>
      </c>
      <c r="AB20" s="56">
        <f>IFERROR(VLOOKUP($AM20,個性タイプマスタ!$A$5:$P$100,6,FALSE),1)</f>
        <v>0.51</v>
      </c>
      <c r="AC20" s="56">
        <f>IFERROR(VLOOKUP($AM20,個性タイプマスタ!$A$5:$P$100,7,FALSE),1)</f>
        <v>0.85</v>
      </c>
      <c r="AD20" s="56">
        <f>IFERROR(VLOOKUP($AM20,個性タイプマスタ!$A$5:$P$100,8,FALSE),1)</f>
        <v>0.95</v>
      </c>
      <c r="AE20" s="60">
        <f>IFERROR(D20/設定!$B$5,1)</f>
        <v>1.21</v>
      </c>
      <c r="AF20" s="60">
        <f>1+設定!$B$13*((I20/設定!$B$8+J20/設定!$B$9)/(2*AE20))</f>
        <v>1.4338842975206612</v>
      </c>
      <c r="AG20" s="60">
        <f>MAX(0.7,1+設定!$B$14*(O20/IF(X20="Melee",1.5,2.5)-1))</f>
        <v>0.98199999999999998</v>
      </c>
      <c r="AH20" s="53">
        <f t="shared" si="1"/>
        <v>9.5988413250000004</v>
      </c>
      <c r="AI20" s="53">
        <f>E20*AF20*(1+設定!$B$18*AVERAGE(P20:U20))</f>
        <v>366.27140495867769</v>
      </c>
      <c r="AJ20" s="61">
        <f>設定!$B$5*SQRT((AH20/(設定!$B$7*設定!$B$10*(1+設定!$B$11*(設定!$B$12-1))))*(AI20/(設定!$B$6*(1+設定!$B$13))))</f>
        <v>121.07125717733925</v>
      </c>
      <c r="AK20" s="62">
        <f t="shared" si="2"/>
        <v>5.8890229205998956E-4</v>
      </c>
      <c r="AL20" s="63">
        <f t="shared" si="3"/>
        <v>114.94999999999999</v>
      </c>
      <c r="AM20" s="64" t="s">
        <v>968</v>
      </c>
      <c r="AN20" s="54">
        <f>MAX(1,ROUND((設定!$B$7*設定!$B$10*(1+設定!$B$11*(設定!$B$12-1)))*AE20^2*(設定!$B$6*(1+設定!$B$13))/(AI20*N20*(1+K20*(L20-1))*AG20),0))</f>
        <v>19</v>
      </c>
      <c r="AO20" s="65" t="str">
        <f>IF($A20="","",IF(COUNTIF(個性タイプマスタ!$A$5:$A$100,$AM20)&gt;0,"OK","未登録"))</f>
        <v>OK</v>
      </c>
      <c r="AP20" s="67" t="str">
        <f>IF($A20="","",IF(COUNTIF(属性耐性マスタ!$A$5:$A$11,$C20)&gt;0,"OK","未登録"))</f>
        <v>OK</v>
      </c>
    </row>
    <row r="21" spans="1:42">
      <c r="A21" s="66" t="s">
        <v>142</v>
      </c>
      <c r="B21" s="51" t="s">
        <v>143</v>
      </c>
      <c r="C21" s="109" t="s">
        <v>874</v>
      </c>
      <c r="D21" s="53">
        <f>ROUND(設定!$B$5*POWER($D$2,W21-1),2)</f>
        <v>121</v>
      </c>
      <c r="E21" s="54">
        <f>MAX(1,ROUND(設定!$B$6*AE21*Y21,0))</f>
        <v>163</v>
      </c>
      <c r="F21" s="54">
        <f>MAX(0,ROUND(設定!$B$7*AE21*設定!$B$15*IF(X21="Melee",0.6,1.35)*IFERROR(VLOOKUP($AM21,個性タイプマスタ!$A$5:$P$100,14,FALSE),1),0))</f>
        <v>7</v>
      </c>
      <c r="G21" s="54">
        <f>IF(X21="Melee",AN21,MAX(1,ROUND(AN21*設定!$B$16*IFERROR(VLOOKUP($AM21,個性タイプマスタ!$A$5:$P$100,15,FALSE),1),0)))</f>
        <v>14</v>
      </c>
      <c r="H21" s="54">
        <f>IF(X21="Ranged",AN21,MAX(1,ROUND(AN21*設定!$B$16*IFERROR(VLOOKUP($AM21,個性タイプマスタ!$A$5:$P$100,15,FALSE),1),0)))</f>
        <v>6</v>
      </c>
      <c r="I21" s="54">
        <f>MAX(0,ROUND(設定!$B$8*AE21*Z21,0))</f>
        <v>14</v>
      </c>
      <c r="J21" s="54">
        <f>MAX(0,ROUND(設定!$B$9*AE21*AA21,0))</f>
        <v>10</v>
      </c>
      <c r="K21" s="55">
        <f>IFERROR(VLOOKUP($AM21,個性タイプマスタ!$A$5:$P$100,9,FALSE),0.05)</f>
        <v>0.08</v>
      </c>
      <c r="L21" s="56">
        <f>IFERROR(VLOOKUP($AM21,個性タイプマスタ!$A$5:$P$100,10,FALSE),1.5)</f>
        <v>1.6</v>
      </c>
      <c r="M21" s="56">
        <f>IFERROR(VLOOKUP($AM21,個性タイプマスタ!$A$5:$P$100,11,FALSE),2)</f>
        <v>2.7</v>
      </c>
      <c r="N21" s="57">
        <f>MAX(0.1,ROUND(設定!$B$10*AB21,3))</f>
        <v>1.05</v>
      </c>
      <c r="O21" s="57">
        <f t="shared" si="0"/>
        <v>1.2</v>
      </c>
      <c r="P21" s="58">
        <f>MAX(-10,MIN(0.8,IFERROR(INDEX(属性耐性マスタ!$B$5:$G$11,MATCH($C21,属性耐性マスタ!$A$5:$A$11,0),1),0)+IFERROR(VLOOKUP($AM21,個性タイプマスタ!$A$5:$P$100,12,FALSE),0)))</f>
        <v>6.5000000000000002E-2</v>
      </c>
      <c r="Q21" s="58">
        <f>MAX(-10,MIN(0.8,IFERROR(INDEX(属性耐性マスタ!$B$5:$G$11,MATCH($C21,属性耐性マスタ!$A$5:$A$11,0),2),0)+IFERROR(VLOOKUP($AM21,個性タイプマスタ!$A$5:$P$100,12,FALSE),0)))</f>
        <v>6.5000000000000002E-2</v>
      </c>
      <c r="R21" s="58">
        <f>MAX(-10,MIN(0.8,IFERROR(INDEX(属性耐性マスタ!$B$5:$G$11,MATCH($C21,属性耐性マスタ!$A$5:$A$11,0),3),0)+IFERROR(VLOOKUP($AM21,個性タイプマスタ!$A$5:$P$100,12,FALSE),0)))</f>
        <v>6.5000000000000002E-2</v>
      </c>
      <c r="S21" s="58">
        <f>MAX(-10,MIN(0.8,IFERROR(INDEX(属性耐性マスタ!$B$5:$G$11,MATCH($C21,属性耐性マスタ!$A$5:$A$11,0),4),0)+IFERROR(VLOOKUP($AM21,個性タイプマスタ!$A$5:$P$100,12,FALSE),0)))</f>
        <v>6.5000000000000002E-2</v>
      </c>
      <c r="T21" s="58">
        <f>MAX(-10,MIN(0.8,IFERROR(INDEX(属性耐性マスタ!$B$5:$G$11,MATCH($C21,属性耐性マスタ!$A$5:$A$11,0),5),0)+IFERROR(VLOOKUP($AM21,個性タイプマスタ!$A$5:$P$100,12,FALSE),0)))</f>
        <v>-3.5000000000000003E-2</v>
      </c>
      <c r="U21" s="58">
        <f>MAX(-10,MIN(0.8,IFERROR(INDEX(属性耐性マスタ!$B$5:$G$11,MATCH($C21,属性耐性マスタ!$A$5:$A$11,0),6),0)+IFERROR(VLOOKUP($AM21,個性タイプマスタ!$A$5:$P$100,12,FALSE),0)))</f>
        <v>0.26500000000000001</v>
      </c>
      <c r="V21" s="59">
        <f>ROUND(設定!$B$19*IFERROR(VLOOKUP($AM21,個性タイプマスタ!$A$5:$P$100,13,FALSE),1),2)</f>
        <v>4</v>
      </c>
      <c r="W21" s="59">
        <v>3</v>
      </c>
      <c r="X21" s="59" t="str">
        <f>IFERROR(VLOOKUP($AM21,個性タイプマスタ!$A$5:$P$100,2,FALSE),"Ranged")</f>
        <v>Melee</v>
      </c>
      <c r="Y21" s="56">
        <f>IFERROR(VLOOKUP($AM21,個性タイプマスタ!$A$5:$P$100,3,FALSE),1)</f>
        <v>1.35</v>
      </c>
      <c r="Z21" s="56">
        <f>IFERROR(VLOOKUP($AM21,個性タイプマスタ!$A$5:$P$100,4,FALSE),1)</f>
        <v>1.4</v>
      </c>
      <c r="AA21" s="56">
        <f>IFERROR(VLOOKUP($AM21,個性タイプマスタ!$A$5:$P$100,5,FALSE),1)</f>
        <v>1</v>
      </c>
      <c r="AB21" s="56">
        <f>IFERROR(VLOOKUP($AM21,個性タイプマスタ!$A$5:$P$100,6,FALSE),1)</f>
        <v>1.05</v>
      </c>
      <c r="AC21" s="56">
        <f>IFERROR(VLOOKUP($AM21,個性タイプマスタ!$A$5:$P$100,7,FALSE),1)</f>
        <v>0.8</v>
      </c>
      <c r="AD21" s="56">
        <f>IFERROR(VLOOKUP($AM21,個性タイプマスタ!$A$5:$P$100,8,FALSE),1)</f>
        <v>0.9</v>
      </c>
      <c r="AE21" s="60">
        <f>IFERROR(D21/設定!$B$5,1)</f>
        <v>1.21</v>
      </c>
      <c r="AF21" s="60">
        <f>1+設定!$B$13*((I21/設定!$B$8+J21/設定!$B$9)/(2*AE21))</f>
        <v>1.3719008264462811</v>
      </c>
      <c r="AG21" s="60">
        <f>MAX(0.7,1+設定!$B$14*(O21/IF(X21="Melee",1.5,2.5)-1))</f>
        <v>0.97599999999999998</v>
      </c>
      <c r="AH21" s="53">
        <f t="shared" si="1"/>
        <v>15.035865600000001</v>
      </c>
      <c r="AI21" s="53">
        <f>E21*AF21*(1+設定!$B$18*AVERAGE(P21:U21))</f>
        <v>231.83786363636366</v>
      </c>
      <c r="AJ21" s="61">
        <f>設定!$B$5*SQRT((AH21/(設定!$B$7*設定!$B$10*(1+設定!$B$11*(設定!$B$12-1))))*(AI21/(設定!$B$6*(1+設定!$B$13))))</f>
        <v>120.55536414861506</v>
      </c>
      <c r="AK21" s="62">
        <f t="shared" si="2"/>
        <v>-3.6746764577267887E-3</v>
      </c>
      <c r="AL21" s="63">
        <f t="shared" si="3"/>
        <v>108.9</v>
      </c>
      <c r="AM21" s="64" t="s">
        <v>888</v>
      </c>
      <c r="AN21" s="54">
        <f>MAX(1,ROUND((設定!$B$7*設定!$B$10*(1+設定!$B$11*(設定!$B$12-1)))*AE21^2*(設定!$B$6*(1+設定!$B$13))/(AI21*N21*(1+K21*(L21-1))*AG21),0))</f>
        <v>14</v>
      </c>
      <c r="AO21" s="65" t="str">
        <f>IF($A21="","",IF(COUNTIF(個性タイプマスタ!$A$5:$A$100,$AM21)&gt;0,"OK","未登録"))</f>
        <v>OK</v>
      </c>
      <c r="AP21" s="67" t="str">
        <f>IF($A21="","",IF(COUNTIF(属性耐性マスタ!$A$5:$A$11,$C21)&gt;0,"OK","未登録"))</f>
        <v>OK</v>
      </c>
    </row>
    <row r="22" spans="1:42">
      <c r="A22" s="66" t="s">
        <v>144</v>
      </c>
      <c r="B22" s="51" t="s">
        <v>145</v>
      </c>
      <c r="C22" s="109" t="s">
        <v>874</v>
      </c>
      <c r="D22" s="53">
        <f>ROUND(設定!$B$5*POWER($D$2,W22-1),2)</f>
        <v>121</v>
      </c>
      <c r="E22" s="54">
        <f>MAX(1,ROUND(設定!$B$6*AE22*Y22,0))</f>
        <v>90</v>
      </c>
      <c r="F22" s="54">
        <f>MAX(0,ROUND(設定!$B$7*AE22*設定!$B$15*IF(X22="Melee",0.6,1.35)*IFERROR(VLOOKUP($AM22,個性タイプマスタ!$A$5:$P$100,14,FALSE),1),0))</f>
        <v>17</v>
      </c>
      <c r="G22" s="54">
        <f>IF(X22="Melee",AN22,MAX(1,ROUND(AN22*設定!$B$16*IFERROR(VLOOKUP($AM22,個性タイプマスタ!$A$5:$P$100,15,FALSE),1),0)))</f>
        <v>6</v>
      </c>
      <c r="H22" s="54">
        <f>IF(X22="Ranged",AN22,MAX(1,ROUND(AN22*設定!$B$16*IFERROR(VLOOKUP($AM22,個性タイプマスタ!$A$5:$P$100,15,FALSE),1),0)))</f>
        <v>21</v>
      </c>
      <c r="I22" s="54">
        <f>MAX(0,ROUND(設定!$B$8*AE22*Z22,0))</f>
        <v>7</v>
      </c>
      <c r="J22" s="54">
        <f>MAX(0,ROUND(設定!$B$9*AE22*AA22,0))</f>
        <v>8</v>
      </c>
      <c r="K22" s="55">
        <f>IFERROR(VLOOKUP($AM22,個性タイプマスタ!$A$5:$P$100,9,FALSE),0.05)</f>
        <v>0.05</v>
      </c>
      <c r="L22" s="56">
        <f>IFERROR(VLOOKUP($AM22,個性タイプマスタ!$A$5:$P$100,10,FALSE),1.5)</f>
        <v>1.4</v>
      </c>
      <c r="M22" s="56">
        <f>IFERROR(VLOOKUP($AM22,個性タイプマスタ!$A$5:$P$100,11,FALSE),2)</f>
        <v>3.35</v>
      </c>
      <c r="N22" s="57">
        <f>MAX(0.1,ROUND(設定!$B$10*AB22,3))</f>
        <v>1.55</v>
      </c>
      <c r="O22" s="57">
        <f t="shared" si="0"/>
        <v>2.2999999999999998</v>
      </c>
      <c r="P22" s="58">
        <f>MAX(-10,MIN(0.8,IFERROR(INDEX(属性耐性マスタ!$B$5:$G$11,MATCH($C22,属性耐性マスタ!$A$5:$A$11,0),1),0)+IFERROR(VLOOKUP($AM22,個性タイプマスタ!$A$5:$P$100,12,FALSE),0)))</f>
        <v>-7.0000000000000007E-2</v>
      </c>
      <c r="Q22" s="58">
        <f>MAX(-10,MIN(0.8,IFERROR(INDEX(属性耐性マスタ!$B$5:$G$11,MATCH($C22,属性耐性マスタ!$A$5:$A$11,0),2),0)+IFERROR(VLOOKUP($AM22,個性タイプマスタ!$A$5:$P$100,12,FALSE),0)))</f>
        <v>-7.0000000000000007E-2</v>
      </c>
      <c r="R22" s="58">
        <f>MAX(-10,MIN(0.8,IFERROR(INDEX(属性耐性マスタ!$B$5:$G$11,MATCH($C22,属性耐性マスタ!$A$5:$A$11,0),3),0)+IFERROR(VLOOKUP($AM22,個性タイプマスタ!$A$5:$P$100,12,FALSE),0)))</f>
        <v>-7.0000000000000007E-2</v>
      </c>
      <c r="S22" s="58">
        <f>MAX(-10,MIN(0.8,IFERROR(INDEX(属性耐性マスタ!$B$5:$G$11,MATCH($C22,属性耐性マスタ!$A$5:$A$11,0),4),0)+IFERROR(VLOOKUP($AM22,個性タイプマスタ!$A$5:$P$100,12,FALSE),0)))</f>
        <v>-7.0000000000000007E-2</v>
      </c>
      <c r="T22" s="58">
        <f>MAX(-10,MIN(0.8,IFERROR(INDEX(属性耐性マスタ!$B$5:$G$11,MATCH($C22,属性耐性マスタ!$A$5:$A$11,0),5),0)+IFERROR(VLOOKUP($AM22,個性タイプマスタ!$A$5:$P$100,12,FALSE),0)))</f>
        <v>-0.17</v>
      </c>
      <c r="U22" s="58">
        <f>MAX(-10,MIN(0.8,IFERROR(INDEX(属性耐性マスタ!$B$5:$G$11,MATCH($C22,属性耐性マスタ!$A$5:$A$11,0),6),0)+IFERROR(VLOOKUP($AM22,個性タイプマスタ!$A$5:$P$100,12,FALSE),0)))</f>
        <v>0.13</v>
      </c>
      <c r="V22" s="59">
        <f>ROUND(設定!$B$19*IFERROR(VLOOKUP($AM22,個性タイプマスタ!$A$5:$P$100,13,FALSE),1),2)</f>
        <v>4</v>
      </c>
      <c r="W22" s="59">
        <v>3</v>
      </c>
      <c r="X22" s="59" t="str">
        <f>IFERROR(VLOOKUP($AM22,個性タイプマスタ!$A$5:$P$100,2,FALSE),"Ranged")</f>
        <v>Ranged</v>
      </c>
      <c r="Y22" s="56">
        <f>IFERROR(VLOOKUP($AM22,個性タイプマスタ!$A$5:$P$100,3,FALSE),1)</f>
        <v>0.74</v>
      </c>
      <c r="Z22" s="56">
        <f>IFERROR(VLOOKUP($AM22,個性タイプマスタ!$A$5:$P$100,4,FALSE),1)</f>
        <v>0.72</v>
      </c>
      <c r="AA22" s="56">
        <f>IFERROR(VLOOKUP($AM22,個性タイプマスタ!$A$5:$P$100,5,FALSE),1)</f>
        <v>0.84</v>
      </c>
      <c r="AB22" s="56">
        <f>IFERROR(VLOOKUP($AM22,個性タイプマスタ!$A$5:$P$100,6,FALSE),1)</f>
        <v>1.55</v>
      </c>
      <c r="AC22" s="56">
        <f>IFERROR(VLOOKUP($AM22,個性タイプマスタ!$A$5:$P$100,7,FALSE),1)</f>
        <v>0.92</v>
      </c>
      <c r="AD22" s="56">
        <f>IFERROR(VLOOKUP($AM22,個性タイプマスタ!$A$5:$P$100,8,FALSE),1)</f>
        <v>0.61</v>
      </c>
      <c r="AE22" s="60">
        <f>IFERROR(D22/設定!$B$5,1)</f>
        <v>1.21</v>
      </c>
      <c r="AF22" s="60">
        <f>1+設定!$B$13*((I22/設定!$B$8+J22/設定!$B$9)/(2*AE22))</f>
        <v>1.2324380165289257</v>
      </c>
      <c r="AG22" s="60">
        <f>MAX(0.7,1+設定!$B$14*(O22/IF(X22="Melee",1.5,2.5)-1))</f>
        <v>0.99039999999999995</v>
      </c>
      <c r="AH22" s="53">
        <f t="shared" si="1"/>
        <v>32.882270400000003</v>
      </c>
      <c r="AI22" s="53">
        <f>E22*AF22*(1+設定!$B$18*AVERAGE(P22:U22))</f>
        <v>108.25735537190083</v>
      </c>
      <c r="AJ22" s="61">
        <f>設定!$B$5*SQRT((AH22/(設定!$B$7*設定!$B$10*(1+設定!$B$11*(設定!$B$12-1))))*(AI22/(設定!$B$6*(1+設定!$B$13))))</f>
        <v>121.82593227281733</v>
      </c>
      <c r="AK22" s="62">
        <f t="shared" si="2"/>
        <v>6.8258865522092815E-3</v>
      </c>
      <c r="AL22" s="63">
        <f t="shared" si="3"/>
        <v>73.81</v>
      </c>
      <c r="AM22" s="64" t="s">
        <v>908</v>
      </c>
      <c r="AN22" s="54">
        <f>MAX(1,ROUND((設定!$B$7*設定!$B$10*(1+設定!$B$11*(設定!$B$12-1)))*AE22^2*(設定!$B$6*(1+設定!$B$13))/(AI22*N22*(1+K22*(L22-1))*AG22),0))</f>
        <v>21</v>
      </c>
      <c r="AO22" s="65" t="str">
        <f>IF($A22="","",IF(COUNTIF(個性タイプマスタ!$A$5:$A$100,$AM22)&gt;0,"OK","未登録"))</f>
        <v>OK</v>
      </c>
      <c r="AP22" s="67" t="str">
        <f>IF($A22="","",IF(COUNTIF(属性耐性マスタ!$A$5:$A$11,$C22)&gt;0,"OK","未登録"))</f>
        <v>OK</v>
      </c>
    </row>
    <row r="23" spans="1:42">
      <c r="A23" s="66" t="s">
        <v>146</v>
      </c>
      <c r="B23" s="51" t="s">
        <v>147</v>
      </c>
      <c r="C23" s="109" t="s">
        <v>114</v>
      </c>
      <c r="D23" s="53">
        <f>ROUND(設定!$B$5*POWER($D$2,W23-1),2)</f>
        <v>133.1</v>
      </c>
      <c r="E23" s="54">
        <f>MAX(1,ROUND(設定!$B$6*AE23*Y23,0))</f>
        <v>160</v>
      </c>
      <c r="F23" s="54">
        <f>MAX(0,ROUND(設定!$B$7*AE23*設定!$B$15*IF(X23="Melee",0.6,1.35)*IFERROR(VLOOKUP($AM23,個性タイプマスタ!$A$5:$P$100,14,FALSE),1),0))</f>
        <v>19</v>
      </c>
      <c r="G23" s="54">
        <f>IF(X23="Melee",AN23,MAX(1,ROUND(AN23*設定!$B$16*IFERROR(VLOOKUP($AM23,個性タイプマスタ!$A$5:$P$100,15,FALSE),1),0)))</f>
        <v>9</v>
      </c>
      <c r="H23" s="54">
        <f>IF(X23="Ranged",AN23,MAX(1,ROUND(AN23*設定!$B$16*IFERROR(VLOOKUP($AM23,個性タイプマスタ!$A$5:$P$100,15,FALSE),1),0)))</f>
        <v>19</v>
      </c>
      <c r="I23" s="54">
        <f>MAX(0,ROUND(設定!$B$8*AE23*Z23,0))</f>
        <v>14</v>
      </c>
      <c r="J23" s="54">
        <f>MAX(0,ROUND(設定!$B$9*AE23*AA23,0))</f>
        <v>9</v>
      </c>
      <c r="K23" s="55">
        <f>IFERROR(VLOOKUP($AM23,個性タイプマスタ!$A$5:$P$100,9,FALSE),0.05)</f>
        <v>0.08</v>
      </c>
      <c r="L23" s="56">
        <f>IFERROR(VLOOKUP($AM23,個性タイプマスタ!$A$5:$P$100,10,FALSE),1.5)</f>
        <v>1.6</v>
      </c>
      <c r="M23" s="56">
        <f>IFERROR(VLOOKUP($AM23,個性タイプマスタ!$A$5:$P$100,11,FALSE),2)</f>
        <v>2.8</v>
      </c>
      <c r="N23" s="57">
        <f>MAX(0.1,ROUND(設定!$B$10*AB23,3))</f>
        <v>1</v>
      </c>
      <c r="O23" s="57">
        <f t="shared" si="0"/>
        <v>2.5</v>
      </c>
      <c r="P23" s="58">
        <f>MAX(-10,MIN(0.8,IFERROR(INDEX(属性耐性マスタ!$B$5:$G$11,MATCH($C23,属性耐性マスタ!$A$5:$A$11,0),1),0)+IFERROR(VLOOKUP($AM23,個性タイプマスタ!$A$5:$P$100,12,FALSE),0)))</f>
        <v>1.4999999999999999E-2</v>
      </c>
      <c r="Q23" s="58">
        <f>MAX(-10,MIN(0.8,IFERROR(INDEX(属性耐性マスタ!$B$5:$G$11,MATCH($C23,属性耐性マスタ!$A$5:$A$11,0),2),0)+IFERROR(VLOOKUP($AM23,個性タイプマスタ!$A$5:$P$100,12,FALSE),0)))</f>
        <v>1.4999999999999999E-2</v>
      </c>
      <c r="R23" s="58">
        <f>MAX(-10,MIN(0.8,IFERROR(INDEX(属性耐性マスタ!$B$5:$G$11,MATCH($C23,属性耐性マスタ!$A$5:$A$11,0),3),0)+IFERROR(VLOOKUP($AM23,個性タイプマスタ!$A$5:$P$100,12,FALSE),0)))</f>
        <v>0.21500000000000002</v>
      </c>
      <c r="S23" s="58">
        <f>MAX(-10,MIN(0.8,IFERROR(INDEX(属性耐性マスタ!$B$5:$G$11,MATCH($C23,属性耐性マスタ!$A$5:$A$11,0),4),0)+IFERROR(VLOOKUP($AM23,個性タイプマスタ!$A$5:$P$100,12,FALSE),0)))</f>
        <v>-8.5000000000000006E-2</v>
      </c>
      <c r="T23" s="58">
        <f>MAX(-10,MIN(0.8,IFERROR(INDEX(属性耐性マスタ!$B$5:$G$11,MATCH($C23,属性耐性マスタ!$A$5:$A$11,0),5),0)+IFERROR(VLOOKUP($AM23,個性タイプマスタ!$A$5:$P$100,12,FALSE),0)))</f>
        <v>1.4999999999999999E-2</v>
      </c>
      <c r="U23" s="58">
        <f>MAX(-10,MIN(0.8,IFERROR(INDEX(属性耐性マスタ!$B$5:$G$11,MATCH($C23,属性耐性マスタ!$A$5:$A$11,0),6),0)+IFERROR(VLOOKUP($AM23,個性タイプマスタ!$A$5:$P$100,12,FALSE),0)))</f>
        <v>1.4999999999999999E-2</v>
      </c>
      <c r="V23" s="59">
        <f>ROUND(設定!$B$19*IFERROR(VLOOKUP($AM23,個性タイプマスタ!$A$5:$P$100,13,FALSE),1),2)</f>
        <v>4</v>
      </c>
      <c r="W23" s="59">
        <v>4</v>
      </c>
      <c r="X23" s="59" t="str">
        <f>IFERROR(VLOOKUP($AM23,個性タイプマスタ!$A$5:$P$100,2,FALSE),"Ranged")</f>
        <v>Ranged</v>
      </c>
      <c r="Y23" s="56">
        <f>IFERROR(VLOOKUP($AM23,個性タイプマスタ!$A$5:$P$100,3,FALSE),1)</f>
        <v>1.2</v>
      </c>
      <c r="Z23" s="56">
        <f>IFERROR(VLOOKUP($AM23,個性タイプマスタ!$A$5:$P$100,4,FALSE),1)</f>
        <v>1.3</v>
      </c>
      <c r="AA23" s="56">
        <f>IFERROR(VLOOKUP($AM23,個性タイプマスタ!$A$5:$P$100,5,FALSE),1)</f>
        <v>0.85</v>
      </c>
      <c r="AB23" s="56">
        <f>IFERROR(VLOOKUP($AM23,個性タイプマスタ!$A$5:$P$100,6,FALSE),1)</f>
        <v>1</v>
      </c>
      <c r="AC23" s="56">
        <f>IFERROR(VLOOKUP($AM23,個性タイプマスタ!$A$5:$P$100,7,FALSE),1)</f>
        <v>1</v>
      </c>
      <c r="AD23" s="56">
        <f>IFERROR(VLOOKUP($AM23,個性タイプマスタ!$A$5:$P$100,8,FALSE),1)</f>
        <v>0.85</v>
      </c>
      <c r="AE23" s="60">
        <f>IFERROR(D23/設定!$B$5,1)</f>
        <v>1.331</v>
      </c>
      <c r="AF23" s="60">
        <f>1+設定!$B$13*((I23/設定!$B$8+J23/設定!$B$9)/(2*AE23))</f>
        <v>1.3240045078888054</v>
      </c>
      <c r="AG23" s="60">
        <f>MAX(0.7,1+設定!$B$14*(O23/IF(X23="Melee",1.5,2.5)-1))</f>
        <v>1</v>
      </c>
      <c r="AH23" s="53">
        <f t="shared" si="1"/>
        <v>19.911999999999999</v>
      </c>
      <c r="AI23" s="53">
        <f>E23*AF23*(1+設定!$B$18*AVERAGE(P23:U23))</f>
        <v>214.85945154019535</v>
      </c>
      <c r="AJ23" s="61">
        <f>設定!$B$5*SQRT((AH23/(設定!$B$7*設定!$B$10*(1+設定!$B$11*(設定!$B$12-1))))*(AI23/(設定!$B$6*(1+設定!$B$13))))</f>
        <v>133.55643309714333</v>
      </c>
      <c r="AK23" s="62">
        <f t="shared" si="2"/>
        <v>3.4292494150514052E-3</v>
      </c>
      <c r="AL23" s="63">
        <f t="shared" si="3"/>
        <v>113.13499999999999</v>
      </c>
      <c r="AM23" s="64" t="s">
        <v>894</v>
      </c>
      <c r="AN23" s="54">
        <f>MAX(1,ROUND((設定!$B$7*設定!$B$10*(1+設定!$B$11*(設定!$B$12-1)))*AE23^2*(設定!$B$6*(1+設定!$B$13))/(AI23*N23*(1+K23*(L23-1))*AG23),0))</f>
        <v>19</v>
      </c>
      <c r="AO23" s="65" t="str">
        <f>IF($A23="","",IF(COUNTIF(個性タイプマスタ!$A$5:$A$100,$AM23)&gt;0,"OK","未登録"))</f>
        <v>OK</v>
      </c>
      <c r="AP23" s="67" t="str">
        <f>IF($A23="","",IF(COUNTIF(属性耐性マスタ!$A$5:$A$11,$C23)&gt;0,"OK","未登録"))</f>
        <v>OK</v>
      </c>
    </row>
    <row r="24" spans="1:42">
      <c r="A24" s="66" t="s">
        <v>148</v>
      </c>
      <c r="B24" s="51" t="s">
        <v>149</v>
      </c>
      <c r="C24" s="109" t="s">
        <v>114</v>
      </c>
      <c r="D24" s="53">
        <f>ROUND(設定!$B$5*POWER($D$2,W24-1),2)</f>
        <v>133.1</v>
      </c>
      <c r="E24" s="54">
        <f>MAX(1,ROUND(設定!$B$6*AE24*Y24,0))</f>
        <v>77</v>
      </c>
      <c r="F24" s="54">
        <f>MAX(0,ROUND(設定!$B$7*AE24*設定!$B$15*IF(X24="Melee",0.6,1.35)*IFERROR(VLOOKUP($AM24,個性タイプマスタ!$A$5:$P$100,14,FALSE),1),0))</f>
        <v>15</v>
      </c>
      <c r="G24" s="54">
        <f>IF(X24="Melee",AN24,MAX(1,ROUND(AN24*設定!$B$16*IFERROR(VLOOKUP($AM24,個性タイプマスタ!$A$5:$P$100,15,FALSE),1),0)))</f>
        <v>8</v>
      </c>
      <c r="H24" s="54">
        <f>IF(X24="Ranged",AN24,MAX(1,ROUND(AN24*設定!$B$16*IFERROR(VLOOKUP($AM24,個性タイプマスタ!$A$5:$P$100,15,FALSE),1),0)))</f>
        <v>35</v>
      </c>
      <c r="I24" s="54">
        <f>MAX(0,ROUND(設定!$B$8*AE24*Z24,0))</f>
        <v>7</v>
      </c>
      <c r="J24" s="54">
        <f>MAX(0,ROUND(設定!$B$9*AE24*AA24,0))</f>
        <v>7</v>
      </c>
      <c r="K24" s="55">
        <f>IFERROR(VLOOKUP($AM24,個性タイプマスタ!$A$5:$P$100,9,FALSE),0.05)</f>
        <v>0.08</v>
      </c>
      <c r="L24" s="56">
        <f>IFERROR(VLOOKUP($AM24,個性タイプマスタ!$A$5:$P$100,10,FALSE),1.5)</f>
        <v>1.55</v>
      </c>
      <c r="M24" s="56">
        <f>IFERROR(VLOOKUP($AM24,個性タイプマスタ!$A$5:$P$100,11,FALSE),2)</f>
        <v>4.2</v>
      </c>
      <c r="N24" s="57">
        <f>MAX(0.1,ROUND(設定!$B$10*AB24,3))</f>
        <v>1.3</v>
      </c>
      <c r="O24" s="57">
        <f t="shared" si="0"/>
        <v>2.5</v>
      </c>
      <c r="P24" s="58">
        <f>MAX(-10,MIN(0.8,IFERROR(INDEX(属性耐性マスタ!$B$5:$G$11,MATCH($C24,属性耐性マスタ!$A$5:$A$11,0),1),0)+IFERROR(VLOOKUP($AM24,個性タイプマスタ!$A$5:$P$100,12,FALSE),0)))</f>
        <v>-0.09</v>
      </c>
      <c r="Q24" s="58">
        <f>MAX(-10,MIN(0.8,IFERROR(INDEX(属性耐性マスタ!$B$5:$G$11,MATCH($C24,属性耐性マスタ!$A$5:$A$11,0),2),0)+IFERROR(VLOOKUP($AM24,個性タイプマスタ!$A$5:$P$100,12,FALSE),0)))</f>
        <v>-0.09</v>
      </c>
      <c r="R24" s="58">
        <f>MAX(-10,MIN(0.8,IFERROR(INDEX(属性耐性マスタ!$B$5:$G$11,MATCH($C24,属性耐性マスタ!$A$5:$A$11,0),3),0)+IFERROR(VLOOKUP($AM24,個性タイプマスタ!$A$5:$P$100,12,FALSE),0)))</f>
        <v>0.11000000000000001</v>
      </c>
      <c r="S24" s="58">
        <f>MAX(-10,MIN(0.8,IFERROR(INDEX(属性耐性マスタ!$B$5:$G$11,MATCH($C24,属性耐性マスタ!$A$5:$A$11,0),4),0)+IFERROR(VLOOKUP($AM24,個性タイプマスタ!$A$5:$P$100,12,FALSE),0)))</f>
        <v>-0.19</v>
      </c>
      <c r="T24" s="58">
        <f>MAX(-10,MIN(0.8,IFERROR(INDEX(属性耐性マスタ!$B$5:$G$11,MATCH($C24,属性耐性マスタ!$A$5:$A$11,0),5),0)+IFERROR(VLOOKUP($AM24,個性タイプマスタ!$A$5:$P$100,12,FALSE),0)))</f>
        <v>-0.09</v>
      </c>
      <c r="U24" s="58">
        <f>MAX(-10,MIN(0.8,IFERROR(INDEX(属性耐性マスタ!$B$5:$G$11,MATCH($C24,属性耐性マスタ!$A$5:$A$11,0),6),0)+IFERROR(VLOOKUP($AM24,個性タイプマスタ!$A$5:$P$100,12,FALSE),0)))</f>
        <v>-0.09</v>
      </c>
      <c r="V24" s="59">
        <f>ROUND(設定!$B$19*IFERROR(VLOOKUP($AM24,個性タイプマスタ!$A$5:$P$100,13,FALSE),1),2)</f>
        <v>4.2</v>
      </c>
      <c r="W24" s="59">
        <v>4</v>
      </c>
      <c r="X24" s="59" t="str">
        <f>IFERROR(VLOOKUP($AM24,個性タイプマスタ!$A$5:$P$100,2,FALSE),"Ranged")</f>
        <v>Ranged</v>
      </c>
      <c r="Y24" s="56">
        <f>IFERROR(VLOOKUP($AM24,個性タイプマスタ!$A$5:$P$100,3,FALSE),1)</f>
        <v>0.57999999999999996</v>
      </c>
      <c r="Z24" s="56">
        <f>IFERROR(VLOOKUP($AM24,個性タイプマスタ!$A$5:$P$100,4,FALSE),1)</f>
        <v>0.64</v>
      </c>
      <c r="AA24" s="56">
        <f>IFERROR(VLOOKUP($AM24,個性タイプマスタ!$A$5:$P$100,5,FALSE),1)</f>
        <v>0.65</v>
      </c>
      <c r="AB24" s="56">
        <f>IFERROR(VLOOKUP($AM24,個性タイプマスタ!$A$5:$P$100,6,FALSE),1)</f>
        <v>1.3</v>
      </c>
      <c r="AC24" s="56">
        <f>IFERROR(VLOOKUP($AM24,個性タイプマスタ!$A$5:$P$100,7,FALSE),1)</f>
        <v>1</v>
      </c>
      <c r="AD24" s="56">
        <f>IFERROR(VLOOKUP($AM24,個性タイプマスタ!$A$5:$P$100,8,FALSE),1)</f>
        <v>0.56999999999999995</v>
      </c>
      <c r="AE24" s="60">
        <f>IFERROR(D24/設定!$B$5,1)</f>
        <v>1.331</v>
      </c>
      <c r="AF24" s="60">
        <f>1+設定!$B$13*((I24/設定!$B$8+J24/設定!$B$9)/(2*AE24))</f>
        <v>1.1972201352366643</v>
      </c>
      <c r="AG24" s="60">
        <f>MAX(0.7,1+設定!$B$14*(O24/IF(X24="Melee",1.5,2.5)-1))</f>
        <v>1</v>
      </c>
      <c r="AH24" s="53">
        <f t="shared" si="1"/>
        <v>47.502000000000002</v>
      </c>
      <c r="AI24" s="53">
        <f>E24*AF24*(1+設定!$B$18*AVERAGE(P24:U24))</f>
        <v>89.14381404958678</v>
      </c>
      <c r="AJ24" s="61">
        <f>設定!$B$5*SQRT((AH24/(設定!$B$7*設定!$B$10*(1+設定!$B$11*(設定!$B$12-1))))*(AI24/(設定!$B$6*(1+設定!$B$13))))</f>
        <v>132.87145540164866</v>
      </c>
      <c r="AK24" s="62">
        <f t="shared" si="2"/>
        <v>-1.7170893940746668E-3</v>
      </c>
      <c r="AL24" s="63">
        <f t="shared" si="3"/>
        <v>75.86699999999999</v>
      </c>
      <c r="AM24" s="64" t="s">
        <v>914</v>
      </c>
      <c r="AN24" s="54">
        <f>MAX(1,ROUND((設定!$B$7*設定!$B$10*(1+設定!$B$11*(設定!$B$12-1)))*AE24^2*(設定!$B$6*(1+設定!$B$13))/(AI24*N24*(1+K24*(L24-1))*AG24),0))</f>
        <v>35</v>
      </c>
      <c r="AO24" s="65" t="str">
        <f>IF($A24="","",IF(COUNTIF(個性タイプマスタ!$A$5:$A$100,$AM24)&gt;0,"OK","未登録"))</f>
        <v>OK</v>
      </c>
      <c r="AP24" s="67" t="str">
        <f>IF($A24="","",IF(COUNTIF(属性耐性マスタ!$A$5:$A$11,$C24)&gt;0,"OK","未登録"))</f>
        <v>OK</v>
      </c>
    </row>
    <row r="25" spans="1:42">
      <c r="A25" s="66" t="s">
        <v>150</v>
      </c>
      <c r="B25" s="51" t="s">
        <v>151</v>
      </c>
      <c r="C25" s="109" t="s">
        <v>874</v>
      </c>
      <c r="D25" s="53">
        <f>ROUND(設定!$B$5*POWER($D$2,W25-1),2)</f>
        <v>133.1</v>
      </c>
      <c r="E25" s="54">
        <f>MAX(1,ROUND(設定!$B$6*AE25*Y25,0))</f>
        <v>149</v>
      </c>
      <c r="F25" s="54">
        <f>MAX(0,ROUND(設定!$B$7*AE25*設定!$B$15*IF(X25="Melee",0.6,1.35)*IFERROR(VLOOKUP($AM25,個性タイプマスタ!$A$5:$P$100,14,FALSE),1),0))</f>
        <v>26</v>
      </c>
      <c r="G25" s="54">
        <f>IF(X25="Melee",AN25,MAX(1,ROUND(AN25*設定!$B$16*IFERROR(VLOOKUP($AM25,個性タイプマスタ!$A$5:$P$100,15,FALSE),1),0)))</f>
        <v>7</v>
      </c>
      <c r="H25" s="54">
        <f>IF(X25="Ranged",AN25,MAX(1,ROUND(AN25*設定!$B$16*IFERROR(VLOOKUP($AM25,個性タイプマスタ!$A$5:$P$100,15,FALSE),1),0)))</f>
        <v>22</v>
      </c>
      <c r="I25" s="54">
        <f>MAX(0,ROUND(設定!$B$8*AE25*Z25,0))</f>
        <v>21</v>
      </c>
      <c r="J25" s="54">
        <f>MAX(0,ROUND(設定!$B$9*AE25*AA25,0))</f>
        <v>8</v>
      </c>
      <c r="K25" s="55">
        <f>IFERROR(VLOOKUP($AM25,個性タイプマスタ!$A$5:$P$100,9,FALSE),0.05)</f>
        <v>5.5E-2</v>
      </c>
      <c r="L25" s="56">
        <f>IFERROR(VLOOKUP($AM25,個性タイプマスタ!$A$5:$P$100,10,FALSE),1.5)</f>
        <v>1.5</v>
      </c>
      <c r="M25" s="56">
        <f>IFERROR(VLOOKUP($AM25,個性タイプマスタ!$A$5:$P$100,11,FALSE),2)</f>
        <v>1.85</v>
      </c>
      <c r="N25" s="57">
        <f>MAX(0.1,ROUND(設定!$B$10*AB25,3))</f>
        <v>0.87</v>
      </c>
      <c r="O25" s="57">
        <f t="shared" si="0"/>
        <v>2.35</v>
      </c>
      <c r="P25" s="58">
        <f>MAX(-10,MIN(0.8,IFERROR(INDEX(属性耐性マスタ!$B$5:$G$11,MATCH($C25,属性耐性マスタ!$A$5:$A$11,0),1),0)+IFERROR(VLOOKUP($AM25,個性タイプマスタ!$A$5:$P$100,12,FALSE),0)))</f>
        <v>6.5000000000000002E-2</v>
      </c>
      <c r="Q25" s="58">
        <f>MAX(-10,MIN(0.8,IFERROR(INDEX(属性耐性マスタ!$B$5:$G$11,MATCH($C25,属性耐性マスタ!$A$5:$A$11,0),2),0)+IFERROR(VLOOKUP($AM25,個性タイプマスタ!$A$5:$P$100,12,FALSE),0)))</f>
        <v>6.5000000000000002E-2</v>
      </c>
      <c r="R25" s="58">
        <f>MAX(-10,MIN(0.8,IFERROR(INDEX(属性耐性マスタ!$B$5:$G$11,MATCH($C25,属性耐性マスタ!$A$5:$A$11,0),3),0)+IFERROR(VLOOKUP($AM25,個性タイプマスタ!$A$5:$P$100,12,FALSE),0)))</f>
        <v>6.5000000000000002E-2</v>
      </c>
      <c r="S25" s="58">
        <f>MAX(-10,MIN(0.8,IFERROR(INDEX(属性耐性マスタ!$B$5:$G$11,MATCH($C25,属性耐性マスタ!$A$5:$A$11,0),4),0)+IFERROR(VLOOKUP($AM25,個性タイプマスタ!$A$5:$P$100,12,FALSE),0)))</f>
        <v>6.5000000000000002E-2</v>
      </c>
      <c r="T25" s="58">
        <f>MAX(-10,MIN(0.8,IFERROR(INDEX(属性耐性マスタ!$B$5:$G$11,MATCH($C25,属性耐性マスタ!$A$5:$A$11,0),5),0)+IFERROR(VLOOKUP($AM25,個性タイプマスタ!$A$5:$P$100,12,FALSE),0)))</f>
        <v>-3.5000000000000003E-2</v>
      </c>
      <c r="U25" s="58">
        <f>MAX(-10,MIN(0.8,IFERROR(INDEX(属性耐性マスタ!$B$5:$G$11,MATCH($C25,属性耐性マスタ!$A$5:$A$11,0),6),0)+IFERROR(VLOOKUP($AM25,個性タイプマスタ!$A$5:$P$100,12,FALSE),0)))</f>
        <v>0.26500000000000001</v>
      </c>
      <c r="V25" s="59">
        <f>ROUND(設定!$B$19*IFERROR(VLOOKUP($AM25,個性タイプマスタ!$A$5:$P$100,13,FALSE),1),2)</f>
        <v>4.2</v>
      </c>
      <c r="W25" s="59">
        <v>4</v>
      </c>
      <c r="X25" s="59" t="str">
        <f>IFERROR(VLOOKUP($AM25,個性タイプマスタ!$A$5:$P$100,2,FALSE),"Ranged")</f>
        <v>Ranged</v>
      </c>
      <c r="Y25" s="56">
        <f>IFERROR(VLOOKUP($AM25,個性タイプマスタ!$A$5:$P$100,3,FALSE),1)</f>
        <v>1.1200000000000001</v>
      </c>
      <c r="Z25" s="56">
        <f>IFERROR(VLOOKUP($AM25,個性タイプマスタ!$A$5:$P$100,4,FALSE),1)</f>
        <v>1.95</v>
      </c>
      <c r="AA25" s="56">
        <f>IFERROR(VLOOKUP($AM25,個性タイプマスタ!$A$5:$P$100,5,FALSE),1)</f>
        <v>0.72</v>
      </c>
      <c r="AB25" s="56">
        <f>IFERROR(VLOOKUP($AM25,個性タイプマスタ!$A$5:$P$100,6,FALSE),1)</f>
        <v>0.87</v>
      </c>
      <c r="AC25" s="56">
        <f>IFERROR(VLOOKUP($AM25,個性タイプマスタ!$A$5:$P$100,7,FALSE),1)</f>
        <v>0.94</v>
      </c>
      <c r="AD25" s="56">
        <f>IFERROR(VLOOKUP($AM25,個性タイプマスタ!$A$5:$P$100,8,FALSE),1)</f>
        <v>0.82</v>
      </c>
      <c r="AE25" s="60">
        <f>IFERROR(D25/設定!$B$5,1)</f>
        <v>1.331</v>
      </c>
      <c r="AF25" s="60">
        <f>1+設定!$B$13*((I25/設定!$B$8+J25/設定!$B$9)/(2*AE25))</f>
        <v>1.4085274229902329</v>
      </c>
      <c r="AG25" s="60">
        <f>MAX(0.7,1+設定!$B$14*(O25/IF(X25="Melee",1.5,2.5)-1))</f>
        <v>0.99280000000000002</v>
      </c>
      <c r="AH25" s="53">
        <f t="shared" si="1"/>
        <v>19.524752280000001</v>
      </c>
      <c r="AI25" s="53">
        <f>E25*AF25*(1+設定!$B$18*AVERAGE(P25:U25))</f>
        <v>217.58333006198347</v>
      </c>
      <c r="AJ25" s="61">
        <f>設定!$B$5*SQRT((AH25/(設定!$B$7*設定!$B$10*(1+設定!$B$11*(設定!$B$12-1))))*(AI25/(設定!$B$6*(1+設定!$B$13))))</f>
        <v>133.08702420971986</v>
      </c>
      <c r="AK25" s="62">
        <f t="shared" si="2"/>
        <v>-9.7489032908626427E-5</v>
      </c>
      <c r="AL25" s="63">
        <f t="shared" si="3"/>
        <v>109.142</v>
      </c>
      <c r="AM25" s="64" t="s">
        <v>928</v>
      </c>
      <c r="AN25" s="54">
        <f>MAX(1,ROUND((設定!$B$7*設定!$B$10*(1+設定!$B$11*(設定!$B$12-1)))*AE25^2*(設定!$B$6*(1+設定!$B$13))/(AI25*N25*(1+K25*(L25-1))*AG25),0))</f>
        <v>22</v>
      </c>
      <c r="AO25" s="65" t="str">
        <f>IF($A25="","",IF(COUNTIF(個性タイプマスタ!$A$5:$A$100,$AM25)&gt;0,"OK","未登録"))</f>
        <v>OK</v>
      </c>
      <c r="AP25" s="67" t="str">
        <f>IF($A25="","",IF(COUNTIF(属性耐性マスタ!$A$5:$A$11,$C25)&gt;0,"OK","未登録"))</f>
        <v>OK</v>
      </c>
    </row>
    <row r="26" spans="1:42">
      <c r="A26" s="66" t="s">
        <v>152</v>
      </c>
      <c r="B26" s="51" t="s">
        <v>153</v>
      </c>
      <c r="C26" s="109" t="s">
        <v>874</v>
      </c>
      <c r="D26" s="53">
        <f>ROUND(設定!$B$5*POWER($D$2,W26-1),2)</f>
        <v>133.1</v>
      </c>
      <c r="E26" s="54">
        <f>MAX(1,ROUND(設定!$B$6*AE26*Y26,0))</f>
        <v>160</v>
      </c>
      <c r="F26" s="54">
        <f>MAX(0,ROUND(設定!$B$7*AE26*設定!$B$15*IF(X26="Melee",0.6,1.35)*IFERROR(VLOOKUP($AM26,個性タイプマスタ!$A$5:$P$100,14,FALSE),1),0))</f>
        <v>7</v>
      </c>
      <c r="G26" s="54">
        <f>IF(X26="Melee",AN26,MAX(1,ROUND(AN26*設定!$B$16*IFERROR(VLOOKUP($AM26,個性タイプマスタ!$A$5:$P$100,15,FALSE),1),0)))</f>
        <v>19</v>
      </c>
      <c r="H26" s="54">
        <f>IF(X26="Ranged",AN26,MAX(1,ROUND(AN26*設定!$B$16*IFERROR(VLOOKUP($AM26,個性タイプマスタ!$A$5:$P$100,15,FALSE),1),0)))</f>
        <v>9</v>
      </c>
      <c r="I26" s="54">
        <f>MAX(0,ROUND(設定!$B$8*AE26*Z26,0))</f>
        <v>14</v>
      </c>
      <c r="J26" s="54">
        <f>MAX(0,ROUND(設定!$B$9*AE26*AA26,0))</f>
        <v>9</v>
      </c>
      <c r="K26" s="55">
        <f>IFERROR(VLOOKUP($AM26,個性タイプマスタ!$A$5:$P$100,9,FALSE),0.05)</f>
        <v>0.08</v>
      </c>
      <c r="L26" s="56">
        <f>IFERROR(VLOOKUP($AM26,個性タイプマスタ!$A$5:$P$100,10,FALSE),1.5)</f>
        <v>1.6</v>
      </c>
      <c r="M26" s="56">
        <f>IFERROR(VLOOKUP($AM26,個性タイプマスタ!$A$5:$P$100,11,FALSE),2)</f>
        <v>2.8</v>
      </c>
      <c r="N26" s="57">
        <f>MAX(0.1,ROUND(設定!$B$10*AB26,3))</f>
        <v>1</v>
      </c>
      <c r="O26" s="57">
        <f t="shared" si="0"/>
        <v>1.2</v>
      </c>
      <c r="P26" s="58">
        <f>MAX(-10,MIN(0.8,IFERROR(INDEX(属性耐性マスタ!$B$5:$G$11,MATCH($C26,属性耐性マスタ!$A$5:$A$11,0),1),0)+IFERROR(VLOOKUP($AM26,個性タイプマスタ!$A$5:$P$100,12,FALSE),0)))</f>
        <v>3.5000000000000003E-2</v>
      </c>
      <c r="Q26" s="58">
        <f>MAX(-10,MIN(0.8,IFERROR(INDEX(属性耐性マスタ!$B$5:$G$11,MATCH($C26,属性耐性マスタ!$A$5:$A$11,0),2),0)+IFERROR(VLOOKUP($AM26,個性タイプマスタ!$A$5:$P$100,12,FALSE),0)))</f>
        <v>3.5000000000000003E-2</v>
      </c>
      <c r="R26" s="58">
        <f>MAX(-10,MIN(0.8,IFERROR(INDEX(属性耐性マスタ!$B$5:$G$11,MATCH($C26,属性耐性マスタ!$A$5:$A$11,0),3),0)+IFERROR(VLOOKUP($AM26,個性タイプマスタ!$A$5:$P$100,12,FALSE),0)))</f>
        <v>3.5000000000000003E-2</v>
      </c>
      <c r="S26" s="58">
        <f>MAX(-10,MIN(0.8,IFERROR(INDEX(属性耐性マスタ!$B$5:$G$11,MATCH($C26,属性耐性マスタ!$A$5:$A$11,0),4),0)+IFERROR(VLOOKUP($AM26,個性タイプマスタ!$A$5:$P$100,12,FALSE),0)))</f>
        <v>3.5000000000000003E-2</v>
      </c>
      <c r="T26" s="58">
        <f>MAX(-10,MIN(0.8,IFERROR(INDEX(属性耐性マスタ!$B$5:$G$11,MATCH($C26,属性耐性マスタ!$A$5:$A$11,0),5),0)+IFERROR(VLOOKUP($AM26,個性タイプマスタ!$A$5:$P$100,12,FALSE),0)))</f>
        <v>-6.5000000000000002E-2</v>
      </c>
      <c r="U26" s="58">
        <f>MAX(-10,MIN(0.8,IFERROR(INDEX(属性耐性マスタ!$B$5:$G$11,MATCH($C26,属性耐性マスタ!$A$5:$A$11,0),6),0)+IFERROR(VLOOKUP($AM26,個性タイプマスタ!$A$5:$P$100,12,FALSE),0)))</f>
        <v>0.23500000000000001</v>
      </c>
      <c r="V26" s="59">
        <f>ROUND(設定!$B$19*IFERROR(VLOOKUP($AM26,個性タイプマスタ!$A$5:$P$100,13,FALSE),1),2)</f>
        <v>4</v>
      </c>
      <c r="W26" s="59">
        <v>4</v>
      </c>
      <c r="X26" s="59" t="str">
        <f>IFERROR(VLOOKUP($AM26,個性タイプマスタ!$A$5:$P$100,2,FALSE),"Ranged")</f>
        <v>Melee</v>
      </c>
      <c r="Y26" s="56">
        <f>IFERROR(VLOOKUP($AM26,個性タイプマスタ!$A$5:$P$100,3,FALSE),1)</f>
        <v>1.2</v>
      </c>
      <c r="Z26" s="56">
        <f>IFERROR(VLOOKUP($AM26,個性タイプマスタ!$A$5:$P$100,4,FALSE),1)</f>
        <v>1.3</v>
      </c>
      <c r="AA26" s="56">
        <f>IFERROR(VLOOKUP($AM26,個性タイプマスタ!$A$5:$P$100,5,FALSE),1)</f>
        <v>0.85</v>
      </c>
      <c r="AB26" s="56">
        <f>IFERROR(VLOOKUP($AM26,個性タイプマスタ!$A$5:$P$100,6,FALSE),1)</f>
        <v>1</v>
      </c>
      <c r="AC26" s="56">
        <f>IFERROR(VLOOKUP($AM26,個性タイプマスタ!$A$5:$P$100,7,FALSE),1)</f>
        <v>0.8</v>
      </c>
      <c r="AD26" s="56">
        <f>IFERROR(VLOOKUP($AM26,個性タイプマスタ!$A$5:$P$100,8,FALSE),1)</f>
        <v>0.85</v>
      </c>
      <c r="AE26" s="60">
        <f>IFERROR(D26/設定!$B$5,1)</f>
        <v>1.331</v>
      </c>
      <c r="AF26" s="60">
        <f>1+設定!$B$13*((I26/設定!$B$8+J26/設定!$B$9)/(2*AE26))</f>
        <v>1.3240045078888054</v>
      </c>
      <c r="AG26" s="60">
        <f>MAX(0.7,1+設定!$B$14*(O26/IF(X26="Melee",1.5,2.5)-1))</f>
        <v>0.97599999999999998</v>
      </c>
      <c r="AH26" s="53">
        <f t="shared" si="1"/>
        <v>19.434111999999999</v>
      </c>
      <c r="AI26" s="53">
        <f>E26*AF26*(1+設定!$B$18*AVERAGE(P26:U26))</f>
        <v>216.76601803155521</v>
      </c>
      <c r="AJ26" s="61">
        <f>設定!$B$5*SQRT((AH26/(設定!$B$7*設定!$B$10*(1+設定!$B$11*(設定!$B$12-1))))*(AI26/(設定!$B$6*(1+設定!$B$13))))</f>
        <v>132.52813582149437</v>
      </c>
      <c r="AK26" s="62">
        <f t="shared" si="2"/>
        <v>-4.2965002141669428E-3</v>
      </c>
      <c r="AL26" s="63">
        <f t="shared" si="3"/>
        <v>113.13499999999999</v>
      </c>
      <c r="AM26" s="64" t="s">
        <v>885</v>
      </c>
      <c r="AN26" s="54">
        <f>MAX(1,ROUND((設定!$B$7*設定!$B$10*(1+設定!$B$11*(設定!$B$12-1)))*AE26^2*(設定!$B$6*(1+設定!$B$13))/(AI26*N26*(1+K26*(L26-1))*AG26),0))</f>
        <v>19</v>
      </c>
      <c r="AO26" s="65" t="str">
        <f>IF($A26="","",IF(COUNTIF(個性タイプマスタ!$A$5:$A$100,$AM26)&gt;0,"OK","未登録"))</f>
        <v>OK</v>
      </c>
      <c r="AP26" s="67" t="str">
        <f>IF($A26="","",IF(COUNTIF(属性耐性マスタ!$A$5:$A$11,$C26)&gt;0,"OK","未登録"))</f>
        <v>OK</v>
      </c>
    </row>
    <row r="27" spans="1:42">
      <c r="A27" s="66" t="s">
        <v>154</v>
      </c>
      <c r="B27" s="51" t="s">
        <v>155</v>
      </c>
      <c r="C27" s="109" t="s">
        <v>111</v>
      </c>
      <c r="D27" s="53">
        <f>ROUND(設定!$B$5*POWER($D$2,W27-1),2)</f>
        <v>133.1</v>
      </c>
      <c r="E27" s="54">
        <f>MAX(1,ROUND(設定!$B$6*AE27*Y27,0))</f>
        <v>169</v>
      </c>
      <c r="F27" s="54">
        <f>MAX(0,ROUND(設定!$B$7*AE27*設定!$B$15*IF(X27="Melee",0.6,1.35)*IFERROR(VLOOKUP($AM27,個性タイプマスタ!$A$5:$P$100,14,FALSE),1),0))</f>
        <v>6</v>
      </c>
      <c r="G27" s="54">
        <f>IF(X27="Melee",AN27,MAX(1,ROUND(AN27*設定!$B$16*IFERROR(VLOOKUP($AM27,個性タイプマスタ!$A$5:$P$100,15,FALSE),1),0)))</f>
        <v>34</v>
      </c>
      <c r="H27" s="54">
        <f>IF(X27="Ranged",AN27,MAX(1,ROUND(AN27*設定!$B$16*IFERROR(VLOOKUP($AM27,個性タイプマスタ!$A$5:$P$100,15,FALSE),1),0)))</f>
        <v>10</v>
      </c>
      <c r="I27" s="54">
        <f>MAX(0,ROUND(設定!$B$8*AE27*Z27,0))</f>
        <v>11</v>
      </c>
      <c r="J27" s="54">
        <f>MAX(0,ROUND(設定!$B$9*AE27*AA27,0))</f>
        <v>9</v>
      </c>
      <c r="K27" s="55">
        <f>IFERROR(VLOOKUP($AM27,個性タイプマスタ!$A$5:$P$100,9,FALSE),0.05)</f>
        <v>0.06</v>
      </c>
      <c r="L27" s="56">
        <f>IFERROR(VLOOKUP($AM27,個性タイプマスタ!$A$5:$P$100,10,FALSE),1.5)</f>
        <v>2.15</v>
      </c>
      <c r="M27" s="56">
        <f>IFERROR(VLOOKUP($AM27,個性タイプマスタ!$A$5:$P$100,11,FALSE),2)</f>
        <v>1.65</v>
      </c>
      <c r="N27" s="57">
        <f>MAX(0.1,ROUND(設定!$B$10*AB27,3))</f>
        <v>0.53</v>
      </c>
      <c r="O27" s="57">
        <f t="shared" si="0"/>
        <v>1.86</v>
      </c>
      <c r="P27" s="58">
        <f>MAX(-10,MIN(0.8,IFERROR(INDEX(属性耐性マスタ!$B$5:$G$11,MATCH($C27,属性耐性マスタ!$A$5:$A$11,0),1),0)+IFERROR(VLOOKUP($AM27,個性タイプマスタ!$A$5:$P$100,12,FALSE),0)))</f>
        <v>0.17500000000000002</v>
      </c>
      <c r="Q27" s="58">
        <f>MAX(-10,MIN(0.8,IFERROR(INDEX(属性耐性マスタ!$B$5:$G$11,MATCH($C27,属性耐性マスタ!$A$5:$A$11,0),2),0)+IFERROR(VLOOKUP($AM27,個性タイプマスタ!$A$5:$P$100,12,FALSE),0)))</f>
        <v>-0.125</v>
      </c>
      <c r="R27" s="58">
        <f>MAX(-10,MIN(0.8,IFERROR(INDEX(属性耐性マスタ!$B$5:$G$11,MATCH($C27,属性耐性マスタ!$A$5:$A$11,0),3),0)+IFERROR(VLOOKUP($AM27,個性タイプマスタ!$A$5:$P$100,12,FALSE),0)))</f>
        <v>-2.5000000000000001E-2</v>
      </c>
      <c r="S27" s="58">
        <f>MAX(-10,MIN(0.8,IFERROR(INDEX(属性耐性マスタ!$B$5:$G$11,MATCH($C27,属性耐性マスタ!$A$5:$A$11,0),4),0)+IFERROR(VLOOKUP($AM27,個性タイプマスタ!$A$5:$P$100,12,FALSE),0)))</f>
        <v>-2.5000000000000001E-2</v>
      </c>
      <c r="T27" s="58">
        <f>MAX(-10,MIN(0.8,IFERROR(INDEX(属性耐性マスタ!$B$5:$G$11,MATCH($C27,属性耐性マスタ!$A$5:$A$11,0),5),0)+IFERROR(VLOOKUP($AM27,個性タイプマスタ!$A$5:$P$100,12,FALSE),0)))</f>
        <v>-2.5000000000000001E-2</v>
      </c>
      <c r="U27" s="58">
        <f>MAX(-10,MIN(0.8,IFERROR(INDEX(属性耐性マスタ!$B$5:$G$11,MATCH($C27,属性耐性マスタ!$A$5:$A$11,0),6),0)+IFERROR(VLOOKUP($AM27,個性タイプマスタ!$A$5:$P$100,12,FALSE),0)))</f>
        <v>-2.5000000000000001E-2</v>
      </c>
      <c r="V27" s="59">
        <f>ROUND(設定!$B$19*IFERROR(VLOOKUP($AM27,個性タイプマスタ!$A$5:$P$100,13,FALSE),1),2)</f>
        <v>4.4000000000000004</v>
      </c>
      <c r="W27" s="59">
        <v>4</v>
      </c>
      <c r="X27" s="59" t="str">
        <f>IFERROR(VLOOKUP($AM27,個性タイプマスタ!$A$5:$P$100,2,FALSE),"Ranged")</f>
        <v>Melee</v>
      </c>
      <c r="Y27" s="56">
        <f>IFERROR(VLOOKUP($AM27,個性タイプマスタ!$A$5:$P$100,3,FALSE),1)</f>
        <v>1.27</v>
      </c>
      <c r="Z27" s="56">
        <f>IFERROR(VLOOKUP($AM27,個性タイプマスタ!$A$5:$P$100,4,FALSE),1)</f>
        <v>1.05</v>
      </c>
      <c r="AA27" s="56">
        <f>IFERROR(VLOOKUP($AM27,個性タイプマスタ!$A$5:$P$100,5,FALSE),1)</f>
        <v>0.88</v>
      </c>
      <c r="AB27" s="56">
        <f>IFERROR(VLOOKUP($AM27,個性タイプマスタ!$A$5:$P$100,6,FALSE),1)</f>
        <v>0.53</v>
      </c>
      <c r="AC27" s="56">
        <f>IFERROR(VLOOKUP($AM27,個性タイプマスタ!$A$5:$P$100,7,FALSE),1)</f>
        <v>1.24</v>
      </c>
      <c r="AD27" s="56">
        <f>IFERROR(VLOOKUP($AM27,個性タイプマスタ!$A$5:$P$100,8,FALSE),1)</f>
        <v>0.8</v>
      </c>
      <c r="AE27" s="60">
        <f>IFERROR(D27/設定!$B$5,1)</f>
        <v>1.331</v>
      </c>
      <c r="AF27" s="60">
        <f>1+設定!$B$13*((I27/設定!$B$8+J27/設定!$B$9)/(2*AE27))</f>
        <v>1.2817430503380915</v>
      </c>
      <c r="AG27" s="60">
        <f>MAX(0.7,1+設定!$B$14*(O27/IF(X27="Melee",1.5,2.5)-1))</f>
        <v>1.0287999999999999</v>
      </c>
      <c r="AH27" s="53">
        <f t="shared" si="1"/>
        <v>19.818165343999997</v>
      </c>
      <c r="AI27" s="53">
        <f>E27*AF27*(1+設定!$B$18*AVERAGE(P27:U27))</f>
        <v>215.8022708489857</v>
      </c>
      <c r="AJ27" s="61">
        <f>設定!$B$5*SQRT((AH27/(設定!$B$7*設定!$B$10*(1+設定!$B$11*(設定!$B$12-1))))*(AI27/(設定!$B$6*(1+設定!$B$13))))</f>
        <v>133.53338783718041</v>
      </c>
      <c r="AK27" s="62">
        <f t="shared" si="2"/>
        <v>3.2561069660437258E-3</v>
      </c>
      <c r="AL27" s="63">
        <f t="shared" si="3"/>
        <v>106.48</v>
      </c>
      <c r="AM27" s="64" t="s">
        <v>944</v>
      </c>
      <c r="AN27" s="54">
        <f>MAX(1,ROUND((設定!$B$7*設定!$B$10*(1+設定!$B$11*(設定!$B$12-1)))*AE27^2*(設定!$B$6*(1+設定!$B$13))/(AI27*N27*(1+K27*(L27-1))*AG27),0))</f>
        <v>34</v>
      </c>
      <c r="AO27" s="65" t="str">
        <f>IF($A27="","",IF(COUNTIF(個性タイプマスタ!$A$5:$A$100,$AM27)&gt;0,"OK","未登録"))</f>
        <v>OK</v>
      </c>
      <c r="AP27" s="67" t="str">
        <f>IF($A27="","",IF(COUNTIF(属性耐性マスタ!$A$5:$A$11,$C27)&gt;0,"OK","未登録"))</f>
        <v>OK</v>
      </c>
    </row>
    <row r="28" spans="1:42">
      <c r="A28" s="66" t="s">
        <v>156</v>
      </c>
      <c r="B28" s="51" t="s">
        <v>157</v>
      </c>
      <c r="C28" s="109" t="s">
        <v>874</v>
      </c>
      <c r="D28" s="53">
        <f>ROUND(設定!$B$5*POWER($D$2,W28-1),2)</f>
        <v>133.1</v>
      </c>
      <c r="E28" s="54">
        <f>MAX(1,ROUND(設定!$B$6*AE28*Y28,0))</f>
        <v>170</v>
      </c>
      <c r="F28" s="54">
        <f>MAX(0,ROUND(設定!$B$7*AE28*設定!$B$15*IF(X28="Melee",0.6,1.35)*IFERROR(VLOOKUP($AM28,個性タイプマスタ!$A$5:$P$100,14,FALSE),1),0))</f>
        <v>18</v>
      </c>
      <c r="G28" s="54">
        <f>IF(X28="Melee",AN28,MAX(1,ROUND(AN28*設定!$B$16*IFERROR(VLOOKUP($AM28,個性タイプマスタ!$A$5:$P$100,15,FALSE),1),0)))</f>
        <v>5</v>
      </c>
      <c r="H28" s="54">
        <f>IF(X28="Ranged",AN28,MAX(1,ROUND(AN28*設定!$B$16*IFERROR(VLOOKUP($AM28,個性タイプマスタ!$A$5:$P$100,15,FALSE),1),0)))</f>
        <v>13</v>
      </c>
      <c r="I28" s="54">
        <f>MAX(0,ROUND(設定!$B$8*AE28*Z28,0))</f>
        <v>13</v>
      </c>
      <c r="J28" s="54">
        <f>MAX(0,ROUND(設定!$B$9*AE28*AA28,0))</f>
        <v>12</v>
      </c>
      <c r="K28" s="55">
        <f>IFERROR(VLOOKUP($AM28,個性タイプマスタ!$A$5:$P$100,9,FALSE),0.05)</f>
        <v>7.0000000000000007E-2</v>
      </c>
      <c r="L28" s="56">
        <f>IFERROR(VLOOKUP($AM28,個性タイプマスタ!$A$5:$P$100,10,FALSE),1.5)</f>
        <v>1.5</v>
      </c>
      <c r="M28" s="56">
        <f>IFERROR(VLOOKUP($AM28,個性タイプマスタ!$A$5:$P$100,11,FALSE),2)</f>
        <v>2.8</v>
      </c>
      <c r="N28" s="57">
        <f>MAX(0.1,ROUND(設定!$B$10*AB28,3))</f>
        <v>1.45</v>
      </c>
      <c r="O28" s="57">
        <f t="shared" si="0"/>
        <v>1.55</v>
      </c>
      <c r="P28" s="58">
        <f>MAX(-10,MIN(0.8,IFERROR(INDEX(属性耐性マスタ!$B$5:$G$11,MATCH($C28,属性耐性マスタ!$A$5:$A$11,0),1),0)+IFERROR(VLOOKUP($AM28,個性タイプマスタ!$A$5:$P$100,12,FALSE),0)))</f>
        <v>0.03</v>
      </c>
      <c r="Q28" s="58">
        <f>MAX(-10,MIN(0.8,IFERROR(INDEX(属性耐性マスタ!$B$5:$G$11,MATCH($C28,属性耐性マスタ!$A$5:$A$11,0),2),0)+IFERROR(VLOOKUP($AM28,個性タイプマスタ!$A$5:$P$100,12,FALSE),0)))</f>
        <v>0.03</v>
      </c>
      <c r="R28" s="58">
        <f>MAX(-10,MIN(0.8,IFERROR(INDEX(属性耐性マスタ!$B$5:$G$11,MATCH($C28,属性耐性マスタ!$A$5:$A$11,0),3),0)+IFERROR(VLOOKUP($AM28,個性タイプマスタ!$A$5:$P$100,12,FALSE),0)))</f>
        <v>0.03</v>
      </c>
      <c r="S28" s="58">
        <f>MAX(-10,MIN(0.8,IFERROR(INDEX(属性耐性マスタ!$B$5:$G$11,MATCH($C28,属性耐性マスタ!$A$5:$A$11,0),4),0)+IFERROR(VLOOKUP($AM28,個性タイプマスタ!$A$5:$P$100,12,FALSE),0)))</f>
        <v>0.03</v>
      </c>
      <c r="T28" s="58">
        <f>MAX(-10,MIN(0.8,IFERROR(INDEX(属性耐性マスタ!$B$5:$G$11,MATCH($C28,属性耐性マスタ!$A$5:$A$11,0),5),0)+IFERROR(VLOOKUP($AM28,個性タイプマスタ!$A$5:$P$100,12,FALSE),0)))</f>
        <v>-7.0000000000000007E-2</v>
      </c>
      <c r="U28" s="58">
        <f>MAX(-10,MIN(0.8,IFERROR(INDEX(属性耐性マスタ!$B$5:$G$11,MATCH($C28,属性耐性マスタ!$A$5:$A$11,0),6),0)+IFERROR(VLOOKUP($AM28,個性タイプマスタ!$A$5:$P$100,12,FALSE),0)))</f>
        <v>0.23</v>
      </c>
      <c r="V28" s="59">
        <f>ROUND(設定!$B$19*IFERROR(VLOOKUP($AM28,個性タイプマスタ!$A$5:$P$100,13,FALSE),1),2)</f>
        <v>3.6</v>
      </c>
      <c r="W28" s="59">
        <v>4</v>
      </c>
      <c r="X28" s="59" t="str">
        <f>IFERROR(VLOOKUP($AM28,個性タイプマスタ!$A$5:$P$100,2,FALSE),"Ranged")</f>
        <v>Ranged</v>
      </c>
      <c r="Y28" s="56">
        <f>IFERROR(VLOOKUP($AM28,個性タイプマスタ!$A$5:$P$100,3,FALSE),1)</f>
        <v>1.28</v>
      </c>
      <c r="Z28" s="56">
        <f>IFERROR(VLOOKUP($AM28,個性タイプマスタ!$A$5:$P$100,4,FALSE),1)</f>
        <v>1.23</v>
      </c>
      <c r="AA28" s="56">
        <f>IFERROR(VLOOKUP($AM28,個性タイプマスタ!$A$5:$P$100,5,FALSE),1)</f>
        <v>1.1200000000000001</v>
      </c>
      <c r="AB28" s="56">
        <f>IFERROR(VLOOKUP($AM28,個性タイプマスタ!$A$5:$P$100,6,FALSE),1)</f>
        <v>1.45</v>
      </c>
      <c r="AC28" s="56">
        <f>IFERROR(VLOOKUP($AM28,個性タイプマスタ!$A$5:$P$100,7,FALSE),1)</f>
        <v>0.62</v>
      </c>
      <c r="AD28" s="56">
        <f>IFERROR(VLOOKUP($AM28,個性タイプマスタ!$A$5:$P$100,8,FALSE),1)</f>
        <v>0.8</v>
      </c>
      <c r="AE28" s="60">
        <f>IFERROR(D28/設定!$B$5,1)</f>
        <v>1.331</v>
      </c>
      <c r="AF28" s="60">
        <f>1+設定!$B$13*((I28/設定!$B$8+J28/設定!$B$9)/(2*AE28))</f>
        <v>1.3521788129226147</v>
      </c>
      <c r="AG28" s="60">
        <f>MAX(0.7,1+設定!$B$14*(O28/IF(X28="Melee",1.5,2.5)-1))</f>
        <v>0.95440000000000003</v>
      </c>
      <c r="AH28" s="53">
        <f t="shared" si="1"/>
        <v>18.620105399999996</v>
      </c>
      <c r="AI28" s="53">
        <f>E28*AF28*(1+設定!$B$18*AVERAGE(P28:U28))</f>
        <v>234.6976765589782</v>
      </c>
      <c r="AJ28" s="61">
        <f>設定!$B$5*SQRT((AH28/(設定!$B$7*設定!$B$10*(1+設定!$B$11*(設定!$B$12-1))))*(AI28/(設定!$B$6*(1+設定!$B$13))))</f>
        <v>134.98191996941475</v>
      </c>
      <c r="AK28" s="62">
        <f t="shared" si="2"/>
        <v>1.4139143271335586E-2</v>
      </c>
      <c r="AL28" s="63">
        <f t="shared" si="3"/>
        <v>106.48</v>
      </c>
      <c r="AM28" s="64" t="s">
        <v>920</v>
      </c>
      <c r="AN28" s="54">
        <f>MAX(1,ROUND((設定!$B$7*設定!$B$10*(1+設定!$B$11*(設定!$B$12-1)))*AE28^2*(設定!$B$6*(1+設定!$B$13))/(AI28*N28*(1+K28*(L28-1))*AG28),0))</f>
        <v>13</v>
      </c>
      <c r="AO28" s="65" t="str">
        <f>IF($A28="","",IF(COUNTIF(個性タイプマスタ!$A$5:$A$100,$AM28)&gt;0,"OK","未登録"))</f>
        <v>OK</v>
      </c>
      <c r="AP28" s="67" t="str">
        <f>IF($A28="","",IF(COUNTIF(属性耐性マスタ!$A$5:$A$11,$C28)&gt;0,"OK","未登録"))</f>
        <v>OK</v>
      </c>
    </row>
    <row r="29" spans="1:42">
      <c r="A29" s="66" t="s">
        <v>158</v>
      </c>
      <c r="B29" s="51" t="s">
        <v>159</v>
      </c>
      <c r="C29" s="109" t="s">
        <v>874</v>
      </c>
      <c r="D29" s="53">
        <f>ROUND(設定!$B$5*POWER($D$2,W29-1),2)</f>
        <v>146.41</v>
      </c>
      <c r="E29" s="54">
        <f>MAX(1,ROUND(設定!$B$6*AE29*Y29,0))</f>
        <v>133</v>
      </c>
      <c r="F29" s="54">
        <f>MAX(0,ROUND(設定!$B$7*AE29*設定!$B$15*IF(X29="Melee",0.6,1.35)*IFERROR(VLOOKUP($AM29,個性タイプマスタ!$A$5:$P$100,14,FALSE),1),0))</f>
        <v>34</v>
      </c>
      <c r="G29" s="54">
        <f>IF(X29="Melee",AN29,MAX(1,ROUND(AN29*設定!$B$16*IFERROR(VLOOKUP($AM29,個性タイプマスタ!$A$5:$P$100,15,FALSE),1),0)))</f>
        <v>15</v>
      </c>
      <c r="H29" s="54">
        <f>IF(X29="Ranged",AN29,MAX(1,ROUND(AN29*設定!$B$16*IFERROR(VLOOKUP($AM29,個性タイプマスタ!$A$5:$P$100,15,FALSE),1),0)))</f>
        <v>43</v>
      </c>
      <c r="I29" s="54">
        <f>MAX(0,ROUND(設定!$B$8*AE29*Z29,0))</f>
        <v>10</v>
      </c>
      <c r="J29" s="54">
        <f>MAX(0,ROUND(設定!$B$9*AE29*AA29,0))</f>
        <v>11</v>
      </c>
      <c r="K29" s="55">
        <f>IFERROR(VLOOKUP($AM29,個性タイプマスタ!$A$5:$P$100,9,FALSE),0.05)</f>
        <v>0.04</v>
      </c>
      <c r="L29" s="56">
        <f>IFERROR(VLOOKUP($AM29,個性タイプマスタ!$A$5:$P$100,10,FALSE),1.5)</f>
        <v>2.2000000000000002</v>
      </c>
      <c r="M29" s="56">
        <f>IFERROR(VLOOKUP($AM29,個性タイプマスタ!$A$5:$P$100,11,FALSE),2)</f>
        <v>1.65</v>
      </c>
      <c r="N29" s="57">
        <f>MAX(0.1,ROUND(設定!$B$10*AB29,3))</f>
        <v>0.64</v>
      </c>
      <c r="O29" s="57">
        <f t="shared" si="0"/>
        <v>3.7</v>
      </c>
      <c r="P29" s="58">
        <f>MAX(-10,MIN(0.8,IFERROR(INDEX(属性耐性マスタ!$B$5:$G$11,MATCH($C29,属性耐性マスタ!$A$5:$A$11,0),1),0)+IFERROR(VLOOKUP($AM29,個性タイプマスタ!$A$5:$P$100,12,FALSE),0)))</f>
        <v>-2.5000000000000001E-2</v>
      </c>
      <c r="Q29" s="58">
        <f>MAX(-10,MIN(0.8,IFERROR(INDEX(属性耐性マスタ!$B$5:$G$11,MATCH($C29,属性耐性マスタ!$A$5:$A$11,0),2),0)+IFERROR(VLOOKUP($AM29,個性タイプマスタ!$A$5:$P$100,12,FALSE),0)))</f>
        <v>-2.5000000000000001E-2</v>
      </c>
      <c r="R29" s="58">
        <f>MAX(-10,MIN(0.8,IFERROR(INDEX(属性耐性マスタ!$B$5:$G$11,MATCH($C29,属性耐性マスタ!$A$5:$A$11,0),3),0)+IFERROR(VLOOKUP($AM29,個性タイプマスタ!$A$5:$P$100,12,FALSE),0)))</f>
        <v>-2.5000000000000001E-2</v>
      </c>
      <c r="S29" s="58">
        <f>MAX(-10,MIN(0.8,IFERROR(INDEX(属性耐性マスタ!$B$5:$G$11,MATCH($C29,属性耐性マスタ!$A$5:$A$11,0),4),0)+IFERROR(VLOOKUP($AM29,個性タイプマスタ!$A$5:$P$100,12,FALSE),0)))</f>
        <v>-2.5000000000000001E-2</v>
      </c>
      <c r="T29" s="58">
        <f>MAX(-10,MIN(0.8,IFERROR(INDEX(属性耐性マスタ!$B$5:$G$11,MATCH($C29,属性耐性マスタ!$A$5:$A$11,0),5),0)+IFERROR(VLOOKUP($AM29,個性タイプマスタ!$A$5:$P$100,12,FALSE),0)))</f>
        <v>-0.125</v>
      </c>
      <c r="U29" s="58">
        <f>MAX(-10,MIN(0.8,IFERROR(INDEX(属性耐性マスタ!$B$5:$G$11,MATCH($C29,属性耐性マスタ!$A$5:$A$11,0),6),0)+IFERROR(VLOOKUP($AM29,個性タイプマスタ!$A$5:$P$100,12,FALSE),0)))</f>
        <v>0.17500000000000002</v>
      </c>
      <c r="V29" s="59">
        <f>ROUND(設定!$B$19*IFERROR(VLOOKUP($AM29,個性タイプマスタ!$A$5:$P$100,13,FALSE),1),2)</f>
        <v>5</v>
      </c>
      <c r="W29" s="59">
        <v>5</v>
      </c>
      <c r="X29" s="59" t="str">
        <f>IFERROR(VLOOKUP($AM29,個性タイプマスタ!$A$5:$P$100,2,FALSE),"Ranged")</f>
        <v>Ranged</v>
      </c>
      <c r="Y29" s="56">
        <f>IFERROR(VLOOKUP($AM29,個性タイプマスタ!$A$5:$P$100,3,FALSE),1)</f>
        <v>0.91</v>
      </c>
      <c r="Z29" s="56">
        <f>IFERROR(VLOOKUP($AM29,個性タイプマスタ!$A$5:$P$100,4,FALSE),1)</f>
        <v>0.88</v>
      </c>
      <c r="AA29" s="56">
        <f>IFERROR(VLOOKUP($AM29,個性タイプマスタ!$A$5:$P$100,5,FALSE),1)</f>
        <v>0.95</v>
      </c>
      <c r="AB29" s="56">
        <f>IFERROR(VLOOKUP($AM29,個性タイプマスタ!$A$5:$P$100,6,FALSE),1)</f>
        <v>0.64</v>
      </c>
      <c r="AC29" s="56">
        <f>IFERROR(VLOOKUP($AM29,個性タイプマスタ!$A$5:$P$100,7,FALSE),1)</f>
        <v>1.48</v>
      </c>
      <c r="AD29" s="56">
        <f>IFERROR(VLOOKUP($AM29,個性タイプマスタ!$A$5:$P$100,8,FALSE),1)</f>
        <v>0.75</v>
      </c>
      <c r="AE29" s="60">
        <f>IFERROR(D29/設定!$B$5,1)</f>
        <v>1.4641</v>
      </c>
      <c r="AF29" s="60">
        <f>1+設定!$B$13*((I29/設定!$B$8+J29/設定!$B$9)/(2*AE29))</f>
        <v>1.2689365480499966</v>
      </c>
      <c r="AG29" s="60">
        <f>MAX(0.7,1+設定!$B$14*(O29/IF(X29="Melee",1.5,2.5)-1))</f>
        <v>1.0576000000000001</v>
      </c>
      <c r="AH29" s="53">
        <f t="shared" si="1"/>
        <v>30.502199296000001</v>
      </c>
      <c r="AI29" s="53">
        <f>E29*AF29*(1+設定!$B$18*AVERAGE(P29:U29))</f>
        <v>168.13567878730962</v>
      </c>
      <c r="AJ29" s="61">
        <f>設定!$B$5*SQRT((AH29/(設定!$B$7*設定!$B$10*(1+設定!$B$11*(設定!$B$12-1))))*(AI29/(設定!$B$6*(1+設定!$B$13))))</f>
        <v>146.22635571270587</v>
      </c>
      <c r="AK29" s="62">
        <f t="shared" si="2"/>
        <v>-1.2543151922281837E-3</v>
      </c>
      <c r="AL29" s="63">
        <f t="shared" si="3"/>
        <v>109.8075</v>
      </c>
      <c r="AM29" s="64" t="s">
        <v>912</v>
      </c>
      <c r="AN29" s="54">
        <f>MAX(1,ROUND((設定!$B$7*設定!$B$10*(1+設定!$B$11*(設定!$B$12-1)))*AE29^2*(設定!$B$6*(1+設定!$B$13))/(AI29*N29*(1+K29*(L29-1))*AG29),0))</f>
        <v>43</v>
      </c>
      <c r="AO29" s="65" t="str">
        <f>IF($A29="","",IF(COUNTIF(個性タイプマスタ!$A$5:$A$100,$AM29)&gt;0,"OK","未登録"))</f>
        <v>OK</v>
      </c>
      <c r="AP29" s="67" t="str">
        <f>IF($A29="","",IF(COUNTIF(属性耐性マスタ!$A$5:$A$11,$C29)&gt;0,"OK","未登録"))</f>
        <v>OK</v>
      </c>
    </row>
    <row r="30" spans="1:42">
      <c r="A30" s="66" t="s">
        <v>160</v>
      </c>
      <c r="B30" s="51" t="s">
        <v>161</v>
      </c>
      <c r="C30" s="109" t="s">
        <v>108</v>
      </c>
      <c r="D30" s="53">
        <f>ROUND(設定!$B$5*POWER($D$2,W30-1),2)</f>
        <v>146.41</v>
      </c>
      <c r="E30" s="54">
        <f>MAX(1,ROUND(設定!$B$6*AE30*Y30,0))</f>
        <v>155</v>
      </c>
      <c r="F30" s="54">
        <f>MAX(0,ROUND(設定!$B$7*AE30*設定!$B$15*IF(X30="Melee",0.6,1.35)*IFERROR(VLOOKUP($AM30,個性タイプマスタ!$A$5:$P$100,14,FALSE),1),0))</f>
        <v>37</v>
      </c>
      <c r="G30" s="54">
        <f>IF(X30="Melee",AN30,MAX(1,ROUND(AN30*設定!$B$16*IFERROR(VLOOKUP($AM30,個性タイプマスタ!$A$5:$P$100,15,FALSE),1),0)))</f>
        <v>8</v>
      </c>
      <c r="H30" s="54">
        <f>IF(X30="Ranged",AN30,MAX(1,ROUND(AN30*設定!$B$16*IFERROR(VLOOKUP($AM30,個性タイプマスタ!$A$5:$P$100,15,FALSE),1),0)))</f>
        <v>26</v>
      </c>
      <c r="I30" s="54">
        <f>MAX(0,ROUND(設定!$B$8*AE30*Z30,0))</f>
        <v>9</v>
      </c>
      <c r="J30" s="54">
        <f>MAX(0,ROUND(設定!$B$9*AE30*AA30,0))</f>
        <v>24</v>
      </c>
      <c r="K30" s="55">
        <f>IFERROR(VLOOKUP($AM30,個性タイプマスタ!$A$5:$P$100,9,FALSE),0.05)</f>
        <v>4.4999999999999998E-2</v>
      </c>
      <c r="L30" s="56">
        <f>IFERROR(VLOOKUP($AM30,個性タイプマスタ!$A$5:$P$100,10,FALSE),1.5)</f>
        <v>1.45</v>
      </c>
      <c r="M30" s="56">
        <f>IFERROR(VLOOKUP($AM30,個性タイプマスタ!$A$5:$P$100,11,FALSE),2)</f>
        <v>1.9</v>
      </c>
      <c r="N30" s="57">
        <f>MAX(0.1,ROUND(設定!$B$10*AB30,3))</f>
        <v>0.84</v>
      </c>
      <c r="O30" s="57">
        <f t="shared" si="0"/>
        <v>2.65</v>
      </c>
      <c r="P30" s="58">
        <f>MAX(-10,MIN(0.8,IFERROR(INDEX(属性耐性マスタ!$B$5:$G$11,MATCH($C30,属性耐性マスタ!$A$5:$A$11,0),1),0)+IFERROR(VLOOKUP($AM30,個性タイプマスタ!$A$5:$P$100,12,FALSE),0)))</f>
        <v>-1.0000000000000009E-2</v>
      </c>
      <c r="Q30" s="58">
        <f>MAX(-10,MIN(0.8,IFERROR(INDEX(属性耐性マスタ!$B$5:$G$11,MATCH($C30,属性耐性マスタ!$A$5:$A$11,0),2),0)+IFERROR(VLOOKUP($AM30,個性タイプマスタ!$A$5:$P$100,12,FALSE),0)))</f>
        <v>0.29000000000000004</v>
      </c>
      <c r="R30" s="58">
        <f>MAX(-10,MIN(0.8,IFERROR(INDEX(属性耐性マスタ!$B$5:$G$11,MATCH($C30,属性耐性マスタ!$A$5:$A$11,0),3),0)+IFERROR(VLOOKUP($AM30,個性タイプマスタ!$A$5:$P$100,12,FALSE),0)))</f>
        <v>0.09</v>
      </c>
      <c r="S30" s="58">
        <f>MAX(-10,MIN(0.8,IFERROR(INDEX(属性耐性マスタ!$B$5:$G$11,MATCH($C30,属性耐性マスタ!$A$5:$A$11,0),4),0)+IFERROR(VLOOKUP($AM30,個性タイプマスタ!$A$5:$P$100,12,FALSE),0)))</f>
        <v>0.09</v>
      </c>
      <c r="T30" s="58">
        <f>MAX(-10,MIN(0.8,IFERROR(INDEX(属性耐性マスタ!$B$5:$G$11,MATCH($C30,属性耐性マスタ!$A$5:$A$11,0),5),0)+IFERROR(VLOOKUP($AM30,個性タイプマスタ!$A$5:$P$100,12,FALSE),0)))</f>
        <v>0.09</v>
      </c>
      <c r="U30" s="58">
        <f>MAX(-10,MIN(0.8,IFERROR(INDEX(属性耐性マスタ!$B$5:$G$11,MATCH($C30,属性耐性マスタ!$A$5:$A$11,0),6),0)+IFERROR(VLOOKUP($AM30,個性タイプマスタ!$A$5:$P$100,12,FALSE),0)))</f>
        <v>0.09</v>
      </c>
      <c r="V30" s="59">
        <f>ROUND(設定!$B$19*IFERROR(VLOOKUP($AM30,個性タイプマスタ!$A$5:$P$100,13,FALSE),1),2)</f>
        <v>4.4000000000000004</v>
      </c>
      <c r="W30" s="59">
        <v>5</v>
      </c>
      <c r="X30" s="59" t="str">
        <f>IFERROR(VLOOKUP($AM30,個性タイプマスタ!$A$5:$P$100,2,FALSE),"Ranged")</f>
        <v>Ranged</v>
      </c>
      <c r="Y30" s="56">
        <f>IFERROR(VLOOKUP($AM30,個性タイプマスタ!$A$5:$P$100,3,FALSE),1)</f>
        <v>1.06</v>
      </c>
      <c r="Z30" s="56">
        <f>IFERROR(VLOOKUP($AM30,個性タイプマスタ!$A$5:$P$100,4,FALSE),1)</f>
        <v>0.77</v>
      </c>
      <c r="AA30" s="56">
        <f>IFERROR(VLOOKUP($AM30,個性タイプマスタ!$A$5:$P$100,5,FALSE),1)</f>
        <v>2.0499999999999998</v>
      </c>
      <c r="AB30" s="56">
        <f>IFERROR(VLOOKUP($AM30,個性タイプマスタ!$A$5:$P$100,6,FALSE),1)</f>
        <v>0.84</v>
      </c>
      <c r="AC30" s="56">
        <f>IFERROR(VLOOKUP($AM30,個性タイプマスタ!$A$5:$P$100,7,FALSE),1)</f>
        <v>1.06</v>
      </c>
      <c r="AD30" s="56">
        <f>IFERROR(VLOOKUP($AM30,個性タイプマスタ!$A$5:$P$100,8,FALSE),1)</f>
        <v>0.82</v>
      </c>
      <c r="AE30" s="60">
        <f>IFERROR(D30/設定!$B$5,1)</f>
        <v>1.4641</v>
      </c>
      <c r="AF30" s="60">
        <f>1+設定!$B$13*((I30/設定!$B$8+J30/設定!$B$9)/(2*AE30))</f>
        <v>1.4226145755071375</v>
      </c>
      <c r="AG30" s="60">
        <f>MAX(0.7,1+設定!$B$14*(O30/IF(X30="Melee",1.5,2.5)-1))</f>
        <v>1.0072000000000001</v>
      </c>
      <c r="AH30" s="53">
        <f t="shared" si="1"/>
        <v>22.442692272000002</v>
      </c>
      <c r="AI30" s="53">
        <f>E30*AF30*(1+設定!$B$18*AVERAGE(P30:U30))</f>
        <v>231.08951164537945</v>
      </c>
      <c r="AJ30" s="61">
        <f>設定!$B$5*SQRT((AH30/(設定!$B$7*設定!$B$10*(1+設定!$B$11*(設定!$B$12-1))))*(AI30/(設定!$B$6*(1+設定!$B$13))))</f>
        <v>147.04752978127837</v>
      </c>
      <c r="AK30" s="62">
        <f t="shared" si="2"/>
        <v>4.3544141880909049E-3</v>
      </c>
      <c r="AL30" s="63">
        <f t="shared" si="3"/>
        <v>120.05619999999999</v>
      </c>
      <c r="AM30" s="64" t="s">
        <v>926</v>
      </c>
      <c r="AN30" s="54">
        <f>MAX(1,ROUND((設定!$B$7*設定!$B$10*(1+設定!$B$11*(設定!$B$12-1)))*AE30^2*(設定!$B$6*(1+設定!$B$13))/(AI30*N30*(1+K30*(L30-1))*AG30),0))</f>
        <v>26</v>
      </c>
      <c r="AO30" s="65" t="str">
        <f>IF($A30="","",IF(COUNTIF(個性タイプマスタ!$A$5:$A$100,$AM30)&gt;0,"OK","未登録"))</f>
        <v>OK</v>
      </c>
      <c r="AP30" s="67" t="str">
        <f>IF($A30="","",IF(COUNTIF(属性耐性マスタ!$A$5:$A$11,$C30)&gt;0,"OK","未登録"))</f>
        <v>OK</v>
      </c>
    </row>
    <row r="31" spans="1:42">
      <c r="A31" s="66" t="s">
        <v>162</v>
      </c>
      <c r="B31" s="51" t="s">
        <v>163</v>
      </c>
      <c r="C31" s="109" t="s">
        <v>871</v>
      </c>
      <c r="D31" s="53">
        <f>ROUND(設定!$B$5*POWER($D$2,W31-1),2)</f>
        <v>146.41</v>
      </c>
      <c r="E31" s="54">
        <f>MAX(1,ROUND(設定!$B$6*AE31*Y31,0))</f>
        <v>81</v>
      </c>
      <c r="F31" s="54">
        <f>MAX(0,ROUND(設定!$B$7*AE31*設定!$B$15*IF(X31="Melee",0.6,1.35)*IFERROR(VLOOKUP($AM31,個性タイプマスタ!$A$5:$P$100,14,FALSE),1),0))</f>
        <v>32</v>
      </c>
      <c r="G31" s="54">
        <f>IF(X31="Melee",AN31,MAX(1,ROUND(AN31*設定!$B$16*IFERROR(VLOOKUP($AM31,個性タイプマスタ!$A$5:$P$100,15,FALSE),1),0)))</f>
        <v>15</v>
      </c>
      <c r="H31" s="54">
        <f>IF(X31="Ranged",AN31,MAX(1,ROUND(AN31*設定!$B$16*IFERROR(VLOOKUP($AM31,個性タイプマスタ!$A$5:$P$100,15,FALSE),1),0)))</f>
        <v>42</v>
      </c>
      <c r="I31" s="54">
        <f>MAX(0,ROUND(設定!$B$8*AE31*Z31,0))</f>
        <v>17</v>
      </c>
      <c r="J31" s="54">
        <f>MAX(0,ROUND(設定!$B$9*AE31*AA31,0))</f>
        <v>26</v>
      </c>
      <c r="K31" s="55">
        <f>IFERROR(VLOOKUP($AM31,個性タイプマスタ!$A$5:$P$100,9,FALSE),0.05)</f>
        <v>0.04</v>
      </c>
      <c r="L31" s="56">
        <f>IFERROR(VLOOKUP($AM31,個性タイプマスタ!$A$5:$P$100,10,FALSE),1.5)</f>
        <v>1.38</v>
      </c>
      <c r="M31" s="56">
        <f>IFERROR(VLOOKUP($AM31,個性タイプマスタ!$A$5:$P$100,11,FALSE),2)</f>
        <v>2.2000000000000002</v>
      </c>
      <c r="N31" s="57">
        <f>MAX(0.1,ROUND(設定!$B$10*AB31,3))</f>
        <v>0.88</v>
      </c>
      <c r="O31" s="57">
        <f t="shared" si="0"/>
        <v>3.15</v>
      </c>
      <c r="P31" s="58">
        <f>MAX(-10,MIN(0.8,IFERROR(INDEX(属性耐性マスタ!$B$5:$G$11,MATCH($C31,属性耐性マスタ!$A$5:$A$11,0),1),0)+IFERROR(VLOOKUP($AM31,個性タイプマスタ!$A$5:$P$100,12,FALSE),0)))</f>
        <v>0.13</v>
      </c>
      <c r="Q31" s="58">
        <f>MAX(-10,MIN(0.8,IFERROR(INDEX(属性耐性マスタ!$B$5:$G$11,MATCH($C31,属性耐性マスタ!$A$5:$A$11,0),2),0)+IFERROR(VLOOKUP($AM31,個性タイプマスタ!$A$5:$P$100,12,FALSE),0)))</f>
        <v>0.13</v>
      </c>
      <c r="R31" s="58">
        <f>MAX(-10,MIN(0.8,IFERROR(INDEX(属性耐性マスタ!$B$5:$G$11,MATCH($C31,属性耐性マスタ!$A$5:$A$11,0),3),0)+IFERROR(VLOOKUP($AM31,個性タイプマスタ!$A$5:$P$100,12,FALSE),0)))</f>
        <v>0.03</v>
      </c>
      <c r="S31" s="58">
        <f>MAX(-10,MIN(0.8,IFERROR(INDEX(属性耐性マスタ!$B$5:$G$11,MATCH($C31,属性耐性マスタ!$A$5:$A$11,0),4),0)+IFERROR(VLOOKUP($AM31,個性タイプマスタ!$A$5:$P$100,12,FALSE),0)))</f>
        <v>0.33</v>
      </c>
      <c r="T31" s="58">
        <f>MAX(-10,MIN(0.8,IFERROR(INDEX(属性耐性マスタ!$B$5:$G$11,MATCH($C31,属性耐性マスタ!$A$5:$A$11,0),5),0)+IFERROR(VLOOKUP($AM31,個性タイプマスタ!$A$5:$P$100,12,FALSE),0)))</f>
        <v>0.13</v>
      </c>
      <c r="U31" s="58">
        <f>MAX(-10,MIN(0.8,IFERROR(INDEX(属性耐性マスタ!$B$5:$G$11,MATCH($C31,属性耐性マスタ!$A$5:$A$11,0),6),0)+IFERROR(VLOOKUP($AM31,個性タイプマスタ!$A$5:$P$100,12,FALSE),0)))</f>
        <v>0.13</v>
      </c>
      <c r="V31" s="59">
        <f>ROUND(設定!$B$19*IFERROR(VLOOKUP($AM31,個性タイプマスタ!$A$5:$P$100,13,FALSE),1),2)</f>
        <v>4.4800000000000004</v>
      </c>
      <c r="W31" s="59">
        <v>5</v>
      </c>
      <c r="X31" s="59" t="str">
        <f>IFERROR(VLOOKUP($AM31,個性タイプマスタ!$A$5:$P$100,2,FALSE),"Ranged")</f>
        <v>Ranged</v>
      </c>
      <c r="Y31" s="56">
        <f>IFERROR(VLOOKUP($AM31,個性タイプマスタ!$A$5:$P$100,3,FALSE),1)</f>
        <v>0.55000000000000004</v>
      </c>
      <c r="Z31" s="56">
        <f>IFERROR(VLOOKUP($AM31,個性タイプマスタ!$A$5:$P$100,4,FALSE),1)</f>
        <v>1.45</v>
      </c>
      <c r="AA31" s="56">
        <f>IFERROR(VLOOKUP($AM31,個性タイプマスタ!$A$5:$P$100,5,FALSE),1)</f>
        <v>2.25</v>
      </c>
      <c r="AB31" s="56">
        <f>IFERROR(VLOOKUP($AM31,個性タイプマスタ!$A$5:$P$100,6,FALSE),1)</f>
        <v>0.88</v>
      </c>
      <c r="AC31" s="56">
        <f>IFERROR(VLOOKUP($AM31,個性タイプマスタ!$A$5:$P$100,7,FALSE),1)</f>
        <v>1.26</v>
      </c>
      <c r="AD31" s="56">
        <f>IFERROR(VLOOKUP($AM31,個性タイプマスタ!$A$5:$P$100,8,FALSE),1)</f>
        <v>0.75</v>
      </c>
      <c r="AE31" s="60">
        <f>IFERROR(D31/設定!$B$5,1)</f>
        <v>1.4641</v>
      </c>
      <c r="AF31" s="60">
        <f>1+設定!$B$13*((I31/設定!$B$8+J31/設定!$B$9)/(2*AE31))</f>
        <v>1.5506795983880881</v>
      </c>
      <c r="AG31" s="60">
        <f>MAX(0.7,1+設定!$B$14*(O31/IF(X31="Melee",1.5,2.5)-1))</f>
        <v>1.0311999999999999</v>
      </c>
      <c r="AH31" s="53">
        <f t="shared" si="1"/>
        <v>38.692471910400002</v>
      </c>
      <c r="AI31" s="53">
        <f>E31*AF31*(1+設定!$B$18*AVERAGE(P31:U31))</f>
        <v>133.89498060241786</v>
      </c>
      <c r="AJ31" s="61">
        <f>設定!$B$5*SQRT((AH31/(設定!$B$7*設定!$B$10*(1+設定!$B$11*(設定!$B$12-1))))*(AI31/(設定!$B$6*(1+設定!$B$13))))</f>
        <v>146.96892749475356</v>
      </c>
      <c r="AK31" s="62">
        <f t="shared" si="2"/>
        <v>3.8175499949018032E-3</v>
      </c>
      <c r="AL31" s="63">
        <f t="shared" si="3"/>
        <v>109.8075</v>
      </c>
      <c r="AM31" s="64" t="s">
        <v>940</v>
      </c>
      <c r="AN31" s="54">
        <f>MAX(1,ROUND((設定!$B$7*設定!$B$10*(1+設定!$B$11*(設定!$B$12-1)))*AE31^2*(設定!$B$6*(1+設定!$B$13))/(AI31*N31*(1+K31*(L31-1))*AG31),0))</f>
        <v>42</v>
      </c>
      <c r="AO31" s="65" t="str">
        <f>IF($A31="","",IF(COUNTIF(個性タイプマスタ!$A$5:$A$100,$AM31)&gt;0,"OK","未登録"))</f>
        <v>OK</v>
      </c>
      <c r="AP31" s="67" t="str">
        <f>IF($A31="","",IF(COUNTIF(属性耐性マスタ!$A$5:$A$11,$C31)&gt;0,"OK","未登録"))</f>
        <v>OK</v>
      </c>
    </row>
    <row r="32" spans="1:42">
      <c r="A32" s="66" t="s">
        <v>164</v>
      </c>
      <c r="B32" s="51" t="s">
        <v>165</v>
      </c>
      <c r="C32" s="109" t="s">
        <v>874</v>
      </c>
      <c r="D32" s="53">
        <f>ROUND(設定!$B$5*POWER($D$2,W32-1),2)</f>
        <v>146.41</v>
      </c>
      <c r="E32" s="54">
        <f>MAX(1,ROUND(設定!$B$6*AE32*Y32,0))</f>
        <v>95</v>
      </c>
      <c r="F32" s="54">
        <f>MAX(0,ROUND(設定!$B$7*AE32*設定!$B$15*IF(X32="Melee",0.6,1.35)*IFERROR(VLOOKUP($AM32,個性タイプマスタ!$A$5:$P$100,14,FALSE),1),0))</f>
        <v>5</v>
      </c>
      <c r="G32" s="54">
        <f>IF(X32="Melee",AN32,MAX(1,ROUND(AN32*設定!$B$16*IFERROR(VLOOKUP($AM32,個性タイプマスタ!$A$5:$P$100,15,FALSE),1),0)))</f>
        <v>29</v>
      </c>
      <c r="H32" s="54">
        <f>IF(X32="Ranged",AN32,MAX(1,ROUND(AN32*設定!$B$16*IFERROR(VLOOKUP($AM32,個性タイプマスタ!$A$5:$P$100,15,FALSE),1),0)))</f>
        <v>8</v>
      </c>
      <c r="I32" s="54">
        <f>MAX(0,ROUND(設定!$B$8*AE32*Z32,0))</f>
        <v>7</v>
      </c>
      <c r="J32" s="54">
        <f>MAX(0,ROUND(設定!$B$9*AE32*AA32,0))</f>
        <v>8</v>
      </c>
      <c r="K32" s="55">
        <f>IFERROR(VLOOKUP($AM32,個性タイプマスタ!$A$5:$P$100,9,FALSE),0.05)</f>
        <v>0.18</v>
      </c>
      <c r="L32" s="56">
        <f>IFERROR(VLOOKUP($AM32,個性タイプマスタ!$A$5:$P$100,10,FALSE),1.5)</f>
        <v>2.1</v>
      </c>
      <c r="M32" s="56">
        <f>IFERROR(VLOOKUP($AM32,個性タイプマスタ!$A$5:$P$100,11,FALSE),2)</f>
        <v>3.15</v>
      </c>
      <c r="N32" s="57">
        <f>MAX(0.1,ROUND(設定!$B$10*AB32,3))</f>
        <v>1.35</v>
      </c>
      <c r="O32" s="57">
        <f t="shared" si="0"/>
        <v>1.29</v>
      </c>
      <c r="P32" s="58">
        <f>MAX(-10,MIN(0.8,IFERROR(INDEX(属性耐性マスタ!$B$5:$G$11,MATCH($C32,属性耐性マスタ!$A$5:$A$11,0),1),0)+IFERROR(VLOOKUP($AM32,個性タイプマスタ!$A$5:$P$100,12,FALSE),0)))</f>
        <v>-0.08</v>
      </c>
      <c r="Q32" s="58">
        <f>MAX(-10,MIN(0.8,IFERROR(INDEX(属性耐性マスタ!$B$5:$G$11,MATCH($C32,属性耐性マスタ!$A$5:$A$11,0),2),0)+IFERROR(VLOOKUP($AM32,個性タイプマスタ!$A$5:$P$100,12,FALSE),0)))</f>
        <v>-0.08</v>
      </c>
      <c r="R32" s="58">
        <f>MAX(-10,MIN(0.8,IFERROR(INDEX(属性耐性マスタ!$B$5:$G$11,MATCH($C32,属性耐性マスタ!$A$5:$A$11,0),3),0)+IFERROR(VLOOKUP($AM32,個性タイプマスタ!$A$5:$P$100,12,FALSE),0)))</f>
        <v>-0.08</v>
      </c>
      <c r="S32" s="58">
        <f>MAX(-10,MIN(0.8,IFERROR(INDEX(属性耐性マスタ!$B$5:$G$11,MATCH($C32,属性耐性マスタ!$A$5:$A$11,0),4),0)+IFERROR(VLOOKUP($AM32,個性タイプマスタ!$A$5:$P$100,12,FALSE),0)))</f>
        <v>-0.08</v>
      </c>
      <c r="T32" s="58">
        <f>MAX(-10,MIN(0.8,IFERROR(INDEX(属性耐性マスタ!$B$5:$G$11,MATCH($C32,属性耐性マスタ!$A$5:$A$11,0),5),0)+IFERROR(VLOOKUP($AM32,個性タイプマスタ!$A$5:$P$100,12,FALSE),0)))</f>
        <v>-0.18</v>
      </c>
      <c r="U32" s="58">
        <f>MAX(-10,MIN(0.8,IFERROR(INDEX(属性耐性マスタ!$B$5:$G$11,MATCH($C32,属性耐性マスタ!$A$5:$A$11,0),6),0)+IFERROR(VLOOKUP($AM32,個性タイプマスタ!$A$5:$P$100,12,FALSE),0)))</f>
        <v>0.12000000000000001</v>
      </c>
      <c r="V32" s="59">
        <f>ROUND(設定!$B$19*IFERROR(VLOOKUP($AM32,個性タイプマスタ!$A$5:$P$100,13,FALSE),1),2)</f>
        <v>4.8</v>
      </c>
      <c r="W32" s="59">
        <v>5</v>
      </c>
      <c r="X32" s="59" t="str">
        <f>IFERROR(VLOOKUP($AM32,個性タイプマスタ!$A$5:$P$100,2,FALSE),"Ranged")</f>
        <v>Melee</v>
      </c>
      <c r="Y32" s="56">
        <f>IFERROR(VLOOKUP($AM32,個性タイプマスタ!$A$5:$P$100,3,FALSE),1)</f>
        <v>0.65</v>
      </c>
      <c r="Z32" s="56">
        <f>IFERROR(VLOOKUP($AM32,個性タイプマスタ!$A$5:$P$100,4,FALSE),1)</f>
        <v>0.62</v>
      </c>
      <c r="AA32" s="56">
        <f>IFERROR(VLOOKUP($AM32,個性タイプマスタ!$A$5:$P$100,5,FALSE),1)</f>
        <v>0.68</v>
      </c>
      <c r="AB32" s="56">
        <f>IFERROR(VLOOKUP($AM32,個性タイプマスタ!$A$5:$P$100,6,FALSE),1)</f>
        <v>1.35</v>
      </c>
      <c r="AC32" s="56">
        <f>IFERROR(VLOOKUP($AM32,個性タイプマスタ!$A$5:$P$100,7,FALSE),1)</f>
        <v>0.86</v>
      </c>
      <c r="AD32" s="56">
        <f>IFERROR(VLOOKUP($AM32,個性タイプマスタ!$A$5:$P$100,8,FALSE),1)</f>
        <v>0.56999999999999995</v>
      </c>
      <c r="AE32" s="60">
        <f>IFERROR(D32/設定!$B$5,1)</f>
        <v>1.4641</v>
      </c>
      <c r="AF32" s="60">
        <f>1+設定!$B$13*((I32/設定!$B$8+J32/設定!$B$9)/(2*AE32))</f>
        <v>1.1920975343214262</v>
      </c>
      <c r="AG32" s="60">
        <f>MAX(0.7,1+設定!$B$14*(O32/IF(X32="Melee",1.5,2.5)-1))</f>
        <v>0.98319999999999996</v>
      </c>
      <c r="AH32" s="53">
        <f t="shared" si="1"/>
        <v>46.113751440000001</v>
      </c>
      <c r="AI32" s="53">
        <f>E32*AF32*(1+設定!$B$18*AVERAGE(P32:U32))</f>
        <v>110.02166168636023</v>
      </c>
      <c r="AJ32" s="61">
        <f>設定!$B$5*SQRT((AH32/(設定!$B$7*設定!$B$10*(1+設定!$B$11*(設定!$B$12-1))))*(AI32/(設定!$B$6*(1+設定!$B$13))))</f>
        <v>145.44020088203317</v>
      </c>
      <c r="AK32" s="62">
        <f t="shared" si="2"/>
        <v>-6.6238584657252186E-3</v>
      </c>
      <c r="AL32" s="63">
        <f t="shared" si="3"/>
        <v>83.453699999999998</v>
      </c>
      <c r="AM32" s="64" t="s">
        <v>942</v>
      </c>
      <c r="AN32" s="54">
        <f>MAX(1,ROUND((設定!$B$7*設定!$B$10*(1+設定!$B$11*(設定!$B$12-1)))*AE32^2*(設定!$B$6*(1+設定!$B$13))/(AI32*N32*(1+K32*(L32-1))*AG32),0))</f>
        <v>29</v>
      </c>
      <c r="AO32" s="65" t="str">
        <f>IF($A32="","",IF(COUNTIF(個性タイプマスタ!$A$5:$A$100,$AM32)&gt;0,"OK","未登録"))</f>
        <v>OK</v>
      </c>
      <c r="AP32" s="67" t="str">
        <f>IF($A32="","",IF(COUNTIF(属性耐性マスタ!$A$5:$A$11,$C32)&gt;0,"OK","未登録"))</f>
        <v>OK</v>
      </c>
    </row>
    <row r="33" spans="1:42">
      <c r="A33" s="66" t="s">
        <v>166</v>
      </c>
      <c r="B33" s="51" t="s">
        <v>167</v>
      </c>
      <c r="C33" s="109" t="s">
        <v>874</v>
      </c>
      <c r="D33" s="53">
        <f>ROUND(設定!$B$5*POWER($D$2,W33-1),2)</f>
        <v>146.41</v>
      </c>
      <c r="E33" s="54">
        <f>MAX(1,ROUND(設定!$B$6*AE33*Y33,0))</f>
        <v>173</v>
      </c>
      <c r="F33" s="54">
        <f>MAX(0,ROUND(設定!$B$7*AE33*設定!$B$15*IF(X33="Melee",0.6,1.35)*IFERROR(VLOOKUP($AM33,個性タイプマスタ!$A$5:$P$100,14,FALSE),1),0))</f>
        <v>10</v>
      </c>
      <c r="G33" s="54">
        <f>IF(X33="Melee",AN33,MAX(1,ROUND(AN33*設定!$B$16*IFERROR(VLOOKUP($AM33,個性タイプマスタ!$A$5:$P$100,15,FALSE),1),0)))</f>
        <v>23</v>
      </c>
      <c r="H33" s="54">
        <f>IF(X33="Ranged",AN33,MAX(1,ROUND(AN33*設定!$B$16*IFERROR(VLOOKUP($AM33,個性タイプマスタ!$A$5:$P$100,15,FALSE),1),0)))</f>
        <v>7</v>
      </c>
      <c r="I33" s="54">
        <f>MAX(0,ROUND(設定!$B$8*AE33*Z33,0))</f>
        <v>13</v>
      </c>
      <c r="J33" s="54">
        <f>MAX(0,ROUND(設定!$B$9*AE33*AA33,0))</f>
        <v>13</v>
      </c>
      <c r="K33" s="55">
        <f>IFERROR(VLOOKUP($AM33,個性タイプマスタ!$A$5:$P$100,9,FALSE),0.05)</f>
        <v>0.04</v>
      </c>
      <c r="L33" s="56">
        <f>IFERROR(VLOOKUP($AM33,個性タイプマスタ!$A$5:$P$100,10,FALSE),1.5)</f>
        <v>1.43</v>
      </c>
      <c r="M33" s="56">
        <f>IFERROR(VLOOKUP($AM33,個性タイプマスタ!$A$5:$P$100,11,FALSE),2)</f>
        <v>2.15</v>
      </c>
      <c r="N33" s="57">
        <f>MAX(0.1,ROUND(設定!$B$10*AB33,3))</f>
        <v>0.88</v>
      </c>
      <c r="O33" s="57">
        <f t="shared" si="0"/>
        <v>1.425</v>
      </c>
      <c r="P33" s="58">
        <f>MAX(-10,MIN(0.8,IFERROR(INDEX(属性耐性マスタ!$B$5:$G$11,MATCH($C33,属性耐性マスタ!$A$5:$A$11,0),1),0)+IFERROR(VLOOKUP($AM33,個性タイプマスタ!$A$5:$P$100,12,FALSE),0)))</f>
        <v>0.19</v>
      </c>
      <c r="Q33" s="58">
        <f>MAX(-10,MIN(0.8,IFERROR(INDEX(属性耐性マスタ!$B$5:$G$11,MATCH($C33,属性耐性マスタ!$A$5:$A$11,0),2),0)+IFERROR(VLOOKUP($AM33,個性タイプマスタ!$A$5:$P$100,12,FALSE),0)))</f>
        <v>0.19</v>
      </c>
      <c r="R33" s="58">
        <f>MAX(-10,MIN(0.8,IFERROR(INDEX(属性耐性マスタ!$B$5:$G$11,MATCH($C33,属性耐性マスタ!$A$5:$A$11,0),3),0)+IFERROR(VLOOKUP($AM33,個性タイプマスタ!$A$5:$P$100,12,FALSE),0)))</f>
        <v>0.19</v>
      </c>
      <c r="S33" s="58">
        <f>MAX(-10,MIN(0.8,IFERROR(INDEX(属性耐性マスタ!$B$5:$G$11,MATCH($C33,属性耐性マスタ!$A$5:$A$11,0),4),0)+IFERROR(VLOOKUP($AM33,個性タイプマスタ!$A$5:$P$100,12,FALSE),0)))</f>
        <v>0.19</v>
      </c>
      <c r="T33" s="58">
        <f>MAX(-10,MIN(0.8,IFERROR(INDEX(属性耐性マスタ!$B$5:$G$11,MATCH($C33,属性耐性マスタ!$A$5:$A$11,0),5),0)+IFERROR(VLOOKUP($AM33,個性タイプマスタ!$A$5:$P$100,12,FALSE),0)))</f>
        <v>0.09</v>
      </c>
      <c r="U33" s="58">
        <f>MAX(-10,MIN(0.8,IFERROR(INDEX(属性耐性マスタ!$B$5:$G$11,MATCH($C33,属性耐性マスタ!$A$5:$A$11,0),6),0)+IFERROR(VLOOKUP($AM33,個性タイプマスタ!$A$5:$P$100,12,FALSE),0)))</f>
        <v>0.39</v>
      </c>
      <c r="V33" s="59">
        <f>ROUND(設定!$B$19*IFERROR(VLOOKUP($AM33,個性タイプマスタ!$A$5:$P$100,13,FALSE),1),2)</f>
        <v>3.8</v>
      </c>
      <c r="W33" s="59">
        <v>5</v>
      </c>
      <c r="X33" s="59" t="str">
        <f>IFERROR(VLOOKUP($AM33,個性タイプマスタ!$A$5:$P$100,2,FALSE),"Ranged")</f>
        <v>Melee</v>
      </c>
      <c r="Y33" s="56">
        <f>IFERROR(VLOOKUP($AM33,個性タイプマスタ!$A$5:$P$100,3,FALSE),1)</f>
        <v>1.18</v>
      </c>
      <c r="Z33" s="56">
        <f>IFERROR(VLOOKUP($AM33,個性タイプマスタ!$A$5:$P$100,4,FALSE),1)</f>
        <v>1.1399999999999999</v>
      </c>
      <c r="AA33" s="56">
        <f>IFERROR(VLOOKUP($AM33,個性タイプマスタ!$A$5:$P$100,5,FALSE),1)</f>
        <v>1.1399999999999999</v>
      </c>
      <c r="AB33" s="56">
        <f>IFERROR(VLOOKUP($AM33,個性タイプマスタ!$A$5:$P$100,6,FALSE),1)</f>
        <v>0.88</v>
      </c>
      <c r="AC33" s="56">
        <f>IFERROR(VLOOKUP($AM33,個性タイプマスタ!$A$5:$P$100,7,FALSE),1)</f>
        <v>0.95</v>
      </c>
      <c r="AD33" s="56">
        <f>IFERROR(VLOOKUP($AM33,個性タイプマスタ!$A$5:$P$100,8,FALSE),1)</f>
        <v>0.88</v>
      </c>
      <c r="AE33" s="60">
        <f>IFERROR(D33/設定!$B$5,1)</f>
        <v>1.4641</v>
      </c>
      <c r="AF33" s="60">
        <f>1+設定!$B$13*((I33/設定!$B$8+J33/設定!$B$9)/(2*AE33))</f>
        <v>1.332969059490472</v>
      </c>
      <c r="AG33" s="60">
        <f>MAX(0.7,1+設定!$B$14*(O33/IF(X33="Melee",1.5,2.5)-1))</f>
        <v>0.99399999999999999</v>
      </c>
      <c r="AH33" s="53">
        <f t="shared" si="1"/>
        <v>20.464599232000001</v>
      </c>
      <c r="AI33" s="53">
        <f>E33*AF33*(1+設定!$B$18*AVERAGE(P33:U33))</f>
        <v>252.04978648999383</v>
      </c>
      <c r="AJ33" s="61">
        <f>設定!$B$5*SQRT((AH33/(設定!$B$7*設定!$B$10*(1+設定!$B$11*(設定!$B$12-1))))*(AI33/(設定!$B$6*(1+設定!$B$13))))</f>
        <v>146.64758911442897</v>
      </c>
      <c r="AK33" s="62">
        <f t="shared" si="2"/>
        <v>1.6227656200324958E-3</v>
      </c>
      <c r="AL33" s="63">
        <f t="shared" si="3"/>
        <v>128.8408</v>
      </c>
      <c r="AM33" s="64" t="s">
        <v>956</v>
      </c>
      <c r="AN33" s="54">
        <f>MAX(1,ROUND((設定!$B$7*設定!$B$10*(1+設定!$B$11*(設定!$B$12-1)))*AE33^2*(設定!$B$6*(1+設定!$B$13))/(AI33*N33*(1+K33*(L33-1))*AG33),0))</f>
        <v>23</v>
      </c>
      <c r="AO33" s="65" t="str">
        <f>IF($A33="","",IF(COUNTIF(個性タイプマスタ!$A$5:$A$100,$AM33)&gt;0,"OK","未登録"))</f>
        <v>OK</v>
      </c>
      <c r="AP33" s="67" t="str">
        <f>IF($A33="","",IF(COUNTIF(属性耐性マスタ!$A$5:$A$11,$C33)&gt;0,"OK","未登録"))</f>
        <v>OK</v>
      </c>
    </row>
    <row r="34" spans="1:42">
      <c r="A34" s="66" t="s">
        <v>168</v>
      </c>
      <c r="B34" s="51" t="s">
        <v>169</v>
      </c>
      <c r="C34" s="109" t="s">
        <v>874</v>
      </c>
      <c r="D34" s="53">
        <f>ROUND(設定!$B$5*POWER($D$2,W34-1),2)</f>
        <v>146.41</v>
      </c>
      <c r="E34" s="54">
        <f>MAX(1,ROUND(設定!$B$6*AE34*Y34,0))</f>
        <v>151</v>
      </c>
      <c r="F34" s="54">
        <f>MAX(0,ROUND(設定!$B$7*AE34*設定!$B$15*IF(X34="Melee",0.6,1.35)*IFERROR(VLOOKUP($AM34,個性タイプマスタ!$A$5:$P$100,14,FALSE),1),0))</f>
        <v>57</v>
      </c>
      <c r="G34" s="54">
        <f>IF(X34="Melee",AN34,MAX(1,ROUND(AN34*設定!$B$16*IFERROR(VLOOKUP($AM34,個性タイプマスタ!$A$5:$P$100,15,FALSE),1),0)))</f>
        <v>9</v>
      </c>
      <c r="H34" s="54">
        <f>IF(X34="Ranged",AN34,MAX(1,ROUND(AN34*設定!$B$16*IFERROR(VLOOKUP($AM34,個性タイプマスタ!$A$5:$P$100,15,FALSE),1),0)))</f>
        <v>27</v>
      </c>
      <c r="I34" s="54">
        <f>MAX(0,ROUND(設定!$B$8*AE34*Z34,0))</f>
        <v>11</v>
      </c>
      <c r="J34" s="54">
        <f>MAX(0,ROUND(設定!$B$9*AE34*AA34,0))</f>
        <v>14</v>
      </c>
      <c r="K34" s="55">
        <f>IFERROR(VLOOKUP($AM34,個性タイプマスタ!$A$5:$P$100,9,FALSE),0.05)</f>
        <v>6.5000000000000002E-2</v>
      </c>
      <c r="L34" s="56">
        <f>IFERROR(VLOOKUP($AM34,個性タイプマスタ!$A$5:$P$100,10,FALSE),1.5)</f>
        <v>1.45</v>
      </c>
      <c r="M34" s="56">
        <f>IFERROR(VLOOKUP($AM34,個性タイプマスタ!$A$5:$P$100,11,FALSE),2)</f>
        <v>2.1</v>
      </c>
      <c r="N34" s="57">
        <f>MAX(0.1,ROUND(設定!$B$10*AB34,3))</f>
        <v>0.9</v>
      </c>
      <c r="O34" s="57">
        <f t="shared" si="0"/>
        <v>2.8</v>
      </c>
      <c r="P34" s="58">
        <f>MAX(-10,MIN(0.8,IFERROR(INDEX(属性耐性マスタ!$B$5:$G$11,MATCH($C34,属性耐性マスタ!$A$5:$A$11,0),1),0)+IFERROR(VLOOKUP($AM34,個性タイプマスタ!$A$5:$P$100,12,FALSE),0)))</f>
        <v>0.02</v>
      </c>
      <c r="Q34" s="58">
        <f>MAX(-10,MIN(0.8,IFERROR(INDEX(属性耐性マスタ!$B$5:$G$11,MATCH($C34,属性耐性マスタ!$A$5:$A$11,0),2),0)+IFERROR(VLOOKUP($AM34,個性タイプマスタ!$A$5:$P$100,12,FALSE),0)))</f>
        <v>0.02</v>
      </c>
      <c r="R34" s="58">
        <f>MAX(-10,MIN(0.8,IFERROR(INDEX(属性耐性マスタ!$B$5:$G$11,MATCH($C34,属性耐性マスタ!$A$5:$A$11,0),3),0)+IFERROR(VLOOKUP($AM34,個性タイプマスタ!$A$5:$P$100,12,FALSE),0)))</f>
        <v>0.02</v>
      </c>
      <c r="S34" s="58">
        <f>MAX(-10,MIN(0.8,IFERROR(INDEX(属性耐性マスタ!$B$5:$G$11,MATCH($C34,属性耐性マスタ!$A$5:$A$11,0),4),0)+IFERROR(VLOOKUP($AM34,個性タイプマスタ!$A$5:$P$100,12,FALSE),0)))</f>
        <v>0.02</v>
      </c>
      <c r="T34" s="58">
        <f>MAX(-10,MIN(0.8,IFERROR(INDEX(属性耐性マスタ!$B$5:$G$11,MATCH($C34,属性耐性マスタ!$A$5:$A$11,0),5),0)+IFERROR(VLOOKUP($AM34,個性タイプマスタ!$A$5:$P$100,12,FALSE),0)))</f>
        <v>-0.08</v>
      </c>
      <c r="U34" s="58">
        <f>MAX(-10,MIN(0.8,IFERROR(INDEX(属性耐性マスタ!$B$5:$G$11,MATCH($C34,属性耐性マスタ!$A$5:$A$11,0),6),0)+IFERROR(VLOOKUP($AM34,個性タイプマスタ!$A$5:$P$100,12,FALSE),0)))</f>
        <v>0.22</v>
      </c>
      <c r="V34" s="59">
        <f>ROUND(設定!$B$19*IFERROR(VLOOKUP($AM34,個性タイプマスタ!$A$5:$P$100,13,FALSE),1),2)</f>
        <v>4.2</v>
      </c>
      <c r="W34" s="59">
        <v>5</v>
      </c>
      <c r="X34" s="59" t="str">
        <f>IFERROR(VLOOKUP($AM34,個性タイプマスタ!$A$5:$P$100,2,FALSE),"Ranged")</f>
        <v>Ranged</v>
      </c>
      <c r="Y34" s="56">
        <f>IFERROR(VLOOKUP($AM34,個性タイプマスタ!$A$5:$P$100,3,FALSE),1)</f>
        <v>1.03</v>
      </c>
      <c r="Z34" s="56">
        <f>IFERROR(VLOOKUP($AM34,個性タイプマスタ!$A$5:$P$100,4,FALSE),1)</f>
        <v>0.96</v>
      </c>
      <c r="AA34" s="56">
        <f>IFERROR(VLOOKUP($AM34,個性タイプマスタ!$A$5:$P$100,5,FALSE),1)</f>
        <v>1.18</v>
      </c>
      <c r="AB34" s="56">
        <f>IFERROR(VLOOKUP($AM34,個性タイプマスタ!$A$5:$P$100,6,FALSE),1)</f>
        <v>0.9</v>
      </c>
      <c r="AC34" s="56">
        <f>IFERROR(VLOOKUP($AM34,個性タイプマスタ!$A$5:$P$100,7,FALSE),1)</f>
        <v>1.1200000000000001</v>
      </c>
      <c r="AD34" s="56">
        <f>IFERROR(VLOOKUP($AM34,個性タイプマスタ!$A$5:$P$100,8,FALSE),1)</f>
        <v>0.79</v>
      </c>
      <c r="AE34" s="60">
        <f>IFERROR(D34/設定!$B$5,1)</f>
        <v>1.4641</v>
      </c>
      <c r="AF34" s="60">
        <f>1+設定!$B$13*((I34/設定!$B$8+J34/設定!$B$9)/(2*AE34))</f>
        <v>1.320162557202377</v>
      </c>
      <c r="AG34" s="60">
        <f>MAX(0.7,1+設定!$B$14*(O34/IF(X34="Melee",1.5,2.5)-1))</f>
        <v>1.0144</v>
      </c>
      <c r="AH34" s="53">
        <f t="shared" si="1"/>
        <v>25.37093016</v>
      </c>
      <c r="AI34" s="53">
        <f>E34*AF34*(1+設定!$B$18*AVERAGE(P34:U34))</f>
        <v>202.63373114882864</v>
      </c>
      <c r="AJ34" s="61">
        <f>設定!$B$5*SQRT((AH34/(設定!$B$7*設定!$B$10*(1+設定!$B$11*(設定!$B$12-1))))*(AI34/(設定!$B$6*(1+設定!$B$13))))</f>
        <v>146.40442530025169</v>
      </c>
      <c r="AK34" s="62">
        <f t="shared" si="2"/>
        <v>-3.8075949377103235E-5</v>
      </c>
      <c r="AL34" s="63">
        <f t="shared" si="3"/>
        <v>115.6639</v>
      </c>
      <c r="AM34" s="64" t="s">
        <v>932</v>
      </c>
      <c r="AN34" s="54">
        <f>MAX(1,ROUND((設定!$B$7*設定!$B$10*(1+設定!$B$11*(設定!$B$12-1)))*AE34^2*(設定!$B$6*(1+設定!$B$13))/(AI34*N34*(1+K34*(L34-1))*AG34),0))</f>
        <v>27</v>
      </c>
      <c r="AO34" s="65" t="str">
        <f>IF($A34="","",IF(COUNTIF(個性タイプマスタ!$A$5:$A$100,$AM34)&gt;0,"OK","未登録"))</f>
        <v>OK</v>
      </c>
      <c r="AP34" s="67" t="str">
        <f>IF($A34="","",IF(COUNTIF(属性耐性マスタ!$A$5:$A$11,$C34)&gt;0,"OK","未登録"))</f>
        <v>OK</v>
      </c>
    </row>
    <row r="35" spans="1:42">
      <c r="A35" s="66" t="s">
        <v>170</v>
      </c>
      <c r="B35" s="51" t="s">
        <v>171</v>
      </c>
      <c r="C35" s="109" t="s">
        <v>874</v>
      </c>
      <c r="D35" s="53">
        <f>ROUND(設定!$B$5*POWER($D$2,W35-1),2)</f>
        <v>161.05000000000001</v>
      </c>
      <c r="E35" s="54">
        <f>MAX(1,ROUND(設定!$B$6*AE35*Y35,0))</f>
        <v>132</v>
      </c>
      <c r="F35" s="54">
        <f>MAX(0,ROUND(設定!$B$7*AE35*設定!$B$15*IF(X35="Melee",0.6,1.35)*IFERROR(VLOOKUP($AM35,個性タイプマスタ!$A$5:$P$100,14,FALSE),1),0))</f>
        <v>32</v>
      </c>
      <c r="G35" s="54">
        <f>IF(X35="Melee",AN35,MAX(1,ROUND(AN35*設定!$B$16*IFERROR(VLOOKUP($AM35,個性タイプマスタ!$A$5:$P$100,15,FALSE),1),0)))</f>
        <v>12</v>
      </c>
      <c r="H35" s="54">
        <f>IF(X35="Ranged",AN35,MAX(1,ROUND(AN35*設定!$B$16*IFERROR(VLOOKUP($AM35,個性タイプマスタ!$A$5:$P$100,15,FALSE),1),0)))</f>
        <v>45</v>
      </c>
      <c r="I35" s="54">
        <f>MAX(0,ROUND(設定!$B$8*AE35*Z35,0))</f>
        <v>10</v>
      </c>
      <c r="J35" s="54">
        <f>MAX(0,ROUND(設定!$B$9*AE35*AA35,0))</f>
        <v>11</v>
      </c>
      <c r="K35" s="55">
        <f>IFERROR(VLOOKUP($AM35,個性タイプマスタ!$A$5:$P$100,9,FALSE),0.05)</f>
        <v>0.12</v>
      </c>
      <c r="L35" s="56">
        <f>IFERROR(VLOOKUP($AM35,個性タイプマスタ!$A$5:$P$100,10,FALSE),1.5)</f>
        <v>2.5499999999999998</v>
      </c>
      <c r="M35" s="56">
        <f>IFERROR(VLOOKUP($AM35,個性タイプマスタ!$A$5:$P$100,11,FALSE),2)</f>
        <v>2.2999999999999998</v>
      </c>
      <c r="N35" s="57">
        <f>MAX(0.1,ROUND(設定!$B$10*AB35,3))</f>
        <v>0.68</v>
      </c>
      <c r="O35" s="57">
        <f t="shared" si="0"/>
        <v>3.55</v>
      </c>
      <c r="P35" s="58">
        <f>MAX(-10,MIN(0.8,IFERROR(INDEX(属性耐性マスタ!$B$5:$G$11,MATCH($C35,属性耐性マスタ!$A$5:$A$11,0),1),0)+IFERROR(VLOOKUP($AM35,個性タイプマスタ!$A$5:$P$100,12,FALSE),0)))</f>
        <v>-5.5E-2</v>
      </c>
      <c r="Q35" s="58">
        <f>MAX(-10,MIN(0.8,IFERROR(INDEX(属性耐性マスタ!$B$5:$G$11,MATCH($C35,属性耐性マスタ!$A$5:$A$11,0),2),0)+IFERROR(VLOOKUP($AM35,個性タイプマスタ!$A$5:$P$100,12,FALSE),0)))</f>
        <v>-5.5E-2</v>
      </c>
      <c r="R35" s="58">
        <f>MAX(-10,MIN(0.8,IFERROR(INDEX(属性耐性マスタ!$B$5:$G$11,MATCH($C35,属性耐性マスタ!$A$5:$A$11,0),3),0)+IFERROR(VLOOKUP($AM35,個性タイプマスタ!$A$5:$P$100,12,FALSE),0)))</f>
        <v>-5.5E-2</v>
      </c>
      <c r="S35" s="58">
        <f>MAX(-10,MIN(0.8,IFERROR(INDEX(属性耐性マスタ!$B$5:$G$11,MATCH($C35,属性耐性マスタ!$A$5:$A$11,0),4),0)+IFERROR(VLOOKUP($AM35,個性タイプマスタ!$A$5:$P$100,12,FALSE),0)))</f>
        <v>-5.5E-2</v>
      </c>
      <c r="T35" s="58">
        <f>MAX(-10,MIN(0.8,IFERROR(INDEX(属性耐性マスタ!$B$5:$G$11,MATCH($C35,属性耐性マスタ!$A$5:$A$11,0),5),0)+IFERROR(VLOOKUP($AM35,個性タイプマスタ!$A$5:$P$100,12,FALSE),0)))</f>
        <v>-0.155</v>
      </c>
      <c r="U35" s="58">
        <f>MAX(-10,MIN(0.8,IFERROR(INDEX(属性耐性マスタ!$B$5:$G$11,MATCH($C35,属性耐性マスタ!$A$5:$A$11,0),6),0)+IFERROR(VLOOKUP($AM35,個性タイプマスタ!$A$5:$P$100,12,FALSE),0)))</f>
        <v>0.14500000000000002</v>
      </c>
      <c r="V35" s="59">
        <f>ROUND(設定!$B$19*IFERROR(VLOOKUP($AM35,個性タイプマスタ!$A$5:$P$100,13,FALSE),1),2)</f>
        <v>4.8</v>
      </c>
      <c r="W35" s="59">
        <v>6</v>
      </c>
      <c r="X35" s="59" t="str">
        <f>IFERROR(VLOOKUP($AM35,個性タイプマスタ!$A$5:$P$100,2,FALSE),"Ranged")</f>
        <v>Ranged</v>
      </c>
      <c r="Y35" s="56">
        <f>IFERROR(VLOOKUP($AM35,個性タイプマスタ!$A$5:$P$100,3,FALSE),1)</f>
        <v>0.82</v>
      </c>
      <c r="Z35" s="56">
        <f>IFERROR(VLOOKUP($AM35,個性タイプマスタ!$A$5:$P$100,4,FALSE),1)</f>
        <v>0.81</v>
      </c>
      <c r="AA35" s="56">
        <f>IFERROR(VLOOKUP($AM35,個性タイプマスタ!$A$5:$P$100,5,FALSE),1)</f>
        <v>0.87</v>
      </c>
      <c r="AB35" s="56">
        <f>IFERROR(VLOOKUP($AM35,個性タイプマスタ!$A$5:$P$100,6,FALSE),1)</f>
        <v>0.68</v>
      </c>
      <c r="AC35" s="56">
        <f>IFERROR(VLOOKUP($AM35,個性タイプマスタ!$A$5:$P$100,7,FALSE),1)</f>
        <v>1.42</v>
      </c>
      <c r="AD35" s="56">
        <f>IFERROR(VLOOKUP($AM35,個性タイプマスタ!$A$5:$P$100,8,FALSE),1)</f>
        <v>0.67</v>
      </c>
      <c r="AE35" s="60">
        <f>IFERROR(D35/設定!$B$5,1)</f>
        <v>1.6105</v>
      </c>
      <c r="AF35" s="60">
        <f>1+設定!$B$13*((I35/設定!$B$8+J35/設定!$B$9)/(2*AE35))</f>
        <v>1.2444892890406707</v>
      </c>
      <c r="AG35" s="60">
        <f>MAX(0.7,1+設定!$B$14*(O35/IF(X35="Melee",1.5,2.5)-1))</f>
        <v>1.0504</v>
      </c>
      <c r="AH35" s="53">
        <f t="shared" si="1"/>
        <v>38.120696640000006</v>
      </c>
      <c r="AI35" s="53">
        <f>E35*AF35*(1+設定!$B$18*AVERAGE(P35:U35))</f>
        <v>161.43888404222292</v>
      </c>
      <c r="AJ35" s="61">
        <f>設定!$B$5*SQRT((AH35/(設定!$B$7*設定!$B$10*(1+設定!$B$11*(設定!$B$12-1))))*(AI35/(設定!$B$6*(1+設定!$B$13))))</f>
        <v>160.18233727081341</v>
      </c>
      <c r="AK35" s="62">
        <f t="shared" si="2"/>
        <v>-5.3875363501186824E-3</v>
      </c>
      <c r="AL35" s="63">
        <f t="shared" si="3"/>
        <v>107.90350000000001</v>
      </c>
      <c r="AM35" s="64" t="s">
        <v>924</v>
      </c>
      <c r="AN35" s="54">
        <f>MAX(1,ROUND((設定!$B$7*設定!$B$10*(1+設定!$B$11*(設定!$B$12-1)))*AE35^2*(設定!$B$6*(1+設定!$B$13))/(AI35*N35*(1+K35*(L35-1))*AG35),0))</f>
        <v>45</v>
      </c>
      <c r="AO35" s="65" t="str">
        <f>IF($A35="","",IF(COUNTIF(個性タイプマスタ!$A$5:$A$100,$AM35)&gt;0,"OK","未登録"))</f>
        <v>OK</v>
      </c>
      <c r="AP35" s="67" t="str">
        <f>IF($A35="","",IF(COUNTIF(属性耐性マスタ!$A$5:$A$11,$C35)&gt;0,"OK","未登録"))</f>
        <v>OK</v>
      </c>
    </row>
    <row r="36" spans="1:42">
      <c r="A36" s="66" t="s">
        <v>172</v>
      </c>
      <c r="B36" s="51" t="s">
        <v>173</v>
      </c>
      <c r="C36" s="109" t="s">
        <v>114</v>
      </c>
      <c r="D36" s="53">
        <f>ROUND(設定!$B$5*POWER($D$2,W36-1),2)</f>
        <v>161.05000000000001</v>
      </c>
      <c r="E36" s="54">
        <f>MAX(1,ROUND(設定!$B$6*AE36*Y36,0))</f>
        <v>225</v>
      </c>
      <c r="F36" s="54">
        <f>MAX(0,ROUND(設定!$B$7*AE36*設定!$B$15*IF(X36="Melee",0.6,1.35)*IFERROR(VLOOKUP($AM36,個性タイプマスタ!$A$5:$P$100,14,FALSE),1),0))</f>
        <v>52</v>
      </c>
      <c r="G36" s="54">
        <f>IF(X36="Melee",AN36,MAX(1,ROUND(AN36*設定!$B$16*IFERROR(VLOOKUP($AM36,個性タイプマスタ!$A$5:$P$100,15,FALSE),1),0)))</f>
        <v>9</v>
      </c>
      <c r="H36" s="54">
        <f>IF(X36="Ranged",AN36,MAX(1,ROUND(AN36*設定!$B$16*IFERROR(VLOOKUP($AM36,個性タイプマスタ!$A$5:$P$100,15,FALSE),1),0)))</f>
        <v>23</v>
      </c>
      <c r="I36" s="54">
        <f>MAX(0,ROUND(設定!$B$8*AE36*Z36,0))</f>
        <v>12</v>
      </c>
      <c r="J36" s="54">
        <f>MAX(0,ROUND(設定!$B$9*AE36*AA36,0))</f>
        <v>22</v>
      </c>
      <c r="K36" s="55">
        <f>IFERROR(VLOOKUP($AM36,個性タイプマスタ!$A$5:$P$100,9,FALSE),0.05)</f>
        <v>0.115</v>
      </c>
      <c r="L36" s="56">
        <f>IFERROR(VLOOKUP($AM36,個性タイプマスタ!$A$5:$P$100,10,FALSE),1.5)</f>
        <v>1.95</v>
      </c>
      <c r="M36" s="56">
        <f>IFERROR(VLOOKUP($AM36,個性タイプマスタ!$A$5:$P$100,11,FALSE),2)</f>
        <v>1.2</v>
      </c>
      <c r="N36" s="57">
        <f>MAX(0.1,ROUND(設定!$B$10*AB36,3))</f>
        <v>0.72</v>
      </c>
      <c r="O36" s="57">
        <f t="shared" si="0"/>
        <v>3.3250000000000002</v>
      </c>
      <c r="P36" s="58">
        <f>MAX(-10,MIN(0.8,IFERROR(INDEX(属性耐性マスタ!$B$5:$G$11,MATCH($C36,属性耐性マスタ!$A$5:$A$11,0),1),0)+IFERROR(VLOOKUP($AM36,個性タイプマスタ!$A$5:$P$100,12,FALSE),0)))</f>
        <v>0.08</v>
      </c>
      <c r="Q36" s="58">
        <f>MAX(-10,MIN(0.8,IFERROR(INDEX(属性耐性マスタ!$B$5:$G$11,MATCH($C36,属性耐性マスタ!$A$5:$A$11,0),2),0)+IFERROR(VLOOKUP($AM36,個性タイプマスタ!$A$5:$P$100,12,FALSE),0)))</f>
        <v>0.08</v>
      </c>
      <c r="R36" s="58">
        <f>MAX(-10,MIN(0.8,IFERROR(INDEX(属性耐性マスタ!$B$5:$G$11,MATCH($C36,属性耐性マスタ!$A$5:$A$11,0),3),0)+IFERROR(VLOOKUP($AM36,個性タイプマスタ!$A$5:$P$100,12,FALSE),0)))</f>
        <v>0.28000000000000003</v>
      </c>
      <c r="S36" s="58">
        <f>MAX(-10,MIN(0.8,IFERROR(INDEX(属性耐性マスタ!$B$5:$G$11,MATCH($C36,属性耐性マスタ!$A$5:$A$11,0),4),0)+IFERROR(VLOOKUP($AM36,個性タイプマスタ!$A$5:$P$100,12,FALSE),0)))</f>
        <v>-2.0000000000000004E-2</v>
      </c>
      <c r="T36" s="58">
        <f>MAX(-10,MIN(0.8,IFERROR(INDEX(属性耐性マスタ!$B$5:$G$11,MATCH($C36,属性耐性マスタ!$A$5:$A$11,0),5),0)+IFERROR(VLOOKUP($AM36,個性タイプマスタ!$A$5:$P$100,12,FALSE),0)))</f>
        <v>0.08</v>
      </c>
      <c r="U36" s="58">
        <f>MAX(-10,MIN(0.8,IFERROR(INDEX(属性耐性マスタ!$B$5:$G$11,MATCH($C36,属性耐性マスタ!$A$5:$A$11,0),6),0)+IFERROR(VLOOKUP($AM36,個性タイプマスタ!$A$5:$P$100,12,FALSE),0)))</f>
        <v>0.08</v>
      </c>
      <c r="V36" s="59">
        <f>ROUND(設定!$B$19*IFERROR(VLOOKUP($AM36,個性タイプマスタ!$A$5:$P$100,13,FALSE),1),2)</f>
        <v>5</v>
      </c>
      <c r="W36" s="59">
        <v>6</v>
      </c>
      <c r="X36" s="59" t="str">
        <f>IFERROR(VLOOKUP($AM36,個性タイプマスタ!$A$5:$P$100,2,FALSE),"Ranged")</f>
        <v>Ranged</v>
      </c>
      <c r="Y36" s="56">
        <f>IFERROR(VLOOKUP($AM36,個性タイプマスタ!$A$5:$P$100,3,FALSE),1)</f>
        <v>1.4</v>
      </c>
      <c r="Z36" s="56">
        <f>IFERROR(VLOOKUP($AM36,個性タイプマスタ!$A$5:$P$100,4,FALSE),1)</f>
        <v>0.95</v>
      </c>
      <c r="AA36" s="56">
        <f>IFERROR(VLOOKUP($AM36,個性タイプマスタ!$A$5:$P$100,5,FALSE),1)</f>
        <v>1.68</v>
      </c>
      <c r="AB36" s="56">
        <f>IFERROR(VLOOKUP($AM36,個性タイプマスタ!$A$5:$P$100,6,FALSE),1)</f>
        <v>0.72</v>
      </c>
      <c r="AC36" s="56">
        <f>IFERROR(VLOOKUP($AM36,個性タイプマスタ!$A$5:$P$100,7,FALSE),1)</f>
        <v>1.33</v>
      </c>
      <c r="AD36" s="56">
        <f>IFERROR(VLOOKUP($AM36,個性タイプマスタ!$A$5:$P$100,8,FALSE),1)</f>
        <v>0.86</v>
      </c>
      <c r="AE36" s="60">
        <f>IFERROR(D36/設定!$B$5,1)</f>
        <v>1.6105</v>
      </c>
      <c r="AF36" s="60">
        <f>1+設定!$B$13*((I36/設定!$B$8+J36/設定!$B$9)/(2*AE36))</f>
        <v>1.3958398013039428</v>
      </c>
      <c r="AG36" s="60">
        <f>MAX(0.7,1+設定!$B$14*(O36/IF(X36="Melee",1.5,2.5)-1))</f>
        <v>1.0396000000000001</v>
      </c>
      <c r="AH36" s="53">
        <f t="shared" si="1"/>
        <v>19.096599528000002</v>
      </c>
      <c r="AI36" s="53">
        <f>E36*AF36*(1+設定!$B$18*AVERAGE(P36:U36))</f>
        <v>327.72573734864955</v>
      </c>
      <c r="AJ36" s="61">
        <f>設定!$B$5*SQRT((AH36/(設定!$B$7*設定!$B$10*(1+設定!$B$11*(設定!$B$12-1))))*(AI36/(設定!$B$6*(1+設定!$B$13))))</f>
        <v>161.53380885638438</v>
      </c>
      <c r="AK36" s="62">
        <f t="shared" si="2"/>
        <v>3.0040910051807312E-3</v>
      </c>
      <c r="AL36" s="63">
        <f t="shared" si="3"/>
        <v>138.50300000000001</v>
      </c>
      <c r="AM36" s="64" t="s">
        <v>938</v>
      </c>
      <c r="AN36" s="54">
        <f>MAX(1,ROUND((設定!$B$7*設定!$B$10*(1+設定!$B$11*(設定!$B$12-1)))*AE36^2*(設定!$B$6*(1+設定!$B$13))/(AI36*N36*(1+K36*(L36-1))*AG36),0))</f>
        <v>23</v>
      </c>
      <c r="AO36" s="65" t="str">
        <f>IF($A36="","",IF(COUNTIF(個性タイプマスタ!$A$5:$A$100,$AM36)&gt;0,"OK","未登録"))</f>
        <v>OK</v>
      </c>
      <c r="AP36" s="67" t="str">
        <f>IF($A36="","",IF(COUNTIF(属性耐性マスタ!$A$5:$A$11,$C36)&gt;0,"OK","未登録"))</f>
        <v>OK</v>
      </c>
    </row>
    <row r="37" spans="1:42">
      <c r="A37" s="66" t="s">
        <v>174</v>
      </c>
      <c r="B37" s="51" t="s">
        <v>175</v>
      </c>
      <c r="C37" s="109" t="s">
        <v>874</v>
      </c>
      <c r="D37" s="53">
        <f>ROUND(設定!$B$5*POWER($D$2,W37-1),2)</f>
        <v>161.05000000000001</v>
      </c>
      <c r="E37" s="54">
        <f>MAX(1,ROUND(設定!$B$6*AE37*Y37,0))</f>
        <v>126</v>
      </c>
      <c r="F37" s="54">
        <f>MAX(0,ROUND(設定!$B$7*AE37*設定!$B$15*IF(X37="Melee",0.6,1.35)*IFERROR(VLOOKUP($AM37,個性タイプマスタ!$A$5:$P$100,14,FALSE),1),0))</f>
        <v>27</v>
      </c>
      <c r="G37" s="54">
        <f>IF(X37="Melee",AN37,MAX(1,ROUND(AN37*設定!$B$16*IFERROR(VLOOKUP($AM37,個性タイプマスタ!$A$5:$P$100,15,FALSE),1),0)))</f>
        <v>15</v>
      </c>
      <c r="H37" s="54">
        <f>IF(X37="Ranged",AN37,MAX(1,ROUND(AN37*設定!$B$16*IFERROR(VLOOKUP($AM37,個性タイプマスタ!$A$5:$P$100,15,FALSE),1),0)))</f>
        <v>34</v>
      </c>
      <c r="I37" s="54">
        <f>MAX(0,ROUND(設定!$B$8*AE37*Z37,0))</f>
        <v>10</v>
      </c>
      <c r="J37" s="54">
        <f>MAX(0,ROUND(設定!$B$9*AE37*AA37,0))</f>
        <v>10</v>
      </c>
      <c r="K37" s="55">
        <f>IFERROR(VLOOKUP($AM37,個性タイプマスタ!$A$5:$P$100,9,FALSE),0.05)</f>
        <v>0.11</v>
      </c>
      <c r="L37" s="56">
        <f>IFERROR(VLOOKUP($AM37,個性タイプマスタ!$A$5:$P$100,10,FALSE),1.5)</f>
        <v>1.65</v>
      </c>
      <c r="M37" s="56">
        <f>IFERROR(VLOOKUP($AM37,個性タイプマスタ!$A$5:$P$100,11,FALSE),2)</f>
        <v>2.2000000000000002</v>
      </c>
      <c r="N37" s="57">
        <f>MAX(0.1,ROUND(設定!$B$10*AB37,3))</f>
        <v>1.1000000000000001</v>
      </c>
      <c r="O37" s="57">
        <f t="shared" si="0"/>
        <v>2.75</v>
      </c>
      <c r="P37" s="58">
        <f>MAX(-10,MIN(0.8,IFERROR(INDEX(属性耐性マスタ!$B$5:$G$11,MATCH($C37,属性耐性マスタ!$A$5:$A$11,0),1),0)+IFERROR(VLOOKUP($AM37,個性タイプマスタ!$A$5:$P$100,12,FALSE),0)))</f>
        <v>-0.04</v>
      </c>
      <c r="Q37" s="58">
        <f>MAX(-10,MIN(0.8,IFERROR(INDEX(属性耐性マスタ!$B$5:$G$11,MATCH($C37,属性耐性マスタ!$A$5:$A$11,0),2),0)+IFERROR(VLOOKUP($AM37,個性タイプマスタ!$A$5:$P$100,12,FALSE),0)))</f>
        <v>-0.04</v>
      </c>
      <c r="R37" s="58">
        <f>MAX(-10,MIN(0.8,IFERROR(INDEX(属性耐性マスタ!$B$5:$G$11,MATCH($C37,属性耐性マスタ!$A$5:$A$11,0),3),0)+IFERROR(VLOOKUP($AM37,個性タイプマスタ!$A$5:$P$100,12,FALSE),0)))</f>
        <v>-0.04</v>
      </c>
      <c r="S37" s="58">
        <f>MAX(-10,MIN(0.8,IFERROR(INDEX(属性耐性マスタ!$B$5:$G$11,MATCH($C37,属性耐性マスタ!$A$5:$A$11,0),4),0)+IFERROR(VLOOKUP($AM37,個性タイプマスタ!$A$5:$P$100,12,FALSE),0)))</f>
        <v>-0.04</v>
      </c>
      <c r="T37" s="58">
        <f>MAX(-10,MIN(0.8,IFERROR(INDEX(属性耐性マスタ!$B$5:$G$11,MATCH($C37,属性耐性マスタ!$A$5:$A$11,0),5),0)+IFERROR(VLOOKUP($AM37,個性タイプマスタ!$A$5:$P$100,12,FALSE),0)))</f>
        <v>-0.14000000000000001</v>
      </c>
      <c r="U37" s="58">
        <f>MAX(-10,MIN(0.8,IFERROR(INDEX(属性耐性マスタ!$B$5:$G$11,MATCH($C37,属性耐性マスタ!$A$5:$A$11,0),6),0)+IFERROR(VLOOKUP($AM37,個性タイプマスタ!$A$5:$P$100,12,FALSE),0)))</f>
        <v>0.16</v>
      </c>
      <c r="V37" s="59">
        <f>ROUND(設定!$B$19*IFERROR(VLOOKUP($AM37,個性タイプマスタ!$A$5:$P$100,13,FALSE),1),2)</f>
        <v>4.2</v>
      </c>
      <c r="W37" s="59">
        <v>6</v>
      </c>
      <c r="X37" s="59" t="str">
        <f>IFERROR(VLOOKUP($AM37,個性タイプマスタ!$A$5:$P$100,2,FALSE),"Ranged")</f>
        <v>Ranged</v>
      </c>
      <c r="Y37" s="56">
        <f>IFERROR(VLOOKUP($AM37,個性タイプマスタ!$A$5:$P$100,3,FALSE),1)</f>
        <v>0.78</v>
      </c>
      <c r="Z37" s="56">
        <f>IFERROR(VLOOKUP($AM37,個性タイプマスタ!$A$5:$P$100,4,FALSE),1)</f>
        <v>0.75</v>
      </c>
      <c r="AA37" s="56">
        <f>IFERROR(VLOOKUP($AM37,個性タイプマスタ!$A$5:$P$100,5,FALSE),1)</f>
        <v>0.8</v>
      </c>
      <c r="AB37" s="56">
        <f>IFERROR(VLOOKUP($AM37,個性タイプマスタ!$A$5:$P$100,6,FALSE),1)</f>
        <v>1.1000000000000001</v>
      </c>
      <c r="AC37" s="56">
        <f>IFERROR(VLOOKUP($AM37,個性タイプマスタ!$A$5:$P$100,7,FALSE),1)</f>
        <v>1.1000000000000001</v>
      </c>
      <c r="AD37" s="56">
        <f>IFERROR(VLOOKUP($AM37,個性タイプマスタ!$A$5:$P$100,8,FALSE),1)</f>
        <v>0.72</v>
      </c>
      <c r="AE37" s="60">
        <f>IFERROR(D37/設定!$B$5,1)</f>
        <v>1.6105</v>
      </c>
      <c r="AF37" s="60">
        <f>1+設定!$B$13*((I37/設定!$B$8+J37/設定!$B$9)/(2*AE37))</f>
        <v>1.2328469419434958</v>
      </c>
      <c r="AG37" s="60">
        <f>MAX(0.7,1+設定!$B$14*(O37/IF(X37="Melee",1.5,2.5)-1))</f>
        <v>1.012</v>
      </c>
      <c r="AH37" s="53">
        <f t="shared" si="1"/>
        <v>40.554989200000001</v>
      </c>
      <c r="AI37" s="53">
        <f>E37*AF37*(1+設定!$B$18*AVERAGE(P37:U37))</f>
        <v>153.70765818068924</v>
      </c>
      <c r="AJ37" s="61">
        <f>設定!$B$5*SQRT((AH37/(設定!$B$7*設定!$B$10*(1+設定!$B$11*(設定!$B$12-1))))*(AI37/(設定!$B$6*(1+設定!$B$13))))</f>
        <v>161.21299138308387</v>
      </c>
      <c r="AK37" s="62">
        <f t="shared" si="2"/>
        <v>1.0120545363792033E-3</v>
      </c>
      <c r="AL37" s="63">
        <f t="shared" si="3"/>
        <v>115.956</v>
      </c>
      <c r="AM37" s="64" t="s">
        <v>896</v>
      </c>
      <c r="AN37" s="54">
        <f>MAX(1,ROUND((設定!$B$7*設定!$B$10*(1+設定!$B$11*(設定!$B$12-1)))*AE37^2*(設定!$B$6*(1+設定!$B$13))/(AI37*N37*(1+K37*(L37-1))*AG37),0))</f>
        <v>34</v>
      </c>
      <c r="AO37" s="65" t="str">
        <f>IF($A37="","",IF(COUNTIF(個性タイプマスタ!$A$5:$A$100,$AM37)&gt;0,"OK","未登録"))</f>
        <v>OK</v>
      </c>
      <c r="AP37" s="67" t="str">
        <f>IF($A37="","",IF(COUNTIF(属性耐性マスタ!$A$5:$A$11,$C37)&gt;0,"OK","未登録"))</f>
        <v>OK</v>
      </c>
    </row>
    <row r="38" spans="1:42">
      <c r="A38" s="66" t="s">
        <v>176</v>
      </c>
      <c r="B38" s="51" t="s">
        <v>177</v>
      </c>
      <c r="C38" s="109" t="s">
        <v>874</v>
      </c>
      <c r="D38" s="53">
        <f>ROUND(設定!$B$5*POWER($D$2,W38-1),2)</f>
        <v>161.05000000000001</v>
      </c>
      <c r="E38" s="54">
        <f>MAX(1,ROUND(設定!$B$6*AE38*Y38,0))</f>
        <v>237</v>
      </c>
      <c r="F38" s="54">
        <f>MAX(0,ROUND(設定!$B$7*AE38*設定!$B$15*IF(X38="Melee",0.6,1.35)*IFERROR(VLOOKUP($AM38,個性タイプマスタ!$A$5:$P$100,14,FALSE),1),0))</f>
        <v>10</v>
      </c>
      <c r="G38" s="54">
        <f>IF(X38="Melee",AN38,MAX(1,ROUND(AN38*設定!$B$16*IFERROR(VLOOKUP($AM38,個性タイプマスタ!$A$5:$P$100,15,FALSE),1),0)))</f>
        <v>22</v>
      </c>
      <c r="H38" s="54">
        <f>IF(X38="Ranged",AN38,MAX(1,ROUND(AN38*設定!$B$16*IFERROR(VLOOKUP($AM38,個性タイプマスタ!$A$5:$P$100,15,FALSE),1),0)))</f>
        <v>8</v>
      </c>
      <c r="I38" s="54">
        <f>MAX(0,ROUND(設定!$B$8*AE38*Z38,0))</f>
        <v>12</v>
      </c>
      <c r="J38" s="54">
        <f>MAX(0,ROUND(設定!$B$9*AE38*AA38,0))</f>
        <v>28</v>
      </c>
      <c r="K38" s="55">
        <f>IFERROR(VLOOKUP($AM38,個性タイプマスタ!$A$5:$P$100,9,FALSE),0.05)</f>
        <v>0.05</v>
      </c>
      <c r="L38" s="56">
        <f>IFERROR(VLOOKUP($AM38,個性タイプマスタ!$A$5:$P$100,10,FALSE),1.5)</f>
        <v>1.5</v>
      </c>
      <c r="M38" s="56">
        <f>IFERROR(VLOOKUP($AM38,個性タイプマスタ!$A$5:$P$100,11,FALSE),2)</f>
        <v>2.0499999999999998</v>
      </c>
      <c r="N38" s="57">
        <f>MAX(0.1,ROUND(設定!$B$10*AB38,3))</f>
        <v>0.79</v>
      </c>
      <c r="O38" s="57">
        <f t="shared" si="0"/>
        <v>1.26</v>
      </c>
      <c r="P38" s="58">
        <f>MAX(-10,MIN(0.8,IFERROR(INDEX(属性耐性マスタ!$B$5:$G$11,MATCH($C38,属性耐性マスタ!$A$5:$A$11,0),1),0)+IFERROR(VLOOKUP($AM38,個性タイプマスタ!$A$5:$P$100,12,FALSE),0)))</f>
        <v>7.0000000000000007E-2</v>
      </c>
      <c r="Q38" s="58">
        <f>MAX(-10,MIN(0.8,IFERROR(INDEX(属性耐性マスタ!$B$5:$G$11,MATCH($C38,属性耐性マスタ!$A$5:$A$11,0),2),0)+IFERROR(VLOOKUP($AM38,個性タイプマスタ!$A$5:$P$100,12,FALSE),0)))</f>
        <v>7.0000000000000007E-2</v>
      </c>
      <c r="R38" s="58">
        <f>MAX(-10,MIN(0.8,IFERROR(INDEX(属性耐性マスタ!$B$5:$G$11,MATCH($C38,属性耐性マスタ!$A$5:$A$11,0),3),0)+IFERROR(VLOOKUP($AM38,個性タイプマスタ!$A$5:$P$100,12,FALSE),0)))</f>
        <v>7.0000000000000007E-2</v>
      </c>
      <c r="S38" s="58">
        <f>MAX(-10,MIN(0.8,IFERROR(INDEX(属性耐性マスタ!$B$5:$G$11,MATCH($C38,属性耐性マスタ!$A$5:$A$11,0),4),0)+IFERROR(VLOOKUP($AM38,個性タイプマスタ!$A$5:$P$100,12,FALSE),0)))</f>
        <v>7.0000000000000007E-2</v>
      </c>
      <c r="T38" s="58">
        <f>MAX(-10,MIN(0.8,IFERROR(INDEX(属性耐性マスタ!$B$5:$G$11,MATCH($C38,属性耐性マスタ!$A$5:$A$11,0),5),0)+IFERROR(VLOOKUP($AM38,個性タイプマスタ!$A$5:$P$100,12,FALSE),0)))</f>
        <v>-0.03</v>
      </c>
      <c r="U38" s="58">
        <f>MAX(-10,MIN(0.8,IFERROR(INDEX(属性耐性マスタ!$B$5:$G$11,MATCH($C38,属性耐性マスタ!$A$5:$A$11,0),6),0)+IFERROR(VLOOKUP($AM38,個性タイプマスタ!$A$5:$P$100,12,FALSE),0)))</f>
        <v>0.27</v>
      </c>
      <c r="V38" s="59">
        <f>ROUND(設定!$B$19*IFERROR(VLOOKUP($AM38,個性タイプマスタ!$A$5:$P$100,13,FALSE),1),2)</f>
        <v>4</v>
      </c>
      <c r="W38" s="59">
        <v>6</v>
      </c>
      <c r="X38" s="59" t="str">
        <f>IFERROR(VLOOKUP($AM38,個性タイプマスタ!$A$5:$P$100,2,FALSE),"Ranged")</f>
        <v>Melee</v>
      </c>
      <c r="Y38" s="56">
        <f>IFERROR(VLOOKUP($AM38,個性タイプマスタ!$A$5:$P$100,3,FALSE),1)</f>
        <v>1.47</v>
      </c>
      <c r="Z38" s="56">
        <f>IFERROR(VLOOKUP($AM38,個性タイプマスタ!$A$5:$P$100,4,FALSE),1)</f>
        <v>0.92</v>
      </c>
      <c r="AA38" s="56">
        <f>IFERROR(VLOOKUP($AM38,個性タイプマスタ!$A$5:$P$100,5,FALSE),1)</f>
        <v>2.2000000000000002</v>
      </c>
      <c r="AB38" s="56">
        <f>IFERROR(VLOOKUP($AM38,個性タイプマスタ!$A$5:$P$100,6,FALSE),1)</f>
        <v>0.79</v>
      </c>
      <c r="AC38" s="56">
        <f>IFERROR(VLOOKUP($AM38,個性タイプマスタ!$A$5:$P$100,7,FALSE),1)</f>
        <v>0.84</v>
      </c>
      <c r="AD38" s="56">
        <f>IFERROR(VLOOKUP($AM38,個性タイプマスタ!$A$5:$P$100,8,FALSE),1)</f>
        <v>0.86</v>
      </c>
      <c r="AE38" s="60">
        <f>IFERROR(D38/設定!$B$5,1)</f>
        <v>1.6105</v>
      </c>
      <c r="AF38" s="60">
        <f>1+設定!$B$13*((I38/設定!$B$8+J38/設定!$B$9)/(2*AE38))</f>
        <v>1.4656938838869915</v>
      </c>
      <c r="AG38" s="60">
        <f>MAX(0.7,1+設定!$B$14*(O38/IF(X38="Melee",1.5,2.5)-1))</f>
        <v>0.98080000000000001</v>
      </c>
      <c r="AH38" s="53">
        <f t="shared" si="1"/>
        <v>17.472461600000003</v>
      </c>
      <c r="AI38" s="53">
        <f>E38*AF38*(1+設定!$B$18*AVERAGE(P38:U38))</f>
        <v>360.9168590499844</v>
      </c>
      <c r="AJ38" s="61">
        <f>設定!$B$5*SQRT((AH38/(設定!$B$7*設定!$B$10*(1+設定!$B$11*(設定!$B$12-1))))*(AI38/(設定!$B$6*(1+設定!$B$13))))</f>
        <v>162.14769169947073</v>
      </c>
      <c r="AK38" s="62">
        <f t="shared" si="2"/>
        <v>6.8158441444936546E-3</v>
      </c>
      <c r="AL38" s="63">
        <f t="shared" si="3"/>
        <v>138.50300000000001</v>
      </c>
      <c r="AM38" s="64" t="s">
        <v>954</v>
      </c>
      <c r="AN38" s="54">
        <f>MAX(1,ROUND((設定!$B$7*設定!$B$10*(1+設定!$B$11*(設定!$B$12-1)))*AE38^2*(設定!$B$6*(1+設定!$B$13))/(AI38*N38*(1+K38*(L38-1))*AG38),0))</f>
        <v>22</v>
      </c>
      <c r="AO38" s="65" t="str">
        <f>IF($A38="","",IF(COUNTIF(個性タイプマスタ!$A$5:$A$100,$AM38)&gt;0,"OK","未登録"))</f>
        <v>OK</v>
      </c>
      <c r="AP38" s="67" t="str">
        <f>IF($A38="","",IF(COUNTIF(属性耐性マスタ!$A$5:$A$11,$C38)&gt;0,"OK","未登録"))</f>
        <v>OK</v>
      </c>
    </row>
    <row r="39" spans="1:42">
      <c r="A39" s="66" t="s">
        <v>178</v>
      </c>
      <c r="B39" s="51" t="s">
        <v>179</v>
      </c>
      <c r="C39" s="109" t="s">
        <v>871</v>
      </c>
      <c r="D39" s="53">
        <f>ROUND(設定!$B$5*POWER($D$2,W39-1),2)</f>
        <v>161.05000000000001</v>
      </c>
      <c r="E39" s="54">
        <f>MAX(1,ROUND(設定!$B$6*AE39*Y39,0))</f>
        <v>330</v>
      </c>
      <c r="F39" s="54">
        <f>MAX(0,ROUND(設定!$B$7*AE39*設定!$B$15*IF(X39="Melee",0.6,1.35)*IFERROR(VLOOKUP($AM39,個性タイプマスタ!$A$5:$P$100,14,FALSE),1),0))</f>
        <v>6</v>
      </c>
      <c r="G39" s="54">
        <f>IF(X39="Melee",AN39,MAX(1,ROUND(AN39*設定!$B$16*IFERROR(VLOOKUP($AM39,個性タイプマスタ!$A$5:$P$100,15,FALSE),1),0)))</f>
        <v>25</v>
      </c>
      <c r="H39" s="54">
        <f>IF(X39="Ranged",AN39,MAX(1,ROUND(AN39*設定!$B$16*IFERROR(VLOOKUP($AM39,個性タイプマスタ!$A$5:$P$100,15,FALSE),1),0)))</f>
        <v>10</v>
      </c>
      <c r="I39" s="54">
        <f>MAX(0,ROUND(設定!$B$8*AE39*Z39,0))</f>
        <v>20</v>
      </c>
      <c r="J39" s="54">
        <f>MAX(0,ROUND(設定!$B$9*AE39*AA39,0))</f>
        <v>17</v>
      </c>
      <c r="K39" s="55">
        <f>IFERROR(VLOOKUP($AM39,個性タイプマスタ!$A$5:$P$100,9,FALSE),0.05)</f>
        <v>2.5000000000000001E-2</v>
      </c>
      <c r="L39" s="56">
        <f>IFERROR(VLOOKUP($AM39,個性タイプマスタ!$A$5:$P$100,10,FALSE),1.5)</f>
        <v>1.35</v>
      </c>
      <c r="M39" s="56">
        <f>IFERROR(VLOOKUP($AM39,個性タイプマスタ!$A$5:$P$100,11,FALSE),2)</f>
        <v>1.1499999999999999</v>
      </c>
      <c r="N39" s="57">
        <f>MAX(0.1,ROUND(設定!$B$10*AB39,3))</f>
        <v>0.51</v>
      </c>
      <c r="O39" s="57">
        <f t="shared" si="0"/>
        <v>1.2749999999999999</v>
      </c>
      <c r="P39" s="58">
        <f>MAX(-10,MIN(0.8,IFERROR(INDEX(属性耐性マスタ!$B$5:$G$11,MATCH($C39,属性耐性マスタ!$A$5:$A$11,0),1),0)+IFERROR(VLOOKUP($AM39,個性タイプマスタ!$A$5:$P$100,12,FALSE),0)))</f>
        <v>0.05</v>
      </c>
      <c r="Q39" s="58">
        <f>MAX(-10,MIN(0.8,IFERROR(INDEX(属性耐性マスタ!$B$5:$G$11,MATCH($C39,属性耐性マスタ!$A$5:$A$11,0),2),0)+IFERROR(VLOOKUP($AM39,個性タイプマスタ!$A$5:$P$100,12,FALSE),0)))</f>
        <v>0.05</v>
      </c>
      <c r="R39" s="58">
        <f>MAX(-10,MIN(0.8,IFERROR(INDEX(属性耐性マスタ!$B$5:$G$11,MATCH($C39,属性耐性マスタ!$A$5:$A$11,0),3),0)+IFERROR(VLOOKUP($AM39,個性タイプマスタ!$A$5:$P$100,12,FALSE),0)))</f>
        <v>-0.05</v>
      </c>
      <c r="S39" s="58">
        <f>MAX(-10,MIN(0.8,IFERROR(INDEX(属性耐性マスタ!$B$5:$G$11,MATCH($C39,属性耐性マスタ!$A$5:$A$11,0),4),0)+IFERROR(VLOOKUP($AM39,個性タイプマスタ!$A$5:$P$100,12,FALSE),0)))</f>
        <v>0.25</v>
      </c>
      <c r="T39" s="58">
        <f>MAX(-10,MIN(0.8,IFERROR(INDEX(属性耐性マスタ!$B$5:$G$11,MATCH($C39,属性耐性マスタ!$A$5:$A$11,0),5),0)+IFERROR(VLOOKUP($AM39,個性タイプマスタ!$A$5:$P$100,12,FALSE),0)))</f>
        <v>0.05</v>
      </c>
      <c r="U39" s="58">
        <f>MAX(-10,MIN(0.8,IFERROR(INDEX(属性耐性マスタ!$B$5:$G$11,MATCH($C39,属性耐性マスタ!$A$5:$A$11,0),6),0)+IFERROR(VLOOKUP($AM39,個性タイプマスタ!$A$5:$P$100,12,FALSE),0)))</f>
        <v>0.05</v>
      </c>
      <c r="V39" s="59">
        <f>ROUND(設定!$B$19*IFERROR(VLOOKUP($AM39,個性タイプマスタ!$A$5:$P$100,13,FALSE),1),2)</f>
        <v>3.2</v>
      </c>
      <c r="W39" s="59">
        <v>6</v>
      </c>
      <c r="X39" s="59" t="str">
        <f>IFERROR(VLOOKUP($AM39,個性タイプマスタ!$A$5:$P$100,2,FALSE),"Ranged")</f>
        <v>Melee</v>
      </c>
      <c r="Y39" s="56">
        <f>IFERROR(VLOOKUP($AM39,個性タイプマスタ!$A$5:$P$100,3,FALSE),1)</f>
        <v>2.0499999999999998</v>
      </c>
      <c r="Z39" s="56">
        <f>IFERROR(VLOOKUP($AM39,個性タイプマスタ!$A$5:$P$100,4,FALSE),1)</f>
        <v>1.52</v>
      </c>
      <c r="AA39" s="56">
        <f>IFERROR(VLOOKUP($AM39,個性タイプマスタ!$A$5:$P$100,5,FALSE),1)</f>
        <v>1.3</v>
      </c>
      <c r="AB39" s="56">
        <f>IFERROR(VLOOKUP($AM39,個性タイプマスタ!$A$5:$P$100,6,FALSE),1)</f>
        <v>0.51</v>
      </c>
      <c r="AC39" s="56">
        <f>IFERROR(VLOOKUP($AM39,個性タイプマスタ!$A$5:$P$100,7,FALSE),1)</f>
        <v>0.85</v>
      </c>
      <c r="AD39" s="56">
        <f>IFERROR(VLOOKUP($AM39,個性タイプマスタ!$A$5:$P$100,8,FALSE),1)</f>
        <v>0.95</v>
      </c>
      <c r="AE39" s="60">
        <f>IFERROR(D39/設定!$B$5,1)</f>
        <v>1.6105</v>
      </c>
      <c r="AF39" s="60">
        <f>1+設定!$B$13*((I39/設定!$B$8+J39/設定!$B$9)/(2*AE39))</f>
        <v>1.4307668425954672</v>
      </c>
      <c r="AG39" s="60">
        <f>MAX(0.7,1+設定!$B$14*(O39/IF(X39="Melee",1.5,2.5)-1))</f>
        <v>0.98199999999999998</v>
      </c>
      <c r="AH39" s="53">
        <f t="shared" si="1"/>
        <v>12.630054375</v>
      </c>
      <c r="AI39" s="53">
        <f>E39*AF39*(1+設定!$B$18*AVERAGE(P39:U39))</f>
        <v>486.31764979819928</v>
      </c>
      <c r="AJ39" s="61">
        <f>設定!$B$5*SQRT((AH39/(設定!$B$7*設定!$B$10*(1+設定!$B$11*(設定!$B$12-1))))*(AI39/(設定!$B$6*(1+設定!$B$13))))</f>
        <v>160.02681608292653</v>
      </c>
      <c r="AK39" s="62">
        <f t="shared" si="2"/>
        <v>-6.3532065636353607E-3</v>
      </c>
      <c r="AL39" s="63">
        <f t="shared" si="3"/>
        <v>152.9975</v>
      </c>
      <c r="AM39" s="64" t="s">
        <v>968</v>
      </c>
      <c r="AN39" s="54">
        <f>MAX(1,ROUND((設定!$B$7*設定!$B$10*(1+設定!$B$11*(設定!$B$12-1)))*AE39^2*(設定!$B$6*(1+設定!$B$13))/(AI39*N39*(1+K39*(L39-1))*AG39),0))</f>
        <v>25</v>
      </c>
      <c r="AO39" s="65" t="str">
        <f>IF($A39="","",IF(COUNTIF(個性タイプマスタ!$A$5:$A$100,$AM39)&gt;0,"OK","未登録"))</f>
        <v>OK</v>
      </c>
      <c r="AP39" s="67" t="str">
        <f>IF($A39="","",IF(COUNTIF(属性耐性マスタ!$A$5:$A$11,$C39)&gt;0,"OK","未登録"))</f>
        <v>OK</v>
      </c>
    </row>
    <row r="40" spans="1:42">
      <c r="A40" s="66" t="s">
        <v>180</v>
      </c>
      <c r="B40" s="51" t="s">
        <v>181</v>
      </c>
      <c r="C40" s="109" t="s">
        <v>111</v>
      </c>
      <c r="D40" s="53">
        <f>ROUND(設定!$B$5*POWER($D$2,W40-1),2)</f>
        <v>161.05000000000001</v>
      </c>
      <c r="E40" s="54">
        <f>MAX(1,ROUND(設定!$B$6*AE40*Y40,0))</f>
        <v>148</v>
      </c>
      <c r="F40" s="54">
        <f>MAX(0,ROUND(設定!$B$7*AE40*設定!$B$15*IF(X40="Melee",0.6,1.35)*IFERROR(VLOOKUP($AM40,個性タイプマスタ!$A$5:$P$100,14,FALSE),1),0))</f>
        <v>23</v>
      </c>
      <c r="G40" s="54">
        <f>IF(X40="Melee",AN40,MAX(1,ROUND(AN40*設定!$B$16*IFERROR(VLOOKUP($AM40,個性タイプマスタ!$A$5:$P$100,15,FALSE),1),0)))</f>
        <v>14</v>
      </c>
      <c r="H40" s="54">
        <f>IF(X40="Ranged",AN40,MAX(1,ROUND(AN40*設定!$B$16*IFERROR(VLOOKUP($AM40,個性タイプマスタ!$A$5:$P$100,15,FALSE),1),0)))</f>
        <v>30</v>
      </c>
      <c r="I40" s="54">
        <f>MAX(0,ROUND(設定!$B$8*AE40*Z40,0))</f>
        <v>12</v>
      </c>
      <c r="J40" s="54">
        <f>MAX(0,ROUND(設定!$B$9*AE40*AA40,0))</f>
        <v>14</v>
      </c>
      <c r="K40" s="55">
        <f>IFERROR(VLOOKUP($AM40,個性タイプマスタ!$A$5:$P$100,9,FALSE),0.05)</f>
        <v>0.05</v>
      </c>
      <c r="L40" s="56">
        <f>IFERROR(VLOOKUP($AM40,個性タイプマスタ!$A$5:$P$100,10,FALSE),1.5)</f>
        <v>1.5</v>
      </c>
      <c r="M40" s="56">
        <f>IFERROR(VLOOKUP($AM40,個性タイプマスタ!$A$5:$P$100,11,FALSE),2)</f>
        <v>2</v>
      </c>
      <c r="N40" s="57">
        <f>MAX(0.1,ROUND(設定!$B$10*AB40,3))</f>
        <v>1.05</v>
      </c>
      <c r="O40" s="57">
        <f t="shared" si="0"/>
        <v>2.5</v>
      </c>
      <c r="P40" s="58">
        <f>MAX(-10,MIN(0.8,IFERROR(INDEX(属性耐性マスタ!$B$5:$G$11,MATCH($C40,属性耐性マスタ!$A$5:$A$11,0),1),0)+IFERROR(VLOOKUP($AM40,個性タイプマスタ!$A$5:$P$100,12,FALSE),0)))</f>
        <v>0.2</v>
      </c>
      <c r="Q40" s="58">
        <f>MAX(-10,MIN(0.8,IFERROR(INDEX(属性耐性マスタ!$B$5:$G$11,MATCH($C40,属性耐性マスタ!$A$5:$A$11,0),2),0)+IFERROR(VLOOKUP($AM40,個性タイプマスタ!$A$5:$P$100,12,FALSE),0)))</f>
        <v>-0.1</v>
      </c>
      <c r="R40" s="58">
        <f>MAX(-10,MIN(0.8,IFERROR(INDEX(属性耐性マスタ!$B$5:$G$11,MATCH($C40,属性耐性マスタ!$A$5:$A$11,0),3),0)+IFERROR(VLOOKUP($AM40,個性タイプマスタ!$A$5:$P$100,12,FALSE),0)))</f>
        <v>0</v>
      </c>
      <c r="S40" s="58">
        <f>MAX(-10,MIN(0.8,IFERROR(INDEX(属性耐性マスタ!$B$5:$G$11,MATCH($C40,属性耐性マスタ!$A$5:$A$11,0),4),0)+IFERROR(VLOOKUP($AM40,個性タイプマスタ!$A$5:$P$100,12,FALSE),0)))</f>
        <v>0</v>
      </c>
      <c r="T40" s="58">
        <f>MAX(-10,MIN(0.8,IFERROR(INDEX(属性耐性マスタ!$B$5:$G$11,MATCH($C40,属性耐性マスタ!$A$5:$A$11,0),5),0)+IFERROR(VLOOKUP($AM40,個性タイプマスタ!$A$5:$P$100,12,FALSE),0)))</f>
        <v>0</v>
      </c>
      <c r="U40" s="58">
        <f>MAX(-10,MIN(0.8,IFERROR(INDEX(属性耐性マスタ!$B$5:$G$11,MATCH($C40,属性耐性マスタ!$A$5:$A$11,0),6),0)+IFERROR(VLOOKUP($AM40,個性タイプマスタ!$A$5:$P$100,12,FALSE),0)))</f>
        <v>0</v>
      </c>
      <c r="V40" s="59">
        <f>ROUND(設定!$B$19*IFERROR(VLOOKUP($AM40,個性タイプマスタ!$A$5:$P$100,13,FALSE),1),2)</f>
        <v>4</v>
      </c>
      <c r="W40" s="59">
        <v>6</v>
      </c>
      <c r="X40" s="59" t="str">
        <f>IFERROR(VLOOKUP($AM40,個性タイプマスタ!$A$5:$P$100,2,FALSE),"Ranged")</f>
        <v>Ranged</v>
      </c>
      <c r="Y40" s="56">
        <f>IFERROR(VLOOKUP($AM40,個性タイプマスタ!$A$5:$P$100,3,FALSE),1)</f>
        <v>0.92</v>
      </c>
      <c r="Z40" s="56">
        <f>IFERROR(VLOOKUP($AM40,個性タイプマスタ!$A$5:$P$100,4,FALSE),1)</f>
        <v>0.95</v>
      </c>
      <c r="AA40" s="56">
        <f>IFERROR(VLOOKUP($AM40,個性タイプマスタ!$A$5:$P$100,5,FALSE),1)</f>
        <v>1.05</v>
      </c>
      <c r="AB40" s="56">
        <f>IFERROR(VLOOKUP($AM40,個性タイプマスタ!$A$5:$P$100,6,FALSE),1)</f>
        <v>1.05</v>
      </c>
      <c r="AC40" s="56">
        <f>IFERROR(VLOOKUP($AM40,個性タイプマスタ!$A$5:$P$100,7,FALSE),1)</f>
        <v>1</v>
      </c>
      <c r="AD40" s="56">
        <f>IFERROR(VLOOKUP($AM40,個性タイプマスタ!$A$5:$P$100,8,FALSE),1)</f>
        <v>0.74</v>
      </c>
      <c r="AE40" s="60">
        <f>IFERROR(D40/設定!$B$5,1)</f>
        <v>1.6105</v>
      </c>
      <c r="AF40" s="60">
        <f>1+設定!$B$13*((I40/設定!$B$8+J40/設定!$B$9)/(2*AE40))</f>
        <v>1.3027010245265447</v>
      </c>
      <c r="AG40" s="60">
        <f>MAX(0.7,1+設定!$B$14*(O40/IF(X40="Melee",1.5,2.5)-1))</f>
        <v>1</v>
      </c>
      <c r="AH40" s="53">
        <f t="shared" si="1"/>
        <v>32.287499999999994</v>
      </c>
      <c r="AI40" s="53">
        <f>E40*AF40*(1+設定!$B$18*AVERAGE(P40:U40))</f>
        <v>194.24574976715309</v>
      </c>
      <c r="AJ40" s="61">
        <f>設定!$B$5*SQRT((AH40/(設定!$B$7*設定!$B$10*(1+設定!$B$11*(設定!$B$12-1))))*(AI40/(設定!$B$6*(1+設定!$B$13))))</f>
        <v>161.70487412199134</v>
      </c>
      <c r="AK40" s="62">
        <f t="shared" si="2"/>
        <v>4.0662783110296807E-3</v>
      </c>
      <c r="AL40" s="63">
        <f t="shared" si="3"/>
        <v>119.17700000000001</v>
      </c>
      <c r="AM40" s="64" t="s">
        <v>881</v>
      </c>
      <c r="AN40" s="54">
        <f>MAX(1,ROUND((設定!$B$7*設定!$B$10*(1+設定!$B$11*(設定!$B$12-1)))*AE40^2*(設定!$B$6*(1+設定!$B$13))/(AI40*N40*(1+K40*(L40-1))*AG40),0))</f>
        <v>30</v>
      </c>
      <c r="AO40" s="65" t="str">
        <f>IF($A40="","",IF(COUNTIF(個性タイプマスタ!$A$5:$A$100,$AM40)&gt;0,"OK","未登録"))</f>
        <v>OK</v>
      </c>
      <c r="AP40" s="67" t="str">
        <f>IF($A40="","",IF(COUNTIF(属性耐性マスタ!$A$5:$A$11,$C40)&gt;0,"OK","未登録"))</f>
        <v>OK</v>
      </c>
    </row>
    <row r="41" spans="1:42">
      <c r="A41" s="66" t="s">
        <v>182</v>
      </c>
      <c r="B41" s="51" t="s">
        <v>183</v>
      </c>
      <c r="C41" s="109" t="s">
        <v>871</v>
      </c>
      <c r="D41" s="53">
        <f>ROUND(設定!$B$5*POWER($D$2,W41-1),2)</f>
        <v>177.16</v>
      </c>
      <c r="E41" s="54">
        <f>MAX(1,ROUND(設定!$B$6*AE41*Y41,0))</f>
        <v>140</v>
      </c>
      <c r="F41" s="54">
        <f>MAX(0,ROUND(設定!$B$7*AE41*設定!$B$15*IF(X41="Melee",0.6,1.35)*IFERROR(VLOOKUP($AM41,個性タイプマスタ!$A$5:$P$100,14,FALSE),1),0))</f>
        <v>23</v>
      </c>
      <c r="G41" s="54">
        <f>IF(X41="Melee",AN41,MAX(1,ROUND(AN41*設定!$B$16*IFERROR(VLOOKUP($AM41,個性タイプマスタ!$A$5:$P$100,15,FALSE),1),0)))</f>
        <v>6</v>
      </c>
      <c r="H41" s="54">
        <f>IF(X41="Ranged",AN41,MAX(1,ROUND(AN41*設定!$B$16*IFERROR(VLOOKUP($AM41,個性タイプマスタ!$A$5:$P$100,15,FALSE),1),0)))</f>
        <v>26</v>
      </c>
      <c r="I41" s="54">
        <f>MAX(0,ROUND(設定!$B$8*AE41*Z41,0))</f>
        <v>12</v>
      </c>
      <c r="J41" s="54">
        <f>MAX(0,ROUND(設定!$B$9*AE41*AA41,0))</f>
        <v>11</v>
      </c>
      <c r="K41" s="55">
        <f>IFERROR(VLOOKUP($AM41,個性タイプマスタ!$A$5:$P$100,9,FALSE),0.05)</f>
        <v>6.5000000000000002E-2</v>
      </c>
      <c r="L41" s="56">
        <f>IFERROR(VLOOKUP($AM41,個性タイプマスタ!$A$5:$P$100,10,FALSE),1.5)</f>
        <v>1.45</v>
      </c>
      <c r="M41" s="56">
        <f>IFERROR(VLOOKUP($AM41,個性タイプマスタ!$A$5:$P$100,11,FALSE),2)</f>
        <v>4</v>
      </c>
      <c r="N41" s="57">
        <f>MAX(0.1,ROUND(設定!$B$10*AB41,3))</f>
        <v>1.72</v>
      </c>
      <c r="O41" s="57">
        <f t="shared" si="0"/>
        <v>1.9</v>
      </c>
      <c r="P41" s="58">
        <f>MAX(-10,MIN(0.8,IFERROR(INDEX(属性耐性マスタ!$B$5:$G$11,MATCH($C41,属性耐性マスタ!$A$5:$A$11,0),1),0)+IFERROR(VLOOKUP($AM41,個性タイプマスタ!$A$5:$P$100,12,FALSE),0)))</f>
        <v>-7.0000000000000007E-2</v>
      </c>
      <c r="Q41" s="58">
        <f>MAX(-10,MIN(0.8,IFERROR(INDEX(属性耐性マスタ!$B$5:$G$11,MATCH($C41,属性耐性マスタ!$A$5:$A$11,0),2),0)+IFERROR(VLOOKUP($AM41,個性タイプマスタ!$A$5:$P$100,12,FALSE),0)))</f>
        <v>-7.0000000000000007E-2</v>
      </c>
      <c r="R41" s="58">
        <f>MAX(-10,MIN(0.8,IFERROR(INDEX(属性耐性マスタ!$B$5:$G$11,MATCH($C41,属性耐性マスタ!$A$5:$A$11,0),3),0)+IFERROR(VLOOKUP($AM41,個性タイプマスタ!$A$5:$P$100,12,FALSE),0)))</f>
        <v>-0.17</v>
      </c>
      <c r="S41" s="58">
        <f>MAX(-10,MIN(0.8,IFERROR(INDEX(属性耐性マスタ!$B$5:$G$11,MATCH($C41,属性耐性マスタ!$A$5:$A$11,0),4),0)+IFERROR(VLOOKUP($AM41,個性タイプマスタ!$A$5:$P$100,12,FALSE),0)))</f>
        <v>0.13</v>
      </c>
      <c r="T41" s="58">
        <f>MAX(-10,MIN(0.8,IFERROR(INDEX(属性耐性マスタ!$B$5:$G$11,MATCH($C41,属性耐性マスタ!$A$5:$A$11,0),5),0)+IFERROR(VLOOKUP($AM41,個性タイプマスタ!$A$5:$P$100,12,FALSE),0)))</f>
        <v>-7.0000000000000007E-2</v>
      </c>
      <c r="U41" s="58">
        <f>MAX(-10,MIN(0.8,IFERROR(INDEX(属性耐性マスタ!$B$5:$G$11,MATCH($C41,属性耐性マスタ!$A$5:$A$11,0),6),0)+IFERROR(VLOOKUP($AM41,個性タイプマスタ!$A$5:$P$100,12,FALSE),0)))</f>
        <v>-7.0000000000000007E-2</v>
      </c>
      <c r="V41" s="59">
        <f>ROUND(設定!$B$19*IFERROR(VLOOKUP($AM41,個性タイプマスタ!$A$5:$P$100,13,FALSE),1),2)</f>
        <v>5.4</v>
      </c>
      <c r="W41" s="59">
        <v>7</v>
      </c>
      <c r="X41" s="59" t="str">
        <f>IFERROR(VLOOKUP($AM41,個性タイプマスタ!$A$5:$P$100,2,FALSE),"Ranged")</f>
        <v>Ranged</v>
      </c>
      <c r="Y41" s="56">
        <f>IFERROR(VLOOKUP($AM41,個性タイプマスタ!$A$5:$P$100,3,FALSE),1)</f>
        <v>0.79</v>
      </c>
      <c r="Z41" s="56">
        <f>IFERROR(VLOOKUP($AM41,個性タイプマスタ!$A$5:$P$100,4,FALSE),1)</f>
        <v>0.85</v>
      </c>
      <c r="AA41" s="56">
        <f>IFERROR(VLOOKUP($AM41,個性タイプマスタ!$A$5:$P$100,5,FALSE),1)</f>
        <v>0.81</v>
      </c>
      <c r="AB41" s="56">
        <f>IFERROR(VLOOKUP($AM41,個性タイプマスタ!$A$5:$P$100,6,FALSE),1)</f>
        <v>1.72</v>
      </c>
      <c r="AC41" s="56">
        <f>IFERROR(VLOOKUP($AM41,個性タイプマスタ!$A$5:$P$100,7,FALSE),1)</f>
        <v>0.76</v>
      </c>
      <c r="AD41" s="56">
        <f>IFERROR(VLOOKUP($AM41,個性タイプマスタ!$A$5:$P$100,8,FALSE),1)</f>
        <v>0.63</v>
      </c>
      <c r="AE41" s="60">
        <f>IFERROR(D41/設定!$B$5,1)</f>
        <v>1.7716000000000001</v>
      </c>
      <c r="AF41" s="60">
        <f>1+設定!$B$13*((I41/設定!$B$8+J41/設定!$B$9)/(2*AE41))</f>
        <v>1.2434240234815985</v>
      </c>
      <c r="AG41" s="60">
        <f>MAX(0.7,1+設定!$B$14*(O41/IF(X41="Melee",1.5,2.5)-1))</f>
        <v>0.97119999999999995</v>
      </c>
      <c r="AH41" s="53">
        <f t="shared" si="1"/>
        <v>44.702451871999997</v>
      </c>
      <c r="AI41" s="53">
        <f>E41*AF41*(1+設定!$B$18*AVERAGE(P41:U41))</f>
        <v>169.90145856852564</v>
      </c>
      <c r="AJ41" s="61">
        <f>設定!$B$5*SQRT((AH41/(設定!$B$7*設定!$B$10*(1+設定!$B$11*(設定!$B$12-1))))*(AI41/(設定!$B$6*(1+設定!$B$13))))</f>
        <v>177.94851345330849</v>
      </c>
      <c r="AK41" s="62">
        <f t="shared" si="2"/>
        <v>4.4508548956225802E-3</v>
      </c>
      <c r="AL41" s="63">
        <f t="shared" si="3"/>
        <v>111.6108</v>
      </c>
      <c r="AM41" s="64" t="s">
        <v>936</v>
      </c>
      <c r="AN41" s="54">
        <f>MAX(1,ROUND((設定!$B$7*設定!$B$10*(1+設定!$B$11*(設定!$B$12-1)))*AE41^2*(設定!$B$6*(1+設定!$B$13))/(AI41*N41*(1+K41*(L41-1))*AG41),0))</f>
        <v>26</v>
      </c>
      <c r="AO41" s="65" t="str">
        <f>IF($A41="","",IF(COUNTIF(個性タイプマスタ!$A$5:$A$100,$AM41)&gt;0,"OK","未登録"))</f>
        <v>OK</v>
      </c>
      <c r="AP41" s="67" t="str">
        <f>IF($A41="","",IF(COUNTIF(属性耐性マスタ!$A$5:$A$11,$C41)&gt;0,"OK","未登録"))</f>
        <v>OK</v>
      </c>
    </row>
    <row r="42" spans="1:42">
      <c r="A42" s="66" t="s">
        <v>184</v>
      </c>
      <c r="B42" s="51" t="s">
        <v>185</v>
      </c>
      <c r="C42" s="109" t="s">
        <v>874</v>
      </c>
      <c r="D42" s="53">
        <f>ROUND(設定!$B$5*POWER($D$2,W42-1),2)</f>
        <v>177.16</v>
      </c>
      <c r="E42" s="54">
        <f>MAX(1,ROUND(設定!$B$6*AE42*Y42,0))</f>
        <v>213</v>
      </c>
      <c r="F42" s="54">
        <f>MAX(0,ROUND(設定!$B$7*AE42*設定!$B$15*IF(X42="Melee",0.6,1.35)*IFERROR(VLOOKUP($AM42,個性タイプマスタ!$A$5:$P$100,14,FALSE),1),0))</f>
        <v>26</v>
      </c>
      <c r="G42" s="54">
        <f>IF(X42="Melee",AN42,MAX(1,ROUND(AN42*設定!$B$16*IFERROR(VLOOKUP($AM42,個性タイプマスタ!$A$5:$P$100,15,FALSE),1),0)))</f>
        <v>11</v>
      </c>
      <c r="H42" s="54">
        <f>IF(X42="Ranged",AN42,MAX(1,ROUND(AN42*設定!$B$16*IFERROR(VLOOKUP($AM42,個性タイプマスタ!$A$5:$P$100,15,FALSE),1),0)))</f>
        <v>25</v>
      </c>
      <c r="I42" s="54">
        <f>MAX(0,ROUND(設定!$B$8*AE42*Z42,0))</f>
        <v>18</v>
      </c>
      <c r="J42" s="54">
        <f>MAX(0,ROUND(設定!$B$9*AE42*AA42,0))</f>
        <v>12</v>
      </c>
      <c r="K42" s="55">
        <f>IFERROR(VLOOKUP($AM42,個性タイプマスタ!$A$5:$P$100,9,FALSE),0.05)</f>
        <v>0.08</v>
      </c>
      <c r="L42" s="56">
        <f>IFERROR(VLOOKUP($AM42,個性タイプマスタ!$A$5:$P$100,10,FALSE),1.5)</f>
        <v>1.6</v>
      </c>
      <c r="M42" s="56">
        <f>IFERROR(VLOOKUP($AM42,個性タイプマスタ!$A$5:$P$100,11,FALSE),2)</f>
        <v>2.8</v>
      </c>
      <c r="N42" s="57">
        <f>MAX(0.1,ROUND(設定!$B$10*AB42,3))</f>
        <v>1</v>
      </c>
      <c r="O42" s="57">
        <f t="shared" si="0"/>
        <v>2.5</v>
      </c>
      <c r="P42" s="58">
        <f>MAX(-10,MIN(0.8,IFERROR(INDEX(属性耐性マスタ!$B$5:$G$11,MATCH($C42,属性耐性マスタ!$A$5:$A$11,0),1),0)+IFERROR(VLOOKUP($AM42,個性タイプマスタ!$A$5:$P$100,12,FALSE),0)))</f>
        <v>1.4999999999999999E-2</v>
      </c>
      <c r="Q42" s="58">
        <f>MAX(-10,MIN(0.8,IFERROR(INDEX(属性耐性マスタ!$B$5:$G$11,MATCH($C42,属性耐性マスタ!$A$5:$A$11,0),2),0)+IFERROR(VLOOKUP($AM42,個性タイプマスタ!$A$5:$P$100,12,FALSE),0)))</f>
        <v>1.4999999999999999E-2</v>
      </c>
      <c r="R42" s="58">
        <f>MAX(-10,MIN(0.8,IFERROR(INDEX(属性耐性マスタ!$B$5:$G$11,MATCH($C42,属性耐性マスタ!$A$5:$A$11,0),3),0)+IFERROR(VLOOKUP($AM42,個性タイプマスタ!$A$5:$P$100,12,FALSE),0)))</f>
        <v>1.4999999999999999E-2</v>
      </c>
      <c r="S42" s="58">
        <f>MAX(-10,MIN(0.8,IFERROR(INDEX(属性耐性マスタ!$B$5:$G$11,MATCH($C42,属性耐性マスタ!$A$5:$A$11,0),4),0)+IFERROR(VLOOKUP($AM42,個性タイプマスタ!$A$5:$P$100,12,FALSE),0)))</f>
        <v>1.4999999999999999E-2</v>
      </c>
      <c r="T42" s="58">
        <f>MAX(-10,MIN(0.8,IFERROR(INDEX(属性耐性マスタ!$B$5:$G$11,MATCH($C42,属性耐性マスタ!$A$5:$A$11,0),5),0)+IFERROR(VLOOKUP($AM42,個性タイプマスタ!$A$5:$P$100,12,FALSE),0)))</f>
        <v>-8.5000000000000006E-2</v>
      </c>
      <c r="U42" s="58">
        <f>MAX(-10,MIN(0.8,IFERROR(INDEX(属性耐性マスタ!$B$5:$G$11,MATCH($C42,属性耐性マスタ!$A$5:$A$11,0),6),0)+IFERROR(VLOOKUP($AM42,個性タイプマスタ!$A$5:$P$100,12,FALSE),0)))</f>
        <v>0.21500000000000002</v>
      </c>
      <c r="V42" s="59">
        <f>ROUND(設定!$B$19*IFERROR(VLOOKUP($AM42,個性タイプマスタ!$A$5:$P$100,13,FALSE),1),2)</f>
        <v>4</v>
      </c>
      <c r="W42" s="59">
        <v>7</v>
      </c>
      <c r="X42" s="59" t="str">
        <f>IFERROR(VLOOKUP($AM42,個性タイプマスタ!$A$5:$P$100,2,FALSE),"Ranged")</f>
        <v>Ranged</v>
      </c>
      <c r="Y42" s="56">
        <f>IFERROR(VLOOKUP($AM42,個性タイプマスタ!$A$5:$P$100,3,FALSE),1)</f>
        <v>1.2</v>
      </c>
      <c r="Z42" s="56">
        <f>IFERROR(VLOOKUP($AM42,個性タイプマスタ!$A$5:$P$100,4,FALSE),1)</f>
        <v>1.3</v>
      </c>
      <c r="AA42" s="56">
        <f>IFERROR(VLOOKUP($AM42,個性タイプマスタ!$A$5:$P$100,5,FALSE),1)</f>
        <v>0.85</v>
      </c>
      <c r="AB42" s="56">
        <f>IFERROR(VLOOKUP($AM42,個性タイプマスタ!$A$5:$P$100,6,FALSE),1)</f>
        <v>1</v>
      </c>
      <c r="AC42" s="56">
        <f>IFERROR(VLOOKUP($AM42,個性タイプマスタ!$A$5:$P$100,7,FALSE),1)</f>
        <v>1</v>
      </c>
      <c r="AD42" s="56">
        <f>IFERROR(VLOOKUP($AM42,個性タイプマスタ!$A$5:$P$100,8,FALSE),1)</f>
        <v>0.85</v>
      </c>
      <c r="AE42" s="60">
        <f>IFERROR(D42/設定!$B$5,1)</f>
        <v>1.7716000000000001</v>
      </c>
      <c r="AF42" s="60">
        <f>1+設定!$B$13*((I42/設定!$B$8+J42/設定!$B$9)/(2*AE42))</f>
        <v>1.3175095958455634</v>
      </c>
      <c r="AG42" s="60">
        <f>MAX(0.7,1+設定!$B$14*(O42/IF(X42="Melee",1.5,2.5)-1))</f>
        <v>1</v>
      </c>
      <c r="AH42" s="53">
        <f t="shared" si="1"/>
        <v>26.200000000000003</v>
      </c>
      <c r="AI42" s="53">
        <f>E42*AF42*(1+設定!$B$18*AVERAGE(P42:U42))</f>
        <v>284.62851491589527</v>
      </c>
      <c r="AJ42" s="61">
        <f>設定!$B$5*SQRT((AH42/(設定!$B$7*設定!$B$10*(1+設定!$B$11*(設定!$B$12-1))))*(AI42/(設定!$B$6*(1+設定!$B$13))))</f>
        <v>176.32747466887807</v>
      </c>
      <c r="AK42" s="62">
        <f t="shared" si="2"/>
        <v>-4.6992850029461408E-3</v>
      </c>
      <c r="AL42" s="63">
        <f t="shared" si="3"/>
        <v>150.58599999999998</v>
      </c>
      <c r="AM42" s="64" t="s">
        <v>894</v>
      </c>
      <c r="AN42" s="54">
        <f>MAX(1,ROUND((設定!$B$7*設定!$B$10*(1+設定!$B$11*(設定!$B$12-1)))*AE42^2*(設定!$B$6*(1+設定!$B$13))/(AI42*N42*(1+K42*(L42-1))*AG42),0))</f>
        <v>25</v>
      </c>
      <c r="AO42" s="65" t="str">
        <f>IF($A42="","",IF(COUNTIF(個性タイプマスタ!$A$5:$A$100,$AM42)&gt;0,"OK","未登録"))</f>
        <v>OK</v>
      </c>
      <c r="AP42" s="67" t="str">
        <f>IF($A42="","",IF(COUNTIF(属性耐性マスタ!$A$5:$A$11,$C42)&gt;0,"OK","未登録"))</f>
        <v>OK</v>
      </c>
    </row>
    <row r="43" spans="1:42">
      <c r="A43" s="66" t="s">
        <v>186</v>
      </c>
      <c r="B43" s="51" t="s">
        <v>187</v>
      </c>
      <c r="C43" s="109" t="s">
        <v>121</v>
      </c>
      <c r="D43" s="53">
        <f>ROUND(設定!$B$5*POWER($D$2,W43-1),2)</f>
        <v>177.16</v>
      </c>
      <c r="E43" s="54">
        <f>MAX(1,ROUND(設定!$B$6*AE43*Y43,0))</f>
        <v>103</v>
      </c>
      <c r="F43" s="54">
        <f>MAX(0,ROUND(設定!$B$7*AE43*設定!$B$15*IF(X43="Melee",0.6,1.35)*IFERROR(VLOOKUP($AM43,個性タイプマスタ!$A$5:$P$100,14,FALSE),1),0))</f>
        <v>20</v>
      </c>
      <c r="G43" s="54">
        <f>IF(X43="Melee",AN43,MAX(1,ROUND(AN43*設定!$B$16*IFERROR(VLOOKUP($AM43,個性タイプマスタ!$A$5:$P$100,15,FALSE),1),0)))</f>
        <v>10</v>
      </c>
      <c r="H43" s="54">
        <f>IF(X43="Ranged",AN43,MAX(1,ROUND(AN43*設定!$B$16*IFERROR(VLOOKUP($AM43,個性タイプマスタ!$A$5:$P$100,15,FALSE),1),0)))</f>
        <v>47</v>
      </c>
      <c r="I43" s="54">
        <f>MAX(0,ROUND(設定!$B$8*AE43*Z43,0))</f>
        <v>9</v>
      </c>
      <c r="J43" s="54">
        <f>MAX(0,ROUND(設定!$B$9*AE43*AA43,0))</f>
        <v>9</v>
      </c>
      <c r="K43" s="55">
        <f>IFERROR(VLOOKUP($AM43,個性タイプマスタ!$A$5:$P$100,9,FALSE),0.05)</f>
        <v>0.08</v>
      </c>
      <c r="L43" s="56">
        <f>IFERROR(VLOOKUP($AM43,個性タイプマスタ!$A$5:$P$100,10,FALSE),1.5)</f>
        <v>1.55</v>
      </c>
      <c r="M43" s="56">
        <f>IFERROR(VLOOKUP($AM43,個性タイプマスタ!$A$5:$P$100,11,FALSE),2)</f>
        <v>4.2</v>
      </c>
      <c r="N43" s="57">
        <f>MAX(0.1,ROUND(設定!$B$10*AB43,3))</f>
        <v>1.3</v>
      </c>
      <c r="O43" s="57">
        <f t="shared" si="0"/>
        <v>2.5</v>
      </c>
      <c r="P43" s="58">
        <f>MAX(-10,MIN(0.8,IFERROR(INDEX(属性耐性マスタ!$B$5:$G$11,MATCH($C43,属性耐性マスタ!$A$5:$A$11,0),1),0)+IFERROR(VLOOKUP($AM43,個性タイプマスタ!$A$5:$P$100,12,FALSE),0)))</f>
        <v>-0.09</v>
      </c>
      <c r="Q43" s="58">
        <f>MAX(-10,MIN(0.8,IFERROR(INDEX(属性耐性マスタ!$B$5:$G$11,MATCH($C43,属性耐性マスタ!$A$5:$A$11,0),2),0)+IFERROR(VLOOKUP($AM43,個性タイプマスタ!$A$5:$P$100,12,FALSE),0)))</f>
        <v>-0.09</v>
      </c>
      <c r="R43" s="58">
        <f>MAX(-10,MIN(0.8,IFERROR(INDEX(属性耐性マスタ!$B$5:$G$11,MATCH($C43,属性耐性マスタ!$A$5:$A$11,0),3),0)+IFERROR(VLOOKUP($AM43,個性タイプマスタ!$A$5:$P$100,12,FALSE),0)))</f>
        <v>-0.09</v>
      </c>
      <c r="S43" s="58">
        <f>MAX(-10,MIN(0.8,IFERROR(INDEX(属性耐性マスタ!$B$5:$G$11,MATCH($C43,属性耐性マスタ!$A$5:$A$11,0),4),0)+IFERROR(VLOOKUP($AM43,個性タイプマスタ!$A$5:$P$100,12,FALSE),0)))</f>
        <v>-0.09</v>
      </c>
      <c r="T43" s="58">
        <f>MAX(-10,MIN(0.8,IFERROR(INDEX(属性耐性マスタ!$B$5:$G$11,MATCH($C43,属性耐性マスタ!$A$5:$A$11,0),5),0)+IFERROR(VLOOKUP($AM43,個性タイプマスタ!$A$5:$P$100,12,FALSE),0)))</f>
        <v>0.11000000000000001</v>
      </c>
      <c r="U43" s="58">
        <f>MAX(-10,MIN(0.8,IFERROR(INDEX(属性耐性マスタ!$B$5:$G$11,MATCH($C43,属性耐性マスタ!$A$5:$A$11,0),6),0)+IFERROR(VLOOKUP($AM43,個性タイプマスタ!$A$5:$P$100,12,FALSE),0)))</f>
        <v>-0.19</v>
      </c>
      <c r="V43" s="59">
        <f>ROUND(設定!$B$19*IFERROR(VLOOKUP($AM43,個性タイプマスタ!$A$5:$P$100,13,FALSE),1),2)</f>
        <v>4.2</v>
      </c>
      <c r="W43" s="59">
        <v>7</v>
      </c>
      <c r="X43" s="59" t="str">
        <f>IFERROR(VLOOKUP($AM43,個性タイプマスタ!$A$5:$P$100,2,FALSE),"Ranged")</f>
        <v>Ranged</v>
      </c>
      <c r="Y43" s="56">
        <f>IFERROR(VLOOKUP($AM43,個性タイプマスタ!$A$5:$P$100,3,FALSE),1)</f>
        <v>0.57999999999999996</v>
      </c>
      <c r="Z43" s="56">
        <f>IFERROR(VLOOKUP($AM43,個性タイプマスタ!$A$5:$P$100,4,FALSE),1)</f>
        <v>0.64</v>
      </c>
      <c r="AA43" s="56">
        <f>IFERROR(VLOOKUP($AM43,個性タイプマスタ!$A$5:$P$100,5,FALSE),1)</f>
        <v>0.65</v>
      </c>
      <c r="AB43" s="56">
        <f>IFERROR(VLOOKUP($AM43,個性タイプマスタ!$A$5:$P$100,6,FALSE),1)</f>
        <v>1.3</v>
      </c>
      <c r="AC43" s="56">
        <f>IFERROR(VLOOKUP($AM43,個性タイプマスタ!$A$5:$P$100,7,FALSE),1)</f>
        <v>1</v>
      </c>
      <c r="AD43" s="56">
        <f>IFERROR(VLOOKUP($AM43,個性タイプマスタ!$A$5:$P$100,8,FALSE),1)</f>
        <v>0.56999999999999995</v>
      </c>
      <c r="AE43" s="60">
        <f>IFERROR(D43/設定!$B$5,1)</f>
        <v>1.7716000000000001</v>
      </c>
      <c r="AF43" s="60">
        <f>1+設定!$B$13*((I43/設定!$B$8+J43/設定!$B$9)/(2*AE43))</f>
        <v>1.1905057575073379</v>
      </c>
      <c r="AG43" s="60">
        <f>MAX(0.7,1+設定!$B$14*(O43/IF(X43="Melee",1.5,2.5)-1))</f>
        <v>1</v>
      </c>
      <c r="AH43" s="53">
        <f t="shared" si="1"/>
        <v>63.788400000000003</v>
      </c>
      <c r="AI43" s="53">
        <f>E43*AF43*(1+設定!$B$18*AVERAGE(P43:U43))</f>
        <v>118.57556395348836</v>
      </c>
      <c r="AJ43" s="61">
        <f>設定!$B$5*SQRT((AH43/(設定!$B$7*設定!$B$10*(1+設定!$B$11*(設定!$B$12-1))))*(AI43/(設定!$B$6*(1+設定!$B$13))))</f>
        <v>177.58185672465675</v>
      </c>
      <c r="AK43" s="62">
        <f t="shared" si="2"/>
        <v>2.3812188115643895E-3</v>
      </c>
      <c r="AL43" s="63">
        <f t="shared" si="3"/>
        <v>100.98119999999999</v>
      </c>
      <c r="AM43" s="64" t="s">
        <v>914</v>
      </c>
      <c r="AN43" s="54">
        <f>MAX(1,ROUND((設定!$B$7*設定!$B$10*(1+設定!$B$11*(設定!$B$12-1)))*AE43^2*(設定!$B$6*(1+設定!$B$13))/(AI43*N43*(1+K43*(L43-1))*AG43),0))</f>
        <v>47</v>
      </c>
      <c r="AO43" s="65" t="str">
        <f>IF($A43="","",IF(COUNTIF(個性タイプマスタ!$A$5:$A$100,$AM43)&gt;0,"OK","未登録"))</f>
        <v>OK</v>
      </c>
      <c r="AP43" s="67" t="str">
        <f>IF($A43="","",IF(COUNTIF(属性耐性マスタ!$A$5:$A$11,$C43)&gt;0,"OK","未登録"))</f>
        <v>OK</v>
      </c>
    </row>
    <row r="44" spans="1:42">
      <c r="A44" s="66" t="s">
        <v>188</v>
      </c>
      <c r="B44" s="51" t="s">
        <v>189</v>
      </c>
      <c r="C44" s="109" t="s">
        <v>121</v>
      </c>
      <c r="D44" s="53">
        <f>ROUND(設定!$B$5*POWER($D$2,W44-1),2)</f>
        <v>177.16</v>
      </c>
      <c r="E44" s="54">
        <f>MAX(1,ROUND(設定!$B$6*AE44*Y44,0))</f>
        <v>140</v>
      </c>
      <c r="F44" s="54">
        <f>MAX(0,ROUND(設定!$B$7*AE44*設定!$B$15*IF(X44="Melee",0.6,1.35)*IFERROR(VLOOKUP($AM44,個性タイプマスタ!$A$5:$P$100,14,FALSE),1),0))</f>
        <v>10</v>
      </c>
      <c r="G44" s="54">
        <f>IF(X44="Melee",AN44,MAX(1,ROUND(AN44*設定!$B$16*IFERROR(VLOOKUP($AM44,個性タイプマスタ!$A$5:$P$100,15,FALSE),1),0)))</f>
        <v>29</v>
      </c>
      <c r="H44" s="54">
        <f>IF(X44="Ranged",AN44,MAX(1,ROUND(AN44*設定!$B$16*IFERROR(VLOOKUP($AM44,個性タイプマスタ!$A$5:$P$100,15,FALSE),1),0)))</f>
        <v>9</v>
      </c>
      <c r="I44" s="54">
        <f>MAX(0,ROUND(設定!$B$8*AE44*Z44,0))</f>
        <v>11</v>
      </c>
      <c r="J44" s="54">
        <f>MAX(0,ROUND(設定!$B$9*AE44*AA44,0))</f>
        <v>10</v>
      </c>
      <c r="K44" s="55">
        <f>IFERROR(VLOOKUP($AM44,個性タイプマスタ!$A$5:$P$100,9,FALSE),0.05)</f>
        <v>0.1</v>
      </c>
      <c r="L44" s="56">
        <f>IFERROR(VLOOKUP($AM44,個性タイプマスタ!$A$5:$P$100,10,FALSE),1.5)</f>
        <v>1.85</v>
      </c>
      <c r="M44" s="56">
        <f>IFERROR(VLOOKUP($AM44,個性タイプマスタ!$A$5:$P$100,11,FALSE),2)</f>
        <v>4</v>
      </c>
      <c r="N44" s="57">
        <f>MAX(0.1,ROUND(設定!$B$10*AB44,3))</f>
        <v>1.41</v>
      </c>
      <c r="O44" s="57">
        <f t="shared" si="0"/>
        <v>1.8</v>
      </c>
      <c r="P44" s="58">
        <f>MAX(-10,MIN(0.8,IFERROR(INDEX(属性耐性マスタ!$B$5:$G$11,MATCH($C44,属性耐性マスタ!$A$5:$A$11,0),1),0)+IFERROR(VLOOKUP($AM44,個性タイプマスタ!$A$5:$P$100,12,FALSE),0)))</f>
        <v>-5.5E-2</v>
      </c>
      <c r="Q44" s="58">
        <f>MAX(-10,MIN(0.8,IFERROR(INDEX(属性耐性マスタ!$B$5:$G$11,MATCH($C44,属性耐性マスタ!$A$5:$A$11,0),2),0)+IFERROR(VLOOKUP($AM44,個性タイプマスタ!$A$5:$P$100,12,FALSE),0)))</f>
        <v>-5.5E-2</v>
      </c>
      <c r="R44" s="58">
        <f>MAX(-10,MIN(0.8,IFERROR(INDEX(属性耐性マスタ!$B$5:$G$11,MATCH($C44,属性耐性マスタ!$A$5:$A$11,0),3),0)+IFERROR(VLOOKUP($AM44,個性タイプマスタ!$A$5:$P$100,12,FALSE),0)))</f>
        <v>-5.5E-2</v>
      </c>
      <c r="S44" s="58">
        <f>MAX(-10,MIN(0.8,IFERROR(INDEX(属性耐性マスタ!$B$5:$G$11,MATCH($C44,属性耐性マスタ!$A$5:$A$11,0),4),0)+IFERROR(VLOOKUP($AM44,個性タイプマスタ!$A$5:$P$100,12,FALSE),0)))</f>
        <v>-5.5E-2</v>
      </c>
      <c r="T44" s="58">
        <f>MAX(-10,MIN(0.8,IFERROR(INDEX(属性耐性マスタ!$B$5:$G$11,MATCH($C44,属性耐性マスタ!$A$5:$A$11,0),5),0)+IFERROR(VLOOKUP($AM44,個性タイプマスタ!$A$5:$P$100,12,FALSE),0)))</f>
        <v>0.14500000000000002</v>
      </c>
      <c r="U44" s="58">
        <f>MAX(-10,MIN(0.8,IFERROR(INDEX(属性耐性マスタ!$B$5:$G$11,MATCH($C44,属性耐性マスタ!$A$5:$A$11,0),6),0)+IFERROR(VLOOKUP($AM44,個性タイプマスタ!$A$5:$P$100,12,FALSE),0)))</f>
        <v>-0.155</v>
      </c>
      <c r="V44" s="59">
        <f>ROUND(設定!$B$19*IFERROR(VLOOKUP($AM44,個性タイプマスタ!$A$5:$P$100,13,FALSE),1),2)</f>
        <v>6.4</v>
      </c>
      <c r="W44" s="59">
        <v>7</v>
      </c>
      <c r="X44" s="59" t="str">
        <f>IFERROR(VLOOKUP($AM44,個性タイプマスタ!$A$5:$P$100,2,FALSE),"Ranged")</f>
        <v>Melee</v>
      </c>
      <c r="Y44" s="56">
        <f>IFERROR(VLOOKUP($AM44,個性タイプマスタ!$A$5:$P$100,3,FALSE),1)</f>
        <v>0.79</v>
      </c>
      <c r="Z44" s="56">
        <f>IFERROR(VLOOKUP($AM44,個性タイプマスタ!$A$5:$P$100,4,FALSE),1)</f>
        <v>0.79</v>
      </c>
      <c r="AA44" s="56">
        <f>IFERROR(VLOOKUP($AM44,個性タイプマスタ!$A$5:$P$100,5,FALSE),1)</f>
        <v>0.73</v>
      </c>
      <c r="AB44" s="56">
        <f>IFERROR(VLOOKUP($AM44,個性タイプマスタ!$A$5:$P$100,6,FALSE),1)</f>
        <v>1.41</v>
      </c>
      <c r="AC44" s="56">
        <f>IFERROR(VLOOKUP($AM44,個性タイプマスタ!$A$5:$P$100,7,FALSE),1)</f>
        <v>1.2</v>
      </c>
      <c r="AD44" s="56">
        <f>IFERROR(VLOOKUP($AM44,個性タイプマスタ!$A$5:$P$100,8,FALSE),1)</f>
        <v>0.64</v>
      </c>
      <c r="AE44" s="60">
        <f>IFERROR(D44/設定!$B$5,1)</f>
        <v>1.7716000000000001</v>
      </c>
      <c r="AF44" s="60">
        <f>1+設定!$B$13*((I44/設定!$B$8+J44/設定!$B$9)/(2*AE44))</f>
        <v>1.2222567170918943</v>
      </c>
      <c r="AG44" s="60">
        <f>MAX(0.7,1+設定!$B$14*(O44/IF(X44="Melee",1.5,2.5)-1))</f>
        <v>1.024</v>
      </c>
      <c r="AH44" s="53">
        <f t="shared" si="1"/>
        <v>45.430425600000007</v>
      </c>
      <c r="AI44" s="53">
        <f>E44*AF44*(1+設定!$B$18*AVERAGE(P44:U44))</f>
        <v>168.16419042108828</v>
      </c>
      <c r="AJ44" s="61">
        <f>設定!$B$5*SQRT((AH44/(設定!$B$7*設定!$B$10*(1+設定!$B$11*(設定!$B$12-1))))*(AI44/(設定!$B$6*(1+設定!$B$13))))</f>
        <v>178.47208680414985</v>
      </c>
      <c r="AK44" s="62">
        <f t="shared" si="2"/>
        <v>7.406224904887404E-3</v>
      </c>
      <c r="AL44" s="63">
        <f t="shared" si="3"/>
        <v>113.3824</v>
      </c>
      <c r="AM44" s="64" t="s">
        <v>966</v>
      </c>
      <c r="AN44" s="54">
        <f>MAX(1,ROUND((設定!$B$7*設定!$B$10*(1+設定!$B$11*(設定!$B$12-1)))*AE44^2*(設定!$B$6*(1+設定!$B$13))/(AI44*N44*(1+K44*(L44-1))*AG44),0))</f>
        <v>29</v>
      </c>
      <c r="AO44" s="65" t="str">
        <f>IF($A44="","",IF(COUNTIF(個性タイプマスタ!$A$5:$A$100,$AM44)&gt;0,"OK","未登録"))</f>
        <v>OK</v>
      </c>
      <c r="AP44" s="67" t="str">
        <f>IF($A44="","",IF(COUNTIF(属性耐性マスタ!$A$5:$A$11,$C44)&gt;0,"OK","未登録"))</f>
        <v>OK</v>
      </c>
    </row>
    <row r="45" spans="1:42">
      <c r="A45" s="66" t="s">
        <v>190</v>
      </c>
      <c r="B45" s="51" t="s">
        <v>191</v>
      </c>
      <c r="C45" s="109" t="s">
        <v>111</v>
      </c>
      <c r="D45" s="53">
        <f>ROUND(設定!$B$5*POWER($D$2,W45-1),2)</f>
        <v>177.16</v>
      </c>
      <c r="E45" s="54">
        <f>MAX(1,ROUND(設定!$B$6*AE45*Y45,0))</f>
        <v>213</v>
      </c>
      <c r="F45" s="54">
        <f>MAX(0,ROUND(設定!$B$7*AE45*設定!$B$15*IF(X45="Melee",0.6,1.35)*IFERROR(VLOOKUP($AM45,個性タイプマスタ!$A$5:$P$100,14,FALSE),1),0))</f>
        <v>10</v>
      </c>
      <c r="G45" s="54">
        <f>IF(X45="Melee",AN45,MAX(1,ROUND(AN45*設定!$B$16*IFERROR(VLOOKUP($AM45,個性タイプマスタ!$A$5:$P$100,15,FALSE),1),0)))</f>
        <v>26</v>
      </c>
      <c r="H45" s="54">
        <f>IF(X45="Ranged",AN45,MAX(1,ROUND(AN45*設定!$B$16*IFERROR(VLOOKUP($AM45,個性タイプマスタ!$A$5:$P$100,15,FALSE),1),0)))</f>
        <v>12</v>
      </c>
      <c r="I45" s="54">
        <f>MAX(0,ROUND(設定!$B$8*AE45*Z45,0))</f>
        <v>18</v>
      </c>
      <c r="J45" s="54">
        <f>MAX(0,ROUND(設定!$B$9*AE45*AA45,0))</f>
        <v>12</v>
      </c>
      <c r="K45" s="55">
        <f>IFERROR(VLOOKUP($AM45,個性タイプマスタ!$A$5:$P$100,9,FALSE),0.05)</f>
        <v>0.08</v>
      </c>
      <c r="L45" s="56">
        <f>IFERROR(VLOOKUP($AM45,個性タイプマスタ!$A$5:$P$100,10,FALSE),1.5)</f>
        <v>1.6</v>
      </c>
      <c r="M45" s="56">
        <f>IFERROR(VLOOKUP($AM45,個性タイプマスタ!$A$5:$P$100,11,FALSE),2)</f>
        <v>2.8</v>
      </c>
      <c r="N45" s="57">
        <f>MAX(0.1,ROUND(設定!$B$10*AB45,3))</f>
        <v>1</v>
      </c>
      <c r="O45" s="57">
        <f t="shared" si="0"/>
        <v>1.2</v>
      </c>
      <c r="P45" s="58">
        <f>MAX(-10,MIN(0.8,IFERROR(INDEX(属性耐性マスタ!$B$5:$G$11,MATCH($C45,属性耐性マスタ!$A$5:$A$11,0),1),0)+IFERROR(VLOOKUP($AM45,個性タイプマスタ!$A$5:$P$100,12,FALSE),0)))</f>
        <v>0.23500000000000001</v>
      </c>
      <c r="Q45" s="58">
        <f>MAX(-10,MIN(0.8,IFERROR(INDEX(属性耐性マスタ!$B$5:$G$11,MATCH($C45,属性耐性マスタ!$A$5:$A$11,0),2),0)+IFERROR(VLOOKUP($AM45,個性タイプマスタ!$A$5:$P$100,12,FALSE),0)))</f>
        <v>-6.5000000000000002E-2</v>
      </c>
      <c r="R45" s="58">
        <f>MAX(-10,MIN(0.8,IFERROR(INDEX(属性耐性マスタ!$B$5:$G$11,MATCH($C45,属性耐性マスタ!$A$5:$A$11,0),3),0)+IFERROR(VLOOKUP($AM45,個性タイプマスタ!$A$5:$P$100,12,FALSE),0)))</f>
        <v>3.5000000000000003E-2</v>
      </c>
      <c r="S45" s="58">
        <f>MAX(-10,MIN(0.8,IFERROR(INDEX(属性耐性マスタ!$B$5:$G$11,MATCH($C45,属性耐性マスタ!$A$5:$A$11,0),4),0)+IFERROR(VLOOKUP($AM45,個性タイプマスタ!$A$5:$P$100,12,FALSE),0)))</f>
        <v>3.5000000000000003E-2</v>
      </c>
      <c r="T45" s="58">
        <f>MAX(-10,MIN(0.8,IFERROR(INDEX(属性耐性マスタ!$B$5:$G$11,MATCH($C45,属性耐性マスタ!$A$5:$A$11,0),5),0)+IFERROR(VLOOKUP($AM45,個性タイプマスタ!$A$5:$P$100,12,FALSE),0)))</f>
        <v>3.5000000000000003E-2</v>
      </c>
      <c r="U45" s="58">
        <f>MAX(-10,MIN(0.8,IFERROR(INDEX(属性耐性マスタ!$B$5:$G$11,MATCH($C45,属性耐性マスタ!$A$5:$A$11,0),6),0)+IFERROR(VLOOKUP($AM45,個性タイプマスタ!$A$5:$P$100,12,FALSE),0)))</f>
        <v>3.5000000000000003E-2</v>
      </c>
      <c r="V45" s="59">
        <f>ROUND(設定!$B$19*IFERROR(VLOOKUP($AM45,個性タイプマスタ!$A$5:$P$100,13,FALSE),1),2)</f>
        <v>4</v>
      </c>
      <c r="W45" s="59">
        <v>7</v>
      </c>
      <c r="X45" s="59" t="str">
        <f>IFERROR(VLOOKUP($AM45,個性タイプマスタ!$A$5:$P$100,2,FALSE),"Ranged")</f>
        <v>Melee</v>
      </c>
      <c r="Y45" s="56">
        <f>IFERROR(VLOOKUP($AM45,個性タイプマスタ!$A$5:$P$100,3,FALSE),1)</f>
        <v>1.2</v>
      </c>
      <c r="Z45" s="56">
        <f>IFERROR(VLOOKUP($AM45,個性タイプマスタ!$A$5:$P$100,4,FALSE),1)</f>
        <v>1.3</v>
      </c>
      <c r="AA45" s="56">
        <f>IFERROR(VLOOKUP($AM45,個性タイプマスタ!$A$5:$P$100,5,FALSE),1)</f>
        <v>0.85</v>
      </c>
      <c r="AB45" s="56">
        <f>IFERROR(VLOOKUP($AM45,個性タイプマスタ!$A$5:$P$100,6,FALSE),1)</f>
        <v>1</v>
      </c>
      <c r="AC45" s="56">
        <f>IFERROR(VLOOKUP($AM45,個性タイプマスタ!$A$5:$P$100,7,FALSE),1)</f>
        <v>0.8</v>
      </c>
      <c r="AD45" s="56">
        <f>IFERROR(VLOOKUP($AM45,個性タイプマスタ!$A$5:$P$100,8,FALSE),1)</f>
        <v>0.85</v>
      </c>
      <c r="AE45" s="60">
        <f>IFERROR(D45/設定!$B$5,1)</f>
        <v>1.7716000000000001</v>
      </c>
      <c r="AF45" s="60">
        <f>1+設定!$B$13*((I45/設定!$B$8+J45/設定!$B$9)/(2*AE45))</f>
        <v>1.3175095958455634</v>
      </c>
      <c r="AG45" s="60">
        <f>MAX(0.7,1+設定!$B$14*(O45/IF(X45="Melee",1.5,2.5)-1))</f>
        <v>0.97599999999999998</v>
      </c>
      <c r="AH45" s="53">
        <f t="shared" si="1"/>
        <v>26.594048000000001</v>
      </c>
      <c r="AI45" s="53">
        <f>E45*AF45*(1+設定!$B$18*AVERAGE(P45:U45))</f>
        <v>287.1541808111312</v>
      </c>
      <c r="AJ45" s="61">
        <f>設定!$B$5*SQRT((AH45/(設定!$B$7*設定!$B$10*(1+設定!$B$11*(設定!$B$12-1))))*(AI45/(設定!$B$6*(1+設定!$B$13))))</f>
        <v>178.4349545684608</v>
      </c>
      <c r="AK45" s="62">
        <f t="shared" si="2"/>
        <v>7.1966277289501335E-3</v>
      </c>
      <c r="AL45" s="63">
        <f t="shared" si="3"/>
        <v>150.58599999999998</v>
      </c>
      <c r="AM45" s="64" t="s">
        <v>885</v>
      </c>
      <c r="AN45" s="54">
        <f>MAX(1,ROUND((設定!$B$7*設定!$B$10*(1+設定!$B$11*(設定!$B$12-1)))*AE45^2*(設定!$B$6*(1+設定!$B$13))/(AI45*N45*(1+K45*(L45-1))*AG45),0))</f>
        <v>26</v>
      </c>
      <c r="AO45" s="65" t="str">
        <f>IF($A45="","",IF(COUNTIF(個性タイプマスタ!$A$5:$A$100,$AM45)&gt;0,"OK","未登録"))</f>
        <v>OK</v>
      </c>
      <c r="AP45" s="67" t="str">
        <f>IF($A45="","",IF(COUNTIF(属性耐性マスタ!$A$5:$A$11,$C45)&gt;0,"OK","未登録"))</f>
        <v>OK</v>
      </c>
    </row>
    <row r="46" spans="1:42">
      <c r="A46" s="66" t="s">
        <v>192</v>
      </c>
      <c r="B46" s="51" t="s">
        <v>193</v>
      </c>
      <c r="C46" s="109" t="s">
        <v>121</v>
      </c>
      <c r="D46" s="53">
        <f>ROUND(設定!$B$5*POWER($D$2,W46-1),2)</f>
        <v>177.16</v>
      </c>
      <c r="E46" s="54">
        <f>MAX(1,ROUND(設定!$B$6*AE46*Y46,0))</f>
        <v>195</v>
      </c>
      <c r="F46" s="54">
        <f>MAX(0,ROUND(設定!$B$7*AE46*設定!$B$15*IF(X46="Melee",0.6,1.35)*IFERROR(VLOOKUP($AM46,個性タイプマスタ!$A$5:$P$100,14,FALSE),1),0))</f>
        <v>27</v>
      </c>
      <c r="G46" s="54">
        <f>IF(X46="Melee",AN46,MAX(1,ROUND(AN46*設定!$B$16*IFERROR(VLOOKUP($AM46,個性タイプマスタ!$A$5:$P$100,15,FALSE),1),0)))</f>
        <v>12</v>
      </c>
      <c r="H46" s="54">
        <f>IF(X46="Ranged",AN46,MAX(1,ROUND(AN46*設定!$B$16*IFERROR(VLOOKUP($AM46,個性タイプマスタ!$A$5:$P$100,15,FALSE),1),0)))</f>
        <v>27</v>
      </c>
      <c r="I46" s="54">
        <f>MAX(0,ROUND(設定!$B$8*AE46*Z46,0))</f>
        <v>16</v>
      </c>
      <c r="J46" s="54">
        <f>MAX(0,ROUND(設定!$B$9*AE46*AA46,0))</f>
        <v>16</v>
      </c>
      <c r="K46" s="55">
        <f>IFERROR(VLOOKUP($AM46,個性タイプマスタ!$A$5:$P$100,9,FALSE),0.05)</f>
        <v>7.0000000000000007E-2</v>
      </c>
      <c r="L46" s="56">
        <f>IFERROR(VLOOKUP($AM46,個性タイプマスタ!$A$5:$P$100,10,FALSE),1.5)</f>
        <v>1.55</v>
      </c>
      <c r="M46" s="56">
        <f>IFERROR(VLOOKUP($AM46,個性タイプマスタ!$A$5:$P$100,11,FALSE),2)</f>
        <v>2.4</v>
      </c>
      <c r="N46" s="57">
        <f>MAX(0.1,ROUND(設定!$B$10*AB46,3))</f>
        <v>1</v>
      </c>
      <c r="O46" s="57">
        <f t="shared" si="0"/>
        <v>2.5</v>
      </c>
      <c r="P46" s="58">
        <f>MAX(-10,MIN(0.8,IFERROR(INDEX(属性耐性マスタ!$B$5:$G$11,MATCH($C46,属性耐性マスタ!$A$5:$A$11,0),1),0)+IFERROR(VLOOKUP($AM46,個性タイプマスタ!$A$5:$P$100,12,FALSE),0)))</f>
        <v>0.02</v>
      </c>
      <c r="Q46" s="58">
        <f>MAX(-10,MIN(0.8,IFERROR(INDEX(属性耐性マスタ!$B$5:$G$11,MATCH($C46,属性耐性マスタ!$A$5:$A$11,0),2),0)+IFERROR(VLOOKUP($AM46,個性タイプマスタ!$A$5:$P$100,12,FALSE),0)))</f>
        <v>0.02</v>
      </c>
      <c r="R46" s="58">
        <f>MAX(-10,MIN(0.8,IFERROR(INDEX(属性耐性マスタ!$B$5:$G$11,MATCH($C46,属性耐性マスタ!$A$5:$A$11,0),3),0)+IFERROR(VLOOKUP($AM46,個性タイプマスタ!$A$5:$P$100,12,FALSE),0)))</f>
        <v>0.02</v>
      </c>
      <c r="S46" s="58">
        <f>MAX(-10,MIN(0.8,IFERROR(INDEX(属性耐性マスタ!$B$5:$G$11,MATCH($C46,属性耐性マスタ!$A$5:$A$11,0),4),0)+IFERROR(VLOOKUP($AM46,個性タイプマスタ!$A$5:$P$100,12,FALSE),0)))</f>
        <v>0.02</v>
      </c>
      <c r="T46" s="58">
        <f>MAX(-10,MIN(0.8,IFERROR(INDEX(属性耐性マスタ!$B$5:$G$11,MATCH($C46,属性耐性マスタ!$A$5:$A$11,0),5),0)+IFERROR(VLOOKUP($AM46,個性タイプマスタ!$A$5:$P$100,12,FALSE),0)))</f>
        <v>0.22</v>
      </c>
      <c r="U46" s="58">
        <f>MAX(-10,MIN(0.8,IFERROR(INDEX(属性耐性マスタ!$B$5:$G$11,MATCH($C46,属性耐性マスタ!$A$5:$A$11,0),6),0)+IFERROR(VLOOKUP($AM46,個性タイプマスタ!$A$5:$P$100,12,FALSE),0)))</f>
        <v>-0.08</v>
      </c>
      <c r="V46" s="59">
        <f>ROUND(設定!$B$19*IFERROR(VLOOKUP($AM46,個性タイプマスタ!$A$5:$P$100,13,FALSE),1),2)</f>
        <v>4</v>
      </c>
      <c r="W46" s="59">
        <v>7</v>
      </c>
      <c r="X46" s="59" t="str">
        <f>IFERROR(VLOOKUP($AM46,個性タイプマスタ!$A$5:$P$100,2,FALSE),"Ranged")</f>
        <v>Ranged</v>
      </c>
      <c r="Y46" s="56">
        <f>IFERROR(VLOOKUP($AM46,個性タイプマスタ!$A$5:$P$100,3,FALSE),1)</f>
        <v>1.1000000000000001</v>
      </c>
      <c r="Z46" s="56">
        <f>IFERROR(VLOOKUP($AM46,個性タイプマスタ!$A$5:$P$100,4,FALSE),1)</f>
        <v>1.1000000000000001</v>
      </c>
      <c r="AA46" s="56">
        <f>IFERROR(VLOOKUP($AM46,個性タイプマスタ!$A$5:$P$100,5,FALSE),1)</f>
        <v>1.1000000000000001</v>
      </c>
      <c r="AB46" s="56">
        <f>IFERROR(VLOOKUP($AM46,個性タイプマスタ!$A$5:$P$100,6,FALSE),1)</f>
        <v>1</v>
      </c>
      <c r="AC46" s="56">
        <f>IFERROR(VLOOKUP($AM46,個性タイプマスタ!$A$5:$P$100,7,FALSE),1)</f>
        <v>1</v>
      </c>
      <c r="AD46" s="56">
        <f>IFERROR(VLOOKUP($AM46,個性タイプマスタ!$A$5:$P$100,8,FALSE),1)</f>
        <v>0.88</v>
      </c>
      <c r="AE46" s="60">
        <f>IFERROR(D46/設定!$B$5,1)</f>
        <v>1.7716000000000001</v>
      </c>
      <c r="AF46" s="60">
        <f>1+設定!$B$13*((I46/設定!$B$8+J46/設定!$B$9)/(2*AE46))</f>
        <v>1.3386769022352676</v>
      </c>
      <c r="AG46" s="60">
        <f>MAX(0.7,1+設定!$B$14*(O46/IF(X46="Melee",1.5,2.5)-1))</f>
        <v>1</v>
      </c>
      <c r="AH46" s="53">
        <f t="shared" si="1"/>
        <v>28.0395</v>
      </c>
      <c r="AI46" s="53">
        <f>E46*AF46*(1+設定!$B$18*AVERAGE(P46:U46))</f>
        <v>265.34918886881917</v>
      </c>
      <c r="AJ46" s="61">
        <f>設定!$B$5*SQRT((AH46/(設定!$B$7*設定!$B$10*(1+設定!$B$11*(設定!$B$12-1))))*(AI46/(設定!$B$6*(1+設定!$B$13))))</f>
        <v>176.12627632692465</v>
      </c>
      <c r="AK46" s="62">
        <f t="shared" si="2"/>
        <v>-5.8349721894069839E-3</v>
      </c>
      <c r="AL46" s="63">
        <f t="shared" si="3"/>
        <v>155.9008</v>
      </c>
      <c r="AM46" s="64" t="s">
        <v>906</v>
      </c>
      <c r="AN46" s="54">
        <f>MAX(1,ROUND((設定!$B$7*設定!$B$10*(1+設定!$B$11*(設定!$B$12-1)))*AE46^2*(設定!$B$6*(1+設定!$B$13))/(AI46*N46*(1+K46*(L46-1))*AG46),0))</f>
        <v>27</v>
      </c>
      <c r="AO46" s="65" t="str">
        <f>IF($A46="","",IF(COUNTIF(個性タイプマスタ!$A$5:$A$100,$AM46)&gt;0,"OK","未登録"))</f>
        <v>OK</v>
      </c>
      <c r="AP46" s="67" t="str">
        <f>IF($A46="","",IF(COUNTIF(属性耐性マスタ!$A$5:$A$11,$C46)&gt;0,"OK","未登録"))</f>
        <v>OK</v>
      </c>
    </row>
    <row r="47" spans="1:42">
      <c r="A47" s="66" t="s">
        <v>194</v>
      </c>
      <c r="B47" s="51" t="s">
        <v>195</v>
      </c>
      <c r="C47" s="109" t="s">
        <v>871</v>
      </c>
      <c r="D47" s="53">
        <f>ROUND(設定!$B$5*POWER($D$2,W47-1),2)</f>
        <v>194.87</v>
      </c>
      <c r="E47" s="54">
        <f>MAX(1,ROUND(設定!$B$6*AE47*Y47,0))</f>
        <v>292</v>
      </c>
      <c r="F47" s="54">
        <f>MAX(0,ROUND(設定!$B$7*AE47*設定!$B$15*IF(X47="Melee",0.6,1.35)*IFERROR(VLOOKUP($AM47,個性タイプマスタ!$A$5:$P$100,14,FALSE),1),0))</f>
        <v>36</v>
      </c>
      <c r="G47" s="54">
        <f>IF(X47="Melee",AN47,MAX(1,ROUND(AN47*設定!$B$16*IFERROR(VLOOKUP($AM47,個性タイプマスタ!$A$5:$P$100,15,FALSE),1),0)))</f>
        <v>7</v>
      </c>
      <c r="H47" s="54">
        <f>IF(X47="Ranged",AN47,MAX(1,ROUND(AN47*設定!$B$16*IFERROR(VLOOKUP($AM47,個性タイプマスタ!$A$5:$P$100,15,FALSE),1),0)))</f>
        <v>16</v>
      </c>
      <c r="I47" s="54">
        <f>MAX(0,ROUND(設定!$B$8*AE47*Z47,0))</f>
        <v>23</v>
      </c>
      <c r="J47" s="54">
        <f>MAX(0,ROUND(設定!$B$9*AE47*AA47,0))</f>
        <v>22</v>
      </c>
      <c r="K47" s="55">
        <f>IFERROR(VLOOKUP($AM47,個性タイプマスタ!$A$5:$P$100,9,FALSE),0.05)</f>
        <v>0.1</v>
      </c>
      <c r="L47" s="56">
        <f>IFERROR(VLOOKUP($AM47,個性タイプマスタ!$A$5:$P$100,10,FALSE),1.5)</f>
        <v>1.75</v>
      </c>
      <c r="M47" s="56">
        <f>IFERROR(VLOOKUP($AM47,個性タイプマスタ!$A$5:$P$100,11,FALSE),2)</f>
        <v>2.4</v>
      </c>
      <c r="N47" s="57">
        <f>MAX(0.1,ROUND(設定!$B$10*AB47,3))</f>
        <v>1.2</v>
      </c>
      <c r="O47" s="57">
        <f t="shared" si="0"/>
        <v>3</v>
      </c>
      <c r="P47" s="58">
        <f>MAX(-10,MIN(0.8,IFERROR(INDEX(属性耐性マスタ!$B$5:$G$11,MATCH($C47,属性耐性マスタ!$A$5:$A$11,0),1),0)+IFERROR(VLOOKUP($AM47,個性タイプマスタ!$A$5:$P$100,12,FALSE),0)))</f>
        <v>0.08</v>
      </c>
      <c r="Q47" s="58">
        <f>MAX(-10,MIN(0.8,IFERROR(INDEX(属性耐性マスタ!$B$5:$G$11,MATCH($C47,属性耐性マスタ!$A$5:$A$11,0),2),0)+IFERROR(VLOOKUP($AM47,個性タイプマスタ!$A$5:$P$100,12,FALSE),0)))</f>
        <v>0.08</v>
      </c>
      <c r="R47" s="58">
        <f>MAX(-10,MIN(0.8,IFERROR(INDEX(属性耐性マスタ!$B$5:$G$11,MATCH($C47,属性耐性マスタ!$A$5:$A$11,0),3),0)+IFERROR(VLOOKUP($AM47,個性タイプマスタ!$A$5:$P$100,12,FALSE),0)))</f>
        <v>-2.0000000000000004E-2</v>
      </c>
      <c r="S47" s="58">
        <f>MAX(-10,MIN(0.8,IFERROR(INDEX(属性耐性マスタ!$B$5:$G$11,MATCH($C47,属性耐性マスタ!$A$5:$A$11,0),4),0)+IFERROR(VLOOKUP($AM47,個性タイプマスタ!$A$5:$P$100,12,FALSE),0)))</f>
        <v>0.28000000000000003</v>
      </c>
      <c r="T47" s="58">
        <f>MAX(-10,MIN(0.8,IFERROR(INDEX(属性耐性マスタ!$B$5:$G$11,MATCH($C47,属性耐性マスタ!$A$5:$A$11,0),5),0)+IFERROR(VLOOKUP($AM47,個性タイプマスタ!$A$5:$P$100,12,FALSE),0)))</f>
        <v>0.08</v>
      </c>
      <c r="U47" s="58">
        <f>MAX(-10,MIN(0.8,IFERROR(INDEX(属性耐性マスタ!$B$5:$G$11,MATCH($C47,属性耐性マスタ!$A$5:$A$11,0),6),0)+IFERROR(VLOOKUP($AM47,個性タイプマスタ!$A$5:$P$100,12,FALSE),0)))</f>
        <v>0.08</v>
      </c>
      <c r="V47" s="59">
        <f>ROUND(設定!$B$19*IFERROR(VLOOKUP($AM47,個性タイプマスタ!$A$5:$P$100,13,FALSE),1),2)</f>
        <v>4</v>
      </c>
      <c r="W47" s="59">
        <v>8</v>
      </c>
      <c r="X47" s="59" t="str">
        <f>IFERROR(VLOOKUP($AM47,個性タイプマスタ!$A$5:$P$100,2,FALSE),"Ranged")</f>
        <v>Ranged</v>
      </c>
      <c r="Y47" s="56">
        <f>IFERROR(VLOOKUP($AM47,個性タイプマスタ!$A$5:$P$100,3,FALSE),1)</f>
        <v>1.5</v>
      </c>
      <c r="Z47" s="56">
        <f>IFERROR(VLOOKUP($AM47,個性タイプマスタ!$A$5:$P$100,4,FALSE),1)</f>
        <v>1.5</v>
      </c>
      <c r="AA47" s="56">
        <f>IFERROR(VLOOKUP($AM47,個性タイプマスタ!$A$5:$P$100,5,FALSE),1)</f>
        <v>1.4</v>
      </c>
      <c r="AB47" s="56">
        <f>IFERROR(VLOOKUP($AM47,個性タイプマスタ!$A$5:$P$100,6,FALSE),1)</f>
        <v>1.2</v>
      </c>
      <c r="AC47" s="56">
        <f>IFERROR(VLOOKUP($AM47,個性タイプマスタ!$A$5:$P$100,7,FALSE),1)</f>
        <v>1.2</v>
      </c>
      <c r="AD47" s="56">
        <f>IFERROR(VLOOKUP($AM47,個性タイプマスタ!$A$5:$P$100,8,FALSE),1)</f>
        <v>1</v>
      </c>
      <c r="AE47" s="60">
        <f>IFERROR(D47/設定!$B$5,1)</f>
        <v>1.9487000000000001</v>
      </c>
      <c r="AF47" s="60">
        <f>1+設定!$B$13*((I47/設定!$B$8+J47/設定!$B$9)/(2*AE47))</f>
        <v>1.4329809616667522</v>
      </c>
      <c r="AG47" s="60">
        <f>MAX(0.7,1+設定!$B$14*(O47/IF(X47="Melee",1.5,2.5)-1))</f>
        <v>1.024</v>
      </c>
      <c r="AH47" s="53">
        <f t="shared" si="1"/>
        <v>21.135359999999999</v>
      </c>
      <c r="AI47" s="53">
        <f>E47*AF47*(1+設定!$B$18*AVERAGE(P47:U47))</f>
        <v>436.63216498178275</v>
      </c>
      <c r="AJ47" s="61">
        <f>設定!$B$5*SQRT((AH47/(設定!$B$7*設定!$B$10*(1+設定!$B$11*(設定!$B$12-1))))*(AI47/(設定!$B$6*(1+設定!$B$13))))</f>
        <v>196.15203858450275</v>
      </c>
      <c r="AK47" s="62">
        <f t="shared" si="2"/>
        <v>6.5789428054741084E-3</v>
      </c>
      <c r="AL47" s="63">
        <f t="shared" si="3"/>
        <v>194.87</v>
      </c>
      <c r="AM47" s="64" t="s">
        <v>890</v>
      </c>
      <c r="AN47" s="54">
        <f>MAX(1,ROUND((設定!$B$7*設定!$B$10*(1+設定!$B$11*(設定!$B$12-1)))*AE47^2*(設定!$B$6*(1+設定!$B$13))/(AI47*N47*(1+K47*(L47-1))*AG47),0))</f>
        <v>16</v>
      </c>
      <c r="AO47" s="65" t="str">
        <f>IF($A47="","",IF(COUNTIF(個性タイプマスタ!$A$5:$A$100,$AM47)&gt;0,"OK","未登録"))</f>
        <v>OK</v>
      </c>
      <c r="AP47" s="67" t="str">
        <f>IF($A47="","",IF(COUNTIF(属性耐性マスタ!$A$5:$A$11,$C47)&gt;0,"OK","未登録"))</f>
        <v>OK</v>
      </c>
    </row>
    <row r="48" spans="1:42">
      <c r="A48" s="66" t="s">
        <v>196</v>
      </c>
      <c r="B48" s="51" t="s">
        <v>197</v>
      </c>
      <c r="C48" s="109" t="s">
        <v>111</v>
      </c>
      <c r="D48" s="53">
        <f>ROUND(設定!$B$5*POWER($D$2,W48-1),2)</f>
        <v>194.87</v>
      </c>
      <c r="E48" s="54">
        <f>MAX(1,ROUND(設定!$B$6*AE48*Y48,0))</f>
        <v>177</v>
      </c>
      <c r="F48" s="54">
        <f>MAX(0,ROUND(設定!$B$7*AE48*設定!$B$15*IF(X48="Melee",0.6,1.35)*IFERROR(VLOOKUP($AM48,個性タイプマスタ!$A$5:$P$100,14,FALSE),1),0))</f>
        <v>45</v>
      </c>
      <c r="G48" s="54">
        <f>IF(X48="Melee",AN48,MAX(1,ROUND(AN48*設定!$B$16*IFERROR(VLOOKUP($AM48,個性タイプマスタ!$A$5:$P$100,15,FALSE),1),0)))</f>
        <v>19</v>
      </c>
      <c r="H48" s="54">
        <f>IF(X48="Ranged",AN48,MAX(1,ROUND(AN48*設定!$B$16*IFERROR(VLOOKUP($AM48,個性タイプマスタ!$A$5:$P$100,15,FALSE),1),0)))</f>
        <v>57</v>
      </c>
      <c r="I48" s="54">
        <f>MAX(0,ROUND(設定!$B$8*AE48*Z48,0))</f>
        <v>14</v>
      </c>
      <c r="J48" s="54">
        <f>MAX(0,ROUND(設定!$B$9*AE48*AA48,0))</f>
        <v>15</v>
      </c>
      <c r="K48" s="55">
        <f>IFERROR(VLOOKUP($AM48,個性タイプマスタ!$A$5:$P$100,9,FALSE),0.05)</f>
        <v>0.04</v>
      </c>
      <c r="L48" s="56">
        <f>IFERROR(VLOOKUP($AM48,個性タイプマスタ!$A$5:$P$100,10,FALSE),1.5)</f>
        <v>2.2000000000000002</v>
      </c>
      <c r="M48" s="56">
        <f>IFERROR(VLOOKUP($AM48,個性タイプマスタ!$A$5:$P$100,11,FALSE),2)</f>
        <v>1.65</v>
      </c>
      <c r="N48" s="57">
        <f>MAX(0.1,ROUND(設定!$B$10*AB48,3))</f>
        <v>0.64</v>
      </c>
      <c r="O48" s="57">
        <f t="shared" si="0"/>
        <v>3.7</v>
      </c>
      <c r="P48" s="58">
        <f>MAX(-10,MIN(0.8,IFERROR(INDEX(属性耐性マスタ!$B$5:$G$11,MATCH($C48,属性耐性マスタ!$A$5:$A$11,0),1),0)+IFERROR(VLOOKUP($AM48,個性タイプマスタ!$A$5:$P$100,12,FALSE),0)))</f>
        <v>0.17500000000000002</v>
      </c>
      <c r="Q48" s="58">
        <f>MAX(-10,MIN(0.8,IFERROR(INDEX(属性耐性マスタ!$B$5:$G$11,MATCH($C48,属性耐性マスタ!$A$5:$A$11,0),2),0)+IFERROR(VLOOKUP($AM48,個性タイプマスタ!$A$5:$P$100,12,FALSE),0)))</f>
        <v>-0.125</v>
      </c>
      <c r="R48" s="58">
        <f>MAX(-10,MIN(0.8,IFERROR(INDEX(属性耐性マスタ!$B$5:$G$11,MATCH($C48,属性耐性マスタ!$A$5:$A$11,0),3),0)+IFERROR(VLOOKUP($AM48,個性タイプマスタ!$A$5:$P$100,12,FALSE),0)))</f>
        <v>-2.5000000000000001E-2</v>
      </c>
      <c r="S48" s="58">
        <f>MAX(-10,MIN(0.8,IFERROR(INDEX(属性耐性マスタ!$B$5:$G$11,MATCH($C48,属性耐性マスタ!$A$5:$A$11,0),4),0)+IFERROR(VLOOKUP($AM48,個性タイプマスタ!$A$5:$P$100,12,FALSE),0)))</f>
        <v>-2.5000000000000001E-2</v>
      </c>
      <c r="T48" s="58">
        <f>MAX(-10,MIN(0.8,IFERROR(INDEX(属性耐性マスタ!$B$5:$G$11,MATCH($C48,属性耐性マスタ!$A$5:$A$11,0),5),0)+IFERROR(VLOOKUP($AM48,個性タイプマスタ!$A$5:$P$100,12,FALSE),0)))</f>
        <v>-2.5000000000000001E-2</v>
      </c>
      <c r="U48" s="58">
        <f>MAX(-10,MIN(0.8,IFERROR(INDEX(属性耐性マスタ!$B$5:$G$11,MATCH($C48,属性耐性マスタ!$A$5:$A$11,0),6),0)+IFERROR(VLOOKUP($AM48,個性タイプマスタ!$A$5:$P$100,12,FALSE),0)))</f>
        <v>-2.5000000000000001E-2</v>
      </c>
      <c r="V48" s="59">
        <f>ROUND(設定!$B$19*IFERROR(VLOOKUP($AM48,個性タイプマスタ!$A$5:$P$100,13,FALSE),1),2)</f>
        <v>5</v>
      </c>
      <c r="W48" s="59">
        <v>8</v>
      </c>
      <c r="X48" s="59" t="str">
        <f>IFERROR(VLOOKUP($AM48,個性タイプマスタ!$A$5:$P$100,2,FALSE),"Ranged")</f>
        <v>Ranged</v>
      </c>
      <c r="Y48" s="56">
        <f>IFERROR(VLOOKUP($AM48,個性タイプマスタ!$A$5:$P$100,3,FALSE),1)</f>
        <v>0.91</v>
      </c>
      <c r="Z48" s="56">
        <f>IFERROR(VLOOKUP($AM48,個性タイプマスタ!$A$5:$P$100,4,FALSE),1)</f>
        <v>0.88</v>
      </c>
      <c r="AA48" s="56">
        <f>IFERROR(VLOOKUP($AM48,個性タイプマスタ!$A$5:$P$100,5,FALSE),1)</f>
        <v>0.95</v>
      </c>
      <c r="AB48" s="56">
        <f>IFERROR(VLOOKUP($AM48,個性タイプマスタ!$A$5:$P$100,6,FALSE),1)</f>
        <v>0.64</v>
      </c>
      <c r="AC48" s="56">
        <f>IFERROR(VLOOKUP($AM48,個性タイプマスタ!$A$5:$P$100,7,FALSE),1)</f>
        <v>1.48</v>
      </c>
      <c r="AD48" s="56">
        <f>IFERROR(VLOOKUP($AM48,個性タイプマスタ!$A$5:$P$100,8,FALSE),1)</f>
        <v>0.75</v>
      </c>
      <c r="AE48" s="60">
        <f>IFERROR(D48/設定!$B$5,1)</f>
        <v>1.9487000000000001</v>
      </c>
      <c r="AF48" s="60">
        <f>1+設定!$B$13*((I48/設定!$B$8+J48/設定!$B$9)/(2*AE48))</f>
        <v>1.2790321752963514</v>
      </c>
      <c r="AG48" s="60">
        <f>MAX(0.7,1+設定!$B$14*(O48/IF(X48="Melee",1.5,2.5)-1))</f>
        <v>1.0576000000000001</v>
      </c>
      <c r="AH48" s="53">
        <f t="shared" si="1"/>
        <v>40.433147904000009</v>
      </c>
      <c r="AI48" s="53">
        <f>E48*AF48*(1+設定!$B$18*AVERAGE(P48:U48))</f>
        <v>225.53973742110122</v>
      </c>
      <c r="AJ48" s="61">
        <f>設定!$B$5*SQRT((AH48/(設定!$B$7*設定!$B$10*(1+設定!$B$11*(設定!$B$12-1))))*(AI48/(設定!$B$6*(1+設定!$B$13))))</f>
        <v>194.98915222818286</v>
      </c>
      <c r="AK48" s="62">
        <f t="shared" si="2"/>
        <v>6.1144469740259666E-4</v>
      </c>
      <c r="AL48" s="63">
        <f t="shared" si="3"/>
        <v>146.1525</v>
      </c>
      <c r="AM48" s="64" t="s">
        <v>912</v>
      </c>
      <c r="AN48" s="54">
        <f>MAX(1,ROUND((設定!$B$7*設定!$B$10*(1+設定!$B$11*(設定!$B$12-1)))*AE48^2*(設定!$B$6*(1+設定!$B$13))/(AI48*N48*(1+K48*(L48-1))*AG48),0))</f>
        <v>57</v>
      </c>
      <c r="AO48" s="65" t="str">
        <f>IF($A48="","",IF(COUNTIF(個性タイプマスタ!$A$5:$A$100,$AM48)&gt;0,"OK","未登録"))</f>
        <v>OK</v>
      </c>
      <c r="AP48" s="67" t="str">
        <f>IF($A48="","",IF(COUNTIF(属性耐性マスタ!$A$5:$A$11,$C48)&gt;0,"OK","未登録"))</f>
        <v>OK</v>
      </c>
    </row>
    <row r="49" spans="1:42">
      <c r="A49" s="66" t="s">
        <v>198</v>
      </c>
      <c r="B49" s="51" t="s">
        <v>199</v>
      </c>
      <c r="C49" s="109" t="s">
        <v>111</v>
      </c>
      <c r="D49" s="53">
        <f>ROUND(設定!$B$5*POWER($D$2,W49-1),2)</f>
        <v>194.87</v>
      </c>
      <c r="E49" s="54">
        <f>MAX(1,ROUND(設定!$B$6*AE49*Y49,0))</f>
        <v>207</v>
      </c>
      <c r="F49" s="54">
        <f>MAX(0,ROUND(設定!$B$7*AE49*設定!$B$15*IF(X49="Melee",0.6,1.35)*IFERROR(VLOOKUP($AM49,個性タイプマスタ!$A$5:$P$100,14,FALSE),1),0))</f>
        <v>50</v>
      </c>
      <c r="G49" s="54">
        <f>IF(X49="Melee",AN49,MAX(1,ROUND(AN49*設定!$B$16*IFERROR(VLOOKUP($AM49,個性タイプマスタ!$A$5:$P$100,15,FALSE),1),0)))</f>
        <v>10</v>
      </c>
      <c r="H49" s="54">
        <f>IF(X49="Ranged",AN49,MAX(1,ROUND(AN49*設定!$B$16*IFERROR(VLOOKUP($AM49,個性タイプマスタ!$A$5:$P$100,15,FALSE),1),0)))</f>
        <v>34</v>
      </c>
      <c r="I49" s="54">
        <f>MAX(0,ROUND(設定!$B$8*AE49*Z49,0))</f>
        <v>12</v>
      </c>
      <c r="J49" s="54">
        <f>MAX(0,ROUND(設定!$B$9*AE49*AA49,0))</f>
        <v>32</v>
      </c>
      <c r="K49" s="55">
        <f>IFERROR(VLOOKUP($AM49,個性タイプマスタ!$A$5:$P$100,9,FALSE),0.05)</f>
        <v>4.4999999999999998E-2</v>
      </c>
      <c r="L49" s="56">
        <f>IFERROR(VLOOKUP($AM49,個性タイプマスタ!$A$5:$P$100,10,FALSE),1.5)</f>
        <v>1.45</v>
      </c>
      <c r="M49" s="56">
        <f>IFERROR(VLOOKUP($AM49,個性タイプマスタ!$A$5:$P$100,11,FALSE),2)</f>
        <v>1.9</v>
      </c>
      <c r="N49" s="57">
        <f>MAX(0.1,ROUND(設定!$B$10*AB49,3))</f>
        <v>0.84</v>
      </c>
      <c r="O49" s="57">
        <f t="shared" si="0"/>
        <v>2.65</v>
      </c>
      <c r="P49" s="58">
        <f>MAX(-10,MIN(0.8,IFERROR(INDEX(属性耐性マスタ!$B$5:$G$11,MATCH($C49,属性耐性マスタ!$A$5:$A$11,0),1),0)+IFERROR(VLOOKUP($AM49,個性タイプマスタ!$A$5:$P$100,12,FALSE),0)))</f>
        <v>0.29000000000000004</v>
      </c>
      <c r="Q49" s="58">
        <f>MAX(-10,MIN(0.8,IFERROR(INDEX(属性耐性マスタ!$B$5:$G$11,MATCH($C49,属性耐性マスタ!$A$5:$A$11,0),2),0)+IFERROR(VLOOKUP($AM49,個性タイプマスタ!$A$5:$P$100,12,FALSE),0)))</f>
        <v>-1.0000000000000009E-2</v>
      </c>
      <c r="R49" s="58">
        <f>MAX(-10,MIN(0.8,IFERROR(INDEX(属性耐性マスタ!$B$5:$G$11,MATCH($C49,属性耐性マスタ!$A$5:$A$11,0),3),0)+IFERROR(VLOOKUP($AM49,個性タイプマスタ!$A$5:$P$100,12,FALSE),0)))</f>
        <v>0.09</v>
      </c>
      <c r="S49" s="58">
        <f>MAX(-10,MIN(0.8,IFERROR(INDEX(属性耐性マスタ!$B$5:$G$11,MATCH($C49,属性耐性マスタ!$A$5:$A$11,0),4),0)+IFERROR(VLOOKUP($AM49,個性タイプマスタ!$A$5:$P$100,12,FALSE),0)))</f>
        <v>0.09</v>
      </c>
      <c r="T49" s="58">
        <f>MAX(-10,MIN(0.8,IFERROR(INDEX(属性耐性マスタ!$B$5:$G$11,MATCH($C49,属性耐性マスタ!$A$5:$A$11,0),5),0)+IFERROR(VLOOKUP($AM49,個性タイプマスタ!$A$5:$P$100,12,FALSE),0)))</f>
        <v>0.09</v>
      </c>
      <c r="U49" s="58">
        <f>MAX(-10,MIN(0.8,IFERROR(INDEX(属性耐性マスタ!$B$5:$G$11,MATCH($C49,属性耐性マスタ!$A$5:$A$11,0),6),0)+IFERROR(VLOOKUP($AM49,個性タイプマスタ!$A$5:$P$100,12,FALSE),0)))</f>
        <v>0.09</v>
      </c>
      <c r="V49" s="59">
        <f>ROUND(設定!$B$19*IFERROR(VLOOKUP($AM49,個性タイプマスタ!$A$5:$P$100,13,FALSE),1),2)</f>
        <v>4.4000000000000004</v>
      </c>
      <c r="W49" s="59">
        <v>8</v>
      </c>
      <c r="X49" s="59" t="str">
        <f>IFERROR(VLOOKUP($AM49,個性タイプマスタ!$A$5:$P$100,2,FALSE),"Ranged")</f>
        <v>Ranged</v>
      </c>
      <c r="Y49" s="56">
        <f>IFERROR(VLOOKUP($AM49,個性タイプマスタ!$A$5:$P$100,3,FALSE),1)</f>
        <v>1.06</v>
      </c>
      <c r="Z49" s="56">
        <f>IFERROR(VLOOKUP($AM49,個性タイプマスタ!$A$5:$P$100,4,FALSE),1)</f>
        <v>0.77</v>
      </c>
      <c r="AA49" s="56">
        <f>IFERROR(VLOOKUP($AM49,個性タイプマスタ!$A$5:$P$100,5,FALSE),1)</f>
        <v>2.0499999999999998</v>
      </c>
      <c r="AB49" s="56">
        <f>IFERROR(VLOOKUP($AM49,個性タイプマスタ!$A$5:$P$100,6,FALSE),1)</f>
        <v>0.84</v>
      </c>
      <c r="AC49" s="56">
        <f>IFERROR(VLOOKUP($AM49,個性タイプマスタ!$A$5:$P$100,7,FALSE),1)</f>
        <v>1.06</v>
      </c>
      <c r="AD49" s="56">
        <f>IFERROR(VLOOKUP($AM49,個性タイプマスタ!$A$5:$P$100,8,FALSE),1)</f>
        <v>0.82</v>
      </c>
      <c r="AE49" s="60">
        <f>IFERROR(D49/設定!$B$5,1)</f>
        <v>1.9487000000000001</v>
      </c>
      <c r="AF49" s="60">
        <f>1+設定!$B$13*((I49/設定!$B$8+J49/設定!$B$9)/(2*AE49))</f>
        <v>1.4233591625186022</v>
      </c>
      <c r="AG49" s="60">
        <f>MAX(0.7,1+設定!$B$14*(O49/IF(X49="Melee",1.5,2.5)-1))</f>
        <v>1.0072000000000001</v>
      </c>
      <c r="AH49" s="53">
        <f t="shared" si="1"/>
        <v>29.348136048000004</v>
      </c>
      <c r="AI49" s="53">
        <f>E49*AF49*(1+設定!$B$18*AVERAGE(P49:U49))</f>
        <v>308.77784328013547</v>
      </c>
      <c r="AJ49" s="61">
        <f>設定!$B$5*SQRT((AH49/(設定!$B$7*設定!$B$10*(1+設定!$B$11*(設定!$B$12-1))))*(AI49/(設定!$B$6*(1+設定!$B$13))))</f>
        <v>194.37636901037604</v>
      </c>
      <c r="AK49" s="62">
        <f t="shared" si="2"/>
        <v>-2.5331297255809515E-3</v>
      </c>
      <c r="AL49" s="63">
        <f t="shared" si="3"/>
        <v>159.79339999999999</v>
      </c>
      <c r="AM49" s="64" t="s">
        <v>926</v>
      </c>
      <c r="AN49" s="54">
        <f>MAX(1,ROUND((設定!$B$7*設定!$B$10*(1+設定!$B$11*(設定!$B$12-1)))*AE49^2*(設定!$B$6*(1+設定!$B$13))/(AI49*N49*(1+K49*(L49-1))*AG49),0))</f>
        <v>34</v>
      </c>
      <c r="AO49" s="65" t="str">
        <f>IF($A49="","",IF(COUNTIF(個性タイプマスタ!$A$5:$A$100,$AM49)&gt;0,"OK","未登録"))</f>
        <v>OK</v>
      </c>
      <c r="AP49" s="67" t="str">
        <f>IF($A49="","",IF(COUNTIF(属性耐性マスタ!$A$5:$A$11,$C49)&gt;0,"OK","未登録"))</f>
        <v>OK</v>
      </c>
    </row>
    <row r="50" spans="1:42">
      <c r="A50" s="66" t="s">
        <v>200</v>
      </c>
      <c r="B50" s="51" t="s">
        <v>201</v>
      </c>
      <c r="C50" s="109" t="s">
        <v>871</v>
      </c>
      <c r="D50" s="53">
        <f>ROUND(設定!$B$5*POWER($D$2,W50-1),2)</f>
        <v>194.87</v>
      </c>
      <c r="E50" s="54">
        <f>MAX(1,ROUND(設定!$B$6*AE50*Y50,0))</f>
        <v>148</v>
      </c>
      <c r="F50" s="54">
        <f>MAX(0,ROUND(設定!$B$7*AE50*設定!$B$15*IF(X50="Melee",0.6,1.35)*IFERROR(VLOOKUP($AM50,個性タイプマスタ!$A$5:$P$100,14,FALSE),1),0))</f>
        <v>8</v>
      </c>
      <c r="G50" s="54">
        <f>IF(X50="Melee",AN50,MAX(1,ROUND(AN50*設定!$B$16*IFERROR(VLOOKUP($AM50,個性タイプマスタ!$A$5:$P$100,15,FALSE),1),0)))</f>
        <v>51</v>
      </c>
      <c r="H50" s="54">
        <f>IF(X50="Ranged",AN50,MAX(1,ROUND(AN50*設定!$B$16*IFERROR(VLOOKUP($AM50,個性タイプマスタ!$A$5:$P$100,15,FALSE),1),0)))</f>
        <v>14</v>
      </c>
      <c r="I50" s="54">
        <f>MAX(0,ROUND(設定!$B$8*AE50*Z50,0))</f>
        <v>12</v>
      </c>
      <c r="J50" s="54">
        <f>MAX(0,ROUND(設定!$B$9*AE50*AA50,0))</f>
        <v>11</v>
      </c>
      <c r="K50" s="55">
        <f>IFERROR(VLOOKUP($AM50,個性タイプマスタ!$A$5:$P$100,9,FALSE),0.05)</f>
        <v>9.5000000000000001E-2</v>
      </c>
      <c r="L50" s="56">
        <f>IFERROR(VLOOKUP($AM50,個性タイプマスタ!$A$5:$P$100,10,FALSE),1.5)</f>
        <v>2.4</v>
      </c>
      <c r="M50" s="56">
        <f>IFERROR(VLOOKUP($AM50,個性タイプマスタ!$A$5:$P$100,11,FALSE),2)</f>
        <v>3.35</v>
      </c>
      <c r="N50" s="57">
        <f>MAX(0.1,ROUND(設定!$B$10*AB50,3))</f>
        <v>0.86</v>
      </c>
      <c r="O50" s="57">
        <f t="shared" si="0"/>
        <v>1.9950000000000001</v>
      </c>
      <c r="P50" s="58">
        <f>MAX(-10,MIN(0.8,IFERROR(INDEX(属性耐性マスタ!$B$5:$G$11,MATCH($C50,属性耐性マスタ!$A$5:$A$11,0),1),0)+IFERROR(VLOOKUP($AM50,個性タイプマスタ!$A$5:$P$100,12,FALSE),0)))</f>
        <v>-7.0000000000000007E-2</v>
      </c>
      <c r="Q50" s="58">
        <f>MAX(-10,MIN(0.8,IFERROR(INDEX(属性耐性マスタ!$B$5:$G$11,MATCH($C50,属性耐性マスタ!$A$5:$A$11,0),2),0)+IFERROR(VLOOKUP($AM50,個性タイプマスタ!$A$5:$P$100,12,FALSE),0)))</f>
        <v>-7.0000000000000007E-2</v>
      </c>
      <c r="R50" s="58">
        <f>MAX(-10,MIN(0.8,IFERROR(INDEX(属性耐性マスタ!$B$5:$G$11,MATCH($C50,属性耐性マスタ!$A$5:$A$11,0),3),0)+IFERROR(VLOOKUP($AM50,個性タイプマスタ!$A$5:$P$100,12,FALSE),0)))</f>
        <v>-0.17</v>
      </c>
      <c r="S50" s="58">
        <f>MAX(-10,MIN(0.8,IFERROR(INDEX(属性耐性マスタ!$B$5:$G$11,MATCH($C50,属性耐性マスタ!$A$5:$A$11,0),4),0)+IFERROR(VLOOKUP($AM50,個性タイプマスタ!$A$5:$P$100,12,FALSE),0)))</f>
        <v>0.13</v>
      </c>
      <c r="T50" s="58">
        <f>MAX(-10,MIN(0.8,IFERROR(INDEX(属性耐性マスタ!$B$5:$G$11,MATCH($C50,属性耐性マスタ!$A$5:$A$11,0),5),0)+IFERROR(VLOOKUP($AM50,個性タイプマスタ!$A$5:$P$100,12,FALSE),0)))</f>
        <v>-7.0000000000000007E-2</v>
      </c>
      <c r="U50" s="58">
        <f>MAX(-10,MIN(0.8,IFERROR(INDEX(属性耐性マスタ!$B$5:$G$11,MATCH($C50,属性耐性マスタ!$A$5:$A$11,0),6),0)+IFERROR(VLOOKUP($AM50,個性タイプマスタ!$A$5:$P$100,12,FALSE),0)))</f>
        <v>-7.0000000000000007E-2</v>
      </c>
      <c r="V50" s="59">
        <f>ROUND(設定!$B$19*IFERROR(VLOOKUP($AM50,個性タイプマスタ!$A$5:$P$100,13,FALSE),1),2)</f>
        <v>4.5999999999999996</v>
      </c>
      <c r="W50" s="59">
        <v>8</v>
      </c>
      <c r="X50" s="59" t="str">
        <f>IFERROR(VLOOKUP($AM50,個性タイプマスタ!$A$5:$P$100,2,FALSE),"Ranged")</f>
        <v>Melee</v>
      </c>
      <c r="Y50" s="56">
        <f>IFERROR(VLOOKUP($AM50,個性タイプマスタ!$A$5:$P$100,3,FALSE),1)</f>
        <v>0.76</v>
      </c>
      <c r="Z50" s="56">
        <f>IFERROR(VLOOKUP($AM50,個性タイプマスタ!$A$5:$P$100,4,FALSE),1)</f>
        <v>0.76</v>
      </c>
      <c r="AA50" s="56">
        <f>IFERROR(VLOOKUP($AM50,個性タイプマスタ!$A$5:$P$100,5,FALSE),1)</f>
        <v>0.7</v>
      </c>
      <c r="AB50" s="56">
        <f>IFERROR(VLOOKUP($AM50,個性タイプマスタ!$A$5:$P$100,6,FALSE),1)</f>
        <v>0.86</v>
      </c>
      <c r="AC50" s="56">
        <f>IFERROR(VLOOKUP($AM50,個性タイプマスタ!$A$5:$P$100,7,FALSE),1)</f>
        <v>1.33</v>
      </c>
      <c r="AD50" s="56">
        <f>IFERROR(VLOOKUP($AM50,個性タイプマスタ!$A$5:$P$100,8,FALSE),1)</f>
        <v>0.64</v>
      </c>
      <c r="AE50" s="60">
        <f>IFERROR(D50/設定!$B$5,1)</f>
        <v>1.9487000000000001</v>
      </c>
      <c r="AF50" s="60">
        <f>1+設定!$B$13*((I50/設定!$B$8+J50/設定!$B$9)/(2*AE50))</f>
        <v>1.2213013804074511</v>
      </c>
      <c r="AG50" s="60">
        <f>MAX(0.7,1+設定!$B$14*(O50/IF(X50="Melee",1.5,2.5)-1))</f>
        <v>1.0396000000000001</v>
      </c>
      <c r="AH50" s="53">
        <f t="shared" si="1"/>
        <v>51.661237847999999</v>
      </c>
      <c r="AI50" s="53">
        <f>E50*AF50*(1+設定!$B$18*AVERAGE(P50:U50))</f>
        <v>176.41454179709547</v>
      </c>
      <c r="AJ50" s="61">
        <f>設定!$B$5*SQRT((AH50/(設定!$B$7*設定!$B$10*(1+設定!$B$11*(設定!$B$12-1))))*(AI50/(設定!$B$6*(1+設定!$B$13))))</f>
        <v>194.93047143928459</v>
      </c>
      <c r="AK50" s="62">
        <f t="shared" si="2"/>
        <v>3.103168229310338E-4</v>
      </c>
      <c r="AL50" s="63">
        <f t="shared" si="3"/>
        <v>124.71680000000001</v>
      </c>
      <c r="AM50" s="64" t="s">
        <v>978</v>
      </c>
      <c r="AN50" s="54">
        <f>MAX(1,ROUND((設定!$B$7*設定!$B$10*(1+設定!$B$11*(設定!$B$12-1)))*AE50^2*(設定!$B$6*(1+設定!$B$13))/(AI50*N50*(1+K50*(L50-1))*AG50),0))</f>
        <v>51</v>
      </c>
      <c r="AO50" s="65" t="str">
        <f>IF($A50="","",IF(COUNTIF(個性タイプマスタ!$A$5:$A$100,$AM50)&gt;0,"OK","未登録"))</f>
        <v>OK</v>
      </c>
      <c r="AP50" s="67" t="str">
        <f>IF($A50="","",IF(COUNTIF(属性耐性マスタ!$A$5:$A$11,$C50)&gt;0,"OK","未登録"))</f>
        <v>OK</v>
      </c>
    </row>
    <row r="51" spans="1:42">
      <c r="A51" s="66" t="s">
        <v>202</v>
      </c>
      <c r="B51" s="51" t="s">
        <v>203</v>
      </c>
      <c r="C51" s="109" t="s">
        <v>108</v>
      </c>
      <c r="D51" s="53">
        <f>ROUND(設定!$B$5*POWER($D$2,W51-1),2)</f>
        <v>194.87</v>
      </c>
      <c r="E51" s="54">
        <f>MAX(1,ROUND(設定!$B$6*AE51*Y51,0))</f>
        <v>127</v>
      </c>
      <c r="F51" s="54">
        <f>MAX(0,ROUND(設定!$B$7*AE51*設定!$B$15*IF(X51="Melee",0.6,1.35)*IFERROR(VLOOKUP($AM51,個性タイプマスタ!$A$5:$P$100,14,FALSE),1),0))</f>
        <v>6</v>
      </c>
      <c r="G51" s="54">
        <f>IF(X51="Melee",AN51,MAX(1,ROUND(AN51*設定!$B$16*IFERROR(VLOOKUP($AM51,個性タイプマスタ!$A$5:$P$100,15,FALSE),1),0)))</f>
        <v>39</v>
      </c>
      <c r="H51" s="54">
        <f>IF(X51="Ranged",AN51,MAX(1,ROUND(AN51*設定!$B$16*IFERROR(VLOOKUP($AM51,個性タイプマスタ!$A$5:$P$100,15,FALSE),1),0)))</f>
        <v>11</v>
      </c>
      <c r="I51" s="54">
        <f>MAX(0,ROUND(設定!$B$8*AE51*Z51,0))</f>
        <v>10</v>
      </c>
      <c r="J51" s="54">
        <f>MAX(0,ROUND(設定!$B$9*AE51*AA51,0))</f>
        <v>11</v>
      </c>
      <c r="K51" s="55">
        <f>IFERROR(VLOOKUP($AM51,個性タイプマスタ!$A$5:$P$100,9,FALSE),0.05)</f>
        <v>0.18</v>
      </c>
      <c r="L51" s="56">
        <f>IFERROR(VLOOKUP($AM51,個性タイプマスタ!$A$5:$P$100,10,FALSE),1.5)</f>
        <v>2.1</v>
      </c>
      <c r="M51" s="56">
        <f>IFERROR(VLOOKUP($AM51,個性タイプマスタ!$A$5:$P$100,11,FALSE),2)</f>
        <v>3.15</v>
      </c>
      <c r="N51" s="57">
        <f>MAX(0.1,ROUND(設定!$B$10*AB51,3))</f>
        <v>1.35</v>
      </c>
      <c r="O51" s="57">
        <f t="shared" si="0"/>
        <v>1.29</v>
      </c>
      <c r="P51" s="58">
        <f>MAX(-10,MIN(0.8,IFERROR(INDEX(属性耐性マスタ!$B$5:$G$11,MATCH($C51,属性耐性マスタ!$A$5:$A$11,0),1),0)+IFERROR(VLOOKUP($AM51,個性タイプマスタ!$A$5:$P$100,12,FALSE),0)))</f>
        <v>-0.18</v>
      </c>
      <c r="Q51" s="58">
        <f>MAX(-10,MIN(0.8,IFERROR(INDEX(属性耐性マスタ!$B$5:$G$11,MATCH($C51,属性耐性マスタ!$A$5:$A$11,0),2),0)+IFERROR(VLOOKUP($AM51,個性タイプマスタ!$A$5:$P$100,12,FALSE),0)))</f>
        <v>0.12000000000000001</v>
      </c>
      <c r="R51" s="58">
        <f>MAX(-10,MIN(0.8,IFERROR(INDEX(属性耐性マスタ!$B$5:$G$11,MATCH($C51,属性耐性マスタ!$A$5:$A$11,0),3),0)+IFERROR(VLOOKUP($AM51,個性タイプマスタ!$A$5:$P$100,12,FALSE),0)))</f>
        <v>-0.08</v>
      </c>
      <c r="S51" s="58">
        <f>MAX(-10,MIN(0.8,IFERROR(INDEX(属性耐性マスタ!$B$5:$G$11,MATCH($C51,属性耐性マスタ!$A$5:$A$11,0),4),0)+IFERROR(VLOOKUP($AM51,個性タイプマスタ!$A$5:$P$100,12,FALSE),0)))</f>
        <v>-0.08</v>
      </c>
      <c r="T51" s="58">
        <f>MAX(-10,MIN(0.8,IFERROR(INDEX(属性耐性マスタ!$B$5:$G$11,MATCH($C51,属性耐性マスタ!$A$5:$A$11,0),5),0)+IFERROR(VLOOKUP($AM51,個性タイプマスタ!$A$5:$P$100,12,FALSE),0)))</f>
        <v>-0.08</v>
      </c>
      <c r="U51" s="58">
        <f>MAX(-10,MIN(0.8,IFERROR(INDEX(属性耐性マスタ!$B$5:$G$11,MATCH($C51,属性耐性マスタ!$A$5:$A$11,0),6),0)+IFERROR(VLOOKUP($AM51,個性タイプマスタ!$A$5:$P$100,12,FALSE),0)))</f>
        <v>-0.08</v>
      </c>
      <c r="V51" s="59">
        <f>ROUND(設定!$B$19*IFERROR(VLOOKUP($AM51,個性タイプマスタ!$A$5:$P$100,13,FALSE),1),2)</f>
        <v>4.8</v>
      </c>
      <c r="W51" s="59">
        <v>8</v>
      </c>
      <c r="X51" s="59" t="str">
        <f>IFERROR(VLOOKUP($AM51,個性タイプマスタ!$A$5:$P$100,2,FALSE),"Ranged")</f>
        <v>Melee</v>
      </c>
      <c r="Y51" s="56">
        <f>IFERROR(VLOOKUP($AM51,個性タイプマスタ!$A$5:$P$100,3,FALSE),1)</f>
        <v>0.65</v>
      </c>
      <c r="Z51" s="56">
        <f>IFERROR(VLOOKUP($AM51,個性タイプマスタ!$A$5:$P$100,4,FALSE),1)</f>
        <v>0.62</v>
      </c>
      <c r="AA51" s="56">
        <f>IFERROR(VLOOKUP($AM51,個性タイプマスタ!$A$5:$P$100,5,FALSE),1)</f>
        <v>0.68</v>
      </c>
      <c r="AB51" s="56">
        <f>IFERROR(VLOOKUP($AM51,個性タイプマスタ!$A$5:$P$100,6,FALSE),1)</f>
        <v>1.35</v>
      </c>
      <c r="AC51" s="56">
        <f>IFERROR(VLOOKUP($AM51,個性タイプマスタ!$A$5:$P$100,7,FALSE),1)</f>
        <v>0.86</v>
      </c>
      <c r="AD51" s="56">
        <f>IFERROR(VLOOKUP($AM51,個性タイプマスタ!$A$5:$P$100,8,FALSE),1)</f>
        <v>0.56999999999999995</v>
      </c>
      <c r="AE51" s="60">
        <f>IFERROR(D51/設定!$B$5,1)</f>
        <v>1.9487000000000001</v>
      </c>
      <c r="AF51" s="60">
        <f>1+設定!$B$13*((I51/設定!$B$8+J51/設定!$B$9)/(2*AE51))</f>
        <v>1.2020577821111511</v>
      </c>
      <c r="AG51" s="60">
        <f>MAX(0.7,1+設定!$B$14*(O51/IF(X51="Melee",1.5,2.5)-1))</f>
        <v>0.98319999999999996</v>
      </c>
      <c r="AH51" s="53">
        <f t="shared" si="1"/>
        <v>62.015045040000004</v>
      </c>
      <c r="AI51" s="53">
        <f>E51*AF51*(1+設定!$B$18*AVERAGE(P51:U51))</f>
        <v>148.31049018576488</v>
      </c>
      <c r="AJ51" s="61">
        <f>設定!$B$5*SQRT((AH51/(設定!$B$7*設定!$B$10*(1+設定!$B$11*(設定!$B$12-1))))*(AI51/(設定!$B$6*(1+設定!$B$13))))</f>
        <v>195.82340843504423</v>
      </c>
      <c r="AK51" s="62">
        <f t="shared" si="2"/>
        <v>4.8925357163454031E-3</v>
      </c>
      <c r="AL51" s="63">
        <f t="shared" si="3"/>
        <v>111.07589999999999</v>
      </c>
      <c r="AM51" s="64" t="s">
        <v>942</v>
      </c>
      <c r="AN51" s="54">
        <f>MAX(1,ROUND((設定!$B$7*設定!$B$10*(1+設定!$B$11*(設定!$B$12-1)))*AE51^2*(設定!$B$6*(1+設定!$B$13))/(AI51*N51*(1+K51*(L51-1))*AG51),0))</f>
        <v>39</v>
      </c>
      <c r="AO51" s="65" t="str">
        <f>IF($A51="","",IF(COUNTIF(個性タイプマスタ!$A$5:$A$100,$AM51)&gt;0,"OK","未登録"))</f>
        <v>OK</v>
      </c>
      <c r="AP51" s="67" t="str">
        <f>IF($A51="","",IF(COUNTIF(属性耐性マスタ!$A$5:$A$11,$C51)&gt;0,"OK","未登録"))</f>
        <v>OK</v>
      </c>
    </row>
    <row r="52" spans="1:42">
      <c r="A52" s="66" t="s">
        <v>204</v>
      </c>
      <c r="B52" s="51" t="s">
        <v>205</v>
      </c>
      <c r="C52" s="109" t="s">
        <v>111</v>
      </c>
      <c r="D52" s="53">
        <f>ROUND(設定!$B$5*POWER($D$2,W52-1),2)</f>
        <v>194.87</v>
      </c>
      <c r="E52" s="54">
        <f>MAX(1,ROUND(設定!$B$6*AE52*Y52,0))</f>
        <v>187</v>
      </c>
      <c r="F52" s="54">
        <f>MAX(0,ROUND(設定!$B$7*AE52*設定!$B$15*IF(X52="Melee",0.6,1.35)*IFERROR(VLOOKUP($AM52,個性タイプマスタ!$A$5:$P$100,14,FALSE),1),0))</f>
        <v>31</v>
      </c>
      <c r="G52" s="54">
        <f>IF(X52="Melee",AN52,MAX(1,ROUND(AN52*設定!$B$16*IFERROR(VLOOKUP($AM52,個性タイプマスタ!$A$5:$P$100,15,FALSE),1),0)))</f>
        <v>10</v>
      </c>
      <c r="H52" s="54">
        <f>IF(X52="Ranged",AN52,MAX(1,ROUND(AN52*設定!$B$16*IFERROR(VLOOKUP($AM52,個性タイプマスタ!$A$5:$P$100,15,FALSE),1),0)))</f>
        <v>37</v>
      </c>
      <c r="I52" s="54">
        <f>MAX(0,ROUND(設定!$B$8*AE52*Z52,0))</f>
        <v>13</v>
      </c>
      <c r="J52" s="54">
        <f>MAX(0,ROUND(設定!$B$9*AE52*AA52,0))</f>
        <v>14</v>
      </c>
      <c r="K52" s="55">
        <f>IFERROR(VLOOKUP($AM52,個性タイプマスタ!$A$5:$P$100,9,FALSE),0.05)</f>
        <v>0.06</v>
      </c>
      <c r="L52" s="56">
        <f>IFERROR(VLOOKUP($AM52,個性タイプマスタ!$A$5:$P$100,10,FALSE),1.5)</f>
        <v>1.6</v>
      </c>
      <c r="M52" s="56">
        <f>IFERROR(VLOOKUP($AM52,個性タイプマスタ!$A$5:$P$100,11,FALSE),2)</f>
        <v>2.25</v>
      </c>
      <c r="N52" s="57">
        <f>MAX(0.1,ROUND(設定!$B$10*AB52,3))</f>
        <v>0.91</v>
      </c>
      <c r="O52" s="57">
        <f t="shared" si="0"/>
        <v>4.75</v>
      </c>
      <c r="P52" s="58">
        <f>MAX(-10,MIN(0.8,IFERROR(INDEX(属性耐性マスタ!$B$5:$G$11,MATCH($C52,属性耐性マスタ!$A$5:$A$11,0),1),0)+IFERROR(VLOOKUP($AM52,個性タイプマスタ!$A$5:$P$100,12,FALSE),0)))</f>
        <v>0.18000000000000002</v>
      </c>
      <c r="Q52" s="58">
        <f>MAX(-10,MIN(0.8,IFERROR(INDEX(属性耐性マスタ!$B$5:$G$11,MATCH($C52,属性耐性マスタ!$A$5:$A$11,0),2),0)+IFERROR(VLOOKUP($AM52,個性タイプマスタ!$A$5:$P$100,12,FALSE),0)))</f>
        <v>-0.12000000000000001</v>
      </c>
      <c r="R52" s="58">
        <f>MAX(-10,MIN(0.8,IFERROR(INDEX(属性耐性マスタ!$B$5:$G$11,MATCH($C52,属性耐性マスタ!$A$5:$A$11,0),3),0)+IFERROR(VLOOKUP($AM52,個性タイプマスタ!$A$5:$P$100,12,FALSE),0)))</f>
        <v>-0.02</v>
      </c>
      <c r="S52" s="58">
        <f>MAX(-10,MIN(0.8,IFERROR(INDEX(属性耐性マスタ!$B$5:$G$11,MATCH($C52,属性耐性マスタ!$A$5:$A$11,0),4),0)+IFERROR(VLOOKUP($AM52,個性タイプマスタ!$A$5:$P$100,12,FALSE),0)))</f>
        <v>-0.02</v>
      </c>
      <c r="T52" s="58">
        <f>MAX(-10,MIN(0.8,IFERROR(INDEX(属性耐性マスタ!$B$5:$G$11,MATCH($C52,属性耐性マスタ!$A$5:$A$11,0),5),0)+IFERROR(VLOOKUP($AM52,個性タイプマスタ!$A$5:$P$100,12,FALSE),0)))</f>
        <v>-0.02</v>
      </c>
      <c r="U52" s="58">
        <f>MAX(-10,MIN(0.8,IFERROR(INDEX(属性耐性マスタ!$B$5:$G$11,MATCH($C52,属性耐性マスタ!$A$5:$A$11,0),6),0)+IFERROR(VLOOKUP($AM52,個性タイプマスタ!$A$5:$P$100,12,FALSE),0)))</f>
        <v>-0.02</v>
      </c>
      <c r="V52" s="59">
        <f>ROUND(設定!$B$19*IFERROR(VLOOKUP($AM52,個性タイプマスタ!$A$5:$P$100,13,FALSE),1),2)</f>
        <v>6.6</v>
      </c>
      <c r="W52" s="59">
        <v>8</v>
      </c>
      <c r="X52" s="59" t="str">
        <f>IFERROR(VLOOKUP($AM52,個性タイプマスタ!$A$5:$P$100,2,FALSE),"Ranged")</f>
        <v>Ranged</v>
      </c>
      <c r="Y52" s="56">
        <f>IFERROR(VLOOKUP($AM52,個性タイプマスタ!$A$5:$P$100,3,FALSE),1)</f>
        <v>0.96</v>
      </c>
      <c r="Z52" s="56">
        <f>IFERROR(VLOOKUP($AM52,個性タイプマスタ!$A$5:$P$100,4,FALSE),1)</f>
        <v>0.82</v>
      </c>
      <c r="AA52" s="56">
        <f>IFERROR(VLOOKUP($AM52,個性タイプマスタ!$A$5:$P$100,5,FALSE),1)</f>
        <v>0.91</v>
      </c>
      <c r="AB52" s="56">
        <f>IFERROR(VLOOKUP($AM52,個性タイプマスタ!$A$5:$P$100,6,FALSE),1)</f>
        <v>0.91</v>
      </c>
      <c r="AC52" s="56">
        <f>IFERROR(VLOOKUP($AM52,個性タイプマスタ!$A$5:$P$100,7,FALSE),1)</f>
        <v>1.9</v>
      </c>
      <c r="AD52" s="56">
        <f>IFERROR(VLOOKUP($AM52,個性タイプマスタ!$A$5:$P$100,8,FALSE),1)</f>
        <v>0.75</v>
      </c>
      <c r="AE52" s="60">
        <f>IFERROR(D52/設定!$B$5,1)</f>
        <v>1.9487000000000001</v>
      </c>
      <c r="AF52" s="60">
        <f>1+設定!$B$13*((I52/設定!$B$8+J52/設定!$B$9)/(2*AE52))</f>
        <v>1.2597885770000512</v>
      </c>
      <c r="AG52" s="60">
        <f>MAX(0.7,1+設定!$B$14*(O52/IF(X52="Melee",1.5,2.5)-1))</f>
        <v>1.1080000000000001</v>
      </c>
      <c r="AH52" s="53">
        <f t="shared" si="1"/>
        <v>38.649388960000003</v>
      </c>
      <c r="AI52" s="53">
        <f>E52*AF52*(1+設定!$B$18*AVERAGE(P52:U52))</f>
        <v>235.22709320316108</v>
      </c>
      <c r="AJ52" s="61">
        <f>設定!$B$5*SQRT((AH52/(設定!$B$7*設定!$B$10*(1+設定!$B$11*(設定!$B$12-1))))*(AI52/(設定!$B$6*(1+設定!$B$13))))</f>
        <v>194.69066369627143</v>
      </c>
      <c r="AK52" s="62">
        <f t="shared" si="2"/>
        <v>-9.2028687703893386E-4</v>
      </c>
      <c r="AL52" s="63">
        <f t="shared" si="3"/>
        <v>146.1525</v>
      </c>
      <c r="AM52" s="64" t="s">
        <v>918</v>
      </c>
      <c r="AN52" s="54">
        <f>MAX(1,ROUND((設定!$B$7*設定!$B$10*(1+設定!$B$11*(設定!$B$12-1)))*AE52^2*(設定!$B$6*(1+設定!$B$13))/(AI52*N52*(1+K52*(L52-1))*AG52),0))</f>
        <v>37</v>
      </c>
      <c r="AO52" s="65" t="str">
        <f>IF($A52="","",IF(COUNTIF(個性タイプマスタ!$A$5:$A$100,$AM52)&gt;0,"OK","未登録"))</f>
        <v>OK</v>
      </c>
      <c r="AP52" s="67" t="str">
        <f>IF($A52="","",IF(COUNTIF(属性耐性マスタ!$A$5:$A$11,$C52)&gt;0,"OK","未登録"))</f>
        <v>OK</v>
      </c>
    </row>
    <row r="53" spans="1:42">
      <c r="A53" s="66" t="s">
        <v>206</v>
      </c>
      <c r="B53" s="51" t="s">
        <v>207</v>
      </c>
      <c r="C53" s="109" t="s">
        <v>871</v>
      </c>
      <c r="D53" s="53">
        <f>ROUND(設定!$B$5*POWER($D$2,W53-1),2)</f>
        <v>214.36</v>
      </c>
      <c r="E53" s="54">
        <f>MAX(1,ROUND(設定!$B$6*AE53*Y53,0))</f>
        <v>144</v>
      </c>
      <c r="F53" s="54">
        <f>MAX(0,ROUND(設定!$B$7*AE53*設定!$B$15*IF(X53="Melee",0.6,1.35)*IFERROR(VLOOKUP($AM53,個性タイプマスタ!$A$5:$P$100,14,FALSE),1),0))</f>
        <v>34</v>
      </c>
      <c r="G53" s="54">
        <f>IF(X53="Melee",AN53,MAX(1,ROUND(AN53*設定!$B$16*IFERROR(VLOOKUP($AM53,個性タイプマスタ!$A$5:$P$100,15,FALSE),1),0)))</f>
        <v>16</v>
      </c>
      <c r="H53" s="54">
        <f>IF(X53="Ranged",AN53,MAX(1,ROUND(AN53*設定!$B$16*IFERROR(VLOOKUP($AM53,個性タイプマスタ!$A$5:$P$100,15,FALSE),1),0)))</f>
        <v>68</v>
      </c>
      <c r="I53" s="54">
        <f>MAX(0,ROUND(設定!$B$8*AE53*Z53,0))</f>
        <v>11</v>
      </c>
      <c r="J53" s="54">
        <f>MAX(0,ROUND(設定!$B$9*AE53*AA53,0))</f>
        <v>14</v>
      </c>
      <c r="K53" s="55">
        <f>IFERROR(VLOOKUP($AM53,個性タイプマスタ!$A$5:$P$100,9,FALSE),0.05)</f>
        <v>0.18</v>
      </c>
      <c r="L53" s="56">
        <f>IFERROR(VLOOKUP($AM53,個性タイプマスタ!$A$5:$P$100,10,FALSE),1.5)</f>
        <v>1.85</v>
      </c>
      <c r="M53" s="56">
        <f>IFERROR(VLOOKUP($AM53,個性タイプマスタ!$A$5:$P$100,11,FALSE),2)</f>
        <v>2.0499999999999998</v>
      </c>
      <c r="N53" s="57">
        <f>MAX(0.1,ROUND(設定!$B$10*AB53,3))</f>
        <v>0.75</v>
      </c>
      <c r="O53" s="57">
        <f t="shared" si="0"/>
        <v>4.45</v>
      </c>
      <c r="P53" s="58">
        <f>MAX(-10,MIN(0.8,IFERROR(INDEX(属性耐性マスタ!$B$5:$G$11,MATCH($C53,属性耐性マスタ!$A$5:$A$11,0),1),0)+IFERROR(VLOOKUP($AM53,個性タイプマスタ!$A$5:$P$100,12,FALSE),0)))</f>
        <v>-0.06</v>
      </c>
      <c r="Q53" s="58">
        <f>MAX(-10,MIN(0.8,IFERROR(INDEX(属性耐性マスタ!$B$5:$G$11,MATCH($C53,属性耐性マスタ!$A$5:$A$11,0),2),0)+IFERROR(VLOOKUP($AM53,個性タイプマスタ!$A$5:$P$100,12,FALSE),0)))</f>
        <v>-0.06</v>
      </c>
      <c r="R53" s="58">
        <f>MAX(-10,MIN(0.8,IFERROR(INDEX(属性耐性マスタ!$B$5:$G$11,MATCH($C53,属性耐性マスタ!$A$5:$A$11,0),3),0)+IFERROR(VLOOKUP($AM53,個性タイプマスタ!$A$5:$P$100,12,FALSE),0)))</f>
        <v>-0.16</v>
      </c>
      <c r="S53" s="58">
        <f>MAX(-10,MIN(0.8,IFERROR(INDEX(属性耐性マスタ!$B$5:$G$11,MATCH($C53,属性耐性マスタ!$A$5:$A$11,0),4),0)+IFERROR(VLOOKUP($AM53,個性タイプマスタ!$A$5:$P$100,12,FALSE),0)))</f>
        <v>0.14000000000000001</v>
      </c>
      <c r="T53" s="58">
        <f>MAX(-10,MIN(0.8,IFERROR(INDEX(属性耐性マスタ!$B$5:$G$11,MATCH($C53,属性耐性マスタ!$A$5:$A$11,0),5),0)+IFERROR(VLOOKUP($AM53,個性タイプマスタ!$A$5:$P$100,12,FALSE),0)))</f>
        <v>-0.06</v>
      </c>
      <c r="U53" s="58">
        <f>MAX(-10,MIN(0.8,IFERROR(INDEX(属性耐性マスタ!$B$5:$G$11,MATCH($C53,属性耐性マスタ!$A$5:$A$11,0),6),0)+IFERROR(VLOOKUP($AM53,個性タイプマスタ!$A$5:$P$100,12,FALSE),0)))</f>
        <v>-0.06</v>
      </c>
      <c r="V53" s="59">
        <f>ROUND(設定!$B$19*IFERROR(VLOOKUP($AM53,個性タイプマスタ!$A$5:$P$100,13,FALSE),1),2)</f>
        <v>5.6</v>
      </c>
      <c r="W53" s="59">
        <v>9</v>
      </c>
      <c r="X53" s="59" t="str">
        <f>IFERROR(VLOOKUP($AM53,個性タイプマスタ!$A$5:$P$100,2,FALSE),"Ranged")</f>
        <v>Ranged</v>
      </c>
      <c r="Y53" s="56">
        <f>IFERROR(VLOOKUP($AM53,個性タイプマスタ!$A$5:$P$100,3,FALSE),1)</f>
        <v>0.67</v>
      </c>
      <c r="Z53" s="56">
        <f>IFERROR(VLOOKUP($AM53,個性タイプマスタ!$A$5:$P$100,4,FALSE),1)</f>
        <v>0.65</v>
      </c>
      <c r="AA53" s="56">
        <f>IFERROR(VLOOKUP($AM53,個性タイプマスタ!$A$5:$P$100,5,FALSE),1)</f>
        <v>0.8</v>
      </c>
      <c r="AB53" s="56">
        <f>IFERROR(VLOOKUP($AM53,個性タイプマスタ!$A$5:$P$100,6,FALSE),1)</f>
        <v>0.75</v>
      </c>
      <c r="AC53" s="56">
        <f>IFERROR(VLOOKUP($AM53,個性タイプマスタ!$A$5:$P$100,7,FALSE),1)</f>
        <v>1.78</v>
      </c>
      <c r="AD53" s="56">
        <f>IFERROR(VLOOKUP($AM53,個性タイプマスタ!$A$5:$P$100,8,FALSE),1)</f>
        <v>0.62</v>
      </c>
      <c r="AE53" s="60">
        <f>IFERROR(D53/設定!$B$5,1)</f>
        <v>2.1436000000000002</v>
      </c>
      <c r="AF53" s="60">
        <f>1+設定!$B$13*((I53/設定!$B$8+J53/設定!$B$9)/(2*AE53))</f>
        <v>1.2186741929464453</v>
      </c>
      <c r="AG53" s="60">
        <f>MAX(0.7,1+設定!$B$14*(O53/IF(X53="Melee",1.5,2.5)-1))</f>
        <v>1.0935999999999999</v>
      </c>
      <c r="AH53" s="53">
        <f t="shared" si="1"/>
        <v>64.306960799999999</v>
      </c>
      <c r="AI53" s="53">
        <f>E53*AF53*(1+設定!$B$18*AVERAGE(P53:U53))</f>
        <v>172.06704665049449</v>
      </c>
      <c r="AJ53" s="61">
        <f>設定!$B$5*SQRT((AH53/(設定!$B$7*設定!$B$10*(1+設定!$B$11*(設定!$B$12-1))))*(AI53/(設定!$B$6*(1+設定!$B$13))))</f>
        <v>214.78699566810508</v>
      </c>
      <c r="AK53" s="62">
        <f t="shared" si="2"/>
        <v>1.9919559064427439E-3</v>
      </c>
      <c r="AL53" s="63">
        <f t="shared" si="3"/>
        <v>132.9032</v>
      </c>
      <c r="AM53" s="64" t="s">
        <v>910</v>
      </c>
      <c r="AN53" s="54">
        <f>MAX(1,ROUND((設定!$B$7*設定!$B$10*(1+設定!$B$11*(設定!$B$12-1)))*AE53^2*(設定!$B$6*(1+設定!$B$13))/(AI53*N53*(1+K53*(L53-1))*AG53),0))</f>
        <v>68</v>
      </c>
      <c r="AO53" s="65" t="str">
        <f>IF($A53="","",IF(COUNTIF(個性タイプマスタ!$A$5:$A$100,$AM53)&gt;0,"OK","未登録"))</f>
        <v>OK</v>
      </c>
      <c r="AP53" s="67" t="str">
        <f>IF($A53="","",IF(COUNTIF(属性耐性マスタ!$A$5:$A$11,$C53)&gt;0,"OK","未登録"))</f>
        <v>OK</v>
      </c>
    </row>
    <row r="54" spans="1:42">
      <c r="A54" s="66" t="s">
        <v>208</v>
      </c>
      <c r="B54" s="51" t="s">
        <v>209</v>
      </c>
      <c r="C54" s="109" t="s">
        <v>871</v>
      </c>
      <c r="D54" s="53">
        <f>ROUND(設定!$B$5*POWER($D$2,W54-1),2)</f>
        <v>214.36</v>
      </c>
      <c r="E54" s="54">
        <f>MAX(1,ROUND(設定!$B$6*AE54*Y54,0))</f>
        <v>176</v>
      </c>
      <c r="F54" s="54">
        <f>MAX(0,ROUND(設定!$B$7*AE54*設定!$B$15*IF(X54="Melee",0.6,1.35)*IFERROR(VLOOKUP($AM54,個性タイプマスタ!$A$5:$P$100,14,FALSE),1),0))</f>
        <v>42</v>
      </c>
      <c r="G54" s="54">
        <f>IF(X54="Melee",AN54,MAX(1,ROUND(AN54*設定!$B$16*IFERROR(VLOOKUP($AM54,個性タイプマスタ!$A$5:$P$100,15,FALSE),1),0)))</f>
        <v>16</v>
      </c>
      <c r="H54" s="54">
        <f>IF(X54="Ranged",AN54,MAX(1,ROUND(AN54*設定!$B$16*IFERROR(VLOOKUP($AM54,個性タイプマスタ!$A$5:$P$100,15,FALSE),1),0)))</f>
        <v>60</v>
      </c>
      <c r="I54" s="54">
        <f>MAX(0,ROUND(設定!$B$8*AE54*Z54,0))</f>
        <v>14</v>
      </c>
      <c r="J54" s="54">
        <f>MAX(0,ROUND(設定!$B$9*AE54*AA54,0))</f>
        <v>15</v>
      </c>
      <c r="K54" s="55">
        <f>IFERROR(VLOOKUP($AM54,個性タイプマスタ!$A$5:$P$100,9,FALSE),0.05)</f>
        <v>0.12</v>
      </c>
      <c r="L54" s="56">
        <f>IFERROR(VLOOKUP($AM54,個性タイプマスタ!$A$5:$P$100,10,FALSE),1.5)</f>
        <v>2.5499999999999998</v>
      </c>
      <c r="M54" s="56">
        <f>IFERROR(VLOOKUP($AM54,個性タイプマスタ!$A$5:$P$100,11,FALSE),2)</f>
        <v>2.2999999999999998</v>
      </c>
      <c r="N54" s="57">
        <f>MAX(0.1,ROUND(設定!$B$10*AB54,3))</f>
        <v>0.68</v>
      </c>
      <c r="O54" s="57">
        <f t="shared" si="0"/>
        <v>3.55</v>
      </c>
      <c r="P54" s="58">
        <f>MAX(-10,MIN(0.8,IFERROR(INDEX(属性耐性マスタ!$B$5:$G$11,MATCH($C54,属性耐性マスタ!$A$5:$A$11,0),1),0)+IFERROR(VLOOKUP($AM54,個性タイプマスタ!$A$5:$P$100,12,FALSE),0)))</f>
        <v>-5.5E-2</v>
      </c>
      <c r="Q54" s="58">
        <f>MAX(-10,MIN(0.8,IFERROR(INDEX(属性耐性マスタ!$B$5:$G$11,MATCH($C54,属性耐性マスタ!$A$5:$A$11,0),2),0)+IFERROR(VLOOKUP($AM54,個性タイプマスタ!$A$5:$P$100,12,FALSE),0)))</f>
        <v>-5.5E-2</v>
      </c>
      <c r="R54" s="58">
        <f>MAX(-10,MIN(0.8,IFERROR(INDEX(属性耐性マスタ!$B$5:$G$11,MATCH($C54,属性耐性マスタ!$A$5:$A$11,0),3),0)+IFERROR(VLOOKUP($AM54,個性タイプマスタ!$A$5:$P$100,12,FALSE),0)))</f>
        <v>-0.155</v>
      </c>
      <c r="S54" s="58">
        <f>MAX(-10,MIN(0.8,IFERROR(INDEX(属性耐性マスタ!$B$5:$G$11,MATCH($C54,属性耐性マスタ!$A$5:$A$11,0),4),0)+IFERROR(VLOOKUP($AM54,個性タイプマスタ!$A$5:$P$100,12,FALSE),0)))</f>
        <v>0.14500000000000002</v>
      </c>
      <c r="T54" s="58">
        <f>MAX(-10,MIN(0.8,IFERROR(INDEX(属性耐性マスタ!$B$5:$G$11,MATCH($C54,属性耐性マスタ!$A$5:$A$11,0),5),0)+IFERROR(VLOOKUP($AM54,個性タイプマスタ!$A$5:$P$100,12,FALSE),0)))</f>
        <v>-5.5E-2</v>
      </c>
      <c r="U54" s="58">
        <f>MAX(-10,MIN(0.8,IFERROR(INDEX(属性耐性マスタ!$B$5:$G$11,MATCH($C54,属性耐性マスタ!$A$5:$A$11,0),6),0)+IFERROR(VLOOKUP($AM54,個性タイプマスタ!$A$5:$P$100,12,FALSE),0)))</f>
        <v>-5.5E-2</v>
      </c>
      <c r="V54" s="59">
        <f>ROUND(設定!$B$19*IFERROR(VLOOKUP($AM54,個性タイプマスタ!$A$5:$P$100,13,FALSE),1),2)</f>
        <v>4.8</v>
      </c>
      <c r="W54" s="59">
        <v>9</v>
      </c>
      <c r="X54" s="59" t="str">
        <f>IFERROR(VLOOKUP($AM54,個性タイプマスタ!$A$5:$P$100,2,FALSE),"Ranged")</f>
        <v>Ranged</v>
      </c>
      <c r="Y54" s="56">
        <f>IFERROR(VLOOKUP($AM54,個性タイプマスタ!$A$5:$P$100,3,FALSE),1)</f>
        <v>0.82</v>
      </c>
      <c r="Z54" s="56">
        <f>IFERROR(VLOOKUP($AM54,個性タイプマスタ!$A$5:$P$100,4,FALSE),1)</f>
        <v>0.81</v>
      </c>
      <c r="AA54" s="56">
        <f>IFERROR(VLOOKUP($AM54,個性タイプマスタ!$A$5:$P$100,5,FALSE),1)</f>
        <v>0.87</v>
      </c>
      <c r="AB54" s="56">
        <f>IFERROR(VLOOKUP($AM54,個性タイプマスタ!$A$5:$P$100,6,FALSE),1)</f>
        <v>0.68</v>
      </c>
      <c r="AC54" s="56">
        <f>IFERROR(VLOOKUP($AM54,個性タイプマスタ!$A$5:$P$100,7,FALSE),1)</f>
        <v>1.42</v>
      </c>
      <c r="AD54" s="56">
        <f>IFERROR(VLOOKUP($AM54,個性タイプマスタ!$A$5:$P$100,8,FALSE),1)</f>
        <v>0.67</v>
      </c>
      <c r="AE54" s="60">
        <f>IFERROR(D54/設定!$B$5,1)</f>
        <v>2.1436000000000002</v>
      </c>
      <c r="AF54" s="60">
        <f>1+設定!$B$13*((I54/設定!$B$8+J54/設定!$B$9)/(2*AE54))</f>
        <v>1.2536620638178764</v>
      </c>
      <c r="AG54" s="60">
        <f>MAX(0.7,1+設定!$B$14*(O54/IF(X54="Melee",1.5,2.5)-1))</f>
        <v>1.0504</v>
      </c>
      <c r="AH54" s="53">
        <f t="shared" si="1"/>
        <v>50.827595520000003</v>
      </c>
      <c r="AI54" s="53">
        <f>E54*AF54*(1+設定!$B$18*AVERAGE(P54:U54))</f>
        <v>216.83840520619518</v>
      </c>
      <c r="AJ54" s="61">
        <f>設定!$B$5*SQRT((AH54/(設定!$B$7*設定!$B$10*(1+設定!$B$11*(設定!$B$12-1))))*(AI54/(設定!$B$6*(1+設定!$B$13))))</f>
        <v>214.3621101096611</v>
      </c>
      <c r="AK54" s="62">
        <f t="shared" si="2"/>
        <v>9.8437659128425281E-6</v>
      </c>
      <c r="AL54" s="63">
        <f t="shared" si="3"/>
        <v>143.62120000000002</v>
      </c>
      <c r="AM54" s="64" t="s">
        <v>924</v>
      </c>
      <c r="AN54" s="54">
        <f>MAX(1,ROUND((設定!$B$7*設定!$B$10*(1+設定!$B$11*(設定!$B$12-1)))*AE54^2*(設定!$B$6*(1+設定!$B$13))/(AI54*N54*(1+K54*(L54-1))*AG54),0))</f>
        <v>60</v>
      </c>
      <c r="AO54" s="65" t="str">
        <f>IF($A54="","",IF(COUNTIF(個性タイプマスタ!$A$5:$A$100,$AM54)&gt;0,"OK","未登録"))</f>
        <v>OK</v>
      </c>
      <c r="AP54" s="67" t="str">
        <f>IF($A54="","",IF(COUNTIF(属性耐性マスタ!$A$5:$A$11,$C54)&gt;0,"OK","未登録"))</f>
        <v>OK</v>
      </c>
    </row>
    <row r="55" spans="1:42">
      <c r="A55" s="66" t="s">
        <v>210</v>
      </c>
      <c r="B55" s="51" t="s">
        <v>211</v>
      </c>
      <c r="C55" s="109" t="s">
        <v>121</v>
      </c>
      <c r="D55" s="53">
        <f>ROUND(設定!$B$5*POWER($D$2,W55-1),2)</f>
        <v>214.36</v>
      </c>
      <c r="E55" s="54">
        <f>MAX(1,ROUND(設定!$B$6*AE55*Y55,0))</f>
        <v>300</v>
      </c>
      <c r="F55" s="54">
        <f>MAX(0,ROUND(設定!$B$7*AE55*設定!$B$15*IF(X55="Melee",0.6,1.35)*IFERROR(VLOOKUP($AM55,個性タイプマスタ!$A$5:$P$100,14,FALSE),1),0))</f>
        <v>69</v>
      </c>
      <c r="G55" s="54">
        <f>IF(X55="Melee",AN55,MAX(1,ROUND(AN55*設定!$B$16*IFERROR(VLOOKUP($AM55,個性タイプマスタ!$A$5:$P$100,15,FALSE),1),0)))</f>
        <v>11</v>
      </c>
      <c r="H55" s="54">
        <f>IF(X55="Ranged",AN55,MAX(1,ROUND(AN55*設定!$B$16*IFERROR(VLOOKUP($AM55,個性タイプマスタ!$A$5:$P$100,15,FALSE),1),0)))</f>
        <v>30</v>
      </c>
      <c r="I55" s="54">
        <f>MAX(0,ROUND(設定!$B$8*AE55*Z55,0))</f>
        <v>16</v>
      </c>
      <c r="J55" s="54">
        <f>MAX(0,ROUND(設定!$B$9*AE55*AA55,0))</f>
        <v>29</v>
      </c>
      <c r="K55" s="55">
        <f>IFERROR(VLOOKUP($AM55,個性タイプマスタ!$A$5:$P$100,9,FALSE),0.05)</f>
        <v>0.115</v>
      </c>
      <c r="L55" s="56">
        <f>IFERROR(VLOOKUP($AM55,個性タイプマスタ!$A$5:$P$100,10,FALSE),1.5)</f>
        <v>1.95</v>
      </c>
      <c r="M55" s="56">
        <f>IFERROR(VLOOKUP($AM55,個性タイプマスタ!$A$5:$P$100,11,FALSE),2)</f>
        <v>1.2</v>
      </c>
      <c r="N55" s="57">
        <f>MAX(0.1,ROUND(設定!$B$10*AB55,3))</f>
        <v>0.72</v>
      </c>
      <c r="O55" s="57">
        <f t="shared" si="0"/>
        <v>3.3250000000000002</v>
      </c>
      <c r="P55" s="58">
        <f>MAX(-10,MIN(0.8,IFERROR(INDEX(属性耐性マスタ!$B$5:$G$11,MATCH($C55,属性耐性マスタ!$A$5:$A$11,0),1),0)+IFERROR(VLOOKUP($AM55,個性タイプマスタ!$A$5:$P$100,12,FALSE),0)))</f>
        <v>0.08</v>
      </c>
      <c r="Q55" s="58">
        <f>MAX(-10,MIN(0.8,IFERROR(INDEX(属性耐性マスタ!$B$5:$G$11,MATCH($C55,属性耐性マスタ!$A$5:$A$11,0),2),0)+IFERROR(VLOOKUP($AM55,個性タイプマスタ!$A$5:$P$100,12,FALSE),0)))</f>
        <v>0.08</v>
      </c>
      <c r="R55" s="58">
        <f>MAX(-10,MIN(0.8,IFERROR(INDEX(属性耐性マスタ!$B$5:$G$11,MATCH($C55,属性耐性マスタ!$A$5:$A$11,0),3),0)+IFERROR(VLOOKUP($AM55,個性タイプマスタ!$A$5:$P$100,12,FALSE),0)))</f>
        <v>0.08</v>
      </c>
      <c r="S55" s="58">
        <f>MAX(-10,MIN(0.8,IFERROR(INDEX(属性耐性マスタ!$B$5:$G$11,MATCH($C55,属性耐性マスタ!$A$5:$A$11,0),4),0)+IFERROR(VLOOKUP($AM55,個性タイプマスタ!$A$5:$P$100,12,FALSE),0)))</f>
        <v>0.08</v>
      </c>
      <c r="T55" s="58">
        <f>MAX(-10,MIN(0.8,IFERROR(INDEX(属性耐性マスタ!$B$5:$G$11,MATCH($C55,属性耐性マスタ!$A$5:$A$11,0),5),0)+IFERROR(VLOOKUP($AM55,個性タイプマスタ!$A$5:$P$100,12,FALSE),0)))</f>
        <v>0.28000000000000003</v>
      </c>
      <c r="U55" s="58">
        <f>MAX(-10,MIN(0.8,IFERROR(INDEX(属性耐性マスタ!$B$5:$G$11,MATCH($C55,属性耐性マスタ!$A$5:$A$11,0),6),0)+IFERROR(VLOOKUP($AM55,個性タイプマスタ!$A$5:$P$100,12,FALSE),0)))</f>
        <v>-2.0000000000000004E-2</v>
      </c>
      <c r="V55" s="59">
        <f>ROUND(設定!$B$19*IFERROR(VLOOKUP($AM55,個性タイプマスタ!$A$5:$P$100,13,FALSE),1),2)</f>
        <v>5</v>
      </c>
      <c r="W55" s="59">
        <v>9</v>
      </c>
      <c r="X55" s="59" t="str">
        <f>IFERROR(VLOOKUP($AM55,個性タイプマスタ!$A$5:$P$100,2,FALSE),"Ranged")</f>
        <v>Ranged</v>
      </c>
      <c r="Y55" s="56">
        <f>IFERROR(VLOOKUP($AM55,個性タイプマスタ!$A$5:$P$100,3,FALSE),1)</f>
        <v>1.4</v>
      </c>
      <c r="Z55" s="56">
        <f>IFERROR(VLOOKUP($AM55,個性タイプマスタ!$A$5:$P$100,4,FALSE),1)</f>
        <v>0.95</v>
      </c>
      <c r="AA55" s="56">
        <f>IFERROR(VLOOKUP($AM55,個性タイプマスタ!$A$5:$P$100,5,FALSE),1)</f>
        <v>1.68</v>
      </c>
      <c r="AB55" s="56">
        <f>IFERROR(VLOOKUP($AM55,個性タイプマスタ!$A$5:$P$100,6,FALSE),1)</f>
        <v>0.72</v>
      </c>
      <c r="AC55" s="56">
        <f>IFERROR(VLOOKUP($AM55,個性タイプマスタ!$A$5:$P$100,7,FALSE),1)</f>
        <v>1.33</v>
      </c>
      <c r="AD55" s="56">
        <f>IFERROR(VLOOKUP($AM55,個性タイプマスタ!$A$5:$P$100,8,FALSE),1)</f>
        <v>0.86</v>
      </c>
      <c r="AE55" s="60">
        <f>IFERROR(D55/設定!$B$5,1)</f>
        <v>2.1436000000000002</v>
      </c>
      <c r="AF55" s="60">
        <f>1+設定!$B$13*((I55/設定!$B$8+J55/設定!$B$9)/(2*AE55))</f>
        <v>1.3936135473036013</v>
      </c>
      <c r="AG55" s="60">
        <f>MAX(0.7,1+設定!$B$14*(O55/IF(X55="Melee",1.5,2.5)-1))</f>
        <v>1.0396000000000001</v>
      </c>
      <c r="AH55" s="53">
        <f t="shared" si="1"/>
        <v>24.90860808</v>
      </c>
      <c r="AI55" s="53">
        <f>E55*AF55*(1+設定!$B$18*AVERAGE(P55:U55))</f>
        <v>436.27072098339244</v>
      </c>
      <c r="AJ55" s="61">
        <f>設定!$B$5*SQRT((AH55/(設定!$B$7*設定!$B$10*(1+設定!$B$11*(設定!$B$12-1))))*(AI55/(設定!$B$6*(1+設定!$B$13))))</f>
        <v>212.85453232532689</v>
      </c>
      <c r="AK55" s="62">
        <f t="shared" si="2"/>
        <v>-7.0230811470103349E-3</v>
      </c>
      <c r="AL55" s="63">
        <f t="shared" si="3"/>
        <v>184.34960000000001</v>
      </c>
      <c r="AM55" s="64" t="s">
        <v>938</v>
      </c>
      <c r="AN55" s="54">
        <f>MAX(1,ROUND((設定!$B$7*設定!$B$10*(1+設定!$B$11*(設定!$B$12-1)))*AE55^2*(設定!$B$6*(1+設定!$B$13))/(AI55*N55*(1+K55*(L55-1))*AG55),0))</f>
        <v>30</v>
      </c>
      <c r="AO55" s="65" t="str">
        <f>IF($A55="","",IF(COUNTIF(個性タイプマスタ!$A$5:$A$100,$AM55)&gt;0,"OK","未登録"))</f>
        <v>OK</v>
      </c>
      <c r="AP55" s="67" t="str">
        <f>IF($A55="","",IF(COUNTIF(属性耐性マスタ!$A$5:$A$11,$C55)&gt;0,"OK","未登録"))</f>
        <v>OK</v>
      </c>
    </row>
    <row r="56" spans="1:42">
      <c r="A56" s="66" t="s">
        <v>212</v>
      </c>
      <c r="B56" s="51" t="s">
        <v>213</v>
      </c>
      <c r="C56" s="109" t="s">
        <v>121</v>
      </c>
      <c r="D56" s="53">
        <f>ROUND(設定!$B$5*POWER($D$2,W56-1),2)</f>
        <v>214.36</v>
      </c>
      <c r="E56" s="54">
        <f>MAX(1,ROUND(設定!$B$6*AE56*Y56,0))</f>
        <v>343</v>
      </c>
      <c r="F56" s="54">
        <f>MAX(0,ROUND(設定!$B$7*AE56*設定!$B$15*IF(X56="Melee",0.6,1.35)*IFERROR(VLOOKUP($AM56,個性タイプマスタ!$A$5:$P$100,14,FALSE),1),0))</f>
        <v>12</v>
      </c>
      <c r="G56" s="54">
        <f>IF(X56="Melee",AN56,MAX(1,ROUND(AN56*設定!$B$16*IFERROR(VLOOKUP($AM56,個性タイプマスタ!$A$5:$P$100,15,FALSE),1),0)))</f>
        <v>26</v>
      </c>
      <c r="H56" s="54">
        <f>IF(X56="Ranged",AN56,MAX(1,ROUND(AN56*設定!$B$16*IFERROR(VLOOKUP($AM56,個性タイプマスタ!$A$5:$P$100,15,FALSE),1),0)))</f>
        <v>12</v>
      </c>
      <c r="I56" s="54">
        <f>MAX(0,ROUND(設定!$B$8*AE56*Z56,0))</f>
        <v>27</v>
      </c>
      <c r="J56" s="54">
        <f>MAX(0,ROUND(設定!$B$9*AE56*AA56,0))</f>
        <v>24</v>
      </c>
      <c r="K56" s="55">
        <f>IFERROR(VLOOKUP($AM56,個性タイプマスタ!$A$5:$P$100,9,FALSE),0.05)</f>
        <v>0.04</v>
      </c>
      <c r="L56" s="56">
        <f>IFERROR(VLOOKUP($AM56,個性タイプマスタ!$A$5:$P$100,10,FALSE),1.5)</f>
        <v>1.4</v>
      </c>
      <c r="M56" s="56">
        <f>IFERROR(VLOOKUP($AM56,個性タイプマスタ!$A$5:$P$100,11,FALSE),2)</f>
        <v>2.2000000000000002</v>
      </c>
      <c r="N56" s="57">
        <f>MAX(0.1,ROUND(設定!$B$10*AB56,3))</f>
        <v>0.82</v>
      </c>
      <c r="O56" s="57">
        <f t="shared" si="0"/>
        <v>1.2</v>
      </c>
      <c r="P56" s="58">
        <f>MAX(-10,MIN(0.8,IFERROR(INDEX(属性耐性マスタ!$B$5:$G$11,MATCH($C56,属性耐性マスタ!$A$5:$A$11,0),1),0)+IFERROR(VLOOKUP($AM56,個性タイプマスタ!$A$5:$P$100,12,FALSE),0)))</f>
        <v>0.1</v>
      </c>
      <c r="Q56" s="58">
        <f>MAX(-10,MIN(0.8,IFERROR(INDEX(属性耐性マスタ!$B$5:$G$11,MATCH($C56,属性耐性マスタ!$A$5:$A$11,0),2),0)+IFERROR(VLOOKUP($AM56,個性タイプマスタ!$A$5:$P$100,12,FALSE),0)))</f>
        <v>0.1</v>
      </c>
      <c r="R56" s="58">
        <f>MAX(-10,MIN(0.8,IFERROR(INDEX(属性耐性マスタ!$B$5:$G$11,MATCH($C56,属性耐性マスタ!$A$5:$A$11,0),3),0)+IFERROR(VLOOKUP($AM56,個性タイプマスタ!$A$5:$P$100,12,FALSE),0)))</f>
        <v>0.1</v>
      </c>
      <c r="S56" s="58">
        <f>MAX(-10,MIN(0.8,IFERROR(INDEX(属性耐性マスタ!$B$5:$G$11,MATCH($C56,属性耐性マスタ!$A$5:$A$11,0),4),0)+IFERROR(VLOOKUP($AM56,個性タイプマスタ!$A$5:$P$100,12,FALSE),0)))</f>
        <v>0.1</v>
      </c>
      <c r="T56" s="58">
        <f>MAX(-10,MIN(0.8,IFERROR(INDEX(属性耐性マスタ!$B$5:$G$11,MATCH($C56,属性耐性マスタ!$A$5:$A$11,0),5),0)+IFERROR(VLOOKUP($AM56,個性タイプマスタ!$A$5:$P$100,12,FALSE),0)))</f>
        <v>0.30000000000000004</v>
      </c>
      <c r="U56" s="58">
        <f>MAX(-10,MIN(0.8,IFERROR(INDEX(属性耐性マスタ!$B$5:$G$11,MATCH($C56,属性耐性マスタ!$A$5:$A$11,0),6),0)+IFERROR(VLOOKUP($AM56,個性タイプマスタ!$A$5:$P$100,12,FALSE),0)))</f>
        <v>0</v>
      </c>
      <c r="V56" s="59">
        <f>ROUND(設定!$B$19*IFERROR(VLOOKUP($AM56,個性タイプマスタ!$A$5:$P$100,13,FALSE),1),2)</f>
        <v>4</v>
      </c>
      <c r="W56" s="59">
        <v>9</v>
      </c>
      <c r="X56" s="59" t="str">
        <f>IFERROR(VLOOKUP($AM56,個性タイプマスタ!$A$5:$P$100,2,FALSE),"Ranged")</f>
        <v>Melee</v>
      </c>
      <c r="Y56" s="56">
        <f>IFERROR(VLOOKUP($AM56,個性タイプマスタ!$A$5:$P$100,3,FALSE),1)</f>
        <v>1.6</v>
      </c>
      <c r="Z56" s="56">
        <f>IFERROR(VLOOKUP($AM56,個性タイプマスタ!$A$5:$P$100,4,FALSE),1)</f>
        <v>1.55</v>
      </c>
      <c r="AA56" s="56">
        <f>IFERROR(VLOOKUP($AM56,個性タイプマスタ!$A$5:$P$100,5,FALSE),1)</f>
        <v>1.4</v>
      </c>
      <c r="AB56" s="56">
        <f>IFERROR(VLOOKUP($AM56,個性タイプマスタ!$A$5:$P$100,6,FALSE),1)</f>
        <v>0.82</v>
      </c>
      <c r="AC56" s="56">
        <f>IFERROR(VLOOKUP($AM56,個性タイプマスタ!$A$5:$P$100,7,FALSE),1)</f>
        <v>0.8</v>
      </c>
      <c r="AD56" s="56">
        <f>IFERROR(VLOOKUP($AM56,個性タイプマスタ!$A$5:$P$100,8,FALSE),1)</f>
        <v>0.88</v>
      </c>
      <c r="AE56" s="60">
        <f>IFERROR(D56/設定!$B$5,1)</f>
        <v>2.1436000000000002</v>
      </c>
      <c r="AF56" s="60">
        <f>1+設定!$B$13*((I56/設定!$B$8+J56/設定!$B$9)/(2*AE56))</f>
        <v>1.4460953536107481</v>
      </c>
      <c r="AG56" s="60">
        <f>MAX(0.7,1+設定!$B$14*(O56/IF(X56="Melee",1.5,2.5)-1))</f>
        <v>0.97599999999999998</v>
      </c>
      <c r="AH56" s="53">
        <f t="shared" si="1"/>
        <v>21.141253119999998</v>
      </c>
      <c r="AI56" s="53">
        <f>E56*AF56*(1+設定!$B$18*AVERAGE(P56:U56))</f>
        <v>522.05126836863212</v>
      </c>
      <c r="AJ56" s="61">
        <f>設定!$B$5*SQRT((AH56/(設定!$B$7*設定!$B$10*(1+設定!$B$11*(設定!$B$12-1))))*(AI56/(設定!$B$6*(1+設定!$B$13))))</f>
        <v>214.51224063175496</v>
      </c>
      <c r="AK56" s="62">
        <f t="shared" si="2"/>
        <v>7.1021007536353764E-4</v>
      </c>
      <c r="AL56" s="63">
        <f t="shared" si="3"/>
        <v>188.63680000000002</v>
      </c>
      <c r="AM56" s="64" t="s">
        <v>904</v>
      </c>
      <c r="AN56" s="54">
        <f>MAX(1,ROUND((設定!$B$7*設定!$B$10*(1+設定!$B$11*(設定!$B$12-1)))*AE56^2*(設定!$B$6*(1+設定!$B$13))/(AI56*N56*(1+K56*(L56-1))*AG56),0))</f>
        <v>26</v>
      </c>
      <c r="AO56" s="65" t="str">
        <f>IF($A56="","",IF(COUNTIF(個性タイプマスタ!$A$5:$A$100,$AM56)&gt;0,"OK","未登録"))</f>
        <v>OK</v>
      </c>
      <c r="AP56" s="67" t="str">
        <f>IF($A56="","",IF(COUNTIF(属性耐性マスタ!$A$5:$A$11,$C56)&gt;0,"OK","未登録"))</f>
        <v>OK</v>
      </c>
    </row>
    <row r="57" spans="1:42">
      <c r="A57" s="66" t="s">
        <v>214</v>
      </c>
      <c r="B57" s="51" t="s">
        <v>215</v>
      </c>
      <c r="C57" s="109" t="s">
        <v>121</v>
      </c>
      <c r="D57" s="53">
        <f>ROUND(設定!$B$5*POWER($D$2,W57-1),2)</f>
        <v>214.36</v>
      </c>
      <c r="E57" s="54">
        <f>MAX(1,ROUND(設定!$B$6*AE57*Y57,0))</f>
        <v>315</v>
      </c>
      <c r="F57" s="54">
        <f>MAX(0,ROUND(設定!$B$7*AE57*設定!$B$15*IF(X57="Melee",0.6,1.35)*IFERROR(VLOOKUP($AM57,個性タイプマスタ!$A$5:$P$100,14,FALSE),1),0))</f>
        <v>14</v>
      </c>
      <c r="G57" s="54">
        <f>IF(X57="Melee",AN57,MAX(1,ROUND(AN57*設定!$B$16*IFERROR(VLOOKUP($AM57,個性タイプマスタ!$A$5:$P$100,15,FALSE),1),0)))</f>
        <v>29</v>
      </c>
      <c r="H57" s="54">
        <f>IF(X57="Ranged",AN57,MAX(1,ROUND(AN57*設定!$B$16*IFERROR(VLOOKUP($AM57,個性タイプマスタ!$A$5:$P$100,15,FALSE),1),0)))</f>
        <v>10</v>
      </c>
      <c r="I57" s="54">
        <f>MAX(0,ROUND(設定!$B$8*AE57*Z57,0))</f>
        <v>16</v>
      </c>
      <c r="J57" s="54">
        <f>MAX(0,ROUND(設定!$B$9*AE57*AA57,0))</f>
        <v>38</v>
      </c>
      <c r="K57" s="55">
        <f>IFERROR(VLOOKUP($AM57,個性タイプマスタ!$A$5:$P$100,9,FALSE),0.05)</f>
        <v>0.05</v>
      </c>
      <c r="L57" s="56">
        <f>IFERROR(VLOOKUP($AM57,個性タイプマスタ!$A$5:$P$100,10,FALSE),1.5)</f>
        <v>1.5</v>
      </c>
      <c r="M57" s="56">
        <f>IFERROR(VLOOKUP($AM57,個性タイプマスタ!$A$5:$P$100,11,FALSE),2)</f>
        <v>2.0499999999999998</v>
      </c>
      <c r="N57" s="57">
        <f>MAX(0.1,ROUND(設定!$B$10*AB57,3))</f>
        <v>0.79</v>
      </c>
      <c r="O57" s="57">
        <f t="shared" si="0"/>
        <v>1.26</v>
      </c>
      <c r="P57" s="58">
        <f>MAX(-10,MIN(0.8,IFERROR(INDEX(属性耐性マスタ!$B$5:$G$11,MATCH($C57,属性耐性マスタ!$A$5:$A$11,0),1),0)+IFERROR(VLOOKUP($AM57,個性タイプマスタ!$A$5:$P$100,12,FALSE),0)))</f>
        <v>7.0000000000000007E-2</v>
      </c>
      <c r="Q57" s="58">
        <f>MAX(-10,MIN(0.8,IFERROR(INDEX(属性耐性マスタ!$B$5:$G$11,MATCH($C57,属性耐性マスタ!$A$5:$A$11,0),2),0)+IFERROR(VLOOKUP($AM57,個性タイプマスタ!$A$5:$P$100,12,FALSE),0)))</f>
        <v>7.0000000000000007E-2</v>
      </c>
      <c r="R57" s="58">
        <f>MAX(-10,MIN(0.8,IFERROR(INDEX(属性耐性マスタ!$B$5:$G$11,MATCH($C57,属性耐性マスタ!$A$5:$A$11,0),3),0)+IFERROR(VLOOKUP($AM57,個性タイプマスタ!$A$5:$P$100,12,FALSE),0)))</f>
        <v>7.0000000000000007E-2</v>
      </c>
      <c r="S57" s="58">
        <f>MAX(-10,MIN(0.8,IFERROR(INDEX(属性耐性マスタ!$B$5:$G$11,MATCH($C57,属性耐性マスタ!$A$5:$A$11,0),4),0)+IFERROR(VLOOKUP($AM57,個性タイプマスタ!$A$5:$P$100,12,FALSE),0)))</f>
        <v>7.0000000000000007E-2</v>
      </c>
      <c r="T57" s="58">
        <f>MAX(-10,MIN(0.8,IFERROR(INDEX(属性耐性マスタ!$B$5:$G$11,MATCH($C57,属性耐性マスタ!$A$5:$A$11,0),5),0)+IFERROR(VLOOKUP($AM57,個性タイプマスタ!$A$5:$P$100,12,FALSE),0)))</f>
        <v>0.27</v>
      </c>
      <c r="U57" s="58">
        <f>MAX(-10,MIN(0.8,IFERROR(INDEX(属性耐性マスタ!$B$5:$G$11,MATCH($C57,属性耐性マスタ!$A$5:$A$11,0),6),0)+IFERROR(VLOOKUP($AM57,個性タイプマスタ!$A$5:$P$100,12,FALSE),0)))</f>
        <v>-0.03</v>
      </c>
      <c r="V57" s="59">
        <f>ROUND(設定!$B$19*IFERROR(VLOOKUP($AM57,個性タイプマスタ!$A$5:$P$100,13,FALSE),1),2)</f>
        <v>4</v>
      </c>
      <c r="W57" s="59">
        <v>9</v>
      </c>
      <c r="X57" s="59" t="str">
        <f>IFERROR(VLOOKUP($AM57,個性タイプマスタ!$A$5:$P$100,2,FALSE),"Ranged")</f>
        <v>Melee</v>
      </c>
      <c r="Y57" s="56">
        <f>IFERROR(VLOOKUP($AM57,個性タイプマスタ!$A$5:$P$100,3,FALSE),1)</f>
        <v>1.47</v>
      </c>
      <c r="Z57" s="56">
        <f>IFERROR(VLOOKUP($AM57,個性タイプマスタ!$A$5:$P$100,4,FALSE),1)</f>
        <v>0.92</v>
      </c>
      <c r="AA57" s="56">
        <f>IFERROR(VLOOKUP($AM57,個性タイプマスタ!$A$5:$P$100,5,FALSE),1)</f>
        <v>2.2000000000000002</v>
      </c>
      <c r="AB57" s="56">
        <f>IFERROR(VLOOKUP($AM57,個性タイプマスタ!$A$5:$P$100,6,FALSE),1)</f>
        <v>0.79</v>
      </c>
      <c r="AC57" s="56">
        <f>IFERROR(VLOOKUP($AM57,個性タイプマスタ!$A$5:$P$100,7,FALSE),1)</f>
        <v>0.84</v>
      </c>
      <c r="AD57" s="56">
        <f>IFERROR(VLOOKUP($AM57,個性タイプマスタ!$A$5:$P$100,8,FALSE),1)</f>
        <v>0.86</v>
      </c>
      <c r="AE57" s="60">
        <f>IFERROR(D57/設定!$B$5,1)</f>
        <v>2.1436000000000002</v>
      </c>
      <c r="AF57" s="60">
        <f>1+設定!$B$13*((I57/設定!$B$8+J57/設定!$B$9)/(2*AE57))</f>
        <v>1.4723362567643217</v>
      </c>
      <c r="AG57" s="60">
        <f>MAX(0.7,1+設定!$B$14*(O57/IF(X57="Melee",1.5,2.5)-1))</f>
        <v>0.98080000000000001</v>
      </c>
      <c r="AH57" s="53">
        <f t="shared" si="1"/>
        <v>23.031881200000001</v>
      </c>
      <c r="AI57" s="53">
        <f>E57*AF57*(1+設定!$B$18*AVERAGE(P57:U57))</f>
        <v>481.87357179511099</v>
      </c>
      <c r="AJ57" s="61">
        <f>設定!$B$5*SQRT((AH57/(設定!$B$7*設定!$B$10*(1+設定!$B$11*(設定!$B$12-1))))*(AI57/(設定!$B$6*(1+設定!$B$13))))</f>
        <v>215.11039541106126</v>
      </c>
      <c r="AK57" s="62">
        <f t="shared" si="2"/>
        <v>3.5006316992967079E-3</v>
      </c>
      <c r="AL57" s="63">
        <f t="shared" si="3"/>
        <v>184.34960000000001</v>
      </c>
      <c r="AM57" s="64" t="s">
        <v>954</v>
      </c>
      <c r="AN57" s="54">
        <f>MAX(1,ROUND((設定!$B$7*設定!$B$10*(1+設定!$B$11*(設定!$B$12-1)))*AE57^2*(設定!$B$6*(1+設定!$B$13))/(AI57*N57*(1+K57*(L57-1))*AG57),0))</f>
        <v>29</v>
      </c>
      <c r="AO57" s="65" t="str">
        <f>IF($A57="","",IF(COUNTIF(個性タイプマスタ!$A$5:$A$100,$AM57)&gt;0,"OK","未登録"))</f>
        <v>OK</v>
      </c>
      <c r="AP57" s="67" t="str">
        <f>IF($A57="","",IF(COUNTIF(属性耐性マスタ!$A$5:$A$11,$C57)&gt;0,"OK","未登録"))</f>
        <v>OK</v>
      </c>
    </row>
    <row r="58" spans="1:42">
      <c r="A58" s="66" t="s">
        <v>216</v>
      </c>
      <c r="B58" s="51" t="s">
        <v>217</v>
      </c>
      <c r="C58" s="109" t="s">
        <v>871</v>
      </c>
      <c r="D58" s="53">
        <f>ROUND(設定!$B$5*POWER($D$2,W58-1),2)</f>
        <v>214.36</v>
      </c>
      <c r="E58" s="54">
        <f>MAX(1,ROUND(設定!$B$6*AE58*Y58,0))</f>
        <v>214</v>
      </c>
      <c r="F58" s="54">
        <f>MAX(0,ROUND(設定!$B$7*AE58*設定!$B$15*IF(X58="Melee",0.6,1.35)*IFERROR(VLOOKUP($AM58,個性タイプマスタ!$A$5:$P$100,14,FALSE),1),0))</f>
        <v>38</v>
      </c>
      <c r="G58" s="54">
        <f>IF(X58="Melee",AN58,MAX(1,ROUND(AN58*設定!$B$16*IFERROR(VLOOKUP($AM58,個性タイプマスタ!$A$5:$P$100,15,FALSE),1),0)))</f>
        <v>12</v>
      </c>
      <c r="H58" s="54">
        <f>IF(X58="Ranged",AN58,MAX(1,ROUND(AN58*設定!$B$16*IFERROR(VLOOKUP($AM58,個性タイプマスタ!$A$5:$P$100,15,FALSE),1),0)))</f>
        <v>39</v>
      </c>
      <c r="I58" s="54">
        <f>MAX(0,ROUND(設定!$B$8*AE58*Z58,0))</f>
        <v>16</v>
      </c>
      <c r="J58" s="54">
        <f>MAX(0,ROUND(設定!$B$9*AE58*AA58,0))</f>
        <v>17</v>
      </c>
      <c r="K58" s="55">
        <f>IFERROR(VLOOKUP($AM58,個性タイプマスタ!$A$5:$P$100,9,FALSE),0.05)</f>
        <v>4.4999999999999998E-2</v>
      </c>
      <c r="L58" s="56">
        <f>IFERROR(VLOOKUP($AM58,個性タイプマスタ!$A$5:$P$100,10,FALSE),1.5)</f>
        <v>1.4</v>
      </c>
      <c r="M58" s="56">
        <f>IFERROR(VLOOKUP($AM58,個性タイプマスタ!$A$5:$P$100,11,FALSE),2)</f>
        <v>2.0499999999999998</v>
      </c>
      <c r="N58" s="57">
        <f>MAX(0.1,ROUND(設定!$B$10*AB58,3))</f>
        <v>0.92</v>
      </c>
      <c r="O58" s="57">
        <f t="shared" si="0"/>
        <v>2.6749999999999998</v>
      </c>
      <c r="P58" s="58">
        <f>MAX(-10,MIN(0.8,IFERROR(INDEX(属性耐性マスタ!$B$5:$G$11,MATCH($C58,属性耐性マスタ!$A$5:$A$11,0),1),0)+IFERROR(VLOOKUP($AM58,個性タイプマスタ!$A$5:$P$100,12,FALSE),0)))</f>
        <v>0.19</v>
      </c>
      <c r="Q58" s="58">
        <f>MAX(-10,MIN(0.8,IFERROR(INDEX(属性耐性マスタ!$B$5:$G$11,MATCH($C58,属性耐性マスタ!$A$5:$A$11,0),2),0)+IFERROR(VLOOKUP($AM58,個性タイプマスタ!$A$5:$P$100,12,FALSE),0)))</f>
        <v>0.19</v>
      </c>
      <c r="R58" s="58">
        <f>MAX(-10,MIN(0.8,IFERROR(INDEX(属性耐性マスタ!$B$5:$G$11,MATCH($C58,属性耐性マスタ!$A$5:$A$11,0),3),0)+IFERROR(VLOOKUP($AM58,個性タイプマスタ!$A$5:$P$100,12,FALSE),0)))</f>
        <v>0.09</v>
      </c>
      <c r="S58" s="58">
        <f>MAX(-10,MIN(0.8,IFERROR(INDEX(属性耐性マスタ!$B$5:$G$11,MATCH($C58,属性耐性マスタ!$A$5:$A$11,0),4),0)+IFERROR(VLOOKUP($AM58,個性タイプマスタ!$A$5:$P$100,12,FALSE),0)))</f>
        <v>0.39</v>
      </c>
      <c r="T58" s="58">
        <f>MAX(-10,MIN(0.8,IFERROR(INDEX(属性耐性マスタ!$B$5:$G$11,MATCH($C58,属性耐性マスタ!$A$5:$A$11,0),5),0)+IFERROR(VLOOKUP($AM58,個性タイプマスタ!$A$5:$P$100,12,FALSE),0)))</f>
        <v>0.19</v>
      </c>
      <c r="U58" s="58">
        <f>MAX(-10,MIN(0.8,IFERROR(INDEX(属性耐性マスタ!$B$5:$G$11,MATCH($C58,属性耐性マスタ!$A$5:$A$11,0),6),0)+IFERROR(VLOOKUP($AM58,個性タイプマスタ!$A$5:$P$100,12,FALSE),0)))</f>
        <v>0.19</v>
      </c>
      <c r="V58" s="59">
        <f>ROUND(設定!$B$19*IFERROR(VLOOKUP($AM58,個性タイプマスタ!$A$5:$P$100,13,FALSE),1),2)</f>
        <v>4</v>
      </c>
      <c r="W58" s="59">
        <v>9</v>
      </c>
      <c r="X58" s="59" t="str">
        <f>IFERROR(VLOOKUP($AM58,個性タイプマスタ!$A$5:$P$100,2,FALSE),"Ranged")</f>
        <v>Ranged</v>
      </c>
      <c r="Y58" s="56">
        <f>IFERROR(VLOOKUP($AM58,個性タイプマスタ!$A$5:$P$100,3,FALSE),1)</f>
        <v>1</v>
      </c>
      <c r="Z58" s="56">
        <f>IFERROR(VLOOKUP($AM58,個性タイプマスタ!$A$5:$P$100,4,FALSE),1)</f>
        <v>0.96</v>
      </c>
      <c r="AA58" s="56">
        <f>IFERROR(VLOOKUP($AM58,個性タイプマスタ!$A$5:$P$100,5,FALSE),1)</f>
        <v>1.02</v>
      </c>
      <c r="AB58" s="56">
        <f>IFERROR(VLOOKUP($AM58,個性タイプマスタ!$A$5:$P$100,6,FALSE),1)</f>
        <v>0.92</v>
      </c>
      <c r="AC58" s="56">
        <f>IFERROR(VLOOKUP($AM58,個性タイプマスタ!$A$5:$P$100,7,FALSE),1)</f>
        <v>1.07</v>
      </c>
      <c r="AD58" s="56">
        <f>IFERROR(VLOOKUP($AM58,個性タイプマスタ!$A$5:$P$100,8,FALSE),1)</f>
        <v>0.85</v>
      </c>
      <c r="AE58" s="60">
        <f>IFERROR(D58/設定!$B$5,1)</f>
        <v>2.1436000000000002</v>
      </c>
      <c r="AF58" s="60">
        <f>1+設定!$B$13*((I58/設定!$B$8+J58/設定!$B$9)/(2*AE58))</f>
        <v>1.2886499346893077</v>
      </c>
      <c r="AG58" s="60">
        <f>MAX(0.7,1+設定!$B$14*(O58/IF(X58="Melee",1.5,2.5)-1))</f>
        <v>1.0084</v>
      </c>
      <c r="AH58" s="53">
        <f t="shared" si="1"/>
        <v>36.832657056000002</v>
      </c>
      <c r="AI58" s="53">
        <f>E58*AF58*(1+設定!$B$18*AVERAGE(P58:U58))</f>
        <v>301.41779702369843</v>
      </c>
      <c r="AJ58" s="61">
        <f>設定!$B$5*SQRT((AH58/(設定!$B$7*設定!$B$10*(1+設定!$B$11*(設定!$B$12-1))))*(AI58/(設定!$B$6*(1+設定!$B$13))))</f>
        <v>215.14492643772601</v>
      </c>
      <c r="AK58" s="62">
        <f t="shared" si="2"/>
        <v>3.661720646230604E-3</v>
      </c>
      <c r="AL58" s="63">
        <f t="shared" si="3"/>
        <v>182.20600000000002</v>
      </c>
      <c r="AM58" s="64" t="s">
        <v>930</v>
      </c>
      <c r="AN58" s="54">
        <f>MAX(1,ROUND((設定!$B$7*設定!$B$10*(1+設定!$B$11*(設定!$B$12-1)))*AE58^2*(設定!$B$6*(1+設定!$B$13))/(AI58*N58*(1+K58*(L58-1))*AG58),0))</f>
        <v>39</v>
      </c>
      <c r="AO58" s="65" t="str">
        <f>IF($A58="","",IF(COUNTIF(個性タイプマスタ!$A$5:$A$100,$AM58)&gt;0,"OK","未登録"))</f>
        <v>OK</v>
      </c>
      <c r="AP58" s="67" t="str">
        <f>IF($A58="","",IF(COUNTIF(属性耐性マスタ!$A$5:$A$11,$C58)&gt;0,"OK","未登録"))</f>
        <v>OK</v>
      </c>
    </row>
    <row r="59" spans="1:42">
      <c r="A59" s="66" t="s">
        <v>218</v>
      </c>
      <c r="B59" s="51" t="s">
        <v>219</v>
      </c>
      <c r="C59" s="109" t="s">
        <v>111</v>
      </c>
      <c r="D59" s="53">
        <f>ROUND(設定!$B$5*POWER($D$2,W59-1),2)</f>
        <v>235.79</v>
      </c>
      <c r="E59" s="54">
        <f>MAX(1,ROUND(設定!$B$6*AE59*Y59,0))</f>
        <v>172</v>
      </c>
      <c r="F59" s="54">
        <f>MAX(0,ROUND(設定!$B$7*AE59*設定!$B$15*IF(X59="Melee",0.6,1.35)*IFERROR(VLOOKUP($AM59,個性タイプマスタ!$A$5:$P$100,14,FALSE),1),0))</f>
        <v>41</v>
      </c>
      <c r="G59" s="54">
        <f>IF(X59="Melee",AN59,MAX(1,ROUND(AN59*設定!$B$16*IFERROR(VLOOKUP($AM59,個性タイプマスタ!$A$5:$P$100,15,FALSE),1),0)))</f>
        <v>13</v>
      </c>
      <c r="H59" s="54">
        <f>IF(X59="Ranged",AN59,MAX(1,ROUND(AN59*設定!$B$16*IFERROR(VLOOKUP($AM59,個性タイプマスタ!$A$5:$P$100,15,FALSE),1),0)))</f>
        <v>53</v>
      </c>
      <c r="I59" s="54">
        <f>MAX(0,ROUND(設定!$B$8*AE59*Z59,0))</f>
        <v>15</v>
      </c>
      <c r="J59" s="54">
        <f>MAX(0,ROUND(設定!$B$9*AE59*AA59,0))</f>
        <v>16</v>
      </c>
      <c r="K59" s="55">
        <f>IFERROR(VLOOKUP($AM59,個性タイプマスタ!$A$5:$P$100,9,FALSE),0.05)</f>
        <v>0.26</v>
      </c>
      <c r="L59" s="56">
        <f>IFERROR(VLOOKUP($AM59,個性タイプマスタ!$A$5:$P$100,10,FALSE),1.5)</f>
        <v>1.95</v>
      </c>
      <c r="M59" s="56">
        <f>IFERROR(VLOOKUP($AM59,個性タイプマスタ!$A$5:$P$100,11,FALSE),2)</f>
        <v>2.75</v>
      </c>
      <c r="N59" s="57">
        <f>MAX(0.1,ROUND(設定!$B$10*AB59,3))</f>
        <v>0.95</v>
      </c>
      <c r="O59" s="57">
        <f t="shared" si="0"/>
        <v>2.8</v>
      </c>
      <c r="P59" s="58">
        <f>MAX(-10,MIN(0.8,IFERROR(INDEX(属性耐性マスタ!$B$5:$G$11,MATCH($C59,属性耐性マスタ!$A$5:$A$11,0),1),0)+IFERROR(VLOOKUP($AM59,個性タイプマスタ!$A$5:$P$100,12,FALSE),0)))</f>
        <v>0.15000000000000002</v>
      </c>
      <c r="Q59" s="58">
        <f>MAX(-10,MIN(0.8,IFERROR(INDEX(属性耐性マスタ!$B$5:$G$11,MATCH($C59,属性耐性マスタ!$A$5:$A$11,0),2),0)+IFERROR(VLOOKUP($AM59,個性タイプマスタ!$A$5:$P$100,12,FALSE),0)))</f>
        <v>-0.15000000000000002</v>
      </c>
      <c r="R59" s="58">
        <f>MAX(-10,MIN(0.8,IFERROR(INDEX(属性耐性マスタ!$B$5:$G$11,MATCH($C59,属性耐性マスタ!$A$5:$A$11,0),3),0)+IFERROR(VLOOKUP($AM59,個性タイプマスタ!$A$5:$P$100,12,FALSE),0)))</f>
        <v>-0.05</v>
      </c>
      <c r="S59" s="58">
        <f>MAX(-10,MIN(0.8,IFERROR(INDEX(属性耐性マスタ!$B$5:$G$11,MATCH($C59,属性耐性マスタ!$A$5:$A$11,0),4),0)+IFERROR(VLOOKUP($AM59,個性タイプマスタ!$A$5:$P$100,12,FALSE),0)))</f>
        <v>-0.05</v>
      </c>
      <c r="T59" s="58">
        <f>MAX(-10,MIN(0.8,IFERROR(INDEX(属性耐性マスタ!$B$5:$G$11,MATCH($C59,属性耐性マスタ!$A$5:$A$11,0),5),0)+IFERROR(VLOOKUP($AM59,個性タイプマスタ!$A$5:$P$100,12,FALSE),0)))</f>
        <v>-0.05</v>
      </c>
      <c r="U59" s="58">
        <f>MAX(-10,MIN(0.8,IFERROR(INDEX(属性耐性マスタ!$B$5:$G$11,MATCH($C59,属性耐性マスタ!$A$5:$A$11,0),6),0)+IFERROR(VLOOKUP($AM59,個性タイプマスタ!$A$5:$P$100,12,FALSE),0)))</f>
        <v>-0.05</v>
      </c>
      <c r="V59" s="59">
        <f>ROUND(設定!$B$19*IFERROR(VLOOKUP($AM59,個性タイプマスタ!$A$5:$P$100,13,FALSE),1),2)</f>
        <v>4.4000000000000004</v>
      </c>
      <c r="W59" s="59">
        <v>10</v>
      </c>
      <c r="X59" s="59" t="str">
        <f>IFERROR(VLOOKUP($AM59,個性タイプマスタ!$A$5:$P$100,2,FALSE),"Ranged")</f>
        <v>Ranged</v>
      </c>
      <c r="Y59" s="56">
        <f>IFERROR(VLOOKUP($AM59,個性タイプマスタ!$A$5:$P$100,3,FALSE),1)</f>
        <v>0.73</v>
      </c>
      <c r="Z59" s="56">
        <f>IFERROR(VLOOKUP($AM59,個性タイプマスタ!$A$5:$P$100,4,FALSE),1)</f>
        <v>0.77</v>
      </c>
      <c r="AA59" s="56">
        <f>IFERROR(VLOOKUP($AM59,個性タイプマスタ!$A$5:$P$100,5,FALSE),1)</f>
        <v>0.85</v>
      </c>
      <c r="AB59" s="56">
        <f>IFERROR(VLOOKUP($AM59,個性タイプマスタ!$A$5:$P$100,6,FALSE),1)</f>
        <v>0.95</v>
      </c>
      <c r="AC59" s="56">
        <f>IFERROR(VLOOKUP($AM59,個性タイプマスタ!$A$5:$P$100,7,FALSE),1)</f>
        <v>1.1200000000000001</v>
      </c>
      <c r="AD59" s="56">
        <f>IFERROR(VLOOKUP($AM59,個性タイプマスタ!$A$5:$P$100,8,FALSE),1)</f>
        <v>0.66</v>
      </c>
      <c r="AE59" s="60">
        <f>IFERROR(D59/設定!$B$5,1)</f>
        <v>2.3578999999999999</v>
      </c>
      <c r="AF59" s="60">
        <f>1+設定!$B$13*((I59/設定!$B$8+J59/設定!$B$9)/(2*AE59))</f>
        <v>1.2465117265363248</v>
      </c>
      <c r="AG59" s="60">
        <f>MAX(0.7,1+設定!$B$14*(O59/IF(X59="Melee",1.5,2.5)-1))</f>
        <v>1.0144</v>
      </c>
      <c r="AH59" s="53">
        <f t="shared" si="1"/>
        <v>63.690574879999986</v>
      </c>
      <c r="AI59" s="53">
        <f>E59*AF59*(1+設定!$B$18*AVERAGE(P59:U59))</f>
        <v>211.18401670978415</v>
      </c>
      <c r="AJ59" s="61">
        <f>設定!$B$5*SQRT((AH59/(設定!$B$7*設定!$B$10*(1+設定!$B$11*(設定!$B$12-1))))*(AI59/(設定!$B$6*(1+設定!$B$13))))</f>
        <v>236.80902297278385</v>
      </c>
      <c r="AK59" s="62">
        <f t="shared" si="2"/>
        <v>4.3217395681913739E-3</v>
      </c>
      <c r="AL59" s="63">
        <f t="shared" si="3"/>
        <v>155.62139999999999</v>
      </c>
      <c r="AM59" s="64" t="s">
        <v>922</v>
      </c>
      <c r="AN59" s="54">
        <f>MAX(1,ROUND((設定!$B$7*設定!$B$10*(1+設定!$B$11*(設定!$B$12-1)))*AE59^2*(設定!$B$6*(1+設定!$B$13))/(AI59*N59*(1+K59*(L59-1))*AG59),0))</f>
        <v>53</v>
      </c>
      <c r="AO59" s="65" t="str">
        <f>IF($A59="","",IF(COUNTIF(個性タイプマスタ!$A$5:$A$100,$AM59)&gt;0,"OK","未登録"))</f>
        <v>OK</v>
      </c>
      <c r="AP59" s="67" t="str">
        <f>IF($A59="","",IF(COUNTIF(属性耐性マスタ!$A$5:$A$11,$C59)&gt;0,"OK","未登録"))</f>
        <v>OK</v>
      </c>
    </row>
    <row r="60" spans="1:42">
      <c r="A60" s="66" t="s">
        <v>220</v>
      </c>
      <c r="B60" s="51" t="s">
        <v>221</v>
      </c>
      <c r="C60" s="109" t="s">
        <v>871</v>
      </c>
      <c r="D60" s="53">
        <f>ROUND(設定!$B$5*POWER($D$2,W60-1),2)</f>
        <v>235.79</v>
      </c>
      <c r="E60" s="54">
        <f>MAX(1,ROUND(設定!$B$6*AE60*Y60,0))</f>
        <v>186</v>
      </c>
      <c r="F60" s="54">
        <f>MAX(0,ROUND(設定!$B$7*AE60*設定!$B$15*IF(X60="Melee",0.6,1.35)*IFERROR(VLOOKUP($AM60,個性タイプマスタ!$A$5:$P$100,14,FALSE),1),0))</f>
        <v>31</v>
      </c>
      <c r="G60" s="54">
        <f>IF(X60="Melee",AN60,MAX(1,ROUND(AN60*設定!$B$16*IFERROR(VLOOKUP($AM60,個性タイプマスタ!$A$5:$P$100,15,FALSE),1),0)))</f>
        <v>8</v>
      </c>
      <c r="H60" s="54">
        <f>IF(X60="Ranged",AN60,MAX(1,ROUND(AN60*設定!$B$16*IFERROR(VLOOKUP($AM60,個性タイプマスタ!$A$5:$P$100,15,FALSE),1),0)))</f>
        <v>34</v>
      </c>
      <c r="I60" s="54">
        <f>MAX(0,ROUND(設定!$B$8*AE60*Z60,0))</f>
        <v>16</v>
      </c>
      <c r="J60" s="54">
        <f>MAX(0,ROUND(設定!$B$9*AE60*AA60,0))</f>
        <v>15</v>
      </c>
      <c r="K60" s="55">
        <f>IFERROR(VLOOKUP($AM60,個性タイプマスタ!$A$5:$P$100,9,FALSE),0.05)</f>
        <v>6.5000000000000002E-2</v>
      </c>
      <c r="L60" s="56">
        <f>IFERROR(VLOOKUP($AM60,個性タイプマスタ!$A$5:$P$100,10,FALSE),1.5)</f>
        <v>1.45</v>
      </c>
      <c r="M60" s="56">
        <f>IFERROR(VLOOKUP($AM60,個性タイプマスタ!$A$5:$P$100,11,FALSE),2)</f>
        <v>4</v>
      </c>
      <c r="N60" s="57">
        <f>MAX(0.1,ROUND(設定!$B$10*AB60,3))</f>
        <v>1.72</v>
      </c>
      <c r="O60" s="57">
        <f t="shared" si="0"/>
        <v>1.9</v>
      </c>
      <c r="P60" s="58">
        <f>MAX(-10,MIN(0.8,IFERROR(INDEX(属性耐性マスタ!$B$5:$G$11,MATCH($C60,属性耐性マスタ!$A$5:$A$11,0),1),0)+IFERROR(VLOOKUP($AM60,個性タイプマスタ!$A$5:$P$100,12,FALSE),0)))</f>
        <v>-7.0000000000000007E-2</v>
      </c>
      <c r="Q60" s="58">
        <f>MAX(-10,MIN(0.8,IFERROR(INDEX(属性耐性マスタ!$B$5:$G$11,MATCH($C60,属性耐性マスタ!$A$5:$A$11,0),2),0)+IFERROR(VLOOKUP($AM60,個性タイプマスタ!$A$5:$P$100,12,FALSE),0)))</f>
        <v>-7.0000000000000007E-2</v>
      </c>
      <c r="R60" s="58">
        <f>MAX(-10,MIN(0.8,IFERROR(INDEX(属性耐性マスタ!$B$5:$G$11,MATCH($C60,属性耐性マスタ!$A$5:$A$11,0),3),0)+IFERROR(VLOOKUP($AM60,個性タイプマスタ!$A$5:$P$100,12,FALSE),0)))</f>
        <v>-0.17</v>
      </c>
      <c r="S60" s="58">
        <f>MAX(-10,MIN(0.8,IFERROR(INDEX(属性耐性マスタ!$B$5:$G$11,MATCH($C60,属性耐性マスタ!$A$5:$A$11,0),4),0)+IFERROR(VLOOKUP($AM60,個性タイプマスタ!$A$5:$P$100,12,FALSE),0)))</f>
        <v>0.13</v>
      </c>
      <c r="T60" s="58">
        <f>MAX(-10,MIN(0.8,IFERROR(INDEX(属性耐性マスタ!$B$5:$G$11,MATCH($C60,属性耐性マスタ!$A$5:$A$11,0),5),0)+IFERROR(VLOOKUP($AM60,個性タイプマスタ!$A$5:$P$100,12,FALSE),0)))</f>
        <v>-7.0000000000000007E-2</v>
      </c>
      <c r="U60" s="58">
        <f>MAX(-10,MIN(0.8,IFERROR(INDEX(属性耐性マスタ!$B$5:$G$11,MATCH($C60,属性耐性マスタ!$A$5:$A$11,0),6),0)+IFERROR(VLOOKUP($AM60,個性タイプマスタ!$A$5:$P$100,12,FALSE),0)))</f>
        <v>-7.0000000000000007E-2</v>
      </c>
      <c r="V60" s="59">
        <f>ROUND(設定!$B$19*IFERROR(VLOOKUP($AM60,個性タイプマスタ!$A$5:$P$100,13,FALSE),1),2)</f>
        <v>5.4</v>
      </c>
      <c r="W60" s="59">
        <v>10</v>
      </c>
      <c r="X60" s="59" t="str">
        <f>IFERROR(VLOOKUP($AM60,個性タイプマスタ!$A$5:$P$100,2,FALSE),"Ranged")</f>
        <v>Ranged</v>
      </c>
      <c r="Y60" s="56">
        <f>IFERROR(VLOOKUP($AM60,個性タイプマスタ!$A$5:$P$100,3,FALSE),1)</f>
        <v>0.79</v>
      </c>
      <c r="Z60" s="56">
        <f>IFERROR(VLOOKUP($AM60,個性タイプマスタ!$A$5:$P$100,4,FALSE),1)</f>
        <v>0.85</v>
      </c>
      <c r="AA60" s="56">
        <f>IFERROR(VLOOKUP($AM60,個性タイプマスタ!$A$5:$P$100,5,FALSE),1)</f>
        <v>0.81</v>
      </c>
      <c r="AB60" s="56">
        <f>IFERROR(VLOOKUP($AM60,個性タイプマスタ!$A$5:$P$100,6,FALSE),1)</f>
        <v>1.72</v>
      </c>
      <c r="AC60" s="56">
        <f>IFERROR(VLOOKUP($AM60,個性タイプマスタ!$A$5:$P$100,7,FALSE),1)</f>
        <v>0.76</v>
      </c>
      <c r="AD60" s="56">
        <f>IFERROR(VLOOKUP($AM60,個性タイプマスタ!$A$5:$P$100,8,FALSE),1)</f>
        <v>0.63</v>
      </c>
      <c r="AE60" s="60">
        <f>IFERROR(D60/設定!$B$5,1)</f>
        <v>2.3578999999999999</v>
      </c>
      <c r="AF60" s="60">
        <f>1+設定!$B$13*((I60/設定!$B$8+J60/設定!$B$9)/(2*AE60))</f>
        <v>1.2465117265363248</v>
      </c>
      <c r="AG60" s="60">
        <f>MAX(0.7,1+設定!$B$14*(O60/IF(X60="Melee",1.5,2.5)-1))</f>
        <v>0.97119999999999995</v>
      </c>
      <c r="AH60" s="53">
        <f t="shared" si="1"/>
        <v>58.457052447999999</v>
      </c>
      <c r="AI60" s="53">
        <f>E60*AF60*(1+設定!$B$18*AVERAGE(P60:U60))</f>
        <v>226.28675278849823</v>
      </c>
      <c r="AJ60" s="61">
        <f>設定!$B$5*SQRT((AH60/(設定!$B$7*設定!$B$10*(1+設定!$B$11*(設定!$B$12-1))))*(AI60/(設定!$B$6*(1+設定!$B$13))))</f>
        <v>234.84329244773349</v>
      </c>
      <c r="AK60" s="62">
        <f t="shared" si="2"/>
        <v>-4.0150453889753468E-3</v>
      </c>
      <c r="AL60" s="63">
        <f t="shared" si="3"/>
        <v>148.54769999999999</v>
      </c>
      <c r="AM60" s="64" t="s">
        <v>936</v>
      </c>
      <c r="AN60" s="54">
        <f>MAX(1,ROUND((設定!$B$7*設定!$B$10*(1+設定!$B$11*(設定!$B$12-1)))*AE60^2*(設定!$B$6*(1+設定!$B$13))/(AI60*N60*(1+K60*(L60-1))*AG60),0))</f>
        <v>34</v>
      </c>
      <c r="AO60" s="65" t="str">
        <f>IF($A60="","",IF(COUNTIF(個性タイプマスタ!$A$5:$A$100,$AM60)&gt;0,"OK","未登録"))</f>
        <v>OK</v>
      </c>
      <c r="AP60" s="67" t="str">
        <f>IF($A60="","",IF(COUNTIF(属性耐性マスタ!$A$5:$A$11,$C60)&gt;0,"OK","未登録"))</f>
        <v>OK</v>
      </c>
    </row>
    <row r="61" spans="1:42">
      <c r="A61" s="66" t="s">
        <v>222</v>
      </c>
      <c r="B61" s="51" t="s">
        <v>223</v>
      </c>
      <c r="C61" s="109" t="s">
        <v>871</v>
      </c>
      <c r="D61" s="53">
        <f>ROUND(設定!$B$5*POWER($D$2,W61-1),2)</f>
        <v>235.79</v>
      </c>
      <c r="E61" s="54">
        <f>MAX(1,ROUND(設定!$B$6*AE61*Y61,0))</f>
        <v>283</v>
      </c>
      <c r="F61" s="54">
        <f>MAX(0,ROUND(設定!$B$7*AE61*設定!$B$15*IF(X61="Melee",0.6,1.35)*IFERROR(VLOOKUP($AM61,個性タイプマスタ!$A$5:$P$100,14,FALSE),1),0))</f>
        <v>34</v>
      </c>
      <c r="G61" s="54">
        <f>IF(X61="Melee",AN61,MAX(1,ROUND(AN61*設定!$B$16*IFERROR(VLOOKUP($AM61,個性タイプマスタ!$A$5:$P$100,15,FALSE),1),0)))</f>
        <v>15</v>
      </c>
      <c r="H61" s="54">
        <f>IF(X61="Ranged",AN61,MAX(1,ROUND(AN61*設定!$B$16*IFERROR(VLOOKUP($AM61,個性タイプマスタ!$A$5:$P$100,15,FALSE),1),0)))</f>
        <v>33</v>
      </c>
      <c r="I61" s="54">
        <f>MAX(0,ROUND(設定!$B$8*AE61*Z61,0))</f>
        <v>25</v>
      </c>
      <c r="J61" s="54">
        <f>MAX(0,ROUND(設定!$B$9*AE61*AA61,0))</f>
        <v>16</v>
      </c>
      <c r="K61" s="55">
        <f>IFERROR(VLOOKUP($AM61,個性タイプマスタ!$A$5:$P$100,9,FALSE),0.05)</f>
        <v>0.08</v>
      </c>
      <c r="L61" s="56">
        <f>IFERROR(VLOOKUP($AM61,個性タイプマスタ!$A$5:$P$100,10,FALSE),1.5)</f>
        <v>1.6</v>
      </c>
      <c r="M61" s="56">
        <f>IFERROR(VLOOKUP($AM61,個性タイプマスタ!$A$5:$P$100,11,FALSE),2)</f>
        <v>2.8</v>
      </c>
      <c r="N61" s="57">
        <f>MAX(0.1,ROUND(設定!$B$10*AB61,3))</f>
        <v>1</v>
      </c>
      <c r="O61" s="57">
        <f t="shared" si="0"/>
        <v>2.5</v>
      </c>
      <c r="P61" s="58">
        <f>MAX(-10,MIN(0.8,IFERROR(INDEX(属性耐性マスタ!$B$5:$G$11,MATCH($C61,属性耐性マスタ!$A$5:$A$11,0),1),0)+IFERROR(VLOOKUP($AM61,個性タイプマスタ!$A$5:$P$100,12,FALSE),0)))</f>
        <v>1.4999999999999999E-2</v>
      </c>
      <c r="Q61" s="58">
        <f>MAX(-10,MIN(0.8,IFERROR(INDEX(属性耐性マスタ!$B$5:$G$11,MATCH($C61,属性耐性マスタ!$A$5:$A$11,0),2),0)+IFERROR(VLOOKUP($AM61,個性タイプマスタ!$A$5:$P$100,12,FALSE),0)))</f>
        <v>1.4999999999999999E-2</v>
      </c>
      <c r="R61" s="58">
        <f>MAX(-10,MIN(0.8,IFERROR(INDEX(属性耐性マスタ!$B$5:$G$11,MATCH($C61,属性耐性マスタ!$A$5:$A$11,0),3),0)+IFERROR(VLOOKUP($AM61,個性タイプマスタ!$A$5:$P$100,12,FALSE),0)))</f>
        <v>-8.5000000000000006E-2</v>
      </c>
      <c r="S61" s="58">
        <f>MAX(-10,MIN(0.8,IFERROR(INDEX(属性耐性マスタ!$B$5:$G$11,MATCH($C61,属性耐性マスタ!$A$5:$A$11,0),4),0)+IFERROR(VLOOKUP($AM61,個性タイプマスタ!$A$5:$P$100,12,FALSE),0)))</f>
        <v>0.21500000000000002</v>
      </c>
      <c r="T61" s="58">
        <f>MAX(-10,MIN(0.8,IFERROR(INDEX(属性耐性マスタ!$B$5:$G$11,MATCH($C61,属性耐性マスタ!$A$5:$A$11,0),5),0)+IFERROR(VLOOKUP($AM61,個性タイプマスタ!$A$5:$P$100,12,FALSE),0)))</f>
        <v>1.4999999999999999E-2</v>
      </c>
      <c r="U61" s="58">
        <f>MAX(-10,MIN(0.8,IFERROR(INDEX(属性耐性マスタ!$B$5:$G$11,MATCH($C61,属性耐性マスタ!$A$5:$A$11,0),6),0)+IFERROR(VLOOKUP($AM61,個性タイプマスタ!$A$5:$P$100,12,FALSE),0)))</f>
        <v>1.4999999999999999E-2</v>
      </c>
      <c r="V61" s="59">
        <f>ROUND(設定!$B$19*IFERROR(VLOOKUP($AM61,個性タイプマスタ!$A$5:$P$100,13,FALSE),1),2)</f>
        <v>4</v>
      </c>
      <c r="W61" s="59">
        <v>10</v>
      </c>
      <c r="X61" s="59" t="str">
        <f>IFERROR(VLOOKUP($AM61,個性タイプマスタ!$A$5:$P$100,2,FALSE),"Ranged")</f>
        <v>Ranged</v>
      </c>
      <c r="Y61" s="56">
        <f>IFERROR(VLOOKUP($AM61,個性タイプマスタ!$A$5:$P$100,3,FALSE),1)</f>
        <v>1.2</v>
      </c>
      <c r="Z61" s="56">
        <f>IFERROR(VLOOKUP($AM61,個性タイプマスタ!$A$5:$P$100,4,FALSE),1)</f>
        <v>1.3</v>
      </c>
      <c r="AA61" s="56">
        <f>IFERROR(VLOOKUP($AM61,個性タイプマスタ!$A$5:$P$100,5,FALSE),1)</f>
        <v>0.85</v>
      </c>
      <c r="AB61" s="56">
        <f>IFERROR(VLOOKUP($AM61,個性タイプマスタ!$A$5:$P$100,6,FALSE),1)</f>
        <v>1</v>
      </c>
      <c r="AC61" s="56">
        <f>IFERROR(VLOOKUP($AM61,個性タイプマスタ!$A$5:$P$100,7,FALSE),1)</f>
        <v>1</v>
      </c>
      <c r="AD61" s="56">
        <f>IFERROR(VLOOKUP($AM61,個性タイプマスタ!$A$5:$P$100,8,FALSE),1)</f>
        <v>0.85</v>
      </c>
      <c r="AE61" s="60">
        <f>IFERROR(D61/設定!$B$5,1)</f>
        <v>2.3578999999999999</v>
      </c>
      <c r="AF61" s="60">
        <f>1+設定!$B$13*((I61/設定!$B$8+J61/設定!$B$9)/(2*AE61))</f>
        <v>1.3260316383222359</v>
      </c>
      <c r="AG61" s="60">
        <f>MAX(0.7,1+設定!$B$14*(O61/IF(X61="Melee",1.5,2.5)-1))</f>
        <v>1</v>
      </c>
      <c r="AH61" s="53">
        <f t="shared" si="1"/>
        <v>34.584000000000003</v>
      </c>
      <c r="AI61" s="53">
        <f>E61*AF61*(1+設定!$B$18*AVERAGE(P61:U61))</f>
        <v>380.61450773463679</v>
      </c>
      <c r="AJ61" s="61">
        <f>設定!$B$5*SQRT((AH61/(設定!$B$7*設定!$B$10*(1+設定!$B$11*(設定!$B$12-1))))*(AI61/(設定!$B$6*(1+設定!$B$13))))</f>
        <v>234.26662394907319</v>
      </c>
      <c r="AK61" s="62">
        <f t="shared" si="2"/>
        <v>-6.4607322232783648E-3</v>
      </c>
      <c r="AL61" s="63">
        <f t="shared" si="3"/>
        <v>200.42149999999998</v>
      </c>
      <c r="AM61" s="64" t="s">
        <v>894</v>
      </c>
      <c r="AN61" s="54">
        <f>MAX(1,ROUND((設定!$B$7*設定!$B$10*(1+設定!$B$11*(設定!$B$12-1)))*AE61^2*(設定!$B$6*(1+設定!$B$13))/(AI61*N61*(1+K61*(L61-1))*AG61),0))</f>
        <v>33</v>
      </c>
      <c r="AO61" s="65" t="str">
        <f>IF($A61="","",IF(COUNTIF(個性タイプマスタ!$A$5:$A$100,$AM61)&gt;0,"OK","未登録"))</f>
        <v>OK</v>
      </c>
      <c r="AP61" s="67" t="str">
        <f>IF($A61="","",IF(COUNTIF(属性耐性マスタ!$A$5:$A$11,$C61)&gt;0,"OK","未登録"))</f>
        <v>OK</v>
      </c>
    </row>
    <row r="62" spans="1:42">
      <c r="A62" s="66" t="s">
        <v>224</v>
      </c>
      <c r="B62" s="51" t="s">
        <v>225</v>
      </c>
      <c r="C62" s="109" t="s">
        <v>111</v>
      </c>
      <c r="D62" s="53">
        <f>ROUND(設定!$B$5*POWER($D$2,W62-1),2)</f>
        <v>235.79</v>
      </c>
      <c r="E62" s="54">
        <f>MAX(1,ROUND(設定!$B$6*AE62*Y62,0))</f>
        <v>429</v>
      </c>
      <c r="F62" s="54">
        <f>MAX(0,ROUND(設定!$B$7*AE62*設定!$B$15*IF(X62="Melee",0.6,1.35)*IFERROR(VLOOKUP($AM62,個性タイプマスタ!$A$5:$P$100,14,FALSE),1),0))</f>
        <v>11</v>
      </c>
      <c r="G62" s="54">
        <f>IF(X62="Melee",AN62,MAX(1,ROUND(AN62*設定!$B$16*IFERROR(VLOOKUP($AM62,個性タイプマスタ!$A$5:$P$100,15,FALSE),1),0)))</f>
        <v>31</v>
      </c>
      <c r="H62" s="54">
        <f>IF(X62="Ranged",AN62,MAX(1,ROUND(AN62*設定!$B$16*IFERROR(VLOOKUP($AM62,個性タイプマスタ!$A$5:$P$100,15,FALSE),1),0)))</f>
        <v>12</v>
      </c>
      <c r="I62" s="54">
        <f>MAX(0,ROUND(設定!$B$8*AE62*Z62,0))</f>
        <v>41</v>
      </c>
      <c r="J62" s="54">
        <f>MAX(0,ROUND(設定!$B$9*AE62*AA62,0))</f>
        <v>20</v>
      </c>
      <c r="K62" s="55">
        <f>IFERROR(VLOOKUP($AM62,個性タイプマスタ!$A$5:$P$100,9,FALSE),0.05)</f>
        <v>0.03</v>
      </c>
      <c r="L62" s="56">
        <f>IFERROR(VLOOKUP($AM62,個性タイプマスタ!$A$5:$P$100,10,FALSE),1.5)</f>
        <v>1.35</v>
      </c>
      <c r="M62" s="56">
        <f>IFERROR(VLOOKUP($AM62,個性タイプマスタ!$A$5:$P$100,11,FALSE),2)</f>
        <v>1.5</v>
      </c>
      <c r="N62" s="57">
        <f>MAX(0.1,ROUND(設定!$B$10*AB62,3))</f>
        <v>0.65</v>
      </c>
      <c r="O62" s="57">
        <f t="shared" si="0"/>
        <v>1.02</v>
      </c>
      <c r="P62" s="58">
        <f>MAX(-10,MIN(0.8,IFERROR(INDEX(属性耐性マスタ!$B$5:$G$11,MATCH($C62,属性耐性マスタ!$A$5:$A$11,0),1),0)+IFERROR(VLOOKUP($AM62,個性タイプマスタ!$A$5:$P$100,12,FALSE),0)))</f>
        <v>0.30000000000000004</v>
      </c>
      <c r="Q62" s="58">
        <f>MAX(-10,MIN(0.8,IFERROR(INDEX(属性耐性マスタ!$B$5:$G$11,MATCH($C62,属性耐性マスタ!$A$5:$A$11,0),2),0)+IFERROR(VLOOKUP($AM62,個性タイプマスタ!$A$5:$P$100,12,FALSE),0)))</f>
        <v>0</v>
      </c>
      <c r="R62" s="58">
        <f>MAX(-10,MIN(0.8,IFERROR(INDEX(属性耐性マスタ!$B$5:$G$11,MATCH($C62,属性耐性マスタ!$A$5:$A$11,0),3),0)+IFERROR(VLOOKUP($AM62,個性タイプマスタ!$A$5:$P$100,12,FALSE),0)))</f>
        <v>0.1</v>
      </c>
      <c r="S62" s="58">
        <f>MAX(-10,MIN(0.8,IFERROR(INDEX(属性耐性マスタ!$B$5:$G$11,MATCH($C62,属性耐性マスタ!$A$5:$A$11,0),4),0)+IFERROR(VLOOKUP($AM62,個性タイプマスタ!$A$5:$P$100,12,FALSE),0)))</f>
        <v>0.1</v>
      </c>
      <c r="T62" s="58">
        <f>MAX(-10,MIN(0.8,IFERROR(INDEX(属性耐性マスタ!$B$5:$G$11,MATCH($C62,属性耐性マスタ!$A$5:$A$11,0),5),0)+IFERROR(VLOOKUP($AM62,個性タイプマスタ!$A$5:$P$100,12,FALSE),0)))</f>
        <v>0.1</v>
      </c>
      <c r="U62" s="58">
        <f>MAX(-10,MIN(0.8,IFERROR(INDEX(属性耐性マスタ!$B$5:$G$11,MATCH($C62,属性耐性マスタ!$A$5:$A$11,0),6),0)+IFERROR(VLOOKUP($AM62,個性タイプマスタ!$A$5:$P$100,12,FALSE),0)))</f>
        <v>0.1</v>
      </c>
      <c r="V62" s="59">
        <f>ROUND(設定!$B$19*IFERROR(VLOOKUP($AM62,個性タイプマスタ!$A$5:$P$100,13,FALSE),1),2)</f>
        <v>3.4</v>
      </c>
      <c r="W62" s="59">
        <v>10</v>
      </c>
      <c r="X62" s="59" t="str">
        <f>IFERROR(VLOOKUP($AM62,個性タイプマスタ!$A$5:$P$100,2,FALSE),"Ranged")</f>
        <v>Melee</v>
      </c>
      <c r="Y62" s="56">
        <f>IFERROR(VLOOKUP($AM62,個性タイプマスタ!$A$5:$P$100,3,FALSE),1)</f>
        <v>1.82</v>
      </c>
      <c r="Z62" s="56">
        <f>IFERROR(VLOOKUP($AM62,個性タイプマスタ!$A$5:$P$100,4,FALSE),1)</f>
        <v>2.15</v>
      </c>
      <c r="AA62" s="56">
        <f>IFERROR(VLOOKUP($AM62,個性タイプマスタ!$A$5:$P$100,5,FALSE),1)</f>
        <v>1.06</v>
      </c>
      <c r="AB62" s="56">
        <f>IFERROR(VLOOKUP($AM62,個性タイプマスタ!$A$5:$P$100,6,FALSE),1)</f>
        <v>0.65</v>
      </c>
      <c r="AC62" s="56">
        <f>IFERROR(VLOOKUP($AM62,個性タイプマスタ!$A$5:$P$100,7,FALSE),1)</f>
        <v>0.68</v>
      </c>
      <c r="AD62" s="56">
        <f>IFERROR(VLOOKUP($AM62,個性タイプマスタ!$A$5:$P$100,8,FALSE),1)</f>
        <v>0.92</v>
      </c>
      <c r="AE62" s="60">
        <f>IFERROR(D62/設定!$B$5,1)</f>
        <v>2.3578999999999999</v>
      </c>
      <c r="AF62" s="60">
        <f>1+設定!$B$13*((I62/設定!$B$8+J62/設定!$B$9)/(2*AE62))</f>
        <v>1.4850714618940581</v>
      </c>
      <c r="AG62" s="60">
        <f>MAX(0.7,1+設定!$B$14*(O62/IF(X62="Melee",1.5,2.5)-1))</f>
        <v>0.96160000000000001</v>
      </c>
      <c r="AH62" s="53">
        <f t="shared" si="1"/>
        <v>19.579690520000003</v>
      </c>
      <c r="AI62" s="53">
        <f>E62*AF62*(1+設定!$B$18*AVERAGE(P62:U62))</f>
        <v>670.5431791530599</v>
      </c>
      <c r="AJ62" s="61">
        <f>設定!$B$5*SQRT((AH62/(設定!$B$7*設定!$B$10*(1+設定!$B$11*(設定!$B$12-1))))*(AI62/(設定!$B$6*(1+設定!$B$13))))</f>
        <v>233.96259229399945</v>
      </c>
      <c r="AK62" s="62">
        <f t="shared" si="2"/>
        <v>-7.7501493108297348E-3</v>
      </c>
      <c r="AL62" s="63">
        <f t="shared" si="3"/>
        <v>216.92680000000001</v>
      </c>
      <c r="AM62" s="64" t="s">
        <v>952</v>
      </c>
      <c r="AN62" s="54">
        <f>MAX(1,ROUND((設定!$B$7*設定!$B$10*(1+設定!$B$11*(設定!$B$12-1)))*AE62^2*(設定!$B$6*(1+設定!$B$13))/(AI62*N62*(1+K62*(L62-1))*AG62),0))</f>
        <v>31</v>
      </c>
      <c r="AO62" s="65" t="str">
        <f>IF($A62="","",IF(COUNTIF(個性タイプマスタ!$A$5:$A$100,$AM62)&gt;0,"OK","未登録"))</f>
        <v>OK</v>
      </c>
      <c r="AP62" s="67" t="str">
        <f>IF($A62="","",IF(COUNTIF(属性耐性マスタ!$A$5:$A$11,$C62)&gt;0,"OK","未登録"))</f>
        <v>OK</v>
      </c>
    </row>
    <row r="63" spans="1:42">
      <c r="A63" s="66" t="s">
        <v>226</v>
      </c>
      <c r="B63" s="51" t="s">
        <v>227</v>
      </c>
      <c r="C63" s="109" t="s">
        <v>871</v>
      </c>
      <c r="D63" s="53">
        <f>ROUND(設定!$B$5*POWER($D$2,W63-1),2)</f>
        <v>235.79</v>
      </c>
      <c r="E63" s="54">
        <f>MAX(1,ROUND(設定!$B$6*AE63*Y63,0))</f>
        <v>186</v>
      </c>
      <c r="F63" s="54">
        <f>MAX(0,ROUND(設定!$B$7*AE63*設定!$B$15*IF(X63="Melee",0.6,1.35)*IFERROR(VLOOKUP($AM63,個性タイプマスタ!$A$5:$P$100,14,FALSE),1),0))</f>
        <v>13</v>
      </c>
      <c r="G63" s="54">
        <f>IF(X63="Melee",AN63,MAX(1,ROUND(AN63*設定!$B$16*IFERROR(VLOOKUP($AM63,個性タイプマスタ!$A$5:$P$100,15,FALSE),1),0)))</f>
        <v>38</v>
      </c>
      <c r="H63" s="54">
        <f>IF(X63="Ranged",AN63,MAX(1,ROUND(AN63*設定!$B$16*IFERROR(VLOOKUP($AM63,個性タイプマスタ!$A$5:$P$100,15,FALSE),1),0)))</f>
        <v>12</v>
      </c>
      <c r="I63" s="54">
        <f>MAX(0,ROUND(設定!$B$8*AE63*Z63,0))</f>
        <v>15</v>
      </c>
      <c r="J63" s="54">
        <f>MAX(0,ROUND(設定!$B$9*AE63*AA63,0))</f>
        <v>14</v>
      </c>
      <c r="K63" s="55">
        <f>IFERROR(VLOOKUP($AM63,個性タイプマスタ!$A$5:$P$100,9,FALSE),0.05)</f>
        <v>0.1</v>
      </c>
      <c r="L63" s="56">
        <f>IFERROR(VLOOKUP($AM63,個性タイプマスタ!$A$5:$P$100,10,FALSE),1.5)</f>
        <v>1.85</v>
      </c>
      <c r="M63" s="56">
        <f>IFERROR(VLOOKUP($AM63,個性タイプマスタ!$A$5:$P$100,11,FALSE),2)</f>
        <v>4</v>
      </c>
      <c r="N63" s="57">
        <f>MAX(0.1,ROUND(設定!$B$10*AB63,3))</f>
        <v>1.41</v>
      </c>
      <c r="O63" s="57">
        <f t="shared" si="0"/>
        <v>1.8</v>
      </c>
      <c r="P63" s="58">
        <f>MAX(-10,MIN(0.8,IFERROR(INDEX(属性耐性マスタ!$B$5:$G$11,MATCH($C63,属性耐性マスタ!$A$5:$A$11,0),1),0)+IFERROR(VLOOKUP($AM63,個性タイプマスタ!$A$5:$P$100,12,FALSE),0)))</f>
        <v>-5.5E-2</v>
      </c>
      <c r="Q63" s="58">
        <f>MAX(-10,MIN(0.8,IFERROR(INDEX(属性耐性マスタ!$B$5:$G$11,MATCH($C63,属性耐性マスタ!$A$5:$A$11,0),2),0)+IFERROR(VLOOKUP($AM63,個性タイプマスタ!$A$5:$P$100,12,FALSE),0)))</f>
        <v>-5.5E-2</v>
      </c>
      <c r="R63" s="58">
        <f>MAX(-10,MIN(0.8,IFERROR(INDEX(属性耐性マスタ!$B$5:$G$11,MATCH($C63,属性耐性マスタ!$A$5:$A$11,0),3),0)+IFERROR(VLOOKUP($AM63,個性タイプマスタ!$A$5:$P$100,12,FALSE),0)))</f>
        <v>-0.155</v>
      </c>
      <c r="S63" s="58">
        <f>MAX(-10,MIN(0.8,IFERROR(INDEX(属性耐性マスタ!$B$5:$G$11,MATCH($C63,属性耐性マスタ!$A$5:$A$11,0),4),0)+IFERROR(VLOOKUP($AM63,個性タイプマスタ!$A$5:$P$100,12,FALSE),0)))</f>
        <v>0.14500000000000002</v>
      </c>
      <c r="T63" s="58">
        <f>MAX(-10,MIN(0.8,IFERROR(INDEX(属性耐性マスタ!$B$5:$G$11,MATCH($C63,属性耐性マスタ!$A$5:$A$11,0),5),0)+IFERROR(VLOOKUP($AM63,個性タイプマスタ!$A$5:$P$100,12,FALSE),0)))</f>
        <v>-5.5E-2</v>
      </c>
      <c r="U63" s="58">
        <f>MAX(-10,MIN(0.8,IFERROR(INDEX(属性耐性マスタ!$B$5:$G$11,MATCH($C63,属性耐性マスタ!$A$5:$A$11,0),6),0)+IFERROR(VLOOKUP($AM63,個性タイプマスタ!$A$5:$P$100,12,FALSE),0)))</f>
        <v>-5.5E-2</v>
      </c>
      <c r="V63" s="59">
        <f>ROUND(設定!$B$19*IFERROR(VLOOKUP($AM63,個性タイプマスタ!$A$5:$P$100,13,FALSE),1),2)</f>
        <v>6.4</v>
      </c>
      <c r="W63" s="59">
        <v>10</v>
      </c>
      <c r="X63" s="59" t="str">
        <f>IFERROR(VLOOKUP($AM63,個性タイプマスタ!$A$5:$P$100,2,FALSE),"Ranged")</f>
        <v>Melee</v>
      </c>
      <c r="Y63" s="56">
        <f>IFERROR(VLOOKUP($AM63,個性タイプマスタ!$A$5:$P$100,3,FALSE),1)</f>
        <v>0.79</v>
      </c>
      <c r="Z63" s="56">
        <f>IFERROR(VLOOKUP($AM63,個性タイプマスタ!$A$5:$P$100,4,FALSE),1)</f>
        <v>0.79</v>
      </c>
      <c r="AA63" s="56">
        <f>IFERROR(VLOOKUP($AM63,個性タイプマスタ!$A$5:$P$100,5,FALSE),1)</f>
        <v>0.73</v>
      </c>
      <c r="AB63" s="56">
        <f>IFERROR(VLOOKUP($AM63,個性タイプマスタ!$A$5:$P$100,6,FALSE),1)</f>
        <v>1.41</v>
      </c>
      <c r="AC63" s="56">
        <f>IFERROR(VLOOKUP($AM63,個性タイプマスタ!$A$5:$P$100,7,FALSE),1)</f>
        <v>1.2</v>
      </c>
      <c r="AD63" s="56">
        <f>IFERROR(VLOOKUP($AM63,個性タイプマスタ!$A$5:$P$100,8,FALSE),1)</f>
        <v>0.64</v>
      </c>
      <c r="AE63" s="60">
        <f>IFERROR(D63/設定!$B$5,1)</f>
        <v>2.3578999999999999</v>
      </c>
      <c r="AF63" s="60">
        <f>1+設定!$B$13*((I63/設定!$B$8+J63/設定!$B$9)/(2*AE63))</f>
        <v>1.2306077441791425</v>
      </c>
      <c r="AG63" s="60">
        <f>MAX(0.7,1+設定!$B$14*(O63/IF(X63="Melee",1.5,2.5)-1))</f>
        <v>1.024</v>
      </c>
      <c r="AH63" s="53">
        <f t="shared" si="1"/>
        <v>59.5295232</v>
      </c>
      <c r="AI63" s="53">
        <f>E63*AF63*(1+設定!$B$18*AVERAGE(P63:U63))</f>
        <v>224.94463547012174</v>
      </c>
      <c r="AJ63" s="61">
        <f>設定!$B$5*SQRT((AH63/(設定!$B$7*設定!$B$10*(1+設定!$B$11*(設定!$B$12-1))))*(AI63/(設定!$B$6*(1+設定!$B$13))))</f>
        <v>236.28391651883351</v>
      </c>
      <c r="AK63" s="62">
        <f t="shared" si="2"/>
        <v>2.0947305603864486E-3</v>
      </c>
      <c r="AL63" s="63">
        <f t="shared" si="3"/>
        <v>150.90559999999999</v>
      </c>
      <c r="AM63" s="64" t="s">
        <v>966</v>
      </c>
      <c r="AN63" s="54">
        <f>MAX(1,ROUND((設定!$B$7*設定!$B$10*(1+設定!$B$11*(設定!$B$12-1)))*AE63^2*(設定!$B$6*(1+設定!$B$13))/(AI63*N63*(1+K63*(L63-1))*AG63),0))</f>
        <v>38</v>
      </c>
      <c r="AO63" s="65" t="str">
        <f>IF($A63="","",IF(COUNTIF(個性タイプマスタ!$A$5:$A$100,$AM63)&gt;0,"OK","未登録"))</f>
        <v>OK</v>
      </c>
      <c r="AP63" s="67" t="str">
        <f>IF($A63="","",IF(COUNTIF(属性耐性マスタ!$A$5:$A$11,$C63)&gt;0,"OK","未登録"))</f>
        <v>OK</v>
      </c>
    </row>
    <row r="64" spans="1:42">
      <c r="A64" s="66" t="s">
        <v>228</v>
      </c>
      <c r="B64" s="51" t="s">
        <v>229</v>
      </c>
      <c r="C64" s="109" t="s">
        <v>111</v>
      </c>
      <c r="D64" s="53">
        <f>ROUND(設定!$B$5*POWER($D$2,W64-1),2)</f>
        <v>235.79</v>
      </c>
      <c r="E64" s="54">
        <f>MAX(1,ROUND(設定!$B$6*AE64*Y64,0))</f>
        <v>193</v>
      </c>
      <c r="F64" s="54">
        <f>MAX(0,ROUND(設定!$B$7*AE64*設定!$B$15*IF(X64="Melee",0.6,1.35)*IFERROR(VLOOKUP($AM64,個性タイプマスタ!$A$5:$P$100,14,FALSE),1),0))</f>
        <v>31</v>
      </c>
      <c r="G64" s="54">
        <f>IF(X64="Melee",AN64,MAX(1,ROUND(AN64*設定!$B$16*IFERROR(VLOOKUP($AM64,個性タイプマスタ!$A$5:$P$100,15,FALSE),1),0)))</f>
        <v>24</v>
      </c>
      <c r="H64" s="54">
        <f>IF(X64="Ranged",AN64,MAX(1,ROUND(AN64*設定!$B$16*IFERROR(VLOOKUP($AM64,個性タイプマスタ!$A$5:$P$100,15,FALSE),1),0)))</f>
        <v>53</v>
      </c>
      <c r="I64" s="54">
        <f>MAX(0,ROUND(設定!$B$8*AE64*Z64,0))</f>
        <v>16</v>
      </c>
      <c r="J64" s="54">
        <f>MAX(0,ROUND(設定!$B$9*AE64*AA64,0))</f>
        <v>19</v>
      </c>
      <c r="K64" s="55">
        <f>IFERROR(VLOOKUP($AM64,個性タイプマスタ!$A$5:$P$100,9,FALSE),0.05)</f>
        <v>0.05</v>
      </c>
      <c r="L64" s="56">
        <f>IFERROR(VLOOKUP($AM64,個性タイプマスタ!$A$5:$P$100,10,FALSE),1.5)</f>
        <v>1.5</v>
      </c>
      <c r="M64" s="56">
        <f>IFERROR(VLOOKUP($AM64,個性タイプマスタ!$A$5:$P$100,11,FALSE),2)</f>
        <v>2</v>
      </c>
      <c r="N64" s="57">
        <f>MAX(0.1,ROUND(設定!$B$10*AB64,3))</f>
        <v>1</v>
      </c>
      <c r="O64" s="57">
        <f t="shared" si="0"/>
        <v>2.5</v>
      </c>
      <c r="P64" s="58">
        <f>MAX(-10,MIN(0.8,IFERROR(INDEX(属性耐性マスタ!$B$5:$G$11,MATCH($C64,属性耐性マスタ!$A$5:$A$11,0),1),0)+IFERROR(VLOOKUP($AM64,個性タイプマスタ!$A$5:$P$100,12,FALSE),0)))</f>
        <v>0.18000000000000002</v>
      </c>
      <c r="Q64" s="58">
        <f>MAX(-10,MIN(0.8,IFERROR(INDEX(属性耐性マスタ!$B$5:$G$11,MATCH($C64,属性耐性マスタ!$A$5:$A$11,0),2),0)+IFERROR(VLOOKUP($AM64,個性タイプマスタ!$A$5:$P$100,12,FALSE),0)))</f>
        <v>-0.12000000000000001</v>
      </c>
      <c r="R64" s="58">
        <f>MAX(-10,MIN(0.8,IFERROR(INDEX(属性耐性マスタ!$B$5:$G$11,MATCH($C64,属性耐性マスタ!$A$5:$A$11,0),3),0)+IFERROR(VLOOKUP($AM64,個性タイプマスタ!$A$5:$P$100,12,FALSE),0)))</f>
        <v>-0.02</v>
      </c>
      <c r="S64" s="58">
        <f>MAX(-10,MIN(0.8,IFERROR(INDEX(属性耐性マスタ!$B$5:$G$11,MATCH($C64,属性耐性マスタ!$A$5:$A$11,0),4),0)+IFERROR(VLOOKUP($AM64,個性タイプマスタ!$A$5:$P$100,12,FALSE),0)))</f>
        <v>-0.02</v>
      </c>
      <c r="T64" s="58">
        <f>MAX(-10,MIN(0.8,IFERROR(INDEX(属性耐性マスタ!$B$5:$G$11,MATCH($C64,属性耐性マスタ!$A$5:$A$11,0),5),0)+IFERROR(VLOOKUP($AM64,個性タイプマスタ!$A$5:$P$100,12,FALSE),0)))</f>
        <v>-0.02</v>
      </c>
      <c r="U64" s="58">
        <f>MAX(-10,MIN(0.8,IFERROR(INDEX(属性耐性マスタ!$B$5:$G$11,MATCH($C64,属性耐性マスタ!$A$5:$A$11,0),6),0)+IFERROR(VLOOKUP($AM64,個性タイプマスタ!$A$5:$P$100,12,FALSE),0)))</f>
        <v>-0.02</v>
      </c>
      <c r="V64" s="59">
        <f>ROUND(設定!$B$19*IFERROR(VLOOKUP($AM64,個性タイプマスタ!$A$5:$P$100,13,FALSE),1),2)</f>
        <v>4</v>
      </c>
      <c r="W64" s="59">
        <v>10</v>
      </c>
      <c r="X64" s="59" t="str">
        <f>IFERROR(VLOOKUP($AM64,個性タイプマスタ!$A$5:$P$100,2,FALSE),"Ranged")</f>
        <v>Ranged</v>
      </c>
      <c r="Y64" s="56">
        <f>IFERROR(VLOOKUP($AM64,個性タイプマスタ!$A$5:$P$100,3,FALSE),1)</f>
        <v>0.82</v>
      </c>
      <c r="Z64" s="56">
        <f>IFERROR(VLOOKUP($AM64,個性タイプマスタ!$A$5:$P$100,4,FALSE),1)</f>
        <v>0.85</v>
      </c>
      <c r="AA64" s="56">
        <f>IFERROR(VLOOKUP($AM64,個性タイプマスタ!$A$5:$P$100,5,FALSE),1)</f>
        <v>1</v>
      </c>
      <c r="AB64" s="56">
        <f>IFERROR(VLOOKUP($AM64,個性タイプマスタ!$A$5:$P$100,6,FALSE),1)</f>
        <v>1</v>
      </c>
      <c r="AC64" s="56">
        <f>IFERROR(VLOOKUP($AM64,個性タイプマスタ!$A$5:$P$100,7,FALSE),1)</f>
        <v>1</v>
      </c>
      <c r="AD64" s="56">
        <f>IFERROR(VLOOKUP($AM64,個性タイプマスタ!$A$5:$P$100,8,FALSE),1)</f>
        <v>0.68</v>
      </c>
      <c r="AE64" s="60">
        <f>IFERROR(D64/設定!$B$5,1)</f>
        <v>2.3578999999999999</v>
      </c>
      <c r="AF64" s="60">
        <f>1+設定!$B$13*((I64/設定!$B$8+J64/設定!$B$9)/(2*AE64))</f>
        <v>1.2783196912506891</v>
      </c>
      <c r="AG64" s="60">
        <f>MAX(0.7,1+設定!$B$14*(O64/IF(X64="Melee",1.5,2.5)-1))</f>
        <v>1</v>
      </c>
      <c r="AH64" s="53">
        <f t="shared" si="1"/>
        <v>54.324999999999996</v>
      </c>
      <c r="AI64" s="53">
        <f>E64*AF64*(1+設定!$B$18*AVERAGE(P64:U64))</f>
        <v>246.34562686076595</v>
      </c>
      <c r="AJ64" s="61">
        <f>設定!$B$5*SQRT((AH64/(設定!$B$7*設定!$B$10*(1+設定!$B$11*(設定!$B$12-1))))*(AI64/(設定!$B$6*(1+設定!$B$13))))</f>
        <v>236.21225989536262</v>
      </c>
      <c r="AK64" s="62">
        <f t="shared" si="2"/>
        <v>1.7908303802647296E-3</v>
      </c>
      <c r="AL64" s="63">
        <f t="shared" si="3"/>
        <v>160.3372</v>
      </c>
      <c r="AM64" s="64" t="s">
        <v>878</v>
      </c>
      <c r="AN64" s="54">
        <f>MAX(1,ROUND((設定!$B$7*設定!$B$10*(1+設定!$B$11*(設定!$B$12-1)))*AE64^2*(設定!$B$6*(1+設定!$B$13))/(AI64*N64*(1+K64*(L64-1))*AG64),0))</f>
        <v>53</v>
      </c>
      <c r="AO64" s="65" t="str">
        <f>IF($A64="","",IF(COUNTIF(個性タイプマスタ!$A$5:$A$100,$AM64)&gt;0,"OK","未登録"))</f>
        <v>OK</v>
      </c>
      <c r="AP64" s="67" t="str">
        <f>IF($A64="","",IF(COUNTIF(属性耐性マスタ!$A$5:$A$11,$C64)&gt;0,"OK","未登録"))</f>
        <v>OK</v>
      </c>
    </row>
    <row r="65" spans="1:42">
      <c r="A65" s="66" t="s">
        <v>230</v>
      </c>
      <c r="B65" s="51" t="s">
        <v>231</v>
      </c>
      <c r="C65" s="109" t="s">
        <v>871</v>
      </c>
      <c r="D65" s="53">
        <f>ROUND(設定!$B$5*POWER($D$2,W65-1),2)</f>
        <v>259.37</v>
      </c>
      <c r="E65" s="54">
        <f>MAX(1,ROUND(設定!$B$6*AE65*Y65,0))</f>
        <v>231</v>
      </c>
      <c r="F65" s="54">
        <f>MAX(0,ROUND(設定!$B$7*AE65*設定!$B$15*IF(X65="Melee",0.6,1.35)*IFERROR(VLOOKUP($AM65,個性タイプマスタ!$A$5:$P$100,14,FALSE),1),0))</f>
        <v>36</v>
      </c>
      <c r="G65" s="54">
        <f>IF(X65="Melee",AN65,MAX(1,ROUND(AN65*設定!$B$16*IFERROR(VLOOKUP($AM65,個性タイプマスタ!$A$5:$P$100,15,FALSE),1),0)))</f>
        <v>12</v>
      </c>
      <c r="H65" s="54">
        <f>IF(X65="Ranged",AN65,MAX(1,ROUND(AN65*設定!$B$16*IFERROR(VLOOKUP($AM65,個性タイプマスタ!$A$5:$P$100,15,FALSE),1),0)))</f>
        <v>45</v>
      </c>
      <c r="I65" s="54">
        <f>MAX(0,ROUND(設定!$B$8*AE65*Z65,0))</f>
        <v>19</v>
      </c>
      <c r="J65" s="54">
        <f>MAX(0,ROUND(設定!$B$9*AE65*AA65,0))</f>
        <v>19</v>
      </c>
      <c r="K65" s="55">
        <f>IFERROR(VLOOKUP($AM65,個性タイプマスタ!$A$5:$P$100,9,FALSE),0.05)</f>
        <v>7.4999999999999997E-2</v>
      </c>
      <c r="L65" s="56">
        <f>IFERROR(VLOOKUP($AM65,個性タイプマスタ!$A$5:$P$100,10,FALSE),1.5)</f>
        <v>1.5</v>
      </c>
      <c r="M65" s="56">
        <f>IFERROR(VLOOKUP($AM65,個性タイプマスタ!$A$5:$P$100,11,FALSE),2)</f>
        <v>3.1</v>
      </c>
      <c r="N65" s="57">
        <f>MAX(0.1,ROUND(設定!$B$10*AB65,3))</f>
        <v>1.1499999999999999</v>
      </c>
      <c r="O65" s="57">
        <f t="shared" si="0"/>
        <v>3.0750000000000002</v>
      </c>
      <c r="P65" s="58">
        <f>MAX(-10,MIN(0.8,IFERROR(INDEX(属性耐性マスタ!$B$5:$G$11,MATCH($C65,属性耐性マスタ!$A$5:$A$11,0),1),0)+IFERROR(VLOOKUP($AM65,個性タイプマスタ!$A$5:$P$100,12,FALSE),0)))</f>
        <v>-0.01</v>
      </c>
      <c r="Q65" s="58">
        <f>MAX(-10,MIN(0.8,IFERROR(INDEX(属性耐性マスタ!$B$5:$G$11,MATCH($C65,属性耐性マスタ!$A$5:$A$11,0),2),0)+IFERROR(VLOOKUP($AM65,個性タイプマスタ!$A$5:$P$100,12,FALSE),0)))</f>
        <v>-0.01</v>
      </c>
      <c r="R65" s="58">
        <f>MAX(-10,MIN(0.8,IFERROR(INDEX(属性耐性マスタ!$B$5:$G$11,MATCH($C65,属性耐性マスタ!$A$5:$A$11,0),3),0)+IFERROR(VLOOKUP($AM65,個性タイプマスタ!$A$5:$P$100,12,FALSE),0)))</f>
        <v>-0.11</v>
      </c>
      <c r="S65" s="58">
        <f>MAX(-10,MIN(0.8,IFERROR(INDEX(属性耐性マスタ!$B$5:$G$11,MATCH($C65,属性耐性マスタ!$A$5:$A$11,0),4),0)+IFERROR(VLOOKUP($AM65,個性タイプマスタ!$A$5:$P$100,12,FALSE),0)))</f>
        <v>0.19</v>
      </c>
      <c r="T65" s="58">
        <f>MAX(-10,MIN(0.8,IFERROR(INDEX(属性耐性マスタ!$B$5:$G$11,MATCH($C65,属性耐性マスタ!$A$5:$A$11,0),5),0)+IFERROR(VLOOKUP($AM65,個性タイプマスタ!$A$5:$P$100,12,FALSE),0)))</f>
        <v>-0.01</v>
      </c>
      <c r="U65" s="58">
        <f>MAX(-10,MIN(0.8,IFERROR(INDEX(属性耐性マスタ!$B$5:$G$11,MATCH($C65,属性耐性マスタ!$A$5:$A$11,0),6),0)+IFERROR(VLOOKUP($AM65,個性タイプマスタ!$A$5:$P$100,12,FALSE),0)))</f>
        <v>-0.01</v>
      </c>
      <c r="V65" s="59">
        <f>ROUND(設定!$B$19*IFERROR(VLOOKUP($AM65,個性タイプマスタ!$A$5:$P$100,13,FALSE),1),2)</f>
        <v>8.6</v>
      </c>
      <c r="W65" s="59">
        <v>11</v>
      </c>
      <c r="X65" s="59" t="str">
        <f>IFERROR(VLOOKUP($AM65,個性タイプマスタ!$A$5:$P$100,2,FALSE),"Ranged")</f>
        <v>Ranged</v>
      </c>
      <c r="Y65" s="56">
        <f>IFERROR(VLOOKUP($AM65,個性タイプマスタ!$A$5:$P$100,3,FALSE),1)</f>
        <v>0.89</v>
      </c>
      <c r="Z65" s="56">
        <f>IFERROR(VLOOKUP($AM65,個性タイプマスタ!$A$5:$P$100,4,FALSE),1)</f>
        <v>0.92</v>
      </c>
      <c r="AA65" s="56">
        <f>IFERROR(VLOOKUP($AM65,個性タイプマスタ!$A$5:$P$100,5,FALSE),1)</f>
        <v>0.91</v>
      </c>
      <c r="AB65" s="56">
        <f>IFERROR(VLOOKUP($AM65,個性タイプマスタ!$A$5:$P$100,6,FALSE),1)</f>
        <v>1.1499999999999999</v>
      </c>
      <c r="AC65" s="56">
        <f>IFERROR(VLOOKUP($AM65,個性タイプマスタ!$A$5:$P$100,7,FALSE),1)</f>
        <v>1.23</v>
      </c>
      <c r="AD65" s="56">
        <f>IFERROR(VLOOKUP($AM65,個性タイプマスタ!$A$5:$P$100,8,FALSE),1)</f>
        <v>0.74</v>
      </c>
      <c r="AE65" s="60">
        <f>IFERROR(D65/設定!$B$5,1)</f>
        <v>2.5937000000000001</v>
      </c>
      <c r="AF65" s="60">
        <f>1+設定!$B$13*((I65/設定!$B$8+J65/設定!$B$9)/(2*AE65))</f>
        <v>1.2747040906812661</v>
      </c>
      <c r="AG65" s="60">
        <f>MAX(0.7,1+設定!$B$14*(O65/IF(X65="Melee",1.5,2.5)-1))</f>
        <v>1.0276000000000001</v>
      </c>
      <c r="AH65" s="53">
        <f t="shared" si="1"/>
        <v>55.172486249999999</v>
      </c>
      <c r="AI65" s="53">
        <f>E65*AF65*(1+設定!$B$18*AVERAGE(P65:U65))</f>
        <v>295.34001488221458</v>
      </c>
      <c r="AJ65" s="61">
        <f>設定!$B$5*SQRT((AH65/(設定!$B$7*設定!$B$10*(1+設定!$B$11*(設定!$B$12-1))))*(AI65/(設定!$B$6*(1+設定!$B$13))))</f>
        <v>260.64689900849089</v>
      </c>
      <c r="AK65" s="62">
        <f t="shared" si="2"/>
        <v>4.9230790318497419E-3</v>
      </c>
      <c r="AL65" s="63">
        <f t="shared" si="3"/>
        <v>191.93379999999999</v>
      </c>
      <c r="AM65" s="64" t="s">
        <v>934</v>
      </c>
      <c r="AN65" s="54">
        <f>MAX(1,ROUND((設定!$B$7*設定!$B$10*(1+設定!$B$11*(設定!$B$12-1)))*AE65^2*(設定!$B$6*(1+設定!$B$13))/(AI65*N65*(1+K65*(L65-1))*AG65),0))</f>
        <v>45</v>
      </c>
      <c r="AO65" s="65" t="str">
        <f>IF($A65="","",IF(COUNTIF(個性タイプマスタ!$A$5:$A$100,$AM65)&gt;0,"OK","未登録"))</f>
        <v>OK</v>
      </c>
      <c r="AP65" s="67" t="str">
        <f>IF($A65="","",IF(COUNTIF(属性耐性マスタ!$A$5:$A$11,$C65)&gt;0,"OK","未登録"))</f>
        <v>OK</v>
      </c>
    </row>
    <row r="66" spans="1:42">
      <c r="A66" s="66" t="s">
        <v>232</v>
      </c>
      <c r="B66" s="51" t="s">
        <v>233</v>
      </c>
      <c r="C66" s="109" t="s">
        <v>121</v>
      </c>
      <c r="D66" s="53">
        <f>ROUND(設定!$B$5*POWER($D$2,W66-1),2)</f>
        <v>259.37</v>
      </c>
      <c r="E66" s="54">
        <f>MAX(1,ROUND(設定!$B$6*AE66*Y66,0))</f>
        <v>389</v>
      </c>
      <c r="F66" s="54">
        <f>MAX(0,ROUND(設定!$B$7*AE66*設定!$B$15*IF(X66="Melee",0.6,1.35)*IFERROR(VLOOKUP($AM66,個性タイプマスタ!$A$5:$P$100,14,FALSE),1),0))</f>
        <v>47</v>
      </c>
      <c r="G66" s="54">
        <f>IF(X66="Melee",AN66,MAX(1,ROUND(AN66*設定!$B$16*IFERROR(VLOOKUP($AM66,個性タイプマスタ!$A$5:$P$100,15,FALSE),1),0)))</f>
        <v>9</v>
      </c>
      <c r="H66" s="54">
        <f>IF(X66="Ranged",AN66,MAX(1,ROUND(AN66*設定!$B$16*IFERROR(VLOOKUP($AM66,個性タイプマスタ!$A$5:$P$100,15,FALSE),1),0)))</f>
        <v>21</v>
      </c>
      <c r="I66" s="54">
        <f>MAX(0,ROUND(設定!$B$8*AE66*Z66,0))</f>
        <v>31</v>
      </c>
      <c r="J66" s="54">
        <f>MAX(0,ROUND(設定!$B$9*AE66*AA66,0))</f>
        <v>29</v>
      </c>
      <c r="K66" s="55">
        <f>IFERROR(VLOOKUP($AM66,個性タイプマスタ!$A$5:$P$100,9,FALSE),0.05)</f>
        <v>0.1</v>
      </c>
      <c r="L66" s="56">
        <f>IFERROR(VLOOKUP($AM66,個性タイプマスタ!$A$5:$P$100,10,FALSE),1.5)</f>
        <v>1.75</v>
      </c>
      <c r="M66" s="56">
        <f>IFERROR(VLOOKUP($AM66,個性タイプマスタ!$A$5:$P$100,11,FALSE),2)</f>
        <v>2.4</v>
      </c>
      <c r="N66" s="57">
        <f>MAX(0.1,ROUND(設定!$B$10*AB66,3))</f>
        <v>1.2</v>
      </c>
      <c r="O66" s="57">
        <f t="shared" si="0"/>
        <v>3</v>
      </c>
      <c r="P66" s="58">
        <f>MAX(-10,MIN(0.8,IFERROR(INDEX(属性耐性マスタ!$B$5:$G$11,MATCH($C66,属性耐性マスタ!$A$5:$A$11,0),1),0)+IFERROR(VLOOKUP($AM66,個性タイプマスタ!$A$5:$P$100,12,FALSE),0)))</f>
        <v>0.08</v>
      </c>
      <c r="Q66" s="58">
        <f>MAX(-10,MIN(0.8,IFERROR(INDEX(属性耐性マスタ!$B$5:$G$11,MATCH($C66,属性耐性マスタ!$A$5:$A$11,0),2),0)+IFERROR(VLOOKUP($AM66,個性タイプマスタ!$A$5:$P$100,12,FALSE),0)))</f>
        <v>0.08</v>
      </c>
      <c r="R66" s="58">
        <f>MAX(-10,MIN(0.8,IFERROR(INDEX(属性耐性マスタ!$B$5:$G$11,MATCH($C66,属性耐性マスタ!$A$5:$A$11,0),3),0)+IFERROR(VLOOKUP($AM66,個性タイプマスタ!$A$5:$P$100,12,FALSE),0)))</f>
        <v>0.08</v>
      </c>
      <c r="S66" s="58">
        <f>MAX(-10,MIN(0.8,IFERROR(INDEX(属性耐性マスタ!$B$5:$G$11,MATCH($C66,属性耐性マスタ!$A$5:$A$11,0),4),0)+IFERROR(VLOOKUP($AM66,個性タイプマスタ!$A$5:$P$100,12,FALSE),0)))</f>
        <v>0.08</v>
      </c>
      <c r="T66" s="58">
        <f>MAX(-10,MIN(0.8,IFERROR(INDEX(属性耐性マスタ!$B$5:$G$11,MATCH($C66,属性耐性マスタ!$A$5:$A$11,0),5),0)+IFERROR(VLOOKUP($AM66,個性タイプマスタ!$A$5:$P$100,12,FALSE),0)))</f>
        <v>0.28000000000000003</v>
      </c>
      <c r="U66" s="58">
        <f>MAX(-10,MIN(0.8,IFERROR(INDEX(属性耐性マスタ!$B$5:$G$11,MATCH($C66,属性耐性マスタ!$A$5:$A$11,0),6),0)+IFERROR(VLOOKUP($AM66,個性タイプマスタ!$A$5:$P$100,12,FALSE),0)))</f>
        <v>-2.0000000000000004E-2</v>
      </c>
      <c r="V66" s="59">
        <f>ROUND(設定!$B$19*IFERROR(VLOOKUP($AM66,個性タイプマスタ!$A$5:$P$100,13,FALSE),1),2)</f>
        <v>4</v>
      </c>
      <c r="W66" s="59">
        <v>11</v>
      </c>
      <c r="X66" s="59" t="str">
        <f>IFERROR(VLOOKUP($AM66,個性タイプマスタ!$A$5:$P$100,2,FALSE),"Ranged")</f>
        <v>Ranged</v>
      </c>
      <c r="Y66" s="56">
        <f>IFERROR(VLOOKUP($AM66,個性タイプマスタ!$A$5:$P$100,3,FALSE),1)</f>
        <v>1.5</v>
      </c>
      <c r="Z66" s="56">
        <f>IFERROR(VLOOKUP($AM66,個性タイプマスタ!$A$5:$P$100,4,FALSE),1)</f>
        <v>1.5</v>
      </c>
      <c r="AA66" s="56">
        <f>IFERROR(VLOOKUP($AM66,個性タイプマスタ!$A$5:$P$100,5,FALSE),1)</f>
        <v>1.4</v>
      </c>
      <c r="AB66" s="56">
        <f>IFERROR(VLOOKUP($AM66,個性タイプマスタ!$A$5:$P$100,6,FALSE),1)</f>
        <v>1.2</v>
      </c>
      <c r="AC66" s="56">
        <f>IFERROR(VLOOKUP($AM66,個性タイプマスタ!$A$5:$P$100,7,FALSE),1)</f>
        <v>1.2</v>
      </c>
      <c r="AD66" s="56">
        <f>IFERROR(VLOOKUP($AM66,個性タイプマスタ!$A$5:$P$100,8,FALSE),1)</f>
        <v>1</v>
      </c>
      <c r="AE66" s="60">
        <f>IFERROR(D66/設定!$B$5,1)</f>
        <v>2.5937000000000001</v>
      </c>
      <c r="AF66" s="60">
        <f>1+設定!$B$13*((I66/設定!$B$8+J66/設定!$B$9)/(2*AE66))</f>
        <v>1.4337433010756833</v>
      </c>
      <c r="AG66" s="60">
        <f>MAX(0.7,1+設定!$B$14*(O66/IF(X66="Melee",1.5,2.5)-1))</f>
        <v>1.024</v>
      </c>
      <c r="AH66" s="53">
        <f t="shared" si="1"/>
        <v>27.740159999999999</v>
      </c>
      <c r="AI66" s="53">
        <f>E66*AF66*(1+設定!$B$18*AVERAGE(P66:U66))</f>
        <v>581.98723138759294</v>
      </c>
      <c r="AJ66" s="61">
        <f>設定!$B$5*SQRT((AH66/(設定!$B$7*設定!$B$10*(1+設定!$B$11*(設定!$B$12-1))))*(AI66/(設定!$B$6*(1+設定!$B$13))))</f>
        <v>259.44263567011438</v>
      </c>
      <c r="AK66" s="62">
        <f t="shared" si="2"/>
        <v>2.800465362777782E-4</v>
      </c>
      <c r="AL66" s="63">
        <f t="shared" si="3"/>
        <v>259.37</v>
      </c>
      <c r="AM66" s="64" t="s">
        <v>890</v>
      </c>
      <c r="AN66" s="54">
        <f>MAX(1,ROUND((設定!$B$7*設定!$B$10*(1+設定!$B$11*(設定!$B$12-1)))*AE66^2*(設定!$B$6*(1+設定!$B$13))/(AI66*N66*(1+K66*(L66-1))*AG66),0))</f>
        <v>21</v>
      </c>
      <c r="AO66" s="65" t="str">
        <f>IF($A66="","",IF(COUNTIF(個性タイプマスタ!$A$5:$A$100,$AM66)&gt;0,"OK","未登録"))</f>
        <v>OK</v>
      </c>
      <c r="AP66" s="67" t="str">
        <f>IF($A66="","",IF(COUNTIF(属性耐性マスタ!$A$5:$A$11,$C66)&gt;0,"OK","未登録"))</f>
        <v>OK</v>
      </c>
    </row>
    <row r="67" spans="1:42">
      <c r="A67" s="66" t="s">
        <v>234</v>
      </c>
      <c r="B67" s="51" t="s">
        <v>235</v>
      </c>
      <c r="C67" s="109" t="s">
        <v>108</v>
      </c>
      <c r="D67" s="53">
        <f>ROUND(設定!$B$5*POWER($D$2,W67-1),2)</f>
        <v>259.37</v>
      </c>
      <c r="E67" s="54">
        <f>MAX(1,ROUND(設定!$B$6*AE67*Y67,0))</f>
        <v>236</v>
      </c>
      <c r="F67" s="54">
        <f>MAX(0,ROUND(設定!$B$7*AE67*設定!$B$15*IF(X67="Melee",0.6,1.35)*IFERROR(VLOOKUP($AM67,個性タイプマスタ!$A$5:$P$100,14,FALSE),1),0))</f>
        <v>61</v>
      </c>
      <c r="G67" s="54">
        <f>IF(X67="Melee",AN67,MAX(1,ROUND(AN67*設定!$B$16*IFERROR(VLOOKUP($AM67,個性タイプマスタ!$A$5:$P$100,15,FALSE),1),0)))</f>
        <v>26</v>
      </c>
      <c r="H67" s="54">
        <f>IF(X67="Ranged",AN67,MAX(1,ROUND(AN67*設定!$B$16*IFERROR(VLOOKUP($AM67,個性タイプマスタ!$A$5:$P$100,15,FALSE),1),0)))</f>
        <v>76</v>
      </c>
      <c r="I67" s="54">
        <f>MAX(0,ROUND(設定!$B$8*AE67*Z67,0))</f>
        <v>18</v>
      </c>
      <c r="J67" s="54">
        <f>MAX(0,ROUND(設定!$B$9*AE67*AA67,0))</f>
        <v>20</v>
      </c>
      <c r="K67" s="55">
        <f>IFERROR(VLOOKUP($AM67,個性タイプマスタ!$A$5:$P$100,9,FALSE),0.05)</f>
        <v>0.04</v>
      </c>
      <c r="L67" s="56">
        <f>IFERROR(VLOOKUP($AM67,個性タイプマスタ!$A$5:$P$100,10,FALSE),1.5)</f>
        <v>2.2000000000000002</v>
      </c>
      <c r="M67" s="56">
        <f>IFERROR(VLOOKUP($AM67,個性タイプマスタ!$A$5:$P$100,11,FALSE),2)</f>
        <v>1.65</v>
      </c>
      <c r="N67" s="57">
        <f>MAX(0.1,ROUND(設定!$B$10*AB67,3))</f>
        <v>0.64</v>
      </c>
      <c r="O67" s="57">
        <f t="shared" si="0"/>
        <v>3.7</v>
      </c>
      <c r="P67" s="58">
        <f>MAX(-10,MIN(0.8,IFERROR(INDEX(属性耐性マスタ!$B$5:$G$11,MATCH($C67,属性耐性マスタ!$A$5:$A$11,0),1),0)+IFERROR(VLOOKUP($AM67,個性タイプマスタ!$A$5:$P$100,12,FALSE),0)))</f>
        <v>-0.125</v>
      </c>
      <c r="Q67" s="58">
        <f>MAX(-10,MIN(0.8,IFERROR(INDEX(属性耐性マスタ!$B$5:$G$11,MATCH($C67,属性耐性マスタ!$A$5:$A$11,0),2),0)+IFERROR(VLOOKUP($AM67,個性タイプマスタ!$A$5:$P$100,12,FALSE),0)))</f>
        <v>0.17500000000000002</v>
      </c>
      <c r="R67" s="58">
        <f>MAX(-10,MIN(0.8,IFERROR(INDEX(属性耐性マスタ!$B$5:$G$11,MATCH($C67,属性耐性マスタ!$A$5:$A$11,0),3),0)+IFERROR(VLOOKUP($AM67,個性タイプマスタ!$A$5:$P$100,12,FALSE),0)))</f>
        <v>-2.5000000000000001E-2</v>
      </c>
      <c r="S67" s="58">
        <f>MAX(-10,MIN(0.8,IFERROR(INDEX(属性耐性マスタ!$B$5:$G$11,MATCH($C67,属性耐性マスタ!$A$5:$A$11,0),4),0)+IFERROR(VLOOKUP($AM67,個性タイプマスタ!$A$5:$P$100,12,FALSE),0)))</f>
        <v>-2.5000000000000001E-2</v>
      </c>
      <c r="T67" s="58">
        <f>MAX(-10,MIN(0.8,IFERROR(INDEX(属性耐性マスタ!$B$5:$G$11,MATCH($C67,属性耐性マスタ!$A$5:$A$11,0),5),0)+IFERROR(VLOOKUP($AM67,個性タイプマスタ!$A$5:$P$100,12,FALSE),0)))</f>
        <v>-2.5000000000000001E-2</v>
      </c>
      <c r="U67" s="58">
        <f>MAX(-10,MIN(0.8,IFERROR(INDEX(属性耐性マスタ!$B$5:$G$11,MATCH($C67,属性耐性マスタ!$A$5:$A$11,0),6),0)+IFERROR(VLOOKUP($AM67,個性タイプマスタ!$A$5:$P$100,12,FALSE),0)))</f>
        <v>-2.5000000000000001E-2</v>
      </c>
      <c r="V67" s="59">
        <f>ROUND(設定!$B$19*IFERROR(VLOOKUP($AM67,個性タイプマスタ!$A$5:$P$100,13,FALSE),1),2)</f>
        <v>5</v>
      </c>
      <c r="W67" s="59">
        <v>11</v>
      </c>
      <c r="X67" s="59" t="str">
        <f>IFERROR(VLOOKUP($AM67,個性タイプマスタ!$A$5:$P$100,2,FALSE),"Ranged")</f>
        <v>Ranged</v>
      </c>
      <c r="Y67" s="56">
        <f>IFERROR(VLOOKUP($AM67,個性タイプマスタ!$A$5:$P$100,3,FALSE),1)</f>
        <v>0.91</v>
      </c>
      <c r="Z67" s="56">
        <f>IFERROR(VLOOKUP($AM67,個性タイプマスタ!$A$5:$P$100,4,FALSE),1)</f>
        <v>0.88</v>
      </c>
      <c r="AA67" s="56">
        <f>IFERROR(VLOOKUP($AM67,個性タイプマスタ!$A$5:$P$100,5,FALSE),1)</f>
        <v>0.95</v>
      </c>
      <c r="AB67" s="56">
        <f>IFERROR(VLOOKUP($AM67,個性タイプマスタ!$A$5:$P$100,6,FALSE),1)</f>
        <v>0.64</v>
      </c>
      <c r="AC67" s="56">
        <f>IFERROR(VLOOKUP($AM67,個性タイプマスタ!$A$5:$P$100,7,FALSE),1)</f>
        <v>1.48</v>
      </c>
      <c r="AD67" s="56">
        <f>IFERROR(VLOOKUP($AM67,個性タイプマスタ!$A$5:$P$100,8,FALSE),1)</f>
        <v>0.75</v>
      </c>
      <c r="AE67" s="60">
        <f>IFERROR(D67/設定!$B$5,1)</f>
        <v>2.5937000000000001</v>
      </c>
      <c r="AF67" s="60">
        <f>1+設定!$B$13*((I67/設定!$B$8+J67/設定!$B$9)/(2*AE67))</f>
        <v>1.2747040906812661</v>
      </c>
      <c r="AG67" s="60">
        <f>MAX(0.7,1+設定!$B$14*(O67/IF(X67="Melee",1.5,2.5)-1))</f>
        <v>1.0576000000000001</v>
      </c>
      <c r="AH67" s="53">
        <f t="shared" si="1"/>
        <v>53.910863872000007</v>
      </c>
      <c r="AI67" s="53">
        <f>E67*AF67*(1+設定!$B$18*AVERAGE(P67:U67))</f>
        <v>299.70205228052589</v>
      </c>
      <c r="AJ67" s="61">
        <f>設定!$B$5*SQRT((AH67/(設定!$B$7*設定!$B$10*(1+設定!$B$11*(設定!$B$12-1))))*(AI67/(設定!$B$6*(1+設定!$B$13))))</f>
        <v>259.54528431025301</v>
      </c>
      <c r="AK67" s="62">
        <f t="shared" si="2"/>
        <v>6.7580795871924337E-4</v>
      </c>
      <c r="AL67" s="63">
        <f t="shared" si="3"/>
        <v>194.5275</v>
      </c>
      <c r="AM67" s="64" t="s">
        <v>912</v>
      </c>
      <c r="AN67" s="54">
        <f>MAX(1,ROUND((設定!$B$7*設定!$B$10*(1+設定!$B$11*(設定!$B$12-1)))*AE67^2*(設定!$B$6*(1+設定!$B$13))/(AI67*N67*(1+K67*(L67-1))*AG67),0))</f>
        <v>76</v>
      </c>
      <c r="AO67" s="65" t="str">
        <f>IF($A67="","",IF(COUNTIF(個性タイプマスタ!$A$5:$A$100,$AM67)&gt;0,"OK","未登録"))</f>
        <v>OK</v>
      </c>
      <c r="AP67" s="67" t="str">
        <f>IF($A67="","",IF(COUNTIF(属性耐性マスタ!$A$5:$A$11,$C67)&gt;0,"OK","未登録"))</f>
        <v>OK</v>
      </c>
    </row>
    <row r="68" spans="1:42">
      <c r="A68" s="66" t="s">
        <v>236</v>
      </c>
      <c r="B68" s="51" t="s">
        <v>237</v>
      </c>
      <c r="C68" s="109" t="s">
        <v>114</v>
      </c>
      <c r="D68" s="53">
        <f>ROUND(設定!$B$5*POWER($D$2,W68-1),2)</f>
        <v>259.37</v>
      </c>
      <c r="E68" s="54">
        <f>MAX(1,ROUND(設定!$B$6*AE68*Y68,0))</f>
        <v>290</v>
      </c>
      <c r="F68" s="54">
        <f>MAX(0,ROUND(設定!$B$7*AE68*設定!$B$15*IF(X68="Melee",0.6,1.35)*IFERROR(VLOOKUP($AM68,個性タイプマスタ!$A$5:$P$100,14,FALSE),1),0))</f>
        <v>16</v>
      </c>
      <c r="G68" s="54">
        <f>IF(X68="Melee",AN68,MAX(1,ROUND(AN68*設定!$B$16*IFERROR(VLOOKUP($AM68,個性タイプマスタ!$A$5:$P$100,15,FALSE),1),0)))</f>
        <v>38</v>
      </c>
      <c r="H68" s="54">
        <f>IF(X68="Ranged",AN68,MAX(1,ROUND(AN68*設定!$B$16*IFERROR(VLOOKUP($AM68,個性タイプマスタ!$A$5:$P$100,15,FALSE),1),0)))</f>
        <v>13</v>
      </c>
      <c r="I68" s="54">
        <f>MAX(0,ROUND(設定!$B$8*AE68*Z68,0))</f>
        <v>26</v>
      </c>
      <c r="J68" s="54">
        <f>MAX(0,ROUND(設定!$B$9*AE68*AA68,0))</f>
        <v>26</v>
      </c>
      <c r="K68" s="55">
        <f>IFERROR(VLOOKUP($AM68,個性タイプマスタ!$A$5:$P$100,9,FALSE),0.05)</f>
        <v>0.04</v>
      </c>
      <c r="L68" s="56">
        <f>IFERROR(VLOOKUP($AM68,個性タイプマスタ!$A$5:$P$100,10,FALSE),1.5)</f>
        <v>1.4</v>
      </c>
      <c r="M68" s="56">
        <f>IFERROR(VLOOKUP($AM68,個性タイプマスタ!$A$5:$P$100,11,FALSE),2)</f>
        <v>2.4500000000000002</v>
      </c>
      <c r="N68" s="57">
        <f>MAX(0.1,ROUND(設定!$B$10*AB68,3))</f>
        <v>1.03</v>
      </c>
      <c r="O68" s="57">
        <f t="shared" si="0"/>
        <v>1.47</v>
      </c>
      <c r="P68" s="58">
        <f>MAX(-10,MIN(0.8,IFERROR(INDEX(属性耐性マスタ!$B$5:$G$11,MATCH($C68,属性耐性マスタ!$A$5:$A$11,0),1),0)+IFERROR(VLOOKUP($AM68,個性タイプマスタ!$A$5:$P$100,12,FALSE),0)))</f>
        <v>0.04</v>
      </c>
      <c r="Q68" s="58">
        <f>MAX(-10,MIN(0.8,IFERROR(INDEX(属性耐性マスタ!$B$5:$G$11,MATCH($C68,属性耐性マスタ!$A$5:$A$11,0),2),0)+IFERROR(VLOOKUP($AM68,個性タイプマスタ!$A$5:$P$100,12,FALSE),0)))</f>
        <v>0.04</v>
      </c>
      <c r="R68" s="58">
        <f>MAX(-10,MIN(0.8,IFERROR(INDEX(属性耐性マスタ!$B$5:$G$11,MATCH($C68,属性耐性マスタ!$A$5:$A$11,0),3),0)+IFERROR(VLOOKUP($AM68,個性タイプマスタ!$A$5:$P$100,12,FALSE),0)))</f>
        <v>0.24000000000000002</v>
      </c>
      <c r="S68" s="58">
        <f>MAX(-10,MIN(0.8,IFERROR(INDEX(属性耐性マスタ!$B$5:$G$11,MATCH($C68,属性耐性マスタ!$A$5:$A$11,0),4),0)+IFERROR(VLOOKUP($AM68,個性タイプマスタ!$A$5:$P$100,12,FALSE),0)))</f>
        <v>-6.0000000000000005E-2</v>
      </c>
      <c r="T68" s="58">
        <f>MAX(-10,MIN(0.8,IFERROR(INDEX(属性耐性マスタ!$B$5:$G$11,MATCH($C68,属性耐性マスタ!$A$5:$A$11,0),5),0)+IFERROR(VLOOKUP($AM68,個性タイプマスタ!$A$5:$P$100,12,FALSE),0)))</f>
        <v>0.04</v>
      </c>
      <c r="U68" s="58">
        <f>MAX(-10,MIN(0.8,IFERROR(INDEX(属性耐性マスタ!$B$5:$G$11,MATCH($C68,属性耐性マスタ!$A$5:$A$11,0),6),0)+IFERROR(VLOOKUP($AM68,個性タイプマスタ!$A$5:$P$100,12,FALSE),0)))</f>
        <v>0.04</v>
      </c>
      <c r="V68" s="59">
        <f>ROUND(設定!$B$19*IFERROR(VLOOKUP($AM68,個性タイプマスタ!$A$5:$P$100,13,FALSE),1),2)</f>
        <v>4</v>
      </c>
      <c r="W68" s="59">
        <v>11</v>
      </c>
      <c r="X68" s="59" t="str">
        <f>IFERROR(VLOOKUP($AM68,個性タイプマスタ!$A$5:$P$100,2,FALSE),"Ranged")</f>
        <v>Melee</v>
      </c>
      <c r="Y68" s="56">
        <f>IFERROR(VLOOKUP($AM68,個性タイプマスタ!$A$5:$P$100,3,FALSE),1)</f>
        <v>1.1200000000000001</v>
      </c>
      <c r="Z68" s="56">
        <f>IFERROR(VLOOKUP($AM68,個性タイプマスタ!$A$5:$P$100,4,FALSE),1)</f>
        <v>1.26</v>
      </c>
      <c r="AA68" s="56">
        <f>IFERROR(VLOOKUP($AM68,個性タイプマスタ!$A$5:$P$100,5,FALSE),1)</f>
        <v>1.24</v>
      </c>
      <c r="AB68" s="56">
        <f>IFERROR(VLOOKUP($AM68,個性タイプマスタ!$A$5:$P$100,6,FALSE),1)</f>
        <v>1.03</v>
      </c>
      <c r="AC68" s="56">
        <f>IFERROR(VLOOKUP($AM68,個性タイプマスタ!$A$5:$P$100,7,FALSE),1)</f>
        <v>0.98</v>
      </c>
      <c r="AD68" s="56">
        <f>IFERROR(VLOOKUP($AM68,個性タイプマスタ!$A$5:$P$100,8,FALSE),1)</f>
        <v>0.82</v>
      </c>
      <c r="AE68" s="60">
        <f>IFERROR(D68/設定!$B$5,1)</f>
        <v>2.5937000000000001</v>
      </c>
      <c r="AF68" s="60">
        <f>1+設定!$B$13*((I68/設定!$B$8+J68/設定!$B$9)/(2*AE68))</f>
        <v>1.375910860932259</v>
      </c>
      <c r="AG68" s="60">
        <f>MAX(0.7,1+設定!$B$14*(O68/IF(X68="Melee",1.5,2.5)-1))</f>
        <v>0.99760000000000004</v>
      </c>
      <c r="AH68" s="53">
        <f t="shared" si="1"/>
        <v>39.670801024000006</v>
      </c>
      <c r="AI68" s="53">
        <f>E68*AF68*(1+設定!$B$18*AVERAGE(P68:U68))</f>
        <v>409.1890104869492</v>
      </c>
      <c r="AJ68" s="61">
        <f>設定!$B$5*SQRT((AH68/(設定!$B$7*設定!$B$10*(1+設定!$B$11*(設定!$B$12-1))))*(AI68/(設定!$B$6*(1+設定!$B$13))))</f>
        <v>260.15226067347913</v>
      </c>
      <c r="AK68" s="62">
        <f t="shared" si="2"/>
        <v>3.0160029050356751E-3</v>
      </c>
      <c r="AL68" s="63">
        <f t="shared" si="3"/>
        <v>212.68339999999998</v>
      </c>
      <c r="AM68" s="64" t="s">
        <v>964</v>
      </c>
      <c r="AN68" s="54">
        <f>MAX(1,ROUND((設定!$B$7*設定!$B$10*(1+設定!$B$11*(設定!$B$12-1)))*AE68^2*(設定!$B$6*(1+設定!$B$13))/(AI68*N68*(1+K68*(L68-1))*AG68),0))</f>
        <v>38</v>
      </c>
      <c r="AO68" s="65" t="str">
        <f>IF($A68="","",IF(COUNTIF(個性タイプマスタ!$A$5:$A$100,$AM68)&gt;0,"OK","未登録"))</f>
        <v>OK</v>
      </c>
      <c r="AP68" s="67" t="str">
        <f>IF($A68="","",IF(COUNTIF(属性耐性マスタ!$A$5:$A$11,$C68)&gt;0,"OK","未登録"))</f>
        <v>OK</v>
      </c>
    </row>
    <row r="69" spans="1:42">
      <c r="A69" s="66" t="s">
        <v>238</v>
      </c>
      <c r="B69" s="51" t="s">
        <v>239</v>
      </c>
      <c r="C69" s="109" t="s">
        <v>871</v>
      </c>
      <c r="D69" s="53">
        <f>ROUND(設定!$B$5*POWER($D$2,W69-1),2)</f>
        <v>259.37</v>
      </c>
      <c r="E69" s="54">
        <f>MAX(1,ROUND(設定!$B$6*AE69*Y69,0))</f>
        <v>197</v>
      </c>
      <c r="F69" s="54">
        <f>MAX(0,ROUND(設定!$B$7*AE69*設定!$B$15*IF(X69="Melee",0.6,1.35)*IFERROR(VLOOKUP($AM69,個性タイプマスタ!$A$5:$P$100,14,FALSE),1),0))</f>
        <v>10</v>
      </c>
      <c r="G69" s="54">
        <f>IF(X69="Melee",AN69,MAX(1,ROUND(AN69*設定!$B$16*IFERROR(VLOOKUP($AM69,個性タイプマスタ!$A$5:$P$100,15,FALSE),1),0)))</f>
        <v>68</v>
      </c>
      <c r="H69" s="54">
        <f>IF(X69="Ranged",AN69,MAX(1,ROUND(AN69*設定!$B$16*IFERROR(VLOOKUP($AM69,個性タイプマスタ!$A$5:$P$100,15,FALSE),1),0)))</f>
        <v>19</v>
      </c>
      <c r="I69" s="54">
        <f>MAX(0,ROUND(設定!$B$8*AE69*Z69,0))</f>
        <v>16</v>
      </c>
      <c r="J69" s="54">
        <f>MAX(0,ROUND(設定!$B$9*AE69*AA69,0))</f>
        <v>15</v>
      </c>
      <c r="K69" s="55">
        <f>IFERROR(VLOOKUP($AM69,個性タイプマスタ!$A$5:$P$100,9,FALSE),0.05)</f>
        <v>9.5000000000000001E-2</v>
      </c>
      <c r="L69" s="56">
        <f>IFERROR(VLOOKUP($AM69,個性タイプマスタ!$A$5:$P$100,10,FALSE),1.5)</f>
        <v>2.4</v>
      </c>
      <c r="M69" s="56">
        <f>IFERROR(VLOOKUP($AM69,個性タイプマスタ!$A$5:$P$100,11,FALSE),2)</f>
        <v>3.35</v>
      </c>
      <c r="N69" s="57">
        <f>MAX(0.1,ROUND(設定!$B$10*AB69,3))</f>
        <v>0.86</v>
      </c>
      <c r="O69" s="57">
        <f t="shared" ref="O69:O132" si="4">MAX(0.1,ROUND(IF(X69="Melee",1.5,2.5)*AC69,3))</f>
        <v>1.9950000000000001</v>
      </c>
      <c r="P69" s="58">
        <f>MAX(-10,MIN(0.8,IFERROR(INDEX(属性耐性マスタ!$B$5:$G$11,MATCH($C69,属性耐性マスタ!$A$5:$A$11,0),1),0)+IFERROR(VLOOKUP($AM69,個性タイプマスタ!$A$5:$P$100,12,FALSE),0)))</f>
        <v>-7.0000000000000007E-2</v>
      </c>
      <c r="Q69" s="58">
        <f>MAX(-10,MIN(0.8,IFERROR(INDEX(属性耐性マスタ!$B$5:$G$11,MATCH($C69,属性耐性マスタ!$A$5:$A$11,0),2),0)+IFERROR(VLOOKUP($AM69,個性タイプマスタ!$A$5:$P$100,12,FALSE),0)))</f>
        <v>-7.0000000000000007E-2</v>
      </c>
      <c r="R69" s="58">
        <f>MAX(-10,MIN(0.8,IFERROR(INDEX(属性耐性マスタ!$B$5:$G$11,MATCH($C69,属性耐性マスタ!$A$5:$A$11,0),3),0)+IFERROR(VLOOKUP($AM69,個性タイプマスタ!$A$5:$P$100,12,FALSE),0)))</f>
        <v>-0.17</v>
      </c>
      <c r="S69" s="58">
        <f>MAX(-10,MIN(0.8,IFERROR(INDEX(属性耐性マスタ!$B$5:$G$11,MATCH($C69,属性耐性マスタ!$A$5:$A$11,0),4),0)+IFERROR(VLOOKUP($AM69,個性タイプマスタ!$A$5:$P$100,12,FALSE),0)))</f>
        <v>0.13</v>
      </c>
      <c r="T69" s="58">
        <f>MAX(-10,MIN(0.8,IFERROR(INDEX(属性耐性マスタ!$B$5:$G$11,MATCH($C69,属性耐性マスタ!$A$5:$A$11,0),5),0)+IFERROR(VLOOKUP($AM69,個性タイプマスタ!$A$5:$P$100,12,FALSE),0)))</f>
        <v>-7.0000000000000007E-2</v>
      </c>
      <c r="U69" s="58">
        <f>MAX(-10,MIN(0.8,IFERROR(INDEX(属性耐性マスタ!$B$5:$G$11,MATCH($C69,属性耐性マスタ!$A$5:$A$11,0),6),0)+IFERROR(VLOOKUP($AM69,個性タイプマスタ!$A$5:$P$100,12,FALSE),0)))</f>
        <v>-7.0000000000000007E-2</v>
      </c>
      <c r="V69" s="59">
        <f>ROUND(設定!$B$19*IFERROR(VLOOKUP($AM69,個性タイプマスタ!$A$5:$P$100,13,FALSE),1),2)</f>
        <v>4.5999999999999996</v>
      </c>
      <c r="W69" s="59">
        <v>11</v>
      </c>
      <c r="X69" s="59" t="str">
        <f>IFERROR(VLOOKUP($AM69,個性タイプマスタ!$A$5:$P$100,2,FALSE),"Ranged")</f>
        <v>Melee</v>
      </c>
      <c r="Y69" s="56">
        <f>IFERROR(VLOOKUP($AM69,個性タイプマスタ!$A$5:$P$100,3,FALSE),1)</f>
        <v>0.76</v>
      </c>
      <c r="Z69" s="56">
        <f>IFERROR(VLOOKUP($AM69,個性タイプマスタ!$A$5:$P$100,4,FALSE),1)</f>
        <v>0.76</v>
      </c>
      <c r="AA69" s="56">
        <f>IFERROR(VLOOKUP($AM69,個性タイプマスタ!$A$5:$P$100,5,FALSE),1)</f>
        <v>0.7</v>
      </c>
      <c r="AB69" s="56">
        <f>IFERROR(VLOOKUP($AM69,個性タイプマスタ!$A$5:$P$100,6,FALSE),1)</f>
        <v>0.86</v>
      </c>
      <c r="AC69" s="56">
        <f>IFERROR(VLOOKUP($AM69,個性タイプマスタ!$A$5:$P$100,7,FALSE),1)</f>
        <v>1.33</v>
      </c>
      <c r="AD69" s="56">
        <f>IFERROR(VLOOKUP($AM69,個性タイプマスタ!$A$5:$P$100,8,FALSE),1)</f>
        <v>0.64</v>
      </c>
      <c r="AE69" s="60">
        <f>IFERROR(D69/設定!$B$5,1)</f>
        <v>2.5937000000000001</v>
      </c>
      <c r="AF69" s="60">
        <f>1+設定!$B$13*((I69/設定!$B$8+J69/設定!$B$9)/(2*AE69))</f>
        <v>1.2241007055557698</v>
      </c>
      <c r="AG69" s="60">
        <f>MAX(0.7,1+設定!$B$14*(O69/IF(X69="Melee",1.5,2.5)-1))</f>
        <v>1.0396000000000001</v>
      </c>
      <c r="AH69" s="53">
        <f t="shared" ref="AH69:AH132" si="5">IF(X69="Melee",G69,H69)*N69*(1+K69*(L69-1))*AG69</f>
        <v>68.881650464000003</v>
      </c>
      <c r="AI69" s="53">
        <f>E69*AF69*(1+設定!$B$18*AVERAGE(P69:U69))</f>
        <v>235.36029085861895</v>
      </c>
      <c r="AJ69" s="61">
        <f>設定!$B$5*SQRT((AH69/(設定!$B$7*設定!$B$10*(1+設定!$B$11*(設定!$B$12-1))))*(AI69/(設定!$B$6*(1+設定!$B$13))))</f>
        <v>259.9851288063482</v>
      </c>
      <c r="AK69" s="62">
        <f t="shared" ref="AK69:AK132" si="6">IF(D69=0,0,AJ69/D69-1)</f>
        <v>2.3716266582418655E-3</v>
      </c>
      <c r="AL69" s="63">
        <f t="shared" ref="AL69:AL132" si="7">D69*AD69</f>
        <v>165.99680000000001</v>
      </c>
      <c r="AM69" s="64" t="s">
        <v>978</v>
      </c>
      <c r="AN69" s="54">
        <f>MAX(1,ROUND((設定!$B$7*設定!$B$10*(1+設定!$B$11*(設定!$B$12-1)))*AE69^2*(設定!$B$6*(1+設定!$B$13))/(AI69*N69*(1+K69*(L69-1))*AG69),0))</f>
        <v>68</v>
      </c>
      <c r="AO69" s="65" t="str">
        <f>IF($A69="","",IF(COUNTIF(個性タイプマスタ!$A$5:$A$100,$AM69)&gt;0,"OK","未登録"))</f>
        <v>OK</v>
      </c>
      <c r="AP69" s="67" t="str">
        <f>IF($A69="","",IF(COUNTIF(属性耐性マスタ!$A$5:$A$11,$C69)&gt;0,"OK","未登録"))</f>
        <v>OK</v>
      </c>
    </row>
    <row r="70" spans="1:42">
      <c r="A70" s="66" t="s">
        <v>240</v>
      </c>
      <c r="B70" s="51" t="s">
        <v>241</v>
      </c>
      <c r="C70" s="109" t="s">
        <v>111</v>
      </c>
      <c r="D70" s="53">
        <f>ROUND(設定!$B$5*POWER($D$2,W70-1),2)</f>
        <v>259.37</v>
      </c>
      <c r="E70" s="54">
        <f>MAX(1,ROUND(設定!$B$6*AE70*Y70,0))</f>
        <v>259</v>
      </c>
      <c r="F70" s="54">
        <f>MAX(0,ROUND(設定!$B$7*AE70*設定!$B$15*IF(X70="Melee",0.6,1.35)*IFERROR(VLOOKUP($AM70,個性タイプマスタ!$A$5:$P$100,14,FALSE),1),0))</f>
        <v>55</v>
      </c>
      <c r="G70" s="54">
        <f>IF(X70="Melee",AN70,MAX(1,ROUND(AN70*設定!$B$16*IFERROR(VLOOKUP($AM70,個性タイプマスタ!$A$5:$P$100,15,FALSE),1),0)))</f>
        <v>21</v>
      </c>
      <c r="H70" s="54">
        <f>IF(X70="Ranged",AN70,MAX(1,ROUND(AN70*設定!$B$16*IFERROR(VLOOKUP($AM70,個性タイプマスタ!$A$5:$P$100,15,FALSE),1),0)))</f>
        <v>46</v>
      </c>
      <c r="I70" s="54">
        <f>MAX(0,ROUND(設定!$B$8*AE70*Z70,0))</f>
        <v>21</v>
      </c>
      <c r="J70" s="54">
        <f>MAX(0,ROUND(設定!$B$9*AE70*AA70,0))</f>
        <v>25</v>
      </c>
      <c r="K70" s="55">
        <f>IFERROR(VLOOKUP($AM70,個性タイプマスタ!$A$5:$P$100,9,FALSE),0.05)</f>
        <v>0.06</v>
      </c>
      <c r="L70" s="56">
        <f>IFERROR(VLOOKUP($AM70,個性タイプマスタ!$A$5:$P$100,10,FALSE),1.5)</f>
        <v>1.4</v>
      </c>
      <c r="M70" s="56">
        <f>IFERROR(VLOOKUP($AM70,個性タイプマスタ!$A$5:$P$100,11,FALSE),2)</f>
        <v>2.1</v>
      </c>
      <c r="N70" s="57">
        <f>MAX(0.1,ROUND(設定!$B$10*AB70,3))</f>
        <v>0.95</v>
      </c>
      <c r="O70" s="57">
        <f t="shared" si="4"/>
        <v>2.875</v>
      </c>
      <c r="P70" s="58">
        <f>MAX(-10,MIN(0.8,IFERROR(INDEX(属性耐性マスタ!$B$5:$G$11,MATCH($C70,属性耐性マスタ!$A$5:$A$11,0),1),0)+IFERROR(VLOOKUP($AM70,個性タイプマスタ!$A$5:$P$100,12,FALSE),0)))</f>
        <v>0.23</v>
      </c>
      <c r="Q70" s="58">
        <f>MAX(-10,MIN(0.8,IFERROR(INDEX(属性耐性マスタ!$B$5:$G$11,MATCH($C70,属性耐性マスタ!$A$5:$A$11,0),2),0)+IFERROR(VLOOKUP($AM70,個性タイプマスタ!$A$5:$P$100,12,FALSE),0)))</f>
        <v>-7.0000000000000007E-2</v>
      </c>
      <c r="R70" s="58">
        <f>MAX(-10,MIN(0.8,IFERROR(INDEX(属性耐性マスタ!$B$5:$G$11,MATCH($C70,属性耐性マスタ!$A$5:$A$11,0),3),0)+IFERROR(VLOOKUP($AM70,個性タイプマスタ!$A$5:$P$100,12,FALSE),0)))</f>
        <v>0.03</v>
      </c>
      <c r="S70" s="58">
        <f>MAX(-10,MIN(0.8,IFERROR(INDEX(属性耐性マスタ!$B$5:$G$11,MATCH($C70,属性耐性マスタ!$A$5:$A$11,0),4),0)+IFERROR(VLOOKUP($AM70,個性タイプマスタ!$A$5:$P$100,12,FALSE),0)))</f>
        <v>0.03</v>
      </c>
      <c r="T70" s="58">
        <f>MAX(-10,MIN(0.8,IFERROR(INDEX(属性耐性マスタ!$B$5:$G$11,MATCH($C70,属性耐性マスタ!$A$5:$A$11,0),5),0)+IFERROR(VLOOKUP($AM70,個性タイプマスタ!$A$5:$P$100,12,FALSE),0)))</f>
        <v>0.03</v>
      </c>
      <c r="U70" s="58">
        <f>MAX(-10,MIN(0.8,IFERROR(INDEX(属性耐性マスタ!$B$5:$G$11,MATCH($C70,属性耐性マスタ!$A$5:$A$11,0),6),0)+IFERROR(VLOOKUP($AM70,個性タイプマスタ!$A$5:$P$100,12,FALSE),0)))</f>
        <v>0.03</v>
      </c>
      <c r="V70" s="59">
        <f>ROUND(設定!$B$19*IFERROR(VLOOKUP($AM70,個性タイプマスタ!$A$5:$P$100,13,FALSE),1),2)</f>
        <v>4.8</v>
      </c>
      <c r="W70" s="59">
        <v>11</v>
      </c>
      <c r="X70" s="59" t="str">
        <f>IFERROR(VLOOKUP($AM70,個性タイプマスタ!$A$5:$P$100,2,FALSE),"Ranged")</f>
        <v>Ranged</v>
      </c>
      <c r="Y70" s="56">
        <f>IFERROR(VLOOKUP($AM70,個性タイプマスタ!$A$5:$P$100,3,FALSE),1)</f>
        <v>1</v>
      </c>
      <c r="Z70" s="56">
        <f>IFERROR(VLOOKUP($AM70,個性タイプマスタ!$A$5:$P$100,4,FALSE),1)</f>
        <v>1</v>
      </c>
      <c r="AA70" s="56">
        <f>IFERROR(VLOOKUP($AM70,個性タイプマスタ!$A$5:$P$100,5,FALSE),1)</f>
        <v>1.2</v>
      </c>
      <c r="AB70" s="56">
        <f>IFERROR(VLOOKUP($AM70,個性タイプマスタ!$A$5:$P$100,6,FALSE),1)</f>
        <v>0.95</v>
      </c>
      <c r="AC70" s="56">
        <f>IFERROR(VLOOKUP($AM70,個性タイプマスタ!$A$5:$P$100,7,FALSE),1)</f>
        <v>1.1499999999999999</v>
      </c>
      <c r="AD70" s="56">
        <f>IFERROR(VLOOKUP($AM70,個性タイプマスタ!$A$5:$P$100,8,FALSE),1)</f>
        <v>0.84</v>
      </c>
      <c r="AE70" s="60">
        <f>IFERROR(D70/設定!$B$5,1)</f>
        <v>2.5937000000000001</v>
      </c>
      <c r="AF70" s="60">
        <f>1+設定!$B$13*((I70/設定!$B$8+J70/設定!$B$9)/(2*AE70))</f>
        <v>1.3325365308246906</v>
      </c>
      <c r="AG70" s="60">
        <f>MAX(0.7,1+設定!$B$14*(O70/IF(X70="Melee",1.5,2.5)-1))</f>
        <v>1.018</v>
      </c>
      <c r="AH70" s="53">
        <f t="shared" si="5"/>
        <v>45.554278399999994</v>
      </c>
      <c r="AI70" s="53">
        <f>E70*AF70*(1+設定!$B$18*AVERAGE(P70:U70))</f>
        <v>352.37462767475034</v>
      </c>
      <c r="AJ70" s="61">
        <f>設定!$B$5*SQRT((AH70/(設定!$B$7*設定!$B$10*(1+設定!$B$11*(設定!$B$12-1))))*(AI70/(設定!$B$6*(1+設定!$B$13))))</f>
        <v>258.7003637731334</v>
      </c>
      <c r="AK70" s="62">
        <f t="shared" si="6"/>
        <v>-2.5817798005420833E-3</v>
      </c>
      <c r="AL70" s="63">
        <f t="shared" si="7"/>
        <v>217.8708</v>
      </c>
      <c r="AM70" s="64" t="s">
        <v>898</v>
      </c>
      <c r="AN70" s="54">
        <f>MAX(1,ROUND((設定!$B$7*設定!$B$10*(1+設定!$B$11*(設定!$B$12-1)))*AE70^2*(設定!$B$6*(1+設定!$B$13))/(AI70*N70*(1+K70*(L70-1))*AG70),0))</f>
        <v>46</v>
      </c>
      <c r="AO70" s="65" t="str">
        <f>IF($A70="","",IF(COUNTIF(個性タイプマスタ!$A$5:$A$100,$AM70)&gt;0,"OK","未登録"))</f>
        <v>OK</v>
      </c>
      <c r="AP70" s="67" t="str">
        <f>IF($A70="","",IF(COUNTIF(属性耐性マスタ!$A$5:$A$11,$C70)&gt;0,"OK","未登録"))</f>
        <v>OK</v>
      </c>
    </row>
    <row r="71" spans="1:42">
      <c r="A71" s="66" t="s">
        <v>242</v>
      </c>
      <c r="B71" s="51" t="s">
        <v>243</v>
      </c>
      <c r="C71" s="109" t="s">
        <v>111</v>
      </c>
      <c r="D71" s="53">
        <f>ROUND(設定!$B$5*POWER($D$2,W71-1),2)</f>
        <v>285.31</v>
      </c>
      <c r="E71" s="54">
        <f>MAX(1,ROUND(設定!$B$6*AE71*Y71,0))</f>
        <v>285</v>
      </c>
      <c r="F71" s="54">
        <f>MAX(0,ROUND(設定!$B$7*AE71*設定!$B$15*IF(X71="Melee",0.6,1.35)*IFERROR(VLOOKUP($AM71,個性タイプマスタ!$A$5:$P$100,14,FALSE),1),0))</f>
        <v>46</v>
      </c>
      <c r="G71" s="54">
        <f>IF(X71="Melee",AN71,MAX(1,ROUND(AN71*設定!$B$16*IFERROR(VLOOKUP($AM71,個性タイプマスタ!$A$5:$P$100,15,FALSE),1),0)))</f>
        <v>21</v>
      </c>
      <c r="H71" s="54">
        <f>IF(X71="Ranged",AN71,MAX(1,ROUND(AN71*設定!$B$16*IFERROR(VLOOKUP($AM71,個性タイプマスタ!$A$5:$P$100,15,FALSE),1),0)))</f>
        <v>46</v>
      </c>
      <c r="I71" s="54">
        <f>MAX(0,ROUND(設定!$B$8*AE71*Z71,0))</f>
        <v>22</v>
      </c>
      <c r="J71" s="54">
        <f>MAX(0,ROUND(設定!$B$9*AE71*AA71,0))</f>
        <v>25</v>
      </c>
      <c r="K71" s="55">
        <f>IFERROR(VLOOKUP($AM71,個性タイプマスタ!$A$5:$P$100,9,FALSE),0.05)</f>
        <v>7.0000000000000007E-2</v>
      </c>
      <c r="L71" s="56">
        <f>IFERROR(VLOOKUP($AM71,個性タイプマスタ!$A$5:$P$100,10,FALSE),1.5)</f>
        <v>1.55</v>
      </c>
      <c r="M71" s="56">
        <f>IFERROR(VLOOKUP($AM71,個性タイプマスタ!$A$5:$P$100,11,FALSE),2)</f>
        <v>2.2999999999999998</v>
      </c>
      <c r="N71" s="57">
        <f>MAX(0.1,ROUND(設定!$B$10*AB71,3))</f>
        <v>1.1000000000000001</v>
      </c>
      <c r="O71" s="57">
        <f t="shared" si="4"/>
        <v>2.7</v>
      </c>
      <c r="P71" s="58">
        <f>MAX(-10,MIN(0.8,IFERROR(INDEX(属性耐性マスタ!$B$5:$G$11,MATCH($C71,属性耐性マスタ!$A$5:$A$11,0),1),0)+IFERROR(VLOOKUP($AM71,個性タイプマスタ!$A$5:$P$100,12,FALSE),0)))</f>
        <v>0.17</v>
      </c>
      <c r="Q71" s="58">
        <f>MAX(-10,MIN(0.8,IFERROR(INDEX(属性耐性マスタ!$B$5:$G$11,MATCH($C71,属性耐性マスタ!$A$5:$A$11,0),2),0)+IFERROR(VLOOKUP($AM71,個性タイプマスタ!$A$5:$P$100,12,FALSE),0)))</f>
        <v>-0.13</v>
      </c>
      <c r="R71" s="58">
        <f>MAX(-10,MIN(0.8,IFERROR(INDEX(属性耐性マスタ!$B$5:$G$11,MATCH($C71,属性耐性マスタ!$A$5:$A$11,0),3),0)+IFERROR(VLOOKUP($AM71,個性タイプマスタ!$A$5:$P$100,12,FALSE),0)))</f>
        <v>-0.03</v>
      </c>
      <c r="S71" s="58">
        <f>MAX(-10,MIN(0.8,IFERROR(INDEX(属性耐性マスタ!$B$5:$G$11,MATCH($C71,属性耐性マスタ!$A$5:$A$11,0),4),0)+IFERROR(VLOOKUP($AM71,個性タイプマスタ!$A$5:$P$100,12,FALSE),0)))</f>
        <v>-0.03</v>
      </c>
      <c r="T71" s="58">
        <f>MAX(-10,MIN(0.8,IFERROR(INDEX(属性耐性マスタ!$B$5:$G$11,MATCH($C71,属性耐性マスタ!$A$5:$A$11,0),5),0)+IFERROR(VLOOKUP($AM71,個性タイプマスタ!$A$5:$P$100,12,FALSE),0)))</f>
        <v>-0.03</v>
      </c>
      <c r="U71" s="58">
        <f>MAX(-10,MIN(0.8,IFERROR(INDEX(属性耐性マスタ!$B$5:$G$11,MATCH($C71,属性耐性マスタ!$A$5:$A$11,0),6),0)+IFERROR(VLOOKUP($AM71,個性タイプマスタ!$A$5:$P$100,12,FALSE),0)))</f>
        <v>-0.03</v>
      </c>
      <c r="V71" s="59">
        <f>ROUND(設定!$B$19*IFERROR(VLOOKUP($AM71,個性タイプマスタ!$A$5:$P$100,13,FALSE),1),2)</f>
        <v>4</v>
      </c>
      <c r="W71" s="59">
        <v>12</v>
      </c>
      <c r="X71" s="59" t="str">
        <f>IFERROR(VLOOKUP($AM71,個性タイプマスタ!$A$5:$P$100,2,FALSE),"Ranged")</f>
        <v>Ranged</v>
      </c>
      <c r="Y71" s="56">
        <f>IFERROR(VLOOKUP($AM71,個性タイプマスタ!$A$5:$P$100,3,FALSE),1)</f>
        <v>1</v>
      </c>
      <c r="Z71" s="56">
        <f>IFERROR(VLOOKUP($AM71,個性タイプマスタ!$A$5:$P$100,4,FALSE),1)</f>
        <v>0.95</v>
      </c>
      <c r="AA71" s="56">
        <f>IFERROR(VLOOKUP($AM71,個性タイプマスタ!$A$5:$P$100,5,FALSE),1)</f>
        <v>1.1000000000000001</v>
      </c>
      <c r="AB71" s="56">
        <f>IFERROR(VLOOKUP($AM71,個性タイプマスタ!$A$5:$P$100,6,FALSE),1)</f>
        <v>1.1000000000000001</v>
      </c>
      <c r="AC71" s="56">
        <f>IFERROR(VLOOKUP($AM71,個性タイプマスタ!$A$5:$P$100,7,FALSE),1)</f>
        <v>1.08</v>
      </c>
      <c r="AD71" s="56">
        <f>IFERROR(VLOOKUP($AM71,個性タイプマスタ!$A$5:$P$100,8,FALSE),1)</f>
        <v>0.8</v>
      </c>
      <c r="AE71" s="60">
        <f>IFERROR(D71/設定!$B$5,1)</f>
        <v>2.8531</v>
      </c>
      <c r="AF71" s="60">
        <f>1+設定!$B$13*((I71/設定!$B$8+J71/設定!$B$9)/(2*AE71))</f>
        <v>1.3088745574988609</v>
      </c>
      <c r="AG71" s="60">
        <f>MAX(0.7,1+設定!$B$14*(O71/IF(X71="Melee",1.5,2.5)-1))</f>
        <v>1.0096000000000001</v>
      </c>
      <c r="AH71" s="53">
        <f t="shared" si="5"/>
        <v>53.052561760000003</v>
      </c>
      <c r="AI71" s="53">
        <f>E71*AF71*(1+設定!$B$18*AVERAGE(P71:U71))</f>
        <v>370.79107339385229</v>
      </c>
      <c r="AJ71" s="61">
        <f>設定!$B$5*SQRT((AH71/(設定!$B$7*設定!$B$10*(1+設定!$B$11*(設定!$B$12-1))))*(AI71/(設定!$B$6*(1+設定!$B$13))))</f>
        <v>286.3834743067228</v>
      </c>
      <c r="AK71" s="62">
        <f t="shared" si="6"/>
        <v>3.7624839883734218E-3</v>
      </c>
      <c r="AL71" s="63">
        <f t="shared" si="7"/>
        <v>228.24800000000002</v>
      </c>
      <c r="AM71" s="64" t="s">
        <v>883</v>
      </c>
      <c r="AN71" s="54">
        <f>MAX(1,ROUND((設定!$B$7*設定!$B$10*(1+設定!$B$11*(設定!$B$12-1)))*AE71^2*(設定!$B$6*(1+設定!$B$13))/(AI71*N71*(1+K71*(L71-1))*AG71),0))</f>
        <v>46</v>
      </c>
      <c r="AO71" s="65" t="str">
        <f>IF($A71="","",IF(COUNTIF(個性タイプマスタ!$A$5:$A$100,$AM71)&gt;0,"OK","未登録"))</f>
        <v>OK</v>
      </c>
      <c r="AP71" s="67" t="str">
        <f>IF($A71="","",IF(COUNTIF(属性耐性マスタ!$A$5:$A$11,$C71)&gt;0,"OK","未登録"))</f>
        <v>OK</v>
      </c>
    </row>
    <row r="72" spans="1:42">
      <c r="A72" s="66" t="s">
        <v>244</v>
      </c>
      <c r="B72" s="51" t="s">
        <v>245</v>
      </c>
      <c r="C72" s="109" t="s">
        <v>111</v>
      </c>
      <c r="D72" s="53">
        <f>ROUND(設定!$B$5*POWER($D$2,W72-1),2)</f>
        <v>285.31</v>
      </c>
      <c r="E72" s="54">
        <f>MAX(1,ROUND(設定!$B$6*AE72*Y72,0))</f>
        <v>191</v>
      </c>
      <c r="F72" s="54">
        <f>MAX(0,ROUND(設定!$B$7*AE72*設定!$B$15*IF(X72="Melee",0.6,1.35)*IFERROR(VLOOKUP($AM72,個性タイプマスタ!$A$5:$P$100,14,FALSE),1),0))</f>
        <v>46</v>
      </c>
      <c r="G72" s="54">
        <f>IF(X72="Melee",AN72,MAX(1,ROUND(AN72*設定!$B$16*IFERROR(VLOOKUP($AM72,個性タイプマスタ!$A$5:$P$100,15,FALSE),1),0)))</f>
        <v>21</v>
      </c>
      <c r="H72" s="54">
        <f>IF(X72="Ranged",AN72,MAX(1,ROUND(AN72*設定!$B$16*IFERROR(VLOOKUP($AM72,個性タイプマスタ!$A$5:$P$100,15,FALSE),1),0)))</f>
        <v>91</v>
      </c>
      <c r="I72" s="54">
        <f>MAX(0,ROUND(設定!$B$8*AE72*Z72,0))</f>
        <v>15</v>
      </c>
      <c r="J72" s="54">
        <f>MAX(0,ROUND(設定!$B$9*AE72*AA72,0))</f>
        <v>18</v>
      </c>
      <c r="K72" s="55">
        <f>IFERROR(VLOOKUP($AM72,個性タイプマスタ!$A$5:$P$100,9,FALSE),0.05)</f>
        <v>0.18</v>
      </c>
      <c r="L72" s="56">
        <f>IFERROR(VLOOKUP($AM72,個性タイプマスタ!$A$5:$P$100,10,FALSE),1.5)</f>
        <v>1.85</v>
      </c>
      <c r="M72" s="56">
        <f>IFERROR(VLOOKUP($AM72,個性タイプマスタ!$A$5:$P$100,11,FALSE),2)</f>
        <v>2.0499999999999998</v>
      </c>
      <c r="N72" s="57">
        <f>MAX(0.1,ROUND(設定!$B$10*AB72,3))</f>
        <v>0.75</v>
      </c>
      <c r="O72" s="57">
        <f t="shared" si="4"/>
        <v>4.45</v>
      </c>
      <c r="P72" s="58">
        <f>MAX(-10,MIN(0.8,IFERROR(INDEX(属性耐性マスタ!$B$5:$G$11,MATCH($C72,属性耐性マスタ!$A$5:$A$11,0),1),0)+IFERROR(VLOOKUP($AM72,個性タイプマスタ!$A$5:$P$100,12,FALSE),0)))</f>
        <v>0.14000000000000001</v>
      </c>
      <c r="Q72" s="58">
        <f>MAX(-10,MIN(0.8,IFERROR(INDEX(属性耐性マスタ!$B$5:$G$11,MATCH($C72,属性耐性マスタ!$A$5:$A$11,0),2),0)+IFERROR(VLOOKUP($AM72,個性タイプマスタ!$A$5:$P$100,12,FALSE),0)))</f>
        <v>-0.16</v>
      </c>
      <c r="R72" s="58">
        <f>MAX(-10,MIN(0.8,IFERROR(INDEX(属性耐性マスタ!$B$5:$G$11,MATCH($C72,属性耐性マスタ!$A$5:$A$11,0),3),0)+IFERROR(VLOOKUP($AM72,個性タイプマスタ!$A$5:$P$100,12,FALSE),0)))</f>
        <v>-0.06</v>
      </c>
      <c r="S72" s="58">
        <f>MAX(-10,MIN(0.8,IFERROR(INDEX(属性耐性マスタ!$B$5:$G$11,MATCH($C72,属性耐性マスタ!$A$5:$A$11,0),4),0)+IFERROR(VLOOKUP($AM72,個性タイプマスタ!$A$5:$P$100,12,FALSE),0)))</f>
        <v>-0.06</v>
      </c>
      <c r="T72" s="58">
        <f>MAX(-10,MIN(0.8,IFERROR(INDEX(属性耐性マスタ!$B$5:$G$11,MATCH($C72,属性耐性マスタ!$A$5:$A$11,0),5),0)+IFERROR(VLOOKUP($AM72,個性タイプマスタ!$A$5:$P$100,12,FALSE),0)))</f>
        <v>-0.06</v>
      </c>
      <c r="U72" s="58">
        <f>MAX(-10,MIN(0.8,IFERROR(INDEX(属性耐性マスタ!$B$5:$G$11,MATCH($C72,属性耐性マスタ!$A$5:$A$11,0),6),0)+IFERROR(VLOOKUP($AM72,個性タイプマスタ!$A$5:$P$100,12,FALSE),0)))</f>
        <v>-0.06</v>
      </c>
      <c r="V72" s="59">
        <f>ROUND(設定!$B$19*IFERROR(VLOOKUP($AM72,個性タイプマスタ!$A$5:$P$100,13,FALSE),1),2)</f>
        <v>5.6</v>
      </c>
      <c r="W72" s="59">
        <v>12</v>
      </c>
      <c r="X72" s="59" t="str">
        <f>IFERROR(VLOOKUP($AM72,個性タイプマスタ!$A$5:$P$100,2,FALSE),"Ranged")</f>
        <v>Ranged</v>
      </c>
      <c r="Y72" s="56">
        <f>IFERROR(VLOOKUP($AM72,個性タイプマスタ!$A$5:$P$100,3,FALSE),1)</f>
        <v>0.67</v>
      </c>
      <c r="Z72" s="56">
        <f>IFERROR(VLOOKUP($AM72,個性タイプマスタ!$A$5:$P$100,4,FALSE),1)</f>
        <v>0.65</v>
      </c>
      <c r="AA72" s="56">
        <f>IFERROR(VLOOKUP($AM72,個性タイプマスタ!$A$5:$P$100,5,FALSE),1)</f>
        <v>0.8</v>
      </c>
      <c r="AB72" s="56">
        <f>IFERROR(VLOOKUP($AM72,個性タイプマスタ!$A$5:$P$100,6,FALSE),1)</f>
        <v>0.75</v>
      </c>
      <c r="AC72" s="56">
        <f>IFERROR(VLOOKUP($AM72,個性タイプマスタ!$A$5:$P$100,7,FALSE),1)</f>
        <v>1.78</v>
      </c>
      <c r="AD72" s="56">
        <f>IFERROR(VLOOKUP($AM72,個性タイプマスタ!$A$5:$P$100,8,FALSE),1)</f>
        <v>0.62</v>
      </c>
      <c r="AE72" s="60">
        <f>IFERROR(D72/設定!$B$5,1)</f>
        <v>2.8531</v>
      </c>
      <c r="AF72" s="60">
        <f>1+設定!$B$13*((I72/設定!$B$8+J72/設定!$B$9)/(2*AE72))</f>
        <v>1.2168693701587747</v>
      </c>
      <c r="AG72" s="60">
        <f>MAX(0.7,1+設定!$B$14*(O72/IF(X72="Melee",1.5,2.5)-1))</f>
        <v>1.0935999999999999</v>
      </c>
      <c r="AH72" s="53">
        <f t="shared" si="5"/>
        <v>86.057844599999996</v>
      </c>
      <c r="AI72" s="53">
        <f>E72*AF72*(1+設定!$B$18*AVERAGE(P72:U72))</f>
        <v>227.88981973116961</v>
      </c>
      <c r="AJ72" s="61">
        <f>設定!$B$5*SQRT((AH72/(設定!$B$7*設定!$B$10*(1+設定!$B$11*(設定!$B$12-1))))*(AI72/(設定!$B$6*(1+設定!$B$13))))</f>
        <v>285.94850698045019</v>
      </c>
      <c r="AK72" s="62">
        <f t="shared" si="6"/>
        <v>2.2379411182580355E-3</v>
      </c>
      <c r="AL72" s="63">
        <f t="shared" si="7"/>
        <v>176.8922</v>
      </c>
      <c r="AM72" s="64" t="s">
        <v>910</v>
      </c>
      <c r="AN72" s="54">
        <f>MAX(1,ROUND((設定!$B$7*設定!$B$10*(1+設定!$B$11*(設定!$B$12-1)))*AE72^2*(設定!$B$6*(1+設定!$B$13))/(AI72*N72*(1+K72*(L72-1))*AG72),0))</f>
        <v>91</v>
      </c>
      <c r="AO72" s="65" t="str">
        <f>IF($A72="","",IF(COUNTIF(個性タイプマスタ!$A$5:$A$100,$AM72)&gt;0,"OK","未登録"))</f>
        <v>OK</v>
      </c>
      <c r="AP72" s="67" t="str">
        <f>IF($A72="","",IF(COUNTIF(属性耐性マスタ!$A$5:$A$11,$C72)&gt;0,"OK","未登録"))</f>
        <v>OK</v>
      </c>
    </row>
    <row r="73" spans="1:42">
      <c r="A73" s="66" t="s">
        <v>246</v>
      </c>
      <c r="B73" s="51" t="s">
        <v>247</v>
      </c>
      <c r="C73" s="109" t="s">
        <v>111</v>
      </c>
      <c r="D73" s="53">
        <f>ROUND(設定!$B$5*POWER($D$2,W73-1),2)</f>
        <v>285.31</v>
      </c>
      <c r="E73" s="54">
        <f>MAX(1,ROUND(設定!$B$6*AE73*Y73,0))</f>
        <v>234</v>
      </c>
      <c r="F73" s="54">
        <f>MAX(0,ROUND(設定!$B$7*AE73*設定!$B$15*IF(X73="Melee",0.6,1.35)*IFERROR(VLOOKUP($AM73,個性タイプマスタ!$A$5:$P$100,14,FALSE),1),0))</f>
        <v>56</v>
      </c>
      <c r="G73" s="54">
        <f>IF(X73="Melee",AN73,MAX(1,ROUND(AN73*設定!$B$16*IFERROR(VLOOKUP($AM73,個性タイプマスタ!$A$5:$P$100,15,FALSE),1),0)))</f>
        <v>22</v>
      </c>
      <c r="H73" s="54">
        <f>IF(X73="Ranged",AN73,MAX(1,ROUND(AN73*設定!$B$16*IFERROR(VLOOKUP($AM73,個性タイプマスタ!$A$5:$P$100,15,FALSE),1),0)))</f>
        <v>80</v>
      </c>
      <c r="I73" s="54">
        <f>MAX(0,ROUND(設定!$B$8*AE73*Z73,0))</f>
        <v>18</v>
      </c>
      <c r="J73" s="54">
        <f>MAX(0,ROUND(設定!$B$9*AE73*AA73,0))</f>
        <v>20</v>
      </c>
      <c r="K73" s="55">
        <f>IFERROR(VLOOKUP($AM73,個性タイプマスタ!$A$5:$P$100,9,FALSE),0.05)</f>
        <v>0.12</v>
      </c>
      <c r="L73" s="56">
        <f>IFERROR(VLOOKUP($AM73,個性タイプマスタ!$A$5:$P$100,10,FALSE),1.5)</f>
        <v>2.5499999999999998</v>
      </c>
      <c r="M73" s="56">
        <f>IFERROR(VLOOKUP($AM73,個性タイプマスタ!$A$5:$P$100,11,FALSE),2)</f>
        <v>2.2999999999999998</v>
      </c>
      <c r="N73" s="57">
        <f>MAX(0.1,ROUND(設定!$B$10*AB73,3))</f>
        <v>0.68</v>
      </c>
      <c r="O73" s="57">
        <f t="shared" si="4"/>
        <v>3.55</v>
      </c>
      <c r="P73" s="58">
        <f>MAX(-10,MIN(0.8,IFERROR(INDEX(属性耐性マスタ!$B$5:$G$11,MATCH($C73,属性耐性マスタ!$A$5:$A$11,0),1),0)+IFERROR(VLOOKUP($AM73,個性タイプマスタ!$A$5:$P$100,12,FALSE),0)))</f>
        <v>0.14500000000000002</v>
      </c>
      <c r="Q73" s="58">
        <f>MAX(-10,MIN(0.8,IFERROR(INDEX(属性耐性マスタ!$B$5:$G$11,MATCH($C73,属性耐性マスタ!$A$5:$A$11,0),2),0)+IFERROR(VLOOKUP($AM73,個性タイプマスタ!$A$5:$P$100,12,FALSE),0)))</f>
        <v>-0.155</v>
      </c>
      <c r="R73" s="58">
        <f>MAX(-10,MIN(0.8,IFERROR(INDEX(属性耐性マスタ!$B$5:$G$11,MATCH($C73,属性耐性マスタ!$A$5:$A$11,0),3),0)+IFERROR(VLOOKUP($AM73,個性タイプマスタ!$A$5:$P$100,12,FALSE),0)))</f>
        <v>-5.5E-2</v>
      </c>
      <c r="S73" s="58">
        <f>MAX(-10,MIN(0.8,IFERROR(INDEX(属性耐性マスタ!$B$5:$G$11,MATCH($C73,属性耐性マスタ!$A$5:$A$11,0),4),0)+IFERROR(VLOOKUP($AM73,個性タイプマスタ!$A$5:$P$100,12,FALSE),0)))</f>
        <v>-5.5E-2</v>
      </c>
      <c r="T73" s="58">
        <f>MAX(-10,MIN(0.8,IFERROR(INDEX(属性耐性マスタ!$B$5:$G$11,MATCH($C73,属性耐性マスタ!$A$5:$A$11,0),5),0)+IFERROR(VLOOKUP($AM73,個性タイプマスタ!$A$5:$P$100,12,FALSE),0)))</f>
        <v>-5.5E-2</v>
      </c>
      <c r="U73" s="58">
        <f>MAX(-10,MIN(0.8,IFERROR(INDEX(属性耐性マスタ!$B$5:$G$11,MATCH($C73,属性耐性マスタ!$A$5:$A$11,0),6),0)+IFERROR(VLOOKUP($AM73,個性タイプマスタ!$A$5:$P$100,12,FALSE),0)))</f>
        <v>-5.5E-2</v>
      </c>
      <c r="V73" s="59">
        <f>ROUND(設定!$B$19*IFERROR(VLOOKUP($AM73,個性タイプマスタ!$A$5:$P$100,13,FALSE),1),2)</f>
        <v>4.8</v>
      </c>
      <c r="W73" s="59">
        <v>12</v>
      </c>
      <c r="X73" s="59" t="str">
        <f>IFERROR(VLOOKUP($AM73,個性タイプマスタ!$A$5:$P$100,2,FALSE),"Ranged")</f>
        <v>Ranged</v>
      </c>
      <c r="Y73" s="56">
        <f>IFERROR(VLOOKUP($AM73,個性タイプマスタ!$A$5:$P$100,3,FALSE),1)</f>
        <v>0.82</v>
      </c>
      <c r="Z73" s="56">
        <f>IFERROR(VLOOKUP($AM73,個性タイプマスタ!$A$5:$P$100,4,FALSE),1)</f>
        <v>0.81</v>
      </c>
      <c r="AA73" s="56">
        <f>IFERROR(VLOOKUP($AM73,個性タイプマスタ!$A$5:$P$100,5,FALSE),1)</f>
        <v>0.87</v>
      </c>
      <c r="AB73" s="56">
        <f>IFERROR(VLOOKUP($AM73,個性タイプマスタ!$A$5:$P$100,6,FALSE),1)</f>
        <v>0.68</v>
      </c>
      <c r="AC73" s="56">
        <f>IFERROR(VLOOKUP($AM73,個性タイプマスタ!$A$5:$P$100,7,FALSE),1)</f>
        <v>1.42</v>
      </c>
      <c r="AD73" s="56">
        <f>IFERROR(VLOOKUP($AM73,個性タイプマスタ!$A$5:$P$100,8,FALSE),1)</f>
        <v>0.67</v>
      </c>
      <c r="AE73" s="60">
        <f>IFERROR(D73/設定!$B$5,1)</f>
        <v>2.8531</v>
      </c>
      <c r="AF73" s="60">
        <f>1+設定!$B$13*((I73/設定!$B$8+J73/設定!$B$9)/(2*AE73))</f>
        <v>1.249728365637377</v>
      </c>
      <c r="AG73" s="60">
        <f>MAX(0.7,1+設定!$B$14*(O73/IF(X73="Melee",1.5,2.5)-1))</f>
        <v>1.0504</v>
      </c>
      <c r="AH73" s="53">
        <f t="shared" si="5"/>
        <v>67.770127360000004</v>
      </c>
      <c r="AI73" s="53">
        <f>E73*AF73*(1+設定!$B$18*AVERAGE(P73:U73))</f>
        <v>287.39190901125096</v>
      </c>
      <c r="AJ73" s="61">
        <f>設定!$B$5*SQRT((AH73/(設定!$B$7*設定!$B$10*(1+設定!$B$11*(設定!$B$12-1))))*(AI73/(設定!$B$6*(1+設定!$B$13))))</f>
        <v>284.96174271841579</v>
      </c>
      <c r="AK73" s="62">
        <f t="shared" si="6"/>
        <v>-1.220627673703012E-3</v>
      </c>
      <c r="AL73" s="63">
        <f t="shared" si="7"/>
        <v>191.15770000000001</v>
      </c>
      <c r="AM73" s="64" t="s">
        <v>924</v>
      </c>
      <c r="AN73" s="54">
        <f>MAX(1,ROUND((設定!$B$7*設定!$B$10*(1+設定!$B$11*(設定!$B$12-1)))*AE73^2*(設定!$B$6*(1+設定!$B$13))/(AI73*N73*(1+K73*(L73-1))*AG73),0))</f>
        <v>80</v>
      </c>
      <c r="AO73" s="65" t="str">
        <f>IF($A73="","",IF(COUNTIF(個性タイプマスタ!$A$5:$A$100,$AM73)&gt;0,"OK","未登録"))</f>
        <v>OK</v>
      </c>
      <c r="AP73" s="67" t="str">
        <f>IF($A73="","",IF(COUNTIF(属性耐性マスタ!$A$5:$A$11,$C73)&gt;0,"OK","未登録"))</f>
        <v>OK</v>
      </c>
    </row>
    <row r="74" spans="1:42">
      <c r="A74" s="66" t="s">
        <v>248</v>
      </c>
      <c r="B74" s="51" t="s">
        <v>249</v>
      </c>
      <c r="C74" s="109" t="s">
        <v>111</v>
      </c>
      <c r="D74" s="53">
        <f>ROUND(設定!$B$5*POWER($D$2,W74-1),2)</f>
        <v>285.31</v>
      </c>
      <c r="E74" s="54">
        <f>MAX(1,ROUND(設定!$B$6*AE74*Y74,0))</f>
        <v>431</v>
      </c>
      <c r="F74" s="54">
        <f>MAX(0,ROUND(設定!$B$7*AE74*設定!$B$15*IF(X74="Melee",0.6,1.35)*IFERROR(VLOOKUP($AM74,個性タイプマスタ!$A$5:$P$100,14,FALSE),1),0))</f>
        <v>16</v>
      </c>
      <c r="G74" s="54">
        <f>IF(X74="Melee",AN74,MAX(1,ROUND(AN74*設定!$B$16*IFERROR(VLOOKUP($AM74,個性タイプマスタ!$A$5:$P$100,15,FALSE),1),0)))</f>
        <v>39</v>
      </c>
      <c r="H74" s="54">
        <f>IF(X74="Ranged",AN74,MAX(1,ROUND(AN74*設定!$B$16*IFERROR(VLOOKUP($AM74,個性タイプマスタ!$A$5:$P$100,15,FALSE),1),0)))</f>
        <v>14</v>
      </c>
      <c r="I74" s="54">
        <f>MAX(0,ROUND(設定!$B$8*AE74*Z74,0))</f>
        <v>39</v>
      </c>
      <c r="J74" s="54">
        <f>MAX(0,ROUND(設定!$B$9*AE74*AA74,0))</f>
        <v>21</v>
      </c>
      <c r="K74" s="55">
        <f>IFERROR(VLOOKUP($AM74,個性タイプマスタ!$A$5:$P$100,9,FALSE),0.05)</f>
        <v>3.5000000000000003E-2</v>
      </c>
      <c r="L74" s="56">
        <f>IFERROR(VLOOKUP($AM74,個性タイプマスタ!$A$5:$P$100,10,FALSE),1.5)</f>
        <v>1.43</v>
      </c>
      <c r="M74" s="56">
        <f>IFERROR(VLOOKUP($AM74,個性タイプマスタ!$A$5:$P$100,11,FALSE),2)</f>
        <v>1.75</v>
      </c>
      <c r="N74" s="57">
        <f>MAX(0.1,ROUND(設定!$B$10*AB74,3))</f>
        <v>0.73</v>
      </c>
      <c r="O74" s="57">
        <f t="shared" si="4"/>
        <v>2.3250000000000002</v>
      </c>
      <c r="P74" s="58">
        <f>MAX(-10,MIN(0.8,IFERROR(INDEX(属性耐性マスタ!$B$5:$G$11,MATCH($C74,属性耐性マスタ!$A$5:$A$11,0),1),0)+IFERROR(VLOOKUP($AM74,個性タイプマスタ!$A$5:$P$100,12,FALSE),0)))</f>
        <v>0.29000000000000004</v>
      </c>
      <c r="Q74" s="58">
        <f>MAX(-10,MIN(0.8,IFERROR(INDEX(属性耐性マスタ!$B$5:$G$11,MATCH($C74,属性耐性マスタ!$A$5:$A$11,0),2),0)+IFERROR(VLOOKUP($AM74,個性タイプマスタ!$A$5:$P$100,12,FALSE),0)))</f>
        <v>-1.0000000000000009E-2</v>
      </c>
      <c r="R74" s="58">
        <f>MAX(-10,MIN(0.8,IFERROR(INDEX(属性耐性マスタ!$B$5:$G$11,MATCH($C74,属性耐性マスタ!$A$5:$A$11,0),3),0)+IFERROR(VLOOKUP($AM74,個性タイプマスタ!$A$5:$P$100,12,FALSE),0)))</f>
        <v>0.09</v>
      </c>
      <c r="S74" s="58">
        <f>MAX(-10,MIN(0.8,IFERROR(INDEX(属性耐性マスタ!$B$5:$G$11,MATCH($C74,属性耐性マスタ!$A$5:$A$11,0),4),0)+IFERROR(VLOOKUP($AM74,個性タイプマスタ!$A$5:$P$100,12,FALSE),0)))</f>
        <v>0.09</v>
      </c>
      <c r="T74" s="58">
        <f>MAX(-10,MIN(0.8,IFERROR(INDEX(属性耐性マスタ!$B$5:$G$11,MATCH($C74,属性耐性マスタ!$A$5:$A$11,0),5),0)+IFERROR(VLOOKUP($AM74,個性タイプマスタ!$A$5:$P$100,12,FALSE),0)))</f>
        <v>0.09</v>
      </c>
      <c r="U74" s="58">
        <f>MAX(-10,MIN(0.8,IFERROR(INDEX(属性耐性マスタ!$B$5:$G$11,MATCH($C74,属性耐性マスタ!$A$5:$A$11,0),6),0)+IFERROR(VLOOKUP($AM74,個性タイプマスタ!$A$5:$P$100,12,FALSE),0)))</f>
        <v>0.09</v>
      </c>
      <c r="V74" s="59">
        <f>ROUND(設定!$B$19*IFERROR(VLOOKUP($AM74,個性タイプマスタ!$A$5:$P$100,13,FALSE),1),2)</f>
        <v>4.4000000000000004</v>
      </c>
      <c r="W74" s="59">
        <v>12</v>
      </c>
      <c r="X74" s="59" t="str">
        <f>IFERROR(VLOOKUP($AM74,個性タイプマスタ!$A$5:$P$100,2,FALSE),"Ranged")</f>
        <v>Melee</v>
      </c>
      <c r="Y74" s="56">
        <f>IFERROR(VLOOKUP($AM74,個性タイプマスタ!$A$5:$P$100,3,FALSE),1)</f>
        <v>1.51</v>
      </c>
      <c r="Z74" s="56">
        <f>IFERROR(VLOOKUP($AM74,個性タイプマスタ!$A$5:$P$100,4,FALSE),1)</f>
        <v>1.69</v>
      </c>
      <c r="AA74" s="56">
        <f>IFERROR(VLOOKUP($AM74,個性タイプマスタ!$A$5:$P$100,5,FALSE),1)</f>
        <v>0.94</v>
      </c>
      <c r="AB74" s="56">
        <f>IFERROR(VLOOKUP($AM74,個性タイプマスタ!$A$5:$P$100,6,FALSE),1)</f>
        <v>0.73</v>
      </c>
      <c r="AC74" s="56">
        <f>IFERROR(VLOOKUP($AM74,個性タイプマスタ!$A$5:$P$100,7,FALSE),1)</f>
        <v>1.55</v>
      </c>
      <c r="AD74" s="56">
        <f>IFERROR(VLOOKUP($AM74,個性タイプマスタ!$A$5:$P$100,8,FALSE),1)</f>
        <v>0.9</v>
      </c>
      <c r="AE74" s="60">
        <f>IFERROR(D74/設定!$B$5,1)</f>
        <v>2.8531</v>
      </c>
      <c r="AF74" s="60">
        <f>1+設定!$B$13*((I74/設定!$B$8+J74/設定!$B$9)/(2*AE74))</f>
        <v>1.3943079457432266</v>
      </c>
      <c r="AG74" s="60">
        <f>MAX(0.7,1+設定!$B$14*(O74/IF(X74="Melee",1.5,2.5)-1))</f>
        <v>1.0660000000000001</v>
      </c>
      <c r="AH74" s="53">
        <f t="shared" si="5"/>
        <v>30.805772750999999</v>
      </c>
      <c r="AI74" s="53">
        <f>E74*AF74*(1+設定!$B$18*AVERAGE(P74:U74))</f>
        <v>629.7921673968666</v>
      </c>
      <c r="AJ74" s="61">
        <f>設定!$B$5*SQRT((AH74/(設定!$B$7*設定!$B$10*(1+設定!$B$11*(設定!$B$12-1))))*(AI74/(設定!$B$6*(1+設定!$B$13))))</f>
        <v>284.40997216479917</v>
      </c>
      <c r="AK74" s="62">
        <f t="shared" si="6"/>
        <v>-3.154561127197919E-3</v>
      </c>
      <c r="AL74" s="63">
        <f t="shared" si="7"/>
        <v>256.779</v>
      </c>
      <c r="AM74" s="64" t="s">
        <v>976</v>
      </c>
      <c r="AN74" s="54">
        <f>MAX(1,ROUND((設定!$B$7*設定!$B$10*(1+設定!$B$11*(設定!$B$12-1)))*AE74^2*(設定!$B$6*(1+設定!$B$13))/(AI74*N74*(1+K74*(L74-1))*AG74),0))</f>
        <v>39</v>
      </c>
      <c r="AO74" s="65" t="str">
        <f>IF($A74="","",IF(COUNTIF(個性タイプマスタ!$A$5:$A$100,$AM74)&gt;0,"OK","未登録"))</f>
        <v>OK</v>
      </c>
      <c r="AP74" s="67" t="str">
        <f>IF($A74="","",IF(COUNTIF(属性耐性マスタ!$A$5:$A$11,$C74)&gt;0,"OK","未登録"))</f>
        <v>OK</v>
      </c>
    </row>
    <row r="75" spans="1:42">
      <c r="A75" s="66" t="s">
        <v>250</v>
      </c>
      <c r="B75" s="51" t="s">
        <v>251</v>
      </c>
      <c r="C75" s="109" t="s">
        <v>111</v>
      </c>
      <c r="D75" s="53">
        <f>ROUND(設定!$B$5*POWER($D$2,W75-1),2)</f>
        <v>285.31</v>
      </c>
      <c r="E75" s="54">
        <f>MAX(1,ROUND(設定!$B$6*AE75*Y75,0))</f>
        <v>456</v>
      </c>
      <c r="F75" s="54">
        <f>MAX(0,ROUND(設定!$B$7*AE75*設定!$B$15*IF(X75="Melee",0.6,1.35)*IFERROR(VLOOKUP($AM75,個性タイプマスタ!$A$5:$P$100,14,FALSE),1),0))</f>
        <v>16</v>
      </c>
      <c r="G75" s="54">
        <f>IF(X75="Melee",AN75,MAX(1,ROUND(AN75*設定!$B$16*IFERROR(VLOOKUP($AM75,個性タイプマスタ!$A$5:$P$100,15,FALSE),1),0)))</f>
        <v>35</v>
      </c>
      <c r="H75" s="54">
        <f>IF(X75="Ranged",AN75,MAX(1,ROUND(AN75*設定!$B$16*IFERROR(VLOOKUP($AM75,個性タイプマスタ!$A$5:$P$100,15,FALSE),1),0)))</f>
        <v>16</v>
      </c>
      <c r="I75" s="54">
        <f>MAX(0,ROUND(設定!$B$8*AE75*Z75,0))</f>
        <v>35</v>
      </c>
      <c r="J75" s="54">
        <f>MAX(0,ROUND(設定!$B$9*AE75*AA75,0))</f>
        <v>32</v>
      </c>
      <c r="K75" s="55">
        <f>IFERROR(VLOOKUP($AM75,個性タイプマスタ!$A$5:$P$100,9,FALSE),0.05)</f>
        <v>0.04</v>
      </c>
      <c r="L75" s="56">
        <f>IFERROR(VLOOKUP($AM75,個性タイプマスタ!$A$5:$P$100,10,FALSE),1.5)</f>
        <v>1.4</v>
      </c>
      <c r="M75" s="56">
        <f>IFERROR(VLOOKUP($AM75,個性タイプマスタ!$A$5:$P$100,11,FALSE),2)</f>
        <v>2.2000000000000002</v>
      </c>
      <c r="N75" s="57">
        <f>MAX(0.1,ROUND(設定!$B$10*AB75,3))</f>
        <v>0.82</v>
      </c>
      <c r="O75" s="57">
        <f t="shared" si="4"/>
        <v>1.2</v>
      </c>
      <c r="P75" s="58">
        <f>MAX(-10,MIN(0.8,IFERROR(INDEX(属性耐性マスタ!$B$5:$G$11,MATCH($C75,属性耐性マスタ!$A$5:$A$11,0),1),0)+IFERROR(VLOOKUP($AM75,個性タイプマスタ!$A$5:$P$100,12,FALSE),0)))</f>
        <v>0.30000000000000004</v>
      </c>
      <c r="Q75" s="58">
        <f>MAX(-10,MIN(0.8,IFERROR(INDEX(属性耐性マスタ!$B$5:$G$11,MATCH($C75,属性耐性マスタ!$A$5:$A$11,0),2),0)+IFERROR(VLOOKUP($AM75,個性タイプマスタ!$A$5:$P$100,12,FALSE),0)))</f>
        <v>0</v>
      </c>
      <c r="R75" s="58">
        <f>MAX(-10,MIN(0.8,IFERROR(INDEX(属性耐性マスタ!$B$5:$G$11,MATCH($C75,属性耐性マスタ!$A$5:$A$11,0),3),0)+IFERROR(VLOOKUP($AM75,個性タイプマスタ!$A$5:$P$100,12,FALSE),0)))</f>
        <v>0.1</v>
      </c>
      <c r="S75" s="58">
        <f>MAX(-10,MIN(0.8,IFERROR(INDEX(属性耐性マスタ!$B$5:$G$11,MATCH($C75,属性耐性マスタ!$A$5:$A$11,0),4),0)+IFERROR(VLOOKUP($AM75,個性タイプマスタ!$A$5:$P$100,12,FALSE),0)))</f>
        <v>0.1</v>
      </c>
      <c r="T75" s="58">
        <f>MAX(-10,MIN(0.8,IFERROR(INDEX(属性耐性マスタ!$B$5:$G$11,MATCH($C75,属性耐性マスタ!$A$5:$A$11,0),5),0)+IFERROR(VLOOKUP($AM75,個性タイプマスタ!$A$5:$P$100,12,FALSE),0)))</f>
        <v>0.1</v>
      </c>
      <c r="U75" s="58">
        <f>MAX(-10,MIN(0.8,IFERROR(INDEX(属性耐性マスタ!$B$5:$G$11,MATCH($C75,属性耐性マスタ!$A$5:$A$11,0),6),0)+IFERROR(VLOOKUP($AM75,個性タイプマスタ!$A$5:$P$100,12,FALSE),0)))</f>
        <v>0.1</v>
      </c>
      <c r="V75" s="59">
        <f>ROUND(設定!$B$19*IFERROR(VLOOKUP($AM75,個性タイプマスタ!$A$5:$P$100,13,FALSE),1),2)</f>
        <v>4</v>
      </c>
      <c r="W75" s="59">
        <v>12</v>
      </c>
      <c r="X75" s="59" t="str">
        <f>IFERROR(VLOOKUP($AM75,個性タイプマスタ!$A$5:$P$100,2,FALSE),"Ranged")</f>
        <v>Melee</v>
      </c>
      <c r="Y75" s="56">
        <f>IFERROR(VLOOKUP($AM75,個性タイプマスタ!$A$5:$P$100,3,FALSE),1)</f>
        <v>1.6</v>
      </c>
      <c r="Z75" s="56">
        <f>IFERROR(VLOOKUP($AM75,個性タイプマスタ!$A$5:$P$100,4,FALSE),1)</f>
        <v>1.55</v>
      </c>
      <c r="AA75" s="56">
        <f>IFERROR(VLOOKUP($AM75,個性タイプマスタ!$A$5:$P$100,5,FALSE),1)</f>
        <v>1.4</v>
      </c>
      <c r="AB75" s="56">
        <f>IFERROR(VLOOKUP($AM75,個性タイプマスタ!$A$5:$P$100,6,FALSE),1)</f>
        <v>0.82</v>
      </c>
      <c r="AC75" s="56">
        <f>IFERROR(VLOOKUP($AM75,個性タイプマスタ!$A$5:$P$100,7,FALSE),1)</f>
        <v>0.8</v>
      </c>
      <c r="AD75" s="56">
        <f>IFERROR(VLOOKUP($AM75,個性タイプマスタ!$A$5:$P$100,8,FALSE),1)</f>
        <v>0.88</v>
      </c>
      <c r="AE75" s="60">
        <f>IFERROR(D75/設定!$B$5,1)</f>
        <v>2.8531</v>
      </c>
      <c r="AF75" s="60">
        <f>1+設定!$B$13*((I75/設定!$B$8+J75/設定!$B$9)/(2*AE75))</f>
        <v>1.4403105394132698</v>
      </c>
      <c r="AG75" s="60">
        <f>MAX(0.7,1+設定!$B$14*(O75/IF(X75="Melee",1.5,2.5)-1))</f>
        <v>0.97599999999999998</v>
      </c>
      <c r="AH75" s="53">
        <f t="shared" si="5"/>
        <v>28.459379199999997</v>
      </c>
      <c r="AI75" s="53">
        <f>E75*AF75*(1+設定!$B$18*AVERAGE(P75:U75))</f>
        <v>691.26264028600474</v>
      </c>
      <c r="AJ75" s="61">
        <f>設定!$B$5*SQRT((AH75/(設定!$B$7*設定!$B$10*(1+設定!$B$11*(設定!$B$12-1))))*(AI75/(設定!$B$6*(1+設定!$B$13))))</f>
        <v>286.39431487484393</v>
      </c>
      <c r="AK75" s="62">
        <f t="shared" si="6"/>
        <v>3.8004797407868995E-3</v>
      </c>
      <c r="AL75" s="63">
        <f t="shared" si="7"/>
        <v>251.0728</v>
      </c>
      <c r="AM75" s="64" t="s">
        <v>904</v>
      </c>
      <c r="AN75" s="54">
        <f>MAX(1,ROUND((設定!$B$7*設定!$B$10*(1+設定!$B$11*(設定!$B$12-1)))*AE75^2*(設定!$B$6*(1+設定!$B$13))/(AI75*N75*(1+K75*(L75-1))*AG75),0))</f>
        <v>35</v>
      </c>
      <c r="AO75" s="65" t="str">
        <f>IF($A75="","",IF(COUNTIF(個性タイプマスタ!$A$5:$A$100,$AM75)&gt;0,"OK","未登録"))</f>
        <v>OK</v>
      </c>
      <c r="AP75" s="67" t="str">
        <f>IF($A75="","",IF(COUNTIF(属性耐性マスタ!$A$5:$A$11,$C75)&gt;0,"OK","未登録"))</f>
        <v>OK</v>
      </c>
    </row>
    <row r="76" spans="1:42">
      <c r="A76" s="66" t="s">
        <v>252</v>
      </c>
      <c r="B76" s="51" t="s">
        <v>253</v>
      </c>
      <c r="C76" s="109" t="s">
        <v>121</v>
      </c>
      <c r="D76" s="53">
        <f>ROUND(設定!$B$5*POWER($D$2,W76-1),2)</f>
        <v>285.31</v>
      </c>
      <c r="E76" s="54">
        <f>MAX(1,ROUND(設定!$B$6*AE76*Y76,0))</f>
        <v>491</v>
      </c>
      <c r="F76" s="54">
        <f>MAX(0,ROUND(設定!$B$7*AE76*設定!$B$15*IF(X76="Melee",0.6,1.35)*IFERROR(VLOOKUP($AM76,個性タイプマスタ!$A$5:$P$100,14,FALSE),1),0))</f>
        <v>56</v>
      </c>
      <c r="G76" s="54">
        <f>IF(X76="Melee",AN76,MAX(1,ROUND(AN76*設定!$B$16*IFERROR(VLOOKUP($AM76,個性タイプマスタ!$A$5:$P$100,15,FALSE),1),0)))</f>
        <v>12</v>
      </c>
      <c r="H76" s="54">
        <f>IF(X76="Ranged",AN76,MAX(1,ROUND(AN76*設定!$B$16*IFERROR(VLOOKUP($AM76,個性タイプマスタ!$A$5:$P$100,15,FALSE),1),0)))</f>
        <v>41</v>
      </c>
      <c r="I76" s="54">
        <f>MAX(0,ROUND(設定!$B$8*AE76*Z76,0))</f>
        <v>37</v>
      </c>
      <c r="J76" s="54">
        <f>MAX(0,ROUND(設定!$B$9*AE76*AA76,0))</f>
        <v>35</v>
      </c>
      <c r="K76" s="55">
        <f>IFERROR(VLOOKUP($AM76,個性タイプマスタ!$A$5:$P$100,9,FALSE),0.05)</f>
        <v>3.5000000000000003E-2</v>
      </c>
      <c r="L76" s="56">
        <f>IFERROR(VLOOKUP($AM76,個性タイプマスタ!$A$5:$P$100,10,FALSE),1.5)</f>
        <v>1.4</v>
      </c>
      <c r="M76" s="56">
        <f>IFERROR(VLOOKUP($AM76,個性タイプマスタ!$A$5:$P$100,11,FALSE),2)</f>
        <v>1.5</v>
      </c>
      <c r="N76" s="57">
        <f>MAX(0.1,ROUND(設定!$B$10*AB76,3))</f>
        <v>0.6</v>
      </c>
      <c r="O76" s="57">
        <f t="shared" si="4"/>
        <v>3.1</v>
      </c>
      <c r="P76" s="58">
        <f>MAX(-10,MIN(0.8,IFERROR(INDEX(属性耐性マスタ!$B$5:$G$11,MATCH($C76,属性耐性マスタ!$A$5:$A$11,0),1),0)+IFERROR(VLOOKUP($AM76,個性タイプマスタ!$A$5:$P$100,12,FALSE),0)))</f>
        <v>0.12</v>
      </c>
      <c r="Q76" s="58">
        <f>MAX(-10,MIN(0.8,IFERROR(INDEX(属性耐性マスタ!$B$5:$G$11,MATCH($C76,属性耐性マスタ!$A$5:$A$11,0),2),0)+IFERROR(VLOOKUP($AM76,個性タイプマスタ!$A$5:$P$100,12,FALSE),0)))</f>
        <v>0.12</v>
      </c>
      <c r="R76" s="58">
        <f>MAX(-10,MIN(0.8,IFERROR(INDEX(属性耐性マスタ!$B$5:$G$11,MATCH($C76,属性耐性マスタ!$A$5:$A$11,0),3),0)+IFERROR(VLOOKUP($AM76,個性タイプマスタ!$A$5:$P$100,12,FALSE),0)))</f>
        <v>0.12</v>
      </c>
      <c r="S76" s="58">
        <f>MAX(-10,MIN(0.8,IFERROR(INDEX(属性耐性マスタ!$B$5:$G$11,MATCH($C76,属性耐性マスタ!$A$5:$A$11,0),4),0)+IFERROR(VLOOKUP($AM76,個性タイプマスタ!$A$5:$P$100,12,FALSE),0)))</f>
        <v>0.12</v>
      </c>
      <c r="T76" s="58">
        <f>MAX(-10,MIN(0.8,IFERROR(INDEX(属性耐性マスタ!$B$5:$G$11,MATCH($C76,属性耐性マスタ!$A$5:$A$11,0),5),0)+IFERROR(VLOOKUP($AM76,個性タイプマスタ!$A$5:$P$100,12,FALSE),0)))</f>
        <v>0.32</v>
      </c>
      <c r="U76" s="58">
        <f>MAX(-10,MIN(0.8,IFERROR(INDEX(属性耐性マスタ!$B$5:$G$11,MATCH($C76,属性耐性マスタ!$A$5:$A$11,0),6),0)+IFERROR(VLOOKUP($AM76,個性タイプマスタ!$A$5:$P$100,12,FALSE),0)))</f>
        <v>1.999999999999999E-2</v>
      </c>
      <c r="V76" s="59">
        <f>ROUND(設定!$B$19*IFERROR(VLOOKUP($AM76,個性タイプマスタ!$A$5:$P$100,13,FALSE),1),2)</f>
        <v>4.12</v>
      </c>
      <c r="W76" s="59">
        <v>12</v>
      </c>
      <c r="X76" s="59" t="str">
        <f>IFERROR(VLOOKUP($AM76,個性タイプマスタ!$A$5:$P$100,2,FALSE),"Ranged")</f>
        <v>Ranged</v>
      </c>
      <c r="Y76" s="56">
        <f>IFERROR(VLOOKUP($AM76,個性タイプマスタ!$A$5:$P$100,3,FALSE),1)</f>
        <v>1.72</v>
      </c>
      <c r="Z76" s="56">
        <f>IFERROR(VLOOKUP($AM76,個性タイプマスタ!$A$5:$P$100,4,FALSE),1)</f>
        <v>1.64</v>
      </c>
      <c r="AA76" s="56">
        <f>IFERROR(VLOOKUP($AM76,個性タイプマスタ!$A$5:$P$100,5,FALSE),1)</f>
        <v>1.55</v>
      </c>
      <c r="AB76" s="56">
        <f>IFERROR(VLOOKUP($AM76,個性タイプマスタ!$A$5:$P$100,6,FALSE),1)</f>
        <v>0.6</v>
      </c>
      <c r="AC76" s="56">
        <f>IFERROR(VLOOKUP($AM76,個性タイプマスタ!$A$5:$P$100,7,FALSE),1)</f>
        <v>1.24</v>
      </c>
      <c r="AD76" s="56">
        <f>IFERROR(VLOOKUP($AM76,個性タイプマスタ!$A$5:$P$100,8,FALSE),1)</f>
        <v>0.91</v>
      </c>
      <c r="AE76" s="60">
        <f>IFERROR(D76/設定!$B$5,1)</f>
        <v>2.8531</v>
      </c>
      <c r="AF76" s="60">
        <f>1+設定!$B$13*((I76/設定!$B$8+J76/設定!$B$9)/(2*AE76))</f>
        <v>1.4731695348918721</v>
      </c>
      <c r="AG76" s="60">
        <f>MAX(0.7,1+設定!$B$14*(O76/IF(X76="Melee",1.5,2.5)-1))</f>
        <v>1.0287999999999999</v>
      </c>
      <c r="AH76" s="53">
        <f t="shared" si="5"/>
        <v>25.662798719999998</v>
      </c>
      <c r="AI76" s="53">
        <f>E76*AF76*(1+設定!$B$18*AVERAGE(P76:U76))</f>
        <v>767.8108054922717</v>
      </c>
      <c r="AJ76" s="61">
        <f>設定!$B$5*SQRT((AH76/(設定!$B$7*設定!$B$10*(1+設定!$B$11*(設定!$B$12-1))))*(AI76/(設定!$B$6*(1+設定!$B$13))))</f>
        <v>286.62182522586568</v>
      </c>
      <c r="AK76" s="62">
        <f t="shared" si="6"/>
        <v>4.5978943109798998E-3</v>
      </c>
      <c r="AL76" s="63">
        <f t="shared" si="7"/>
        <v>259.63210000000004</v>
      </c>
      <c r="AM76" s="64" t="s">
        <v>916</v>
      </c>
      <c r="AN76" s="54">
        <f>MAX(1,ROUND((設定!$B$7*設定!$B$10*(1+設定!$B$11*(設定!$B$12-1)))*AE76^2*(設定!$B$6*(1+設定!$B$13))/(AI76*N76*(1+K76*(L76-1))*AG76),0))</f>
        <v>41</v>
      </c>
      <c r="AO76" s="65" t="str">
        <f>IF($A76="","",IF(COUNTIF(個性タイプマスタ!$A$5:$A$100,$AM76)&gt;0,"OK","未登録"))</f>
        <v>OK</v>
      </c>
      <c r="AP76" s="67" t="str">
        <f>IF($A76="","",IF(COUNTIF(属性耐性マスタ!$A$5:$A$11,$C76)&gt;0,"OK","未登録"))</f>
        <v>OK</v>
      </c>
    </row>
    <row r="77" spans="1:42">
      <c r="A77" s="66" t="s">
        <v>254</v>
      </c>
      <c r="B77" s="51" t="s">
        <v>255</v>
      </c>
      <c r="C77" s="109" t="s">
        <v>108</v>
      </c>
      <c r="D77" s="53">
        <f>ROUND(設定!$B$5*POWER($D$2,W77-1),2)</f>
        <v>313.83999999999997</v>
      </c>
      <c r="E77" s="54">
        <f>MAX(1,ROUND(設定!$B$6*AE77*Y77,0))</f>
        <v>232</v>
      </c>
      <c r="F77" s="54">
        <f>MAX(0,ROUND(設定!$B$7*AE77*設定!$B$15*IF(X77="Melee",0.6,1.35)*IFERROR(VLOOKUP($AM77,個性タイプマスタ!$A$5:$P$100,14,FALSE),1),0))</f>
        <v>43</v>
      </c>
      <c r="G77" s="54">
        <f>IF(X77="Melee",AN77,MAX(1,ROUND(AN77*設定!$B$16*IFERROR(VLOOKUP($AM77,個性タイプマスタ!$A$5:$P$100,15,FALSE),1),0)))</f>
        <v>16</v>
      </c>
      <c r="H77" s="54">
        <f>IF(X77="Ranged",AN77,MAX(1,ROUND(AN77*設定!$B$16*IFERROR(VLOOKUP($AM77,個性タイプマスタ!$A$5:$P$100,15,FALSE),1),0)))</f>
        <v>54</v>
      </c>
      <c r="I77" s="54">
        <f>MAX(0,ROUND(設定!$B$8*AE77*Z77,0))</f>
        <v>18</v>
      </c>
      <c r="J77" s="54">
        <f>MAX(0,ROUND(設定!$B$9*AE77*AA77,0))</f>
        <v>21</v>
      </c>
      <c r="K77" s="55">
        <f>IFERROR(VLOOKUP($AM77,個性タイプマスタ!$A$5:$P$100,9,FALSE),0.05)</f>
        <v>0.05</v>
      </c>
      <c r="L77" s="56">
        <f>IFERROR(VLOOKUP($AM77,個性タイプマスタ!$A$5:$P$100,10,FALSE),1.5)</f>
        <v>1.4</v>
      </c>
      <c r="M77" s="56">
        <f>IFERROR(VLOOKUP($AM77,個性タイプマスタ!$A$5:$P$100,11,FALSE),2)</f>
        <v>3.35</v>
      </c>
      <c r="N77" s="57">
        <f>MAX(0.1,ROUND(設定!$B$10*AB77,3))</f>
        <v>1.55</v>
      </c>
      <c r="O77" s="57">
        <f t="shared" si="4"/>
        <v>2.2999999999999998</v>
      </c>
      <c r="P77" s="58">
        <f>MAX(-10,MIN(0.8,IFERROR(INDEX(属性耐性マスタ!$B$5:$G$11,MATCH($C77,属性耐性マスタ!$A$5:$A$11,0),1),0)+IFERROR(VLOOKUP($AM77,個性タイプマスタ!$A$5:$P$100,12,FALSE),0)))</f>
        <v>-0.17</v>
      </c>
      <c r="Q77" s="58">
        <f>MAX(-10,MIN(0.8,IFERROR(INDEX(属性耐性マスタ!$B$5:$G$11,MATCH($C77,属性耐性マスタ!$A$5:$A$11,0),2),0)+IFERROR(VLOOKUP($AM77,個性タイプマスタ!$A$5:$P$100,12,FALSE),0)))</f>
        <v>0.13</v>
      </c>
      <c r="R77" s="58">
        <f>MAX(-10,MIN(0.8,IFERROR(INDEX(属性耐性マスタ!$B$5:$G$11,MATCH($C77,属性耐性マスタ!$A$5:$A$11,0),3),0)+IFERROR(VLOOKUP($AM77,個性タイプマスタ!$A$5:$P$100,12,FALSE),0)))</f>
        <v>-7.0000000000000007E-2</v>
      </c>
      <c r="S77" s="58">
        <f>MAX(-10,MIN(0.8,IFERROR(INDEX(属性耐性マスタ!$B$5:$G$11,MATCH($C77,属性耐性マスタ!$A$5:$A$11,0),4),0)+IFERROR(VLOOKUP($AM77,個性タイプマスタ!$A$5:$P$100,12,FALSE),0)))</f>
        <v>-7.0000000000000007E-2</v>
      </c>
      <c r="T77" s="58">
        <f>MAX(-10,MIN(0.8,IFERROR(INDEX(属性耐性マスタ!$B$5:$G$11,MATCH($C77,属性耐性マスタ!$A$5:$A$11,0),5),0)+IFERROR(VLOOKUP($AM77,個性タイプマスタ!$A$5:$P$100,12,FALSE),0)))</f>
        <v>-7.0000000000000007E-2</v>
      </c>
      <c r="U77" s="58">
        <f>MAX(-10,MIN(0.8,IFERROR(INDEX(属性耐性マスタ!$B$5:$G$11,MATCH($C77,属性耐性マスタ!$A$5:$A$11,0),6),0)+IFERROR(VLOOKUP($AM77,個性タイプマスタ!$A$5:$P$100,12,FALSE),0)))</f>
        <v>-7.0000000000000007E-2</v>
      </c>
      <c r="V77" s="59">
        <f>ROUND(設定!$B$19*IFERROR(VLOOKUP($AM77,個性タイプマスタ!$A$5:$P$100,13,FALSE),1),2)</f>
        <v>4</v>
      </c>
      <c r="W77" s="59">
        <v>13</v>
      </c>
      <c r="X77" s="59" t="str">
        <f>IFERROR(VLOOKUP($AM77,個性タイプマスタ!$A$5:$P$100,2,FALSE),"Ranged")</f>
        <v>Ranged</v>
      </c>
      <c r="Y77" s="56">
        <f>IFERROR(VLOOKUP($AM77,個性タイプマスタ!$A$5:$P$100,3,FALSE),1)</f>
        <v>0.74</v>
      </c>
      <c r="Z77" s="56">
        <f>IFERROR(VLOOKUP($AM77,個性タイプマスタ!$A$5:$P$100,4,FALSE),1)</f>
        <v>0.72</v>
      </c>
      <c r="AA77" s="56">
        <f>IFERROR(VLOOKUP($AM77,個性タイプマスタ!$A$5:$P$100,5,FALSE),1)</f>
        <v>0.84</v>
      </c>
      <c r="AB77" s="56">
        <f>IFERROR(VLOOKUP($AM77,個性タイプマスタ!$A$5:$P$100,6,FALSE),1)</f>
        <v>1.55</v>
      </c>
      <c r="AC77" s="56">
        <f>IFERROR(VLOOKUP($AM77,個性タイプマスタ!$A$5:$P$100,7,FALSE),1)</f>
        <v>0.92</v>
      </c>
      <c r="AD77" s="56">
        <f>IFERROR(VLOOKUP($AM77,個性タイプマスタ!$A$5:$P$100,8,FALSE),1)</f>
        <v>0.61</v>
      </c>
      <c r="AE77" s="60">
        <f>IFERROR(D77/設定!$B$5,1)</f>
        <v>3.1383999999999999</v>
      </c>
      <c r="AF77" s="60">
        <f>1+設定!$B$13*((I77/設定!$B$8+J77/設定!$B$9)/(2*AE77))</f>
        <v>1.2330008921743563</v>
      </c>
      <c r="AG77" s="60">
        <f>MAX(0.7,1+設定!$B$14*(O77/IF(X77="Melee",1.5,2.5)-1))</f>
        <v>0.99039999999999995</v>
      </c>
      <c r="AH77" s="53">
        <f t="shared" si="5"/>
        <v>84.5544096</v>
      </c>
      <c r="AI77" s="53">
        <f>E77*AF77*(1+設定!$B$18*AVERAGE(P77:U77))</f>
        <v>279.19085801682388</v>
      </c>
      <c r="AJ77" s="61">
        <f>設定!$B$5*SQRT((AH77/(設定!$B$7*設定!$B$10*(1+設定!$B$11*(設定!$B$12-1))))*(AI77/(設定!$B$6*(1+設定!$B$13))))</f>
        <v>313.7248107674917</v>
      </c>
      <c r="AK77" s="62">
        <f t="shared" si="6"/>
        <v>-3.6703171204521823E-4</v>
      </c>
      <c r="AL77" s="63">
        <f t="shared" si="7"/>
        <v>191.44239999999999</v>
      </c>
      <c r="AM77" s="64" t="s">
        <v>908</v>
      </c>
      <c r="AN77" s="54">
        <f>MAX(1,ROUND((設定!$B$7*設定!$B$10*(1+設定!$B$11*(設定!$B$12-1)))*AE77^2*(設定!$B$6*(1+設定!$B$13))/(AI77*N77*(1+K77*(L77-1))*AG77),0))</f>
        <v>54</v>
      </c>
      <c r="AO77" s="65" t="str">
        <f>IF($A77="","",IF(COUNTIF(個性タイプマスタ!$A$5:$A$100,$AM77)&gt;0,"OK","未登録"))</f>
        <v>OK</v>
      </c>
      <c r="AP77" s="67" t="str">
        <f>IF($A77="","",IF(COUNTIF(属性耐性マスタ!$A$5:$A$11,$C77)&gt;0,"OK","未登録"))</f>
        <v>OK</v>
      </c>
    </row>
    <row r="78" spans="1:42">
      <c r="A78" s="66" t="s">
        <v>256</v>
      </c>
      <c r="B78" s="51" t="s">
        <v>257</v>
      </c>
      <c r="C78" s="109" t="s">
        <v>108</v>
      </c>
      <c r="D78" s="53">
        <f>ROUND(設定!$B$5*POWER($D$2,W78-1),2)</f>
        <v>313.83999999999997</v>
      </c>
      <c r="E78" s="54">
        <f>MAX(1,ROUND(設定!$B$6*AE78*Y78,0))</f>
        <v>229</v>
      </c>
      <c r="F78" s="54">
        <f>MAX(0,ROUND(設定!$B$7*AE78*設定!$B$15*IF(X78="Melee",0.6,1.35)*IFERROR(VLOOKUP($AM78,個性タイプマスタ!$A$5:$P$100,14,FALSE),1),0))</f>
        <v>54</v>
      </c>
      <c r="G78" s="54">
        <f>IF(X78="Melee",AN78,MAX(1,ROUND(AN78*設定!$B$16*IFERROR(VLOOKUP($AM78,個性タイプマスタ!$A$5:$P$100,15,FALSE),1),0)))</f>
        <v>18</v>
      </c>
      <c r="H78" s="54">
        <f>IF(X78="Ranged",AN78,MAX(1,ROUND(AN78*設定!$B$16*IFERROR(VLOOKUP($AM78,個性タイプマスタ!$A$5:$P$100,15,FALSE),1),0)))</f>
        <v>70</v>
      </c>
      <c r="I78" s="54">
        <f>MAX(0,ROUND(設定!$B$8*AE78*Z78,0))</f>
        <v>19</v>
      </c>
      <c r="J78" s="54">
        <f>MAX(0,ROUND(設定!$B$9*AE78*AA78,0))</f>
        <v>21</v>
      </c>
      <c r="K78" s="55">
        <f>IFERROR(VLOOKUP($AM78,個性タイプマスタ!$A$5:$P$100,9,FALSE),0.05)</f>
        <v>0.26</v>
      </c>
      <c r="L78" s="56">
        <f>IFERROR(VLOOKUP($AM78,個性タイプマスタ!$A$5:$P$100,10,FALSE),1.5)</f>
        <v>1.95</v>
      </c>
      <c r="M78" s="56">
        <f>IFERROR(VLOOKUP($AM78,個性タイプマスタ!$A$5:$P$100,11,FALSE),2)</f>
        <v>2.75</v>
      </c>
      <c r="N78" s="57">
        <f>MAX(0.1,ROUND(設定!$B$10*AB78,3))</f>
        <v>0.95</v>
      </c>
      <c r="O78" s="57">
        <f t="shared" si="4"/>
        <v>2.8</v>
      </c>
      <c r="P78" s="58">
        <f>MAX(-10,MIN(0.8,IFERROR(INDEX(属性耐性マスタ!$B$5:$G$11,MATCH($C78,属性耐性マスタ!$A$5:$A$11,0),1),0)+IFERROR(VLOOKUP($AM78,個性タイプマスタ!$A$5:$P$100,12,FALSE),0)))</f>
        <v>-0.15000000000000002</v>
      </c>
      <c r="Q78" s="58">
        <f>MAX(-10,MIN(0.8,IFERROR(INDEX(属性耐性マスタ!$B$5:$G$11,MATCH($C78,属性耐性マスタ!$A$5:$A$11,0),2),0)+IFERROR(VLOOKUP($AM78,個性タイプマスタ!$A$5:$P$100,12,FALSE),0)))</f>
        <v>0.15000000000000002</v>
      </c>
      <c r="R78" s="58">
        <f>MAX(-10,MIN(0.8,IFERROR(INDEX(属性耐性マスタ!$B$5:$G$11,MATCH($C78,属性耐性マスタ!$A$5:$A$11,0),3),0)+IFERROR(VLOOKUP($AM78,個性タイプマスタ!$A$5:$P$100,12,FALSE),0)))</f>
        <v>-0.05</v>
      </c>
      <c r="S78" s="58">
        <f>MAX(-10,MIN(0.8,IFERROR(INDEX(属性耐性マスタ!$B$5:$G$11,MATCH($C78,属性耐性マスタ!$A$5:$A$11,0),4),0)+IFERROR(VLOOKUP($AM78,個性タイプマスタ!$A$5:$P$100,12,FALSE),0)))</f>
        <v>-0.05</v>
      </c>
      <c r="T78" s="58">
        <f>MAX(-10,MIN(0.8,IFERROR(INDEX(属性耐性マスタ!$B$5:$G$11,MATCH($C78,属性耐性マスタ!$A$5:$A$11,0),5),0)+IFERROR(VLOOKUP($AM78,個性タイプマスタ!$A$5:$P$100,12,FALSE),0)))</f>
        <v>-0.05</v>
      </c>
      <c r="U78" s="58">
        <f>MAX(-10,MIN(0.8,IFERROR(INDEX(属性耐性マスタ!$B$5:$G$11,MATCH($C78,属性耐性マスタ!$A$5:$A$11,0),6),0)+IFERROR(VLOOKUP($AM78,個性タイプマスタ!$A$5:$P$100,12,FALSE),0)))</f>
        <v>-0.05</v>
      </c>
      <c r="V78" s="59">
        <f>ROUND(設定!$B$19*IFERROR(VLOOKUP($AM78,個性タイプマスタ!$A$5:$P$100,13,FALSE),1),2)</f>
        <v>4.4000000000000004</v>
      </c>
      <c r="W78" s="59">
        <v>13</v>
      </c>
      <c r="X78" s="59" t="str">
        <f>IFERROR(VLOOKUP($AM78,個性タイプマスタ!$A$5:$P$100,2,FALSE),"Ranged")</f>
        <v>Ranged</v>
      </c>
      <c r="Y78" s="56">
        <f>IFERROR(VLOOKUP($AM78,個性タイプマスタ!$A$5:$P$100,3,FALSE),1)</f>
        <v>0.73</v>
      </c>
      <c r="Z78" s="56">
        <f>IFERROR(VLOOKUP($AM78,個性タイプマスタ!$A$5:$P$100,4,FALSE),1)</f>
        <v>0.77</v>
      </c>
      <c r="AA78" s="56">
        <f>IFERROR(VLOOKUP($AM78,個性タイプマスタ!$A$5:$P$100,5,FALSE),1)</f>
        <v>0.85</v>
      </c>
      <c r="AB78" s="56">
        <f>IFERROR(VLOOKUP($AM78,個性タイプマスタ!$A$5:$P$100,6,FALSE),1)</f>
        <v>0.95</v>
      </c>
      <c r="AC78" s="56">
        <f>IFERROR(VLOOKUP($AM78,個性タイプマスタ!$A$5:$P$100,7,FALSE),1)</f>
        <v>1.1200000000000001</v>
      </c>
      <c r="AD78" s="56">
        <f>IFERROR(VLOOKUP($AM78,個性タイプマスタ!$A$5:$P$100,8,FALSE),1)</f>
        <v>0.66</v>
      </c>
      <c r="AE78" s="60">
        <f>IFERROR(D78/設定!$B$5,1)</f>
        <v>3.1383999999999999</v>
      </c>
      <c r="AF78" s="60">
        <f>1+設定!$B$13*((I78/設定!$B$8+J78/設定!$B$9)/(2*AE78))</f>
        <v>1.2389752740249809</v>
      </c>
      <c r="AG78" s="60">
        <f>MAX(0.7,1+設定!$B$14*(O78/IF(X78="Melee",1.5,2.5)-1))</f>
        <v>1.0144</v>
      </c>
      <c r="AH78" s="53">
        <f t="shared" si="5"/>
        <v>84.119627199999996</v>
      </c>
      <c r="AI78" s="53">
        <f>E78*AF78*(1+設定!$B$18*AVERAGE(P78:U78))</f>
        <v>279.46945768544481</v>
      </c>
      <c r="AJ78" s="61">
        <f>設定!$B$5*SQRT((AH78/(設定!$B$7*設定!$B$10*(1+設定!$B$11*(設定!$B$12-1))))*(AI78/(設定!$B$6*(1+設定!$B$13))))</f>
        <v>313.07326635044825</v>
      </c>
      <c r="AK78" s="62">
        <f t="shared" si="6"/>
        <v>-2.4430717867439666E-3</v>
      </c>
      <c r="AL78" s="63">
        <f t="shared" si="7"/>
        <v>207.1344</v>
      </c>
      <c r="AM78" s="64" t="s">
        <v>922</v>
      </c>
      <c r="AN78" s="54">
        <f>MAX(1,ROUND((設定!$B$7*設定!$B$10*(1+設定!$B$11*(設定!$B$12-1)))*AE78^2*(設定!$B$6*(1+設定!$B$13))/(AI78*N78*(1+K78*(L78-1))*AG78),0))</f>
        <v>70</v>
      </c>
      <c r="AO78" s="65" t="str">
        <f>IF($A78="","",IF(COUNTIF(個性タイプマスタ!$A$5:$A$100,$AM78)&gt;0,"OK","未登録"))</f>
        <v>OK</v>
      </c>
      <c r="AP78" s="67" t="str">
        <f>IF($A78="","",IF(COUNTIF(属性耐性マスタ!$A$5:$A$11,$C78)&gt;0,"OK","未登録"))</f>
        <v>OK</v>
      </c>
    </row>
    <row r="79" spans="1:42">
      <c r="A79" s="66" t="s">
        <v>258</v>
      </c>
      <c r="B79" s="51" t="s">
        <v>259</v>
      </c>
      <c r="C79" s="109" t="s">
        <v>108</v>
      </c>
      <c r="D79" s="53">
        <f>ROUND(設定!$B$5*POWER($D$2,W79-1),2)</f>
        <v>313.83999999999997</v>
      </c>
      <c r="E79" s="54">
        <f>MAX(1,ROUND(設定!$B$6*AE79*Y79,0))</f>
        <v>248</v>
      </c>
      <c r="F79" s="54">
        <f>MAX(0,ROUND(設定!$B$7*AE79*設定!$B$15*IF(X79="Melee",0.6,1.35)*IFERROR(VLOOKUP($AM79,個性タイプマスタ!$A$5:$P$100,14,FALSE),1),0))</f>
        <v>41</v>
      </c>
      <c r="G79" s="54">
        <f>IF(X79="Melee",AN79,MAX(1,ROUND(AN79*設定!$B$16*IFERROR(VLOOKUP($AM79,個性タイプマスタ!$A$5:$P$100,15,FALSE),1),0)))</f>
        <v>11</v>
      </c>
      <c r="H79" s="54">
        <f>IF(X79="Ranged",AN79,MAX(1,ROUND(AN79*設定!$B$16*IFERROR(VLOOKUP($AM79,個性タイプマスタ!$A$5:$P$100,15,FALSE),1),0)))</f>
        <v>46</v>
      </c>
      <c r="I79" s="54">
        <f>MAX(0,ROUND(設定!$B$8*AE79*Z79,0))</f>
        <v>21</v>
      </c>
      <c r="J79" s="54">
        <f>MAX(0,ROUND(設定!$B$9*AE79*AA79,0))</f>
        <v>20</v>
      </c>
      <c r="K79" s="55">
        <f>IFERROR(VLOOKUP($AM79,個性タイプマスタ!$A$5:$P$100,9,FALSE),0.05)</f>
        <v>6.5000000000000002E-2</v>
      </c>
      <c r="L79" s="56">
        <f>IFERROR(VLOOKUP($AM79,個性タイプマスタ!$A$5:$P$100,10,FALSE),1.5)</f>
        <v>1.45</v>
      </c>
      <c r="M79" s="56">
        <f>IFERROR(VLOOKUP($AM79,個性タイプマスタ!$A$5:$P$100,11,FALSE),2)</f>
        <v>4</v>
      </c>
      <c r="N79" s="57">
        <f>MAX(0.1,ROUND(設定!$B$10*AB79,3))</f>
        <v>1.72</v>
      </c>
      <c r="O79" s="57">
        <f t="shared" si="4"/>
        <v>1.9</v>
      </c>
      <c r="P79" s="58">
        <f>MAX(-10,MIN(0.8,IFERROR(INDEX(属性耐性マスタ!$B$5:$G$11,MATCH($C79,属性耐性マスタ!$A$5:$A$11,0),1),0)+IFERROR(VLOOKUP($AM79,個性タイプマスタ!$A$5:$P$100,12,FALSE),0)))</f>
        <v>-0.17</v>
      </c>
      <c r="Q79" s="58">
        <f>MAX(-10,MIN(0.8,IFERROR(INDEX(属性耐性マスタ!$B$5:$G$11,MATCH($C79,属性耐性マスタ!$A$5:$A$11,0),2),0)+IFERROR(VLOOKUP($AM79,個性タイプマスタ!$A$5:$P$100,12,FALSE),0)))</f>
        <v>0.13</v>
      </c>
      <c r="R79" s="58">
        <f>MAX(-10,MIN(0.8,IFERROR(INDEX(属性耐性マスタ!$B$5:$G$11,MATCH($C79,属性耐性マスタ!$A$5:$A$11,0),3),0)+IFERROR(VLOOKUP($AM79,個性タイプマスタ!$A$5:$P$100,12,FALSE),0)))</f>
        <v>-7.0000000000000007E-2</v>
      </c>
      <c r="S79" s="58">
        <f>MAX(-10,MIN(0.8,IFERROR(INDEX(属性耐性マスタ!$B$5:$G$11,MATCH($C79,属性耐性マスタ!$A$5:$A$11,0),4),0)+IFERROR(VLOOKUP($AM79,個性タイプマスタ!$A$5:$P$100,12,FALSE),0)))</f>
        <v>-7.0000000000000007E-2</v>
      </c>
      <c r="T79" s="58">
        <f>MAX(-10,MIN(0.8,IFERROR(INDEX(属性耐性マスタ!$B$5:$G$11,MATCH($C79,属性耐性マスタ!$A$5:$A$11,0),5),0)+IFERROR(VLOOKUP($AM79,個性タイプマスタ!$A$5:$P$100,12,FALSE),0)))</f>
        <v>-7.0000000000000007E-2</v>
      </c>
      <c r="U79" s="58">
        <f>MAX(-10,MIN(0.8,IFERROR(INDEX(属性耐性マスタ!$B$5:$G$11,MATCH($C79,属性耐性マスタ!$A$5:$A$11,0),6),0)+IFERROR(VLOOKUP($AM79,個性タイプマスタ!$A$5:$P$100,12,FALSE),0)))</f>
        <v>-7.0000000000000007E-2</v>
      </c>
      <c r="V79" s="59">
        <f>ROUND(設定!$B$19*IFERROR(VLOOKUP($AM79,個性タイプマスタ!$A$5:$P$100,13,FALSE),1),2)</f>
        <v>5.4</v>
      </c>
      <c r="W79" s="59">
        <v>13</v>
      </c>
      <c r="X79" s="59" t="str">
        <f>IFERROR(VLOOKUP($AM79,個性タイプマスタ!$A$5:$P$100,2,FALSE),"Ranged")</f>
        <v>Ranged</v>
      </c>
      <c r="Y79" s="56">
        <f>IFERROR(VLOOKUP($AM79,個性タイプマスタ!$A$5:$P$100,3,FALSE),1)</f>
        <v>0.79</v>
      </c>
      <c r="Z79" s="56">
        <f>IFERROR(VLOOKUP($AM79,個性タイプマスタ!$A$5:$P$100,4,FALSE),1)</f>
        <v>0.85</v>
      </c>
      <c r="AA79" s="56">
        <f>IFERROR(VLOOKUP($AM79,個性タイプマスタ!$A$5:$P$100,5,FALSE),1)</f>
        <v>0.81</v>
      </c>
      <c r="AB79" s="56">
        <f>IFERROR(VLOOKUP($AM79,個性タイプマスタ!$A$5:$P$100,6,FALSE),1)</f>
        <v>1.72</v>
      </c>
      <c r="AC79" s="56">
        <f>IFERROR(VLOOKUP($AM79,個性タイプマスタ!$A$5:$P$100,7,FALSE),1)</f>
        <v>0.76</v>
      </c>
      <c r="AD79" s="56">
        <f>IFERROR(VLOOKUP($AM79,個性タイプマスタ!$A$5:$P$100,8,FALSE),1)</f>
        <v>0.63</v>
      </c>
      <c r="AE79" s="60">
        <f>IFERROR(D79/設定!$B$5,1)</f>
        <v>3.1383999999999999</v>
      </c>
      <c r="AF79" s="60">
        <f>1+設定!$B$13*((I79/設定!$B$8+J79/設定!$B$9)/(2*AE79))</f>
        <v>1.2449496558756055</v>
      </c>
      <c r="AG79" s="60">
        <f>MAX(0.7,1+設定!$B$14*(O79/IF(X79="Melee",1.5,2.5)-1))</f>
        <v>0.97119999999999995</v>
      </c>
      <c r="AH79" s="53">
        <f t="shared" si="5"/>
        <v>79.088953312000001</v>
      </c>
      <c r="AI79" s="53">
        <f>E79*AF79*(1+設定!$B$18*AVERAGE(P79:U79))</f>
        <v>301.33757430537855</v>
      </c>
      <c r="AJ79" s="61">
        <f>設定!$B$5*SQRT((AH79/(設定!$B$7*設定!$B$10*(1+設定!$B$11*(設定!$B$12-1))))*(AI79/(設定!$B$6*(1+設定!$B$13))))</f>
        <v>315.22067638278094</v>
      </c>
      <c r="AK79" s="62">
        <f t="shared" si="6"/>
        <v>4.3993002255320324E-3</v>
      </c>
      <c r="AL79" s="63">
        <f t="shared" si="7"/>
        <v>197.71919999999997</v>
      </c>
      <c r="AM79" s="64" t="s">
        <v>936</v>
      </c>
      <c r="AN79" s="54">
        <f>MAX(1,ROUND((設定!$B$7*設定!$B$10*(1+設定!$B$11*(設定!$B$12-1)))*AE79^2*(設定!$B$6*(1+設定!$B$13))/(AI79*N79*(1+K79*(L79-1))*AG79),0))</f>
        <v>46</v>
      </c>
      <c r="AO79" s="65" t="str">
        <f>IF($A79="","",IF(COUNTIF(個性タイプマスタ!$A$5:$A$100,$AM79)&gt;0,"OK","未登録"))</f>
        <v>OK</v>
      </c>
      <c r="AP79" s="67" t="str">
        <f>IF($A79="","",IF(COUNTIF(属性耐性マスタ!$A$5:$A$11,$C79)&gt;0,"OK","未登録"))</f>
        <v>OK</v>
      </c>
    </row>
    <row r="80" spans="1:42">
      <c r="A80" s="66" t="s">
        <v>260</v>
      </c>
      <c r="B80" s="51" t="s">
        <v>261</v>
      </c>
      <c r="C80" s="109" t="s">
        <v>108</v>
      </c>
      <c r="D80" s="53">
        <f>ROUND(設定!$B$5*POWER($D$2,W80-1),2)</f>
        <v>313.83999999999997</v>
      </c>
      <c r="E80" s="54">
        <f>MAX(1,ROUND(設定!$B$6*AE80*Y80,0))</f>
        <v>251</v>
      </c>
      <c r="F80" s="54">
        <f>MAX(0,ROUND(設定!$B$7*AE80*設定!$B$15*IF(X80="Melee",0.6,1.35)*IFERROR(VLOOKUP($AM80,個性タイプマスタ!$A$5:$P$100,14,FALSE),1),0))</f>
        <v>17</v>
      </c>
      <c r="G80" s="54">
        <f>IF(X80="Melee",AN80,MAX(1,ROUND(AN80*設定!$B$16*IFERROR(VLOOKUP($AM80,個性タイプマスタ!$A$5:$P$100,15,FALSE),1),0)))</f>
        <v>56</v>
      </c>
      <c r="H80" s="54">
        <f>IF(X80="Ranged",AN80,MAX(1,ROUND(AN80*設定!$B$16*IFERROR(VLOOKUP($AM80,個性タイプマスタ!$A$5:$P$100,15,FALSE),1),0)))</f>
        <v>25</v>
      </c>
      <c r="I80" s="54">
        <f>MAX(0,ROUND(設定!$B$8*AE80*Z80,0))</f>
        <v>20</v>
      </c>
      <c r="J80" s="54">
        <f>MAX(0,ROUND(設定!$B$9*AE80*AA80,0))</f>
        <v>20</v>
      </c>
      <c r="K80" s="55">
        <f>IFERROR(VLOOKUP($AM80,個性タイプマスタ!$A$5:$P$100,9,FALSE),0.05)</f>
        <v>0.08</v>
      </c>
      <c r="L80" s="56">
        <f>IFERROR(VLOOKUP($AM80,個性タイプマスタ!$A$5:$P$100,10,FALSE),1.5)</f>
        <v>1.55</v>
      </c>
      <c r="M80" s="56">
        <f>IFERROR(VLOOKUP($AM80,個性タイプマスタ!$A$5:$P$100,11,FALSE),2)</f>
        <v>3.3</v>
      </c>
      <c r="N80" s="57">
        <f>MAX(0.1,ROUND(設定!$B$10*AB80,3))</f>
        <v>1.32</v>
      </c>
      <c r="O80" s="57">
        <f t="shared" si="4"/>
        <v>1.5</v>
      </c>
      <c r="P80" s="58">
        <f>MAX(-10,MIN(0.8,IFERROR(INDEX(属性耐性マスタ!$B$5:$G$11,MATCH($C80,属性耐性マスタ!$A$5:$A$11,0),1),0)+IFERROR(VLOOKUP($AM80,個性タイプマスタ!$A$5:$P$100,12,FALSE),0)))</f>
        <v>-0.14000000000000001</v>
      </c>
      <c r="Q80" s="58">
        <f>MAX(-10,MIN(0.8,IFERROR(INDEX(属性耐性マスタ!$B$5:$G$11,MATCH($C80,属性耐性マスタ!$A$5:$A$11,0),2),0)+IFERROR(VLOOKUP($AM80,個性タイプマスタ!$A$5:$P$100,12,FALSE),0)))</f>
        <v>0.16</v>
      </c>
      <c r="R80" s="58">
        <f>MAX(-10,MIN(0.8,IFERROR(INDEX(属性耐性マスタ!$B$5:$G$11,MATCH($C80,属性耐性マスタ!$A$5:$A$11,0),3),0)+IFERROR(VLOOKUP($AM80,個性タイプマスタ!$A$5:$P$100,12,FALSE),0)))</f>
        <v>-0.04</v>
      </c>
      <c r="S80" s="58">
        <f>MAX(-10,MIN(0.8,IFERROR(INDEX(属性耐性マスタ!$B$5:$G$11,MATCH($C80,属性耐性マスタ!$A$5:$A$11,0),4),0)+IFERROR(VLOOKUP($AM80,個性タイプマスタ!$A$5:$P$100,12,FALSE),0)))</f>
        <v>-0.04</v>
      </c>
      <c r="T80" s="58">
        <f>MAX(-10,MIN(0.8,IFERROR(INDEX(属性耐性マスタ!$B$5:$G$11,MATCH($C80,属性耐性マスタ!$A$5:$A$11,0),5),0)+IFERROR(VLOOKUP($AM80,個性タイプマスタ!$A$5:$P$100,12,FALSE),0)))</f>
        <v>-0.04</v>
      </c>
      <c r="U80" s="58">
        <f>MAX(-10,MIN(0.8,IFERROR(INDEX(属性耐性マスタ!$B$5:$G$11,MATCH($C80,属性耐性マスタ!$A$5:$A$11,0),6),0)+IFERROR(VLOOKUP($AM80,個性タイプマスタ!$A$5:$P$100,12,FALSE),0)))</f>
        <v>-0.04</v>
      </c>
      <c r="V80" s="59">
        <f>ROUND(設定!$B$19*IFERROR(VLOOKUP($AM80,個性タイプマスタ!$A$5:$P$100,13,FALSE),1),2)</f>
        <v>4.8</v>
      </c>
      <c r="W80" s="59">
        <v>13</v>
      </c>
      <c r="X80" s="59" t="str">
        <f>IFERROR(VLOOKUP($AM80,個性タイプマスタ!$A$5:$P$100,2,FALSE),"Ranged")</f>
        <v>Melee</v>
      </c>
      <c r="Y80" s="56">
        <f>IFERROR(VLOOKUP($AM80,個性タイプマスタ!$A$5:$P$100,3,FALSE),1)</f>
        <v>0.8</v>
      </c>
      <c r="Z80" s="56">
        <f>IFERROR(VLOOKUP($AM80,個性タイプマスタ!$A$5:$P$100,4,FALSE),1)</f>
        <v>0.8</v>
      </c>
      <c r="AA80" s="56">
        <f>IFERROR(VLOOKUP($AM80,個性タイプマスタ!$A$5:$P$100,5,FALSE),1)</f>
        <v>0.8</v>
      </c>
      <c r="AB80" s="56">
        <f>IFERROR(VLOOKUP($AM80,個性タイプマスタ!$A$5:$P$100,6,FALSE),1)</f>
        <v>1.32</v>
      </c>
      <c r="AC80" s="56">
        <f>IFERROR(VLOOKUP($AM80,個性タイプマスタ!$A$5:$P$100,7,FALSE),1)</f>
        <v>1</v>
      </c>
      <c r="AD80" s="56">
        <f>IFERROR(VLOOKUP($AM80,個性タイプマスタ!$A$5:$P$100,8,FALSE),1)</f>
        <v>0.68</v>
      </c>
      <c r="AE80" s="60">
        <f>IFERROR(D80/設定!$B$5,1)</f>
        <v>3.1383999999999999</v>
      </c>
      <c r="AF80" s="60">
        <f>1+設定!$B$13*((I80/設定!$B$8+J80/設定!$B$9)/(2*AE80))</f>
        <v>1.2389752740249809</v>
      </c>
      <c r="AG80" s="60">
        <f>MAX(0.7,1+設定!$B$14*(O80/IF(X80="Melee",1.5,2.5)-1))</f>
        <v>1</v>
      </c>
      <c r="AH80" s="53">
        <f t="shared" si="5"/>
        <v>77.172480000000007</v>
      </c>
      <c r="AI80" s="53">
        <f>E80*AF80*(1+設定!$B$18*AVERAGE(P80:U80))</f>
        <v>307.71747444557735</v>
      </c>
      <c r="AJ80" s="61">
        <f>設定!$B$5*SQRT((AH80/(設定!$B$7*設定!$B$10*(1+設定!$B$11*(設定!$B$12-1))))*(AI80/(設定!$B$6*(1+設定!$B$13))))</f>
        <v>314.65703551513633</v>
      </c>
      <c r="AK80" s="62">
        <f t="shared" si="6"/>
        <v>2.6033504815714537E-3</v>
      </c>
      <c r="AL80" s="63">
        <f t="shared" si="7"/>
        <v>213.41120000000001</v>
      </c>
      <c r="AM80" s="64" t="s">
        <v>902</v>
      </c>
      <c r="AN80" s="54">
        <f>MAX(1,ROUND((設定!$B$7*設定!$B$10*(1+設定!$B$11*(設定!$B$12-1)))*AE80^2*(設定!$B$6*(1+設定!$B$13))/(AI80*N80*(1+K80*(L80-1))*AG80),0))</f>
        <v>56</v>
      </c>
      <c r="AO80" s="65" t="str">
        <f>IF($A80="","",IF(COUNTIF(個性タイプマスタ!$A$5:$A$100,$AM80)&gt;0,"OK","未登録"))</f>
        <v>OK</v>
      </c>
      <c r="AP80" s="67" t="str">
        <f>IF($A80="","",IF(COUNTIF(属性耐性マスタ!$A$5:$A$11,$C80)&gt;0,"OK","未登録"))</f>
        <v>OK</v>
      </c>
    </row>
    <row r="81" spans="1:42">
      <c r="A81" s="66" t="s">
        <v>262</v>
      </c>
      <c r="B81" s="51" t="s">
        <v>263</v>
      </c>
      <c r="C81" s="109" t="s">
        <v>108</v>
      </c>
      <c r="D81" s="53">
        <f>ROUND(設定!$B$5*POWER($D$2,W81-1),2)</f>
        <v>313.83999999999997</v>
      </c>
      <c r="E81" s="54">
        <f>MAX(1,ROUND(設定!$B$6*AE81*Y81,0))</f>
        <v>571</v>
      </c>
      <c r="F81" s="54">
        <f>MAX(0,ROUND(設定!$B$7*AE81*設定!$B$15*IF(X81="Melee",0.6,1.35)*IFERROR(VLOOKUP($AM81,個性タイプマスタ!$A$5:$P$100,14,FALSE),1),0))</f>
        <v>15</v>
      </c>
      <c r="G81" s="54">
        <f>IF(X81="Melee",AN81,MAX(1,ROUND(AN81*設定!$B$16*IFERROR(VLOOKUP($AM81,個性タイプマスタ!$A$5:$P$100,15,FALSE),1),0)))</f>
        <v>42</v>
      </c>
      <c r="H81" s="54">
        <f>IF(X81="Ranged",AN81,MAX(1,ROUND(AN81*設定!$B$16*IFERROR(VLOOKUP($AM81,個性タイプマスタ!$A$5:$P$100,15,FALSE),1),0)))</f>
        <v>16</v>
      </c>
      <c r="I81" s="54">
        <f>MAX(0,ROUND(設定!$B$8*AE81*Z81,0))</f>
        <v>54</v>
      </c>
      <c r="J81" s="54">
        <f>MAX(0,ROUND(設定!$B$9*AE81*AA81,0))</f>
        <v>27</v>
      </c>
      <c r="K81" s="55">
        <f>IFERROR(VLOOKUP($AM81,個性タイプマスタ!$A$5:$P$100,9,FALSE),0.05)</f>
        <v>0.03</v>
      </c>
      <c r="L81" s="56">
        <f>IFERROR(VLOOKUP($AM81,個性タイプマスタ!$A$5:$P$100,10,FALSE),1.5)</f>
        <v>1.35</v>
      </c>
      <c r="M81" s="56">
        <f>IFERROR(VLOOKUP($AM81,個性タイプマスタ!$A$5:$P$100,11,FALSE),2)</f>
        <v>1.5</v>
      </c>
      <c r="N81" s="57">
        <f>MAX(0.1,ROUND(設定!$B$10*AB81,3))</f>
        <v>0.65</v>
      </c>
      <c r="O81" s="57">
        <f t="shared" si="4"/>
        <v>1.02</v>
      </c>
      <c r="P81" s="58">
        <f>MAX(-10,MIN(0.8,IFERROR(INDEX(属性耐性マスタ!$B$5:$G$11,MATCH($C81,属性耐性マスタ!$A$5:$A$11,0),1),0)+IFERROR(VLOOKUP($AM81,個性タイプマスタ!$A$5:$P$100,12,FALSE),0)))</f>
        <v>0</v>
      </c>
      <c r="Q81" s="58">
        <f>MAX(-10,MIN(0.8,IFERROR(INDEX(属性耐性マスタ!$B$5:$G$11,MATCH($C81,属性耐性マスタ!$A$5:$A$11,0),2),0)+IFERROR(VLOOKUP($AM81,個性タイプマスタ!$A$5:$P$100,12,FALSE),0)))</f>
        <v>0.30000000000000004</v>
      </c>
      <c r="R81" s="58">
        <f>MAX(-10,MIN(0.8,IFERROR(INDEX(属性耐性マスタ!$B$5:$G$11,MATCH($C81,属性耐性マスタ!$A$5:$A$11,0),3),0)+IFERROR(VLOOKUP($AM81,個性タイプマスタ!$A$5:$P$100,12,FALSE),0)))</f>
        <v>0.1</v>
      </c>
      <c r="S81" s="58">
        <f>MAX(-10,MIN(0.8,IFERROR(INDEX(属性耐性マスタ!$B$5:$G$11,MATCH($C81,属性耐性マスタ!$A$5:$A$11,0),4),0)+IFERROR(VLOOKUP($AM81,個性タイプマスタ!$A$5:$P$100,12,FALSE),0)))</f>
        <v>0.1</v>
      </c>
      <c r="T81" s="58">
        <f>MAX(-10,MIN(0.8,IFERROR(INDEX(属性耐性マスタ!$B$5:$G$11,MATCH($C81,属性耐性マスタ!$A$5:$A$11,0),5),0)+IFERROR(VLOOKUP($AM81,個性タイプマスタ!$A$5:$P$100,12,FALSE),0)))</f>
        <v>0.1</v>
      </c>
      <c r="U81" s="58">
        <f>MAX(-10,MIN(0.8,IFERROR(INDEX(属性耐性マスタ!$B$5:$G$11,MATCH($C81,属性耐性マスタ!$A$5:$A$11,0),6),0)+IFERROR(VLOOKUP($AM81,個性タイプマスタ!$A$5:$P$100,12,FALSE),0)))</f>
        <v>0.1</v>
      </c>
      <c r="V81" s="59">
        <f>ROUND(設定!$B$19*IFERROR(VLOOKUP($AM81,個性タイプマスタ!$A$5:$P$100,13,FALSE),1),2)</f>
        <v>3.4</v>
      </c>
      <c r="W81" s="59">
        <v>13</v>
      </c>
      <c r="X81" s="59" t="str">
        <f>IFERROR(VLOOKUP($AM81,個性タイプマスタ!$A$5:$P$100,2,FALSE),"Ranged")</f>
        <v>Melee</v>
      </c>
      <c r="Y81" s="56">
        <f>IFERROR(VLOOKUP($AM81,個性タイプマスタ!$A$5:$P$100,3,FALSE),1)</f>
        <v>1.82</v>
      </c>
      <c r="Z81" s="56">
        <f>IFERROR(VLOOKUP($AM81,個性タイプマスタ!$A$5:$P$100,4,FALSE),1)</f>
        <v>2.15</v>
      </c>
      <c r="AA81" s="56">
        <f>IFERROR(VLOOKUP($AM81,個性タイプマスタ!$A$5:$P$100,5,FALSE),1)</f>
        <v>1.06</v>
      </c>
      <c r="AB81" s="56">
        <f>IFERROR(VLOOKUP($AM81,個性タイプマスタ!$A$5:$P$100,6,FALSE),1)</f>
        <v>0.65</v>
      </c>
      <c r="AC81" s="56">
        <f>IFERROR(VLOOKUP($AM81,個性タイプマスタ!$A$5:$P$100,7,FALSE),1)</f>
        <v>0.68</v>
      </c>
      <c r="AD81" s="56">
        <f>IFERROR(VLOOKUP($AM81,個性タイプマスタ!$A$5:$P$100,8,FALSE),1)</f>
        <v>0.92</v>
      </c>
      <c r="AE81" s="60">
        <f>IFERROR(D81/設定!$B$5,1)</f>
        <v>3.1383999999999999</v>
      </c>
      <c r="AF81" s="60">
        <f>1+設定!$B$13*((I81/設定!$B$8+J81/設定!$B$9)/(2*AE81))</f>
        <v>1.4839249299005863</v>
      </c>
      <c r="AG81" s="60">
        <f>MAX(0.7,1+設定!$B$14*(O81/IF(X81="Melee",1.5,2.5)-1))</f>
        <v>0.96160000000000001</v>
      </c>
      <c r="AH81" s="53">
        <f t="shared" si="5"/>
        <v>26.527322639999998</v>
      </c>
      <c r="AI81" s="53">
        <f>E81*AF81*(1+設定!$B$18*AVERAGE(P81:U81))</f>
        <v>891.80549455932965</v>
      </c>
      <c r="AJ81" s="61">
        <f>設定!$B$5*SQRT((AH81/(設定!$B$7*設定!$B$10*(1+設定!$B$11*(設定!$B$12-1))))*(AI81/(設定!$B$6*(1+設定!$B$13))))</f>
        <v>314.05948939340965</v>
      </c>
      <c r="AK81" s="62">
        <f t="shared" si="6"/>
        <v>6.993671724753181E-4</v>
      </c>
      <c r="AL81" s="63">
        <f t="shared" si="7"/>
        <v>288.7328</v>
      </c>
      <c r="AM81" s="64" t="s">
        <v>952</v>
      </c>
      <c r="AN81" s="54">
        <f>MAX(1,ROUND((設定!$B$7*設定!$B$10*(1+設定!$B$11*(設定!$B$12-1)))*AE81^2*(設定!$B$6*(1+設定!$B$13))/(AI81*N81*(1+K81*(L81-1))*AG81),0))</f>
        <v>42</v>
      </c>
      <c r="AO81" s="65" t="str">
        <f>IF($A81="","",IF(COUNTIF(個性タイプマスタ!$A$5:$A$100,$AM81)&gt;0,"OK","未登録"))</f>
        <v>OK</v>
      </c>
      <c r="AP81" s="67" t="str">
        <f>IF($A81="","",IF(COUNTIF(属性耐性マスタ!$A$5:$A$11,$C81)&gt;0,"OK","未登録"))</f>
        <v>OK</v>
      </c>
    </row>
    <row r="82" spans="1:42">
      <c r="A82" s="66" t="s">
        <v>264</v>
      </c>
      <c r="B82" s="51" t="s">
        <v>265</v>
      </c>
      <c r="C82" s="109" t="s">
        <v>874</v>
      </c>
      <c r="D82" s="53">
        <f>ROUND(設定!$B$5*POWER($D$2,W82-1),2)</f>
        <v>313.83999999999997</v>
      </c>
      <c r="E82" s="54">
        <f>MAX(1,ROUND(設定!$B$6*AE82*Y82,0))</f>
        <v>352</v>
      </c>
      <c r="F82" s="54">
        <f>MAX(0,ROUND(設定!$B$7*AE82*設定!$B$15*IF(X82="Melee",0.6,1.35)*IFERROR(VLOOKUP($AM82,個性タイプマスタ!$A$5:$P$100,14,FALSE),1),0))</f>
        <v>62</v>
      </c>
      <c r="G82" s="54">
        <f>IF(X82="Melee",AN82,MAX(1,ROUND(AN82*設定!$B$16*IFERROR(VLOOKUP($AM82,個性タイプマスタ!$A$5:$P$100,15,FALSE),1),0)))</f>
        <v>15</v>
      </c>
      <c r="H82" s="54">
        <f>IF(X82="Ranged",AN82,MAX(1,ROUND(AN82*設定!$B$16*IFERROR(VLOOKUP($AM82,個性タイプマスタ!$A$5:$P$100,15,FALSE),1),0)))</f>
        <v>52</v>
      </c>
      <c r="I82" s="54">
        <f>MAX(0,ROUND(設定!$B$8*AE82*Z82,0))</f>
        <v>49</v>
      </c>
      <c r="J82" s="54">
        <f>MAX(0,ROUND(設定!$B$9*AE82*AA82,0))</f>
        <v>18</v>
      </c>
      <c r="K82" s="55">
        <f>IFERROR(VLOOKUP($AM82,個性タイプマスタ!$A$5:$P$100,9,FALSE),0.05)</f>
        <v>5.5E-2</v>
      </c>
      <c r="L82" s="56">
        <f>IFERROR(VLOOKUP($AM82,個性タイプマスタ!$A$5:$P$100,10,FALSE),1.5)</f>
        <v>1.5</v>
      </c>
      <c r="M82" s="56">
        <f>IFERROR(VLOOKUP($AM82,個性タイプマスタ!$A$5:$P$100,11,FALSE),2)</f>
        <v>1.85</v>
      </c>
      <c r="N82" s="57">
        <f>MAX(0.1,ROUND(設定!$B$10*AB82,3))</f>
        <v>0.87</v>
      </c>
      <c r="O82" s="57">
        <f t="shared" si="4"/>
        <v>2.35</v>
      </c>
      <c r="P82" s="58">
        <f>MAX(-10,MIN(0.8,IFERROR(INDEX(属性耐性マスタ!$B$5:$G$11,MATCH($C82,属性耐性マスタ!$A$5:$A$11,0),1),0)+IFERROR(VLOOKUP($AM82,個性タイプマスタ!$A$5:$P$100,12,FALSE),0)))</f>
        <v>6.5000000000000002E-2</v>
      </c>
      <c r="Q82" s="58">
        <f>MAX(-10,MIN(0.8,IFERROR(INDEX(属性耐性マスタ!$B$5:$G$11,MATCH($C82,属性耐性マスタ!$A$5:$A$11,0),2),0)+IFERROR(VLOOKUP($AM82,個性タイプマスタ!$A$5:$P$100,12,FALSE),0)))</f>
        <v>6.5000000000000002E-2</v>
      </c>
      <c r="R82" s="58">
        <f>MAX(-10,MIN(0.8,IFERROR(INDEX(属性耐性マスタ!$B$5:$G$11,MATCH($C82,属性耐性マスタ!$A$5:$A$11,0),3),0)+IFERROR(VLOOKUP($AM82,個性タイプマスタ!$A$5:$P$100,12,FALSE),0)))</f>
        <v>6.5000000000000002E-2</v>
      </c>
      <c r="S82" s="58">
        <f>MAX(-10,MIN(0.8,IFERROR(INDEX(属性耐性マスタ!$B$5:$G$11,MATCH($C82,属性耐性マスタ!$A$5:$A$11,0),4),0)+IFERROR(VLOOKUP($AM82,個性タイプマスタ!$A$5:$P$100,12,FALSE),0)))</f>
        <v>6.5000000000000002E-2</v>
      </c>
      <c r="T82" s="58">
        <f>MAX(-10,MIN(0.8,IFERROR(INDEX(属性耐性マスタ!$B$5:$G$11,MATCH($C82,属性耐性マスタ!$A$5:$A$11,0),5),0)+IFERROR(VLOOKUP($AM82,個性タイプマスタ!$A$5:$P$100,12,FALSE),0)))</f>
        <v>-3.5000000000000003E-2</v>
      </c>
      <c r="U82" s="58">
        <f>MAX(-10,MIN(0.8,IFERROR(INDEX(属性耐性マスタ!$B$5:$G$11,MATCH($C82,属性耐性マスタ!$A$5:$A$11,0),6),0)+IFERROR(VLOOKUP($AM82,個性タイプマスタ!$A$5:$P$100,12,FALSE),0)))</f>
        <v>0.26500000000000001</v>
      </c>
      <c r="V82" s="59">
        <f>ROUND(設定!$B$19*IFERROR(VLOOKUP($AM82,個性タイプマスタ!$A$5:$P$100,13,FALSE),1),2)</f>
        <v>4.2</v>
      </c>
      <c r="W82" s="59">
        <v>13</v>
      </c>
      <c r="X82" s="59" t="str">
        <f>IFERROR(VLOOKUP($AM82,個性タイプマスタ!$A$5:$P$100,2,FALSE),"Ranged")</f>
        <v>Ranged</v>
      </c>
      <c r="Y82" s="56">
        <f>IFERROR(VLOOKUP($AM82,個性タイプマスタ!$A$5:$P$100,3,FALSE),1)</f>
        <v>1.1200000000000001</v>
      </c>
      <c r="Z82" s="56">
        <f>IFERROR(VLOOKUP($AM82,個性タイプマスタ!$A$5:$P$100,4,FALSE),1)</f>
        <v>1.95</v>
      </c>
      <c r="AA82" s="56">
        <f>IFERROR(VLOOKUP($AM82,個性タイプマスタ!$A$5:$P$100,5,FALSE),1)</f>
        <v>0.72</v>
      </c>
      <c r="AB82" s="56">
        <f>IFERROR(VLOOKUP($AM82,個性タイプマスタ!$A$5:$P$100,6,FALSE),1)</f>
        <v>0.87</v>
      </c>
      <c r="AC82" s="56">
        <f>IFERROR(VLOOKUP($AM82,個性タイプマスタ!$A$5:$P$100,7,FALSE),1)</f>
        <v>0.94</v>
      </c>
      <c r="AD82" s="56">
        <f>IFERROR(VLOOKUP($AM82,個性タイプマスタ!$A$5:$P$100,8,FALSE),1)</f>
        <v>0.82</v>
      </c>
      <c r="AE82" s="60">
        <f>IFERROR(D82/設定!$B$5,1)</f>
        <v>3.1383999999999999</v>
      </c>
      <c r="AF82" s="60">
        <f>1+設定!$B$13*((I82/設定!$B$8+J82/設定!$B$9)/(2*AE82))</f>
        <v>1.4002835839918431</v>
      </c>
      <c r="AG82" s="60">
        <f>MAX(0.7,1+設定!$B$14*(O82/IF(X82="Melee",1.5,2.5)-1))</f>
        <v>0.99280000000000002</v>
      </c>
      <c r="AH82" s="53">
        <f t="shared" si="5"/>
        <v>46.149414480000004</v>
      </c>
      <c r="AI82" s="53">
        <f>E82*AF82*(1+設定!$B$18*AVERAGE(P82:U82))</f>
        <v>511.01389000764726</v>
      </c>
      <c r="AJ82" s="61">
        <f>設定!$B$5*SQRT((AH82/(設定!$B$7*設定!$B$10*(1+設定!$B$11*(設定!$B$12-1))))*(AI82/(設定!$B$6*(1+設定!$B$13))))</f>
        <v>313.56644964791599</v>
      </c>
      <c r="AK82" s="62">
        <f t="shared" si="6"/>
        <v>-8.7162360465198319E-4</v>
      </c>
      <c r="AL82" s="63">
        <f t="shared" si="7"/>
        <v>257.34879999999998</v>
      </c>
      <c r="AM82" s="64" t="s">
        <v>928</v>
      </c>
      <c r="AN82" s="54">
        <f>MAX(1,ROUND((設定!$B$7*設定!$B$10*(1+設定!$B$11*(設定!$B$12-1)))*AE82^2*(設定!$B$6*(1+設定!$B$13))/(AI82*N82*(1+K82*(L82-1))*AG82),0))</f>
        <v>52</v>
      </c>
      <c r="AO82" s="65" t="str">
        <f>IF($A82="","",IF(COUNTIF(個性タイプマスタ!$A$5:$A$100,$AM82)&gt;0,"OK","未登録"))</f>
        <v>OK</v>
      </c>
      <c r="AP82" s="67" t="str">
        <f>IF($A82="","",IF(COUNTIF(属性耐性マスタ!$A$5:$A$11,$C82)&gt;0,"OK","未登録"))</f>
        <v>OK</v>
      </c>
    </row>
    <row r="83" spans="1:42">
      <c r="A83" s="66" t="s">
        <v>266</v>
      </c>
      <c r="B83" s="51" t="s">
        <v>267</v>
      </c>
      <c r="C83" s="109" t="s">
        <v>114</v>
      </c>
      <c r="D83" s="53">
        <f>ROUND(設定!$B$5*POWER($D$2,W83-1),2)</f>
        <v>345.23</v>
      </c>
      <c r="E83" s="54">
        <f>MAX(1,ROUND(設定!$B$6*AE83*Y83,0))</f>
        <v>442</v>
      </c>
      <c r="F83" s="54">
        <f>MAX(0,ROUND(設定!$B$7*AE83*設定!$B$15*IF(X83="Melee",0.6,1.35)*IFERROR(VLOOKUP($AM83,個性タイプマスタ!$A$5:$P$100,14,FALSE),1),0))</f>
        <v>48</v>
      </c>
      <c r="G83" s="54">
        <f>IF(X83="Melee",AN83,MAX(1,ROUND(AN83*設定!$B$16*IFERROR(VLOOKUP($AM83,個性タイプマスタ!$A$5:$P$100,15,FALSE),1),0)))</f>
        <v>13</v>
      </c>
      <c r="H83" s="54">
        <f>IF(X83="Ranged",AN83,MAX(1,ROUND(AN83*設定!$B$16*IFERROR(VLOOKUP($AM83,個性タイプマスタ!$A$5:$P$100,15,FALSE),1),0)))</f>
        <v>33</v>
      </c>
      <c r="I83" s="54">
        <f>MAX(0,ROUND(設定!$B$8*AE83*Z83,0))</f>
        <v>34</v>
      </c>
      <c r="J83" s="54">
        <f>MAX(0,ROUND(設定!$B$9*AE83*AA83,0))</f>
        <v>31</v>
      </c>
      <c r="K83" s="55">
        <f>IFERROR(VLOOKUP($AM83,個性タイプマスタ!$A$5:$P$100,9,FALSE),0.05)</f>
        <v>7.0000000000000007E-2</v>
      </c>
      <c r="L83" s="56">
        <f>IFERROR(VLOOKUP($AM83,個性タイプマスタ!$A$5:$P$100,10,FALSE),1.5)</f>
        <v>1.5</v>
      </c>
      <c r="M83" s="56">
        <f>IFERROR(VLOOKUP($AM83,個性タイプマスタ!$A$5:$P$100,11,FALSE),2)</f>
        <v>2.8</v>
      </c>
      <c r="N83" s="57">
        <f>MAX(0.1,ROUND(設定!$B$10*AB83,3))</f>
        <v>1.45</v>
      </c>
      <c r="O83" s="57">
        <f t="shared" si="4"/>
        <v>1.55</v>
      </c>
      <c r="P83" s="58">
        <f>MAX(-10,MIN(0.8,IFERROR(INDEX(属性耐性マスタ!$B$5:$G$11,MATCH($C83,属性耐性マスタ!$A$5:$A$11,0),1),0)+IFERROR(VLOOKUP($AM83,個性タイプマスタ!$A$5:$P$100,12,FALSE),0)))</f>
        <v>0.03</v>
      </c>
      <c r="Q83" s="58">
        <f>MAX(-10,MIN(0.8,IFERROR(INDEX(属性耐性マスタ!$B$5:$G$11,MATCH($C83,属性耐性マスタ!$A$5:$A$11,0),2),0)+IFERROR(VLOOKUP($AM83,個性タイプマスタ!$A$5:$P$100,12,FALSE),0)))</f>
        <v>0.03</v>
      </c>
      <c r="R83" s="58">
        <f>MAX(-10,MIN(0.8,IFERROR(INDEX(属性耐性マスタ!$B$5:$G$11,MATCH($C83,属性耐性マスタ!$A$5:$A$11,0),3),0)+IFERROR(VLOOKUP($AM83,個性タイプマスタ!$A$5:$P$100,12,FALSE),0)))</f>
        <v>0.23</v>
      </c>
      <c r="S83" s="58">
        <f>MAX(-10,MIN(0.8,IFERROR(INDEX(属性耐性マスタ!$B$5:$G$11,MATCH($C83,属性耐性マスタ!$A$5:$A$11,0),4),0)+IFERROR(VLOOKUP($AM83,個性タイプマスタ!$A$5:$P$100,12,FALSE),0)))</f>
        <v>-7.0000000000000007E-2</v>
      </c>
      <c r="T83" s="58">
        <f>MAX(-10,MIN(0.8,IFERROR(INDEX(属性耐性マスタ!$B$5:$G$11,MATCH($C83,属性耐性マスタ!$A$5:$A$11,0),5),0)+IFERROR(VLOOKUP($AM83,個性タイプマスタ!$A$5:$P$100,12,FALSE),0)))</f>
        <v>0.03</v>
      </c>
      <c r="U83" s="58">
        <f>MAX(-10,MIN(0.8,IFERROR(INDEX(属性耐性マスタ!$B$5:$G$11,MATCH($C83,属性耐性マスタ!$A$5:$A$11,0),6),0)+IFERROR(VLOOKUP($AM83,個性タイプマスタ!$A$5:$P$100,12,FALSE),0)))</f>
        <v>0.03</v>
      </c>
      <c r="V83" s="59">
        <f>ROUND(設定!$B$19*IFERROR(VLOOKUP($AM83,個性タイプマスタ!$A$5:$P$100,13,FALSE),1),2)</f>
        <v>3.6</v>
      </c>
      <c r="W83" s="59">
        <v>14</v>
      </c>
      <c r="X83" s="59" t="str">
        <f>IFERROR(VLOOKUP($AM83,個性タイプマスタ!$A$5:$P$100,2,FALSE),"Ranged")</f>
        <v>Ranged</v>
      </c>
      <c r="Y83" s="56">
        <f>IFERROR(VLOOKUP($AM83,個性タイプマスタ!$A$5:$P$100,3,FALSE),1)</f>
        <v>1.28</v>
      </c>
      <c r="Z83" s="56">
        <f>IFERROR(VLOOKUP($AM83,個性タイプマスタ!$A$5:$P$100,4,FALSE),1)</f>
        <v>1.23</v>
      </c>
      <c r="AA83" s="56">
        <f>IFERROR(VLOOKUP($AM83,個性タイプマスタ!$A$5:$P$100,5,FALSE),1)</f>
        <v>1.1200000000000001</v>
      </c>
      <c r="AB83" s="56">
        <f>IFERROR(VLOOKUP($AM83,個性タイプマスタ!$A$5:$P$100,6,FALSE),1)</f>
        <v>1.45</v>
      </c>
      <c r="AC83" s="56">
        <f>IFERROR(VLOOKUP($AM83,個性タイプマスタ!$A$5:$P$100,7,FALSE),1)</f>
        <v>0.62</v>
      </c>
      <c r="AD83" s="56">
        <f>IFERROR(VLOOKUP($AM83,個性タイプマスタ!$A$5:$P$100,8,FALSE),1)</f>
        <v>0.8</v>
      </c>
      <c r="AE83" s="60">
        <f>IFERROR(D83/設定!$B$5,1)</f>
        <v>3.4523000000000001</v>
      </c>
      <c r="AF83" s="60">
        <f>1+設定!$B$13*((I83/設定!$B$8+J83/設定!$B$9)/(2*AE83))</f>
        <v>1.3530255192190714</v>
      </c>
      <c r="AG83" s="60">
        <f>MAX(0.7,1+設定!$B$14*(O83/IF(X83="Melee",1.5,2.5)-1))</f>
        <v>0.95440000000000003</v>
      </c>
      <c r="AH83" s="53">
        <f t="shared" si="5"/>
        <v>47.266421399999999</v>
      </c>
      <c r="AI83" s="53">
        <f>E83*AF83*(1+設定!$B$18*AVERAGE(P83:U83))</f>
        <v>610.59606236422098</v>
      </c>
      <c r="AJ83" s="61">
        <f>設定!$B$5*SQRT((AH83/(設定!$B$7*設定!$B$10*(1+設定!$B$11*(設定!$B$12-1))))*(AI83/(設定!$B$6*(1+設定!$B$13))))</f>
        <v>346.88338579286278</v>
      </c>
      <c r="AK83" s="62">
        <f t="shared" si="6"/>
        <v>4.7892297681626506E-3</v>
      </c>
      <c r="AL83" s="63">
        <f t="shared" si="7"/>
        <v>276.18400000000003</v>
      </c>
      <c r="AM83" s="64" t="s">
        <v>920</v>
      </c>
      <c r="AN83" s="54">
        <f>MAX(1,ROUND((設定!$B$7*設定!$B$10*(1+設定!$B$11*(設定!$B$12-1)))*AE83^2*(設定!$B$6*(1+設定!$B$13))/(AI83*N83*(1+K83*(L83-1))*AG83),0))</f>
        <v>33</v>
      </c>
      <c r="AO83" s="65" t="str">
        <f>IF($A83="","",IF(COUNTIF(個性タイプマスタ!$A$5:$A$100,$AM83)&gt;0,"OK","未登録"))</f>
        <v>OK</v>
      </c>
      <c r="AP83" s="67" t="str">
        <f>IF($A83="","",IF(COUNTIF(属性耐性マスタ!$A$5:$A$11,$C83)&gt;0,"OK","未登録"))</f>
        <v>OK</v>
      </c>
    </row>
    <row r="84" spans="1:42">
      <c r="A84" s="66" t="s">
        <v>268</v>
      </c>
      <c r="B84" s="51" t="s">
        <v>269</v>
      </c>
      <c r="C84" s="109" t="s">
        <v>121</v>
      </c>
      <c r="D84" s="53">
        <f>ROUND(設定!$B$5*POWER($D$2,W84-1),2)</f>
        <v>345.23</v>
      </c>
      <c r="E84" s="54">
        <f>MAX(1,ROUND(設定!$B$6*AE84*Y84,0))</f>
        <v>307</v>
      </c>
      <c r="F84" s="54">
        <f>MAX(0,ROUND(設定!$B$7*AE84*設定!$B$15*IF(X84="Melee",0.6,1.35)*IFERROR(VLOOKUP($AM84,個性タイプマスタ!$A$5:$P$100,14,FALSE),1),0))</f>
        <v>48</v>
      </c>
      <c r="G84" s="54">
        <f>IF(X84="Melee",AN84,MAX(1,ROUND(AN84*設定!$B$16*IFERROR(VLOOKUP($AM84,個性タイプマスタ!$A$5:$P$100,15,FALSE),1),0)))</f>
        <v>16</v>
      </c>
      <c r="H84" s="54">
        <f>IF(X84="Ranged",AN84,MAX(1,ROUND(AN84*設定!$B$16*IFERROR(VLOOKUP($AM84,個性タイプマスタ!$A$5:$P$100,15,FALSE),1),0)))</f>
        <v>60</v>
      </c>
      <c r="I84" s="54">
        <f>MAX(0,ROUND(設定!$B$8*AE84*Z84,0))</f>
        <v>25</v>
      </c>
      <c r="J84" s="54">
        <f>MAX(0,ROUND(設定!$B$9*AE84*AA84,0))</f>
        <v>25</v>
      </c>
      <c r="K84" s="55">
        <f>IFERROR(VLOOKUP($AM84,個性タイプマスタ!$A$5:$P$100,9,FALSE),0.05)</f>
        <v>7.4999999999999997E-2</v>
      </c>
      <c r="L84" s="56">
        <f>IFERROR(VLOOKUP($AM84,個性タイプマスタ!$A$5:$P$100,10,FALSE),1.5)</f>
        <v>1.5</v>
      </c>
      <c r="M84" s="56">
        <f>IFERROR(VLOOKUP($AM84,個性タイプマスタ!$A$5:$P$100,11,FALSE),2)</f>
        <v>3.1</v>
      </c>
      <c r="N84" s="57">
        <f>MAX(0.1,ROUND(設定!$B$10*AB84,3))</f>
        <v>1.1499999999999999</v>
      </c>
      <c r="O84" s="57">
        <f t="shared" si="4"/>
        <v>3.0750000000000002</v>
      </c>
      <c r="P84" s="58">
        <f>MAX(-10,MIN(0.8,IFERROR(INDEX(属性耐性マスタ!$B$5:$G$11,MATCH($C84,属性耐性マスタ!$A$5:$A$11,0),1),0)+IFERROR(VLOOKUP($AM84,個性タイプマスタ!$A$5:$P$100,12,FALSE),0)))</f>
        <v>-0.01</v>
      </c>
      <c r="Q84" s="58">
        <f>MAX(-10,MIN(0.8,IFERROR(INDEX(属性耐性マスタ!$B$5:$G$11,MATCH($C84,属性耐性マスタ!$A$5:$A$11,0),2),0)+IFERROR(VLOOKUP($AM84,個性タイプマスタ!$A$5:$P$100,12,FALSE),0)))</f>
        <v>-0.01</v>
      </c>
      <c r="R84" s="58">
        <f>MAX(-10,MIN(0.8,IFERROR(INDEX(属性耐性マスタ!$B$5:$G$11,MATCH($C84,属性耐性マスタ!$A$5:$A$11,0),3),0)+IFERROR(VLOOKUP($AM84,個性タイプマスタ!$A$5:$P$100,12,FALSE),0)))</f>
        <v>-0.01</v>
      </c>
      <c r="S84" s="58">
        <f>MAX(-10,MIN(0.8,IFERROR(INDEX(属性耐性マスタ!$B$5:$G$11,MATCH($C84,属性耐性マスタ!$A$5:$A$11,0),4),0)+IFERROR(VLOOKUP($AM84,個性タイプマスタ!$A$5:$P$100,12,FALSE),0)))</f>
        <v>-0.01</v>
      </c>
      <c r="T84" s="58">
        <f>MAX(-10,MIN(0.8,IFERROR(INDEX(属性耐性マスタ!$B$5:$G$11,MATCH($C84,属性耐性マスタ!$A$5:$A$11,0),5),0)+IFERROR(VLOOKUP($AM84,個性タイプマスタ!$A$5:$P$100,12,FALSE),0)))</f>
        <v>0.19</v>
      </c>
      <c r="U84" s="58">
        <f>MAX(-10,MIN(0.8,IFERROR(INDEX(属性耐性マスタ!$B$5:$G$11,MATCH($C84,属性耐性マスタ!$A$5:$A$11,0),6),0)+IFERROR(VLOOKUP($AM84,個性タイプマスタ!$A$5:$P$100,12,FALSE),0)))</f>
        <v>-0.11</v>
      </c>
      <c r="V84" s="59">
        <f>ROUND(設定!$B$19*IFERROR(VLOOKUP($AM84,個性タイプマスタ!$A$5:$P$100,13,FALSE),1),2)</f>
        <v>8.6</v>
      </c>
      <c r="W84" s="59">
        <v>14</v>
      </c>
      <c r="X84" s="59" t="str">
        <f>IFERROR(VLOOKUP($AM84,個性タイプマスタ!$A$5:$P$100,2,FALSE),"Ranged")</f>
        <v>Ranged</v>
      </c>
      <c r="Y84" s="56">
        <f>IFERROR(VLOOKUP($AM84,個性タイプマスタ!$A$5:$P$100,3,FALSE),1)</f>
        <v>0.89</v>
      </c>
      <c r="Z84" s="56">
        <f>IFERROR(VLOOKUP($AM84,個性タイプマスタ!$A$5:$P$100,4,FALSE),1)</f>
        <v>0.92</v>
      </c>
      <c r="AA84" s="56">
        <f>IFERROR(VLOOKUP($AM84,個性タイプマスタ!$A$5:$P$100,5,FALSE),1)</f>
        <v>0.91</v>
      </c>
      <c r="AB84" s="56">
        <f>IFERROR(VLOOKUP($AM84,個性タイプマスタ!$A$5:$P$100,6,FALSE),1)</f>
        <v>1.1499999999999999</v>
      </c>
      <c r="AC84" s="56">
        <f>IFERROR(VLOOKUP($AM84,個性タイプマスタ!$A$5:$P$100,7,FALSE),1)</f>
        <v>1.23</v>
      </c>
      <c r="AD84" s="56">
        <f>IFERROR(VLOOKUP($AM84,個性タイプマスタ!$A$5:$P$100,8,FALSE),1)</f>
        <v>0.74</v>
      </c>
      <c r="AE84" s="60">
        <f>IFERROR(D84/設定!$B$5,1)</f>
        <v>3.4523000000000001</v>
      </c>
      <c r="AF84" s="60">
        <f>1+設定!$B$13*((I84/設定!$B$8+J84/設定!$B$9)/(2*AE84))</f>
        <v>1.271558091706978</v>
      </c>
      <c r="AG84" s="60">
        <f>MAX(0.7,1+設定!$B$14*(O84/IF(X84="Melee",1.5,2.5)-1))</f>
        <v>1.0276000000000001</v>
      </c>
      <c r="AH84" s="53">
        <f t="shared" si="5"/>
        <v>73.563315000000017</v>
      </c>
      <c r="AI84" s="53">
        <f>E84*AF84*(1+設定!$B$18*AVERAGE(P84:U84))</f>
        <v>391.53943915650433</v>
      </c>
      <c r="AJ84" s="61">
        <f>設定!$B$5*SQRT((AH84/(設定!$B$7*設定!$B$10*(1+設定!$B$11*(設定!$B$12-1))))*(AI84/(設定!$B$6*(1+設定!$B$13))))</f>
        <v>346.5361464594622</v>
      </c>
      <c r="AK84" s="62">
        <f t="shared" si="6"/>
        <v>3.7834094935613738E-3</v>
      </c>
      <c r="AL84" s="63">
        <f t="shared" si="7"/>
        <v>255.47020000000001</v>
      </c>
      <c r="AM84" s="64" t="s">
        <v>934</v>
      </c>
      <c r="AN84" s="54">
        <f>MAX(1,ROUND((設定!$B$7*設定!$B$10*(1+設定!$B$11*(設定!$B$12-1)))*AE84^2*(設定!$B$6*(1+設定!$B$13))/(AI84*N84*(1+K84*(L84-1))*AG84),0))</f>
        <v>60</v>
      </c>
      <c r="AO84" s="65" t="str">
        <f>IF($A84="","",IF(COUNTIF(個性タイプマスタ!$A$5:$A$100,$AM84)&gt;0,"OK","未登録"))</f>
        <v>OK</v>
      </c>
      <c r="AP84" s="67" t="str">
        <f>IF($A84="","",IF(COUNTIF(属性耐性マスタ!$A$5:$A$11,$C84)&gt;0,"OK","未登録"))</f>
        <v>OK</v>
      </c>
    </row>
    <row r="85" spans="1:42">
      <c r="A85" s="66" t="s">
        <v>270</v>
      </c>
      <c r="B85" s="51" t="s">
        <v>271</v>
      </c>
      <c r="C85" s="109" t="s">
        <v>114</v>
      </c>
      <c r="D85" s="53">
        <f>ROUND(設定!$B$5*POWER($D$2,W85-1),2)</f>
        <v>345.23</v>
      </c>
      <c r="E85" s="54">
        <f>MAX(1,ROUND(設定!$B$6*AE85*Y85,0))</f>
        <v>518</v>
      </c>
      <c r="F85" s="54">
        <f>MAX(0,ROUND(設定!$B$7*AE85*設定!$B$15*IF(X85="Melee",0.6,1.35)*IFERROR(VLOOKUP($AM85,個性タイプマスタ!$A$5:$P$100,14,FALSE),1),0))</f>
        <v>63</v>
      </c>
      <c r="G85" s="54">
        <f>IF(X85="Melee",AN85,MAX(1,ROUND(AN85*設定!$B$16*IFERROR(VLOOKUP($AM85,個性タイプマスタ!$A$5:$P$100,15,FALSE),1),0)))</f>
        <v>13</v>
      </c>
      <c r="H85" s="54">
        <f>IF(X85="Ranged",AN85,MAX(1,ROUND(AN85*設定!$B$16*IFERROR(VLOOKUP($AM85,個性タイプマスタ!$A$5:$P$100,15,FALSE),1),0)))</f>
        <v>28</v>
      </c>
      <c r="I85" s="54">
        <f>MAX(0,ROUND(設定!$B$8*AE85*Z85,0))</f>
        <v>41</v>
      </c>
      <c r="J85" s="54">
        <f>MAX(0,ROUND(設定!$B$9*AE85*AA85,0))</f>
        <v>39</v>
      </c>
      <c r="K85" s="55">
        <f>IFERROR(VLOOKUP($AM85,個性タイプマスタ!$A$5:$P$100,9,FALSE),0.05)</f>
        <v>0.1</v>
      </c>
      <c r="L85" s="56">
        <f>IFERROR(VLOOKUP($AM85,個性タイプマスタ!$A$5:$P$100,10,FALSE),1.5)</f>
        <v>1.75</v>
      </c>
      <c r="M85" s="56">
        <f>IFERROR(VLOOKUP($AM85,個性タイプマスタ!$A$5:$P$100,11,FALSE),2)</f>
        <v>2.4</v>
      </c>
      <c r="N85" s="57">
        <f>MAX(0.1,ROUND(設定!$B$10*AB85,3))</f>
        <v>1.2</v>
      </c>
      <c r="O85" s="57">
        <f t="shared" si="4"/>
        <v>3</v>
      </c>
      <c r="P85" s="58">
        <f>MAX(-10,MIN(0.8,IFERROR(INDEX(属性耐性マスタ!$B$5:$G$11,MATCH($C85,属性耐性マスタ!$A$5:$A$11,0),1),0)+IFERROR(VLOOKUP($AM85,個性タイプマスタ!$A$5:$P$100,12,FALSE),0)))</f>
        <v>0.08</v>
      </c>
      <c r="Q85" s="58">
        <f>MAX(-10,MIN(0.8,IFERROR(INDEX(属性耐性マスタ!$B$5:$G$11,MATCH($C85,属性耐性マスタ!$A$5:$A$11,0),2),0)+IFERROR(VLOOKUP($AM85,個性タイプマスタ!$A$5:$P$100,12,FALSE),0)))</f>
        <v>0.08</v>
      </c>
      <c r="R85" s="58">
        <f>MAX(-10,MIN(0.8,IFERROR(INDEX(属性耐性マスタ!$B$5:$G$11,MATCH($C85,属性耐性マスタ!$A$5:$A$11,0),3),0)+IFERROR(VLOOKUP($AM85,個性タイプマスタ!$A$5:$P$100,12,FALSE),0)))</f>
        <v>0.28000000000000003</v>
      </c>
      <c r="S85" s="58">
        <f>MAX(-10,MIN(0.8,IFERROR(INDEX(属性耐性マスタ!$B$5:$G$11,MATCH($C85,属性耐性マスタ!$A$5:$A$11,0),4),0)+IFERROR(VLOOKUP($AM85,個性タイプマスタ!$A$5:$P$100,12,FALSE),0)))</f>
        <v>-2.0000000000000004E-2</v>
      </c>
      <c r="T85" s="58">
        <f>MAX(-10,MIN(0.8,IFERROR(INDEX(属性耐性マスタ!$B$5:$G$11,MATCH($C85,属性耐性マスタ!$A$5:$A$11,0),5),0)+IFERROR(VLOOKUP($AM85,個性タイプマスタ!$A$5:$P$100,12,FALSE),0)))</f>
        <v>0.08</v>
      </c>
      <c r="U85" s="58">
        <f>MAX(-10,MIN(0.8,IFERROR(INDEX(属性耐性マスタ!$B$5:$G$11,MATCH($C85,属性耐性マスタ!$A$5:$A$11,0),6),0)+IFERROR(VLOOKUP($AM85,個性タイプマスタ!$A$5:$P$100,12,FALSE),0)))</f>
        <v>0.08</v>
      </c>
      <c r="V85" s="59">
        <f>ROUND(設定!$B$19*IFERROR(VLOOKUP($AM85,個性タイプマスタ!$A$5:$P$100,13,FALSE),1),2)</f>
        <v>4</v>
      </c>
      <c r="W85" s="59">
        <v>14</v>
      </c>
      <c r="X85" s="59" t="str">
        <f>IFERROR(VLOOKUP($AM85,個性タイプマスタ!$A$5:$P$100,2,FALSE),"Ranged")</f>
        <v>Ranged</v>
      </c>
      <c r="Y85" s="56">
        <f>IFERROR(VLOOKUP($AM85,個性タイプマスタ!$A$5:$P$100,3,FALSE),1)</f>
        <v>1.5</v>
      </c>
      <c r="Z85" s="56">
        <f>IFERROR(VLOOKUP($AM85,個性タイプマスタ!$A$5:$P$100,4,FALSE),1)</f>
        <v>1.5</v>
      </c>
      <c r="AA85" s="56">
        <f>IFERROR(VLOOKUP($AM85,個性タイプマスタ!$A$5:$P$100,5,FALSE),1)</f>
        <v>1.4</v>
      </c>
      <c r="AB85" s="56">
        <f>IFERROR(VLOOKUP($AM85,個性タイプマスタ!$A$5:$P$100,6,FALSE),1)</f>
        <v>1.2</v>
      </c>
      <c r="AC85" s="56">
        <f>IFERROR(VLOOKUP($AM85,個性タイプマスタ!$A$5:$P$100,7,FALSE),1)</f>
        <v>1.2</v>
      </c>
      <c r="AD85" s="56">
        <f>IFERROR(VLOOKUP($AM85,個性タイプマスタ!$A$5:$P$100,8,FALSE),1)</f>
        <v>1</v>
      </c>
      <c r="AE85" s="60">
        <f>IFERROR(D85/設定!$B$5,1)</f>
        <v>3.4523000000000001</v>
      </c>
      <c r="AF85" s="60">
        <f>1+設定!$B$13*((I85/設定!$B$8+J85/設定!$B$9)/(2*AE85))</f>
        <v>1.4344929467311647</v>
      </c>
      <c r="AG85" s="60">
        <f>MAX(0.7,1+設定!$B$14*(O85/IF(X85="Melee",1.5,2.5)-1))</f>
        <v>1.024</v>
      </c>
      <c r="AH85" s="53">
        <f t="shared" si="5"/>
        <v>36.986879999999999</v>
      </c>
      <c r="AI85" s="53">
        <f>E85*AF85*(1+設定!$B$18*AVERAGE(P85:U85))</f>
        <v>775.39077597543678</v>
      </c>
      <c r="AJ85" s="61">
        <f>設定!$B$5*SQRT((AH85/(設定!$B$7*設定!$B$10*(1+設定!$B$11*(設定!$B$12-1))))*(AI85/(設定!$B$6*(1+設定!$B$13))))</f>
        <v>345.79149152977362</v>
      </c>
      <c r="AK85" s="62">
        <f t="shared" si="6"/>
        <v>1.6264273955728381E-3</v>
      </c>
      <c r="AL85" s="63">
        <f t="shared" si="7"/>
        <v>345.23</v>
      </c>
      <c r="AM85" s="64" t="s">
        <v>890</v>
      </c>
      <c r="AN85" s="54">
        <f>MAX(1,ROUND((設定!$B$7*設定!$B$10*(1+設定!$B$11*(設定!$B$12-1)))*AE85^2*(設定!$B$6*(1+設定!$B$13))/(AI85*N85*(1+K85*(L85-1))*AG85),0))</f>
        <v>28</v>
      </c>
      <c r="AO85" s="65" t="str">
        <f>IF($A85="","",IF(COUNTIF(個性タイプマスタ!$A$5:$A$100,$AM85)&gt;0,"OK","未登録"))</f>
        <v>OK</v>
      </c>
      <c r="AP85" s="67" t="str">
        <f>IF($A85="","",IF(COUNTIF(属性耐性マスタ!$A$5:$A$11,$C85)&gt;0,"OK","未登録"))</f>
        <v>OK</v>
      </c>
    </row>
    <row r="86" spans="1:42">
      <c r="A86" s="66" t="s">
        <v>272</v>
      </c>
      <c r="B86" s="51" t="s">
        <v>273</v>
      </c>
      <c r="C86" s="109" t="s">
        <v>111</v>
      </c>
      <c r="D86" s="53">
        <f>ROUND(設定!$B$5*POWER($D$2,W86-1),2)</f>
        <v>345.23</v>
      </c>
      <c r="E86" s="54">
        <f>MAX(1,ROUND(設定!$B$6*AE86*Y86,0))</f>
        <v>242</v>
      </c>
      <c r="F86" s="54">
        <f>MAX(0,ROUND(設定!$B$7*AE86*設定!$B$15*IF(X86="Melee",0.6,1.35)*IFERROR(VLOOKUP($AM86,個性タイプマスタ!$A$5:$P$100,14,FALSE),1),0))</f>
        <v>19</v>
      </c>
      <c r="G86" s="54">
        <f>IF(X86="Melee",AN86,MAX(1,ROUND(AN86*設定!$B$16*IFERROR(VLOOKUP($AM86,個性タイプマスタ!$A$5:$P$100,15,FALSE),1),0)))</f>
        <v>72</v>
      </c>
      <c r="H86" s="54">
        <f>IF(X86="Ranged",AN86,MAX(1,ROUND(AN86*設定!$B$16*IFERROR(VLOOKUP($AM86,個性タイプマスタ!$A$5:$P$100,15,FALSE),1),0)))</f>
        <v>24</v>
      </c>
      <c r="I86" s="54">
        <f>MAX(0,ROUND(設定!$B$8*AE86*Z86,0))</f>
        <v>21</v>
      </c>
      <c r="J86" s="54">
        <f>MAX(0,ROUND(設定!$B$9*AE86*AA86,0))</f>
        <v>22</v>
      </c>
      <c r="K86" s="55">
        <f>IFERROR(VLOOKUP($AM86,個性タイプマスタ!$A$5:$P$100,9,FALSE),0.05)</f>
        <v>0.11</v>
      </c>
      <c r="L86" s="56">
        <f>IFERROR(VLOOKUP($AM86,個性タイプマスタ!$A$5:$P$100,10,FALSE),1.5)</f>
        <v>1.58</v>
      </c>
      <c r="M86" s="56">
        <f>IFERROR(VLOOKUP($AM86,個性タイプマスタ!$A$5:$P$100,11,FALSE),2)</f>
        <v>4.45</v>
      </c>
      <c r="N86" s="57">
        <f>MAX(0.1,ROUND(設定!$B$10*AB86,3))</f>
        <v>1.3</v>
      </c>
      <c r="O86" s="57">
        <f t="shared" si="4"/>
        <v>1.32</v>
      </c>
      <c r="P86" s="58">
        <f>MAX(-10,MIN(0.8,IFERROR(INDEX(属性耐性マスタ!$B$5:$G$11,MATCH($C86,属性耐性マスタ!$A$5:$A$11,0),1),0)+IFERROR(VLOOKUP($AM86,個性タイプマスタ!$A$5:$P$100,12,FALSE),0)))</f>
        <v>0.14000000000000001</v>
      </c>
      <c r="Q86" s="58">
        <f>MAX(-10,MIN(0.8,IFERROR(INDEX(属性耐性マスタ!$B$5:$G$11,MATCH($C86,属性耐性マスタ!$A$5:$A$11,0),2),0)+IFERROR(VLOOKUP($AM86,個性タイプマスタ!$A$5:$P$100,12,FALSE),0)))</f>
        <v>-0.16</v>
      </c>
      <c r="R86" s="58">
        <f>MAX(-10,MIN(0.8,IFERROR(INDEX(属性耐性マスタ!$B$5:$G$11,MATCH($C86,属性耐性マスタ!$A$5:$A$11,0),3),0)+IFERROR(VLOOKUP($AM86,個性タイプマスタ!$A$5:$P$100,12,FALSE),0)))</f>
        <v>-0.06</v>
      </c>
      <c r="S86" s="58">
        <f>MAX(-10,MIN(0.8,IFERROR(INDEX(属性耐性マスタ!$B$5:$G$11,MATCH($C86,属性耐性マスタ!$A$5:$A$11,0),4),0)+IFERROR(VLOOKUP($AM86,個性タイプマスタ!$A$5:$P$100,12,FALSE),0)))</f>
        <v>-0.06</v>
      </c>
      <c r="T86" s="58">
        <f>MAX(-10,MIN(0.8,IFERROR(INDEX(属性耐性マスタ!$B$5:$G$11,MATCH($C86,属性耐性マスタ!$A$5:$A$11,0),5),0)+IFERROR(VLOOKUP($AM86,個性タイプマスタ!$A$5:$P$100,12,FALSE),0)))</f>
        <v>-0.06</v>
      </c>
      <c r="U86" s="58">
        <f>MAX(-10,MIN(0.8,IFERROR(INDEX(属性耐性マスタ!$B$5:$G$11,MATCH($C86,属性耐性マスタ!$A$5:$A$11,0),6),0)+IFERROR(VLOOKUP($AM86,個性タイプマスタ!$A$5:$P$100,12,FALSE),0)))</f>
        <v>-0.06</v>
      </c>
      <c r="V86" s="59">
        <f>ROUND(設定!$B$19*IFERROR(VLOOKUP($AM86,個性タイプマスタ!$A$5:$P$100,13,FALSE),1),2)</f>
        <v>5.6</v>
      </c>
      <c r="W86" s="59">
        <v>14</v>
      </c>
      <c r="X86" s="59" t="str">
        <f>IFERROR(VLOOKUP($AM86,個性タイプマスタ!$A$5:$P$100,2,FALSE),"Ranged")</f>
        <v>Melee</v>
      </c>
      <c r="Y86" s="56">
        <f>IFERROR(VLOOKUP($AM86,個性タイプマスタ!$A$5:$P$100,3,FALSE),1)</f>
        <v>0.7</v>
      </c>
      <c r="Z86" s="56">
        <f>IFERROR(VLOOKUP($AM86,個性タイプマスタ!$A$5:$P$100,4,FALSE),1)</f>
        <v>0.76</v>
      </c>
      <c r="AA86" s="56">
        <f>IFERROR(VLOOKUP($AM86,個性タイプマスタ!$A$5:$P$100,5,FALSE),1)</f>
        <v>0.78</v>
      </c>
      <c r="AB86" s="56">
        <f>IFERROR(VLOOKUP($AM86,個性タイプマスタ!$A$5:$P$100,6,FALSE),1)</f>
        <v>1.3</v>
      </c>
      <c r="AC86" s="56">
        <f>IFERROR(VLOOKUP($AM86,個性タイプマスタ!$A$5:$P$100,7,FALSE),1)</f>
        <v>0.88</v>
      </c>
      <c r="AD86" s="56">
        <f>IFERROR(VLOOKUP($AM86,個性タイプマスタ!$A$5:$P$100,8,FALSE),1)</f>
        <v>0.62</v>
      </c>
      <c r="AE86" s="60">
        <f>IFERROR(D86/設定!$B$5,1)</f>
        <v>3.4523000000000001</v>
      </c>
      <c r="AF86" s="60">
        <f>1+設定!$B$13*((I86/設定!$B$8+J86/設定!$B$9)/(2*AE86))</f>
        <v>1.2335399588680009</v>
      </c>
      <c r="AG86" s="60">
        <f>MAX(0.7,1+設定!$B$14*(O86/IF(X86="Melee",1.5,2.5)-1))</f>
        <v>0.98560000000000003</v>
      </c>
      <c r="AH86" s="53">
        <f t="shared" si="5"/>
        <v>98.137847808000018</v>
      </c>
      <c r="AI86" s="53">
        <f>E86*AF86*(1+設定!$B$18*AVERAGE(P86:U86))</f>
        <v>292.69559498015815</v>
      </c>
      <c r="AJ86" s="61">
        <f>設定!$B$5*SQRT((AH86/(設定!$B$7*設定!$B$10*(1+設定!$B$11*(設定!$B$12-1))))*(AI86/(設定!$B$6*(1+設定!$B$13))))</f>
        <v>346.06405840123699</v>
      </c>
      <c r="AK86" s="62">
        <f t="shared" si="6"/>
        <v>2.4159499499956105E-3</v>
      </c>
      <c r="AL86" s="63">
        <f t="shared" si="7"/>
        <v>214.04260000000002</v>
      </c>
      <c r="AM86" s="64" t="s">
        <v>950</v>
      </c>
      <c r="AN86" s="54">
        <f>MAX(1,ROUND((設定!$B$7*設定!$B$10*(1+設定!$B$11*(設定!$B$12-1)))*AE86^2*(設定!$B$6*(1+設定!$B$13))/(AI86*N86*(1+K86*(L86-1))*AG86),0))</f>
        <v>72</v>
      </c>
      <c r="AO86" s="65" t="str">
        <f>IF($A86="","",IF(COUNTIF(個性タイプマスタ!$A$5:$A$100,$AM86)&gt;0,"OK","未登録"))</f>
        <v>OK</v>
      </c>
      <c r="AP86" s="67" t="str">
        <f>IF($A86="","",IF(COUNTIF(属性耐性マスタ!$A$5:$A$11,$C86)&gt;0,"OK","未登録"))</f>
        <v>OK</v>
      </c>
    </row>
    <row r="87" spans="1:42">
      <c r="A87" s="66" t="s">
        <v>274</v>
      </c>
      <c r="B87" s="51" t="s">
        <v>275</v>
      </c>
      <c r="C87" s="109" t="s">
        <v>871</v>
      </c>
      <c r="D87" s="53">
        <f>ROUND(設定!$B$5*POWER($D$2,W87-1),2)</f>
        <v>345.23</v>
      </c>
      <c r="E87" s="54">
        <f>MAX(1,ROUND(設定!$B$6*AE87*Y87,0))</f>
        <v>387</v>
      </c>
      <c r="F87" s="54">
        <f>MAX(0,ROUND(設定!$B$7*AE87*設定!$B$15*IF(X87="Melee",0.6,1.35)*IFERROR(VLOOKUP($AM87,個性タイプマスタ!$A$5:$P$100,14,FALSE),1),0))</f>
        <v>21</v>
      </c>
      <c r="G87" s="54">
        <f>IF(X87="Melee",AN87,MAX(1,ROUND(AN87*設定!$B$16*IFERROR(VLOOKUP($AM87,個性タイプマスタ!$A$5:$P$100,15,FALSE),1),0)))</f>
        <v>50</v>
      </c>
      <c r="H87" s="54">
        <f>IF(X87="Ranged",AN87,MAX(1,ROUND(AN87*設定!$B$16*IFERROR(VLOOKUP($AM87,個性タイプマスタ!$A$5:$P$100,15,FALSE),1),0)))</f>
        <v>18</v>
      </c>
      <c r="I87" s="54">
        <f>MAX(0,ROUND(設定!$B$8*AE87*Z87,0))</f>
        <v>35</v>
      </c>
      <c r="J87" s="54">
        <f>MAX(0,ROUND(設定!$B$9*AE87*AA87,0))</f>
        <v>34</v>
      </c>
      <c r="K87" s="55">
        <f>IFERROR(VLOOKUP($AM87,個性タイプマスタ!$A$5:$P$100,9,FALSE),0.05)</f>
        <v>0.04</v>
      </c>
      <c r="L87" s="56">
        <f>IFERROR(VLOOKUP($AM87,個性タイプマスタ!$A$5:$P$100,10,FALSE),1.5)</f>
        <v>1.4</v>
      </c>
      <c r="M87" s="56">
        <f>IFERROR(VLOOKUP($AM87,個性タイプマスタ!$A$5:$P$100,11,FALSE),2)</f>
        <v>2.4500000000000002</v>
      </c>
      <c r="N87" s="57">
        <f>MAX(0.1,ROUND(設定!$B$10*AB87,3))</f>
        <v>1.03</v>
      </c>
      <c r="O87" s="57">
        <f t="shared" si="4"/>
        <v>1.47</v>
      </c>
      <c r="P87" s="58">
        <f>MAX(-10,MIN(0.8,IFERROR(INDEX(属性耐性マスタ!$B$5:$G$11,MATCH($C87,属性耐性マスタ!$A$5:$A$11,0),1),0)+IFERROR(VLOOKUP($AM87,個性タイプマスタ!$A$5:$P$100,12,FALSE),0)))</f>
        <v>0.04</v>
      </c>
      <c r="Q87" s="58">
        <f>MAX(-10,MIN(0.8,IFERROR(INDEX(属性耐性マスタ!$B$5:$G$11,MATCH($C87,属性耐性マスタ!$A$5:$A$11,0),2),0)+IFERROR(VLOOKUP($AM87,個性タイプマスタ!$A$5:$P$100,12,FALSE),0)))</f>
        <v>0.04</v>
      </c>
      <c r="R87" s="58">
        <f>MAX(-10,MIN(0.8,IFERROR(INDEX(属性耐性マスタ!$B$5:$G$11,MATCH($C87,属性耐性マスタ!$A$5:$A$11,0),3),0)+IFERROR(VLOOKUP($AM87,個性タイプマスタ!$A$5:$P$100,12,FALSE),0)))</f>
        <v>-6.0000000000000005E-2</v>
      </c>
      <c r="S87" s="58">
        <f>MAX(-10,MIN(0.8,IFERROR(INDEX(属性耐性マスタ!$B$5:$G$11,MATCH($C87,属性耐性マスタ!$A$5:$A$11,0),4),0)+IFERROR(VLOOKUP($AM87,個性タイプマスタ!$A$5:$P$100,12,FALSE),0)))</f>
        <v>0.24000000000000002</v>
      </c>
      <c r="T87" s="58">
        <f>MAX(-10,MIN(0.8,IFERROR(INDEX(属性耐性マスタ!$B$5:$G$11,MATCH($C87,属性耐性マスタ!$A$5:$A$11,0),5),0)+IFERROR(VLOOKUP($AM87,個性タイプマスタ!$A$5:$P$100,12,FALSE),0)))</f>
        <v>0.04</v>
      </c>
      <c r="U87" s="58">
        <f>MAX(-10,MIN(0.8,IFERROR(INDEX(属性耐性マスタ!$B$5:$G$11,MATCH($C87,属性耐性マスタ!$A$5:$A$11,0),6),0)+IFERROR(VLOOKUP($AM87,個性タイプマスタ!$A$5:$P$100,12,FALSE),0)))</f>
        <v>0.04</v>
      </c>
      <c r="V87" s="59">
        <f>ROUND(設定!$B$19*IFERROR(VLOOKUP($AM87,個性タイプマスタ!$A$5:$P$100,13,FALSE),1),2)</f>
        <v>4</v>
      </c>
      <c r="W87" s="59">
        <v>14</v>
      </c>
      <c r="X87" s="59" t="str">
        <f>IFERROR(VLOOKUP($AM87,個性タイプマスタ!$A$5:$P$100,2,FALSE),"Ranged")</f>
        <v>Melee</v>
      </c>
      <c r="Y87" s="56">
        <f>IFERROR(VLOOKUP($AM87,個性タイプマスタ!$A$5:$P$100,3,FALSE),1)</f>
        <v>1.1200000000000001</v>
      </c>
      <c r="Z87" s="56">
        <f>IFERROR(VLOOKUP($AM87,個性タイプマスタ!$A$5:$P$100,4,FALSE),1)</f>
        <v>1.26</v>
      </c>
      <c r="AA87" s="56">
        <f>IFERROR(VLOOKUP($AM87,個性タイプマスタ!$A$5:$P$100,5,FALSE),1)</f>
        <v>1.24</v>
      </c>
      <c r="AB87" s="56">
        <f>IFERROR(VLOOKUP($AM87,個性タイプマスタ!$A$5:$P$100,6,FALSE),1)</f>
        <v>1.03</v>
      </c>
      <c r="AC87" s="56">
        <f>IFERROR(VLOOKUP($AM87,個性タイプマスタ!$A$5:$P$100,7,FALSE),1)</f>
        <v>0.98</v>
      </c>
      <c r="AD87" s="56">
        <f>IFERROR(VLOOKUP($AM87,個性タイプマスタ!$A$5:$P$100,8,FALSE),1)</f>
        <v>0.82</v>
      </c>
      <c r="AE87" s="60">
        <f>IFERROR(D87/設定!$B$5,1)</f>
        <v>3.4523000000000001</v>
      </c>
      <c r="AF87" s="60">
        <f>1+設定!$B$13*((I87/設定!$B$8+J87/設定!$B$9)/(2*AE87))</f>
        <v>1.3747501665556296</v>
      </c>
      <c r="AG87" s="60">
        <f>MAX(0.7,1+設定!$B$14*(O87/IF(X87="Melee",1.5,2.5)-1))</f>
        <v>0.99760000000000004</v>
      </c>
      <c r="AH87" s="53">
        <f t="shared" si="5"/>
        <v>52.198422399999998</v>
      </c>
      <c r="AI87" s="53">
        <f>E87*AF87*(1+設定!$B$18*AVERAGE(P87:U87))</f>
        <v>545.59503647568295</v>
      </c>
      <c r="AJ87" s="61">
        <f>設定!$B$5*SQRT((AH87/(設定!$B$7*設定!$B$10*(1+設定!$B$11*(設定!$B$12-1))))*(AI87/(設定!$B$6*(1+設定!$B$13))))</f>
        <v>344.58314674554157</v>
      </c>
      <c r="AK87" s="62">
        <f t="shared" si="6"/>
        <v>-1.873687844215266E-3</v>
      </c>
      <c r="AL87" s="63">
        <f t="shared" si="7"/>
        <v>283.08859999999999</v>
      </c>
      <c r="AM87" s="64" t="s">
        <v>964</v>
      </c>
      <c r="AN87" s="54">
        <f>MAX(1,ROUND((設定!$B$7*設定!$B$10*(1+設定!$B$11*(設定!$B$12-1)))*AE87^2*(設定!$B$6*(1+設定!$B$13))/(AI87*N87*(1+K87*(L87-1))*AG87),0))</f>
        <v>50</v>
      </c>
      <c r="AO87" s="65" t="str">
        <f>IF($A87="","",IF(COUNTIF(個性タイプマスタ!$A$5:$A$100,$AM87)&gt;0,"OK","未登録"))</f>
        <v>OK</v>
      </c>
      <c r="AP87" s="67" t="str">
        <f>IF($A87="","",IF(COUNTIF(属性耐性マスタ!$A$5:$A$11,$C87)&gt;0,"OK","未登録"))</f>
        <v>OK</v>
      </c>
    </row>
    <row r="88" spans="1:42">
      <c r="A88" s="66" t="s">
        <v>276</v>
      </c>
      <c r="B88" s="51" t="s">
        <v>277</v>
      </c>
      <c r="C88" s="109" t="s">
        <v>114</v>
      </c>
      <c r="D88" s="53">
        <f>ROUND(設定!$B$5*POWER($D$2,W88-1),2)</f>
        <v>345.23</v>
      </c>
      <c r="E88" s="54">
        <f>MAX(1,ROUND(設定!$B$6*AE88*Y88,0))</f>
        <v>190</v>
      </c>
      <c r="F88" s="54">
        <f>MAX(0,ROUND(設定!$B$7*AE88*設定!$B$15*IF(X88="Melee",0.6,1.35)*IFERROR(VLOOKUP($AM88,個性タイプマスタ!$A$5:$P$100,14,FALSE),1),0))</f>
        <v>76</v>
      </c>
      <c r="G88" s="54">
        <f>IF(X88="Melee",AN88,MAX(1,ROUND(AN88*設定!$B$16*IFERROR(VLOOKUP($AM88,個性タイプマスタ!$A$5:$P$100,15,FALSE),1),0)))</f>
        <v>36</v>
      </c>
      <c r="H88" s="54">
        <f>IF(X88="Ranged",AN88,MAX(1,ROUND(AN88*設定!$B$16*IFERROR(VLOOKUP($AM88,個性タイプマスタ!$A$5:$P$100,15,FALSE),1),0)))</f>
        <v>99</v>
      </c>
      <c r="I88" s="54">
        <f>MAX(0,ROUND(設定!$B$8*AE88*Z88,0))</f>
        <v>40</v>
      </c>
      <c r="J88" s="54">
        <f>MAX(0,ROUND(設定!$B$9*AE88*AA88,0))</f>
        <v>62</v>
      </c>
      <c r="K88" s="55">
        <f>IFERROR(VLOOKUP($AM88,個性タイプマスタ!$A$5:$P$100,9,FALSE),0.05)</f>
        <v>0.04</v>
      </c>
      <c r="L88" s="56">
        <f>IFERROR(VLOOKUP($AM88,個性タイプマスタ!$A$5:$P$100,10,FALSE),1.5)</f>
        <v>1.38</v>
      </c>
      <c r="M88" s="56">
        <f>IFERROR(VLOOKUP($AM88,個性タイプマスタ!$A$5:$P$100,11,FALSE),2)</f>
        <v>2.2000000000000002</v>
      </c>
      <c r="N88" s="57">
        <f>MAX(0.1,ROUND(設定!$B$10*AB88,3))</f>
        <v>0.88</v>
      </c>
      <c r="O88" s="57">
        <f t="shared" si="4"/>
        <v>3.15</v>
      </c>
      <c r="P88" s="58">
        <f>MAX(-10,MIN(0.8,IFERROR(INDEX(属性耐性マスタ!$B$5:$G$11,MATCH($C88,属性耐性マスタ!$A$5:$A$11,0),1),0)+IFERROR(VLOOKUP($AM88,個性タイプマスタ!$A$5:$P$100,12,FALSE),0)))</f>
        <v>0.13</v>
      </c>
      <c r="Q88" s="58">
        <f>MAX(-10,MIN(0.8,IFERROR(INDEX(属性耐性マスタ!$B$5:$G$11,MATCH($C88,属性耐性マスタ!$A$5:$A$11,0),2),0)+IFERROR(VLOOKUP($AM88,個性タイプマスタ!$A$5:$P$100,12,FALSE),0)))</f>
        <v>0.13</v>
      </c>
      <c r="R88" s="58">
        <f>MAX(-10,MIN(0.8,IFERROR(INDEX(属性耐性マスタ!$B$5:$G$11,MATCH($C88,属性耐性マスタ!$A$5:$A$11,0),3),0)+IFERROR(VLOOKUP($AM88,個性タイプマスタ!$A$5:$P$100,12,FALSE),0)))</f>
        <v>0.33</v>
      </c>
      <c r="S88" s="58">
        <f>MAX(-10,MIN(0.8,IFERROR(INDEX(属性耐性マスタ!$B$5:$G$11,MATCH($C88,属性耐性マスタ!$A$5:$A$11,0),4),0)+IFERROR(VLOOKUP($AM88,個性タイプマスタ!$A$5:$P$100,12,FALSE),0)))</f>
        <v>0.03</v>
      </c>
      <c r="T88" s="58">
        <f>MAX(-10,MIN(0.8,IFERROR(INDEX(属性耐性マスタ!$B$5:$G$11,MATCH($C88,属性耐性マスタ!$A$5:$A$11,0),5),0)+IFERROR(VLOOKUP($AM88,個性タイプマスタ!$A$5:$P$100,12,FALSE),0)))</f>
        <v>0.13</v>
      </c>
      <c r="U88" s="58">
        <f>MAX(-10,MIN(0.8,IFERROR(INDEX(属性耐性マスタ!$B$5:$G$11,MATCH($C88,属性耐性マスタ!$A$5:$A$11,0),6),0)+IFERROR(VLOOKUP($AM88,個性タイプマスタ!$A$5:$P$100,12,FALSE),0)))</f>
        <v>0.13</v>
      </c>
      <c r="V88" s="59">
        <f>ROUND(設定!$B$19*IFERROR(VLOOKUP($AM88,個性タイプマスタ!$A$5:$P$100,13,FALSE),1),2)</f>
        <v>4.4800000000000004</v>
      </c>
      <c r="W88" s="59">
        <v>14</v>
      </c>
      <c r="X88" s="59" t="str">
        <f>IFERROR(VLOOKUP($AM88,個性タイプマスタ!$A$5:$P$100,2,FALSE),"Ranged")</f>
        <v>Ranged</v>
      </c>
      <c r="Y88" s="56">
        <f>IFERROR(VLOOKUP($AM88,個性タイプマスタ!$A$5:$P$100,3,FALSE),1)</f>
        <v>0.55000000000000004</v>
      </c>
      <c r="Z88" s="56">
        <f>IFERROR(VLOOKUP($AM88,個性タイプマスタ!$A$5:$P$100,4,FALSE),1)</f>
        <v>1.45</v>
      </c>
      <c r="AA88" s="56">
        <f>IFERROR(VLOOKUP($AM88,個性タイプマスタ!$A$5:$P$100,5,FALSE),1)</f>
        <v>2.25</v>
      </c>
      <c r="AB88" s="56">
        <f>IFERROR(VLOOKUP($AM88,個性タイプマスタ!$A$5:$P$100,6,FALSE),1)</f>
        <v>0.88</v>
      </c>
      <c r="AC88" s="56">
        <f>IFERROR(VLOOKUP($AM88,個性タイプマスタ!$A$5:$P$100,7,FALSE),1)</f>
        <v>1.26</v>
      </c>
      <c r="AD88" s="56">
        <f>IFERROR(VLOOKUP($AM88,個性タイプマスタ!$A$5:$P$100,8,FALSE),1)</f>
        <v>0.75</v>
      </c>
      <c r="AE88" s="60">
        <f>IFERROR(D88/設定!$B$5,1)</f>
        <v>3.4523000000000001</v>
      </c>
      <c r="AF88" s="60">
        <f>1+設定!$B$13*((I88/設定!$B$8+J88/設定!$B$9)/(2*AE88))</f>
        <v>1.5539785070822349</v>
      </c>
      <c r="AG88" s="60">
        <f>MAX(0.7,1+設定!$B$14*(O88/IF(X88="Melee",1.5,2.5)-1))</f>
        <v>1.0311999999999999</v>
      </c>
      <c r="AH88" s="53">
        <f t="shared" si="5"/>
        <v>91.203683788800006</v>
      </c>
      <c r="AI88" s="53">
        <f>E88*AF88*(1+設定!$B$18*AVERAGE(P88:U88))</f>
        <v>314.74280682443589</v>
      </c>
      <c r="AJ88" s="61">
        <f>設定!$B$5*SQRT((AH88/(設定!$B$7*設定!$B$10*(1+設定!$B$11*(設定!$B$12-1))))*(AI88/(設定!$B$6*(1+設定!$B$13))))</f>
        <v>345.95071730688744</v>
      </c>
      <c r="AK88" s="62">
        <f t="shared" si="6"/>
        <v>2.0876439095312005E-3</v>
      </c>
      <c r="AL88" s="63">
        <f t="shared" si="7"/>
        <v>258.92250000000001</v>
      </c>
      <c r="AM88" s="64" t="s">
        <v>940</v>
      </c>
      <c r="AN88" s="54">
        <f>MAX(1,ROUND((設定!$B$7*設定!$B$10*(1+設定!$B$11*(設定!$B$12-1)))*AE88^2*(設定!$B$6*(1+設定!$B$13))/(AI88*N88*(1+K88*(L88-1))*AG88),0))</f>
        <v>99</v>
      </c>
      <c r="AO88" s="65" t="str">
        <f>IF($A88="","",IF(COUNTIF(個性タイプマスタ!$A$5:$A$100,$AM88)&gt;0,"OK","未登録"))</f>
        <v>OK</v>
      </c>
      <c r="AP88" s="67" t="str">
        <f>IF($A88="","",IF(COUNTIF(属性耐性マスタ!$A$5:$A$11,$C88)&gt;0,"OK","未登録"))</f>
        <v>OK</v>
      </c>
    </row>
    <row r="89" spans="1:42">
      <c r="A89" s="66" t="s">
        <v>278</v>
      </c>
      <c r="B89" s="51" t="s">
        <v>279</v>
      </c>
      <c r="C89" s="109" t="s">
        <v>114</v>
      </c>
      <c r="D89" s="53">
        <f>ROUND(設定!$B$5*POWER($D$2,W89-1),2)</f>
        <v>379.75</v>
      </c>
      <c r="E89" s="54">
        <f>MAX(1,ROUND(設定!$B$6*AE89*Y89,0))</f>
        <v>391</v>
      </c>
      <c r="F89" s="54">
        <f>MAX(0,ROUND(設定!$B$7*AE89*設定!$B$15*IF(X89="Melee",0.6,1.35)*IFERROR(VLOOKUP($AM89,個性タイプマスタ!$A$5:$P$100,14,FALSE),1),0))</f>
        <v>147</v>
      </c>
      <c r="G89" s="54">
        <f>IF(X89="Melee",AN89,MAX(1,ROUND(AN89*設定!$B$16*IFERROR(VLOOKUP($AM89,個性タイプマスタ!$A$5:$P$100,15,FALSE),1),0)))</f>
        <v>22</v>
      </c>
      <c r="H89" s="54">
        <f>IF(X89="Ranged",AN89,MAX(1,ROUND(AN89*設定!$B$16*IFERROR(VLOOKUP($AM89,個性タイプマスタ!$A$5:$P$100,15,FALSE),1),0)))</f>
        <v>70</v>
      </c>
      <c r="I89" s="54">
        <f>MAX(0,ROUND(設定!$B$8*AE89*Z89,0))</f>
        <v>29</v>
      </c>
      <c r="J89" s="54">
        <f>MAX(0,ROUND(設定!$B$9*AE89*AA89,0))</f>
        <v>36</v>
      </c>
      <c r="K89" s="55">
        <f>IFERROR(VLOOKUP($AM89,個性タイプマスタ!$A$5:$P$100,9,FALSE),0.05)</f>
        <v>6.5000000000000002E-2</v>
      </c>
      <c r="L89" s="56">
        <f>IFERROR(VLOOKUP($AM89,個性タイプマスタ!$A$5:$P$100,10,FALSE),1.5)</f>
        <v>1.45</v>
      </c>
      <c r="M89" s="56">
        <f>IFERROR(VLOOKUP($AM89,個性タイプマスタ!$A$5:$P$100,11,FALSE),2)</f>
        <v>2.1</v>
      </c>
      <c r="N89" s="57">
        <f>MAX(0.1,ROUND(設定!$B$10*AB89,3))</f>
        <v>0.9</v>
      </c>
      <c r="O89" s="57">
        <f t="shared" si="4"/>
        <v>2.8</v>
      </c>
      <c r="P89" s="58">
        <f>MAX(-10,MIN(0.8,IFERROR(INDEX(属性耐性マスタ!$B$5:$G$11,MATCH($C89,属性耐性マスタ!$A$5:$A$11,0),1),0)+IFERROR(VLOOKUP($AM89,個性タイプマスタ!$A$5:$P$100,12,FALSE),0)))</f>
        <v>0.02</v>
      </c>
      <c r="Q89" s="58">
        <f>MAX(-10,MIN(0.8,IFERROR(INDEX(属性耐性マスタ!$B$5:$G$11,MATCH($C89,属性耐性マスタ!$A$5:$A$11,0),2),0)+IFERROR(VLOOKUP($AM89,個性タイプマスタ!$A$5:$P$100,12,FALSE),0)))</f>
        <v>0.02</v>
      </c>
      <c r="R89" s="58">
        <f>MAX(-10,MIN(0.8,IFERROR(INDEX(属性耐性マスタ!$B$5:$G$11,MATCH($C89,属性耐性マスタ!$A$5:$A$11,0),3),0)+IFERROR(VLOOKUP($AM89,個性タイプマスタ!$A$5:$P$100,12,FALSE),0)))</f>
        <v>0.22</v>
      </c>
      <c r="S89" s="58">
        <f>MAX(-10,MIN(0.8,IFERROR(INDEX(属性耐性マスタ!$B$5:$G$11,MATCH($C89,属性耐性マスタ!$A$5:$A$11,0),4),0)+IFERROR(VLOOKUP($AM89,個性タイプマスタ!$A$5:$P$100,12,FALSE),0)))</f>
        <v>-0.08</v>
      </c>
      <c r="T89" s="58">
        <f>MAX(-10,MIN(0.8,IFERROR(INDEX(属性耐性マスタ!$B$5:$G$11,MATCH($C89,属性耐性マスタ!$A$5:$A$11,0),5),0)+IFERROR(VLOOKUP($AM89,個性タイプマスタ!$A$5:$P$100,12,FALSE),0)))</f>
        <v>0.02</v>
      </c>
      <c r="U89" s="58">
        <f>MAX(-10,MIN(0.8,IFERROR(INDEX(属性耐性マスタ!$B$5:$G$11,MATCH($C89,属性耐性マスタ!$A$5:$A$11,0),6),0)+IFERROR(VLOOKUP($AM89,個性タイプマスタ!$A$5:$P$100,12,FALSE),0)))</f>
        <v>0.02</v>
      </c>
      <c r="V89" s="59">
        <f>ROUND(設定!$B$19*IFERROR(VLOOKUP($AM89,個性タイプマスタ!$A$5:$P$100,13,FALSE),1),2)</f>
        <v>4.2</v>
      </c>
      <c r="W89" s="59">
        <v>15</v>
      </c>
      <c r="X89" s="59" t="str">
        <f>IFERROR(VLOOKUP($AM89,個性タイプマスタ!$A$5:$P$100,2,FALSE),"Ranged")</f>
        <v>Ranged</v>
      </c>
      <c r="Y89" s="56">
        <f>IFERROR(VLOOKUP($AM89,個性タイプマスタ!$A$5:$P$100,3,FALSE),1)</f>
        <v>1.03</v>
      </c>
      <c r="Z89" s="56">
        <f>IFERROR(VLOOKUP($AM89,個性タイプマスタ!$A$5:$P$100,4,FALSE),1)</f>
        <v>0.96</v>
      </c>
      <c r="AA89" s="56">
        <f>IFERROR(VLOOKUP($AM89,個性タイプマスタ!$A$5:$P$100,5,FALSE),1)</f>
        <v>1.18</v>
      </c>
      <c r="AB89" s="56">
        <f>IFERROR(VLOOKUP($AM89,個性タイプマスタ!$A$5:$P$100,6,FALSE),1)</f>
        <v>0.9</v>
      </c>
      <c r="AC89" s="56">
        <f>IFERROR(VLOOKUP($AM89,個性タイプマスタ!$A$5:$P$100,7,FALSE),1)</f>
        <v>1.1200000000000001</v>
      </c>
      <c r="AD89" s="56">
        <f>IFERROR(VLOOKUP($AM89,個性タイプマスタ!$A$5:$P$100,8,FALSE),1)</f>
        <v>0.79</v>
      </c>
      <c r="AE89" s="60">
        <f>IFERROR(D89/設定!$B$5,1)</f>
        <v>3.7974999999999999</v>
      </c>
      <c r="AF89" s="60">
        <f>1+設定!$B$13*((I89/設定!$B$8+J89/設定!$B$9)/(2*AE89))</f>
        <v>1.3209348255431206</v>
      </c>
      <c r="AG89" s="60">
        <f>MAX(0.7,1+設定!$B$14*(O89/IF(X89="Melee",1.5,2.5)-1))</f>
        <v>1.0144</v>
      </c>
      <c r="AH89" s="53">
        <f t="shared" si="5"/>
        <v>65.776485599999987</v>
      </c>
      <c r="AI89" s="53">
        <f>E89*AF89*(1+設定!$B$18*AVERAGE(P89:U89))</f>
        <v>525.00752781435153</v>
      </c>
      <c r="AJ89" s="61">
        <f>設定!$B$5*SQRT((AH89/(設定!$B$7*設定!$B$10*(1+設定!$B$11*(設定!$B$12-1))))*(AI89/(設定!$B$6*(1+設定!$B$13))))</f>
        <v>379.44447776721614</v>
      </c>
      <c r="AK89" s="62">
        <f t="shared" si="6"/>
        <v>-8.0453517520440165E-4</v>
      </c>
      <c r="AL89" s="63">
        <f t="shared" si="7"/>
        <v>300.0025</v>
      </c>
      <c r="AM89" s="64" t="s">
        <v>932</v>
      </c>
      <c r="AN89" s="54">
        <f>MAX(1,ROUND((設定!$B$7*設定!$B$10*(1+設定!$B$11*(設定!$B$12-1)))*AE89^2*(設定!$B$6*(1+設定!$B$13))/(AI89*N89*(1+K89*(L89-1))*AG89),0))</f>
        <v>70</v>
      </c>
      <c r="AO89" s="65" t="str">
        <f>IF($A89="","",IF(COUNTIF(個性タイプマスタ!$A$5:$A$100,$AM89)&gt;0,"OK","未登録"))</f>
        <v>OK</v>
      </c>
      <c r="AP89" s="67" t="str">
        <f>IF($A89="","",IF(COUNTIF(属性耐性マスタ!$A$5:$A$11,$C89)&gt;0,"OK","未登録"))</f>
        <v>OK</v>
      </c>
    </row>
    <row r="90" spans="1:42">
      <c r="A90" s="66" t="s">
        <v>280</v>
      </c>
      <c r="B90" s="51" t="s">
        <v>281</v>
      </c>
      <c r="C90" s="109" t="s">
        <v>121</v>
      </c>
      <c r="D90" s="53">
        <f>ROUND(設定!$B$5*POWER($D$2,W90-1),2)</f>
        <v>379.75</v>
      </c>
      <c r="E90" s="54">
        <f>MAX(1,ROUND(設定!$B$6*AE90*Y90,0))</f>
        <v>380</v>
      </c>
      <c r="F90" s="54">
        <f>MAX(0,ROUND(設定!$B$7*AE90*設定!$B$15*IF(X90="Melee",0.6,1.35)*IFERROR(VLOOKUP($AM90,個性タイプマスタ!$A$5:$P$100,14,FALSE),1),0))</f>
        <v>61</v>
      </c>
      <c r="G90" s="54">
        <f>IF(X90="Melee",AN90,MAX(1,ROUND(AN90*設定!$B$16*IFERROR(VLOOKUP($AM90,個性タイプマスタ!$A$5:$P$100,15,FALSE),1),0)))</f>
        <v>27</v>
      </c>
      <c r="H90" s="54">
        <f>IF(X90="Ranged",AN90,MAX(1,ROUND(AN90*設定!$B$16*IFERROR(VLOOKUP($AM90,個性タイプマスタ!$A$5:$P$100,15,FALSE),1),0)))</f>
        <v>61</v>
      </c>
      <c r="I90" s="54">
        <f>MAX(0,ROUND(設定!$B$8*AE90*Z90,0))</f>
        <v>29</v>
      </c>
      <c r="J90" s="54">
        <f>MAX(0,ROUND(設定!$B$9*AE90*AA90,0))</f>
        <v>33</v>
      </c>
      <c r="K90" s="55">
        <f>IFERROR(VLOOKUP($AM90,個性タイプマスタ!$A$5:$P$100,9,FALSE),0.05)</f>
        <v>7.0000000000000007E-2</v>
      </c>
      <c r="L90" s="56">
        <f>IFERROR(VLOOKUP($AM90,個性タイプマスタ!$A$5:$P$100,10,FALSE),1.5)</f>
        <v>1.55</v>
      </c>
      <c r="M90" s="56">
        <f>IFERROR(VLOOKUP($AM90,個性タイプマスタ!$A$5:$P$100,11,FALSE),2)</f>
        <v>2.2999999999999998</v>
      </c>
      <c r="N90" s="57">
        <f>MAX(0.1,ROUND(設定!$B$10*AB90,3))</f>
        <v>1.1000000000000001</v>
      </c>
      <c r="O90" s="57">
        <f t="shared" si="4"/>
        <v>2.7</v>
      </c>
      <c r="P90" s="58">
        <f>MAX(-10,MIN(0.8,IFERROR(INDEX(属性耐性マスタ!$B$5:$G$11,MATCH($C90,属性耐性マスタ!$A$5:$A$11,0),1),0)+IFERROR(VLOOKUP($AM90,個性タイプマスタ!$A$5:$P$100,12,FALSE),0)))</f>
        <v>-0.03</v>
      </c>
      <c r="Q90" s="58">
        <f>MAX(-10,MIN(0.8,IFERROR(INDEX(属性耐性マスタ!$B$5:$G$11,MATCH($C90,属性耐性マスタ!$A$5:$A$11,0),2),0)+IFERROR(VLOOKUP($AM90,個性タイプマスタ!$A$5:$P$100,12,FALSE),0)))</f>
        <v>-0.03</v>
      </c>
      <c r="R90" s="58">
        <f>MAX(-10,MIN(0.8,IFERROR(INDEX(属性耐性マスタ!$B$5:$G$11,MATCH($C90,属性耐性マスタ!$A$5:$A$11,0),3),0)+IFERROR(VLOOKUP($AM90,個性タイプマスタ!$A$5:$P$100,12,FALSE),0)))</f>
        <v>-0.03</v>
      </c>
      <c r="S90" s="58">
        <f>MAX(-10,MIN(0.8,IFERROR(INDEX(属性耐性マスタ!$B$5:$G$11,MATCH($C90,属性耐性マスタ!$A$5:$A$11,0),4),0)+IFERROR(VLOOKUP($AM90,個性タイプマスタ!$A$5:$P$100,12,FALSE),0)))</f>
        <v>-0.03</v>
      </c>
      <c r="T90" s="58">
        <f>MAX(-10,MIN(0.8,IFERROR(INDEX(属性耐性マスタ!$B$5:$G$11,MATCH($C90,属性耐性マスタ!$A$5:$A$11,0),5),0)+IFERROR(VLOOKUP($AM90,個性タイプマスタ!$A$5:$P$100,12,FALSE),0)))</f>
        <v>0.17</v>
      </c>
      <c r="U90" s="58">
        <f>MAX(-10,MIN(0.8,IFERROR(INDEX(属性耐性マスタ!$B$5:$G$11,MATCH($C90,属性耐性マスタ!$A$5:$A$11,0),6),0)+IFERROR(VLOOKUP($AM90,個性タイプマスタ!$A$5:$P$100,12,FALSE),0)))</f>
        <v>-0.13</v>
      </c>
      <c r="V90" s="59">
        <f>ROUND(設定!$B$19*IFERROR(VLOOKUP($AM90,個性タイプマスタ!$A$5:$P$100,13,FALSE),1),2)</f>
        <v>4</v>
      </c>
      <c r="W90" s="59">
        <v>15</v>
      </c>
      <c r="X90" s="59" t="str">
        <f>IFERROR(VLOOKUP($AM90,個性タイプマスタ!$A$5:$P$100,2,FALSE),"Ranged")</f>
        <v>Ranged</v>
      </c>
      <c r="Y90" s="56">
        <f>IFERROR(VLOOKUP($AM90,個性タイプマスタ!$A$5:$P$100,3,FALSE),1)</f>
        <v>1</v>
      </c>
      <c r="Z90" s="56">
        <f>IFERROR(VLOOKUP($AM90,個性タイプマスタ!$A$5:$P$100,4,FALSE),1)</f>
        <v>0.95</v>
      </c>
      <c r="AA90" s="56">
        <f>IFERROR(VLOOKUP($AM90,個性タイプマスタ!$A$5:$P$100,5,FALSE),1)</f>
        <v>1.1000000000000001</v>
      </c>
      <c r="AB90" s="56">
        <f>IFERROR(VLOOKUP($AM90,個性タイプマスタ!$A$5:$P$100,6,FALSE),1)</f>
        <v>1.1000000000000001</v>
      </c>
      <c r="AC90" s="56">
        <f>IFERROR(VLOOKUP($AM90,個性タイプマスタ!$A$5:$P$100,7,FALSE),1)</f>
        <v>1.08</v>
      </c>
      <c r="AD90" s="56">
        <f>IFERROR(VLOOKUP($AM90,個性タイプマスタ!$A$5:$P$100,8,FALSE),1)</f>
        <v>0.8</v>
      </c>
      <c r="AE90" s="60">
        <f>IFERROR(D90/設定!$B$5,1)</f>
        <v>3.7974999999999999</v>
      </c>
      <c r="AF90" s="60">
        <f>1+設定!$B$13*((I90/設定!$B$8+J90/設定!$B$9)/(2*AE90))</f>
        <v>1.306122448979592</v>
      </c>
      <c r="AG90" s="60">
        <f>MAX(0.7,1+設定!$B$14*(O90/IF(X90="Melee",1.5,2.5)-1))</f>
        <v>1.0096000000000001</v>
      </c>
      <c r="AH90" s="53">
        <f t="shared" si="5"/>
        <v>70.352310160000002</v>
      </c>
      <c r="AI90" s="53">
        <f>E90*AF90*(1+設定!$B$18*AVERAGE(P90:U90))</f>
        <v>493.34857142857146</v>
      </c>
      <c r="AJ90" s="61">
        <f>設定!$B$5*SQRT((AH90/(設定!$B$7*設定!$B$10*(1+設定!$B$11*(設定!$B$12-1))))*(AI90/(設定!$B$6*(1+設定!$B$13))))</f>
        <v>380.40503585450034</v>
      </c>
      <c r="AK90" s="62">
        <f t="shared" si="6"/>
        <v>1.7249133759060786E-3</v>
      </c>
      <c r="AL90" s="63">
        <f t="shared" si="7"/>
        <v>303.8</v>
      </c>
      <c r="AM90" s="64" t="s">
        <v>883</v>
      </c>
      <c r="AN90" s="54">
        <f>MAX(1,ROUND((設定!$B$7*設定!$B$10*(1+設定!$B$11*(設定!$B$12-1)))*AE90^2*(設定!$B$6*(1+設定!$B$13))/(AI90*N90*(1+K90*(L90-1))*AG90),0))</f>
        <v>61</v>
      </c>
      <c r="AO90" s="65" t="str">
        <f>IF($A90="","",IF(COUNTIF(個性タイプマスタ!$A$5:$A$100,$AM90)&gt;0,"OK","未登録"))</f>
        <v>OK</v>
      </c>
      <c r="AP90" s="67" t="str">
        <f>IF($A90="","",IF(COUNTIF(属性耐性マスタ!$A$5:$A$11,$C90)&gt;0,"OK","未登録"))</f>
        <v>OK</v>
      </c>
    </row>
    <row r="91" spans="1:42">
      <c r="A91" s="66" t="s">
        <v>282</v>
      </c>
      <c r="B91" s="51" t="s">
        <v>283</v>
      </c>
      <c r="C91" s="109" t="s">
        <v>108</v>
      </c>
      <c r="D91" s="53">
        <f>ROUND(設定!$B$5*POWER($D$2,W91-1),2)</f>
        <v>379.75</v>
      </c>
      <c r="E91" s="54">
        <f>MAX(1,ROUND(設定!$B$6*AE91*Y91,0))</f>
        <v>254</v>
      </c>
      <c r="F91" s="54">
        <f>MAX(0,ROUND(設定!$B$7*AE91*設定!$B$15*IF(X91="Melee",0.6,1.35)*IFERROR(VLOOKUP($AM91,個性タイプマスタ!$A$5:$P$100,14,FALSE),1),0))</f>
        <v>61</v>
      </c>
      <c r="G91" s="54">
        <f>IF(X91="Melee",AN91,MAX(1,ROUND(AN91*設定!$B$16*IFERROR(VLOOKUP($AM91,個性タイプマスタ!$A$5:$P$100,15,FALSE),1),0)))</f>
        <v>28</v>
      </c>
      <c r="H91" s="54">
        <f>IF(X91="Ranged",AN91,MAX(1,ROUND(AN91*設定!$B$16*IFERROR(VLOOKUP($AM91,個性タイプマスタ!$A$5:$P$100,15,FALSE),1),0)))</f>
        <v>121</v>
      </c>
      <c r="I91" s="54">
        <f>MAX(0,ROUND(設定!$B$8*AE91*Z91,0))</f>
        <v>20</v>
      </c>
      <c r="J91" s="54">
        <f>MAX(0,ROUND(設定!$B$9*AE91*AA91,0))</f>
        <v>24</v>
      </c>
      <c r="K91" s="55">
        <f>IFERROR(VLOOKUP($AM91,個性タイプマスタ!$A$5:$P$100,9,FALSE),0.05)</f>
        <v>0.18</v>
      </c>
      <c r="L91" s="56">
        <f>IFERROR(VLOOKUP($AM91,個性タイプマスタ!$A$5:$P$100,10,FALSE),1.5)</f>
        <v>1.85</v>
      </c>
      <c r="M91" s="56">
        <f>IFERROR(VLOOKUP($AM91,個性タイプマスタ!$A$5:$P$100,11,FALSE),2)</f>
        <v>2.0499999999999998</v>
      </c>
      <c r="N91" s="57">
        <f>MAX(0.1,ROUND(設定!$B$10*AB91,3))</f>
        <v>0.75</v>
      </c>
      <c r="O91" s="57">
        <f t="shared" si="4"/>
        <v>4.45</v>
      </c>
      <c r="P91" s="58">
        <f>MAX(-10,MIN(0.8,IFERROR(INDEX(属性耐性マスタ!$B$5:$G$11,MATCH($C91,属性耐性マスタ!$A$5:$A$11,0),1),0)+IFERROR(VLOOKUP($AM91,個性タイプマスタ!$A$5:$P$100,12,FALSE),0)))</f>
        <v>-0.16</v>
      </c>
      <c r="Q91" s="58">
        <f>MAX(-10,MIN(0.8,IFERROR(INDEX(属性耐性マスタ!$B$5:$G$11,MATCH($C91,属性耐性マスタ!$A$5:$A$11,0),2),0)+IFERROR(VLOOKUP($AM91,個性タイプマスタ!$A$5:$P$100,12,FALSE),0)))</f>
        <v>0.14000000000000001</v>
      </c>
      <c r="R91" s="58">
        <f>MAX(-10,MIN(0.8,IFERROR(INDEX(属性耐性マスタ!$B$5:$G$11,MATCH($C91,属性耐性マスタ!$A$5:$A$11,0),3),0)+IFERROR(VLOOKUP($AM91,個性タイプマスタ!$A$5:$P$100,12,FALSE),0)))</f>
        <v>-0.06</v>
      </c>
      <c r="S91" s="58">
        <f>MAX(-10,MIN(0.8,IFERROR(INDEX(属性耐性マスタ!$B$5:$G$11,MATCH($C91,属性耐性マスタ!$A$5:$A$11,0),4),0)+IFERROR(VLOOKUP($AM91,個性タイプマスタ!$A$5:$P$100,12,FALSE),0)))</f>
        <v>-0.06</v>
      </c>
      <c r="T91" s="58">
        <f>MAX(-10,MIN(0.8,IFERROR(INDEX(属性耐性マスタ!$B$5:$G$11,MATCH($C91,属性耐性マスタ!$A$5:$A$11,0),5),0)+IFERROR(VLOOKUP($AM91,個性タイプマスタ!$A$5:$P$100,12,FALSE),0)))</f>
        <v>-0.06</v>
      </c>
      <c r="U91" s="58">
        <f>MAX(-10,MIN(0.8,IFERROR(INDEX(属性耐性マスタ!$B$5:$G$11,MATCH($C91,属性耐性マスタ!$A$5:$A$11,0),6),0)+IFERROR(VLOOKUP($AM91,個性タイプマスタ!$A$5:$P$100,12,FALSE),0)))</f>
        <v>-0.06</v>
      </c>
      <c r="V91" s="59">
        <f>ROUND(設定!$B$19*IFERROR(VLOOKUP($AM91,個性タイプマスタ!$A$5:$P$100,13,FALSE),1),2)</f>
        <v>5.6</v>
      </c>
      <c r="W91" s="59">
        <v>15</v>
      </c>
      <c r="X91" s="59" t="str">
        <f>IFERROR(VLOOKUP($AM91,個性タイプマスタ!$A$5:$P$100,2,FALSE),"Ranged")</f>
        <v>Ranged</v>
      </c>
      <c r="Y91" s="56">
        <f>IFERROR(VLOOKUP($AM91,個性タイプマスタ!$A$5:$P$100,3,FALSE),1)</f>
        <v>0.67</v>
      </c>
      <c r="Z91" s="56">
        <f>IFERROR(VLOOKUP($AM91,個性タイプマスタ!$A$5:$P$100,4,FALSE),1)</f>
        <v>0.65</v>
      </c>
      <c r="AA91" s="56">
        <f>IFERROR(VLOOKUP($AM91,個性タイプマスタ!$A$5:$P$100,5,FALSE),1)</f>
        <v>0.8</v>
      </c>
      <c r="AB91" s="56">
        <f>IFERROR(VLOOKUP($AM91,個性タイプマスタ!$A$5:$P$100,6,FALSE),1)</f>
        <v>0.75</v>
      </c>
      <c r="AC91" s="56">
        <f>IFERROR(VLOOKUP($AM91,個性タイプマスタ!$A$5:$P$100,7,FALSE),1)</f>
        <v>1.78</v>
      </c>
      <c r="AD91" s="56">
        <f>IFERROR(VLOOKUP($AM91,個性タイプマスタ!$A$5:$P$100,8,FALSE),1)</f>
        <v>0.62</v>
      </c>
      <c r="AE91" s="60">
        <f>IFERROR(D91/設定!$B$5,1)</f>
        <v>3.7974999999999999</v>
      </c>
      <c r="AF91" s="60">
        <f>1+設定!$B$13*((I91/設定!$B$8+J91/設定!$B$9)/(2*AE91))</f>
        <v>1.21724818959842</v>
      </c>
      <c r="AG91" s="60">
        <f>MAX(0.7,1+設定!$B$14*(O91/IF(X91="Melee",1.5,2.5)-1))</f>
        <v>1.0935999999999999</v>
      </c>
      <c r="AH91" s="53">
        <f t="shared" si="5"/>
        <v>114.42856259999999</v>
      </c>
      <c r="AI91" s="53">
        <f>E91*AF91*(1+設定!$B$18*AVERAGE(P91:U91))</f>
        <v>303.15200987491772</v>
      </c>
      <c r="AJ91" s="61">
        <f>設定!$B$5*SQRT((AH91/(設定!$B$7*設定!$B$10*(1+設定!$B$11*(設定!$B$12-1))))*(AI91/(設定!$B$6*(1+設定!$B$13))))</f>
        <v>380.30110372523706</v>
      </c>
      <c r="AK91" s="62">
        <f t="shared" si="6"/>
        <v>1.4512277162266329E-3</v>
      </c>
      <c r="AL91" s="63">
        <f t="shared" si="7"/>
        <v>235.44499999999999</v>
      </c>
      <c r="AM91" s="64" t="s">
        <v>910</v>
      </c>
      <c r="AN91" s="54">
        <f>MAX(1,ROUND((設定!$B$7*設定!$B$10*(1+設定!$B$11*(設定!$B$12-1)))*AE91^2*(設定!$B$6*(1+設定!$B$13))/(AI91*N91*(1+K91*(L91-1))*AG91),0))</f>
        <v>121</v>
      </c>
      <c r="AO91" s="65" t="str">
        <f>IF($A91="","",IF(COUNTIF(個性タイプマスタ!$A$5:$A$100,$AM91)&gt;0,"OK","未登録"))</f>
        <v>OK</v>
      </c>
      <c r="AP91" s="67" t="str">
        <f>IF($A91="","",IF(COUNTIF(属性耐性マスタ!$A$5:$A$11,$C91)&gt;0,"OK","未登録"))</f>
        <v>OK</v>
      </c>
    </row>
    <row r="92" spans="1:42">
      <c r="A92" s="66" t="s">
        <v>284</v>
      </c>
      <c r="B92" s="51" t="s">
        <v>285</v>
      </c>
      <c r="C92" s="109" t="s">
        <v>111</v>
      </c>
      <c r="D92" s="53">
        <f>ROUND(設定!$B$5*POWER($D$2,W92-1),2)</f>
        <v>379.75</v>
      </c>
      <c r="E92" s="54">
        <f>MAX(1,ROUND(設定!$B$6*AE92*Y92,0))</f>
        <v>220</v>
      </c>
      <c r="F92" s="54">
        <f>MAX(0,ROUND(設定!$B$7*AE92*設定!$B$15*IF(X92="Melee",0.6,1.35)*IFERROR(VLOOKUP($AM92,個性タイプマスタ!$A$5:$P$100,14,FALSE),1),0))</f>
        <v>12</v>
      </c>
      <c r="G92" s="54">
        <f>IF(X92="Melee",AN92,MAX(1,ROUND(AN92*設定!$B$16*IFERROR(VLOOKUP($AM92,個性タイプマスタ!$A$5:$P$100,15,FALSE),1),0)))</f>
        <v>121</v>
      </c>
      <c r="H92" s="54">
        <f>IF(X92="Ranged",AN92,MAX(1,ROUND(AN92*設定!$B$16*IFERROR(VLOOKUP($AM92,個性タイプマスタ!$A$5:$P$100,15,FALSE),1),0)))</f>
        <v>27</v>
      </c>
      <c r="I92" s="54">
        <f>MAX(0,ROUND(設定!$B$8*AE92*Z92,0))</f>
        <v>17</v>
      </c>
      <c r="J92" s="54">
        <f>MAX(0,ROUND(設定!$B$9*AE92*AA92,0))</f>
        <v>17</v>
      </c>
      <c r="K92" s="55">
        <f>IFERROR(VLOOKUP($AM92,個性タイプマスタ!$A$5:$P$100,9,FALSE),0.05)</f>
        <v>0.08</v>
      </c>
      <c r="L92" s="56">
        <f>IFERROR(VLOOKUP($AM92,個性タイプマスタ!$A$5:$P$100,10,FALSE),1.5)</f>
        <v>1.95</v>
      </c>
      <c r="M92" s="56">
        <f>IFERROR(VLOOKUP($AM92,個性タイプマスタ!$A$5:$P$100,11,FALSE),2)</f>
        <v>2.85</v>
      </c>
      <c r="N92" s="57">
        <f>MAX(0.1,ROUND(設定!$B$10*AB92,3))</f>
        <v>1.0900000000000001</v>
      </c>
      <c r="O92" s="57">
        <f t="shared" si="4"/>
        <v>1.44</v>
      </c>
      <c r="P92" s="58">
        <f>MAX(-10,MIN(0.8,IFERROR(INDEX(属性耐性マスタ!$B$5:$G$11,MATCH($C92,属性耐性マスタ!$A$5:$A$11,0),1),0)+IFERROR(VLOOKUP($AM92,個性タイプマスタ!$A$5:$P$100,12,FALSE),0)))</f>
        <v>8.5000000000000006E-2</v>
      </c>
      <c r="Q92" s="58">
        <f>MAX(-10,MIN(0.8,IFERROR(INDEX(属性耐性マスタ!$B$5:$G$11,MATCH($C92,属性耐性マスタ!$A$5:$A$11,0),2),0)+IFERROR(VLOOKUP($AM92,個性タイプマスタ!$A$5:$P$100,12,FALSE),0)))</f>
        <v>-0.21500000000000002</v>
      </c>
      <c r="R92" s="58">
        <f>MAX(-10,MIN(0.8,IFERROR(INDEX(属性耐性マスタ!$B$5:$G$11,MATCH($C92,属性耐性マスタ!$A$5:$A$11,0),3),0)+IFERROR(VLOOKUP($AM92,個性タイプマスタ!$A$5:$P$100,12,FALSE),0)))</f>
        <v>-0.115</v>
      </c>
      <c r="S92" s="58">
        <f>MAX(-10,MIN(0.8,IFERROR(INDEX(属性耐性マスタ!$B$5:$G$11,MATCH($C92,属性耐性マスタ!$A$5:$A$11,0),4),0)+IFERROR(VLOOKUP($AM92,個性タイプマスタ!$A$5:$P$100,12,FALSE),0)))</f>
        <v>-0.115</v>
      </c>
      <c r="T92" s="58">
        <f>MAX(-10,MIN(0.8,IFERROR(INDEX(属性耐性マスタ!$B$5:$G$11,MATCH($C92,属性耐性マスタ!$A$5:$A$11,0),5),0)+IFERROR(VLOOKUP($AM92,個性タイプマスタ!$A$5:$P$100,12,FALSE),0)))</f>
        <v>-0.115</v>
      </c>
      <c r="U92" s="58">
        <f>MAX(-10,MIN(0.8,IFERROR(INDEX(属性耐性マスタ!$B$5:$G$11,MATCH($C92,属性耐性マスタ!$A$5:$A$11,0),6),0)+IFERROR(VLOOKUP($AM92,個性タイプマスタ!$A$5:$P$100,12,FALSE),0)))</f>
        <v>-0.115</v>
      </c>
      <c r="V92" s="59">
        <f>ROUND(設定!$B$19*IFERROR(VLOOKUP($AM92,個性タイプマスタ!$A$5:$P$100,13,FALSE),1),2)</f>
        <v>4.4000000000000004</v>
      </c>
      <c r="W92" s="59">
        <v>15</v>
      </c>
      <c r="X92" s="59" t="str">
        <f>IFERROR(VLOOKUP($AM92,個性タイプマスタ!$A$5:$P$100,2,FALSE),"Ranged")</f>
        <v>Melee</v>
      </c>
      <c r="Y92" s="56">
        <f>IFERROR(VLOOKUP($AM92,個性タイプマスタ!$A$5:$P$100,3,FALSE),1)</f>
        <v>0.57999999999999996</v>
      </c>
      <c r="Z92" s="56">
        <f>IFERROR(VLOOKUP($AM92,個性タイプマスタ!$A$5:$P$100,4,FALSE),1)</f>
        <v>0.55000000000000004</v>
      </c>
      <c r="AA92" s="56">
        <f>IFERROR(VLOOKUP($AM92,個性タイプマスタ!$A$5:$P$100,5,FALSE),1)</f>
        <v>0.56000000000000005</v>
      </c>
      <c r="AB92" s="56">
        <f>IFERROR(VLOOKUP($AM92,個性タイプマスタ!$A$5:$P$100,6,FALSE),1)</f>
        <v>1.0900000000000001</v>
      </c>
      <c r="AC92" s="56">
        <f>IFERROR(VLOOKUP($AM92,個性タイプマスタ!$A$5:$P$100,7,FALSE),1)</f>
        <v>0.96</v>
      </c>
      <c r="AD92" s="56">
        <f>IFERROR(VLOOKUP($AM92,個性タイプマスタ!$A$5:$P$100,8,FALSE),1)</f>
        <v>0.54</v>
      </c>
      <c r="AE92" s="60">
        <f>IFERROR(D92/設定!$B$5,1)</f>
        <v>3.7974999999999999</v>
      </c>
      <c r="AF92" s="60">
        <f>1+設定!$B$13*((I92/設定!$B$8+J92/設定!$B$9)/(2*AE92))</f>
        <v>1.1678736010533246</v>
      </c>
      <c r="AG92" s="60">
        <f>MAX(0.7,1+設定!$B$14*(O92/IF(X92="Melee",1.5,2.5)-1))</f>
        <v>0.99519999999999997</v>
      </c>
      <c r="AH92" s="53">
        <f t="shared" si="5"/>
        <v>141.23245452800001</v>
      </c>
      <c r="AI92" s="53">
        <f>E92*AF92*(1+設定!$B$18*AVERAGE(P92:U92))</f>
        <v>245.56294272547728</v>
      </c>
      <c r="AJ92" s="61">
        <f>設定!$B$5*SQRT((AH92/(設定!$B$7*設定!$B$10*(1+設定!$B$11*(設定!$B$12-1))))*(AI92/(設定!$B$6*(1+設定!$B$13))))</f>
        <v>380.25839136515879</v>
      </c>
      <c r="AK92" s="62">
        <f t="shared" si="6"/>
        <v>1.3387527719783687E-3</v>
      </c>
      <c r="AL92" s="63">
        <f t="shared" si="7"/>
        <v>205.06500000000003</v>
      </c>
      <c r="AM92" s="64" t="s">
        <v>962</v>
      </c>
      <c r="AN92" s="54">
        <f>MAX(1,ROUND((設定!$B$7*設定!$B$10*(1+設定!$B$11*(設定!$B$12-1)))*AE92^2*(設定!$B$6*(1+設定!$B$13))/(AI92*N92*(1+K92*(L92-1))*AG92),0))</f>
        <v>121</v>
      </c>
      <c r="AO92" s="65" t="str">
        <f>IF($A92="","",IF(COUNTIF(個性タイプマスタ!$A$5:$A$100,$AM92)&gt;0,"OK","未登録"))</f>
        <v>OK</v>
      </c>
      <c r="AP92" s="67" t="str">
        <f>IF($A92="","",IF(COUNTIF(属性耐性マスタ!$A$5:$A$11,$C92)&gt;0,"OK","未登録"))</f>
        <v>OK</v>
      </c>
    </row>
    <row r="93" spans="1:42">
      <c r="A93" s="66" t="s">
        <v>286</v>
      </c>
      <c r="B93" s="51" t="s">
        <v>287</v>
      </c>
      <c r="C93" s="109" t="s">
        <v>871</v>
      </c>
      <c r="D93" s="53">
        <f>ROUND(設定!$B$5*POWER($D$2,W93-1),2)</f>
        <v>379.75</v>
      </c>
      <c r="E93" s="54">
        <f>MAX(1,ROUND(設定!$B$6*AE93*Y93,0))</f>
        <v>573</v>
      </c>
      <c r="F93" s="54">
        <f>MAX(0,ROUND(設定!$B$7*AE93*設定!$B$15*IF(X93="Melee",0.6,1.35)*IFERROR(VLOOKUP($AM93,個性タイプマスタ!$A$5:$P$100,14,FALSE),1),0))</f>
        <v>21</v>
      </c>
      <c r="G93" s="54">
        <f>IF(X93="Melee",AN93,MAX(1,ROUND(AN93*設定!$B$16*IFERROR(VLOOKUP($AM93,個性タイプマスタ!$A$5:$P$100,15,FALSE),1),0)))</f>
        <v>52</v>
      </c>
      <c r="H93" s="54">
        <f>IF(X93="Ranged",AN93,MAX(1,ROUND(AN93*設定!$B$16*IFERROR(VLOOKUP($AM93,個性タイプマスタ!$A$5:$P$100,15,FALSE),1),0)))</f>
        <v>18</v>
      </c>
      <c r="I93" s="54">
        <f>MAX(0,ROUND(設定!$B$8*AE93*Z93,0))</f>
        <v>51</v>
      </c>
      <c r="J93" s="54">
        <f>MAX(0,ROUND(設定!$B$9*AE93*AA93,0))</f>
        <v>29</v>
      </c>
      <c r="K93" s="55">
        <f>IFERROR(VLOOKUP($AM93,個性タイプマスタ!$A$5:$P$100,9,FALSE),0.05)</f>
        <v>3.5000000000000003E-2</v>
      </c>
      <c r="L93" s="56">
        <f>IFERROR(VLOOKUP($AM93,個性タイプマスタ!$A$5:$P$100,10,FALSE),1.5)</f>
        <v>1.43</v>
      </c>
      <c r="M93" s="56">
        <f>IFERROR(VLOOKUP($AM93,個性タイプマスタ!$A$5:$P$100,11,FALSE),2)</f>
        <v>1.75</v>
      </c>
      <c r="N93" s="57">
        <f>MAX(0.1,ROUND(設定!$B$10*AB93,3))</f>
        <v>0.73</v>
      </c>
      <c r="O93" s="57">
        <f t="shared" si="4"/>
        <v>2.3250000000000002</v>
      </c>
      <c r="P93" s="58">
        <f>MAX(-10,MIN(0.8,IFERROR(INDEX(属性耐性マスタ!$B$5:$G$11,MATCH($C93,属性耐性マスタ!$A$5:$A$11,0),1),0)+IFERROR(VLOOKUP($AM93,個性タイプマスタ!$A$5:$P$100,12,FALSE),0)))</f>
        <v>0.09</v>
      </c>
      <c r="Q93" s="58">
        <f>MAX(-10,MIN(0.8,IFERROR(INDEX(属性耐性マスタ!$B$5:$G$11,MATCH($C93,属性耐性マスタ!$A$5:$A$11,0),2),0)+IFERROR(VLOOKUP($AM93,個性タイプマスタ!$A$5:$P$100,12,FALSE),0)))</f>
        <v>0.09</v>
      </c>
      <c r="R93" s="58">
        <f>MAX(-10,MIN(0.8,IFERROR(INDEX(属性耐性マスタ!$B$5:$G$11,MATCH($C93,属性耐性マスタ!$A$5:$A$11,0),3),0)+IFERROR(VLOOKUP($AM93,個性タイプマスタ!$A$5:$P$100,12,FALSE),0)))</f>
        <v>-1.0000000000000009E-2</v>
      </c>
      <c r="S93" s="58">
        <f>MAX(-10,MIN(0.8,IFERROR(INDEX(属性耐性マスタ!$B$5:$G$11,MATCH($C93,属性耐性マスタ!$A$5:$A$11,0),4),0)+IFERROR(VLOOKUP($AM93,個性タイプマスタ!$A$5:$P$100,12,FALSE),0)))</f>
        <v>0.29000000000000004</v>
      </c>
      <c r="T93" s="58">
        <f>MAX(-10,MIN(0.8,IFERROR(INDEX(属性耐性マスタ!$B$5:$G$11,MATCH($C93,属性耐性マスタ!$A$5:$A$11,0),5),0)+IFERROR(VLOOKUP($AM93,個性タイプマスタ!$A$5:$P$100,12,FALSE),0)))</f>
        <v>0.09</v>
      </c>
      <c r="U93" s="58">
        <f>MAX(-10,MIN(0.8,IFERROR(INDEX(属性耐性マスタ!$B$5:$G$11,MATCH($C93,属性耐性マスタ!$A$5:$A$11,0),6),0)+IFERROR(VLOOKUP($AM93,個性タイプマスタ!$A$5:$P$100,12,FALSE),0)))</f>
        <v>0.09</v>
      </c>
      <c r="V93" s="59">
        <f>ROUND(設定!$B$19*IFERROR(VLOOKUP($AM93,個性タイプマスタ!$A$5:$P$100,13,FALSE),1),2)</f>
        <v>4.4000000000000004</v>
      </c>
      <c r="W93" s="59">
        <v>15</v>
      </c>
      <c r="X93" s="59" t="str">
        <f>IFERROR(VLOOKUP($AM93,個性タイプマスタ!$A$5:$P$100,2,FALSE),"Ranged")</f>
        <v>Melee</v>
      </c>
      <c r="Y93" s="56">
        <f>IFERROR(VLOOKUP($AM93,個性タイプマスタ!$A$5:$P$100,3,FALSE),1)</f>
        <v>1.51</v>
      </c>
      <c r="Z93" s="56">
        <f>IFERROR(VLOOKUP($AM93,個性タイプマスタ!$A$5:$P$100,4,FALSE),1)</f>
        <v>1.69</v>
      </c>
      <c r="AA93" s="56">
        <f>IFERROR(VLOOKUP($AM93,個性タイプマスタ!$A$5:$P$100,5,FALSE),1)</f>
        <v>0.94</v>
      </c>
      <c r="AB93" s="56">
        <f>IFERROR(VLOOKUP($AM93,個性タイプマスタ!$A$5:$P$100,6,FALSE),1)</f>
        <v>0.73</v>
      </c>
      <c r="AC93" s="56">
        <f>IFERROR(VLOOKUP($AM93,個性タイプマスタ!$A$5:$P$100,7,FALSE),1)</f>
        <v>1.55</v>
      </c>
      <c r="AD93" s="56">
        <f>IFERROR(VLOOKUP($AM93,個性タイプマスタ!$A$5:$P$100,8,FALSE),1)</f>
        <v>0.9</v>
      </c>
      <c r="AE93" s="60">
        <f>IFERROR(D93/設定!$B$5,1)</f>
        <v>3.7974999999999999</v>
      </c>
      <c r="AF93" s="60">
        <f>1+設定!$B$13*((I93/設定!$B$8+J93/設定!$B$9)/(2*AE93))</f>
        <v>1.3949967083607637</v>
      </c>
      <c r="AG93" s="60">
        <f>MAX(0.7,1+設定!$B$14*(O93/IF(X93="Melee",1.5,2.5)-1))</f>
        <v>1.0660000000000001</v>
      </c>
      <c r="AH93" s="53">
        <f t="shared" si="5"/>
        <v>41.074363668000004</v>
      </c>
      <c r="AI93" s="53">
        <f>E93*AF93*(1+設定!$B$18*AVERAGE(P93:U93))</f>
        <v>837.70110335747211</v>
      </c>
      <c r="AJ93" s="61">
        <f>設定!$B$5*SQRT((AH93/(設定!$B$7*設定!$B$10*(1+設定!$B$11*(設定!$B$12-1))))*(AI93/(設定!$B$6*(1+設定!$B$13))))</f>
        <v>378.7565084055135</v>
      </c>
      <c r="AK93" s="62">
        <f t="shared" si="6"/>
        <v>-2.6161727307083549E-3</v>
      </c>
      <c r="AL93" s="63">
        <f t="shared" si="7"/>
        <v>341.77500000000003</v>
      </c>
      <c r="AM93" s="64" t="s">
        <v>976</v>
      </c>
      <c r="AN93" s="54">
        <f>MAX(1,ROUND((設定!$B$7*設定!$B$10*(1+設定!$B$11*(設定!$B$12-1)))*AE93^2*(設定!$B$6*(1+設定!$B$13))/(AI93*N93*(1+K93*(L93-1))*AG93),0))</f>
        <v>52</v>
      </c>
      <c r="AO93" s="65" t="str">
        <f>IF($A93="","",IF(COUNTIF(個性タイプマスタ!$A$5:$A$100,$AM93)&gt;0,"OK","未登録"))</f>
        <v>OK</v>
      </c>
      <c r="AP93" s="67" t="str">
        <f>IF($A93="","",IF(COUNTIF(属性耐性マスタ!$A$5:$A$11,$C93)&gt;0,"OK","未登録"))</f>
        <v>OK</v>
      </c>
    </row>
    <row r="94" spans="1:42">
      <c r="A94" s="66" t="s">
        <v>288</v>
      </c>
      <c r="B94" s="51" t="s">
        <v>289</v>
      </c>
      <c r="C94" s="109" t="s">
        <v>121</v>
      </c>
      <c r="D94" s="53">
        <f>ROUND(設定!$B$5*POWER($D$2,W94-1),2)</f>
        <v>379.75</v>
      </c>
      <c r="E94" s="54">
        <f>MAX(1,ROUND(設定!$B$6*AE94*Y94,0))</f>
        <v>296</v>
      </c>
      <c r="F94" s="54">
        <f>MAX(0,ROUND(設定!$B$7*AE94*設定!$B$15*IF(X94="Melee",0.6,1.35)*IFERROR(VLOOKUP($AM94,個性タイプマスタ!$A$5:$P$100,14,FALSE),1),0))</f>
        <v>64</v>
      </c>
      <c r="G94" s="54">
        <f>IF(X94="Melee",AN94,MAX(1,ROUND(AN94*設定!$B$16*IFERROR(VLOOKUP($AM94,個性タイプマスタ!$A$5:$P$100,15,FALSE),1),0)))</f>
        <v>36</v>
      </c>
      <c r="H94" s="54">
        <f>IF(X94="Ranged",AN94,MAX(1,ROUND(AN94*設定!$B$16*IFERROR(VLOOKUP($AM94,個性タイプマスタ!$A$5:$P$100,15,FALSE),1),0)))</f>
        <v>80</v>
      </c>
      <c r="I94" s="54">
        <f>MAX(0,ROUND(設定!$B$8*AE94*Z94,0))</f>
        <v>23</v>
      </c>
      <c r="J94" s="54">
        <f>MAX(0,ROUND(設定!$B$9*AE94*AA94,0))</f>
        <v>24</v>
      </c>
      <c r="K94" s="55">
        <f>IFERROR(VLOOKUP($AM94,個性タイプマスタ!$A$5:$P$100,9,FALSE),0.05)</f>
        <v>0.11</v>
      </c>
      <c r="L94" s="56">
        <f>IFERROR(VLOOKUP($AM94,個性タイプマスタ!$A$5:$P$100,10,FALSE),1.5)</f>
        <v>1.65</v>
      </c>
      <c r="M94" s="56">
        <f>IFERROR(VLOOKUP($AM94,個性タイプマスタ!$A$5:$P$100,11,FALSE),2)</f>
        <v>2.2000000000000002</v>
      </c>
      <c r="N94" s="57">
        <f>MAX(0.1,ROUND(設定!$B$10*AB94,3))</f>
        <v>1.1000000000000001</v>
      </c>
      <c r="O94" s="57">
        <f t="shared" si="4"/>
        <v>2.75</v>
      </c>
      <c r="P94" s="58">
        <f>MAX(-10,MIN(0.8,IFERROR(INDEX(属性耐性マスタ!$B$5:$G$11,MATCH($C94,属性耐性マスタ!$A$5:$A$11,0),1),0)+IFERROR(VLOOKUP($AM94,個性タイプマスタ!$A$5:$P$100,12,FALSE),0)))</f>
        <v>-0.04</v>
      </c>
      <c r="Q94" s="58">
        <f>MAX(-10,MIN(0.8,IFERROR(INDEX(属性耐性マスタ!$B$5:$G$11,MATCH($C94,属性耐性マスタ!$A$5:$A$11,0),2),0)+IFERROR(VLOOKUP($AM94,個性タイプマスタ!$A$5:$P$100,12,FALSE),0)))</f>
        <v>-0.04</v>
      </c>
      <c r="R94" s="58">
        <f>MAX(-10,MIN(0.8,IFERROR(INDEX(属性耐性マスタ!$B$5:$G$11,MATCH($C94,属性耐性マスタ!$A$5:$A$11,0),3),0)+IFERROR(VLOOKUP($AM94,個性タイプマスタ!$A$5:$P$100,12,FALSE),0)))</f>
        <v>-0.04</v>
      </c>
      <c r="S94" s="58">
        <f>MAX(-10,MIN(0.8,IFERROR(INDEX(属性耐性マスタ!$B$5:$G$11,MATCH($C94,属性耐性マスタ!$A$5:$A$11,0),4),0)+IFERROR(VLOOKUP($AM94,個性タイプマスタ!$A$5:$P$100,12,FALSE),0)))</f>
        <v>-0.04</v>
      </c>
      <c r="T94" s="58">
        <f>MAX(-10,MIN(0.8,IFERROR(INDEX(属性耐性マスタ!$B$5:$G$11,MATCH($C94,属性耐性マスタ!$A$5:$A$11,0),5),0)+IFERROR(VLOOKUP($AM94,個性タイプマスタ!$A$5:$P$100,12,FALSE),0)))</f>
        <v>0.16</v>
      </c>
      <c r="U94" s="58">
        <f>MAX(-10,MIN(0.8,IFERROR(INDEX(属性耐性マスタ!$B$5:$G$11,MATCH($C94,属性耐性マスタ!$A$5:$A$11,0),6),0)+IFERROR(VLOOKUP($AM94,個性タイプマスタ!$A$5:$P$100,12,FALSE),0)))</f>
        <v>-0.14000000000000001</v>
      </c>
      <c r="V94" s="59">
        <f>ROUND(設定!$B$19*IFERROR(VLOOKUP($AM94,個性タイプマスタ!$A$5:$P$100,13,FALSE),1),2)</f>
        <v>4.2</v>
      </c>
      <c r="W94" s="59">
        <v>15</v>
      </c>
      <c r="X94" s="59" t="str">
        <f>IFERROR(VLOOKUP($AM94,個性タイプマスタ!$A$5:$P$100,2,FALSE),"Ranged")</f>
        <v>Ranged</v>
      </c>
      <c r="Y94" s="56">
        <f>IFERROR(VLOOKUP($AM94,個性タイプマスタ!$A$5:$P$100,3,FALSE),1)</f>
        <v>0.78</v>
      </c>
      <c r="Z94" s="56">
        <f>IFERROR(VLOOKUP($AM94,個性タイプマスタ!$A$5:$P$100,4,FALSE),1)</f>
        <v>0.75</v>
      </c>
      <c r="AA94" s="56">
        <f>IFERROR(VLOOKUP($AM94,個性タイプマスタ!$A$5:$P$100,5,FALSE),1)</f>
        <v>0.8</v>
      </c>
      <c r="AB94" s="56">
        <f>IFERROR(VLOOKUP($AM94,個性タイプマスタ!$A$5:$P$100,6,FALSE),1)</f>
        <v>1.1000000000000001</v>
      </c>
      <c r="AC94" s="56">
        <f>IFERROR(VLOOKUP($AM94,個性タイプマスタ!$A$5:$P$100,7,FALSE),1)</f>
        <v>1.1000000000000001</v>
      </c>
      <c r="AD94" s="56">
        <f>IFERROR(VLOOKUP($AM94,個性タイプマスタ!$A$5:$P$100,8,FALSE),1)</f>
        <v>0.72</v>
      </c>
      <c r="AE94" s="60">
        <f>IFERROR(D94/設定!$B$5,1)</f>
        <v>3.7974999999999999</v>
      </c>
      <c r="AF94" s="60">
        <f>1+設定!$B$13*((I94/設定!$B$8+J94/設定!$B$9)/(2*AE94))</f>
        <v>1.2320605661619486</v>
      </c>
      <c r="AG94" s="60">
        <f>MAX(0.7,1+設定!$B$14*(O94/IF(X94="Melee",1.5,2.5)-1))</f>
        <v>1.012</v>
      </c>
      <c r="AH94" s="53">
        <f t="shared" si="5"/>
        <v>95.423503999999994</v>
      </c>
      <c r="AI94" s="53">
        <f>E94*AF94*(1+設定!$B$18*AVERAGE(P94:U94))</f>
        <v>360.86068334430547</v>
      </c>
      <c r="AJ94" s="61">
        <f>設定!$B$5*SQRT((AH94/(設定!$B$7*設定!$B$10*(1+設定!$B$11*(設定!$B$12-1))))*(AI94/(設定!$B$6*(1+設定!$B$13))))</f>
        <v>378.90261468296012</v>
      </c>
      <c r="AK94" s="62">
        <f t="shared" si="6"/>
        <v>-2.2314294062932838E-3</v>
      </c>
      <c r="AL94" s="63">
        <f t="shared" si="7"/>
        <v>273.42</v>
      </c>
      <c r="AM94" s="64" t="s">
        <v>896</v>
      </c>
      <c r="AN94" s="54">
        <f>MAX(1,ROUND((設定!$B$7*設定!$B$10*(1+設定!$B$11*(設定!$B$12-1)))*AE94^2*(設定!$B$6*(1+設定!$B$13))/(AI94*N94*(1+K94*(L94-1))*AG94),0))</f>
        <v>80</v>
      </c>
      <c r="AO94" s="65" t="str">
        <f>IF($A94="","",IF(COUNTIF(個性タイプマスタ!$A$5:$A$100,$AM94)&gt;0,"OK","未登録"))</f>
        <v>OK</v>
      </c>
      <c r="AP94" s="67" t="str">
        <f>IF($A94="","",IF(COUNTIF(属性耐性マスタ!$A$5:$A$11,$C94)&gt;0,"OK","未登録"))</f>
        <v>OK</v>
      </c>
    </row>
    <row r="95" spans="1:42">
      <c r="A95" s="66" t="s">
        <v>290</v>
      </c>
      <c r="B95" s="51" t="s">
        <v>291</v>
      </c>
      <c r="C95" s="109" t="s">
        <v>114</v>
      </c>
      <c r="D95" s="53">
        <f>ROUND(設定!$B$5*POWER($D$2,W95-1),2)</f>
        <v>417.72</v>
      </c>
      <c r="E95" s="54">
        <f>MAX(1,ROUND(設定!$B$6*AE95*Y95,0))</f>
        <v>384</v>
      </c>
      <c r="F95" s="54">
        <f>MAX(0,ROUND(設定!$B$7*AE95*設定!$B$15*IF(X95="Melee",0.6,1.35)*IFERROR(VLOOKUP($AM95,個性タイプマスタ!$A$5:$P$100,14,FALSE),1),0))</f>
        <v>61</v>
      </c>
      <c r="G95" s="54">
        <f>IF(X95="Melee",AN95,MAX(1,ROUND(AN95*設定!$B$16*IFERROR(VLOOKUP($AM95,個性タイプマスタ!$A$5:$P$100,15,FALSE),1),0)))</f>
        <v>35</v>
      </c>
      <c r="H95" s="54">
        <f>IF(X95="Ranged",AN95,MAX(1,ROUND(AN95*設定!$B$16*IFERROR(VLOOKUP($AM95,個性タイプマスタ!$A$5:$P$100,15,FALSE),1),0)))</f>
        <v>77</v>
      </c>
      <c r="I95" s="54">
        <f>MAX(0,ROUND(設定!$B$8*AE95*Z95,0))</f>
        <v>32</v>
      </c>
      <c r="J95" s="54">
        <f>MAX(0,ROUND(設定!$B$9*AE95*AA95,0))</f>
        <v>35</v>
      </c>
      <c r="K95" s="55">
        <f>IFERROR(VLOOKUP($AM95,個性タイプマスタ!$A$5:$P$100,9,FALSE),0.05)</f>
        <v>0.05</v>
      </c>
      <c r="L95" s="56">
        <f>IFERROR(VLOOKUP($AM95,個性タイプマスタ!$A$5:$P$100,10,FALSE),1.5)</f>
        <v>1.5</v>
      </c>
      <c r="M95" s="56">
        <f>IFERROR(VLOOKUP($AM95,個性タイプマスタ!$A$5:$P$100,11,FALSE),2)</f>
        <v>2</v>
      </c>
      <c r="N95" s="57">
        <f>MAX(0.1,ROUND(設定!$B$10*AB95,3))</f>
        <v>1.05</v>
      </c>
      <c r="O95" s="57">
        <f t="shared" si="4"/>
        <v>2.5</v>
      </c>
      <c r="P95" s="58">
        <f>MAX(-10,MIN(0.8,IFERROR(INDEX(属性耐性マスタ!$B$5:$G$11,MATCH($C95,属性耐性マスタ!$A$5:$A$11,0),1),0)+IFERROR(VLOOKUP($AM95,個性タイプマスタ!$A$5:$P$100,12,FALSE),0)))</f>
        <v>0</v>
      </c>
      <c r="Q95" s="58">
        <f>MAX(-10,MIN(0.8,IFERROR(INDEX(属性耐性マスタ!$B$5:$G$11,MATCH($C95,属性耐性マスタ!$A$5:$A$11,0),2),0)+IFERROR(VLOOKUP($AM95,個性タイプマスタ!$A$5:$P$100,12,FALSE),0)))</f>
        <v>0</v>
      </c>
      <c r="R95" s="58">
        <f>MAX(-10,MIN(0.8,IFERROR(INDEX(属性耐性マスタ!$B$5:$G$11,MATCH($C95,属性耐性マスタ!$A$5:$A$11,0),3),0)+IFERROR(VLOOKUP($AM95,個性タイプマスタ!$A$5:$P$100,12,FALSE),0)))</f>
        <v>0.2</v>
      </c>
      <c r="S95" s="58">
        <f>MAX(-10,MIN(0.8,IFERROR(INDEX(属性耐性マスタ!$B$5:$G$11,MATCH($C95,属性耐性マスタ!$A$5:$A$11,0),4),0)+IFERROR(VLOOKUP($AM95,個性タイプマスタ!$A$5:$P$100,12,FALSE),0)))</f>
        <v>-0.1</v>
      </c>
      <c r="T95" s="58">
        <f>MAX(-10,MIN(0.8,IFERROR(INDEX(属性耐性マスタ!$B$5:$G$11,MATCH($C95,属性耐性マスタ!$A$5:$A$11,0),5),0)+IFERROR(VLOOKUP($AM95,個性タイプマスタ!$A$5:$P$100,12,FALSE),0)))</f>
        <v>0</v>
      </c>
      <c r="U95" s="58">
        <f>MAX(-10,MIN(0.8,IFERROR(INDEX(属性耐性マスタ!$B$5:$G$11,MATCH($C95,属性耐性マスタ!$A$5:$A$11,0),6),0)+IFERROR(VLOOKUP($AM95,個性タイプマスタ!$A$5:$P$100,12,FALSE),0)))</f>
        <v>0</v>
      </c>
      <c r="V95" s="59">
        <f>ROUND(設定!$B$19*IFERROR(VLOOKUP($AM95,個性タイプマスタ!$A$5:$P$100,13,FALSE),1),2)</f>
        <v>4</v>
      </c>
      <c r="W95" s="59">
        <v>16</v>
      </c>
      <c r="X95" s="59" t="str">
        <f>IFERROR(VLOOKUP($AM95,個性タイプマスタ!$A$5:$P$100,2,FALSE),"Ranged")</f>
        <v>Ranged</v>
      </c>
      <c r="Y95" s="56">
        <f>IFERROR(VLOOKUP($AM95,個性タイプマスタ!$A$5:$P$100,3,FALSE),1)</f>
        <v>0.92</v>
      </c>
      <c r="Z95" s="56">
        <f>IFERROR(VLOOKUP($AM95,個性タイプマスタ!$A$5:$P$100,4,FALSE),1)</f>
        <v>0.95</v>
      </c>
      <c r="AA95" s="56">
        <f>IFERROR(VLOOKUP($AM95,個性タイプマスタ!$A$5:$P$100,5,FALSE),1)</f>
        <v>1.05</v>
      </c>
      <c r="AB95" s="56">
        <f>IFERROR(VLOOKUP($AM95,個性タイプマスタ!$A$5:$P$100,6,FALSE),1)</f>
        <v>1.05</v>
      </c>
      <c r="AC95" s="56">
        <f>IFERROR(VLOOKUP($AM95,個性タイプマスタ!$A$5:$P$100,7,FALSE),1)</f>
        <v>1</v>
      </c>
      <c r="AD95" s="56">
        <f>IFERROR(VLOOKUP($AM95,個性タイプマスタ!$A$5:$P$100,8,FALSE),1)</f>
        <v>0.74</v>
      </c>
      <c r="AE95" s="60">
        <f>IFERROR(D95/設定!$B$5,1)</f>
        <v>4.1772</v>
      </c>
      <c r="AF95" s="60">
        <f>1+設定!$B$13*((I95/設定!$B$8+J95/設定!$B$9)/(2*AE95))</f>
        <v>1.3007397299626544</v>
      </c>
      <c r="AG95" s="60">
        <f>MAX(0.7,1+設定!$B$14*(O95/IF(X95="Melee",1.5,2.5)-1))</f>
        <v>1</v>
      </c>
      <c r="AH95" s="53">
        <f t="shared" si="5"/>
        <v>82.871250000000003</v>
      </c>
      <c r="AI95" s="53">
        <f>E95*AF95*(1+設定!$B$18*AVERAGE(P95:U95))</f>
        <v>503.23018672795178</v>
      </c>
      <c r="AJ95" s="61">
        <f>設定!$B$5*SQRT((AH95/(設定!$B$7*設定!$B$10*(1+設定!$B$11*(設定!$B$12-1))))*(AI95/(設定!$B$6*(1+設定!$B$13))))</f>
        <v>416.98019279525494</v>
      </c>
      <c r="AK95" s="62">
        <f t="shared" si="6"/>
        <v>-1.7710600515777886E-3</v>
      </c>
      <c r="AL95" s="63">
        <f t="shared" si="7"/>
        <v>309.11279999999999</v>
      </c>
      <c r="AM95" s="64" t="s">
        <v>881</v>
      </c>
      <c r="AN95" s="54">
        <f>MAX(1,ROUND((設定!$B$7*設定!$B$10*(1+設定!$B$11*(設定!$B$12-1)))*AE95^2*(設定!$B$6*(1+設定!$B$13))/(AI95*N95*(1+K95*(L95-1))*AG95),0))</f>
        <v>77</v>
      </c>
      <c r="AO95" s="65" t="str">
        <f>IF($A95="","",IF(COUNTIF(個性タイプマスタ!$A$5:$A$100,$AM95)&gt;0,"OK","未登録"))</f>
        <v>OK</v>
      </c>
      <c r="AP95" s="67" t="str">
        <f>IF($A95="","",IF(COUNTIF(属性耐性マスタ!$A$5:$A$11,$C95)&gt;0,"OK","未登録"))</f>
        <v>OK</v>
      </c>
    </row>
    <row r="96" spans="1:42">
      <c r="A96" s="66" t="s">
        <v>292</v>
      </c>
      <c r="B96" s="51" t="s">
        <v>293</v>
      </c>
      <c r="C96" s="109" t="s">
        <v>871</v>
      </c>
      <c r="D96" s="53">
        <f>ROUND(設定!$B$5*POWER($D$2,W96-1),2)</f>
        <v>417.72</v>
      </c>
      <c r="E96" s="54">
        <f>MAX(1,ROUND(設定!$B$6*AE96*Y96,0))</f>
        <v>309</v>
      </c>
      <c r="F96" s="54">
        <f>MAX(0,ROUND(設定!$B$7*AE96*設定!$B$15*IF(X96="Melee",0.6,1.35)*IFERROR(VLOOKUP($AM96,個性タイプマスタ!$A$5:$P$100,14,FALSE),1),0))</f>
        <v>58</v>
      </c>
      <c r="G96" s="54">
        <f>IF(X96="Melee",AN96,MAX(1,ROUND(AN96*設定!$B$16*IFERROR(VLOOKUP($AM96,個性タイプマスタ!$A$5:$P$100,15,FALSE),1),0)))</f>
        <v>21</v>
      </c>
      <c r="H96" s="54">
        <f>IF(X96="Ranged",AN96,MAX(1,ROUND(AN96*設定!$B$16*IFERROR(VLOOKUP($AM96,個性タイプマスタ!$A$5:$P$100,15,FALSE),1),0)))</f>
        <v>72</v>
      </c>
      <c r="I96" s="54">
        <f>MAX(0,ROUND(設定!$B$8*AE96*Z96,0))</f>
        <v>24</v>
      </c>
      <c r="J96" s="54">
        <f>MAX(0,ROUND(設定!$B$9*AE96*AA96,0))</f>
        <v>28</v>
      </c>
      <c r="K96" s="55">
        <f>IFERROR(VLOOKUP($AM96,個性タイプマスタ!$A$5:$P$100,9,FALSE),0.05)</f>
        <v>0.05</v>
      </c>
      <c r="L96" s="56">
        <f>IFERROR(VLOOKUP($AM96,個性タイプマスタ!$A$5:$P$100,10,FALSE),1.5)</f>
        <v>1.4</v>
      </c>
      <c r="M96" s="56">
        <f>IFERROR(VLOOKUP($AM96,個性タイプマスタ!$A$5:$P$100,11,FALSE),2)</f>
        <v>3.35</v>
      </c>
      <c r="N96" s="57">
        <f>MAX(0.1,ROUND(設定!$B$10*AB96,3))</f>
        <v>1.55</v>
      </c>
      <c r="O96" s="57">
        <f t="shared" si="4"/>
        <v>2.2999999999999998</v>
      </c>
      <c r="P96" s="58">
        <f>MAX(-10,MIN(0.8,IFERROR(INDEX(属性耐性マスタ!$B$5:$G$11,MATCH($C96,属性耐性マスタ!$A$5:$A$11,0),1),0)+IFERROR(VLOOKUP($AM96,個性タイプマスタ!$A$5:$P$100,12,FALSE),0)))</f>
        <v>-7.0000000000000007E-2</v>
      </c>
      <c r="Q96" s="58">
        <f>MAX(-10,MIN(0.8,IFERROR(INDEX(属性耐性マスタ!$B$5:$G$11,MATCH($C96,属性耐性マスタ!$A$5:$A$11,0),2),0)+IFERROR(VLOOKUP($AM96,個性タイプマスタ!$A$5:$P$100,12,FALSE),0)))</f>
        <v>-7.0000000000000007E-2</v>
      </c>
      <c r="R96" s="58">
        <f>MAX(-10,MIN(0.8,IFERROR(INDEX(属性耐性マスタ!$B$5:$G$11,MATCH($C96,属性耐性マスタ!$A$5:$A$11,0),3),0)+IFERROR(VLOOKUP($AM96,個性タイプマスタ!$A$5:$P$100,12,FALSE),0)))</f>
        <v>-0.17</v>
      </c>
      <c r="S96" s="58">
        <f>MAX(-10,MIN(0.8,IFERROR(INDEX(属性耐性マスタ!$B$5:$G$11,MATCH($C96,属性耐性マスタ!$A$5:$A$11,0),4),0)+IFERROR(VLOOKUP($AM96,個性タイプマスタ!$A$5:$P$100,12,FALSE),0)))</f>
        <v>0.13</v>
      </c>
      <c r="T96" s="58">
        <f>MAX(-10,MIN(0.8,IFERROR(INDEX(属性耐性マスタ!$B$5:$G$11,MATCH($C96,属性耐性マスタ!$A$5:$A$11,0),5),0)+IFERROR(VLOOKUP($AM96,個性タイプマスタ!$A$5:$P$100,12,FALSE),0)))</f>
        <v>-7.0000000000000007E-2</v>
      </c>
      <c r="U96" s="58">
        <f>MAX(-10,MIN(0.8,IFERROR(INDEX(属性耐性マスタ!$B$5:$G$11,MATCH($C96,属性耐性マスタ!$A$5:$A$11,0),6),0)+IFERROR(VLOOKUP($AM96,個性タイプマスタ!$A$5:$P$100,12,FALSE),0)))</f>
        <v>-7.0000000000000007E-2</v>
      </c>
      <c r="V96" s="59">
        <f>ROUND(設定!$B$19*IFERROR(VLOOKUP($AM96,個性タイプマスタ!$A$5:$P$100,13,FALSE),1),2)</f>
        <v>4</v>
      </c>
      <c r="W96" s="59">
        <v>16</v>
      </c>
      <c r="X96" s="59" t="str">
        <f>IFERROR(VLOOKUP($AM96,個性タイプマスタ!$A$5:$P$100,2,FALSE),"Ranged")</f>
        <v>Ranged</v>
      </c>
      <c r="Y96" s="56">
        <f>IFERROR(VLOOKUP($AM96,個性タイプマスタ!$A$5:$P$100,3,FALSE),1)</f>
        <v>0.74</v>
      </c>
      <c r="Z96" s="56">
        <f>IFERROR(VLOOKUP($AM96,個性タイプマスタ!$A$5:$P$100,4,FALSE),1)</f>
        <v>0.72</v>
      </c>
      <c r="AA96" s="56">
        <f>IFERROR(VLOOKUP($AM96,個性タイプマスタ!$A$5:$P$100,5,FALSE),1)</f>
        <v>0.84</v>
      </c>
      <c r="AB96" s="56">
        <f>IFERROR(VLOOKUP($AM96,個性タイプマスタ!$A$5:$P$100,6,FALSE),1)</f>
        <v>1.55</v>
      </c>
      <c r="AC96" s="56">
        <f>IFERROR(VLOOKUP($AM96,個性タイプマスタ!$A$5:$P$100,7,FALSE),1)</f>
        <v>0.92</v>
      </c>
      <c r="AD96" s="56">
        <f>IFERROR(VLOOKUP($AM96,個性タイプマスタ!$A$5:$P$100,8,FALSE),1)</f>
        <v>0.61</v>
      </c>
      <c r="AE96" s="60">
        <f>IFERROR(D96/設定!$B$5,1)</f>
        <v>4.1772</v>
      </c>
      <c r="AF96" s="60">
        <f>1+設定!$B$13*((I96/設定!$B$8+J96/設定!$B$9)/(2*AE96))</f>
        <v>1.2334099396725078</v>
      </c>
      <c r="AG96" s="60">
        <f>MAX(0.7,1+設定!$B$14*(O96/IF(X96="Melee",1.5,2.5)-1))</f>
        <v>0.99039999999999995</v>
      </c>
      <c r="AH96" s="53">
        <f t="shared" si="5"/>
        <v>112.7392128</v>
      </c>
      <c r="AI96" s="53">
        <f>E96*AF96*(1+設定!$B$18*AVERAGE(P96:U96))</f>
        <v>371.97670324619361</v>
      </c>
      <c r="AJ96" s="61">
        <f>設定!$B$5*SQRT((AH96/(設定!$B$7*設定!$B$10*(1+設定!$B$11*(設定!$B$12-1))))*(AI96/(設定!$B$6*(1+設定!$B$13))))</f>
        <v>418.14365215492774</v>
      </c>
      <c r="AK96" s="62">
        <f t="shared" si="6"/>
        <v>1.0142012710134818E-3</v>
      </c>
      <c r="AL96" s="63">
        <f t="shared" si="7"/>
        <v>254.8092</v>
      </c>
      <c r="AM96" s="64" t="s">
        <v>908</v>
      </c>
      <c r="AN96" s="54">
        <f>MAX(1,ROUND((設定!$B$7*設定!$B$10*(1+設定!$B$11*(設定!$B$12-1)))*AE96^2*(設定!$B$6*(1+設定!$B$13))/(AI96*N96*(1+K96*(L96-1))*AG96),0))</f>
        <v>72</v>
      </c>
      <c r="AO96" s="65" t="str">
        <f>IF($A96="","",IF(COUNTIF(個性タイプマスタ!$A$5:$A$100,$AM96)&gt;0,"OK","未登録"))</f>
        <v>OK</v>
      </c>
      <c r="AP96" s="67" t="str">
        <f>IF($A96="","",IF(COUNTIF(属性耐性マスタ!$A$5:$A$11,$C96)&gt;0,"OK","未登録"))</f>
        <v>OK</v>
      </c>
    </row>
    <row r="97" spans="1:42">
      <c r="A97" s="66" t="s">
        <v>294</v>
      </c>
      <c r="B97" s="51" t="s">
        <v>295</v>
      </c>
      <c r="C97" s="109" t="s">
        <v>874</v>
      </c>
      <c r="D97" s="53">
        <f>ROUND(設定!$B$5*POWER($D$2,W97-1),2)</f>
        <v>417.72</v>
      </c>
      <c r="E97" s="54">
        <f>MAX(1,ROUND(設定!$B$6*AE97*Y97,0))</f>
        <v>305</v>
      </c>
      <c r="F97" s="54">
        <f>MAX(0,ROUND(設定!$B$7*AE97*設定!$B$15*IF(X97="Melee",0.6,1.35)*IFERROR(VLOOKUP($AM97,個性タイプマスタ!$A$5:$P$100,14,FALSE),1),0))</f>
        <v>72</v>
      </c>
      <c r="G97" s="54">
        <f>IF(X97="Melee",AN97,MAX(1,ROUND(AN97*設定!$B$16*IFERROR(VLOOKUP($AM97,個性タイプマスタ!$A$5:$P$100,15,FALSE),1),0)))</f>
        <v>23</v>
      </c>
      <c r="H97" s="54">
        <f>IF(X97="Ranged",AN97,MAX(1,ROUND(AN97*設定!$B$16*IFERROR(VLOOKUP($AM97,個性タイプマスタ!$A$5:$P$100,15,FALSE),1),0)))</f>
        <v>93</v>
      </c>
      <c r="I97" s="54">
        <f>MAX(0,ROUND(設定!$B$8*AE97*Z97,0))</f>
        <v>26</v>
      </c>
      <c r="J97" s="54">
        <f>MAX(0,ROUND(設定!$B$9*AE97*AA97,0))</f>
        <v>28</v>
      </c>
      <c r="K97" s="55">
        <f>IFERROR(VLOOKUP($AM97,個性タイプマスタ!$A$5:$P$100,9,FALSE),0.05)</f>
        <v>0.26</v>
      </c>
      <c r="L97" s="56">
        <f>IFERROR(VLOOKUP($AM97,個性タイプマスタ!$A$5:$P$100,10,FALSE),1.5)</f>
        <v>1.95</v>
      </c>
      <c r="M97" s="56">
        <f>IFERROR(VLOOKUP($AM97,個性タイプマスタ!$A$5:$P$100,11,FALSE),2)</f>
        <v>2.75</v>
      </c>
      <c r="N97" s="57">
        <f>MAX(0.1,ROUND(設定!$B$10*AB97,3))</f>
        <v>0.95</v>
      </c>
      <c r="O97" s="57">
        <f t="shared" si="4"/>
        <v>2.8</v>
      </c>
      <c r="P97" s="58">
        <f>MAX(-10,MIN(0.8,IFERROR(INDEX(属性耐性マスタ!$B$5:$G$11,MATCH($C97,属性耐性マスタ!$A$5:$A$11,0),1),0)+IFERROR(VLOOKUP($AM97,個性タイプマスタ!$A$5:$P$100,12,FALSE),0)))</f>
        <v>-0.05</v>
      </c>
      <c r="Q97" s="58">
        <f>MAX(-10,MIN(0.8,IFERROR(INDEX(属性耐性マスタ!$B$5:$G$11,MATCH($C97,属性耐性マスタ!$A$5:$A$11,0),2),0)+IFERROR(VLOOKUP($AM97,個性タイプマスタ!$A$5:$P$100,12,FALSE),0)))</f>
        <v>-0.05</v>
      </c>
      <c r="R97" s="58">
        <f>MAX(-10,MIN(0.8,IFERROR(INDEX(属性耐性マスタ!$B$5:$G$11,MATCH($C97,属性耐性マスタ!$A$5:$A$11,0),3),0)+IFERROR(VLOOKUP($AM97,個性タイプマスタ!$A$5:$P$100,12,FALSE),0)))</f>
        <v>-0.05</v>
      </c>
      <c r="S97" s="58">
        <f>MAX(-10,MIN(0.8,IFERROR(INDEX(属性耐性マスタ!$B$5:$G$11,MATCH($C97,属性耐性マスタ!$A$5:$A$11,0),4),0)+IFERROR(VLOOKUP($AM97,個性タイプマスタ!$A$5:$P$100,12,FALSE),0)))</f>
        <v>-0.05</v>
      </c>
      <c r="T97" s="58">
        <f>MAX(-10,MIN(0.8,IFERROR(INDEX(属性耐性マスタ!$B$5:$G$11,MATCH($C97,属性耐性マスタ!$A$5:$A$11,0),5),0)+IFERROR(VLOOKUP($AM97,個性タイプマスタ!$A$5:$P$100,12,FALSE),0)))</f>
        <v>-0.15000000000000002</v>
      </c>
      <c r="U97" s="58">
        <f>MAX(-10,MIN(0.8,IFERROR(INDEX(属性耐性マスタ!$B$5:$G$11,MATCH($C97,属性耐性マスタ!$A$5:$A$11,0),6),0)+IFERROR(VLOOKUP($AM97,個性タイプマスタ!$A$5:$P$100,12,FALSE),0)))</f>
        <v>0.15000000000000002</v>
      </c>
      <c r="V97" s="59">
        <f>ROUND(設定!$B$19*IFERROR(VLOOKUP($AM97,個性タイプマスタ!$A$5:$P$100,13,FALSE),1),2)</f>
        <v>4.4000000000000004</v>
      </c>
      <c r="W97" s="59">
        <v>16</v>
      </c>
      <c r="X97" s="59" t="str">
        <f>IFERROR(VLOOKUP($AM97,個性タイプマスタ!$A$5:$P$100,2,FALSE),"Ranged")</f>
        <v>Ranged</v>
      </c>
      <c r="Y97" s="56">
        <f>IFERROR(VLOOKUP($AM97,個性タイプマスタ!$A$5:$P$100,3,FALSE),1)</f>
        <v>0.73</v>
      </c>
      <c r="Z97" s="56">
        <f>IFERROR(VLOOKUP($AM97,個性タイプマスタ!$A$5:$P$100,4,FALSE),1)</f>
        <v>0.77</v>
      </c>
      <c r="AA97" s="56">
        <f>IFERROR(VLOOKUP($AM97,個性タイプマスタ!$A$5:$P$100,5,FALSE),1)</f>
        <v>0.85</v>
      </c>
      <c r="AB97" s="56">
        <f>IFERROR(VLOOKUP($AM97,個性タイプマスタ!$A$5:$P$100,6,FALSE),1)</f>
        <v>0.95</v>
      </c>
      <c r="AC97" s="56">
        <f>IFERROR(VLOOKUP($AM97,個性タイプマスタ!$A$5:$P$100,7,FALSE),1)</f>
        <v>1.1200000000000001</v>
      </c>
      <c r="AD97" s="56">
        <f>IFERROR(VLOOKUP($AM97,個性タイプマスタ!$A$5:$P$100,8,FALSE),1)</f>
        <v>0.66</v>
      </c>
      <c r="AE97" s="60">
        <f>IFERROR(D97/設定!$B$5,1)</f>
        <v>4.1772</v>
      </c>
      <c r="AF97" s="60">
        <f>1+設定!$B$13*((I97/設定!$B$8+J97/設定!$B$9)/(2*AE97))</f>
        <v>1.2423872450445275</v>
      </c>
      <c r="AG97" s="60">
        <f>MAX(0.7,1+設定!$B$14*(O97/IF(X97="Melee",1.5,2.5)-1))</f>
        <v>1.0144</v>
      </c>
      <c r="AH97" s="53">
        <f t="shared" si="5"/>
        <v>111.75893327999998</v>
      </c>
      <c r="AI97" s="53">
        <f>E97*AF97*(1+設定!$B$18*AVERAGE(P97:U97))</f>
        <v>373.24418809250216</v>
      </c>
      <c r="AJ97" s="61">
        <f>設定!$B$5*SQRT((AH97/(設定!$B$7*設定!$B$10*(1+設定!$B$11*(設定!$B$12-1))))*(AI97/(設定!$B$6*(1+設定!$B$13))))</f>
        <v>417.03047188999687</v>
      </c>
      <c r="AK97" s="62">
        <f t="shared" si="6"/>
        <v>-1.6506945082905844E-3</v>
      </c>
      <c r="AL97" s="63">
        <f t="shared" si="7"/>
        <v>275.69520000000006</v>
      </c>
      <c r="AM97" s="64" t="s">
        <v>922</v>
      </c>
      <c r="AN97" s="54">
        <f>MAX(1,ROUND((設定!$B$7*設定!$B$10*(1+設定!$B$11*(設定!$B$12-1)))*AE97^2*(設定!$B$6*(1+設定!$B$13))/(AI97*N97*(1+K97*(L97-1))*AG97),0))</f>
        <v>93</v>
      </c>
      <c r="AO97" s="65" t="str">
        <f>IF($A97="","",IF(COUNTIF(個性タイプマスタ!$A$5:$A$100,$AM97)&gt;0,"OK","未登録"))</f>
        <v>OK</v>
      </c>
      <c r="AP97" s="67" t="str">
        <f>IF($A97="","",IF(COUNTIF(属性耐性マスタ!$A$5:$A$11,$C97)&gt;0,"OK","未登録"))</f>
        <v>OK</v>
      </c>
    </row>
    <row r="98" spans="1:42">
      <c r="A98" s="66" t="s">
        <v>296</v>
      </c>
      <c r="B98" s="51" t="s">
        <v>297</v>
      </c>
      <c r="C98" s="109" t="s">
        <v>871</v>
      </c>
      <c r="D98" s="53">
        <f>ROUND(設定!$B$5*POWER($D$2,W98-1),2)</f>
        <v>417.72</v>
      </c>
      <c r="E98" s="54">
        <f>MAX(1,ROUND(設定!$B$6*AE98*Y98,0))</f>
        <v>334</v>
      </c>
      <c r="F98" s="54">
        <f>MAX(0,ROUND(設定!$B$7*AE98*設定!$B$15*IF(X98="Melee",0.6,1.35)*IFERROR(VLOOKUP($AM98,個性タイプマスタ!$A$5:$P$100,14,FALSE),1),0))</f>
        <v>28</v>
      </c>
      <c r="G98" s="54">
        <f>IF(X98="Melee",AN98,MAX(1,ROUND(AN98*設定!$B$16*IFERROR(VLOOKUP($AM98,個性タイプマスタ!$A$5:$P$100,15,FALSE),1),0)))</f>
        <v>76</v>
      </c>
      <c r="H98" s="54">
        <f>IF(X98="Ranged",AN98,MAX(1,ROUND(AN98*設定!$B$16*IFERROR(VLOOKUP($AM98,個性タイプマスタ!$A$5:$P$100,15,FALSE),1),0)))</f>
        <v>24</v>
      </c>
      <c r="I98" s="54">
        <f>MAX(0,ROUND(設定!$B$8*AE98*Z98,0))</f>
        <v>26</v>
      </c>
      <c r="J98" s="54">
        <f>MAX(0,ROUND(設定!$B$9*AE98*AA98,0))</f>
        <v>28</v>
      </c>
      <c r="K98" s="55">
        <f>IFERROR(VLOOKUP($AM98,個性タイプマスタ!$A$5:$P$100,9,FALSE),0.05)</f>
        <v>6.5000000000000002E-2</v>
      </c>
      <c r="L98" s="56">
        <f>IFERROR(VLOOKUP($AM98,個性タイプマスタ!$A$5:$P$100,10,FALSE),1.5)</f>
        <v>1.46</v>
      </c>
      <c r="M98" s="56">
        <f>IFERROR(VLOOKUP($AM98,個性タイプマスタ!$A$5:$P$100,11,FALSE),2)</f>
        <v>3.88</v>
      </c>
      <c r="N98" s="57">
        <f>MAX(0.1,ROUND(設定!$B$10*AB98,3))</f>
        <v>1.29</v>
      </c>
      <c r="O98" s="57">
        <f t="shared" si="4"/>
        <v>1.5449999999999999</v>
      </c>
      <c r="P98" s="58">
        <f>MAX(-10,MIN(0.8,IFERROR(INDEX(属性耐性マスタ!$B$5:$G$11,MATCH($C98,属性耐性マスタ!$A$5:$A$11,0),1),0)+IFERROR(VLOOKUP($AM98,個性タイプマスタ!$A$5:$P$100,12,FALSE),0)))</f>
        <v>-0.04</v>
      </c>
      <c r="Q98" s="58">
        <f>MAX(-10,MIN(0.8,IFERROR(INDEX(属性耐性マスタ!$B$5:$G$11,MATCH($C98,属性耐性マスタ!$A$5:$A$11,0),2),0)+IFERROR(VLOOKUP($AM98,個性タイプマスタ!$A$5:$P$100,12,FALSE),0)))</f>
        <v>-0.04</v>
      </c>
      <c r="R98" s="58">
        <f>MAX(-10,MIN(0.8,IFERROR(INDEX(属性耐性マスタ!$B$5:$G$11,MATCH($C98,属性耐性マスタ!$A$5:$A$11,0),3),0)+IFERROR(VLOOKUP($AM98,個性タイプマスタ!$A$5:$P$100,12,FALSE),0)))</f>
        <v>-0.14000000000000001</v>
      </c>
      <c r="S98" s="58">
        <f>MAX(-10,MIN(0.8,IFERROR(INDEX(属性耐性マスタ!$B$5:$G$11,MATCH($C98,属性耐性マスタ!$A$5:$A$11,0),4),0)+IFERROR(VLOOKUP($AM98,個性タイプマスタ!$A$5:$P$100,12,FALSE),0)))</f>
        <v>0.16</v>
      </c>
      <c r="T98" s="58">
        <f>MAX(-10,MIN(0.8,IFERROR(INDEX(属性耐性マスタ!$B$5:$G$11,MATCH($C98,属性耐性マスタ!$A$5:$A$11,0),5),0)+IFERROR(VLOOKUP($AM98,個性タイプマスタ!$A$5:$P$100,12,FALSE),0)))</f>
        <v>-0.04</v>
      </c>
      <c r="U98" s="58">
        <f>MAX(-10,MIN(0.8,IFERROR(INDEX(属性耐性マスタ!$B$5:$G$11,MATCH($C98,属性耐性マスタ!$A$5:$A$11,0),6),0)+IFERROR(VLOOKUP($AM98,個性タイプマスタ!$A$5:$P$100,12,FALSE),0)))</f>
        <v>-0.04</v>
      </c>
      <c r="V98" s="59">
        <f>ROUND(設定!$B$19*IFERROR(VLOOKUP($AM98,個性タイプマスタ!$A$5:$P$100,13,FALSE),1),2)</f>
        <v>9.1999999999999993</v>
      </c>
      <c r="W98" s="59">
        <v>16</v>
      </c>
      <c r="X98" s="59" t="str">
        <f>IFERROR(VLOOKUP($AM98,個性タイプマスタ!$A$5:$P$100,2,FALSE),"Ranged")</f>
        <v>Melee</v>
      </c>
      <c r="Y98" s="56">
        <f>IFERROR(VLOOKUP($AM98,個性タイプマスタ!$A$5:$P$100,3,FALSE),1)</f>
        <v>0.8</v>
      </c>
      <c r="Z98" s="56">
        <f>IFERROR(VLOOKUP($AM98,個性タイプマスタ!$A$5:$P$100,4,FALSE),1)</f>
        <v>0.77</v>
      </c>
      <c r="AA98" s="56">
        <f>IFERROR(VLOOKUP($AM98,個性タイプマスタ!$A$5:$P$100,5,FALSE),1)</f>
        <v>0.83</v>
      </c>
      <c r="AB98" s="56">
        <f>IFERROR(VLOOKUP($AM98,個性タイプマスタ!$A$5:$P$100,6,FALSE),1)</f>
        <v>1.29</v>
      </c>
      <c r="AC98" s="56">
        <f>IFERROR(VLOOKUP($AM98,個性タイプマスタ!$A$5:$P$100,7,FALSE),1)</f>
        <v>1.03</v>
      </c>
      <c r="AD98" s="56">
        <f>IFERROR(VLOOKUP($AM98,個性タイプマスタ!$A$5:$P$100,8,FALSE),1)</f>
        <v>0.71</v>
      </c>
      <c r="AE98" s="60">
        <f>IFERROR(D98/設定!$B$5,1)</f>
        <v>4.1772</v>
      </c>
      <c r="AF98" s="60">
        <f>1+設定!$B$13*((I98/設定!$B$8+J98/設定!$B$9)/(2*AE98))</f>
        <v>1.2423872450445275</v>
      </c>
      <c r="AG98" s="60">
        <f>MAX(0.7,1+設定!$B$14*(O98/IF(X98="Melee",1.5,2.5)-1))</f>
        <v>1.0036</v>
      </c>
      <c r="AH98" s="53">
        <f t="shared" si="5"/>
        <v>101.33489302560002</v>
      </c>
      <c r="AI98" s="53">
        <f>E98*AF98*(1+設定!$B$18*AVERAGE(P98:U98))</f>
        <v>410.60028777650103</v>
      </c>
      <c r="AJ98" s="61">
        <f>設定!$B$5*SQRT((AH98/(設定!$B$7*設定!$B$10*(1+設定!$B$11*(設定!$B$12-1))))*(AI98/(設定!$B$6*(1+設定!$B$13))))</f>
        <v>416.50408954876991</v>
      </c>
      <c r="AK98" s="62">
        <f t="shared" si="6"/>
        <v>-2.9108265135260325E-3</v>
      </c>
      <c r="AL98" s="63">
        <f t="shared" si="7"/>
        <v>296.58120000000002</v>
      </c>
      <c r="AM98" s="64" t="s">
        <v>974</v>
      </c>
      <c r="AN98" s="54">
        <f>MAX(1,ROUND((設定!$B$7*設定!$B$10*(1+設定!$B$11*(設定!$B$12-1)))*AE98^2*(設定!$B$6*(1+設定!$B$13))/(AI98*N98*(1+K98*(L98-1))*AG98),0))</f>
        <v>76</v>
      </c>
      <c r="AO98" s="65" t="str">
        <f>IF($A98="","",IF(COUNTIF(個性タイプマスタ!$A$5:$A$100,$AM98)&gt;0,"OK","未登録"))</f>
        <v>OK</v>
      </c>
      <c r="AP98" s="67" t="str">
        <f>IF($A98="","",IF(COUNTIF(属性耐性マスタ!$A$5:$A$11,$C98)&gt;0,"OK","未登録"))</f>
        <v>OK</v>
      </c>
    </row>
    <row r="99" spans="1:42">
      <c r="A99" s="66" t="s">
        <v>298</v>
      </c>
      <c r="B99" s="51" t="s">
        <v>299</v>
      </c>
      <c r="C99" s="109" t="s">
        <v>111</v>
      </c>
      <c r="D99" s="53">
        <f>ROUND(設定!$B$5*POWER($D$2,W99-1),2)</f>
        <v>417.72</v>
      </c>
      <c r="E99" s="54">
        <f>MAX(1,ROUND(設定!$B$6*AE99*Y99,0))</f>
        <v>334</v>
      </c>
      <c r="F99" s="54">
        <f>MAX(0,ROUND(設定!$B$7*AE99*設定!$B$15*IF(X99="Melee",0.6,1.35)*IFERROR(VLOOKUP($AM99,個性タイプマスタ!$A$5:$P$100,14,FALSE),1),0))</f>
        <v>23</v>
      </c>
      <c r="G99" s="54">
        <f>IF(X99="Melee",AN99,MAX(1,ROUND(AN99*設定!$B$16*IFERROR(VLOOKUP($AM99,個性タイプマスタ!$A$5:$P$100,15,FALSE),1),0)))</f>
        <v>74</v>
      </c>
      <c r="H99" s="54">
        <f>IF(X99="Ranged",AN99,MAX(1,ROUND(AN99*設定!$B$16*IFERROR(VLOOKUP($AM99,個性タイプマスタ!$A$5:$P$100,15,FALSE),1),0)))</f>
        <v>33</v>
      </c>
      <c r="I99" s="54">
        <f>MAX(0,ROUND(設定!$B$8*AE99*Z99,0))</f>
        <v>27</v>
      </c>
      <c r="J99" s="54">
        <f>MAX(0,ROUND(設定!$B$9*AE99*AA99,0))</f>
        <v>27</v>
      </c>
      <c r="K99" s="55">
        <f>IFERROR(VLOOKUP($AM99,個性タイプマスタ!$A$5:$P$100,9,FALSE),0.05)</f>
        <v>0.08</v>
      </c>
      <c r="L99" s="56">
        <f>IFERROR(VLOOKUP($AM99,個性タイプマスタ!$A$5:$P$100,10,FALSE),1.5)</f>
        <v>1.55</v>
      </c>
      <c r="M99" s="56">
        <f>IFERROR(VLOOKUP($AM99,個性タイプマスタ!$A$5:$P$100,11,FALSE),2)</f>
        <v>3.3</v>
      </c>
      <c r="N99" s="57">
        <f>MAX(0.1,ROUND(設定!$B$10*AB99,3))</f>
        <v>1.32</v>
      </c>
      <c r="O99" s="57">
        <f t="shared" si="4"/>
        <v>1.5</v>
      </c>
      <c r="P99" s="58">
        <f>MAX(-10,MIN(0.8,IFERROR(INDEX(属性耐性マスタ!$B$5:$G$11,MATCH($C99,属性耐性マスタ!$A$5:$A$11,0),1),0)+IFERROR(VLOOKUP($AM99,個性タイプマスタ!$A$5:$P$100,12,FALSE),0)))</f>
        <v>0.16</v>
      </c>
      <c r="Q99" s="58">
        <f>MAX(-10,MIN(0.8,IFERROR(INDEX(属性耐性マスタ!$B$5:$G$11,MATCH($C99,属性耐性マスタ!$A$5:$A$11,0),2),0)+IFERROR(VLOOKUP($AM99,個性タイプマスタ!$A$5:$P$100,12,FALSE),0)))</f>
        <v>-0.14000000000000001</v>
      </c>
      <c r="R99" s="58">
        <f>MAX(-10,MIN(0.8,IFERROR(INDEX(属性耐性マスタ!$B$5:$G$11,MATCH($C99,属性耐性マスタ!$A$5:$A$11,0),3),0)+IFERROR(VLOOKUP($AM99,個性タイプマスタ!$A$5:$P$100,12,FALSE),0)))</f>
        <v>-0.04</v>
      </c>
      <c r="S99" s="58">
        <f>MAX(-10,MIN(0.8,IFERROR(INDEX(属性耐性マスタ!$B$5:$G$11,MATCH($C99,属性耐性マスタ!$A$5:$A$11,0),4),0)+IFERROR(VLOOKUP($AM99,個性タイプマスタ!$A$5:$P$100,12,FALSE),0)))</f>
        <v>-0.04</v>
      </c>
      <c r="T99" s="58">
        <f>MAX(-10,MIN(0.8,IFERROR(INDEX(属性耐性マスタ!$B$5:$G$11,MATCH($C99,属性耐性マスタ!$A$5:$A$11,0),5),0)+IFERROR(VLOOKUP($AM99,個性タイプマスタ!$A$5:$P$100,12,FALSE),0)))</f>
        <v>-0.04</v>
      </c>
      <c r="U99" s="58">
        <f>MAX(-10,MIN(0.8,IFERROR(INDEX(属性耐性マスタ!$B$5:$G$11,MATCH($C99,属性耐性マスタ!$A$5:$A$11,0),6),0)+IFERROR(VLOOKUP($AM99,個性タイプマスタ!$A$5:$P$100,12,FALSE),0)))</f>
        <v>-0.04</v>
      </c>
      <c r="V99" s="59">
        <f>ROUND(設定!$B$19*IFERROR(VLOOKUP($AM99,個性タイプマスタ!$A$5:$P$100,13,FALSE),1),2)</f>
        <v>4.8</v>
      </c>
      <c r="W99" s="59">
        <v>16</v>
      </c>
      <c r="X99" s="59" t="str">
        <f>IFERROR(VLOOKUP($AM99,個性タイプマスタ!$A$5:$P$100,2,FALSE),"Ranged")</f>
        <v>Melee</v>
      </c>
      <c r="Y99" s="56">
        <f>IFERROR(VLOOKUP($AM99,個性タイプマスタ!$A$5:$P$100,3,FALSE),1)</f>
        <v>0.8</v>
      </c>
      <c r="Z99" s="56">
        <f>IFERROR(VLOOKUP($AM99,個性タイプマスタ!$A$5:$P$100,4,FALSE),1)</f>
        <v>0.8</v>
      </c>
      <c r="AA99" s="56">
        <f>IFERROR(VLOOKUP($AM99,個性タイプマスタ!$A$5:$P$100,5,FALSE),1)</f>
        <v>0.8</v>
      </c>
      <c r="AB99" s="56">
        <f>IFERROR(VLOOKUP($AM99,個性タイプマスタ!$A$5:$P$100,6,FALSE),1)</f>
        <v>1.32</v>
      </c>
      <c r="AC99" s="56">
        <f>IFERROR(VLOOKUP($AM99,個性タイプマスタ!$A$5:$P$100,7,FALSE),1)</f>
        <v>1</v>
      </c>
      <c r="AD99" s="56">
        <f>IFERROR(VLOOKUP($AM99,個性タイプマスタ!$A$5:$P$100,8,FALSE),1)</f>
        <v>0.68</v>
      </c>
      <c r="AE99" s="60">
        <f>IFERROR(D99/設定!$B$5,1)</f>
        <v>4.1772</v>
      </c>
      <c r="AF99" s="60">
        <f>1+設定!$B$13*((I99/設定!$B$8+J99/設定!$B$9)/(2*AE99))</f>
        <v>1.2423872450445275</v>
      </c>
      <c r="AG99" s="60">
        <f>MAX(0.7,1+設定!$B$14*(O99/IF(X99="Melee",1.5,2.5)-1))</f>
        <v>1</v>
      </c>
      <c r="AH99" s="53">
        <f t="shared" si="5"/>
        <v>101.97792000000001</v>
      </c>
      <c r="AI99" s="53">
        <f>E99*AF99*(1+設定!$B$18*AVERAGE(P99:U99))</f>
        <v>410.60028777650103</v>
      </c>
      <c r="AJ99" s="61">
        <f>設定!$B$5*SQRT((AH99/(設定!$B$7*設定!$B$10*(1+設定!$B$11*(設定!$B$12-1))))*(AI99/(設定!$B$6*(1+設定!$B$13))))</f>
        <v>417.82347632031201</v>
      </c>
      <c r="AK99" s="62">
        <f t="shared" si="6"/>
        <v>2.4771694032366121E-4</v>
      </c>
      <c r="AL99" s="63">
        <f t="shared" si="7"/>
        <v>284.04960000000005</v>
      </c>
      <c r="AM99" s="64" t="s">
        <v>902</v>
      </c>
      <c r="AN99" s="54">
        <f>MAX(1,ROUND((設定!$B$7*設定!$B$10*(1+設定!$B$11*(設定!$B$12-1)))*AE99^2*(設定!$B$6*(1+設定!$B$13))/(AI99*N99*(1+K99*(L99-1))*AG99),0))</f>
        <v>74</v>
      </c>
      <c r="AO99" s="65" t="str">
        <f>IF($A99="","",IF(COUNTIF(個性タイプマスタ!$A$5:$A$100,$AM99)&gt;0,"OK","未登録"))</f>
        <v>OK</v>
      </c>
      <c r="AP99" s="67" t="str">
        <f>IF($A99="","",IF(COUNTIF(属性耐性マスタ!$A$5:$A$11,$C99)&gt;0,"OK","未登録"))</f>
        <v>OK</v>
      </c>
    </row>
    <row r="100" spans="1:42">
      <c r="A100" s="66" t="s">
        <v>300</v>
      </c>
      <c r="B100" s="51" t="s">
        <v>301</v>
      </c>
      <c r="C100" s="109" t="s">
        <v>121</v>
      </c>
      <c r="D100" s="53">
        <f>ROUND(設定!$B$5*POWER($D$2,W100-1),2)</f>
        <v>417.72</v>
      </c>
      <c r="E100" s="54">
        <f>MAX(1,ROUND(設定!$B$6*AE100*Y100,0))</f>
        <v>242</v>
      </c>
      <c r="F100" s="54">
        <f>MAX(0,ROUND(設定!$B$7*AE100*設定!$B$15*IF(X100="Melee",0.6,1.35)*IFERROR(VLOOKUP($AM100,個性タイプマスタ!$A$5:$P$100,14,FALSE),1),0))</f>
        <v>48</v>
      </c>
      <c r="G100" s="54">
        <f>IF(X100="Melee",AN100,MAX(1,ROUND(AN100*設定!$B$16*IFERROR(VLOOKUP($AM100,個性タイプマスタ!$A$5:$P$100,15,FALSE),1),0)))</f>
        <v>24</v>
      </c>
      <c r="H100" s="54">
        <f>IF(X100="Ranged",AN100,MAX(1,ROUND(AN100*設定!$B$16*IFERROR(VLOOKUP($AM100,個性タイプマスタ!$A$5:$P$100,15,FALSE),1),0)))</f>
        <v>110</v>
      </c>
      <c r="I100" s="54">
        <f>MAX(0,ROUND(設定!$B$8*AE100*Z100,0))</f>
        <v>21</v>
      </c>
      <c r="J100" s="54">
        <f>MAX(0,ROUND(設定!$B$9*AE100*AA100,0))</f>
        <v>22</v>
      </c>
      <c r="K100" s="55">
        <f>IFERROR(VLOOKUP($AM100,個性タイプマスタ!$A$5:$P$100,9,FALSE),0.05)</f>
        <v>0.08</v>
      </c>
      <c r="L100" s="56">
        <f>IFERROR(VLOOKUP($AM100,個性タイプマスタ!$A$5:$P$100,10,FALSE),1.5)</f>
        <v>1.55</v>
      </c>
      <c r="M100" s="56">
        <f>IFERROR(VLOOKUP($AM100,個性タイプマスタ!$A$5:$P$100,11,FALSE),2)</f>
        <v>4.2</v>
      </c>
      <c r="N100" s="57">
        <f>MAX(0.1,ROUND(設定!$B$10*AB100,3))</f>
        <v>1.3</v>
      </c>
      <c r="O100" s="57">
        <f t="shared" si="4"/>
        <v>2.5</v>
      </c>
      <c r="P100" s="58">
        <f>MAX(-10,MIN(0.8,IFERROR(INDEX(属性耐性マスタ!$B$5:$G$11,MATCH($C100,属性耐性マスタ!$A$5:$A$11,0),1),0)+IFERROR(VLOOKUP($AM100,個性タイプマスタ!$A$5:$P$100,12,FALSE),0)))</f>
        <v>-0.09</v>
      </c>
      <c r="Q100" s="58">
        <f>MAX(-10,MIN(0.8,IFERROR(INDEX(属性耐性マスタ!$B$5:$G$11,MATCH($C100,属性耐性マスタ!$A$5:$A$11,0),2),0)+IFERROR(VLOOKUP($AM100,個性タイプマスタ!$A$5:$P$100,12,FALSE),0)))</f>
        <v>-0.09</v>
      </c>
      <c r="R100" s="58">
        <f>MAX(-10,MIN(0.8,IFERROR(INDEX(属性耐性マスタ!$B$5:$G$11,MATCH($C100,属性耐性マスタ!$A$5:$A$11,0),3),0)+IFERROR(VLOOKUP($AM100,個性タイプマスタ!$A$5:$P$100,12,FALSE),0)))</f>
        <v>-0.09</v>
      </c>
      <c r="S100" s="58">
        <f>MAX(-10,MIN(0.8,IFERROR(INDEX(属性耐性マスタ!$B$5:$G$11,MATCH($C100,属性耐性マスタ!$A$5:$A$11,0),4),0)+IFERROR(VLOOKUP($AM100,個性タイプマスタ!$A$5:$P$100,12,FALSE),0)))</f>
        <v>-0.09</v>
      </c>
      <c r="T100" s="58">
        <f>MAX(-10,MIN(0.8,IFERROR(INDEX(属性耐性マスタ!$B$5:$G$11,MATCH($C100,属性耐性マスタ!$A$5:$A$11,0),5),0)+IFERROR(VLOOKUP($AM100,個性タイプマスタ!$A$5:$P$100,12,FALSE),0)))</f>
        <v>0.11000000000000001</v>
      </c>
      <c r="U100" s="58">
        <f>MAX(-10,MIN(0.8,IFERROR(INDEX(属性耐性マスタ!$B$5:$G$11,MATCH($C100,属性耐性マスタ!$A$5:$A$11,0),6),0)+IFERROR(VLOOKUP($AM100,個性タイプマスタ!$A$5:$P$100,12,FALSE),0)))</f>
        <v>-0.19</v>
      </c>
      <c r="V100" s="59">
        <f>ROUND(設定!$B$19*IFERROR(VLOOKUP($AM100,個性タイプマスタ!$A$5:$P$100,13,FALSE),1),2)</f>
        <v>4.2</v>
      </c>
      <c r="W100" s="59">
        <v>16</v>
      </c>
      <c r="X100" s="59" t="str">
        <f>IFERROR(VLOOKUP($AM100,個性タイプマスタ!$A$5:$P$100,2,FALSE),"Ranged")</f>
        <v>Ranged</v>
      </c>
      <c r="Y100" s="56">
        <f>IFERROR(VLOOKUP($AM100,個性タイプマスタ!$A$5:$P$100,3,FALSE),1)</f>
        <v>0.57999999999999996</v>
      </c>
      <c r="Z100" s="56">
        <f>IFERROR(VLOOKUP($AM100,個性タイプマスタ!$A$5:$P$100,4,FALSE),1)</f>
        <v>0.64</v>
      </c>
      <c r="AA100" s="56">
        <f>IFERROR(VLOOKUP($AM100,個性タイプマスタ!$A$5:$P$100,5,FALSE),1)</f>
        <v>0.65</v>
      </c>
      <c r="AB100" s="56">
        <f>IFERROR(VLOOKUP($AM100,個性タイプマスタ!$A$5:$P$100,6,FALSE),1)</f>
        <v>1.3</v>
      </c>
      <c r="AC100" s="56">
        <f>IFERROR(VLOOKUP($AM100,個性タイプマスタ!$A$5:$P$100,7,FALSE),1)</f>
        <v>1</v>
      </c>
      <c r="AD100" s="56">
        <f>IFERROR(VLOOKUP($AM100,個性タイプマスタ!$A$5:$P$100,8,FALSE),1)</f>
        <v>0.56999999999999995</v>
      </c>
      <c r="AE100" s="60">
        <f>IFERROR(D100/設定!$B$5,1)</f>
        <v>4.1772</v>
      </c>
      <c r="AF100" s="60">
        <f>1+設定!$B$13*((I100/設定!$B$8+J100/設定!$B$9)/(2*AE100))</f>
        <v>1.19301206549842</v>
      </c>
      <c r="AG100" s="60">
        <f>MAX(0.7,1+設定!$B$14*(O100/IF(X100="Melee",1.5,2.5)-1))</f>
        <v>1</v>
      </c>
      <c r="AH100" s="53">
        <f t="shared" si="5"/>
        <v>149.292</v>
      </c>
      <c r="AI100" s="53">
        <f>E100*AF100*(1+設定!$B$18*AVERAGE(P100:U100))</f>
        <v>279.18152549554725</v>
      </c>
      <c r="AJ100" s="61">
        <f>設定!$B$5*SQRT((AH100/(設定!$B$7*設定!$B$10*(1+設定!$B$11*(設定!$B$12-1))))*(AI100/(設定!$B$6*(1+設定!$B$13))))</f>
        <v>416.86145942894319</v>
      </c>
      <c r="AK100" s="62">
        <f t="shared" si="6"/>
        <v>-2.0553015681720188E-3</v>
      </c>
      <c r="AL100" s="63">
        <f t="shared" si="7"/>
        <v>238.10040000000001</v>
      </c>
      <c r="AM100" s="64" t="s">
        <v>914</v>
      </c>
      <c r="AN100" s="54">
        <f>MAX(1,ROUND((設定!$B$7*設定!$B$10*(1+設定!$B$11*(設定!$B$12-1)))*AE100^2*(設定!$B$6*(1+設定!$B$13))/(AI100*N100*(1+K100*(L100-1))*AG100),0))</f>
        <v>110</v>
      </c>
      <c r="AO100" s="65" t="str">
        <f>IF($A100="","",IF(COUNTIF(個性タイプマスタ!$A$5:$A$100,$AM100)&gt;0,"OK","未登録"))</f>
        <v>OK</v>
      </c>
      <c r="AP100" s="67" t="str">
        <f>IF($A100="","",IF(COUNTIF(属性耐性マスタ!$A$5:$A$11,$C100)&gt;0,"OK","未登録"))</f>
        <v>OK</v>
      </c>
    </row>
    <row r="101" spans="1:42">
      <c r="A101" s="66" t="s">
        <v>302</v>
      </c>
      <c r="B101" s="51" t="s">
        <v>303</v>
      </c>
      <c r="C101" s="109" t="s">
        <v>871</v>
      </c>
      <c r="D101" s="53">
        <f>ROUND(設定!$B$5*POWER($D$2,W101-1),2)</f>
        <v>459.5</v>
      </c>
      <c r="E101" s="54">
        <f>MAX(1,ROUND(設定!$B$6*AE101*Y101,0))</f>
        <v>505</v>
      </c>
      <c r="F101" s="54">
        <f>MAX(0,ROUND(設定!$B$7*AE101*設定!$B$15*IF(X101="Melee",0.6,1.35)*IFERROR(VLOOKUP($AM101,個性タイプマスタ!$A$5:$P$100,14,FALSE),1),0))</f>
        <v>70</v>
      </c>
      <c r="G101" s="54">
        <f>IF(X101="Melee",AN101,MAX(1,ROUND(AN101*設定!$B$16*IFERROR(VLOOKUP($AM101,個性タイプマスタ!$A$5:$P$100,15,FALSE),1),0)))</f>
        <v>32</v>
      </c>
      <c r="H101" s="54">
        <f>IF(X101="Ranged",AN101,MAX(1,ROUND(AN101*設定!$B$16*IFERROR(VLOOKUP($AM101,個性タイプマスタ!$A$5:$P$100,15,FALSE),1),0)))</f>
        <v>72</v>
      </c>
      <c r="I101" s="54">
        <f>MAX(0,ROUND(設定!$B$8*AE101*Z101,0))</f>
        <v>40</v>
      </c>
      <c r="J101" s="54">
        <f>MAX(0,ROUND(設定!$B$9*AE101*AA101,0))</f>
        <v>40</v>
      </c>
      <c r="K101" s="55">
        <f>IFERROR(VLOOKUP($AM101,個性タイプマスタ!$A$5:$P$100,9,FALSE),0.05)</f>
        <v>7.0000000000000007E-2</v>
      </c>
      <c r="L101" s="56">
        <f>IFERROR(VLOOKUP($AM101,個性タイプマスタ!$A$5:$P$100,10,FALSE),1.5)</f>
        <v>1.55</v>
      </c>
      <c r="M101" s="56">
        <f>IFERROR(VLOOKUP($AM101,個性タイプマスタ!$A$5:$P$100,11,FALSE),2)</f>
        <v>2.4</v>
      </c>
      <c r="N101" s="57">
        <f>MAX(0.1,ROUND(設定!$B$10*AB101,3))</f>
        <v>1</v>
      </c>
      <c r="O101" s="57">
        <f t="shared" si="4"/>
        <v>2.5</v>
      </c>
      <c r="P101" s="58">
        <f>MAX(-10,MIN(0.8,IFERROR(INDEX(属性耐性マスタ!$B$5:$G$11,MATCH($C101,属性耐性マスタ!$A$5:$A$11,0),1),0)+IFERROR(VLOOKUP($AM101,個性タイプマスタ!$A$5:$P$100,12,FALSE),0)))</f>
        <v>0.02</v>
      </c>
      <c r="Q101" s="58">
        <f>MAX(-10,MIN(0.8,IFERROR(INDEX(属性耐性マスタ!$B$5:$G$11,MATCH($C101,属性耐性マスタ!$A$5:$A$11,0),2),0)+IFERROR(VLOOKUP($AM101,個性タイプマスタ!$A$5:$P$100,12,FALSE),0)))</f>
        <v>0.02</v>
      </c>
      <c r="R101" s="58">
        <f>MAX(-10,MIN(0.8,IFERROR(INDEX(属性耐性マスタ!$B$5:$G$11,MATCH($C101,属性耐性マスタ!$A$5:$A$11,0),3),0)+IFERROR(VLOOKUP($AM101,個性タイプマスタ!$A$5:$P$100,12,FALSE),0)))</f>
        <v>-0.08</v>
      </c>
      <c r="S101" s="58">
        <f>MAX(-10,MIN(0.8,IFERROR(INDEX(属性耐性マスタ!$B$5:$G$11,MATCH($C101,属性耐性マスタ!$A$5:$A$11,0),4),0)+IFERROR(VLOOKUP($AM101,個性タイプマスタ!$A$5:$P$100,12,FALSE),0)))</f>
        <v>0.22</v>
      </c>
      <c r="T101" s="58">
        <f>MAX(-10,MIN(0.8,IFERROR(INDEX(属性耐性マスタ!$B$5:$G$11,MATCH($C101,属性耐性マスタ!$A$5:$A$11,0),5),0)+IFERROR(VLOOKUP($AM101,個性タイプマスタ!$A$5:$P$100,12,FALSE),0)))</f>
        <v>0.02</v>
      </c>
      <c r="U101" s="58">
        <f>MAX(-10,MIN(0.8,IFERROR(INDEX(属性耐性マスタ!$B$5:$G$11,MATCH($C101,属性耐性マスタ!$A$5:$A$11,0),6),0)+IFERROR(VLOOKUP($AM101,個性タイプマスタ!$A$5:$P$100,12,FALSE),0)))</f>
        <v>0.02</v>
      </c>
      <c r="V101" s="59">
        <f>ROUND(設定!$B$19*IFERROR(VLOOKUP($AM101,個性タイプマスタ!$A$5:$P$100,13,FALSE),1),2)</f>
        <v>4</v>
      </c>
      <c r="W101" s="59">
        <v>17</v>
      </c>
      <c r="X101" s="59" t="str">
        <f>IFERROR(VLOOKUP($AM101,個性タイプマスタ!$A$5:$P$100,2,FALSE),"Ranged")</f>
        <v>Ranged</v>
      </c>
      <c r="Y101" s="56">
        <f>IFERROR(VLOOKUP($AM101,個性タイプマスタ!$A$5:$P$100,3,FALSE),1)</f>
        <v>1.1000000000000001</v>
      </c>
      <c r="Z101" s="56">
        <f>IFERROR(VLOOKUP($AM101,個性タイプマスタ!$A$5:$P$100,4,FALSE),1)</f>
        <v>1.1000000000000001</v>
      </c>
      <c r="AA101" s="56">
        <f>IFERROR(VLOOKUP($AM101,個性タイプマスタ!$A$5:$P$100,5,FALSE),1)</f>
        <v>1.1000000000000001</v>
      </c>
      <c r="AB101" s="56">
        <f>IFERROR(VLOOKUP($AM101,個性タイプマスタ!$A$5:$P$100,6,FALSE),1)</f>
        <v>1</v>
      </c>
      <c r="AC101" s="56">
        <f>IFERROR(VLOOKUP($AM101,個性タイプマスタ!$A$5:$P$100,7,FALSE),1)</f>
        <v>1</v>
      </c>
      <c r="AD101" s="56">
        <f>IFERROR(VLOOKUP($AM101,個性タイプマスタ!$A$5:$P$100,8,FALSE),1)</f>
        <v>0.88</v>
      </c>
      <c r="AE101" s="60">
        <f>IFERROR(D101/設定!$B$5,1)</f>
        <v>4.5949999999999998</v>
      </c>
      <c r="AF101" s="60">
        <f>1+設定!$B$13*((I101/設定!$B$8+J101/設定!$B$9)/(2*AE101))</f>
        <v>1.3264417845484222</v>
      </c>
      <c r="AG101" s="60">
        <f>MAX(0.7,1+設定!$B$14*(O101/IF(X101="Melee",1.5,2.5)-1))</f>
        <v>1</v>
      </c>
      <c r="AH101" s="53">
        <f t="shared" si="5"/>
        <v>74.771999999999991</v>
      </c>
      <c r="AI101" s="53">
        <f>E101*AF101*(1+設定!$B$18*AVERAGE(P101:U101))</f>
        <v>680.90567736670289</v>
      </c>
      <c r="AJ101" s="61">
        <f>設定!$B$5*SQRT((AH101/(設定!$B$7*設定!$B$10*(1+設定!$B$11*(設定!$B$12-1))))*(AI101/(設定!$B$6*(1+設定!$B$13))))</f>
        <v>460.72641752288683</v>
      </c>
      <c r="AK101" s="62">
        <f t="shared" si="6"/>
        <v>2.6690261651509672E-3</v>
      </c>
      <c r="AL101" s="63">
        <f t="shared" si="7"/>
        <v>404.36</v>
      </c>
      <c r="AM101" s="64" t="s">
        <v>906</v>
      </c>
      <c r="AN101" s="54">
        <f>MAX(1,ROUND((設定!$B$7*設定!$B$10*(1+設定!$B$11*(設定!$B$12-1)))*AE101^2*(設定!$B$6*(1+設定!$B$13))/(AI101*N101*(1+K101*(L101-1))*AG101),0))</f>
        <v>72</v>
      </c>
      <c r="AO101" s="65" t="str">
        <f>IF($A101="","",IF(COUNTIF(個性タイプマスタ!$A$5:$A$100,$AM101)&gt;0,"OK","未登録"))</f>
        <v>OK</v>
      </c>
      <c r="AP101" s="67" t="str">
        <f>IF($A101="","",IF(COUNTIF(属性耐性マスタ!$A$5:$A$11,$C101)&gt;0,"OK","未登録"))</f>
        <v>OK</v>
      </c>
    </row>
    <row r="102" spans="1:42">
      <c r="A102" s="66" t="s">
        <v>304</v>
      </c>
      <c r="B102" s="51" t="s">
        <v>305</v>
      </c>
      <c r="C102" s="109" t="s">
        <v>871</v>
      </c>
      <c r="D102" s="53">
        <f>ROUND(設定!$B$5*POWER($D$2,W102-1),2)</f>
        <v>459.5</v>
      </c>
      <c r="E102" s="54">
        <f>MAX(1,ROUND(設定!$B$6*AE102*Y102,0))</f>
        <v>588</v>
      </c>
      <c r="F102" s="54">
        <f>MAX(0,ROUND(設定!$B$7*AE102*設定!$B$15*IF(X102="Melee",0.6,1.35)*IFERROR(VLOOKUP($AM102,個性タイプマスタ!$A$5:$P$100,14,FALSE),1),0))</f>
        <v>64</v>
      </c>
      <c r="G102" s="54">
        <f>IF(X102="Melee",AN102,MAX(1,ROUND(AN102*設定!$B$16*IFERROR(VLOOKUP($AM102,個性タイプマスタ!$A$5:$P$100,15,FALSE),1),0)))</f>
        <v>17</v>
      </c>
      <c r="H102" s="54">
        <f>IF(X102="Ranged",AN102,MAX(1,ROUND(AN102*設定!$B$16*IFERROR(VLOOKUP($AM102,個性タイプマスタ!$A$5:$P$100,15,FALSE),1),0)))</f>
        <v>44</v>
      </c>
      <c r="I102" s="54">
        <f>MAX(0,ROUND(設定!$B$8*AE102*Z102,0))</f>
        <v>45</v>
      </c>
      <c r="J102" s="54">
        <f>MAX(0,ROUND(設定!$B$9*AE102*AA102,0))</f>
        <v>41</v>
      </c>
      <c r="K102" s="55">
        <f>IFERROR(VLOOKUP($AM102,個性タイプマスタ!$A$5:$P$100,9,FALSE),0.05)</f>
        <v>7.0000000000000007E-2</v>
      </c>
      <c r="L102" s="56">
        <f>IFERROR(VLOOKUP($AM102,個性タイプマスタ!$A$5:$P$100,10,FALSE),1.5)</f>
        <v>1.5</v>
      </c>
      <c r="M102" s="56">
        <f>IFERROR(VLOOKUP($AM102,個性タイプマスタ!$A$5:$P$100,11,FALSE),2)</f>
        <v>2.8</v>
      </c>
      <c r="N102" s="57">
        <f>MAX(0.1,ROUND(設定!$B$10*AB102,3))</f>
        <v>1.45</v>
      </c>
      <c r="O102" s="57">
        <f t="shared" si="4"/>
        <v>1.55</v>
      </c>
      <c r="P102" s="58">
        <f>MAX(-10,MIN(0.8,IFERROR(INDEX(属性耐性マスタ!$B$5:$G$11,MATCH($C102,属性耐性マスタ!$A$5:$A$11,0),1),0)+IFERROR(VLOOKUP($AM102,個性タイプマスタ!$A$5:$P$100,12,FALSE),0)))</f>
        <v>0.03</v>
      </c>
      <c r="Q102" s="58">
        <f>MAX(-10,MIN(0.8,IFERROR(INDEX(属性耐性マスタ!$B$5:$G$11,MATCH($C102,属性耐性マスタ!$A$5:$A$11,0),2),0)+IFERROR(VLOOKUP($AM102,個性タイプマスタ!$A$5:$P$100,12,FALSE),0)))</f>
        <v>0.03</v>
      </c>
      <c r="R102" s="58">
        <f>MAX(-10,MIN(0.8,IFERROR(INDEX(属性耐性マスタ!$B$5:$G$11,MATCH($C102,属性耐性マスタ!$A$5:$A$11,0),3),0)+IFERROR(VLOOKUP($AM102,個性タイプマスタ!$A$5:$P$100,12,FALSE),0)))</f>
        <v>-7.0000000000000007E-2</v>
      </c>
      <c r="S102" s="58">
        <f>MAX(-10,MIN(0.8,IFERROR(INDEX(属性耐性マスタ!$B$5:$G$11,MATCH($C102,属性耐性マスタ!$A$5:$A$11,0),4),0)+IFERROR(VLOOKUP($AM102,個性タイプマスタ!$A$5:$P$100,12,FALSE),0)))</f>
        <v>0.23</v>
      </c>
      <c r="T102" s="58">
        <f>MAX(-10,MIN(0.8,IFERROR(INDEX(属性耐性マスタ!$B$5:$G$11,MATCH($C102,属性耐性マスタ!$A$5:$A$11,0),5),0)+IFERROR(VLOOKUP($AM102,個性タイプマスタ!$A$5:$P$100,12,FALSE),0)))</f>
        <v>0.03</v>
      </c>
      <c r="U102" s="58">
        <f>MAX(-10,MIN(0.8,IFERROR(INDEX(属性耐性マスタ!$B$5:$G$11,MATCH($C102,属性耐性マスタ!$A$5:$A$11,0),6),0)+IFERROR(VLOOKUP($AM102,個性タイプマスタ!$A$5:$P$100,12,FALSE),0)))</f>
        <v>0.03</v>
      </c>
      <c r="V102" s="59">
        <f>ROUND(設定!$B$19*IFERROR(VLOOKUP($AM102,個性タイプマスタ!$A$5:$P$100,13,FALSE),1),2)</f>
        <v>3.6</v>
      </c>
      <c r="W102" s="59">
        <v>17</v>
      </c>
      <c r="X102" s="59" t="str">
        <f>IFERROR(VLOOKUP($AM102,個性タイプマスタ!$A$5:$P$100,2,FALSE),"Ranged")</f>
        <v>Ranged</v>
      </c>
      <c r="Y102" s="56">
        <f>IFERROR(VLOOKUP($AM102,個性タイプマスタ!$A$5:$P$100,3,FALSE),1)</f>
        <v>1.28</v>
      </c>
      <c r="Z102" s="56">
        <f>IFERROR(VLOOKUP($AM102,個性タイプマスタ!$A$5:$P$100,4,FALSE),1)</f>
        <v>1.23</v>
      </c>
      <c r="AA102" s="56">
        <f>IFERROR(VLOOKUP($AM102,個性タイプマスタ!$A$5:$P$100,5,FALSE),1)</f>
        <v>1.1200000000000001</v>
      </c>
      <c r="AB102" s="56">
        <f>IFERROR(VLOOKUP($AM102,個性タイプマスタ!$A$5:$P$100,6,FALSE),1)</f>
        <v>1.45</v>
      </c>
      <c r="AC102" s="56">
        <f>IFERROR(VLOOKUP($AM102,個性タイプマスタ!$A$5:$P$100,7,FALSE),1)</f>
        <v>0.62</v>
      </c>
      <c r="AD102" s="56">
        <f>IFERROR(VLOOKUP($AM102,個性タイプマスタ!$A$5:$P$100,8,FALSE),1)</f>
        <v>0.8</v>
      </c>
      <c r="AE102" s="60">
        <f>IFERROR(D102/設定!$B$5,1)</f>
        <v>4.5949999999999998</v>
      </c>
      <c r="AF102" s="60">
        <f>1+設定!$B$13*((I102/設定!$B$8+J102/設定!$B$9)/(2*AE102))</f>
        <v>1.3509249183895538</v>
      </c>
      <c r="AG102" s="60">
        <f>MAX(0.7,1+設定!$B$14*(O102/IF(X102="Melee",1.5,2.5)-1))</f>
        <v>0.95440000000000003</v>
      </c>
      <c r="AH102" s="53">
        <f t="shared" si="5"/>
        <v>63.021895199999989</v>
      </c>
      <c r="AI102" s="53">
        <f>E102*AF102*(1+設定!$B$18*AVERAGE(P102:U102))</f>
        <v>811.02507290533174</v>
      </c>
      <c r="AJ102" s="61">
        <f>設定!$B$5*SQRT((AH102/(設定!$B$7*設定!$B$10*(1+設定!$B$11*(設定!$B$12-1))))*(AI102/(設定!$B$6*(1+設定!$B$13))))</f>
        <v>461.62891995886667</v>
      </c>
      <c r="AK102" s="62">
        <f t="shared" si="6"/>
        <v>4.6331228702212179E-3</v>
      </c>
      <c r="AL102" s="63">
        <f t="shared" si="7"/>
        <v>367.6</v>
      </c>
      <c r="AM102" s="64" t="s">
        <v>920</v>
      </c>
      <c r="AN102" s="54">
        <f>MAX(1,ROUND((設定!$B$7*設定!$B$10*(1+設定!$B$11*(設定!$B$12-1)))*AE102^2*(設定!$B$6*(1+設定!$B$13))/(AI102*N102*(1+K102*(L102-1))*AG102),0))</f>
        <v>44</v>
      </c>
      <c r="AO102" s="65" t="str">
        <f>IF($A102="","",IF(COUNTIF(個性タイプマスタ!$A$5:$A$100,$AM102)&gt;0,"OK","未登録"))</f>
        <v>OK</v>
      </c>
      <c r="AP102" s="67" t="str">
        <f>IF($A102="","",IF(COUNTIF(属性耐性マスタ!$A$5:$A$11,$C102)&gt;0,"OK","未登録"))</f>
        <v>OK</v>
      </c>
    </row>
    <row r="103" spans="1:42">
      <c r="A103" s="66" t="s">
        <v>306</v>
      </c>
      <c r="B103" s="51" t="s">
        <v>307</v>
      </c>
      <c r="C103" s="109" t="s">
        <v>111</v>
      </c>
      <c r="D103" s="53">
        <f>ROUND(設定!$B$5*POWER($D$2,W103-1),2)</f>
        <v>459.5</v>
      </c>
      <c r="E103" s="54">
        <f>MAX(1,ROUND(設定!$B$6*AE103*Y103,0))</f>
        <v>409</v>
      </c>
      <c r="F103" s="54">
        <f>MAX(0,ROUND(設定!$B$7*AE103*設定!$B$15*IF(X103="Melee",0.6,1.35)*IFERROR(VLOOKUP($AM103,個性タイプマスタ!$A$5:$P$100,14,FALSE),1),0))</f>
        <v>64</v>
      </c>
      <c r="G103" s="54">
        <f>IF(X103="Melee",AN103,MAX(1,ROUND(AN103*設定!$B$16*IFERROR(VLOOKUP($AM103,個性タイプマスタ!$A$5:$P$100,15,FALSE),1),0)))</f>
        <v>21</v>
      </c>
      <c r="H103" s="54">
        <f>IF(X103="Ranged",AN103,MAX(1,ROUND(AN103*設定!$B$16*IFERROR(VLOOKUP($AM103,個性タイプマスタ!$A$5:$P$100,15,FALSE),1),0)))</f>
        <v>79</v>
      </c>
      <c r="I103" s="54">
        <f>MAX(0,ROUND(設定!$B$8*AE103*Z103,0))</f>
        <v>34</v>
      </c>
      <c r="J103" s="54">
        <f>MAX(0,ROUND(設定!$B$9*AE103*AA103,0))</f>
        <v>33</v>
      </c>
      <c r="K103" s="55">
        <f>IFERROR(VLOOKUP($AM103,個性タイプマスタ!$A$5:$P$100,9,FALSE),0.05)</f>
        <v>7.4999999999999997E-2</v>
      </c>
      <c r="L103" s="56">
        <f>IFERROR(VLOOKUP($AM103,個性タイプマスタ!$A$5:$P$100,10,FALSE),1.5)</f>
        <v>1.5</v>
      </c>
      <c r="M103" s="56">
        <f>IFERROR(VLOOKUP($AM103,個性タイプマスタ!$A$5:$P$100,11,FALSE),2)</f>
        <v>3.1</v>
      </c>
      <c r="N103" s="57">
        <f>MAX(0.1,ROUND(設定!$B$10*AB103,3))</f>
        <v>1.1499999999999999</v>
      </c>
      <c r="O103" s="57">
        <f t="shared" si="4"/>
        <v>3.0750000000000002</v>
      </c>
      <c r="P103" s="58">
        <f>MAX(-10,MIN(0.8,IFERROR(INDEX(属性耐性マスタ!$B$5:$G$11,MATCH($C103,属性耐性マスタ!$A$5:$A$11,0),1),0)+IFERROR(VLOOKUP($AM103,個性タイプマスタ!$A$5:$P$100,12,FALSE),0)))</f>
        <v>0.19</v>
      </c>
      <c r="Q103" s="58">
        <f>MAX(-10,MIN(0.8,IFERROR(INDEX(属性耐性マスタ!$B$5:$G$11,MATCH($C103,属性耐性マスタ!$A$5:$A$11,0),2),0)+IFERROR(VLOOKUP($AM103,個性タイプマスタ!$A$5:$P$100,12,FALSE),0)))</f>
        <v>-0.11</v>
      </c>
      <c r="R103" s="58">
        <f>MAX(-10,MIN(0.8,IFERROR(INDEX(属性耐性マスタ!$B$5:$G$11,MATCH($C103,属性耐性マスタ!$A$5:$A$11,0),3),0)+IFERROR(VLOOKUP($AM103,個性タイプマスタ!$A$5:$P$100,12,FALSE),0)))</f>
        <v>-0.01</v>
      </c>
      <c r="S103" s="58">
        <f>MAX(-10,MIN(0.8,IFERROR(INDEX(属性耐性マスタ!$B$5:$G$11,MATCH($C103,属性耐性マスタ!$A$5:$A$11,0),4),0)+IFERROR(VLOOKUP($AM103,個性タイプマスタ!$A$5:$P$100,12,FALSE),0)))</f>
        <v>-0.01</v>
      </c>
      <c r="T103" s="58">
        <f>MAX(-10,MIN(0.8,IFERROR(INDEX(属性耐性マスタ!$B$5:$G$11,MATCH($C103,属性耐性マスタ!$A$5:$A$11,0),5),0)+IFERROR(VLOOKUP($AM103,個性タイプマスタ!$A$5:$P$100,12,FALSE),0)))</f>
        <v>-0.01</v>
      </c>
      <c r="U103" s="58">
        <f>MAX(-10,MIN(0.8,IFERROR(INDEX(属性耐性マスタ!$B$5:$G$11,MATCH($C103,属性耐性マスタ!$A$5:$A$11,0),6),0)+IFERROR(VLOOKUP($AM103,個性タイプマスタ!$A$5:$P$100,12,FALSE),0)))</f>
        <v>-0.01</v>
      </c>
      <c r="V103" s="59">
        <f>ROUND(設定!$B$19*IFERROR(VLOOKUP($AM103,個性タイプマスタ!$A$5:$P$100,13,FALSE),1),2)</f>
        <v>8.6</v>
      </c>
      <c r="W103" s="59">
        <v>17</v>
      </c>
      <c r="X103" s="59" t="str">
        <f>IFERROR(VLOOKUP($AM103,個性タイプマスタ!$A$5:$P$100,2,FALSE),"Ranged")</f>
        <v>Ranged</v>
      </c>
      <c r="Y103" s="56">
        <f>IFERROR(VLOOKUP($AM103,個性タイプマスタ!$A$5:$P$100,3,FALSE),1)</f>
        <v>0.89</v>
      </c>
      <c r="Z103" s="56">
        <f>IFERROR(VLOOKUP($AM103,個性タイプマスタ!$A$5:$P$100,4,FALSE),1)</f>
        <v>0.92</v>
      </c>
      <c r="AA103" s="56">
        <f>IFERROR(VLOOKUP($AM103,個性タイプマスタ!$A$5:$P$100,5,FALSE),1)</f>
        <v>0.91</v>
      </c>
      <c r="AB103" s="56">
        <f>IFERROR(VLOOKUP($AM103,個性タイプマスタ!$A$5:$P$100,6,FALSE),1)</f>
        <v>1.1499999999999999</v>
      </c>
      <c r="AC103" s="56">
        <f>IFERROR(VLOOKUP($AM103,個性タイプマスタ!$A$5:$P$100,7,FALSE),1)</f>
        <v>1.23</v>
      </c>
      <c r="AD103" s="56">
        <f>IFERROR(VLOOKUP($AM103,個性タイプマスタ!$A$5:$P$100,8,FALSE),1)</f>
        <v>0.74</v>
      </c>
      <c r="AE103" s="60">
        <f>IFERROR(D103/設定!$B$5,1)</f>
        <v>4.5949999999999998</v>
      </c>
      <c r="AF103" s="60">
        <f>1+設定!$B$13*((I103/設定!$B$8+J103/設定!$B$9)/(2*AE103))</f>
        <v>1.2733949945593035</v>
      </c>
      <c r="AG103" s="60">
        <f>MAX(0.7,1+設定!$B$14*(O103/IF(X103="Melee",1.5,2.5)-1))</f>
        <v>1.0276000000000001</v>
      </c>
      <c r="AH103" s="53">
        <f t="shared" si="5"/>
        <v>96.858364750000021</v>
      </c>
      <c r="AI103" s="53">
        <f>E103*AF103*(1+設定!$B$18*AVERAGE(P103:U103))</f>
        <v>522.38100843307939</v>
      </c>
      <c r="AJ103" s="61">
        <f>設定!$B$5*SQRT((AH103/(設定!$B$7*設定!$B$10*(1+設定!$B$11*(設定!$B$12-1))))*(AI103/(設定!$B$6*(1+設定!$B$13))))</f>
        <v>459.29571599939089</v>
      </c>
      <c r="AK103" s="62">
        <f t="shared" si="6"/>
        <v>-4.4457889142346385E-4</v>
      </c>
      <c r="AL103" s="63">
        <f t="shared" si="7"/>
        <v>340.03</v>
      </c>
      <c r="AM103" s="64" t="s">
        <v>934</v>
      </c>
      <c r="AN103" s="54">
        <f>MAX(1,ROUND((設定!$B$7*設定!$B$10*(1+設定!$B$11*(設定!$B$12-1)))*AE103^2*(設定!$B$6*(1+設定!$B$13))/(AI103*N103*(1+K103*(L103-1))*AG103),0))</f>
        <v>79</v>
      </c>
      <c r="AO103" s="65" t="str">
        <f>IF($A103="","",IF(COUNTIF(個性タイプマスタ!$A$5:$A$100,$AM103)&gt;0,"OK","未登録"))</f>
        <v>OK</v>
      </c>
      <c r="AP103" s="67" t="str">
        <f>IF($A103="","",IF(COUNTIF(属性耐性マスタ!$A$5:$A$11,$C103)&gt;0,"OK","未登録"))</f>
        <v>OK</v>
      </c>
    </row>
    <row r="104" spans="1:42">
      <c r="A104" s="66" t="s">
        <v>308</v>
      </c>
      <c r="B104" s="51" t="s">
        <v>309</v>
      </c>
      <c r="C104" s="109" t="s">
        <v>108</v>
      </c>
      <c r="D104" s="53">
        <f>ROUND(設定!$B$5*POWER($D$2,W104-1),2)</f>
        <v>459.5</v>
      </c>
      <c r="E104" s="54">
        <f>MAX(1,ROUND(設定!$B$6*AE104*Y104,0))</f>
        <v>414</v>
      </c>
      <c r="F104" s="54">
        <f>MAX(0,ROUND(設定!$B$7*AE104*設定!$B$15*IF(X104="Melee",0.6,1.35)*IFERROR(VLOOKUP($AM104,個性タイプマスタ!$A$5:$P$100,14,FALSE),1),0))</f>
        <v>24</v>
      </c>
      <c r="G104" s="54">
        <f>IF(X104="Melee",AN104,MAX(1,ROUND(AN104*設定!$B$16*IFERROR(VLOOKUP($AM104,個性タイプマスタ!$A$5:$P$100,15,FALSE),1),0)))</f>
        <v>77</v>
      </c>
      <c r="H104" s="54">
        <f>IF(X104="Ranged",AN104,MAX(1,ROUND(AN104*設定!$B$16*IFERROR(VLOOKUP($AM104,個性タイプマスタ!$A$5:$P$100,15,FALSE),1),0)))</f>
        <v>35</v>
      </c>
      <c r="I104" s="54">
        <f>MAX(0,ROUND(設定!$B$8*AE104*Z104,0))</f>
        <v>33</v>
      </c>
      <c r="J104" s="54">
        <f>MAX(0,ROUND(設定!$B$9*AE104*AA104,0))</f>
        <v>33</v>
      </c>
      <c r="K104" s="55">
        <f>IFERROR(VLOOKUP($AM104,個性タイプマスタ!$A$5:$P$100,9,FALSE),0.05)</f>
        <v>0.11</v>
      </c>
      <c r="L104" s="56">
        <f>IFERROR(VLOOKUP($AM104,個性タイプマスタ!$A$5:$P$100,10,FALSE),1.5)</f>
        <v>1.75</v>
      </c>
      <c r="M104" s="56">
        <f>IFERROR(VLOOKUP($AM104,個性タイプマスタ!$A$5:$P$100,11,FALSE),2)</f>
        <v>3</v>
      </c>
      <c r="N104" s="57">
        <f>MAX(0.1,ROUND(設定!$B$10*AB104,3))</f>
        <v>1.18</v>
      </c>
      <c r="O104" s="57">
        <f t="shared" si="4"/>
        <v>1.35</v>
      </c>
      <c r="P104" s="58">
        <f>MAX(-10,MIN(0.8,IFERROR(INDEX(属性耐性マスタ!$B$5:$G$11,MATCH($C104,属性耐性マスタ!$A$5:$A$11,0),1),0)+IFERROR(VLOOKUP($AM104,個性タイプマスタ!$A$5:$P$100,12,FALSE),0)))</f>
        <v>-0.13</v>
      </c>
      <c r="Q104" s="58">
        <f>MAX(-10,MIN(0.8,IFERROR(INDEX(属性耐性マスタ!$B$5:$G$11,MATCH($C104,属性耐性マスタ!$A$5:$A$11,0),2),0)+IFERROR(VLOOKUP($AM104,個性タイプマスタ!$A$5:$P$100,12,FALSE),0)))</f>
        <v>0.17</v>
      </c>
      <c r="R104" s="58">
        <f>MAX(-10,MIN(0.8,IFERROR(INDEX(属性耐性マスタ!$B$5:$G$11,MATCH($C104,属性耐性マスタ!$A$5:$A$11,0),3),0)+IFERROR(VLOOKUP($AM104,個性タイプマスタ!$A$5:$P$100,12,FALSE),0)))</f>
        <v>-0.03</v>
      </c>
      <c r="S104" s="58">
        <f>MAX(-10,MIN(0.8,IFERROR(INDEX(属性耐性マスタ!$B$5:$G$11,MATCH($C104,属性耐性マスタ!$A$5:$A$11,0),4),0)+IFERROR(VLOOKUP($AM104,個性タイプマスタ!$A$5:$P$100,12,FALSE),0)))</f>
        <v>-0.03</v>
      </c>
      <c r="T104" s="58">
        <f>MAX(-10,MIN(0.8,IFERROR(INDEX(属性耐性マスタ!$B$5:$G$11,MATCH($C104,属性耐性マスタ!$A$5:$A$11,0),5),0)+IFERROR(VLOOKUP($AM104,個性タイプマスタ!$A$5:$P$100,12,FALSE),0)))</f>
        <v>-0.03</v>
      </c>
      <c r="U104" s="58">
        <f>MAX(-10,MIN(0.8,IFERROR(INDEX(属性耐性マスタ!$B$5:$G$11,MATCH($C104,属性耐性マスタ!$A$5:$A$11,0),6),0)+IFERROR(VLOOKUP($AM104,個性タイプマスタ!$A$5:$P$100,12,FALSE),0)))</f>
        <v>-0.03</v>
      </c>
      <c r="V104" s="59">
        <f>ROUND(設定!$B$19*IFERROR(VLOOKUP($AM104,個性タイプマスタ!$A$5:$P$100,13,FALSE),1),2)</f>
        <v>4.2</v>
      </c>
      <c r="W104" s="59">
        <v>17</v>
      </c>
      <c r="X104" s="59" t="str">
        <f>IFERROR(VLOOKUP($AM104,個性タイプマスタ!$A$5:$P$100,2,FALSE),"Ranged")</f>
        <v>Melee</v>
      </c>
      <c r="Y104" s="56">
        <f>IFERROR(VLOOKUP($AM104,個性タイプマスタ!$A$5:$P$100,3,FALSE),1)</f>
        <v>0.9</v>
      </c>
      <c r="Z104" s="56">
        <f>IFERROR(VLOOKUP($AM104,個性タイプマスタ!$A$5:$P$100,4,FALSE),1)</f>
        <v>0.9</v>
      </c>
      <c r="AA104" s="56">
        <f>IFERROR(VLOOKUP($AM104,個性タイプマスタ!$A$5:$P$100,5,FALSE),1)</f>
        <v>0.9</v>
      </c>
      <c r="AB104" s="56">
        <f>IFERROR(VLOOKUP($AM104,個性タイプマスタ!$A$5:$P$100,6,FALSE),1)</f>
        <v>1.18</v>
      </c>
      <c r="AC104" s="56">
        <f>IFERROR(VLOOKUP($AM104,個性タイプマスタ!$A$5:$P$100,7,FALSE),1)</f>
        <v>0.9</v>
      </c>
      <c r="AD104" s="56">
        <f>IFERROR(VLOOKUP($AM104,個性タイプマスタ!$A$5:$P$100,8,FALSE),1)</f>
        <v>0.72</v>
      </c>
      <c r="AE104" s="60">
        <f>IFERROR(D104/設定!$B$5,1)</f>
        <v>4.5949999999999998</v>
      </c>
      <c r="AF104" s="60">
        <f>1+設定!$B$13*((I104/設定!$B$8+J104/設定!$B$9)/(2*AE104))</f>
        <v>1.2693144722524483</v>
      </c>
      <c r="AG104" s="60">
        <f>MAX(0.7,1+設定!$B$14*(O104/IF(X104="Melee",1.5,2.5)-1))</f>
        <v>0.98799999999999999</v>
      </c>
      <c r="AH104" s="53">
        <f t="shared" si="5"/>
        <v>97.175678600000012</v>
      </c>
      <c r="AI104" s="53">
        <f>E104*AF104*(1+設定!$B$18*AVERAGE(P104:U104))</f>
        <v>522.34321436343851</v>
      </c>
      <c r="AJ104" s="61">
        <f>設定!$B$5*SQRT((AH104/(設定!$B$7*設定!$B$10*(1+設定!$B$11*(設定!$B$12-1))))*(AI104/(設定!$B$6*(1+設定!$B$13))))</f>
        <v>460.03079864390406</v>
      </c>
      <c r="AK104" s="62">
        <f t="shared" si="6"/>
        <v>1.1551657103461288E-3</v>
      </c>
      <c r="AL104" s="63">
        <f t="shared" si="7"/>
        <v>330.84</v>
      </c>
      <c r="AM104" s="64" t="s">
        <v>900</v>
      </c>
      <c r="AN104" s="54">
        <f>MAX(1,ROUND((設定!$B$7*設定!$B$10*(1+設定!$B$11*(設定!$B$12-1)))*AE104^2*(設定!$B$6*(1+設定!$B$13))/(AI104*N104*(1+K104*(L104-1))*AG104),0))</f>
        <v>77</v>
      </c>
      <c r="AO104" s="65" t="str">
        <f>IF($A104="","",IF(COUNTIF(個性タイプマスタ!$A$5:$A$100,$AM104)&gt;0,"OK","未登録"))</f>
        <v>OK</v>
      </c>
      <c r="AP104" s="67" t="str">
        <f>IF($A104="","",IF(COUNTIF(属性耐性マスタ!$A$5:$A$11,$C104)&gt;0,"OK","未登録"))</f>
        <v>OK</v>
      </c>
    </row>
    <row r="105" spans="1:42">
      <c r="A105" s="66" t="s">
        <v>310</v>
      </c>
      <c r="B105" s="51" t="s">
        <v>311</v>
      </c>
      <c r="C105" s="109" t="s">
        <v>871</v>
      </c>
      <c r="D105" s="53">
        <f>ROUND(設定!$B$5*POWER($D$2,W105-1),2)</f>
        <v>459.5</v>
      </c>
      <c r="E105" s="54">
        <f>MAX(1,ROUND(設定!$B$6*AE105*Y105,0))</f>
        <v>322</v>
      </c>
      <c r="F105" s="54">
        <f>MAX(0,ROUND(設定!$B$7*AE105*設定!$B$15*IF(X105="Melee",0.6,1.35)*IFERROR(VLOOKUP($AM105,個性タイプマスタ!$A$5:$P$100,14,FALSE),1),0))</f>
        <v>25</v>
      </c>
      <c r="G105" s="54">
        <f>IF(X105="Melee",AN105,MAX(1,ROUND(AN105*設定!$B$16*IFERROR(VLOOKUP($AM105,個性タイプマスタ!$A$5:$P$100,15,FALSE),1),0)))</f>
        <v>95</v>
      </c>
      <c r="H105" s="54">
        <f>IF(X105="Ranged",AN105,MAX(1,ROUND(AN105*設定!$B$16*IFERROR(VLOOKUP($AM105,個性タイプマスタ!$A$5:$P$100,15,FALSE),1),0)))</f>
        <v>32</v>
      </c>
      <c r="I105" s="54">
        <f>MAX(0,ROUND(設定!$B$8*AE105*Z105,0))</f>
        <v>28</v>
      </c>
      <c r="J105" s="54">
        <f>MAX(0,ROUND(設定!$B$9*AE105*AA105,0))</f>
        <v>29</v>
      </c>
      <c r="K105" s="55">
        <f>IFERROR(VLOOKUP($AM105,個性タイプマスタ!$A$5:$P$100,9,FALSE),0.05)</f>
        <v>0.11</v>
      </c>
      <c r="L105" s="56">
        <f>IFERROR(VLOOKUP($AM105,個性タイプマスタ!$A$5:$P$100,10,FALSE),1.5)</f>
        <v>1.58</v>
      </c>
      <c r="M105" s="56">
        <f>IFERROR(VLOOKUP($AM105,個性タイプマスタ!$A$5:$P$100,11,FALSE),2)</f>
        <v>4.45</v>
      </c>
      <c r="N105" s="57">
        <f>MAX(0.1,ROUND(設定!$B$10*AB105,3))</f>
        <v>1.3</v>
      </c>
      <c r="O105" s="57">
        <f t="shared" si="4"/>
        <v>1.32</v>
      </c>
      <c r="P105" s="58">
        <f>MAX(-10,MIN(0.8,IFERROR(INDEX(属性耐性マスタ!$B$5:$G$11,MATCH($C105,属性耐性マスタ!$A$5:$A$11,0),1),0)+IFERROR(VLOOKUP($AM105,個性タイプマスタ!$A$5:$P$100,12,FALSE),0)))</f>
        <v>-0.06</v>
      </c>
      <c r="Q105" s="58">
        <f>MAX(-10,MIN(0.8,IFERROR(INDEX(属性耐性マスタ!$B$5:$G$11,MATCH($C105,属性耐性マスタ!$A$5:$A$11,0),2),0)+IFERROR(VLOOKUP($AM105,個性タイプマスタ!$A$5:$P$100,12,FALSE),0)))</f>
        <v>-0.06</v>
      </c>
      <c r="R105" s="58">
        <f>MAX(-10,MIN(0.8,IFERROR(INDEX(属性耐性マスタ!$B$5:$G$11,MATCH($C105,属性耐性マスタ!$A$5:$A$11,0),3),0)+IFERROR(VLOOKUP($AM105,個性タイプマスタ!$A$5:$P$100,12,FALSE),0)))</f>
        <v>-0.16</v>
      </c>
      <c r="S105" s="58">
        <f>MAX(-10,MIN(0.8,IFERROR(INDEX(属性耐性マスタ!$B$5:$G$11,MATCH($C105,属性耐性マスタ!$A$5:$A$11,0),4),0)+IFERROR(VLOOKUP($AM105,個性タイプマスタ!$A$5:$P$100,12,FALSE),0)))</f>
        <v>0.14000000000000001</v>
      </c>
      <c r="T105" s="58">
        <f>MAX(-10,MIN(0.8,IFERROR(INDEX(属性耐性マスタ!$B$5:$G$11,MATCH($C105,属性耐性マスタ!$A$5:$A$11,0),5),0)+IFERROR(VLOOKUP($AM105,個性タイプマスタ!$A$5:$P$100,12,FALSE),0)))</f>
        <v>-0.06</v>
      </c>
      <c r="U105" s="58">
        <f>MAX(-10,MIN(0.8,IFERROR(INDEX(属性耐性マスタ!$B$5:$G$11,MATCH($C105,属性耐性マスタ!$A$5:$A$11,0),6),0)+IFERROR(VLOOKUP($AM105,個性タイプマスタ!$A$5:$P$100,12,FALSE),0)))</f>
        <v>-0.06</v>
      </c>
      <c r="V105" s="59">
        <f>ROUND(設定!$B$19*IFERROR(VLOOKUP($AM105,個性タイプマスタ!$A$5:$P$100,13,FALSE),1),2)</f>
        <v>5.6</v>
      </c>
      <c r="W105" s="59">
        <v>17</v>
      </c>
      <c r="X105" s="59" t="str">
        <f>IFERROR(VLOOKUP($AM105,個性タイプマスタ!$A$5:$P$100,2,FALSE),"Ranged")</f>
        <v>Melee</v>
      </c>
      <c r="Y105" s="56">
        <f>IFERROR(VLOOKUP($AM105,個性タイプマスタ!$A$5:$P$100,3,FALSE),1)</f>
        <v>0.7</v>
      </c>
      <c r="Z105" s="56">
        <f>IFERROR(VLOOKUP($AM105,個性タイプマスタ!$A$5:$P$100,4,FALSE),1)</f>
        <v>0.76</v>
      </c>
      <c r="AA105" s="56">
        <f>IFERROR(VLOOKUP($AM105,個性タイプマスタ!$A$5:$P$100,5,FALSE),1)</f>
        <v>0.78</v>
      </c>
      <c r="AB105" s="56">
        <f>IFERROR(VLOOKUP($AM105,個性タイプマスタ!$A$5:$P$100,6,FALSE),1)</f>
        <v>1.3</v>
      </c>
      <c r="AC105" s="56">
        <f>IFERROR(VLOOKUP($AM105,個性タイプマスタ!$A$5:$P$100,7,FALSE),1)</f>
        <v>0.88</v>
      </c>
      <c r="AD105" s="56">
        <f>IFERROR(VLOOKUP($AM105,個性タイプマスタ!$A$5:$P$100,8,FALSE),1)</f>
        <v>0.62</v>
      </c>
      <c r="AE105" s="60">
        <f>IFERROR(D105/設定!$B$5,1)</f>
        <v>4.5949999999999998</v>
      </c>
      <c r="AF105" s="60">
        <f>1+設定!$B$13*((I105/設定!$B$8+J105/設定!$B$9)/(2*AE105))</f>
        <v>1.2325897714907508</v>
      </c>
      <c r="AG105" s="60">
        <f>MAX(0.7,1+設定!$B$14*(O105/IF(X105="Melee",1.5,2.5)-1))</f>
        <v>0.98560000000000003</v>
      </c>
      <c r="AH105" s="53">
        <f t="shared" si="5"/>
        <v>129.48743808</v>
      </c>
      <c r="AI105" s="53">
        <f>E105*AF105*(1+設定!$B$18*AVERAGE(P105:U105))</f>
        <v>389.1544752448313</v>
      </c>
      <c r="AJ105" s="61">
        <f>設定!$B$5*SQRT((AH105/(設定!$B$7*設定!$B$10*(1+設定!$B$11*(設定!$B$12-1))))*(AI105/(設定!$B$6*(1+設定!$B$13))))</f>
        <v>458.35816530296017</v>
      </c>
      <c r="AK105" s="62">
        <f t="shared" si="6"/>
        <v>-2.4849503744065471E-3</v>
      </c>
      <c r="AL105" s="63">
        <f t="shared" si="7"/>
        <v>284.89</v>
      </c>
      <c r="AM105" s="64" t="s">
        <v>950</v>
      </c>
      <c r="AN105" s="54">
        <f>MAX(1,ROUND((設定!$B$7*設定!$B$10*(1+設定!$B$11*(設定!$B$12-1)))*AE105^2*(設定!$B$6*(1+設定!$B$13))/(AI105*N105*(1+K105*(L105-1))*AG105),0))</f>
        <v>95</v>
      </c>
      <c r="AO105" s="65" t="str">
        <f>IF($A105="","",IF(COUNTIF(個性タイプマスタ!$A$5:$A$100,$AM105)&gt;0,"OK","未登録"))</f>
        <v>OK</v>
      </c>
      <c r="AP105" s="67" t="str">
        <f>IF($A105="","",IF(COUNTIF(属性耐性マスタ!$A$5:$A$11,$C105)&gt;0,"OK","未登録"))</f>
        <v>OK</v>
      </c>
    </row>
    <row r="106" spans="1:42">
      <c r="A106" s="66" t="s">
        <v>312</v>
      </c>
      <c r="B106" s="51" t="s">
        <v>313</v>
      </c>
      <c r="C106" s="109" t="s">
        <v>121</v>
      </c>
      <c r="D106" s="53">
        <f>ROUND(設定!$B$5*POWER($D$2,W106-1),2)</f>
        <v>459.5</v>
      </c>
      <c r="E106" s="54">
        <f>MAX(1,ROUND(設定!$B$6*AE106*Y106,0))</f>
        <v>487</v>
      </c>
      <c r="F106" s="54">
        <f>MAX(0,ROUND(設定!$B$7*AE106*設定!$B$15*IF(X106="Melee",0.6,1.35)*IFERROR(VLOOKUP($AM106,個性タイプマスタ!$A$5:$P$100,14,FALSE),1),0))</f>
        <v>117</v>
      </c>
      <c r="G106" s="54">
        <f>IF(X106="Melee",AN106,MAX(1,ROUND(AN106*設定!$B$16*IFERROR(VLOOKUP($AM106,個性タイプマスタ!$A$5:$P$100,15,FALSE),1),0)))</f>
        <v>24</v>
      </c>
      <c r="H106" s="54">
        <f>IF(X106="Ranged",AN106,MAX(1,ROUND(AN106*設定!$B$16*IFERROR(VLOOKUP($AM106,個性タイプマスタ!$A$5:$P$100,15,FALSE),1),0)))</f>
        <v>81</v>
      </c>
      <c r="I106" s="54">
        <f>MAX(0,ROUND(設定!$B$8*AE106*Z106,0))</f>
        <v>28</v>
      </c>
      <c r="J106" s="54">
        <f>MAX(0,ROUND(設定!$B$9*AE106*AA106,0))</f>
        <v>75</v>
      </c>
      <c r="K106" s="55">
        <f>IFERROR(VLOOKUP($AM106,個性タイプマスタ!$A$5:$P$100,9,FALSE),0.05)</f>
        <v>4.4999999999999998E-2</v>
      </c>
      <c r="L106" s="56">
        <f>IFERROR(VLOOKUP($AM106,個性タイプマスタ!$A$5:$P$100,10,FALSE),1.5)</f>
        <v>1.45</v>
      </c>
      <c r="M106" s="56">
        <f>IFERROR(VLOOKUP($AM106,個性タイプマスタ!$A$5:$P$100,11,FALSE),2)</f>
        <v>1.9</v>
      </c>
      <c r="N106" s="57">
        <f>MAX(0.1,ROUND(設定!$B$10*AB106,3))</f>
        <v>0.84</v>
      </c>
      <c r="O106" s="57">
        <f t="shared" si="4"/>
        <v>2.65</v>
      </c>
      <c r="P106" s="58">
        <f>MAX(-10,MIN(0.8,IFERROR(INDEX(属性耐性マスタ!$B$5:$G$11,MATCH($C106,属性耐性マスタ!$A$5:$A$11,0),1),0)+IFERROR(VLOOKUP($AM106,個性タイプマスタ!$A$5:$P$100,12,FALSE),0)))</f>
        <v>0.09</v>
      </c>
      <c r="Q106" s="58">
        <f>MAX(-10,MIN(0.8,IFERROR(INDEX(属性耐性マスタ!$B$5:$G$11,MATCH($C106,属性耐性マスタ!$A$5:$A$11,0),2),0)+IFERROR(VLOOKUP($AM106,個性タイプマスタ!$A$5:$P$100,12,FALSE),0)))</f>
        <v>0.09</v>
      </c>
      <c r="R106" s="58">
        <f>MAX(-10,MIN(0.8,IFERROR(INDEX(属性耐性マスタ!$B$5:$G$11,MATCH($C106,属性耐性マスタ!$A$5:$A$11,0),3),0)+IFERROR(VLOOKUP($AM106,個性タイプマスタ!$A$5:$P$100,12,FALSE),0)))</f>
        <v>0.09</v>
      </c>
      <c r="S106" s="58">
        <f>MAX(-10,MIN(0.8,IFERROR(INDEX(属性耐性マスタ!$B$5:$G$11,MATCH($C106,属性耐性マスタ!$A$5:$A$11,0),4),0)+IFERROR(VLOOKUP($AM106,個性タイプマスタ!$A$5:$P$100,12,FALSE),0)))</f>
        <v>0.09</v>
      </c>
      <c r="T106" s="58">
        <f>MAX(-10,MIN(0.8,IFERROR(INDEX(属性耐性マスタ!$B$5:$G$11,MATCH($C106,属性耐性マスタ!$A$5:$A$11,0),5),0)+IFERROR(VLOOKUP($AM106,個性タイプマスタ!$A$5:$P$100,12,FALSE),0)))</f>
        <v>0.29000000000000004</v>
      </c>
      <c r="U106" s="58">
        <f>MAX(-10,MIN(0.8,IFERROR(INDEX(属性耐性マスタ!$B$5:$G$11,MATCH($C106,属性耐性マスタ!$A$5:$A$11,0),6),0)+IFERROR(VLOOKUP($AM106,個性タイプマスタ!$A$5:$P$100,12,FALSE),0)))</f>
        <v>-1.0000000000000009E-2</v>
      </c>
      <c r="V106" s="59">
        <f>ROUND(設定!$B$19*IFERROR(VLOOKUP($AM106,個性タイプマスタ!$A$5:$P$100,13,FALSE),1),2)</f>
        <v>4.4000000000000004</v>
      </c>
      <c r="W106" s="59">
        <v>17</v>
      </c>
      <c r="X106" s="59" t="str">
        <f>IFERROR(VLOOKUP($AM106,個性タイプマスタ!$A$5:$P$100,2,FALSE),"Ranged")</f>
        <v>Ranged</v>
      </c>
      <c r="Y106" s="56">
        <f>IFERROR(VLOOKUP($AM106,個性タイプマスタ!$A$5:$P$100,3,FALSE),1)</f>
        <v>1.06</v>
      </c>
      <c r="Z106" s="56">
        <f>IFERROR(VLOOKUP($AM106,個性タイプマスタ!$A$5:$P$100,4,FALSE),1)</f>
        <v>0.77</v>
      </c>
      <c r="AA106" s="56">
        <f>IFERROR(VLOOKUP($AM106,個性タイプマスタ!$A$5:$P$100,5,FALSE),1)</f>
        <v>2.0499999999999998</v>
      </c>
      <c r="AB106" s="56">
        <f>IFERROR(VLOOKUP($AM106,個性タイプマスタ!$A$5:$P$100,6,FALSE),1)</f>
        <v>0.84</v>
      </c>
      <c r="AC106" s="56">
        <f>IFERROR(VLOOKUP($AM106,個性タイプマスタ!$A$5:$P$100,7,FALSE),1)</f>
        <v>1.06</v>
      </c>
      <c r="AD106" s="56">
        <f>IFERROR(VLOOKUP($AM106,個性タイプマスタ!$A$5:$P$100,8,FALSE),1)</f>
        <v>0.82</v>
      </c>
      <c r="AE106" s="60">
        <f>IFERROR(D106/設定!$B$5,1)</f>
        <v>4.5949999999999998</v>
      </c>
      <c r="AF106" s="60">
        <f>1+設定!$B$13*((I106/設定!$B$8+J106/設定!$B$9)/(2*AE106))</f>
        <v>1.4202937976060936</v>
      </c>
      <c r="AG106" s="60">
        <f>MAX(0.7,1+設定!$B$14*(O106/IF(X106="Melee",1.5,2.5)-1))</f>
        <v>1.0072000000000001</v>
      </c>
      <c r="AH106" s="53">
        <f t="shared" si="5"/>
        <v>69.917618232000009</v>
      </c>
      <c r="AI106" s="53">
        <f>E106*AF106*(1+設定!$B$18*AVERAGE(P106:U106))</f>
        <v>724.88386724700763</v>
      </c>
      <c r="AJ106" s="61">
        <f>設定!$B$5*SQRT((AH106/(設定!$B$7*設定!$B$10*(1+設定!$B$11*(設定!$B$12-1))))*(AI106/(設定!$B$6*(1+設定!$B$13))))</f>
        <v>459.68218028303045</v>
      </c>
      <c r="AK106" s="62">
        <f t="shared" si="6"/>
        <v>3.9647504467987815E-4</v>
      </c>
      <c r="AL106" s="63">
        <f t="shared" si="7"/>
        <v>376.78999999999996</v>
      </c>
      <c r="AM106" s="64" t="s">
        <v>926</v>
      </c>
      <c r="AN106" s="54">
        <f>MAX(1,ROUND((設定!$B$7*設定!$B$10*(1+設定!$B$11*(設定!$B$12-1)))*AE106^2*(設定!$B$6*(1+設定!$B$13))/(AI106*N106*(1+K106*(L106-1))*AG106),0))</f>
        <v>81</v>
      </c>
      <c r="AO106" s="65" t="str">
        <f>IF($A106="","",IF(COUNTIF(個性タイプマスタ!$A$5:$A$100,$AM106)&gt;0,"OK","未登録"))</f>
        <v>OK</v>
      </c>
      <c r="AP106" s="67" t="str">
        <f>IF($A106="","",IF(COUNTIF(属性耐性マスタ!$A$5:$A$11,$C106)&gt;0,"OK","未登録"))</f>
        <v>OK</v>
      </c>
    </row>
    <row r="107" spans="1:42">
      <c r="A107" s="66" t="s">
        <v>314</v>
      </c>
      <c r="B107" s="51" t="s">
        <v>315</v>
      </c>
      <c r="C107" s="109" t="s">
        <v>108</v>
      </c>
      <c r="D107" s="53">
        <f>ROUND(設定!$B$5*POWER($D$2,W107-1),2)</f>
        <v>505.45</v>
      </c>
      <c r="E107" s="54">
        <f>MAX(1,ROUND(設定!$B$6*AE107*Y107,0))</f>
        <v>485</v>
      </c>
      <c r="F107" s="54">
        <f>MAX(0,ROUND(設定!$B$7*AE107*設定!$B$15*IF(X107="Melee",0.6,1.35)*IFERROR(VLOOKUP($AM107,個性タイプマスタ!$A$5:$P$100,14,FALSE),1),0))</f>
        <v>81</v>
      </c>
      <c r="G107" s="54">
        <f>IF(X107="Melee",AN107,MAX(1,ROUND(AN107*設定!$B$16*IFERROR(VLOOKUP($AM107,個性タイプマスタ!$A$5:$P$100,15,FALSE),1),0)))</f>
        <v>27</v>
      </c>
      <c r="H107" s="54">
        <f>IF(X107="Ranged",AN107,MAX(1,ROUND(AN107*設定!$B$16*IFERROR(VLOOKUP($AM107,個性タイプマスタ!$A$5:$P$100,15,FALSE),1),0)))</f>
        <v>96</v>
      </c>
      <c r="I107" s="54">
        <f>MAX(0,ROUND(設定!$B$8*AE107*Z107,0))</f>
        <v>33</v>
      </c>
      <c r="J107" s="54">
        <f>MAX(0,ROUND(設定!$B$9*AE107*AA107,0))</f>
        <v>37</v>
      </c>
      <c r="K107" s="55">
        <f>IFERROR(VLOOKUP($AM107,個性タイプマスタ!$A$5:$P$100,9,FALSE),0.05)</f>
        <v>0.06</v>
      </c>
      <c r="L107" s="56">
        <f>IFERROR(VLOOKUP($AM107,個性タイプマスタ!$A$5:$P$100,10,FALSE),1.5)</f>
        <v>1.6</v>
      </c>
      <c r="M107" s="56">
        <f>IFERROR(VLOOKUP($AM107,個性タイプマスタ!$A$5:$P$100,11,FALSE),2)</f>
        <v>2.25</v>
      </c>
      <c r="N107" s="57">
        <f>MAX(0.1,ROUND(設定!$B$10*AB107,3))</f>
        <v>0.91</v>
      </c>
      <c r="O107" s="57">
        <f t="shared" si="4"/>
        <v>4.75</v>
      </c>
      <c r="P107" s="58">
        <f>MAX(-10,MIN(0.8,IFERROR(INDEX(属性耐性マスタ!$B$5:$G$11,MATCH($C107,属性耐性マスタ!$A$5:$A$11,0),1),0)+IFERROR(VLOOKUP($AM107,個性タイプマスタ!$A$5:$P$100,12,FALSE),0)))</f>
        <v>-0.12000000000000001</v>
      </c>
      <c r="Q107" s="58">
        <f>MAX(-10,MIN(0.8,IFERROR(INDEX(属性耐性マスタ!$B$5:$G$11,MATCH($C107,属性耐性マスタ!$A$5:$A$11,0),2),0)+IFERROR(VLOOKUP($AM107,個性タイプマスタ!$A$5:$P$100,12,FALSE),0)))</f>
        <v>0.18000000000000002</v>
      </c>
      <c r="R107" s="58">
        <f>MAX(-10,MIN(0.8,IFERROR(INDEX(属性耐性マスタ!$B$5:$G$11,MATCH($C107,属性耐性マスタ!$A$5:$A$11,0),3),0)+IFERROR(VLOOKUP($AM107,個性タイプマスタ!$A$5:$P$100,12,FALSE),0)))</f>
        <v>-0.02</v>
      </c>
      <c r="S107" s="58">
        <f>MAX(-10,MIN(0.8,IFERROR(INDEX(属性耐性マスタ!$B$5:$G$11,MATCH($C107,属性耐性マスタ!$A$5:$A$11,0),4),0)+IFERROR(VLOOKUP($AM107,個性タイプマスタ!$A$5:$P$100,12,FALSE),0)))</f>
        <v>-0.02</v>
      </c>
      <c r="T107" s="58">
        <f>MAX(-10,MIN(0.8,IFERROR(INDEX(属性耐性マスタ!$B$5:$G$11,MATCH($C107,属性耐性マスタ!$A$5:$A$11,0),5),0)+IFERROR(VLOOKUP($AM107,個性タイプマスタ!$A$5:$P$100,12,FALSE),0)))</f>
        <v>-0.02</v>
      </c>
      <c r="U107" s="58">
        <f>MAX(-10,MIN(0.8,IFERROR(INDEX(属性耐性マスタ!$B$5:$G$11,MATCH($C107,属性耐性マスタ!$A$5:$A$11,0),6),0)+IFERROR(VLOOKUP($AM107,個性タイプマスタ!$A$5:$P$100,12,FALSE),0)))</f>
        <v>-0.02</v>
      </c>
      <c r="V107" s="59">
        <f>ROUND(設定!$B$19*IFERROR(VLOOKUP($AM107,個性タイプマスタ!$A$5:$P$100,13,FALSE),1),2)</f>
        <v>6.6</v>
      </c>
      <c r="W107" s="59">
        <v>18</v>
      </c>
      <c r="X107" s="59" t="str">
        <f>IFERROR(VLOOKUP($AM107,個性タイプマスタ!$A$5:$P$100,2,FALSE),"Ranged")</f>
        <v>Ranged</v>
      </c>
      <c r="Y107" s="56">
        <f>IFERROR(VLOOKUP($AM107,個性タイプマスタ!$A$5:$P$100,3,FALSE),1)</f>
        <v>0.96</v>
      </c>
      <c r="Z107" s="56">
        <f>IFERROR(VLOOKUP($AM107,個性タイプマスタ!$A$5:$P$100,4,FALSE),1)</f>
        <v>0.82</v>
      </c>
      <c r="AA107" s="56">
        <f>IFERROR(VLOOKUP($AM107,個性タイプマスタ!$A$5:$P$100,5,FALSE),1)</f>
        <v>0.91</v>
      </c>
      <c r="AB107" s="56">
        <f>IFERROR(VLOOKUP($AM107,個性タイプマスタ!$A$5:$P$100,6,FALSE),1)</f>
        <v>0.91</v>
      </c>
      <c r="AC107" s="56">
        <f>IFERROR(VLOOKUP($AM107,個性タイプマスタ!$A$5:$P$100,7,FALSE),1)</f>
        <v>1.9</v>
      </c>
      <c r="AD107" s="56">
        <f>IFERROR(VLOOKUP($AM107,個性タイプマスタ!$A$5:$P$100,8,FALSE),1)</f>
        <v>0.75</v>
      </c>
      <c r="AE107" s="60">
        <f>IFERROR(D107/設定!$B$5,1)</f>
        <v>5.0545</v>
      </c>
      <c r="AF107" s="60">
        <f>1+設定!$B$13*((I107/設定!$B$8+J107/設定!$B$9)/(2*AE107))</f>
        <v>1.2596696013453359</v>
      </c>
      <c r="AG107" s="60">
        <f>MAX(0.7,1+設定!$B$14*(O107/IF(X107="Melee",1.5,2.5)-1))</f>
        <v>1.1080000000000001</v>
      </c>
      <c r="AH107" s="53">
        <f t="shared" si="5"/>
        <v>100.27949568000001</v>
      </c>
      <c r="AI107" s="53">
        <f>E107*AF107*(1+設定!$B$18*AVERAGE(P107:U107))</f>
        <v>610.0233470175092</v>
      </c>
      <c r="AJ107" s="61">
        <f>設定!$B$5*SQRT((AH107/(設定!$B$7*設定!$B$10*(1+設定!$B$11*(設定!$B$12-1))))*(AI107/(設定!$B$6*(1+設定!$B$13))))</f>
        <v>505.02100007292876</v>
      </c>
      <c r="AK107" s="62">
        <f t="shared" si="6"/>
        <v>-8.4874849554106291E-4</v>
      </c>
      <c r="AL107" s="63">
        <f t="shared" si="7"/>
        <v>379.08749999999998</v>
      </c>
      <c r="AM107" s="64" t="s">
        <v>918</v>
      </c>
      <c r="AN107" s="54">
        <f>MAX(1,ROUND((設定!$B$7*設定!$B$10*(1+設定!$B$11*(設定!$B$12-1)))*AE107^2*(設定!$B$6*(1+設定!$B$13))/(AI107*N107*(1+K107*(L107-1))*AG107),0))</f>
        <v>96</v>
      </c>
      <c r="AO107" s="65" t="str">
        <f>IF($A107="","",IF(COUNTIF(個性タイプマスタ!$A$5:$A$100,$AM107)&gt;0,"OK","未登録"))</f>
        <v>OK</v>
      </c>
      <c r="AP107" s="67" t="str">
        <f>IF($A107="","",IF(COUNTIF(属性耐性マスタ!$A$5:$A$11,$C107)&gt;0,"OK","未登録"))</f>
        <v>OK</v>
      </c>
    </row>
    <row r="108" spans="1:42">
      <c r="A108" s="66" t="s">
        <v>316</v>
      </c>
      <c r="B108" s="51" t="s">
        <v>317</v>
      </c>
      <c r="C108" s="109" t="s">
        <v>871</v>
      </c>
      <c r="D108" s="53">
        <f>ROUND(設定!$B$5*POWER($D$2,W108-1),2)</f>
        <v>505.45</v>
      </c>
      <c r="E108" s="54">
        <f>MAX(1,ROUND(設定!$B$6*AE108*Y108,0))</f>
        <v>521</v>
      </c>
      <c r="F108" s="54">
        <f>MAX(0,ROUND(設定!$B$7*AE108*設定!$B$15*IF(X108="Melee",0.6,1.35)*IFERROR(VLOOKUP($AM108,個性タイプマスタ!$A$5:$P$100,14,FALSE),1),0))</f>
        <v>195</v>
      </c>
      <c r="G108" s="54">
        <f>IF(X108="Melee",AN108,MAX(1,ROUND(AN108*設定!$B$16*IFERROR(VLOOKUP($AM108,個性タイプマスタ!$A$5:$P$100,15,FALSE),1),0)))</f>
        <v>29</v>
      </c>
      <c r="H108" s="54">
        <f>IF(X108="Ranged",AN108,MAX(1,ROUND(AN108*設定!$B$16*IFERROR(VLOOKUP($AM108,個性タイプマスタ!$A$5:$P$100,15,FALSE),1),0)))</f>
        <v>93</v>
      </c>
      <c r="I108" s="54">
        <f>MAX(0,ROUND(設定!$B$8*AE108*Z108,0))</f>
        <v>39</v>
      </c>
      <c r="J108" s="54">
        <f>MAX(0,ROUND(設定!$B$9*AE108*AA108,0))</f>
        <v>48</v>
      </c>
      <c r="K108" s="55">
        <f>IFERROR(VLOOKUP($AM108,個性タイプマスタ!$A$5:$P$100,9,FALSE),0.05)</f>
        <v>6.5000000000000002E-2</v>
      </c>
      <c r="L108" s="56">
        <f>IFERROR(VLOOKUP($AM108,個性タイプマスタ!$A$5:$P$100,10,FALSE),1.5)</f>
        <v>1.45</v>
      </c>
      <c r="M108" s="56">
        <f>IFERROR(VLOOKUP($AM108,個性タイプマスタ!$A$5:$P$100,11,FALSE),2)</f>
        <v>2.1</v>
      </c>
      <c r="N108" s="57">
        <f>MAX(0.1,ROUND(設定!$B$10*AB108,3))</f>
        <v>0.9</v>
      </c>
      <c r="O108" s="57">
        <f t="shared" si="4"/>
        <v>2.8</v>
      </c>
      <c r="P108" s="58">
        <f>MAX(-10,MIN(0.8,IFERROR(INDEX(属性耐性マスタ!$B$5:$G$11,MATCH($C108,属性耐性マスタ!$A$5:$A$11,0),1),0)+IFERROR(VLOOKUP($AM108,個性タイプマスタ!$A$5:$P$100,12,FALSE),0)))</f>
        <v>0.02</v>
      </c>
      <c r="Q108" s="58">
        <f>MAX(-10,MIN(0.8,IFERROR(INDEX(属性耐性マスタ!$B$5:$G$11,MATCH($C108,属性耐性マスタ!$A$5:$A$11,0),2),0)+IFERROR(VLOOKUP($AM108,個性タイプマスタ!$A$5:$P$100,12,FALSE),0)))</f>
        <v>0.02</v>
      </c>
      <c r="R108" s="58">
        <f>MAX(-10,MIN(0.8,IFERROR(INDEX(属性耐性マスタ!$B$5:$G$11,MATCH($C108,属性耐性マスタ!$A$5:$A$11,0),3),0)+IFERROR(VLOOKUP($AM108,個性タイプマスタ!$A$5:$P$100,12,FALSE),0)))</f>
        <v>-0.08</v>
      </c>
      <c r="S108" s="58">
        <f>MAX(-10,MIN(0.8,IFERROR(INDEX(属性耐性マスタ!$B$5:$G$11,MATCH($C108,属性耐性マスタ!$A$5:$A$11,0),4),0)+IFERROR(VLOOKUP($AM108,個性タイプマスタ!$A$5:$P$100,12,FALSE),0)))</f>
        <v>0.22</v>
      </c>
      <c r="T108" s="58">
        <f>MAX(-10,MIN(0.8,IFERROR(INDEX(属性耐性マスタ!$B$5:$G$11,MATCH($C108,属性耐性マスタ!$A$5:$A$11,0),5),0)+IFERROR(VLOOKUP($AM108,個性タイプマスタ!$A$5:$P$100,12,FALSE),0)))</f>
        <v>0.02</v>
      </c>
      <c r="U108" s="58">
        <f>MAX(-10,MIN(0.8,IFERROR(INDEX(属性耐性マスタ!$B$5:$G$11,MATCH($C108,属性耐性マスタ!$A$5:$A$11,0),6),0)+IFERROR(VLOOKUP($AM108,個性タイプマスタ!$A$5:$P$100,12,FALSE),0)))</f>
        <v>0.02</v>
      </c>
      <c r="V108" s="59">
        <f>ROUND(設定!$B$19*IFERROR(VLOOKUP($AM108,個性タイプマスタ!$A$5:$P$100,13,FALSE),1),2)</f>
        <v>4.2</v>
      </c>
      <c r="W108" s="59">
        <v>18</v>
      </c>
      <c r="X108" s="59" t="str">
        <f>IFERROR(VLOOKUP($AM108,個性タイプマスタ!$A$5:$P$100,2,FALSE),"Ranged")</f>
        <v>Ranged</v>
      </c>
      <c r="Y108" s="56">
        <f>IFERROR(VLOOKUP($AM108,個性タイプマスタ!$A$5:$P$100,3,FALSE),1)</f>
        <v>1.03</v>
      </c>
      <c r="Z108" s="56">
        <f>IFERROR(VLOOKUP($AM108,個性タイプマスタ!$A$5:$P$100,4,FALSE),1)</f>
        <v>0.96</v>
      </c>
      <c r="AA108" s="56">
        <f>IFERROR(VLOOKUP($AM108,個性タイプマスタ!$A$5:$P$100,5,FALSE),1)</f>
        <v>1.18</v>
      </c>
      <c r="AB108" s="56">
        <f>IFERROR(VLOOKUP($AM108,個性タイプマスタ!$A$5:$P$100,6,FALSE),1)</f>
        <v>0.9</v>
      </c>
      <c r="AC108" s="56">
        <f>IFERROR(VLOOKUP($AM108,個性タイプマスタ!$A$5:$P$100,7,FALSE),1)</f>
        <v>1.1200000000000001</v>
      </c>
      <c r="AD108" s="56">
        <f>IFERROR(VLOOKUP($AM108,個性タイプマスタ!$A$5:$P$100,8,FALSE),1)</f>
        <v>0.79</v>
      </c>
      <c r="AE108" s="60">
        <f>IFERROR(D108/設定!$B$5,1)</f>
        <v>5.0545</v>
      </c>
      <c r="AF108" s="60">
        <f>1+設定!$B$13*((I108/設定!$B$8+J108/設定!$B$9)/(2*AE108))</f>
        <v>1.3227322188149175</v>
      </c>
      <c r="AG108" s="60">
        <f>MAX(0.7,1+設定!$B$14*(O108/IF(X108="Melee",1.5,2.5)-1))</f>
        <v>1.0144</v>
      </c>
      <c r="AH108" s="53">
        <f t="shared" si="5"/>
        <v>87.388759439999987</v>
      </c>
      <c r="AI108" s="53">
        <f>E108*AF108*(1+設定!$B$18*AVERAGE(P108:U108))</f>
        <v>700.51435352161445</v>
      </c>
      <c r="AJ108" s="61">
        <f>設定!$B$5*SQRT((AH108/(設定!$B$7*設定!$B$10*(1+設定!$B$11*(設定!$B$12-1))))*(AI108/(設定!$B$6*(1+設定!$B$13))))</f>
        <v>505.20360964354023</v>
      </c>
      <c r="AK108" s="62">
        <f t="shared" si="6"/>
        <v>-4.8746731914084407E-4</v>
      </c>
      <c r="AL108" s="63">
        <f t="shared" si="7"/>
        <v>399.30549999999999</v>
      </c>
      <c r="AM108" s="64" t="s">
        <v>932</v>
      </c>
      <c r="AN108" s="54">
        <f>MAX(1,ROUND((設定!$B$7*設定!$B$10*(1+設定!$B$11*(設定!$B$12-1)))*AE108^2*(設定!$B$6*(1+設定!$B$13))/(AI108*N108*(1+K108*(L108-1))*AG108),0))</f>
        <v>93</v>
      </c>
      <c r="AO108" s="65" t="str">
        <f>IF($A108="","",IF(COUNTIF(個性タイプマスタ!$A$5:$A$100,$AM108)&gt;0,"OK","未登録"))</f>
        <v>OK</v>
      </c>
      <c r="AP108" s="67" t="str">
        <f>IF($A108="","",IF(COUNTIF(属性耐性マスタ!$A$5:$A$11,$C108)&gt;0,"OK","未登録"))</f>
        <v>OK</v>
      </c>
    </row>
    <row r="109" spans="1:42">
      <c r="A109" s="66" t="s">
        <v>318</v>
      </c>
      <c r="B109" s="51" t="s">
        <v>319</v>
      </c>
      <c r="C109" s="109" t="s">
        <v>111</v>
      </c>
      <c r="D109" s="53">
        <f>ROUND(設定!$B$5*POWER($D$2,W109-1),2)</f>
        <v>505.45</v>
      </c>
      <c r="E109" s="54">
        <f>MAX(1,ROUND(設定!$B$6*AE109*Y109,0))</f>
        <v>505</v>
      </c>
      <c r="F109" s="54">
        <f>MAX(0,ROUND(設定!$B$7*AE109*設定!$B$15*IF(X109="Melee",0.6,1.35)*IFERROR(VLOOKUP($AM109,個性タイプマスタ!$A$5:$P$100,14,FALSE),1),0))</f>
        <v>81</v>
      </c>
      <c r="G109" s="54">
        <f>IF(X109="Melee",AN109,MAX(1,ROUND(AN109*設定!$B$16*IFERROR(VLOOKUP($AM109,個性タイプマスタ!$A$5:$P$100,15,FALSE),1),0)))</f>
        <v>36</v>
      </c>
      <c r="H109" s="54">
        <f>IF(X109="Ranged",AN109,MAX(1,ROUND(AN109*設定!$B$16*IFERROR(VLOOKUP($AM109,個性タイプマスタ!$A$5:$P$100,15,FALSE),1),0)))</f>
        <v>81</v>
      </c>
      <c r="I109" s="54">
        <f>MAX(0,ROUND(設定!$B$8*AE109*Z109,0))</f>
        <v>38</v>
      </c>
      <c r="J109" s="54">
        <f>MAX(0,ROUND(設定!$B$9*AE109*AA109,0))</f>
        <v>44</v>
      </c>
      <c r="K109" s="55">
        <f>IFERROR(VLOOKUP($AM109,個性タイプマスタ!$A$5:$P$100,9,FALSE),0.05)</f>
        <v>7.0000000000000007E-2</v>
      </c>
      <c r="L109" s="56">
        <f>IFERROR(VLOOKUP($AM109,個性タイプマスタ!$A$5:$P$100,10,FALSE),1.5)</f>
        <v>1.55</v>
      </c>
      <c r="M109" s="56">
        <f>IFERROR(VLOOKUP($AM109,個性タイプマスタ!$A$5:$P$100,11,FALSE),2)</f>
        <v>2.2999999999999998</v>
      </c>
      <c r="N109" s="57">
        <f>MAX(0.1,ROUND(設定!$B$10*AB109,3))</f>
        <v>1.1000000000000001</v>
      </c>
      <c r="O109" s="57">
        <f t="shared" si="4"/>
        <v>2.7</v>
      </c>
      <c r="P109" s="58">
        <f>MAX(-10,MIN(0.8,IFERROR(INDEX(属性耐性マスタ!$B$5:$G$11,MATCH($C109,属性耐性マスタ!$A$5:$A$11,0),1),0)+IFERROR(VLOOKUP($AM109,個性タイプマスタ!$A$5:$P$100,12,FALSE),0)))</f>
        <v>0.17</v>
      </c>
      <c r="Q109" s="58">
        <f>MAX(-10,MIN(0.8,IFERROR(INDEX(属性耐性マスタ!$B$5:$G$11,MATCH($C109,属性耐性マスタ!$A$5:$A$11,0),2),0)+IFERROR(VLOOKUP($AM109,個性タイプマスタ!$A$5:$P$100,12,FALSE),0)))</f>
        <v>-0.13</v>
      </c>
      <c r="R109" s="58">
        <f>MAX(-10,MIN(0.8,IFERROR(INDEX(属性耐性マスタ!$B$5:$G$11,MATCH($C109,属性耐性マスタ!$A$5:$A$11,0),3),0)+IFERROR(VLOOKUP($AM109,個性タイプマスタ!$A$5:$P$100,12,FALSE),0)))</f>
        <v>-0.03</v>
      </c>
      <c r="S109" s="58">
        <f>MAX(-10,MIN(0.8,IFERROR(INDEX(属性耐性マスタ!$B$5:$G$11,MATCH($C109,属性耐性マスタ!$A$5:$A$11,0),4),0)+IFERROR(VLOOKUP($AM109,個性タイプマスタ!$A$5:$P$100,12,FALSE),0)))</f>
        <v>-0.03</v>
      </c>
      <c r="T109" s="58">
        <f>MAX(-10,MIN(0.8,IFERROR(INDEX(属性耐性マスタ!$B$5:$G$11,MATCH($C109,属性耐性マスタ!$A$5:$A$11,0),5),0)+IFERROR(VLOOKUP($AM109,個性タイプマスタ!$A$5:$P$100,12,FALSE),0)))</f>
        <v>-0.03</v>
      </c>
      <c r="U109" s="58">
        <f>MAX(-10,MIN(0.8,IFERROR(INDEX(属性耐性マスタ!$B$5:$G$11,MATCH($C109,属性耐性マスタ!$A$5:$A$11,0),6),0)+IFERROR(VLOOKUP($AM109,個性タイプマスタ!$A$5:$P$100,12,FALSE),0)))</f>
        <v>-0.03</v>
      </c>
      <c r="V109" s="59">
        <f>ROUND(設定!$B$19*IFERROR(VLOOKUP($AM109,個性タイプマスタ!$A$5:$P$100,13,FALSE),1),2)</f>
        <v>4</v>
      </c>
      <c r="W109" s="59">
        <v>18</v>
      </c>
      <c r="X109" s="59" t="str">
        <f>IFERROR(VLOOKUP($AM109,個性タイプマスタ!$A$5:$P$100,2,FALSE),"Ranged")</f>
        <v>Ranged</v>
      </c>
      <c r="Y109" s="56">
        <f>IFERROR(VLOOKUP($AM109,個性タイプマスタ!$A$5:$P$100,3,FALSE),1)</f>
        <v>1</v>
      </c>
      <c r="Z109" s="56">
        <f>IFERROR(VLOOKUP($AM109,個性タイプマスタ!$A$5:$P$100,4,FALSE),1)</f>
        <v>0.95</v>
      </c>
      <c r="AA109" s="56">
        <f>IFERROR(VLOOKUP($AM109,個性タイプマスタ!$A$5:$P$100,5,FALSE),1)</f>
        <v>1.1000000000000001</v>
      </c>
      <c r="AB109" s="56">
        <f>IFERROR(VLOOKUP($AM109,個性タイプマスタ!$A$5:$P$100,6,FALSE),1)</f>
        <v>1.1000000000000001</v>
      </c>
      <c r="AC109" s="56">
        <f>IFERROR(VLOOKUP($AM109,個性タイプマスタ!$A$5:$P$100,7,FALSE),1)</f>
        <v>1.08</v>
      </c>
      <c r="AD109" s="56">
        <f>IFERROR(VLOOKUP($AM109,個性タイプマスタ!$A$5:$P$100,8,FALSE),1)</f>
        <v>0.8</v>
      </c>
      <c r="AE109" s="60">
        <f>IFERROR(D109/設定!$B$5,1)</f>
        <v>5.0545</v>
      </c>
      <c r="AF109" s="60">
        <f>1+設定!$B$13*((I109/設定!$B$8+J109/設定!$B$9)/(2*AE109))</f>
        <v>1.3041843901473933</v>
      </c>
      <c r="AG109" s="60">
        <f>MAX(0.7,1+設定!$B$14*(O109/IF(X109="Melee",1.5,2.5)-1))</f>
        <v>1.0096000000000001</v>
      </c>
      <c r="AH109" s="53">
        <f t="shared" si="5"/>
        <v>93.418641360000024</v>
      </c>
      <c r="AI109" s="53">
        <f>E109*AF109*(1+設定!$B$18*AVERAGE(P109:U109))</f>
        <v>654.66143832228693</v>
      </c>
      <c r="AJ109" s="61">
        <f>設定!$B$5*SQRT((AH109/(設定!$B$7*設定!$B$10*(1+設定!$B$11*(設定!$B$12-1))))*(AI109/(設定!$B$6*(1+設定!$B$13))))</f>
        <v>504.95804079933498</v>
      </c>
      <c r="AK109" s="62">
        <f t="shared" si="6"/>
        <v>-9.7330932963701766E-4</v>
      </c>
      <c r="AL109" s="63">
        <f t="shared" si="7"/>
        <v>404.36</v>
      </c>
      <c r="AM109" s="64" t="s">
        <v>883</v>
      </c>
      <c r="AN109" s="54">
        <f>MAX(1,ROUND((設定!$B$7*設定!$B$10*(1+設定!$B$11*(設定!$B$12-1)))*AE109^2*(設定!$B$6*(1+設定!$B$13))/(AI109*N109*(1+K109*(L109-1))*AG109),0))</f>
        <v>81</v>
      </c>
      <c r="AO109" s="65" t="str">
        <f>IF($A109="","",IF(COUNTIF(個性タイプマスタ!$A$5:$A$100,$AM109)&gt;0,"OK","未登録"))</f>
        <v>OK</v>
      </c>
      <c r="AP109" s="67" t="str">
        <f>IF($A109="","",IF(COUNTIF(属性耐性マスタ!$A$5:$A$11,$C109)&gt;0,"OK","未登録"))</f>
        <v>OK</v>
      </c>
    </row>
    <row r="110" spans="1:42">
      <c r="A110" s="66" t="s">
        <v>320</v>
      </c>
      <c r="B110" s="51" t="s">
        <v>321</v>
      </c>
      <c r="C110" s="109" t="s">
        <v>121</v>
      </c>
      <c r="D110" s="53">
        <f>ROUND(設定!$B$5*POWER($D$2,W110-1),2)</f>
        <v>505.45</v>
      </c>
      <c r="E110" s="54">
        <f>MAX(1,ROUND(設定!$B$6*AE110*Y110,0))</f>
        <v>409</v>
      </c>
      <c r="F110" s="54">
        <f>MAX(0,ROUND(設定!$B$7*AE110*設定!$B$15*IF(X110="Melee",0.6,1.35)*IFERROR(VLOOKUP($AM110,個性タイプマスタ!$A$5:$P$100,14,FALSE),1),0))</f>
        <v>26</v>
      </c>
      <c r="G110" s="54">
        <f>IF(X110="Melee",AN110,MAX(1,ROUND(AN110*設定!$B$16*IFERROR(VLOOKUP($AM110,個性タイプマスタ!$A$5:$P$100,15,FALSE),1),0)))</f>
        <v>70</v>
      </c>
      <c r="H110" s="54">
        <f>IF(X110="Ranged",AN110,MAX(1,ROUND(AN110*設定!$B$16*IFERROR(VLOOKUP($AM110,個性タイプマスタ!$A$5:$P$100,15,FALSE),1),0)))</f>
        <v>22</v>
      </c>
      <c r="I110" s="54">
        <f>MAX(0,ROUND(設定!$B$8*AE110*Z110,0))</f>
        <v>30</v>
      </c>
      <c r="J110" s="54">
        <f>MAX(0,ROUND(設定!$B$9*AE110*AA110,0))</f>
        <v>32</v>
      </c>
      <c r="K110" s="55">
        <f>IFERROR(VLOOKUP($AM110,個性タイプマスタ!$A$5:$P$100,9,FALSE),0.05)</f>
        <v>7.0000000000000007E-2</v>
      </c>
      <c r="L110" s="56">
        <f>IFERROR(VLOOKUP($AM110,個性タイプマスタ!$A$5:$P$100,10,FALSE),1.5)</f>
        <v>1.45</v>
      </c>
      <c r="M110" s="56">
        <f>IFERROR(VLOOKUP($AM110,個性タイプマスタ!$A$5:$P$100,11,FALSE),2)</f>
        <v>3.35</v>
      </c>
      <c r="N110" s="57">
        <f>MAX(0.1,ROUND(設定!$B$10*AB110,3))</f>
        <v>1.77</v>
      </c>
      <c r="O110" s="57">
        <f t="shared" si="4"/>
        <v>1.1399999999999999</v>
      </c>
      <c r="P110" s="58">
        <f>MAX(-10,MIN(0.8,IFERROR(INDEX(属性耐性マスタ!$B$5:$G$11,MATCH($C110,属性耐性マスタ!$A$5:$A$11,0),1),0)+IFERROR(VLOOKUP($AM110,個性タイプマスタ!$A$5:$P$100,12,FALSE),0)))</f>
        <v>-6.5000000000000002E-2</v>
      </c>
      <c r="Q110" s="58">
        <f>MAX(-10,MIN(0.8,IFERROR(INDEX(属性耐性マスタ!$B$5:$G$11,MATCH($C110,属性耐性マスタ!$A$5:$A$11,0),2),0)+IFERROR(VLOOKUP($AM110,個性タイプマスタ!$A$5:$P$100,12,FALSE),0)))</f>
        <v>-6.5000000000000002E-2</v>
      </c>
      <c r="R110" s="58">
        <f>MAX(-10,MIN(0.8,IFERROR(INDEX(属性耐性マスタ!$B$5:$G$11,MATCH($C110,属性耐性マスタ!$A$5:$A$11,0),3),0)+IFERROR(VLOOKUP($AM110,個性タイプマスタ!$A$5:$P$100,12,FALSE),0)))</f>
        <v>-6.5000000000000002E-2</v>
      </c>
      <c r="S110" s="58">
        <f>MAX(-10,MIN(0.8,IFERROR(INDEX(属性耐性マスタ!$B$5:$G$11,MATCH($C110,属性耐性マスタ!$A$5:$A$11,0),4),0)+IFERROR(VLOOKUP($AM110,個性タイプマスタ!$A$5:$P$100,12,FALSE),0)))</f>
        <v>-6.5000000000000002E-2</v>
      </c>
      <c r="T110" s="58">
        <f>MAX(-10,MIN(0.8,IFERROR(INDEX(属性耐性マスタ!$B$5:$G$11,MATCH($C110,属性耐性マスタ!$A$5:$A$11,0),5),0)+IFERROR(VLOOKUP($AM110,個性タイプマスタ!$A$5:$P$100,12,FALSE),0)))</f>
        <v>0.13500000000000001</v>
      </c>
      <c r="U110" s="58">
        <f>MAX(-10,MIN(0.8,IFERROR(INDEX(属性耐性マスタ!$B$5:$G$11,MATCH($C110,属性耐性マスタ!$A$5:$A$11,0),6),0)+IFERROR(VLOOKUP($AM110,個性タイプマスタ!$A$5:$P$100,12,FALSE),0)))</f>
        <v>-0.16500000000000001</v>
      </c>
      <c r="V110" s="59">
        <f>ROUND(設定!$B$19*IFERROR(VLOOKUP($AM110,個性タイプマスタ!$A$5:$P$100,13,FALSE),1),2)</f>
        <v>5</v>
      </c>
      <c r="W110" s="59">
        <v>18</v>
      </c>
      <c r="X110" s="59" t="str">
        <f>IFERROR(VLOOKUP($AM110,個性タイプマスタ!$A$5:$P$100,2,FALSE),"Ranged")</f>
        <v>Melee</v>
      </c>
      <c r="Y110" s="56">
        <f>IFERROR(VLOOKUP($AM110,個性タイプマスタ!$A$5:$P$100,3,FALSE),1)</f>
        <v>0.81</v>
      </c>
      <c r="Z110" s="56">
        <f>IFERROR(VLOOKUP($AM110,個性タイプマスタ!$A$5:$P$100,4,FALSE),1)</f>
        <v>0.75</v>
      </c>
      <c r="AA110" s="56">
        <f>IFERROR(VLOOKUP($AM110,個性タイプマスタ!$A$5:$P$100,5,FALSE),1)</f>
        <v>0.79</v>
      </c>
      <c r="AB110" s="56">
        <f>IFERROR(VLOOKUP($AM110,個性タイプマスタ!$A$5:$P$100,6,FALSE),1)</f>
        <v>1.77</v>
      </c>
      <c r="AC110" s="56">
        <f>IFERROR(VLOOKUP($AM110,個性タイプマスタ!$A$5:$P$100,7,FALSE),1)</f>
        <v>0.76</v>
      </c>
      <c r="AD110" s="56">
        <f>IFERROR(VLOOKUP($AM110,個性タイプマスタ!$A$5:$P$100,8,FALSE),1)</f>
        <v>0.66</v>
      </c>
      <c r="AE110" s="60">
        <f>IFERROR(D110/設定!$B$5,1)</f>
        <v>5.0545</v>
      </c>
      <c r="AF110" s="60">
        <f>1+設定!$B$13*((I110/設定!$B$8+J110/設定!$B$9)/(2*AE110))</f>
        <v>1.2299930754772974</v>
      </c>
      <c r="AG110" s="60">
        <f>MAX(0.7,1+設定!$B$14*(O110/IF(X110="Melee",1.5,2.5)-1))</f>
        <v>0.97119999999999995</v>
      </c>
      <c r="AH110" s="53">
        <f t="shared" si="5"/>
        <v>124.12212792000001</v>
      </c>
      <c r="AI110" s="53">
        <f>E110*AF110*(1+設定!$B$18*AVERAGE(P110:U110))</f>
        <v>492.12545696903743</v>
      </c>
      <c r="AJ110" s="61">
        <f>設定!$B$5*SQRT((AH110/(設定!$B$7*設定!$B$10*(1+設定!$B$11*(設定!$B$12-1))))*(AI110/(設定!$B$6*(1+設定!$B$13))))</f>
        <v>504.65276876429488</v>
      </c>
      <c r="AK110" s="62">
        <f t="shared" si="6"/>
        <v>-1.5772702259474469E-3</v>
      </c>
      <c r="AL110" s="63">
        <f t="shared" si="7"/>
        <v>333.59699999999998</v>
      </c>
      <c r="AM110" s="64" t="s">
        <v>948</v>
      </c>
      <c r="AN110" s="54">
        <f>MAX(1,ROUND((設定!$B$7*設定!$B$10*(1+設定!$B$11*(設定!$B$12-1)))*AE110^2*(設定!$B$6*(1+設定!$B$13))/(AI110*N110*(1+K110*(L110-1))*AG110),0))</f>
        <v>70</v>
      </c>
      <c r="AO110" s="65" t="str">
        <f>IF($A110="","",IF(COUNTIF(個性タイプマスタ!$A$5:$A$100,$AM110)&gt;0,"OK","未登録"))</f>
        <v>OK</v>
      </c>
      <c r="AP110" s="67" t="str">
        <f>IF($A110="","",IF(COUNTIF(属性耐性マスタ!$A$5:$A$11,$C110)&gt;0,"OK","未登録"))</f>
        <v>OK</v>
      </c>
    </row>
    <row r="111" spans="1:42">
      <c r="A111" s="66" t="s">
        <v>322</v>
      </c>
      <c r="B111" s="51" t="s">
        <v>323</v>
      </c>
      <c r="C111" s="109" t="s">
        <v>874</v>
      </c>
      <c r="D111" s="53">
        <f>ROUND(設定!$B$5*POWER($D$2,W111-1),2)</f>
        <v>505.45</v>
      </c>
      <c r="E111" s="54">
        <f>MAX(1,ROUND(設定!$B$6*AE111*Y111,0))</f>
        <v>293</v>
      </c>
      <c r="F111" s="54">
        <f>MAX(0,ROUND(設定!$B$7*AE111*設定!$B$15*IF(X111="Melee",0.6,1.35)*IFERROR(VLOOKUP($AM111,個性タイプマスタ!$A$5:$P$100,14,FALSE),1),0))</f>
        <v>16</v>
      </c>
      <c r="G111" s="54">
        <f>IF(X111="Melee",AN111,MAX(1,ROUND(AN111*設定!$B$16*IFERROR(VLOOKUP($AM111,個性タイプマスタ!$A$5:$P$100,15,FALSE),1),0)))</f>
        <v>161</v>
      </c>
      <c r="H111" s="54">
        <f>IF(X111="Ranged",AN111,MAX(1,ROUND(AN111*設定!$B$16*IFERROR(VLOOKUP($AM111,個性タイプマスタ!$A$5:$P$100,15,FALSE),1),0)))</f>
        <v>36</v>
      </c>
      <c r="I111" s="54">
        <f>MAX(0,ROUND(設定!$B$8*AE111*Z111,0))</f>
        <v>22</v>
      </c>
      <c r="J111" s="54">
        <f>MAX(0,ROUND(設定!$B$9*AE111*AA111,0))</f>
        <v>23</v>
      </c>
      <c r="K111" s="55">
        <f>IFERROR(VLOOKUP($AM111,個性タイプマスタ!$A$5:$P$100,9,FALSE),0.05)</f>
        <v>0.08</v>
      </c>
      <c r="L111" s="56">
        <f>IFERROR(VLOOKUP($AM111,個性タイプマスタ!$A$5:$P$100,10,FALSE),1.5)</f>
        <v>1.95</v>
      </c>
      <c r="M111" s="56">
        <f>IFERROR(VLOOKUP($AM111,個性タイプマスタ!$A$5:$P$100,11,FALSE),2)</f>
        <v>2.85</v>
      </c>
      <c r="N111" s="57">
        <f>MAX(0.1,ROUND(設定!$B$10*AB111,3))</f>
        <v>1.0900000000000001</v>
      </c>
      <c r="O111" s="57">
        <f t="shared" si="4"/>
        <v>1.44</v>
      </c>
      <c r="P111" s="58">
        <f>MAX(-10,MIN(0.8,IFERROR(INDEX(属性耐性マスタ!$B$5:$G$11,MATCH($C111,属性耐性マスタ!$A$5:$A$11,0),1),0)+IFERROR(VLOOKUP($AM111,個性タイプマスタ!$A$5:$P$100,12,FALSE),0)))</f>
        <v>-0.115</v>
      </c>
      <c r="Q111" s="58">
        <f>MAX(-10,MIN(0.8,IFERROR(INDEX(属性耐性マスタ!$B$5:$G$11,MATCH($C111,属性耐性マスタ!$A$5:$A$11,0),2),0)+IFERROR(VLOOKUP($AM111,個性タイプマスタ!$A$5:$P$100,12,FALSE),0)))</f>
        <v>-0.115</v>
      </c>
      <c r="R111" s="58">
        <f>MAX(-10,MIN(0.8,IFERROR(INDEX(属性耐性マスタ!$B$5:$G$11,MATCH($C111,属性耐性マスタ!$A$5:$A$11,0),3),0)+IFERROR(VLOOKUP($AM111,個性タイプマスタ!$A$5:$P$100,12,FALSE),0)))</f>
        <v>-0.115</v>
      </c>
      <c r="S111" s="58">
        <f>MAX(-10,MIN(0.8,IFERROR(INDEX(属性耐性マスタ!$B$5:$G$11,MATCH($C111,属性耐性マスタ!$A$5:$A$11,0),4),0)+IFERROR(VLOOKUP($AM111,個性タイプマスタ!$A$5:$P$100,12,FALSE),0)))</f>
        <v>-0.115</v>
      </c>
      <c r="T111" s="58">
        <f>MAX(-10,MIN(0.8,IFERROR(INDEX(属性耐性マスタ!$B$5:$G$11,MATCH($C111,属性耐性マスタ!$A$5:$A$11,0),5),0)+IFERROR(VLOOKUP($AM111,個性タイプマスタ!$A$5:$P$100,12,FALSE),0)))</f>
        <v>-0.21500000000000002</v>
      </c>
      <c r="U111" s="58">
        <f>MAX(-10,MIN(0.8,IFERROR(INDEX(属性耐性マスタ!$B$5:$G$11,MATCH($C111,属性耐性マスタ!$A$5:$A$11,0),6),0)+IFERROR(VLOOKUP($AM111,個性タイプマスタ!$A$5:$P$100,12,FALSE),0)))</f>
        <v>8.5000000000000006E-2</v>
      </c>
      <c r="V111" s="59">
        <f>ROUND(設定!$B$19*IFERROR(VLOOKUP($AM111,個性タイプマスタ!$A$5:$P$100,13,FALSE),1),2)</f>
        <v>4.4000000000000004</v>
      </c>
      <c r="W111" s="59">
        <v>18</v>
      </c>
      <c r="X111" s="59" t="str">
        <f>IFERROR(VLOOKUP($AM111,個性タイプマスタ!$A$5:$P$100,2,FALSE),"Ranged")</f>
        <v>Melee</v>
      </c>
      <c r="Y111" s="56">
        <f>IFERROR(VLOOKUP($AM111,個性タイプマスタ!$A$5:$P$100,3,FALSE),1)</f>
        <v>0.57999999999999996</v>
      </c>
      <c r="Z111" s="56">
        <f>IFERROR(VLOOKUP($AM111,個性タイプマスタ!$A$5:$P$100,4,FALSE),1)</f>
        <v>0.55000000000000004</v>
      </c>
      <c r="AA111" s="56">
        <f>IFERROR(VLOOKUP($AM111,個性タイプマスタ!$A$5:$P$100,5,FALSE),1)</f>
        <v>0.56000000000000005</v>
      </c>
      <c r="AB111" s="56">
        <f>IFERROR(VLOOKUP($AM111,個性タイプマスタ!$A$5:$P$100,6,FALSE),1)</f>
        <v>1.0900000000000001</v>
      </c>
      <c r="AC111" s="56">
        <f>IFERROR(VLOOKUP($AM111,個性タイプマスタ!$A$5:$P$100,7,FALSE),1)</f>
        <v>0.96</v>
      </c>
      <c r="AD111" s="56">
        <f>IFERROR(VLOOKUP($AM111,個性タイプマスタ!$A$5:$P$100,8,FALSE),1)</f>
        <v>0.54</v>
      </c>
      <c r="AE111" s="60">
        <f>IFERROR(D111/設定!$B$5,1)</f>
        <v>5.0545</v>
      </c>
      <c r="AF111" s="60">
        <f>1+設定!$B$13*((I111/設定!$B$8+J111/設定!$B$9)/(2*AE111))</f>
        <v>1.166930458007716</v>
      </c>
      <c r="AG111" s="60">
        <f>MAX(0.7,1+設定!$B$14*(O111/IF(X111="Melee",1.5,2.5)-1))</f>
        <v>0.99519999999999997</v>
      </c>
      <c r="AH111" s="53">
        <f t="shared" si="5"/>
        <v>187.920869248</v>
      </c>
      <c r="AI111" s="53">
        <f>E111*AF111*(1+設定!$B$18*AVERAGE(P111:U111))</f>
        <v>326.78107907557626</v>
      </c>
      <c r="AJ111" s="61">
        <f>設定!$B$5*SQRT((AH111/(設定!$B$7*設定!$B$10*(1+設定!$B$11*(設定!$B$12-1))))*(AI111/(設定!$B$6*(1+設定!$B$13))))</f>
        <v>505.99484949552237</v>
      </c>
      <c r="AK111" s="62">
        <f t="shared" si="6"/>
        <v>1.0779493432038212E-3</v>
      </c>
      <c r="AL111" s="63">
        <f t="shared" si="7"/>
        <v>272.94299999999998</v>
      </c>
      <c r="AM111" s="64" t="s">
        <v>962</v>
      </c>
      <c r="AN111" s="54">
        <f>MAX(1,ROUND((設定!$B$7*設定!$B$10*(1+設定!$B$11*(設定!$B$12-1)))*AE111^2*(設定!$B$6*(1+設定!$B$13))/(AI111*N111*(1+K111*(L111-1))*AG111),0))</f>
        <v>161</v>
      </c>
      <c r="AO111" s="65" t="str">
        <f>IF($A111="","",IF(COUNTIF(個性タイプマスタ!$A$5:$A$100,$AM111)&gt;0,"OK","未登録"))</f>
        <v>OK</v>
      </c>
      <c r="AP111" s="67" t="str">
        <f>IF($A111="","",IF(COUNTIF(属性耐性マスタ!$A$5:$A$11,$C111)&gt;0,"OK","未登録"))</f>
        <v>OK</v>
      </c>
    </row>
    <row r="112" spans="1:42">
      <c r="A112" s="66" t="s">
        <v>324</v>
      </c>
      <c r="B112" s="51" t="s">
        <v>325</v>
      </c>
      <c r="C112" s="109" t="s">
        <v>874</v>
      </c>
      <c r="D112" s="53">
        <f>ROUND(設定!$B$5*POWER($D$2,W112-1),2)</f>
        <v>505.45</v>
      </c>
      <c r="E112" s="54">
        <f>MAX(1,ROUND(設定!$B$6*AE112*Y112,0))</f>
        <v>708</v>
      </c>
      <c r="F112" s="54">
        <f>MAX(0,ROUND(設定!$B$7*AE112*設定!$B$15*IF(X112="Melee",0.6,1.35)*IFERROR(VLOOKUP($AM112,個性タイプマスタ!$A$5:$P$100,14,FALSE),1),0))</f>
        <v>162</v>
      </c>
      <c r="G112" s="54">
        <f>IF(X112="Melee",AN112,MAX(1,ROUND(AN112*設定!$B$16*IFERROR(VLOOKUP($AM112,個性タイプマスタ!$A$5:$P$100,15,FALSE),1),0)))</f>
        <v>27</v>
      </c>
      <c r="H112" s="54">
        <f>IF(X112="Ranged",AN112,MAX(1,ROUND(AN112*設定!$B$16*IFERROR(VLOOKUP($AM112,個性タイプマスタ!$A$5:$P$100,15,FALSE),1),0)))</f>
        <v>72</v>
      </c>
      <c r="I112" s="54">
        <f>MAX(0,ROUND(設定!$B$8*AE112*Z112,0))</f>
        <v>38</v>
      </c>
      <c r="J112" s="54">
        <f>MAX(0,ROUND(設定!$B$9*AE112*AA112,0))</f>
        <v>68</v>
      </c>
      <c r="K112" s="55">
        <f>IFERROR(VLOOKUP($AM112,個性タイプマスタ!$A$5:$P$100,9,FALSE),0.05)</f>
        <v>0.115</v>
      </c>
      <c r="L112" s="56">
        <f>IFERROR(VLOOKUP($AM112,個性タイプマスタ!$A$5:$P$100,10,FALSE),1.5)</f>
        <v>1.95</v>
      </c>
      <c r="M112" s="56">
        <f>IFERROR(VLOOKUP($AM112,個性タイプマスタ!$A$5:$P$100,11,FALSE),2)</f>
        <v>1.2</v>
      </c>
      <c r="N112" s="57">
        <f>MAX(0.1,ROUND(設定!$B$10*AB112,3))</f>
        <v>0.72</v>
      </c>
      <c r="O112" s="57">
        <f t="shared" si="4"/>
        <v>3.3250000000000002</v>
      </c>
      <c r="P112" s="58">
        <f>MAX(-10,MIN(0.8,IFERROR(INDEX(属性耐性マスタ!$B$5:$G$11,MATCH($C112,属性耐性マスタ!$A$5:$A$11,0),1),0)+IFERROR(VLOOKUP($AM112,個性タイプマスタ!$A$5:$P$100,12,FALSE),0)))</f>
        <v>0.08</v>
      </c>
      <c r="Q112" s="58">
        <f>MAX(-10,MIN(0.8,IFERROR(INDEX(属性耐性マスタ!$B$5:$G$11,MATCH($C112,属性耐性マスタ!$A$5:$A$11,0),2),0)+IFERROR(VLOOKUP($AM112,個性タイプマスタ!$A$5:$P$100,12,FALSE),0)))</f>
        <v>0.08</v>
      </c>
      <c r="R112" s="58">
        <f>MAX(-10,MIN(0.8,IFERROR(INDEX(属性耐性マスタ!$B$5:$G$11,MATCH($C112,属性耐性マスタ!$A$5:$A$11,0),3),0)+IFERROR(VLOOKUP($AM112,個性タイプマスタ!$A$5:$P$100,12,FALSE),0)))</f>
        <v>0.08</v>
      </c>
      <c r="S112" s="58">
        <f>MAX(-10,MIN(0.8,IFERROR(INDEX(属性耐性マスタ!$B$5:$G$11,MATCH($C112,属性耐性マスタ!$A$5:$A$11,0),4),0)+IFERROR(VLOOKUP($AM112,個性タイプマスタ!$A$5:$P$100,12,FALSE),0)))</f>
        <v>0.08</v>
      </c>
      <c r="T112" s="58">
        <f>MAX(-10,MIN(0.8,IFERROR(INDEX(属性耐性マスタ!$B$5:$G$11,MATCH($C112,属性耐性マスタ!$A$5:$A$11,0),5),0)+IFERROR(VLOOKUP($AM112,個性タイプマスタ!$A$5:$P$100,12,FALSE),0)))</f>
        <v>-2.0000000000000004E-2</v>
      </c>
      <c r="U112" s="58">
        <f>MAX(-10,MIN(0.8,IFERROR(INDEX(属性耐性マスタ!$B$5:$G$11,MATCH($C112,属性耐性マスタ!$A$5:$A$11,0),6),0)+IFERROR(VLOOKUP($AM112,個性タイプマスタ!$A$5:$P$100,12,FALSE),0)))</f>
        <v>0.28000000000000003</v>
      </c>
      <c r="V112" s="59">
        <f>ROUND(設定!$B$19*IFERROR(VLOOKUP($AM112,個性タイプマスタ!$A$5:$P$100,13,FALSE),1),2)</f>
        <v>5</v>
      </c>
      <c r="W112" s="59">
        <v>18</v>
      </c>
      <c r="X112" s="59" t="str">
        <f>IFERROR(VLOOKUP($AM112,個性タイプマスタ!$A$5:$P$100,2,FALSE),"Ranged")</f>
        <v>Ranged</v>
      </c>
      <c r="Y112" s="56">
        <f>IFERROR(VLOOKUP($AM112,個性タイプマスタ!$A$5:$P$100,3,FALSE),1)</f>
        <v>1.4</v>
      </c>
      <c r="Z112" s="56">
        <f>IFERROR(VLOOKUP($AM112,個性タイプマスタ!$A$5:$P$100,4,FALSE),1)</f>
        <v>0.95</v>
      </c>
      <c r="AA112" s="56">
        <f>IFERROR(VLOOKUP($AM112,個性タイプマスタ!$A$5:$P$100,5,FALSE),1)</f>
        <v>1.68</v>
      </c>
      <c r="AB112" s="56">
        <f>IFERROR(VLOOKUP($AM112,個性タイプマスタ!$A$5:$P$100,6,FALSE),1)</f>
        <v>0.72</v>
      </c>
      <c r="AC112" s="56">
        <f>IFERROR(VLOOKUP($AM112,個性タイプマスタ!$A$5:$P$100,7,FALSE),1)</f>
        <v>1.33</v>
      </c>
      <c r="AD112" s="56">
        <f>IFERROR(VLOOKUP($AM112,個性タイプマスタ!$A$5:$P$100,8,FALSE),1)</f>
        <v>0.86</v>
      </c>
      <c r="AE112" s="60">
        <f>IFERROR(D112/設定!$B$5,1)</f>
        <v>5.0545</v>
      </c>
      <c r="AF112" s="60">
        <f>1+設定!$B$13*((I112/設定!$B$8+J112/設定!$B$9)/(2*AE112))</f>
        <v>1.3932139677515085</v>
      </c>
      <c r="AG112" s="60">
        <f>MAX(0.7,1+設定!$B$14*(O112/IF(X112="Melee",1.5,2.5)-1))</f>
        <v>1.0396000000000001</v>
      </c>
      <c r="AH112" s="53">
        <f t="shared" si="5"/>
        <v>59.780659392000004</v>
      </c>
      <c r="AI112" s="53">
        <f>E112*AF112*(1+設定!$B$18*AVERAGE(P112:U112))</f>
        <v>1029.303692946879</v>
      </c>
      <c r="AJ112" s="61">
        <f>設定!$B$5*SQRT((AH112/(設定!$B$7*設定!$B$10*(1+設定!$B$11*(設定!$B$12-1))))*(AI112/(設定!$B$6*(1+設定!$B$13))))</f>
        <v>506.50327126928187</v>
      </c>
      <c r="AK112" s="62">
        <f t="shared" si="6"/>
        <v>2.0838288045936793E-3</v>
      </c>
      <c r="AL112" s="63">
        <f t="shared" si="7"/>
        <v>434.68700000000001</v>
      </c>
      <c r="AM112" s="64" t="s">
        <v>938</v>
      </c>
      <c r="AN112" s="54">
        <f>MAX(1,ROUND((設定!$B$7*設定!$B$10*(1+設定!$B$11*(設定!$B$12-1)))*AE112^2*(設定!$B$6*(1+設定!$B$13))/(AI112*N112*(1+K112*(L112-1))*AG112),0))</f>
        <v>72</v>
      </c>
      <c r="AO112" s="65" t="str">
        <f>IF($A112="","",IF(COUNTIF(個性タイプマスタ!$A$5:$A$100,$AM112)&gt;0,"OK","未登録"))</f>
        <v>OK</v>
      </c>
      <c r="AP112" s="67" t="str">
        <f>IF($A112="","",IF(COUNTIF(属性耐性マスタ!$A$5:$A$11,$C112)&gt;0,"OK","未登録"))</f>
        <v>OK</v>
      </c>
    </row>
    <row r="113" spans="1:42">
      <c r="A113" s="66" t="s">
        <v>326</v>
      </c>
      <c r="B113" s="51" t="s">
        <v>327</v>
      </c>
      <c r="C113" s="109" t="s">
        <v>121</v>
      </c>
      <c r="D113" s="53">
        <f>ROUND(設定!$B$5*POWER($D$2,W113-1),2)</f>
        <v>555.99</v>
      </c>
      <c r="E113" s="54">
        <f>MAX(1,ROUND(設定!$B$6*AE113*Y113,0))</f>
        <v>556</v>
      </c>
      <c r="F113" s="54">
        <f>MAX(0,ROUND(設定!$B$7*AE113*設定!$B$15*IF(X113="Melee",0.6,1.35)*IFERROR(VLOOKUP($AM113,個性タイプマスタ!$A$5:$P$100,14,FALSE),1),0))</f>
        <v>97</v>
      </c>
      <c r="G113" s="54">
        <f>IF(X113="Melee",AN113,MAX(1,ROUND(AN113*設定!$B$16*IFERROR(VLOOKUP($AM113,個性タイプマスタ!$A$5:$P$100,15,FALSE),1),0)))</f>
        <v>32</v>
      </c>
      <c r="H113" s="54">
        <f>IF(X113="Ranged",AN113,MAX(1,ROUND(AN113*設定!$B$16*IFERROR(VLOOKUP($AM113,個性タイプマスタ!$A$5:$P$100,15,FALSE),1),0)))</f>
        <v>100</v>
      </c>
      <c r="I113" s="54">
        <f>MAX(0,ROUND(設定!$B$8*AE113*Z113,0))</f>
        <v>43</v>
      </c>
      <c r="J113" s="54">
        <f>MAX(0,ROUND(設定!$B$9*AE113*AA113,0))</f>
        <v>45</v>
      </c>
      <c r="K113" s="55">
        <f>IFERROR(VLOOKUP($AM113,個性タイプマスタ!$A$5:$P$100,9,FALSE),0.05)</f>
        <v>4.4999999999999998E-2</v>
      </c>
      <c r="L113" s="56">
        <f>IFERROR(VLOOKUP($AM113,個性タイプマスタ!$A$5:$P$100,10,FALSE),1.5)</f>
        <v>1.4</v>
      </c>
      <c r="M113" s="56">
        <f>IFERROR(VLOOKUP($AM113,個性タイプマスタ!$A$5:$P$100,11,FALSE),2)</f>
        <v>2.0499999999999998</v>
      </c>
      <c r="N113" s="57">
        <f>MAX(0.1,ROUND(設定!$B$10*AB113,3))</f>
        <v>0.92</v>
      </c>
      <c r="O113" s="57">
        <f t="shared" si="4"/>
        <v>2.6749999999999998</v>
      </c>
      <c r="P113" s="58">
        <f>MAX(-10,MIN(0.8,IFERROR(INDEX(属性耐性マスタ!$B$5:$G$11,MATCH($C113,属性耐性マスタ!$A$5:$A$11,0),1),0)+IFERROR(VLOOKUP($AM113,個性タイプマスタ!$A$5:$P$100,12,FALSE),0)))</f>
        <v>0.19</v>
      </c>
      <c r="Q113" s="58">
        <f>MAX(-10,MIN(0.8,IFERROR(INDEX(属性耐性マスタ!$B$5:$G$11,MATCH($C113,属性耐性マスタ!$A$5:$A$11,0),2),0)+IFERROR(VLOOKUP($AM113,個性タイプマスタ!$A$5:$P$100,12,FALSE),0)))</f>
        <v>0.19</v>
      </c>
      <c r="R113" s="58">
        <f>MAX(-10,MIN(0.8,IFERROR(INDEX(属性耐性マスタ!$B$5:$G$11,MATCH($C113,属性耐性マスタ!$A$5:$A$11,0),3),0)+IFERROR(VLOOKUP($AM113,個性タイプマスタ!$A$5:$P$100,12,FALSE),0)))</f>
        <v>0.19</v>
      </c>
      <c r="S113" s="58">
        <f>MAX(-10,MIN(0.8,IFERROR(INDEX(属性耐性マスタ!$B$5:$G$11,MATCH($C113,属性耐性マスタ!$A$5:$A$11,0),4),0)+IFERROR(VLOOKUP($AM113,個性タイプマスタ!$A$5:$P$100,12,FALSE),0)))</f>
        <v>0.19</v>
      </c>
      <c r="T113" s="58">
        <f>MAX(-10,MIN(0.8,IFERROR(INDEX(属性耐性マスタ!$B$5:$G$11,MATCH($C113,属性耐性マスタ!$A$5:$A$11,0),5),0)+IFERROR(VLOOKUP($AM113,個性タイプマスタ!$A$5:$P$100,12,FALSE),0)))</f>
        <v>0.39</v>
      </c>
      <c r="U113" s="58">
        <f>MAX(-10,MIN(0.8,IFERROR(INDEX(属性耐性マスタ!$B$5:$G$11,MATCH($C113,属性耐性マスタ!$A$5:$A$11,0),6),0)+IFERROR(VLOOKUP($AM113,個性タイプマスタ!$A$5:$P$100,12,FALSE),0)))</f>
        <v>0.09</v>
      </c>
      <c r="V113" s="59">
        <f>ROUND(設定!$B$19*IFERROR(VLOOKUP($AM113,個性タイプマスタ!$A$5:$P$100,13,FALSE),1),2)</f>
        <v>4</v>
      </c>
      <c r="W113" s="59">
        <v>19</v>
      </c>
      <c r="X113" s="59" t="str">
        <f>IFERROR(VLOOKUP($AM113,個性タイプマスタ!$A$5:$P$100,2,FALSE),"Ranged")</f>
        <v>Ranged</v>
      </c>
      <c r="Y113" s="56">
        <f>IFERROR(VLOOKUP($AM113,個性タイプマスタ!$A$5:$P$100,3,FALSE),1)</f>
        <v>1</v>
      </c>
      <c r="Z113" s="56">
        <f>IFERROR(VLOOKUP($AM113,個性タイプマスタ!$A$5:$P$100,4,FALSE),1)</f>
        <v>0.96</v>
      </c>
      <c r="AA113" s="56">
        <f>IFERROR(VLOOKUP($AM113,個性タイプマスタ!$A$5:$P$100,5,FALSE),1)</f>
        <v>1.02</v>
      </c>
      <c r="AB113" s="56">
        <f>IFERROR(VLOOKUP($AM113,個性タイプマスタ!$A$5:$P$100,6,FALSE),1)</f>
        <v>0.92</v>
      </c>
      <c r="AC113" s="56">
        <f>IFERROR(VLOOKUP($AM113,個性タイプマスタ!$A$5:$P$100,7,FALSE),1)</f>
        <v>1.07</v>
      </c>
      <c r="AD113" s="56">
        <f>IFERROR(VLOOKUP($AM113,個性タイプマスタ!$A$5:$P$100,8,FALSE),1)</f>
        <v>0.85</v>
      </c>
      <c r="AE113" s="60">
        <f>IFERROR(D113/設定!$B$5,1)</f>
        <v>5.5598999999999998</v>
      </c>
      <c r="AF113" s="60">
        <f>1+設定!$B$13*((I113/設定!$B$8+J113/設定!$B$9)/(2*AE113))</f>
        <v>1.29676792748071</v>
      </c>
      <c r="AG113" s="60">
        <f>MAX(0.7,1+設定!$B$14*(O113/IF(X113="Melee",1.5,2.5)-1))</f>
        <v>1.0084</v>
      </c>
      <c r="AH113" s="53">
        <f t="shared" si="5"/>
        <v>94.442710399999996</v>
      </c>
      <c r="AI113" s="53">
        <f>E113*AF113*(1+設定!$B$18*AVERAGE(P113:U113))</f>
        <v>788.05624367344728</v>
      </c>
      <c r="AJ113" s="61">
        <f>設定!$B$5*SQRT((AH113/(設定!$B$7*設定!$B$10*(1+設定!$B$11*(設定!$B$12-1))))*(AI113/(設定!$B$6*(1+設定!$B$13))))</f>
        <v>557.04844585030196</v>
      </c>
      <c r="AK113" s="62">
        <f t="shared" si="6"/>
        <v>1.9037138263313658E-3</v>
      </c>
      <c r="AL113" s="63">
        <f t="shared" si="7"/>
        <v>472.5915</v>
      </c>
      <c r="AM113" s="64" t="s">
        <v>930</v>
      </c>
      <c r="AN113" s="54">
        <f>MAX(1,ROUND((設定!$B$7*設定!$B$10*(1+設定!$B$11*(設定!$B$12-1)))*AE113^2*(設定!$B$6*(1+設定!$B$13))/(AI113*N113*(1+K113*(L113-1))*AG113),0))</f>
        <v>100</v>
      </c>
      <c r="AO113" s="65" t="str">
        <f>IF($A113="","",IF(COUNTIF(個性タイプマスタ!$A$5:$A$100,$AM113)&gt;0,"OK","未登録"))</f>
        <v>OK</v>
      </c>
      <c r="AP113" s="67" t="str">
        <f>IF($A113="","",IF(COUNTIF(属性耐性マスタ!$A$5:$A$11,$C113)&gt;0,"OK","未登録"))</f>
        <v>OK</v>
      </c>
    </row>
    <row r="114" spans="1:42">
      <c r="A114" s="66" t="s">
        <v>328</v>
      </c>
      <c r="B114" s="51" t="s">
        <v>329</v>
      </c>
      <c r="C114" s="109" t="s">
        <v>874</v>
      </c>
      <c r="D114" s="53">
        <f>ROUND(設定!$B$5*POWER($D$2,W114-1),2)</f>
        <v>555.99</v>
      </c>
      <c r="E114" s="54">
        <f>MAX(1,ROUND(設定!$B$6*AE114*Y114,0))</f>
        <v>512</v>
      </c>
      <c r="F114" s="54">
        <f>MAX(0,ROUND(設定!$B$7*AE114*設定!$B$15*IF(X114="Melee",0.6,1.35)*IFERROR(VLOOKUP($AM114,個性タイプマスタ!$A$5:$P$100,14,FALSE),1),0))</f>
        <v>81</v>
      </c>
      <c r="G114" s="54">
        <f>IF(X114="Melee",AN114,MAX(1,ROUND(AN114*設定!$B$16*IFERROR(VLOOKUP($AM114,個性タイプマスタ!$A$5:$P$100,15,FALSE),1),0)))</f>
        <v>46</v>
      </c>
      <c r="H114" s="54">
        <f>IF(X114="Ranged",AN114,MAX(1,ROUND(AN114*設定!$B$16*IFERROR(VLOOKUP($AM114,個性タイプマスタ!$A$5:$P$100,15,FALSE),1),0)))</f>
        <v>103</v>
      </c>
      <c r="I114" s="54">
        <f>MAX(0,ROUND(設定!$B$8*AE114*Z114,0))</f>
        <v>42</v>
      </c>
      <c r="J114" s="54">
        <f>MAX(0,ROUND(設定!$B$9*AE114*AA114,0))</f>
        <v>47</v>
      </c>
      <c r="K114" s="55">
        <f>IFERROR(VLOOKUP($AM114,個性タイプマスタ!$A$5:$P$100,9,FALSE),0.05)</f>
        <v>0.05</v>
      </c>
      <c r="L114" s="56">
        <f>IFERROR(VLOOKUP($AM114,個性タイプマスタ!$A$5:$P$100,10,FALSE),1.5)</f>
        <v>1.5</v>
      </c>
      <c r="M114" s="56">
        <f>IFERROR(VLOOKUP($AM114,個性タイプマスタ!$A$5:$P$100,11,FALSE),2)</f>
        <v>2</v>
      </c>
      <c r="N114" s="57">
        <f>MAX(0.1,ROUND(設定!$B$10*AB114,3))</f>
        <v>1.05</v>
      </c>
      <c r="O114" s="57">
        <f t="shared" si="4"/>
        <v>2.5</v>
      </c>
      <c r="P114" s="58">
        <f>MAX(-10,MIN(0.8,IFERROR(INDEX(属性耐性マスタ!$B$5:$G$11,MATCH($C114,属性耐性マスタ!$A$5:$A$11,0),1),0)+IFERROR(VLOOKUP($AM114,個性タイプマスタ!$A$5:$P$100,12,FALSE),0)))</f>
        <v>0</v>
      </c>
      <c r="Q114" s="58">
        <f>MAX(-10,MIN(0.8,IFERROR(INDEX(属性耐性マスタ!$B$5:$G$11,MATCH($C114,属性耐性マスタ!$A$5:$A$11,0),2),0)+IFERROR(VLOOKUP($AM114,個性タイプマスタ!$A$5:$P$100,12,FALSE),0)))</f>
        <v>0</v>
      </c>
      <c r="R114" s="58">
        <f>MAX(-10,MIN(0.8,IFERROR(INDEX(属性耐性マスタ!$B$5:$G$11,MATCH($C114,属性耐性マスタ!$A$5:$A$11,0),3),0)+IFERROR(VLOOKUP($AM114,個性タイプマスタ!$A$5:$P$100,12,FALSE),0)))</f>
        <v>0</v>
      </c>
      <c r="S114" s="58">
        <f>MAX(-10,MIN(0.8,IFERROR(INDEX(属性耐性マスタ!$B$5:$G$11,MATCH($C114,属性耐性マスタ!$A$5:$A$11,0),4),0)+IFERROR(VLOOKUP($AM114,個性タイプマスタ!$A$5:$P$100,12,FALSE),0)))</f>
        <v>0</v>
      </c>
      <c r="T114" s="58">
        <f>MAX(-10,MIN(0.8,IFERROR(INDEX(属性耐性マスタ!$B$5:$G$11,MATCH($C114,属性耐性マスタ!$A$5:$A$11,0),5),0)+IFERROR(VLOOKUP($AM114,個性タイプマスタ!$A$5:$P$100,12,FALSE),0)))</f>
        <v>-0.1</v>
      </c>
      <c r="U114" s="58">
        <f>MAX(-10,MIN(0.8,IFERROR(INDEX(属性耐性マスタ!$B$5:$G$11,MATCH($C114,属性耐性マスタ!$A$5:$A$11,0),6),0)+IFERROR(VLOOKUP($AM114,個性タイプマスタ!$A$5:$P$100,12,FALSE),0)))</f>
        <v>0.2</v>
      </c>
      <c r="V114" s="59">
        <f>ROUND(設定!$B$19*IFERROR(VLOOKUP($AM114,個性タイプマスタ!$A$5:$P$100,13,FALSE),1),2)</f>
        <v>4</v>
      </c>
      <c r="W114" s="59">
        <v>19</v>
      </c>
      <c r="X114" s="59" t="str">
        <f>IFERROR(VLOOKUP($AM114,個性タイプマスタ!$A$5:$P$100,2,FALSE),"Ranged")</f>
        <v>Ranged</v>
      </c>
      <c r="Y114" s="56">
        <f>IFERROR(VLOOKUP($AM114,個性タイプマスタ!$A$5:$P$100,3,FALSE),1)</f>
        <v>0.92</v>
      </c>
      <c r="Z114" s="56">
        <f>IFERROR(VLOOKUP($AM114,個性タイプマスタ!$A$5:$P$100,4,FALSE),1)</f>
        <v>0.95</v>
      </c>
      <c r="AA114" s="56">
        <f>IFERROR(VLOOKUP($AM114,個性タイプマスタ!$A$5:$P$100,5,FALSE),1)</f>
        <v>1.05</v>
      </c>
      <c r="AB114" s="56">
        <f>IFERROR(VLOOKUP($AM114,個性タイプマスタ!$A$5:$P$100,6,FALSE),1)</f>
        <v>1.05</v>
      </c>
      <c r="AC114" s="56">
        <f>IFERROR(VLOOKUP($AM114,個性タイプマスタ!$A$5:$P$100,7,FALSE),1)</f>
        <v>1</v>
      </c>
      <c r="AD114" s="56">
        <f>IFERROR(VLOOKUP($AM114,個性タイプマスタ!$A$5:$P$100,8,FALSE),1)</f>
        <v>0.74</v>
      </c>
      <c r="AE114" s="60">
        <f>IFERROR(D114/設定!$B$5,1)</f>
        <v>5.5598999999999998</v>
      </c>
      <c r="AF114" s="60">
        <f>1+設定!$B$13*((I114/設定!$B$8+J114/設定!$B$9)/(2*AE114))</f>
        <v>1.3001402902929908</v>
      </c>
      <c r="AG114" s="60">
        <f>MAX(0.7,1+設定!$B$14*(O114/IF(X114="Melee",1.5,2.5)-1))</f>
        <v>1</v>
      </c>
      <c r="AH114" s="53">
        <f t="shared" si="5"/>
        <v>110.85374999999999</v>
      </c>
      <c r="AI114" s="53">
        <f>E114*AF114*(1+設定!$B$18*AVERAGE(P114:U114))</f>
        <v>670.66436734473643</v>
      </c>
      <c r="AJ114" s="61">
        <f>設定!$B$5*SQRT((AH114/(設定!$B$7*設定!$B$10*(1+設定!$B$11*(設定!$B$12-1))))*(AI114/(設定!$B$6*(1+設定!$B$13))))</f>
        <v>556.7470820479848</v>
      </c>
      <c r="AK114" s="62">
        <f t="shared" si="6"/>
        <v>1.3616828503837386E-3</v>
      </c>
      <c r="AL114" s="63">
        <f t="shared" si="7"/>
        <v>411.43259999999998</v>
      </c>
      <c r="AM114" s="64" t="s">
        <v>881</v>
      </c>
      <c r="AN114" s="54">
        <f>MAX(1,ROUND((設定!$B$7*設定!$B$10*(1+設定!$B$11*(設定!$B$12-1)))*AE114^2*(設定!$B$6*(1+設定!$B$13))/(AI114*N114*(1+K114*(L114-1))*AG114),0))</f>
        <v>103</v>
      </c>
      <c r="AO114" s="65" t="str">
        <f>IF($A114="","",IF(COUNTIF(個性タイプマスタ!$A$5:$A$100,$AM114)&gt;0,"OK","未登録"))</f>
        <v>OK</v>
      </c>
      <c r="AP114" s="67" t="str">
        <f>IF($A114="","",IF(COUNTIF(属性耐性マスタ!$A$5:$A$11,$C114)&gt;0,"OK","未登録"))</f>
        <v>OK</v>
      </c>
    </row>
    <row r="115" spans="1:42">
      <c r="A115" s="66" t="s">
        <v>330</v>
      </c>
      <c r="B115" s="51" t="s">
        <v>331</v>
      </c>
      <c r="C115" s="109" t="s">
        <v>874</v>
      </c>
      <c r="D115" s="53">
        <f>ROUND(設定!$B$5*POWER($D$2,W115-1),2)</f>
        <v>555.99</v>
      </c>
      <c r="E115" s="54">
        <f>MAX(1,ROUND(設定!$B$6*AE115*Y115,0))</f>
        <v>411</v>
      </c>
      <c r="F115" s="54">
        <f>MAX(0,ROUND(設定!$B$7*AE115*設定!$B$15*IF(X115="Melee",0.6,1.35)*IFERROR(VLOOKUP($AM115,個性タイプマスタ!$A$5:$P$100,14,FALSE),1),0))</f>
        <v>77</v>
      </c>
      <c r="G115" s="54">
        <f>IF(X115="Melee",AN115,MAX(1,ROUND(AN115*設定!$B$16*IFERROR(VLOOKUP($AM115,個性タイプマスタ!$A$5:$P$100,15,FALSE),1),0)))</f>
        <v>28</v>
      </c>
      <c r="H115" s="54">
        <f>IF(X115="Ranged",AN115,MAX(1,ROUND(AN115*設定!$B$16*IFERROR(VLOOKUP($AM115,個性タイプマスタ!$A$5:$P$100,15,FALSE),1),0)))</f>
        <v>96</v>
      </c>
      <c r="I115" s="54">
        <f>MAX(0,ROUND(設定!$B$8*AE115*Z115,0))</f>
        <v>32</v>
      </c>
      <c r="J115" s="54">
        <f>MAX(0,ROUND(設定!$B$9*AE115*AA115,0))</f>
        <v>37</v>
      </c>
      <c r="K115" s="55">
        <f>IFERROR(VLOOKUP($AM115,個性タイプマスタ!$A$5:$P$100,9,FALSE),0.05)</f>
        <v>0.05</v>
      </c>
      <c r="L115" s="56">
        <f>IFERROR(VLOOKUP($AM115,個性タイプマスタ!$A$5:$P$100,10,FALSE),1.5)</f>
        <v>1.4</v>
      </c>
      <c r="M115" s="56">
        <f>IFERROR(VLOOKUP($AM115,個性タイプマスタ!$A$5:$P$100,11,FALSE),2)</f>
        <v>3.35</v>
      </c>
      <c r="N115" s="57">
        <f>MAX(0.1,ROUND(設定!$B$10*AB115,3))</f>
        <v>1.55</v>
      </c>
      <c r="O115" s="57">
        <f t="shared" si="4"/>
        <v>2.2999999999999998</v>
      </c>
      <c r="P115" s="58">
        <f>MAX(-10,MIN(0.8,IFERROR(INDEX(属性耐性マスタ!$B$5:$G$11,MATCH($C115,属性耐性マスタ!$A$5:$A$11,0),1),0)+IFERROR(VLOOKUP($AM115,個性タイプマスタ!$A$5:$P$100,12,FALSE),0)))</f>
        <v>-7.0000000000000007E-2</v>
      </c>
      <c r="Q115" s="58">
        <f>MAX(-10,MIN(0.8,IFERROR(INDEX(属性耐性マスタ!$B$5:$G$11,MATCH($C115,属性耐性マスタ!$A$5:$A$11,0),2),0)+IFERROR(VLOOKUP($AM115,個性タイプマスタ!$A$5:$P$100,12,FALSE),0)))</f>
        <v>-7.0000000000000007E-2</v>
      </c>
      <c r="R115" s="58">
        <f>MAX(-10,MIN(0.8,IFERROR(INDEX(属性耐性マスタ!$B$5:$G$11,MATCH($C115,属性耐性マスタ!$A$5:$A$11,0),3),0)+IFERROR(VLOOKUP($AM115,個性タイプマスタ!$A$5:$P$100,12,FALSE),0)))</f>
        <v>-7.0000000000000007E-2</v>
      </c>
      <c r="S115" s="58">
        <f>MAX(-10,MIN(0.8,IFERROR(INDEX(属性耐性マスタ!$B$5:$G$11,MATCH($C115,属性耐性マスタ!$A$5:$A$11,0),4),0)+IFERROR(VLOOKUP($AM115,個性タイプマスタ!$A$5:$P$100,12,FALSE),0)))</f>
        <v>-7.0000000000000007E-2</v>
      </c>
      <c r="T115" s="58">
        <f>MAX(-10,MIN(0.8,IFERROR(INDEX(属性耐性マスタ!$B$5:$G$11,MATCH($C115,属性耐性マスタ!$A$5:$A$11,0),5),0)+IFERROR(VLOOKUP($AM115,個性タイプマスタ!$A$5:$P$100,12,FALSE),0)))</f>
        <v>-0.17</v>
      </c>
      <c r="U115" s="58">
        <f>MAX(-10,MIN(0.8,IFERROR(INDEX(属性耐性マスタ!$B$5:$G$11,MATCH($C115,属性耐性マスタ!$A$5:$A$11,0),6),0)+IFERROR(VLOOKUP($AM115,個性タイプマスタ!$A$5:$P$100,12,FALSE),0)))</f>
        <v>0.13</v>
      </c>
      <c r="V115" s="59">
        <f>ROUND(設定!$B$19*IFERROR(VLOOKUP($AM115,個性タイプマスタ!$A$5:$P$100,13,FALSE),1),2)</f>
        <v>4</v>
      </c>
      <c r="W115" s="59">
        <v>19</v>
      </c>
      <c r="X115" s="59" t="str">
        <f>IFERROR(VLOOKUP($AM115,個性タイプマスタ!$A$5:$P$100,2,FALSE),"Ranged")</f>
        <v>Ranged</v>
      </c>
      <c r="Y115" s="56">
        <f>IFERROR(VLOOKUP($AM115,個性タイプマスタ!$A$5:$P$100,3,FALSE),1)</f>
        <v>0.74</v>
      </c>
      <c r="Z115" s="56">
        <f>IFERROR(VLOOKUP($AM115,個性タイプマスタ!$A$5:$P$100,4,FALSE),1)</f>
        <v>0.72</v>
      </c>
      <c r="AA115" s="56">
        <f>IFERROR(VLOOKUP($AM115,個性タイプマスタ!$A$5:$P$100,5,FALSE),1)</f>
        <v>0.84</v>
      </c>
      <c r="AB115" s="56">
        <f>IFERROR(VLOOKUP($AM115,個性タイプマスタ!$A$5:$P$100,6,FALSE),1)</f>
        <v>1.55</v>
      </c>
      <c r="AC115" s="56">
        <f>IFERROR(VLOOKUP($AM115,個性タイプマスタ!$A$5:$P$100,7,FALSE),1)</f>
        <v>0.92</v>
      </c>
      <c r="AD115" s="56">
        <f>IFERROR(VLOOKUP($AM115,個性タイプマスタ!$A$5:$P$100,8,FALSE),1)</f>
        <v>0.61</v>
      </c>
      <c r="AE115" s="60">
        <f>IFERROR(D115/設定!$B$5,1)</f>
        <v>5.5598999999999998</v>
      </c>
      <c r="AF115" s="60">
        <f>1+設定!$B$13*((I115/設定!$B$8+J115/設定!$B$9)/(2*AE115))</f>
        <v>1.232693034047375</v>
      </c>
      <c r="AG115" s="60">
        <f>MAX(0.7,1+設定!$B$14*(O115/IF(X115="Melee",1.5,2.5)-1))</f>
        <v>0.99039999999999995</v>
      </c>
      <c r="AH115" s="53">
        <f t="shared" si="5"/>
        <v>150.31895040000001</v>
      </c>
      <c r="AI115" s="53">
        <f>E115*AF115*(1+設定!$B$18*AVERAGE(P115:U115))</f>
        <v>494.47755290562776</v>
      </c>
      <c r="AJ115" s="61">
        <f>設定!$B$5*SQRT((AH115/(設定!$B$7*設定!$B$10*(1+設定!$B$11*(設定!$B$12-1))))*(AI115/(設定!$B$6*(1+設定!$B$13))))</f>
        <v>556.68599633572558</v>
      </c>
      <c r="AK115" s="62">
        <f t="shared" si="6"/>
        <v>1.2518144853783664E-3</v>
      </c>
      <c r="AL115" s="63">
        <f t="shared" si="7"/>
        <v>339.15390000000002</v>
      </c>
      <c r="AM115" s="64" t="s">
        <v>908</v>
      </c>
      <c r="AN115" s="54">
        <f>MAX(1,ROUND((設定!$B$7*設定!$B$10*(1+設定!$B$11*(設定!$B$12-1)))*AE115^2*(設定!$B$6*(1+設定!$B$13))/(AI115*N115*(1+K115*(L115-1))*AG115),0))</f>
        <v>96</v>
      </c>
      <c r="AO115" s="65" t="str">
        <f>IF($A115="","",IF(COUNTIF(個性タイプマスタ!$A$5:$A$100,$AM115)&gt;0,"OK","未登録"))</f>
        <v>OK</v>
      </c>
      <c r="AP115" s="67" t="str">
        <f>IF($A115="","",IF(COUNTIF(属性耐性マスタ!$A$5:$A$11,$C115)&gt;0,"OK","未登録"))</f>
        <v>OK</v>
      </c>
    </row>
    <row r="116" spans="1:42">
      <c r="A116" s="66" t="s">
        <v>332</v>
      </c>
      <c r="B116" s="51" t="s">
        <v>333</v>
      </c>
      <c r="C116" s="109" t="s">
        <v>114</v>
      </c>
      <c r="D116" s="53">
        <f>ROUND(設定!$B$5*POWER($D$2,W116-1),2)</f>
        <v>555.99</v>
      </c>
      <c r="E116" s="54">
        <f>MAX(1,ROUND(設定!$B$6*AE116*Y116,0))</f>
        <v>367</v>
      </c>
      <c r="F116" s="54">
        <f>MAX(0,ROUND(設定!$B$7*AE116*設定!$B$15*IF(X116="Melee",0.6,1.35)*IFERROR(VLOOKUP($AM116,個性タイプマスタ!$A$5:$P$100,14,FALSE),1),0))</f>
        <v>22</v>
      </c>
      <c r="G116" s="54">
        <f>IF(X116="Melee",AN116,MAX(1,ROUND(AN116*設定!$B$16*IFERROR(VLOOKUP($AM116,個性タイプマスタ!$A$5:$P$100,15,FALSE),1),0)))</f>
        <v>99</v>
      </c>
      <c r="H116" s="54">
        <f>IF(X116="Ranged",AN116,MAX(1,ROUND(AN116*設定!$B$16*IFERROR(VLOOKUP($AM116,個性タイプマスタ!$A$5:$P$100,15,FALSE),1),0)))</f>
        <v>25</v>
      </c>
      <c r="I116" s="54">
        <f>MAX(0,ROUND(設定!$B$8*AE116*Z116,0))</f>
        <v>31</v>
      </c>
      <c r="J116" s="54">
        <f>MAX(0,ROUND(設定!$B$9*AE116*AA116,0))</f>
        <v>32</v>
      </c>
      <c r="K116" s="55">
        <f>IFERROR(VLOOKUP($AM116,個性タイプマスタ!$A$5:$P$100,9,FALSE),0.05)</f>
        <v>0.21</v>
      </c>
      <c r="L116" s="56">
        <f>IFERROR(VLOOKUP($AM116,個性タイプマスタ!$A$5:$P$100,10,FALSE),1.5)</f>
        <v>1.78</v>
      </c>
      <c r="M116" s="56">
        <f>IFERROR(VLOOKUP($AM116,個性タイプマスタ!$A$5:$P$100,11,FALSE),2)</f>
        <v>4.05</v>
      </c>
      <c r="N116" s="57">
        <f>MAX(0.1,ROUND(設定!$B$10*AB116,3))</f>
        <v>1.56</v>
      </c>
      <c r="O116" s="57">
        <f t="shared" si="4"/>
        <v>0.9</v>
      </c>
      <c r="P116" s="58">
        <f>MAX(-10,MIN(0.8,IFERROR(INDEX(属性耐性マスタ!$B$5:$G$11,MATCH($C116,属性耐性マスタ!$A$5:$A$11,0),1),0)+IFERROR(VLOOKUP($AM116,個性タイプマスタ!$A$5:$P$100,12,FALSE),0)))</f>
        <v>-0.08</v>
      </c>
      <c r="Q116" s="58">
        <f>MAX(-10,MIN(0.8,IFERROR(INDEX(属性耐性マスタ!$B$5:$G$11,MATCH($C116,属性耐性マスタ!$A$5:$A$11,0),2),0)+IFERROR(VLOOKUP($AM116,個性タイプマスタ!$A$5:$P$100,12,FALSE),0)))</f>
        <v>-0.08</v>
      </c>
      <c r="R116" s="58">
        <f>MAX(-10,MIN(0.8,IFERROR(INDEX(属性耐性マスタ!$B$5:$G$11,MATCH($C116,属性耐性マスタ!$A$5:$A$11,0),3),0)+IFERROR(VLOOKUP($AM116,個性タイプマスタ!$A$5:$P$100,12,FALSE),0)))</f>
        <v>0.12000000000000001</v>
      </c>
      <c r="S116" s="58">
        <f>MAX(-10,MIN(0.8,IFERROR(INDEX(属性耐性マスタ!$B$5:$G$11,MATCH($C116,属性耐性マスタ!$A$5:$A$11,0),4),0)+IFERROR(VLOOKUP($AM116,個性タイプマスタ!$A$5:$P$100,12,FALSE),0)))</f>
        <v>-0.18</v>
      </c>
      <c r="T116" s="58">
        <f>MAX(-10,MIN(0.8,IFERROR(INDEX(属性耐性マスタ!$B$5:$G$11,MATCH($C116,属性耐性マスタ!$A$5:$A$11,0),5),0)+IFERROR(VLOOKUP($AM116,個性タイプマスタ!$A$5:$P$100,12,FALSE),0)))</f>
        <v>-0.08</v>
      </c>
      <c r="U116" s="58">
        <f>MAX(-10,MIN(0.8,IFERROR(INDEX(属性耐性マスタ!$B$5:$G$11,MATCH($C116,属性耐性マスタ!$A$5:$A$11,0),6),0)+IFERROR(VLOOKUP($AM116,個性タイプマスタ!$A$5:$P$100,12,FALSE),0)))</f>
        <v>-0.08</v>
      </c>
      <c r="V116" s="59">
        <f>ROUND(設定!$B$19*IFERROR(VLOOKUP($AM116,個性タイプマスタ!$A$5:$P$100,13,FALSE),1),2)</f>
        <v>5</v>
      </c>
      <c r="W116" s="59">
        <v>19</v>
      </c>
      <c r="X116" s="59" t="str">
        <f>IFERROR(VLOOKUP($AM116,個性タイプマスタ!$A$5:$P$100,2,FALSE),"Ranged")</f>
        <v>Melee</v>
      </c>
      <c r="Y116" s="56">
        <f>IFERROR(VLOOKUP($AM116,個性タイプマスタ!$A$5:$P$100,3,FALSE),1)</f>
        <v>0.66</v>
      </c>
      <c r="Z116" s="56">
        <f>IFERROR(VLOOKUP($AM116,個性タイプマスタ!$A$5:$P$100,4,FALSE),1)</f>
        <v>0.7</v>
      </c>
      <c r="AA116" s="56">
        <f>IFERROR(VLOOKUP($AM116,個性タイプマスタ!$A$5:$P$100,5,FALSE),1)</f>
        <v>0.71</v>
      </c>
      <c r="AB116" s="56">
        <f>IFERROR(VLOOKUP($AM116,個性タイプマスタ!$A$5:$P$100,6,FALSE),1)</f>
        <v>1.56</v>
      </c>
      <c r="AC116" s="56">
        <f>IFERROR(VLOOKUP($AM116,個性タイプマスタ!$A$5:$P$100,7,FALSE),1)</f>
        <v>0.6</v>
      </c>
      <c r="AD116" s="56">
        <f>IFERROR(VLOOKUP($AM116,個性タイプマスタ!$A$5:$P$100,8,FALSE),1)</f>
        <v>0.6</v>
      </c>
      <c r="AE116" s="60">
        <f>IFERROR(D116/設定!$B$5,1)</f>
        <v>5.5598999999999998</v>
      </c>
      <c r="AF116" s="60">
        <f>1+設定!$B$13*((I116/設定!$B$8+J116/設定!$B$9)/(2*AE116))</f>
        <v>1.2124588571736903</v>
      </c>
      <c r="AG116" s="60">
        <f>MAX(0.7,1+設定!$B$14*(O116/IF(X116="Melee",1.5,2.5)-1))</f>
        <v>0.95199999999999996</v>
      </c>
      <c r="AH116" s="53">
        <f t="shared" si="5"/>
        <v>171.10988294399999</v>
      </c>
      <c r="AI116" s="53">
        <f>E116*AF116*(1+設定!$B$18*AVERAGE(P116:U116))</f>
        <v>432.29068716613614</v>
      </c>
      <c r="AJ116" s="61">
        <f>設定!$B$5*SQRT((AH116/(設定!$B$7*設定!$B$10*(1+設定!$B$11*(設定!$B$12-1))))*(AI116/(設定!$B$6*(1+設定!$B$13))))</f>
        <v>555.33574134114474</v>
      </c>
      <c r="AK116" s="62">
        <f t="shared" si="6"/>
        <v>-1.1767453710592735E-3</v>
      </c>
      <c r="AL116" s="63">
        <f t="shared" si="7"/>
        <v>333.59399999999999</v>
      </c>
      <c r="AM116" s="64" t="s">
        <v>960</v>
      </c>
      <c r="AN116" s="54">
        <f>MAX(1,ROUND((設定!$B$7*設定!$B$10*(1+設定!$B$11*(設定!$B$12-1)))*AE116^2*(設定!$B$6*(1+設定!$B$13))/(AI116*N116*(1+K116*(L116-1))*AG116),0))</f>
        <v>99</v>
      </c>
      <c r="AO116" s="65" t="str">
        <f>IF($A116="","",IF(COUNTIF(個性タイプマスタ!$A$5:$A$100,$AM116)&gt;0,"OK","未登録"))</f>
        <v>OK</v>
      </c>
      <c r="AP116" s="67" t="str">
        <f>IF($A116="","",IF(COUNTIF(属性耐性マスタ!$A$5:$A$11,$C116)&gt;0,"OK","未登録"))</f>
        <v>OK</v>
      </c>
    </row>
    <row r="117" spans="1:42">
      <c r="A117" s="66" t="s">
        <v>334</v>
      </c>
      <c r="B117" s="51" t="s">
        <v>335</v>
      </c>
      <c r="C117" s="109" t="s">
        <v>871</v>
      </c>
      <c r="D117" s="53">
        <f>ROUND(設定!$B$5*POWER($D$2,W117-1),2)</f>
        <v>555.99</v>
      </c>
      <c r="E117" s="54">
        <f>MAX(1,ROUND(設定!$B$6*AE117*Y117,0))</f>
        <v>445</v>
      </c>
      <c r="F117" s="54">
        <f>MAX(0,ROUND(設定!$B$7*AE117*設定!$B$15*IF(X117="Melee",0.6,1.35)*IFERROR(VLOOKUP($AM117,個性タイプマスタ!$A$5:$P$100,14,FALSE),1),0))</f>
        <v>38</v>
      </c>
      <c r="G117" s="54">
        <f>IF(X117="Melee",AN117,MAX(1,ROUND(AN117*設定!$B$16*IFERROR(VLOOKUP($AM117,個性タイプマスタ!$A$5:$P$100,15,FALSE),1),0)))</f>
        <v>102</v>
      </c>
      <c r="H117" s="54">
        <f>IF(X117="Ranged",AN117,MAX(1,ROUND(AN117*設定!$B$16*IFERROR(VLOOKUP($AM117,個性タイプマスタ!$A$5:$P$100,15,FALSE),1),0)))</f>
        <v>32</v>
      </c>
      <c r="I117" s="54">
        <f>MAX(0,ROUND(設定!$B$8*AE117*Z117,0))</f>
        <v>34</v>
      </c>
      <c r="J117" s="54">
        <f>MAX(0,ROUND(設定!$B$9*AE117*AA117,0))</f>
        <v>37</v>
      </c>
      <c r="K117" s="55">
        <f>IFERROR(VLOOKUP($AM117,個性タイプマスタ!$A$5:$P$100,9,FALSE),0.05)</f>
        <v>6.5000000000000002E-2</v>
      </c>
      <c r="L117" s="56">
        <f>IFERROR(VLOOKUP($AM117,個性タイプマスタ!$A$5:$P$100,10,FALSE),1.5)</f>
        <v>1.46</v>
      </c>
      <c r="M117" s="56">
        <f>IFERROR(VLOOKUP($AM117,個性タイプマスタ!$A$5:$P$100,11,FALSE),2)</f>
        <v>3.88</v>
      </c>
      <c r="N117" s="57">
        <f>MAX(0.1,ROUND(設定!$B$10*AB117,3))</f>
        <v>1.29</v>
      </c>
      <c r="O117" s="57">
        <f t="shared" si="4"/>
        <v>1.5449999999999999</v>
      </c>
      <c r="P117" s="58">
        <f>MAX(-10,MIN(0.8,IFERROR(INDEX(属性耐性マスタ!$B$5:$G$11,MATCH($C117,属性耐性マスタ!$A$5:$A$11,0),1),0)+IFERROR(VLOOKUP($AM117,個性タイプマスタ!$A$5:$P$100,12,FALSE),0)))</f>
        <v>-0.04</v>
      </c>
      <c r="Q117" s="58">
        <f>MAX(-10,MIN(0.8,IFERROR(INDEX(属性耐性マスタ!$B$5:$G$11,MATCH($C117,属性耐性マスタ!$A$5:$A$11,0),2),0)+IFERROR(VLOOKUP($AM117,個性タイプマスタ!$A$5:$P$100,12,FALSE),0)))</f>
        <v>-0.04</v>
      </c>
      <c r="R117" s="58">
        <f>MAX(-10,MIN(0.8,IFERROR(INDEX(属性耐性マスタ!$B$5:$G$11,MATCH($C117,属性耐性マスタ!$A$5:$A$11,0),3),0)+IFERROR(VLOOKUP($AM117,個性タイプマスタ!$A$5:$P$100,12,FALSE),0)))</f>
        <v>-0.14000000000000001</v>
      </c>
      <c r="S117" s="58">
        <f>MAX(-10,MIN(0.8,IFERROR(INDEX(属性耐性マスタ!$B$5:$G$11,MATCH($C117,属性耐性マスタ!$A$5:$A$11,0),4),0)+IFERROR(VLOOKUP($AM117,個性タイプマスタ!$A$5:$P$100,12,FALSE),0)))</f>
        <v>0.16</v>
      </c>
      <c r="T117" s="58">
        <f>MAX(-10,MIN(0.8,IFERROR(INDEX(属性耐性マスタ!$B$5:$G$11,MATCH($C117,属性耐性マスタ!$A$5:$A$11,0),5),0)+IFERROR(VLOOKUP($AM117,個性タイプマスタ!$A$5:$P$100,12,FALSE),0)))</f>
        <v>-0.04</v>
      </c>
      <c r="U117" s="58">
        <f>MAX(-10,MIN(0.8,IFERROR(INDEX(属性耐性マスタ!$B$5:$G$11,MATCH($C117,属性耐性マスタ!$A$5:$A$11,0),6),0)+IFERROR(VLOOKUP($AM117,個性タイプマスタ!$A$5:$P$100,12,FALSE),0)))</f>
        <v>-0.04</v>
      </c>
      <c r="V117" s="59">
        <f>ROUND(設定!$B$19*IFERROR(VLOOKUP($AM117,個性タイプマスタ!$A$5:$P$100,13,FALSE),1),2)</f>
        <v>9.1999999999999993</v>
      </c>
      <c r="W117" s="59">
        <v>19</v>
      </c>
      <c r="X117" s="59" t="str">
        <f>IFERROR(VLOOKUP($AM117,個性タイプマスタ!$A$5:$P$100,2,FALSE),"Ranged")</f>
        <v>Melee</v>
      </c>
      <c r="Y117" s="56">
        <f>IFERROR(VLOOKUP($AM117,個性タイプマスタ!$A$5:$P$100,3,FALSE),1)</f>
        <v>0.8</v>
      </c>
      <c r="Z117" s="56">
        <f>IFERROR(VLOOKUP($AM117,個性タイプマスタ!$A$5:$P$100,4,FALSE),1)</f>
        <v>0.77</v>
      </c>
      <c r="AA117" s="56">
        <f>IFERROR(VLOOKUP($AM117,個性タイプマスタ!$A$5:$P$100,5,FALSE),1)</f>
        <v>0.83</v>
      </c>
      <c r="AB117" s="56">
        <f>IFERROR(VLOOKUP($AM117,個性タイプマスタ!$A$5:$P$100,6,FALSE),1)</f>
        <v>1.29</v>
      </c>
      <c r="AC117" s="56">
        <f>IFERROR(VLOOKUP($AM117,個性タイプマスタ!$A$5:$P$100,7,FALSE),1)</f>
        <v>1.03</v>
      </c>
      <c r="AD117" s="56">
        <f>IFERROR(VLOOKUP($AM117,個性タイプマスタ!$A$5:$P$100,8,FALSE),1)</f>
        <v>0.71</v>
      </c>
      <c r="AE117" s="60">
        <f>IFERROR(D117/設定!$B$5,1)</f>
        <v>5.5598999999999998</v>
      </c>
      <c r="AF117" s="60">
        <f>1+設定!$B$13*((I117/設定!$B$8+J117/設定!$B$9)/(2*AE117))</f>
        <v>1.2394377596719366</v>
      </c>
      <c r="AG117" s="60">
        <f>MAX(0.7,1+設定!$B$14*(O117/IF(X117="Melee",1.5,2.5)-1))</f>
        <v>1.0036</v>
      </c>
      <c r="AH117" s="53">
        <f t="shared" si="5"/>
        <v>136.00209327120004</v>
      </c>
      <c r="AI117" s="53">
        <f>E117*AF117*(1+設定!$B$18*AVERAGE(P117:U117))</f>
        <v>545.75853012194477</v>
      </c>
      <c r="AJ117" s="61">
        <f>設定!$B$5*SQRT((AH117/(設定!$B$7*設定!$B$10*(1+設定!$B$11*(設定!$B$12-1))))*(AI117/(設定!$B$6*(1+設定!$B$13))))</f>
        <v>556.29249544893082</v>
      </c>
      <c r="AK117" s="62">
        <f t="shared" si="6"/>
        <v>5.4406634819126332E-4</v>
      </c>
      <c r="AL117" s="63">
        <f t="shared" si="7"/>
        <v>394.75290000000001</v>
      </c>
      <c r="AM117" s="64" t="s">
        <v>974</v>
      </c>
      <c r="AN117" s="54">
        <f>MAX(1,ROUND((設定!$B$7*設定!$B$10*(1+設定!$B$11*(設定!$B$12-1)))*AE117^2*(設定!$B$6*(1+設定!$B$13))/(AI117*N117*(1+K117*(L117-1))*AG117),0))</f>
        <v>102</v>
      </c>
      <c r="AO117" s="65" t="str">
        <f>IF($A117="","",IF(COUNTIF(個性タイプマスタ!$A$5:$A$100,$AM117)&gt;0,"OK","未登録"))</f>
        <v>OK</v>
      </c>
      <c r="AP117" s="67" t="str">
        <f>IF($A117="","",IF(COUNTIF(属性耐性マスタ!$A$5:$A$11,$C117)&gt;0,"OK","未登録"))</f>
        <v>OK</v>
      </c>
    </row>
    <row r="118" spans="1:42">
      <c r="A118" s="66" t="s">
        <v>336</v>
      </c>
      <c r="B118" s="51" t="s">
        <v>337</v>
      </c>
      <c r="C118" s="109" t="s">
        <v>874</v>
      </c>
      <c r="D118" s="53">
        <f>ROUND(設定!$B$5*POWER($D$2,W118-1),2)</f>
        <v>555.99</v>
      </c>
      <c r="E118" s="54">
        <f>MAX(1,ROUND(設定!$B$6*AE118*Y118,0))</f>
        <v>667</v>
      </c>
      <c r="F118" s="54">
        <f>MAX(0,ROUND(設定!$B$7*AE118*設定!$B$15*IF(X118="Melee",0.6,1.35)*IFERROR(VLOOKUP($AM118,個性タイプマスタ!$A$5:$P$100,14,FALSE),1),0))</f>
        <v>81</v>
      </c>
      <c r="G118" s="54">
        <f>IF(X118="Melee",AN118,MAX(1,ROUND(AN118*設定!$B$16*IFERROR(VLOOKUP($AM118,個性タイプマスタ!$A$5:$P$100,15,FALSE),1),0)))</f>
        <v>36</v>
      </c>
      <c r="H118" s="54">
        <f>IF(X118="Ranged",AN118,MAX(1,ROUND(AN118*設定!$B$16*IFERROR(VLOOKUP($AM118,個性タイプマスタ!$A$5:$P$100,15,FALSE),1),0)))</f>
        <v>79</v>
      </c>
      <c r="I118" s="54">
        <f>MAX(0,ROUND(設定!$B$8*AE118*Z118,0))</f>
        <v>58</v>
      </c>
      <c r="J118" s="54">
        <f>MAX(0,ROUND(設定!$B$9*AE118*AA118,0))</f>
        <v>38</v>
      </c>
      <c r="K118" s="55">
        <f>IFERROR(VLOOKUP($AM118,個性タイプマスタ!$A$5:$P$100,9,FALSE),0.05)</f>
        <v>0.08</v>
      </c>
      <c r="L118" s="56">
        <f>IFERROR(VLOOKUP($AM118,個性タイプマスタ!$A$5:$P$100,10,FALSE),1.5)</f>
        <v>1.6</v>
      </c>
      <c r="M118" s="56">
        <f>IFERROR(VLOOKUP($AM118,個性タイプマスタ!$A$5:$P$100,11,FALSE),2)</f>
        <v>2.8</v>
      </c>
      <c r="N118" s="57">
        <f>MAX(0.1,ROUND(設定!$B$10*AB118,3))</f>
        <v>1</v>
      </c>
      <c r="O118" s="57">
        <f t="shared" si="4"/>
        <v>2.5</v>
      </c>
      <c r="P118" s="58">
        <f>MAX(-10,MIN(0.8,IFERROR(INDEX(属性耐性マスタ!$B$5:$G$11,MATCH($C118,属性耐性マスタ!$A$5:$A$11,0),1),0)+IFERROR(VLOOKUP($AM118,個性タイプマスタ!$A$5:$P$100,12,FALSE),0)))</f>
        <v>1.4999999999999999E-2</v>
      </c>
      <c r="Q118" s="58">
        <f>MAX(-10,MIN(0.8,IFERROR(INDEX(属性耐性マスタ!$B$5:$G$11,MATCH($C118,属性耐性マスタ!$A$5:$A$11,0),2),0)+IFERROR(VLOOKUP($AM118,個性タイプマスタ!$A$5:$P$100,12,FALSE),0)))</f>
        <v>1.4999999999999999E-2</v>
      </c>
      <c r="R118" s="58">
        <f>MAX(-10,MIN(0.8,IFERROR(INDEX(属性耐性マスタ!$B$5:$G$11,MATCH($C118,属性耐性マスタ!$A$5:$A$11,0),3),0)+IFERROR(VLOOKUP($AM118,個性タイプマスタ!$A$5:$P$100,12,FALSE),0)))</f>
        <v>1.4999999999999999E-2</v>
      </c>
      <c r="S118" s="58">
        <f>MAX(-10,MIN(0.8,IFERROR(INDEX(属性耐性マスタ!$B$5:$G$11,MATCH($C118,属性耐性マスタ!$A$5:$A$11,0),4),0)+IFERROR(VLOOKUP($AM118,個性タイプマスタ!$A$5:$P$100,12,FALSE),0)))</f>
        <v>1.4999999999999999E-2</v>
      </c>
      <c r="T118" s="58">
        <f>MAX(-10,MIN(0.8,IFERROR(INDEX(属性耐性マスタ!$B$5:$G$11,MATCH($C118,属性耐性マスタ!$A$5:$A$11,0),5),0)+IFERROR(VLOOKUP($AM118,個性タイプマスタ!$A$5:$P$100,12,FALSE),0)))</f>
        <v>-8.5000000000000006E-2</v>
      </c>
      <c r="U118" s="58">
        <f>MAX(-10,MIN(0.8,IFERROR(INDEX(属性耐性マスタ!$B$5:$G$11,MATCH($C118,属性耐性マスタ!$A$5:$A$11,0),6),0)+IFERROR(VLOOKUP($AM118,個性タイプマスタ!$A$5:$P$100,12,FALSE),0)))</f>
        <v>0.21500000000000002</v>
      </c>
      <c r="V118" s="59">
        <f>ROUND(設定!$B$19*IFERROR(VLOOKUP($AM118,個性タイプマスタ!$A$5:$P$100,13,FALSE),1),2)</f>
        <v>4</v>
      </c>
      <c r="W118" s="59">
        <v>19</v>
      </c>
      <c r="X118" s="59" t="str">
        <f>IFERROR(VLOOKUP($AM118,個性タイプマスタ!$A$5:$P$100,2,FALSE),"Ranged")</f>
        <v>Ranged</v>
      </c>
      <c r="Y118" s="56">
        <f>IFERROR(VLOOKUP($AM118,個性タイプマスタ!$A$5:$P$100,3,FALSE),1)</f>
        <v>1.2</v>
      </c>
      <c r="Z118" s="56">
        <f>IFERROR(VLOOKUP($AM118,個性タイプマスタ!$A$5:$P$100,4,FALSE),1)</f>
        <v>1.3</v>
      </c>
      <c r="AA118" s="56">
        <f>IFERROR(VLOOKUP($AM118,個性タイプマスタ!$A$5:$P$100,5,FALSE),1)</f>
        <v>0.85</v>
      </c>
      <c r="AB118" s="56">
        <f>IFERROR(VLOOKUP($AM118,個性タイプマスタ!$A$5:$P$100,6,FALSE),1)</f>
        <v>1</v>
      </c>
      <c r="AC118" s="56">
        <f>IFERROR(VLOOKUP($AM118,個性タイプマスタ!$A$5:$P$100,7,FALSE),1)</f>
        <v>1</v>
      </c>
      <c r="AD118" s="56">
        <f>IFERROR(VLOOKUP($AM118,個性タイプマスタ!$A$5:$P$100,8,FALSE),1)</f>
        <v>0.85</v>
      </c>
      <c r="AE118" s="60">
        <f>IFERROR(D118/設定!$B$5,1)</f>
        <v>5.5598999999999998</v>
      </c>
      <c r="AF118" s="60">
        <f>1+設定!$B$13*((I118/設定!$B$8+J118/設定!$B$9)/(2*AE118))</f>
        <v>1.3237468299789565</v>
      </c>
      <c r="AG118" s="60">
        <f>MAX(0.7,1+設定!$B$14*(O118/IF(X118="Melee",1.5,2.5)-1))</f>
        <v>1</v>
      </c>
      <c r="AH118" s="53">
        <f t="shared" si="5"/>
        <v>82.792000000000002</v>
      </c>
      <c r="AI118" s="53">
        <f>E118*AF118*(1+設定!$B$18*AVERAGE(P118:U118))</f>
        <v>895.52101827820661</v>
      </c>
      <c r="AJ118" s="61">
        <f>設定!$B$5*SQRT((AH118/(設定!$B$7*設定!$B$10*(1+設定!$B$11*(設定!$B$12-1))))*(AI118/(設定!$B$6*(1+設定!$B$13))))</f>
        <v>555.98390212083291</v>
      </c>
      <c r="AK118" s="62">
        <f t="shared" si="6"/>
        <v>-1.0967605832967742E-5</v>
      </c>
      <c r="AL118" s="63">
        <f t="shared" si="7"/>
        <v>472.5915</v>
      </c>
      <c r="AM118" s="64" t="s">
        <v>894</v>
      </c>
      <c r="AN118" s="54">
        <f>MAX(1,ROUND((設定!$B$7*設定!$B$10*(1+設定!$B$11*(設定!$B$12-1)))*AE118^2*(設定!$B$6*(1+設定!$B$13))/(AI118*N118*(1+K118*(L118-1))*AG118),0))</f>
        <v>79</v>
      </c>
      <c r="AO118" s="65" t="str">
        <f>IF($A118="","",IF(COUNTIF(個性タイプマスタ!$A$5:$A$100,$AM118)&gt;0,"OK","未登録"))</f>
        <v>OK</v>
      </c>
      <c r="AP118" s="67" t="str">
        <f>IF($A118="","",IF(COUNTIF(属性耐性マスタ!$A$5:$A$11,$C118)&gt;0,"OK","未登録"))</f>
        <v>OK</v>
      </c>
    </row>
    <row r="119" spans="1:42">
      <c r="A119" s="66" t="s">
        <v>338</v>
      </c>
      <c r="B119" s="51" t="s">
        <v>339</v>
      </c>
      <c r="C119" s="109" t="s">
        <v>114</v>
      </c>
      <c r="D119" s="53">
        <f>ROUND(設定!$B$5*POWER($D$2,W119-1),2)</f>
        <v>611.59</v>
      </c>
      <c r="E119" s="54">
        <f>MAX(1,ROUND(設定!$B$6*AE119*Y119,0))</f>
        <v>502</v>
      </c>
      <c r="F119" s="54">
        <f>MAX(0,ROUND(設定!$B$7*AE119*設定!$B$15*IF(X119="Melee",0.6,1.35)*IFERROR(VLOOKUP($AM119,個性タイプマスタ!$A$5:$P$100,14,FALSE),1),0))</f>
        <v>80</v>
      </c>
      <c r="G119" s="54">
        <f>IF(X119="Melee",AN119,MAX(1,ROUND(AN119*設定!$B$16*IFERROR(VLOOKUP($AM119,個性タイプマスタ!$A$5:$P$100,15,FALSE),1),0)))</f>
        <v>62</v>
      </c>
      <c r="H119" s="54">
        <f>IF(X119="Ranged",AN119,MAX(1,ROUND(AN119*設定!$B$16*IFERROR(VLOOKUP($AM119,個性タイプマスタ!$A$5:$P$100,15,FALSE),1),0)))</f>
        <v>137</v>
      </c>
      <c r="I119" s="54">
        <f>MAX(0,ROUND(設定!$B$8*AE119*Z119,0))</f>
        <v>42</v>
      </c>
      <c r="J119" s="54">
        <f>MAX(0,ROUND(設定!$B$9*AE119*AA119,0))</f>
        <v>49</v>
      </c>
      <c r="K119" s="55">
        <f>IFERROR(VLOOKUP($AM119,個性タイプマスタ!$A$5:$P$100,9,FALSE),0.05)</f>
        <v>0.05</v>
      </c>
      <c r="L119" s="56">
        <f>IFERROR(VLOOKUP($AM119,個性タイプマスタ!$A$5:$P$100,10,FALSE),1.5)</f>
        <v>1.5</v>
      </c>
      <c r="M119" s="56">
        <f>IFERROR(VLOOKUP($AM119,個性タイプマスタ!$A$5:$P$100,11,FALSE),2)</f>
        <v>2</v>
      </c>
      <c r="N119" s="57">
        <f>MAX(0.1,ROUND(設定!$B$10*AB119,3))</f>
        <v>1</v>
      </c>
      <c r="O119" s="57">
        <f t="shared" si="4"/>
        <v>2.5</v>
      </c>
      <c r="P119" s="58">
        <f>MAX(-10,MIN(0.8,IFERROR(INDEX(属性耐性マスタ!$B$5:$G$11,MATCH($C119,属性耐性マスタ!$A$5:$A$11,0),1),0)+IFERROR(VLOOKUP($AM119,個性タイプマスタ!$A$5:$P$100,12,FALSE),0)))</f>
        <v>-0.02</v>
      </c>
      <c r="Q119" s="58">
        <f>MAX(-10,MIN(0.8,IFERROR(INDEX(属性耐性マスタ!$B$5:$G$11,MATCH($C119,属性耐性マスタ!$A$5:$A$11,0),2),0)+IFERROR(VLOOKUP($AM119,個性タイプマスタ!$A$5:$P$100,12,FALSE),0)))</f>
        <v>-0.02</v>
      </c>
      <c r="R119" s="58">
        <f>MAX(-10,MIN(0.8,IFERROR(INDEX(属性耐性マスタ!$B$5:$G$11,MATCH($C119,属性耐性マスタ!$A$5:$A$11,0),3),0)+IFERROR(VLOOKUP($AM119,個性タイプマスタ!$A$5:$P$100,12,FALSE),0)))</f>
        <v>0.18000000000000002</v>
      </c>
      <c r="S119" s="58">
        <f>MAX(-10,MIN(0.8,IFERROR(INDEX(属性耐性マスタ!$B$5:$G$11,MATCH($C119,属性耐性マスタ!$A$5:$A$11,0),4),0)+IFERROR(VLOOKUP($AM119,個性タイプマスタ!$A$5:$P$100,12,FALSE),0)))</f>
        <v>-0.12000000000000001</v>
      </c>
      <c r="T119" s="58">
        <f>MAX(-10,MIN(0.8,IFERROR(INDEX(属性耐性マスタ!$B$5:$G$11,MATCH($C119,属性耐性マスタ!$A$5:$A$11,0),5),0)+IFERROR(VLOOKUP($AM119,個性タイプマスタ!$A$5:$P$100,12,FALSE),0)))</f>
        <v>-0.02</v>
      </c>
      <c r="U119" s="58">
        <f>MAX(-10,MIN(0.8,IFERROR(INDEX(属性耐性マスタ!$B$5:$G$11,MATCH($C119,属性耐性マスタ!$A$5:$A$11,0),6),0)+IFERROR(VLOOKUP($AM119,個性タイプマスタ!$A$5:$P$100,12,FALSE),0)))</f>
        <v>-0.02</v>
      </c>
      <c r="V119" s="59">
        <f>ROUND(設定!$B$19*IFERROR(VLOOKUP($AM119,個性タイプマスタ!$A$5:$P$100,13,FALSE),1),2)</f>
        <v>4</v>
      </c>
      <c r="W119" s="59">
        <v>20</v>
      </c>
      <c r="X119" s="59" t="str">
        <f>IFERROR(VLOOKUP($AM119,個性タイプマスタ!$A$5:$P$100,2,FALSE),"Ranged")</f>
        <v>Ranged</v>
      </c>
      <c r="Y119" s="56">
        <f>IFERROR(VLOOKUP($AM119,個性タイプマスタ!$A$5:$P$100,3,FALSE),1)</f>
        <v>0.82</v>
      </c>
      <c r="Z119" s="56">
        <f>IFERROR(VLOOKUP($AM119,個性タイプマスタ!$A$5:$P$100,4,FALSE),1)</f>
        <v>0.85</v>
      </c>
      <c r="AA119" s="56">
        <f>IFERROR(VLOOKUP($AM119,個性タイプマスタ!$A$5:$P$100,5,FALSE),1)</f>
        <v>1</v>
      </c>
      <c r="AB119" s="56">
        <f>IFERROR(VLOOKUP($AM119,個性タイプマスタ!$A$5:$P$100,6,FALSE),1)</f>
        <v>1</v>
      </c>
      <c r="AC119" s="56">
        <f>IFERROR(VLOOKUP($AM119,個性タイプマスタ!$A$5:$P$100,7,FALSE),1)</f>
        <v>1</v>
      </c>
      <c r="AD119" s="56">
        <f>IFERROR(VLOOKUP($AM119,個性タイプマスタ!$A$5:$P$100,8,FALSE),1)</f>
        <v>0.68</v>
      </c>
      <c r="AE119" s="60">
        <f>IFERROR(D119/設定!$B$5,1)</f>
        <v>6.1158999999999999</v>
      </c>
      <c r="AF119" s="60">
        <f>1+設定!$B$13*((I119/設定!$B$8+J119/設定!$B$9)/(2*AE119))</f>
        <v>1.2789859219411697</v>
      </c>
      <c r="AG119" s="60">
        <f>MAX(0.7,1+設定!$B$14*(O119/IF(X119="Melee",1.5,2.5)-1))</f>
        <v>1</v>
      </c>
      <c r="AH119" s="53">
        <f t="shared" si="5"/>
        <v>140.42499999999998</v>
      </c>
      <c r="AI119" s="53">
        <f>E119*AF119*(1+設定!$B$18*AVERAGE(P119:U119))</f>
        <v>641.08785641524548</v>
      </c>
      <c r="AJ119" s="61">
        <f>設定!$B$5*SQRT((AH119/(設定!$B$7*設定!$B$10*(1+設定!$B$11*(設定!$B$12-1))))*(AI119/(設定!$B$6*(1+設定!$B$13))))</f>
        <v>612.64815521575485</v>
      </c>
      <c r="AK119" s="62">
        <f t="shared" si="6"/>
        <v>1.7301708918635583E-3</v>
      </c>
      <c r="AL119" s="63">
        <f t="shared" si="7"/>
        <v>415.88120000000004</v>
      </c>
      <c r="AM119" s="64" t="s">
        <v>878</v>
      </c>
      <c r="AN119" s="54">
        <f>MAX(1,ROUND((設定!$B$7*設定!$B$10*(1+設定!$B$11*(設定!$B$12-1)))*AE119^2*(設定!$B$6*(1+設定!$B$13))/(AI119*N119*(1+K119*(L119-1))*AG119),0))</f>
        <v>137</v>
      </c>
      <c r="AO119" s="65" t="str">
        <f>IF($A119="","",IF(COUNTIF(個性タイプマスタ!$A$5:$A$100,$AM119)&gt;0,"OK","未登録"))</f>
        <v>OK</v>
      </c>
      <c r="AP119" s="67" t="str">
        <f>IF($A119="","",IF(COUNTIF(属性耐性マスタ!$A$5:$A$11,$C119)&gt;0,"OK","未登録"))</f>
        <v>OK</v>
      </c>
    </row>
    <row r="120" spans="1:42">
      <c r="A120" s="66" t="s">
        <v>340</v>
      </c>
      <c r="B120" s="51" t="s">
        <v>341</v>
      </c>
      <c r="C120" s="109" t="s">
        <v>108</v>
      </c>
      <c r="D120" s="53">
        <f>ROUND(設定!$B$5*POWER($D$2,W120-1),2)</f>
        <v>611.59</v>
      </c>
      <c r="E120" s="54">
        <f>MAX(1,ROUND(設定!$B$6*AE120*Y120,0))</f>
        <v>673</v>
      </c>
      <c r="F120" s="54">
        <f>MAX(0,ROUND(設定!$B$7*AE120*設定!$B$15*IF(X120="Melee",0.6,1.35)*IFERROR(VLOOKUP($AM120,個性タイプマスタ!$A$5:$P$100,14,FALSE),1),0))</f>
        <v>94</v>
      </c>
      <c r="G120" s="54">
        <f>IF(X120="Melee",AN120,MAX(1,ROUND(AN120*設定!$B$16*IFERROR(VLOOKUP($AM120,個性タイプマスタ!$A$5:$P$100,15,FALSE),1),0)))</f>
        <v>43</v>
      </c>
      <c r="H120" s="54">
        <f>IF(X120="Ranged",AN120,MAX(1,ROUND(AN120*設定!$B$16*IFERROR(VLOOKUP($AM120,個性タイプマスタ!$A$5:$P$100,15,FALSE),1),0)))</f>
        <v>95</v>
      </c>
      <c r="I120" s="54">
        <f>MAX(0,ROUND(設定!$B$8*AE120*Z120,0))</f>
        <v>54</v>
      </c>
      <c r="J120" s="54">
        <f>MAX(0,ROUND(設定!$B$9*AE120*AA120,0))</f>
        <v>54</v>
      </c>
      <c r="K120" s="55">
        <f>IFERROR(VLOOKUP($AM120,個性タイプマスタ!$A$5:$P$100,9,FALSE),0.05)</f>
        <v>7.0000000000000007E-2</v>
      </c>
      <c r="L120" s="56">
        <f>IFERROR(VLOOKUP($AM120,個性タイプマスタ!$A$5:$P$100,10,FALSE),1.5)</f>
        <v>1.55</v>
      </c>
      <c r="M120" s="56">
        <f>IFERROR(VLOOKUP($AM120,個性タイプマスタ!$A$5:$P$100,11,FALSE),2)</f>
        <v>2.4</v>
      </c>
      <c r="N120" s="57">
        <f>MAX(0.1,ROUND(設定!$B$10*AB120,3))</f>
        <v>1</v>
      </c>
      <c r="O120" s="57">
        <f t="shared" si="4"/>
        <v>2.5</v>
      </c>
      <c r="P120" s="58">
        <f>MAX(-10,MIN(0.8,IFERROR(INDEX(属性耐性マスタ!$B$5:$G$11,MATCH($C120,属性耐性マスタ!$A$5:$A$11,0),1),0)+IFERROR(VLOOKUP($AM120,個性タイプマスタ!$A$5:$P$100,12,FALSE),0)))</f>
        <v>-0.08</v>
      </c>
      <c r="Q120" s="58">
        <f>MAX(-10,MIN(0.8,IFERROR(INDEX(属性耐性マスタ!$B$5:$G$11,MATCH($C120,属性耐性マスタ!$A$5:$A$11,0),2),0)+IFERROR(VLOOKUP($AM120,個性タイプマスタ!$A$5:$P$100,12,FALSE),0)))</f>
        <v>0.22</v>
      </c>
      <c r="R120" s="58">
        <f>MAX(-10,MIN(0.8,IFERROR(INDEX(属性耐性マスタ!$B$5:$G$11,MATCH($C120,属性耐性マスタ!$A$5:$A$11,0),3),0)+IFERROR(VLOOKUP($AM120,個性タイプマスタ!$A$5:$P$100,12,FALSE),0)))</f>
        <v>0.02</v>
      </c>
      <c r="S120" s="58">
        <f>MAX(-10,MIN(0.8,IFERROR(INDEX(属性耐性マスタ!$B$5:$G$11,MATCH($C120,属性耐性マスタ!$A$5:$A$11,0),4),0)+IFERROR(VLOOKUP($AM120,個性タイプマスタ!$A$5:$P$100,12,FALSE),0)))</f>
        <v>0.02</v>
      </c>
      <c r="T120" s="58">
        <f>MAX(-10,MIN(0.8,IFERROR(INDEX(属性耐性マスタ!$B$5:$G$11,MATCH($C120,属性耐性マスタ!$A$5:$A$11,0),5),0)+IFERROR(VLOOKUP($AM120,個性タイプマスタ!$A$5:$P$100,12,FALSE),0)))</f>
        <v>0.02</v>
      </c>
      <c r="U120" s="58">
        <f>MAX(-10,MIN(0.8,IFERROR(INDEX(属性耐性マスタ!$B$5:$G$11,MATCH($C120,属性耐性マスタ!$A$5:$A$11,0),6),0)+IFERROR(VLOOKUP($AM120,個性タイプマスタ!$A$5:$P$100,12,FALSE),0)))</f>
        <v>0.02</v>
      </c>
      <c r="V120" s="59">
        <f>ROUND(設定!$B$19*IFERROR(VLOOKUP($AM120,個性タイプマスタ!$A$5:$P$100,13,FALSE),1),2)</f>
        <v>4</v>
      </c>
      <c r="W120" s="59">
        <v>20</v>
      </c>
      <c r="X120" s="59" t="str">
        <f>IFERROR(VLOOKUP($AM120,個性タイプマスタ!$A$5:$P$100,2,FALSE),"Ranged")</f>
        <v>Ranged</v>
      </c>
      <c r="Y120" s="56">
        <f>IFERROR(VLOOKUP($AM120,個性タイプマスタ!$A$5:$P$100,3,FALSE),1)</f>
        <v>1.1000000000000001</v>
      </c>
      <c r="Z120" s="56">
        <f>IFERROR(VLOOKUP($AM120,個性タイプマスタ!$A$5:$P$100,4,FALSE),1)</f>
        <v>1.1000000000000001</v>
      </c>
      <c r="AA120" s="56">
        <f>IFERROR(VLOOKUP($AM120,個性タイプマスタ!$A$5:$P$100,5,FALSE),1)</f>
        <v>1.1000000000000001</v>
      </c>
      <c r="AB120" s="56">
        <f>IFERROR(VLOOKUP($AM120,個性タイプマスタ!$A$5:$P$100,6,FALSE),1)</f>
        <v>1</v>
      </c>
      <c r="AC120" s="56">
        <f>IFERROR(VLOOKUP($AM120,個性タイプマスタ!$A$5:$P$100,7,FALSE),1)</f>
        <v>1</v>
      </c>
      <c r="AD120" s="56">
        <f>IFERROR(VLOOKUP($AM120,個性タイプマスタ!$A$5:$P$100,8,FALSE),1)</f>
        <v>0.88</v>
      </c>
      <c r="AE120" s="60">
        <f>IFERROR(D120/設定!$B$5,1)</f>
        <v>6.1158999999999999</v>
      </c>
      <c r="AF120" s="60">
        <f>1+設定!$B$13*((I120/設定!$B$8+J120/設定!$B$9)/(2*AE120))</f>
        <v>1.3311041710950147</v>
      </c>
      <c r="AG120" s="60">
        <f>MAX(0.7,1+設定!$B$14*(O120/IF(X120="Melee",1.5,2.5)-1))</f>
        <v>1</v>
      </c>
      <c r="AH120" s="53">
        <f t="shared" si="5"/>
        <v>98.657499999999999</v>
      </c>
      <c r="AI120" s="53">
        <f>E120*AF120*(1+設定!$B$18*AVERAGE(P120:U120))</f>
        <v>910.61435341486936</v>
      </c>
      <c r="AJ120" s="61">
        <f>設定!$B$5*SQRT((AH120/(設定!$B$7*設定!$B$10*(1+設定!$B$11*(設定!$B$12-1))))*(AI120/(設定!$B$6*(1+設定!$B$13))))</f>
        <v>612.0155227539891</v>
      </c>
      <c r="AK120" s="62">
        <f t="shared" si="6"/>
        <v>6.957647345264828E-4</v>
      </c>
      <c r="AL120" s="63">
        <f t="shared" si="7"/>
        <v>538.19920000000002</v>
      </c>
      <c r="AM120" s="64" t="s">
        <v>906</v>
      </c>
      <c r="AN120" s="54">
        <f>MAX(1,ROUND((設定!$B$7*設定!$B$10*(1+設定!$B$11*(設定!$B$12-1)))*AE120^2*(設定!$B$6*(1+設定!$B$13))/(AI120*N120*(1+K120*(L120-1))*AG120),0))</f>
        <v>95</v>
      </c>
      <c r="AO120" s="65" t="str">
        <f>IF($A120="","",IF(COUNTIF(個性タイプマスタ!$A$5:$A$100,$AM120)&gt;0,"OK","未登録"))</f>
        <v>OK</v>
      </c>
      <c r="AP120" s="67" t="str">
        <f>IF($A120="","",IF(COUNTIF(属性耐性マスタ!$A$5:$A$11,$C120)&gt;0,"OK","未登録"))</f>
        <v>OK</v>
      </c>
    </row>
    <row r="121" spans="1:42">
      <c r="A121" s="66" t="s">
        <v>342</v>
      </c>
      <c r="B121" s="51" t="s">
        <v>343</v>
      </c>
      <c r="C121" s="109" t="s">
        <v>874</v>
      </c>
      <c r="D121" s="53">
        <f>ROUND(設定!$B$5*POWER($D$2,W121-1),2)</f>
        <v>611.59</v>
      </c>
      <c r="E121" s="54">
        <f>MAX(1,ROUND(設定!$B$6*AE121*Y121,0))</f>
        <v>783</v>
      </c>
      <c r="F121" s="54">
        <f>MAX(0,ROUND(設定!$B$7*AE121*設定!$B$15*IF(X121="Melee",0.6,1.35)*IFERROR(VLOOKUP($AM121,個性タイプマスタ!$A$5:$P$100,14,FALSE),1),0))</f>
        <v>85</v>
      </c>
      <c r="G121" s="54">
        <f>IF(X121="Melee",AN121,MAX(1,ROUND(AN121*設定!$B$16*IFERROR(VLOOKUP($AM121,個性タイプマスタ!$A$5:$P$100,15,FALSE),1),0)))</f>
        <v>22</v>
      </c>
      <c r="H121" s="54">
        <f>IF(X121="Ranged",AN121,MAX(1,ROUND(AN121*設定!$B$16*IFERROR(VLOOKUP($AM121,個性タイプマスタ!$A$5:$P$100,15,FALSE),1),0)))</f>
        <v>58</v>
      </c>
      <c r="I121" s="54">
        <f>MAX(0,ROUND(設定!$B$8*AE121*Z121,0))</f>
        <v>60</v>
      </c>
      <c r="J121" s="54">
        <f>MAX(0,ROUND(設定!$B$9*AE121*AA121,0))</f>
        <v>55</v>
      </c>
      <c r="K121" s="55">
        <f>IFERROR(VLOOKUP($AM121,個性タイプマスタ!$A$5:$P$100,9,FALSE),0.05)</f>
        <v>7.0000000000000007E-2</v>
      </c>
      <c r="L121" s="56">
        <f>IFERROR(VLOOKUP($AM121,個性タイプマスタ!$A$5:$P$100,10,FALSE),1.5)</f>
        <v>1.5</v>
      </c>
      <c r="M121" s="56">
        <f>IFERROR(VLOOKUP($AM121,個性タイプマスタ!$A$5:$P$100,11,FALSE),2)</f>
        <v>2.8</v>
      </c>
      <c r="N121" s="57">
        <f>MAX(0.1,ROUND(設定!$B$10*AB121,3))</f>
        <v>1.45</v>
      </c>
      <c r="O121" s="57">
        <f t="shared" si="4"/>
        <v>1.55</v>
      </c>
      <c r="P121" s="58">
        <f>MAX(-10,MIN(0.8,IFERROR(INDEX(属性耐性マスタ!$B$5:$G$11,MATCH($C121,属性耐性マスタ!$A$5:$A$11,0),1),0)+IFERROR(VLOOKUP($AM121,個性タイプマスタ!$A$5:$P$100,12,FALSE),0)))</f>
        <v>0.03</v>
      </c>
      <c r="Q121" s="58">
        <f>MAX(-10,MIN(0.8,IFERROR(INDEX(属性耐性マスタ!$B$5:$G$11,MATCH($C121,属性耐性マスタ!$A$5:$A$11,0),2),0)+IFERROR(VLOOKUP($AM121,個性タイプマスタ!$A$5:$P$100,12,FALSE),0)))</f>
        <v>0.03</v>
      </c>
      <c r="R121" s="58">
        <f>MAX(-10,MIN(0.8,IFERROR(INDEX(属性耐性マスタ!$B$5:$G$11,MATCH($C121,属性耐性マスタ!$A$5:$A$11,0),3),0)+IFERROR(VLOOKUP($AM121,個性タイプマスタ!$A$5:$P$100,12,FALSE),0)))</f>
        <v>0.03</v>
      </c>
      <c r="S121" s="58">
        <f>MAX(-10,MIN(0.8,IFERROR(INDEX(属性耐性マスタ!$B$5:$G$11,MATCH($C121,属性耐性マスタ!$A$5:$A$11,0),4),0)+IFERROR(VLOOKUP($AM121,個性タイプマスタ!$A$5:$P$100,12,FALSE),0)))</f>
        <v>0.03</v>
      </c>
      <c r="T121" s="58">
        <f>MAX(-10,MIN(0.8,IFERROR(INDEX(属性耐性マスタ!$B$5:$G$11,MATCH($C121,属性耐性マスタ!$A$5:$A$11,0),5),0)+IFERROR(VLOOKUP($AM121,個性タイプマスタ!$A$5:$P$100,12,FALSE),0)))</f>
        <v>-7.0000000000000007E-2</v>
      </c>
      <c r="U121" s="58">
        <f>MAX(-10,MIN(0.8,IFERROR(INDEX(属性耐性マスタ!$B$5:$G$11,MATCH($C121,属性耐性マスタ!$A$5:$A$11,0),6),0)+IFERROR(VLOOKUP($AM121,個性タイプマスタ!$A$5:$P$100,12,FALSE),0)))</f>
        <v>0.23</v>
      </c>
      <c r="V121" s="59">
        <f>ROUND(設定!$B$19*IFERROR(VLOOKUP($AM121,個性タイプマスタ!$A$5:$P$100,13,FALSE),1),2)</f>
        <v>3.6</v>
      </c>
      <c r="W121" s="59">
        <v>20</v>
      </c>
      <c r="X121" s="59" t="str">
        <f>IFERROR(VLOOKUP($AM121,個性タイプマスタ!$A$5:$P$100,2,FALSE),"Ranged")</f>
        <v>Ranged</v>
      </c>
      <c r="Y121" s="56">
        <f>IFERROR(VLOOKUP($AM121,個性タイプマスタ!$A$5:$P$100,3,FALSE),1)</f>
        <v>1.28</v>
      </c>
      <c r="Z121" s="56">
        <f>IFERROR(VLOOKUP($AM121,個性タイプマスタ!$A$5:$P$100,4,FALSE),1)</f>
        <v>1.23</v>
      </c>
      <c r="AA121" s="56">
        <f>IFERROR(VLOOKUP($AM121,個性タイプマスタ!$A$5:$P$100,5,FALSE),1)</f>
        <v>1.1200000000000001</v>
      </c>
      <c r="AB121" s="56">
        <f>IFERROR(VLOOKUP($AM121,個性タイプマスタ!$A$5:$P$100,6,FALSE),1)</f>
        <v>1.45</v>
      </c>
      <c r="AC121" s="56">
        <f>IFERROR(VLOOKUP($AM121,個性タイプマスタ!$A$5:$P$100,7,FALSE),1)</f>
        <v>0.62</v>
      </c>
      <c r="AD121" s="56">
        <f>IFERROR(VLOOKUP($AM121,個性タイプマスタ!$A$5:$P$100,8,FALSE),1)</f>
        <v>0.8</v>
      </c>
      <c r="AE121" s="60">
        <f>IFERROR(D121/設定!$B$5,1)</f>
        <v>6.1158999999999999</v>
      </c>
      <c r="AF121" s="60">
        <f>1+設定!$B$13*((I121/設定!$B$8+J121/設定!$B$9)/(2*AE121))</f>
        <v>1.3525646266289508</v>
      </c>
      <c r="AG121" s="60">
        <f>MAX(0.7,1+設定!$B$14*(O121/IF(X121="Melee",1.5,2.5)-1))</f>
        <v>0.95440000000000003</v>
      </c>
      <c r="AH121" s="53">
        <f t="shared" si="5"/>
        <v>83.074316399999987</v>
      </c>
      <c r="AI121" s="53">
        <f>E121*AF121*(1+設定!$B$18*AVERAGE(P121:U121))</f>
        <v>1081.2983228061282</v>
      </c>
      <c r="AJ121" s="61">
        <f>設定!$B$5*SQRT((AH121/(設定!$B$7*設定!$B$10*(1+設定!$B$11*(設定!$B$12-1))))*(AI121/(設定!$B$6*(1+設定!$B$13))))</f>
        <v>611.97867840380661</v>
      </c>
      <c r="AK121" s="62">
        <f t="shared" si="6"/>
        <v>6.3552118871568197E-4</v>
      </c>
      <c r="AL121" s="63">
        <f t="shared" si="7"/>
        <v>489.27200000000005</v>
      </c>
      <c r="AM121" s="64" t="s">
        <v>920</v>
      </c>
      <c r="AN121" s="54">
        <f>MAX(1,ROUND((設定!$B$7*設定!$B$10*(1+設定!$B$11*(設定!$B$12-1)))*AE121^2*(設定!$B$6*(1+設定!$B$13))/(AI121*N121*(1+K121*(L121-1))*AG121),0))</f>
        <v>58</v>
      </c>
      <c r="AO121" s="65" t="str">
        <f>IF($A121="","",IF(COUNTIF(個性タイプマスタ!$A$5:$A$100,$AM121)&gt;0,"OK","未登録"))</f>
        <v>OK</v>
      </c>
      <c r="AP121" s="67" t="str">
        <f>IF($A121="","",IF(COUNTIF(属性耐性マスタ!$A$5:$A$11,$C121)&gt;0,"OK","未登録"))</f>
        <v>OK</v>
      </c>
    </row>
    <row r="122" spans="1:42">
      <c r="A122" s="66" t="s">
        <v>344</v>
      </c>
      <c r="B122" s="51" t="s">
        <v>345</v>
      </c>
      <c r="C122" s="109" t="s">
        <v>871</v>
      </c>
      <c r="D122" s="53">
        <f>ROUND(設定!$B$5*POWER($D$2,W122-1),2)</f>
        <v>611.59</v>
      </c>
      <c r="E122" s="54">
        <f>MAX(1,ROUND(設定!$B$6*AE122*Y122,0))</f>
        <v>734</v>
      </c>
      <c r="F122" s="54">
        <f>MAX(0,ROUND(設定!$B$7*AE122*設定!$B$15*IF(X122="Melee",0.6,1.35)*IFERROR(VLOOKUP($AM122,個性タイプマスタ!$A$5:$P$100,14,FALSE),1),0))</f>
        <v>44</v>
      </c>
      <c r="G122" s="54">
        <f>IF(X122="Melee",AN122,MAX(1,ROUND(AN122*設定!$B$16*IFERROR(VLOOKUP($AM122,個性タイプマスタ!$A$5:$P$100,15,FALSE),1),0)))</f>
        <v>81</v>
      </c>
      <c r="H122" s="54">
        <f>IF(X122="Ranged",AN122,MAX(1,ROUND(AN122*設定!$B$16*IFERROR(VLOOKUP($AM122,個性タイプマスタ!$A$5:$P$100,15,FALSE),1),0)))</f>
        <v>30</v>
      </c>
      <c r="I122" s="54">
        <f>MAX(0,ROUND(設定!$B$8*AE122*Z122,0))</f>
        <v>37</v>
      </c>
      <c r="J122" s="54">
        <f>MAX(0,ROUND(設定!$B$9*AE122*AA122,0))</f>
        <v>103</v>
      </c>
      <c r="K122" s="55">
        <f>IFERROR(VLOOKUP($AM122,個性タイプマスタ!$A$5:$P$100,9,FALSE),0.05)</f>
        <v>0.05</v>
      </c>
      <c r="L122" s="56">
        <f>IFERROR(VLOOKUP($AM122,個性タイプマスタ!$A$5:$P$100,10,FALSE),1.5)</f>
        <v>1.47</v>
      </c>
      <c r="M122" s="56">
        <f>IFERROR(VLOOKUP($AM122,個性タイプマスタ!$A$5:$P$100,11,FALSE),2)</f>
        <v>2.4500000000000002</v>
      </c>
      <c r="N122" s="57">
        <f>MAX(0.1,ROUND(設定!$B$10*AB122,3))</f>
        <v>1</v>
      </c>
      <c r="O122" s="57">
        <f t="shared" si="4"/>
        <v>1.395</v>
      </c>
      <c r="P122" s="58">
        <f>MAX(-10,MIN(0.8,IFERROR(INDEX(属性耐性マスタ!$B$5:$G$11,MATCH($C122,属性耐性マスタ!$A$5:$A$11,0),1),0)+IFERROR(VLOOKUP($AM122,個性タイプマスタ!$A$5:$P$100,12,FALSE),0)))</f>
        <v>6.5000000000000002E-2</v>
      </c>
      <c r="Q122" s="58">
        <f>MAX(-10,MIN(0.8,IFERROR(INDEX(属性耐性マスタ!$B$5:$G$11,MATCH($C122,属性耐性マスタ!$A$5:$A$11,0),2),0)+IFERROR(VLOOKUP($AM122,個性タイプマスタ!$A$5:$P$100,12,FALSE),0)))</f>
        <v>6.5000000000000002E-2</v>
      </c>
      <c r="R122" s="58">
        <f>MAX(-10,MIN(0.8,IFERROR(INDEX(属性耐性マスタ!$B$5:$G$11,MATCH($C122,属性耐性マスタ!$A$5:$A$11,0),3),0)+IFERROR(VLOOKUP($AM122,個性タイプマスタ!$A$5:$P$100,12,FALSE),0)))</f>
        <v>-3.5000000000000003E-2</v>
      </c>
      <c r="S122" s="58">
        <f>MAX(-10,MIN(0.8,IFERROR(INDEX(属性耐性マスタ!$B$5:$G$11,MATCH($C122,属性耐性マスタ!$A$5:$A$11,0),4),0)+IFERROR(VLOOKUP($AM122,個性タイプマスタ!$A$5:$P$100,12,FALSE),0)))</f>
        <v>0.26500000000000001</v>
      </c>
      <c r="T122" s="58">
        <f>MAX(-10,MIN(0.8,IFERROR(INDEX(属性耐性マスタ!$B$5:$G$11,MATCH($C122,属性耐性マスタ!$A$5:$A$11,0),5),0)+IFERROR(VLOOKUP($AM122,個性タイプマスタ!$A$5:$P$100,12,FALSE),0)))</f>
        <v>6.5000000000000002E-2</v>
      </c>
      <c r="U122" s="58">
        <f>MAX(-10,MIN(0.8,IFERROR(INDEX(属性耐性マスタ!$B$5:$G$11,MATCH($C122,属性耐性マスタ!$A$5:$A$11,0),6),0)+IFERROR(VLOOKUP($AM122,個性タイプマスタ!$A$5:$P$100,12,FALSE),0)))</f>
        <v>6.5000000000000002E-2</v>
      </c>
      <c r="V122" s="59">
        <f>ROUND(設定!$B$19*IFERROR(VLOOKUP($AM122,個性タイプマスタ!$A$5:$P$100,13,FALSE),1),2)</f>
        <v>4.2</v>
      </c>
      <c r="W122" s="59">
        <v>20</v>
      </c>
      <c r="X122" s="59" t="str">
        <f>IFERROR(VLOOKUP($AM122,個性タイプマスタ!$A$5:$P$100,2,FALSE),"Ranged")</f>
        <v>Melee</v>
      </c>
      <c r="Y122" s="56">
        <f>IFERROR(VLOOKUP($AM122,個性タイプマスタ!$A$5:$P$100,3,FALSE),1)</f>
        <v>1.2</v>
      </c>
      <c r="Z122" s="56">
        <f>IFERROR(VLOOKUP($AM122,個性タイプマスタ!$A$5:$P$100,4,FALSE),1)</f>
        <v>0.76</v>
      </c>
      <c r="AA122" s="56">
        <f>IFERROR(VLOOKUP($AM122,個性タイプマスタ!$A$5:$P$100,5,FALSE),1)</f>
        <v>2.1</v>
      </c>
      <c r="AB122" s="56">
        <f>IFERROR(VLOOKUP($AM122,個性タイプマスタ!$A$5:$P$100,6,FALSE),1)</f>
        <v>1</v>
      </c>
      <c r="AC122" s="56">
        <f>IFERROR(VLOOKUP($AM122,個性タイプマスタ!$A$5:$P$100,7,FALSE),1)</f>
        <v>0.93</v>
      </c>
      <c r="AD122" s="56">
        <f>IFERROR(VLOOKUP($AM122,個性タイプマスタ!$A$5:$P$100,8,FALSE),1)</f>
        <v>0.8</v>
      </c>
      <c r="AE122" s="60">
        <f>IFERROR(D122/設定!$B$5,1)</f>
        <v>6.1158999999999999</v>
      </c>
      <c r="AF122" s="60">
        <f>1+設定!$B$13*((I122/設定!$B$8+J122/設定!$B$9)/(2*AE122))</f>
        <v>1.4292091106787226</v>
      </c>
      <c r="AG122" s="60">
        <f>MAX(0.7,1+設定!$B$14*(O122/IF(X122="Melee",1.5,2.5)-1))</f>
        <v>0.99160000000000004</v>
      </c>
      <c r="AH122" s="53">
        <f t="shared" si="5"/>
        <v>82.207110600000007</v>
      </c>
      <c r="AI122" s="53">
        <f>E122*AF122*(1+設定!$B$18*AVERAGE(P122:U122))</f>
        <v>1087.5916883941857</v>
      </c>
      <c r="AJ122" s="61">
        <f>設定!$B$5*SQRT((AH122/(設定!$B$7*設定!$B$10*(1+設定!$B$11*(設定!$B$12-1))))*(AI122/(設定!$B$6*(1+設定!$B$13))))</f>
        <v>610.54512875311605</v>
      </c>
      <c r="AK122" s="62">
        <f t="shared" si="6"/>
        <v>-1.7084505091384816E-3</v>
      </c>
      <c r="AL122" s="63">
        <f t="shared" si="7"/>
        <v>489.27200000000005</v>
      </c>
      <c r="AM122" s="64" t="s">
        <v>972</v>
      </c>
      <c r="AN122" s="54">
        <f>MAX(1,ROUND((設定!$B$7*設定!$B$10*(1+設定!$B$11*(設定!$B$12-1)))*AE122^2*(設定!$B$6*(1+設定!$B$13))/(AI122*N122*(1+K122*(L122-1))*AG122),0))</f>
        <v>81</v>
      </c>
      <c r="AO122" s="65" t="str">
        <f>IF($A122="","",IF(COUNTIF(個性タイプマスタ!$A$5:$A$100,$AM122)&gt;0,"OK","未登録"))</f>
        <v>OK</v>
      </c>
      <c r="AP122" s="67" t="str">
        <f>IF($A122="","",IF(COUNTIF(属性耐性マスタ!$A$5:$A$11,$C122)&gt;0,"OK","未登録"))</f>
        <v>OK</v>
      </c>
    </row>
    <row r="123" spans="1:42">
      <c r="A123" s="66" t="s">
        <v>346</v>
      </c>
      <c r="B123" s="51" t="s">
        <v>347</v>
      </c>
      <c r="C123" s="109" t="s">
        <v>114</v>
      </c>
      <c r="D123" s="53">
        <f>ROUND(設定!$B$5*POWER($D$2,W123-1),2)</f>
        <v>611.59</v>
      </c>
      <c r="E123" s="54">
        <f>MAX(1,ROUND(設定!$B$6*AE123*Y123,0))</f>
        <v>550</v>
      </c>
      <c r="F123" s="54">
        <f>MAX(0,ROUND(設定!$B$7*AE123*設定!$B$15*IF(X123="Melee",0.6,1.35)*IFERROR(VLOOKUP($AM123,個性タイプマスタ!$A$5:$P$100,14,FALSE),1),0))</f>
        <v>32</v>
      </c>
      <c r="G123" s="54">
        <f>IF(X123="Melee",AN123,MAX(1,ROUND(AN123*設定!$B$16*IFERROR(VLOOKUP($AM123,個性タイプマスタ!$A$5:$P$100,15,FALSE),1),0)))</f>
        <v>102</v>
      </c>
      <c r="H123" s="54">
        <f>IF(X123="Ranged",AN123,MAX(1,ROUND(AN123*設定!$B$16*IFERROR(VLOOKUP($AM123,個性タイプマスタ!$A$5:$P$100,15,FALSE),1),0)))</f>
        <v>46</v>
      </c>
      <c r="I123" s="54">
        <f>MAX(0,ROUND(設定!$B$8*AE123*Z123,0))</f>
        <v>44</v>
      </c>
      <c r="J123" s="54">
        <f>MAX(0,ROUND(設定!$B$9*AE123*AA123,0))</f>
        <v>44</v>
      </c>
      <c r="K123" s="55">
        <f>IFERROR(VLOOKUP($AM123,個性タイプマスタ!$A$5:$P$100,9,FALSE),0.05)</f>
        <v>0.11</v>
      </c>
      <c r="L123" s="56">
        <f>IFERROR(VLOOKUP($AM123,個性タイプマスタ!$A$5:$P$100,10,FALSE),1.5)</f>
        <v>1.75</v>
      </c>
      <c r="M123" s="56">
        <f>IFERROR(VLOOKUP($AM123,個性タイプマスタ!$A$5:$P$100,11,FALSE),2)</f>
        <v>3</v>
      </c>
      <c r="N123" s="57">
        <f>MAX(0.1,ROUND(設定!$B$10*AB123,3))</f>
        <v>1.18</v>
      </c>
      <c r="O123" s="57">
        <f t="shared" si="4"/>
        <v>1.35</v>
      </c>
      <c r="P123" s="58">
        <f>MAX(-10,MIN(0.8,IFERROR(INDEX(属性耐性マスタ!$B$5:$G$11,MATCH($C123,属性耐性マスタ!$A$5:$A$11,0),1),0)+IFERROR(VLOOKUP($AM123,個性タイプマスタ!$A$5:$P$100,12,FALSE),0)))</f>
        <v>-0.03</v>
      </c>
      <c r="Q123" s="58">
        <f>MAX(-10,MIN(0.8,IFERROR(INDEX(属性耐性マスタ!$B$5:$G$11,MATCH($C123,属性耐性マスタ!$A$5:$A$11,0),2),0)+IFERROR(VLOOKUP($AM123,個性タイプマスタ!$A$5:$P$100,12,FALSE),0)))</f>
        <v>-0.03</v>
      </c>
      <c r="R123" s="58">
        <f>MAX(-10,MIN(0.8,IFERROR(INDEX(属性耐性マスタ!$B$5:$G$11,MATCH($C123,属性耐性マスタ!$A$5:$A$11,0),3),0)+IFERROR(VLOOKUP($AM123,個性タイプマスタ!$A$5:$P$100,12,FALSE),0)))</f>
        <v>0.17</v>
      </c>
      <c r="S123" s="58">
        <f>MAX(-10,MIN(0.8,IFERROR(INDEX(属性耐性マスタ!$B$5:$G$11,MATCH($C123,属性耐性マスタ!$A$5:$A$11,0),4),0)+IFERROR(VLOOKUP($AM123,個性タイプマスタ!$A$5:$P$100,12,FALSE),0)))</f>
        <v>-0.13</v>
      </c>
      <c r="T123" s="58">
        <f>MAX(-10,MIN(0.8,IFERROR(INDEX(属性耐性マスタ!$B$5:$G$11,MATCH($C123,属性耐性マスタ!$A$5:$A$11,0),5),0)+IFERROR(VLOOKUP($AM123,個性タイプマスタ!$A$5:$P$100,12,FALSE),0)))</f>
        <v>-0.03</v>
      </c>
      <c r="U123" s="58">
        <f>MAX(-10,MIN(0.8,IFERROR(INDEX(属性耐性マスタ!$B$5:$G$11,MATCH($C123,属性耐性マスタ!$A$5:$A$11,0),6),0)+IFERROR(VLOOKUP($AM123,個性タイプマスタ!$A$5:$P$100,12,FALSE),0)))</f>
        <v>-0.03</v>
      </c>
      <c r="V123" s="59">
        <f>ROUND(設定!$B$19*IFERROR(VLOOKUP($AM123,個性タイプマスタ!$A$5:$P$100,13,FALSE),1),2)</f>
        <v>4.2</v>
      </c>
      <c r="W123" s="59">
        <v>20</v>
      </c>
      <c r="X123" s="59" t="str">
        <f>IFERROR(VLOOKUP($AM123,個性タイプマスタ!$A$5:$P$100,2,FALSE),"Ranged")</f>
        <v>Melee</v>
      </c>
      <c r="Y123" s="56">
        <f>IFERROR(VLOOKUP($AM123,個性タイプマスタ!$A$5:$P$100,3,FALSE),1)</f>
        <v>0.9</v>
      </c>
      <c r="Z123" s="56">
        <f>IFERROR(VLOOKUP($AM123,個性タイプマスタ!$A$5:$P$100,4,FALSE),1)</f>
        <v>0.9</v>
      </c>
      <c r="AA123" s="56">
        <f>IFERROR(VLOOKUP($AM123,個性タイプマスタ!$A$5:$P$100,5,FALSE),1)</f>
        <v>0.9</v>
      </c>
      <c r="AB123" s="56">
        <f>IFERROR(VLOOKUP($AM123,個性タイプマスタ!$A$5:$P$100,6,FALSE),1)</f>
        <v>1.18</v>
      </c>
      <c r="AC123" s="56">
        <f>IFERROR(VLOOKUP($AM123,個性タイプマスタ!$A$5:$P$100,7,FALSE),1)</f>
        <v>0.9</v>
      </c>
      <c r="AD123" s="56">
        <f>IFERROR(VLOOKUP($AM123,個性タイプマスタ!$A$5:$P$100,8,FALSE),1)</f>
        <v>0.72</v>
      </c>
      <c r="AE123" s="60">
        <f>IFERROR(D123/設定!$B$5,1)</f>
        <v>6.1158999999999999</v>
      </c>
      <c r="AF123" s="60">
        <f>1+設定!$B$13*((I123/設定!$B$8+J123/設定!$B$9)/(2*AE123))</f>
        <v>1.2697885838551972</v>
      </c>
      <c r="AG123" s="60">
        <f>MAX(0.7,1+設定!$B$14*(O123/IF(X123="Melee",1.5,2.5)-1))</f>
        <v>0.98799999999999999</v>
      </c>
      <c r="AH123" s="53">
        <f t="shared" si="5"/>
        <v>128.7262236</v>
      </c>
      <c r="AI123" s="53">
        <f>E123*AF123*(1+設定!$B$18*AVERAGE(P123:U123))</f>
        <v>694.19341879363628</v>
      </c>
      <c r="AJ123" s="61">
        <f>設定!$B$5*SQRT((AH123/(設定!$B$7*設定!$B$10*(1+設定!$B$11*(設定!$B$12-1))))*(AI123/(設定!$B$6*(1+設定!$B$13))))</f>
        <v>610.38506541120421</v>
      </c>
      <c r="AK123" s="62">
        <f t="shared" si="6"/>
        <v>-1.9701672506022838E-3</v>
      </c>
      <c r="AL123" s="63">
        <f t="shared" si="7"/>
        <v>440.34480000000002</v>
      </c>
      <c r="AM123" s="64" t="s">
        <v>900</v>
      </c>
      <c r="AN123" s="54">
        <f>MAX(1,ROUND((設定!$B$7*設定!$B$10*(1+設定!$B$11*(設定!$B$12-1)))*AE123^2*(設定!$B$6*(1+設定!$B$13))/(AI123*N123*(1+K123*(L123-1))*AG123),0))</f>
        <v>102</v>
      </c>
      <c r="AO123" s="65" t="str">
        <f>IF($A123="","",IF(COUNTIF(個性タイプマスタ!$A$5:$A$100,$AM123)&gt;0,"OK","未登録"))</f>
        <v>OK</v>
      </c>
      <c r="AP123" s="67" t="str">
        <f>IF($A123="","",IF(COUNTIF(属性耐性マスタ!$A$5:$A$11,$C123)&gt;0,"OK","未登録"))</f>
        <v>OK</v>
      </c>
    </row>
    <row r="124" spans="1:42">
      <c r="A124" s="66" t="s">
        <v>348</v>
      </c>
      <c r="B124" s="51" t="s">
        <v>349</v>
      </c>
      <c r="C124" s="109" t="s">
        <v>874</v>
      </c>
      <c r="D124" s="53">
        <f>ROUND(設定!$B$5*POWER($D$2,W124-1),2)</f>
        <v>611.59</v>
      </c>
      <c r="E124" s="54">
        <f>MAX(1,ROUND(設定!$B$6*AE124*Y124,0))</f>
        <v>557</v>
      </c>
      <c r="F124" s="54">
        <f>MAX(0,ROUND(設定!$B$7*AE124*設定!$B$15*IF(X124="Melee",0.6,1.35)*IFERROR(VLOOKUP($AM124,個性タイプマスタ!$A$5:$P$100,14,FALSE),1),0))</f>
        <v>143</v>
      </c>
      <c r="G124" s="54">
        <f>IF(X124="Melee",AN124,MAX(1,ROUND(AN124*設定!$B$16*IFERROR(VLOOKUP($AM124,個性タイプマスタ!$A$5:$P$100,15,FALSE),1),0)))</f>
        <v>60</v>
      </c>
      <c r="H124" s="54">
        <f>IF(X124="Ranged",AN124,MAX(1,ROUND(AN124*設定!$B$16*IFERROR(VLOOKUP($AM124,個性タイプマスタ!$A$5:$P$100,15,FALSE),1),0)))</f>
        <v>179</v>
      </c>
      <c r="I124" s="54">
        <f>MAX(0,ROUND(設定!$B$8*AE124*Z124,0))</f>
        <v>43</v>
      </c>
      <c r="J124" s="54">
        <f>MAX(0,ROUND(設定!$B$9*AE124*AA124,0))</f>
        <v>46</v>
      </c>
      <c r="K124" s="55">
        <f>IFERROR(VLOOKUP($AM124,個性タイプマスタ!$A$5:$P$100,9,FALSE),0.05)</f>
        <v>0.04</v>
      </c>
      <c r="L124" s="56">
        <f>IFERROR(VLOOKUP($AM124,個性タイプマスタ!$A$5:$P$100,10,FALSE),1.5)</f>
        <v>2.2000000000000002</v>
      </c>
      <c r="M124" s="56">
        <f>IFERROR(VLOOKUP($AM124,個性タイプマスタ!$A$5:$P$100,11,FALSE),2)</f>
        <v>1.65</v>
      </c>
      <c r="N124" s="57">
        <f>MAX(0.1,ROUND(設定!$B$10*AB124,3))</f>
        <v>0.64</v>
      </c>
      <c r="O124" s="57">
        <f t="shared" si="4"/>
        <v>3.7</v>
      </c>
      <c r="P124" s="58">
        <f>MAX(-10,MIN(0.8,IFERROR(INDEX(属性耐性マスタ!$B$5:$G$11,MATCH($C124,属性耐性マスタ!$A$5:$A$11,0),1),0)+IFERROR(VLOOKUP($AM124,個性タイプマスタ!$A$5:$P$100,12,FALSE),0)))</f>
        <v>-2.5000000000000001E-2</v>
      </c>
      <c r="Q124" s="58">
        <f>MAX(-10,MIN(0.8,IFERROR(INDEX(属性耐性マスタ!$B$5:$G$11,MATCH($C124,属性耐性マスタ!$A$5:$A$11,0),2),0)+IFERROR(VLOOKUP($AM124,個性タイプマスタ!$A$5:$P$100,12,FALSE),0)))</f>
        <v>-2.5000000000000001E-2</v>
      </c>
      <c r="R124" s="58">
        <f>MAX(-10,MIN(0.8,IFERROR(INDEX(属性耐性マスタ!$B$5:$G$11,MATCH($C124,属性耐性マスタ!$A$5:$A$11,0),3),0)+IFERROR(VLOOKUP($AM124,個性タイプマスタ!$A$5:$P$100,12,FALSE),0)))</f>
        <v>-2.5000000000000001E-2</v>
      </c>
      <c r="S124" s="58">
        <f>MAX(-10,MIN(0.8,IFERROR(INDEX(属性耐性マスタ!$B$5:$G$11,MATCH($C124,属性耐性マスタ!$A$5:$A$11,0),4),0)+IFERROR(VLOOKUP($AM124,個性タイプマスタ!$A$5:$P$100,12,FALSE),0)))</f>
        <v>-2.5000000000000001E-2</v>
      </c>
      <c r="T124" s="58">
        <f>MAX(-10,MIN(0.8,IFERROR(INDEX(属性耐性マスタ!$B$5:$G$11,MATCH($C124,属性耐性マスタ!$A$5:$A$11,0),5),0)+IFERROR(VLOOKUP($AM124,個性タイプマスタ!$A$5:$P$100,12,FALSE),0)))</f>
        <v>-0.125</v>
      </c>
      <c r="U124" s="58">
        <f>MAX(-10,MIN(0.8,IFERROR(INDEX(属性耐性マスタ!$B$5:$G$11,MATCH($C124,属性耐性マスタ!$A$5:$A$11,0),6),0)+IFERROR(VLOOKUP($AM124,個性タイプマスタ!$A$5:$P$100,12,FALSE),0)))</f>
        <v>0.17500000000000002</v>
      </c>
      <c r="V124" s="59">
        <f>ROUND(設定!$B$19*IFERROR(VLOOKUP($AM124,個性タイプマスタ!$A$5:$P$100,13,FALSE),1),2)</f>
        <v>5</v>
      </c>
      <c r="W124" s="59">
        <v>20</v>
      </c>
      <c r="X124" s="59" t="str">
        <f>IFERROR(VLOOKUP($AM124,個性タイプマスタ!$A$5:$P$100,2,FALSE),"Ranged")</f>
        <v>Ranged</v>
      </c>
      <c r="Y124" s="56">
        <f>IFERROR(VLOOKUP($AM124,個性タイプマスタ!$A$5:$P$100,3,FALSE),1)</f>
        <v>0.91</v>
      </c>
      <c r="Z124" s="56">
        <f>IFERROR(VLOOKUP($AM124,個性タイプマスタ!$A$5:$P$100,4,FALSE),1)</f>
        <v>0.88</v>
      </c>
      <c r="AA124" s="56">
        <f>IFERROR(VLOOKUP($AM124,個性タイプマスタ!$A$5:$P$100,5,FALSE),1)</f>
        <v>0.95</v>
      </c>
      <c r="AB124" s="56">
        <f>IFERROR(VLOOKUP($AM124,個性タイプマスタ!$A$5:$P$100,6,FALSE),1)</f>
        <v>0.64</v>
      </c>
      <c r="AC124" s="56">
        <f>IFERROR(VLOOKUP($AM124,個性タイプマスタ!$A$5:$P$100,7,FALSE),1)</f>
        <v>1.48</v>
      </c>
      <c r="AD124" s="56">
        <f>IFERROR(VLOOKUP($AM124,個性タイプマスタ!$A$5:$P$100,8,FALSE),1)</f>
        <v>0.75</v>
      </c>
      <c r="AE124" s="60">
        <f>IFERROR(D124/設定!$B$5,1)</f>
        <v>6.1158999999999999</v>
      </c>
      <c r="AF124" s="60">
        <f>1+設定!$B$13*((I124/設定!$B$8+J124/設定!$B$9)/(2*AE124))</f>
        <v>1.272854363217188</v>
      </c>
      <c r="AG124" s="60">
        <f>MAX(0.7,1+設定!$B$14*(O124/IF(X124="Melee",1.5,2.5)-1))</f>
        <v>1.0576000000000001</v>
      </c>
      <c r="AH124" s="53">
        <f t="shared" si="5"/>
        <v>126.97427148800001</v>
      </c>
      <c r="AI124" s="53">
        <f>E124*AF124*(1+設定!$B$18*AVERAGE(P124:U124))</f>
        <v>706.32120576080376</v>
      </c>
      <c r="AJ124" s="61">
        <f>設定!$B$5*SQRT((AH124/(設定!$B$7*設定!$B$10*(1+設定!$B$11*(設定!$B$12-1))))*(AI124/(設定!$B$6*(1+設定!$B$13))))</f>
        <v>611.48967176070767</v>
      </c>
      <c r="AK124" s="62">
        <f t="shared" si="6"/>
        <v>-1.6404493090527161E-4</v>
      </c>
      <c r="AL124" s="63">
        <f t="shared" si="7"/>
        <v>458.6925</v>
      </c>
      <c r="AM124" s="64" t="s">
        <v>912</v>
      </c>
      <c r="AN124" s="54">
        <f>MAX(1,ROUND((設定!$B$7*設定!$B$10*(1+設定!$B$11*(設定!$B$12-1)))*AE124^2*(設定!$B$6*(1+設定!$B$13))/(AI124*N124*(1+K124*(L124-1))*AG124),0))</f>
        <v>179</v>
      </c>
      <c r="AO124" s="65" t="str">
        <f>IF($A124="","",IF(COUNTIF(個性タイプマスタ!$A$5:$A$100,$AM124)&gt;0,"OK","未登録"))</f>
        <v>OK</v>
      </c>
      <c r="AP124" s="67" t="str">
        <f>IF($A124="","",IF(COUNTIF(属性耐性マスタ!$A$5:$A$11,$C124)&gt;0,"OK","未登録"))</f>
        <v>OK</v>
      </c>
    </row>
    <row r="125" spans="1:42">
      <c r="A125" s="66" t="s">
        <v>350</v>
      </c>
      <c r="B125" s="51" t="s">
        <v>351</v>
      </c>
      <c r="C125" s="109" t="s">
        <v>114</v>
      </c>
      <c r="D125" s="53">
        <f>ROUND(設定!$B$5*POWER($D$2,W125-1),2)</f>
        <v>672.75</v>
      </c>
      <c r="E125" s="54">
        <f>MAX(1,ROUND(設定!$B$6*AE125*Y125,0))</f>
        <v>673</v>
      </c>
      <c r="F125" s="54">
        <f>MAX(0,ROUND(設定!$B$7*AE125*設定!$B$15*IF(X125="Melee",0.6,1.35)*IFERROR(VLOOKUP($AM125,個性タイプマスタ!$A$5:$P$100,14,FALSE),1),0))</f>
        <v>142</v>
      </c>
      <c r="G125" s="54">
        <f>IF(X125="Melee",AN125,MAX(1,ROUND(AN125*設定!$B$16*IFERROR(VLOOKUP($AM125,個性タイプマスタ!$A$5:$P$100,15,FALSE),1),0)))</f>
        <v>54</v>
      </c>
      <c r="H125" s="54">
        <f>IF(X125="Ranged",AN125,MAX(1,ROUND(AN125*設定!$B$16*IFERROR(VLOOKUP($AM125,個性タイプマスタ!$A$5:$P$100,15,FALSE),1),0)))</f>
        <v>120</v>
      </c>
      <c r="I125" s="54">
        <f>MAX(0,ROUND(設定!$B$8*AE125*Z125,0))</f>
        <v>54</v>
      </c>
      <c r="J125" s="54">
        <f>MAX(0,ROUND(設定!$B$9*AE125*AA125,0))</f>
        <v>65</v>
      </c>
      <c r="K125" s="55">
        <f>IFERROR(VLOOKUP($AM125,個性タイプマスタ!$A$5:$P$100,9,FALSE),0.05)</f>
        <v>0.06</v>
      </c>
      <c r="L125" s="56">
        <f>IFERROR(VLOOKUP($AM125,個性タイプマスタ!$A$5:$P$100,10,FALSE),1.5)</f>
        <v>1.4</v>
      </c>
      <c r="M125" s="56">
        <f>IFERROR(VLOOKUP($AM125,個性タイプマスタ!$A$5:$P$100,11,FALSE),2)</f>
        <v>2.1</v>
      </c>
      <c r="N125" s="57">
        <f>MAX(0.1,ROUND(設定!$B$10*AB125,3))</f>
        <v>0.95</v>
      </c>
      <c r="O125" s="57">
        <f t="shared" si="4"/>
        <v>2.875</v>
      </c>
      <c r="P125" s="58">
        <f>MAX(-10,MIN(0.8,IFERROR(INDEX(属性耐性マスタ!$B$5:$G$11,MATCH($C125,属性耐性マスタ!$A$5:$A$11,0),1),0)+IFERROR(VLOOKUP($AM125,個性タイプマスタ!$A$5:$P$100,12,FALSE),0)))</f>
        <v>0.03</v>
      </c>
      <c r="Q125" s="58">
        <f>MAX(-10,MIN(0.8,IFERROR(INDEX(属性耐性マスタ!$B$5:$G$11,MATCH($C125,属性耐性マスタ!$A$5:$A$11,0),2),0)+IFERROR(VLOOKUP($AM125,個性タイプマスタ!$A$5:$P$100,12,FALSE),0)))</f>
        <v>0.03</v>
      </c>
      <c r="R125" s="58">
        <f>MAX(-10,MIN(0.8,IFERROR(INDEX(属性耐性マスタ!$B$5:$G$11,MATCH($C125,属性耐性マスタ!$A$5:$A$11,0),3),0)+IFERROR(VLOOKUP($AM125,個性タイプマスタ!$A$5:$P$100,12,FALSE),0)))</f>
        <v>0.23</v>
      </c>
      <c r="S125" s="58">
        <f>MAX(-10,MIN(0.8,IFERROR(INDEX(属性耐性マスタ!$B$5:$G$11,MATCH($C125,属性耐性マスタ!$A$5:$A$11,0),4),0)+IFERROR(VLOOKUP($AM125,個性タイプマスタ!$A$5:$P$100,12,FALSE),0)))</f>
        <v>-7.0000000000000007E-2</v>
      </c>
      <c r="T125" s="58">
        <f>MAX(-10,MIN(0.8,IFERROR(INDEX(属性耐性マスタ!$B$5:$G$11,MATCH($C125,属性耐性マスタ!$A$5:$A$11,0),5),0)+IFERROR(VLOOKUP($AM125,個性タイプマスタ!$A$5:$P$100,12,FALSE),0)))</f>
        <v>0.03</v>
      </c>
      <c r="U125" s="58">
        <f>MAX(-10,MIN(0.8,IFERROR(INDEX(属性耐性マスタ!$B$5:$G$11,MATCH($C125,属性耐性マスタ!$A$5:$A$11,0),6),0)+IFERROR(VLOOKUP($AM125,個性タイプマスタ!$A$5:$P$100,12,FALSE),0)))</f>
        <v>0.03</v>
      </c>
      <c r="V125" s="59">
        <f>ROUND(設定!$B$19*IFERROR(VLOOKUP($AM125,個性タイプマスタ!$A$5:$P$100,13,FALSE),1),2)</f>
        <v>4.8</v>
      </c>
      <c r="W125" s="59">
        <v>21</v>
      </c>
      <c r="X125" s="59" t="str">
        <f>IFERROR(VLOOKUP($AM125,個性タイプマスタ!$A$5:$P$100,2,FALSE),"Ranged")</f>
        <v>Ranged</v>
      </c>
      <c r="Y125" s="56">
        <f>IFERROR(VLOOKUP($AM125,個性タイプマスタ!$A$5:$P$100,3,FALSE),1)</f>
        <v>1</v>
      </c>
      <c r="Z125" s="56">
        <f>IFERROR(VLOOKUP($AM125,個性タイプマスタ!$A$5:$P$100,4,FALSE),1)</f>
        <v>1</v>
      </c>
      <c r="AA125" s="56">
        <f>IFERROR(VLOOKUP($AM125,個性タイプマスタ!$A$5:$P$100,5,FALSE),1)</f>
        <v>1.2</v>
      </c>
      <c r="AB125" s="56">
        <f>IFERROR(VLOOKUP($AM125,個性タイプマスタ!$A$5:$P$100,6,FALSE),1)</f>
        <v>0.95</v>
      </c>
      <c r="AC125" s="56">
        <f>IFERROR(VLOOKUP($AM125,個性タイプマスタ!$A$5:$P$100,7,FALSE),1)</f>
        <v>1.1499999999999999</v>
      </c>
      <c r="AD125" s="56">
        <f>IFERROR(VLOOKUP($AM125,個性タイプマスタ!$A$5:$P$100,8,FALSE),1)</f>
        <v>0.84</v>
      </c>
      <c r="AE125" s="60">
        <f>IFERROR(D125/設定!$B$5,1)</f>
        <v>6.7275</v>
      </c>
      <c r="AF125" s="60">
        <f>1+設定!$B$13*((I125/設定!$B$8+J125/設定!$B$9)/(2*AE125))</f>
        <v>1.3316610925306578</v>
      </c>
      <c r="AG125" s="60">
        <f>MAX(0.7,1+設定!$B$14*(O125/IF(X125="Melee",1.5,2.5)-1))</f>
        <v>1.018</v>
      </c>
      <c r="AH125" s="53">
        <f t="shared" si="5"/>
        <v>118.837248</v>
      </c>
      <c r="AI125" s="53">
        <f>E125*AF125*(1+設定!$B$18*AVERAGE(P125:U125))</f>
        <v>915.02828149386835</v>
      </c>
      <c r="AJ125" s="61">
        <f>設定!$B$5*SQRT((AH125/(設定!$B$7*設定!$B$10*(1+設定!$B$11*(設定!$B$12-1))))*(AI125/(設定!$B$6*(1+設定!$B$13))))</f>
        <v>673.3233728726027</v>
      </c>
      <c r="AK125" s="62">
        <f t="shared" si="6"/>
        <v>8.5228223352307175E-4</v>
      </c>
      <c r="AL125" s="63">
        <f t="shared" si="7"/>
        <v>565.11</v>
      </c>
      <c r="AM125" s="64" t="s">
        <v>898</v>
      </c>
      <c r="AN125" s="54">
        <f>MAX(1,ROUND((設定!$B$7*設定!$B$10*(1+設定!$B$11*(設定!$B$12-1)))*AE125^2*(設定!$B$6*(1+設定!$B$13))/(AI125*N125*(1+K125*(L125-1))*AG125),0))</f>
        <v>120</v>
      </c>
      <c r="AO125" s="65" t="str">
        <f>IF($A125="","",IF(COUNTIF(個性タイプマスタ!$A$5:$A$100,$AM125)&gt;0,"OK","未登録"))</f>
        <v>OK</v>
      </c>
      <c r="AP125" s="67" t="str">
        <f>IF($A125="","",IF(COUNTIF(属性耐性マスタ!$A$5:$A$11,$C125)&gt;0,"OK","未登録"))</f>
        <v>OK</v>
      </c>
    </row>
    <row r="126" spans="1:42">
      <c r="A126" s="66" t="s">
        <v>352</v>
      </c>
      <c r="B126" s="51" t="s">
        <v>353</v>
      </c>
      <c r="C126" s="109" t="s">
        <v>114</v>
      </c>
      <c r="D126" s="53">
        <f>ROUND(設定!$B$5*POWER($D$2,W126-1),2)</f>
        <v>672.75</v>
      </c>
      <c r="E126" s="54">
        <f>MAX(1,ROUND(設定!$B$6*AE126*Y126,0))</f>
        <v>646</v>
      </c>
      <c r="F126" s="54">
        <f>MAX(0,ROUND(設定!$B$7*AE126*設定!$B$15*IF(X126="Melee",0.6,1.35)*IFERROR(VLOOKUP($AM126,個性タイプマスタ!$A$5:$P$100,14,FALSE),1),0))</f>
        <v>108</v>
      </c>
      <c r="G126" s="54">
        <f>IF(X126="Melee",AN126,MAX(1,ROUND(AN126*設定!$B$16*IFERROR(VLOOKUP($AM126,個性タイプマスタ!$A$5:$P$100,15,FALSE),1),0)))</f>
        <v>36</v>
      </c>
      <c r="H126" s="54">
        <f>IF(X126="Ranged",AN126,MAX(1,ROUND(AN126*設定!$B$16*IFERROR(VLOOKUP($AM126,個性タイプマスタ!$A$5:$P$100,15,FALSE),1),0)))</f>
        <v>128</v>
      </c>
      <c r="I126" s="54">
        <f>MAX(0,ROUND(設定!$B$8*AE126*Z126,0))</f>
        <v>44</v>
      </c>
      <c r="J126" s="54">
        <f>MAX(0,ROUND(設定!$B$9*AE126*AA126,0))</f>
        <v>49</v>
      </c>
      <c r="K126" s="55">
        <f>IFERROR(VLOOKUP($AM126,個性タイプマスタ!$A$5:$P$100,9,FALSE),0.05)</f>
        <v>0.06</v>
      </c>
      <c r="L126" s="56">
        <f>IFERROR(VLOOKUP($AM126,個性タイプマスタ!$A$5:$P$100,10,FALSE),1.5)</f>
        <v>1.6</v>
      </c>
      <c r="M126" s="56">
        <f>IFERROR(VLOOKUP($AM126,個性タイプマスタ!$A$5:$P$100,11,FALSE),2)</f>
        <v>2.25</v>
      </c>
      <c r="N126" s="57">
        <f>MAX(0.1,ROUND(設定!$B$10*AB126,3))</f>
        <v>0.91</v>
      </c>
      <c r="O126" s="57">
        <f t="shared" si="4"/>
        <v>4.75</v>
      </c>
      <c r="P126" s="58">
        <f>MAX(-10,MIN(0.8,IFERROR(INDEX(属性耐性マスタ!$B$5:$G$11,MATCH($C126,属性耐性マスタ!$A$5:$A$11,0),1),0)+IFERROR(VLOOKUP($AM126,個性タイプマスタ!$A$5:$P$100,12,FALSE),0)))</f>
        <v>-0.02</v>
      </c>
      <c r="Q126" s="58">
        <f>MAX(-10,MIN(0.8,IFERROR(INDEX(属性耐性マスタ!$B$5:$G$11,MATCH($C126,属性耐性マスタ!$A$5:$A$11,0),2),0)+IFERROR(VLOOKUP($AM126,個性タイプマスタ!$A$5:$P$100,12,FALSE),0)))</f>
        <v>-0.02</v>
      </c>
      <c r="R126" s="58">
        <f>MAX(-10,MIN(0.8,IFERROR(INDEX(属性耐性マスタ!$B$5:$G$11,MATCH($C126,属性耐性マスタ!$A$5:$A$11,0),3),0)+IFERROR(VLOOKUP($AM126,個性タイプマスタ!$A$5:$P$100,12,FALSE),0)))</f>
        <v>0.18000000000000002</v>
      </c>
      <c r="S126" s="58">
        <f>MAX(-10,MIN(0.8,IFERROR(INDEX(属性耐性マスタ!$B$5:$G$11,MATCH($C126,属性耐性マスタ!$A$5:$A$11,0),4),0)+IFERROR(VLOOKUP($AM126,個性タイプマスタ!$A$5:$P$100,12,FALSE),0)))</f>
        <v>-0.12000000000000001</v>
      </c>
      <c r="T126" s="58">
        <f>MAX(-10,MIN(0.8,IFERROR(INDEX(属性耐性マスタ!$B$5:$G$11,MATCH($C126,属性耐性マスタ!$A$5:$A$11,0),5),0)+IFERROR(VLOOKUP($AM126,個性タイプマスタ!$A$5:$P$100,12,FALSE),0)))</f>
        <v>-0.02</v>
      </c>
      <c r="U126" s="58">
        <f>MAX(-10,MIN(0.8,IFERROR(INDEX(属性耐性マスタ!$B$5:$G$11,MATCH($C126,属性耐性マスタ!$A$5:$A$11,0),6),0)+IFERROR(VLOOKUP($AM126,個性タイプマスタ!$A$5:$P$100,12,FALSE),0)))</f>
        <v>-0.02</v>
      </c>
      <c r="V126" s="59">
        <f>ROUND(設定!$B$19*IFERROR(VLOOKUP($AM126,個性タイプマスタ!$A$5:$P$100,13,FALSE),1),2)</f>
        <v>6.6</v>
      </c>
      <c r="W126" s="59">
        <v>21</v>
      </c>
      <c r="X126" s="59" t="str">
        <f>IFERROR(VLOOKUP($AM126,個性タイプマスタ!$A$5:$P$100,2,FALSE),"Ranged")</f>
        <v>Ranged</v>
      </c>
      <c r="Y126" s="56">
        <f>IFERROR(VLOOKUP($AM126,個性タイプマスタ!$A$5:$P$100,3,FALSE),1)</f>
        <v>0.96</v>
      </c>
      <c r="Z126" s="56">
        <f>IFERROR(VLOOKUP($AM126,個性タイプマスタ!$A$5:$P$100,4,FALSE),1)</f>
        <v>0.82</v>
      </c>
      <c r="AA126" s="56">
        <f>IFERROR(VLOOKUP($AM126,個性タイプマスタ!$A$5:$P$100,5,FALSE),1)</f>
        <v>0.91</v>
      </c>
      <c r="AB126" s="56">
        <f>IFERROR(VLOOKUP($AM126,個性タイプマスタ!$A$5:$P$100,6,FALSE),1)</f>
        <v>0.91</v>
      </c>
      <c r="AC126" s="56">
        <f>IFERROR(VLOOKUP($AM126,個性タイプマスタ!$A$5:$P$100,7,FALSE),1)</f>
        <v>1.9</v>
      </c>
      <c r="AD126" s="56">
        <f>IFERROR(VLOOKUP($AM126,個性タイプマスタ!$A$5:$P$100,8,FALSE),1)</f>
        <v>0.75</v>
      </c>
      <c r="AE126" s="60">
        <f>IFERROR(D126/設定!$B$5,1)</f>
        <v>6.7275</v>
      </c>
      <c r="AF126" s="60">
        <f>1+設定!$B$13*((I126/設定!$B$8+J126/設定!$B$9)/(2*AE126))</f>
        <v>1.2591973244147157</v>
      </c>
      <c r="AG126" s="60">
        <f>MAX(0.7,1+設定!$B$14*(O126/IF(X126="Melee",1.5,2.5)-1))</f>
        <v>1.1080000000000001</v>
      </c>
      <c r="AH126" s="53">
        <f t="shared" si="5"/>
        <v>133.70599424000002</v>
      </c>
      <c r="AI126" s="53">
        <f>E126*AF126*(1+設定!$B$18*AVERAGE(P126:U126))</f>
        <v>812.22130936454846</v>
      </c>
      <c r="AJ126" s="61">
        <f>設定!$B$5*SQRT((AH126/(設定!$B$7*設定!$B$10*(1+設定!$B$11*(設定!$B$12-1))))*(AI126/(設定!$B$6*(1+設定!$B$13))))</f>
        <v>672.88797496788061</v>
      </c>
      <c r="AK126" s="62">
        <f t="shared" si="6"/>
        <v>2.0509099647814111E-4</v>
      </c>
      <c r="AL126" s="63">
        <f t="shared" si="7"/>
        <v>504.5625</v>
      </c>
      <c r="AM126" s="64" t="s">
        <v>918</v>
      </c>
      <c r="AN126" s="54">
        <f>MAX(1,ROUND((設定!$B$7*設定!$B$10*(1+設定!$B$11*(設定!$B$12-1)))*AE126^2*(設定!$B$6*(1+設定!$B$13))/(AI126*N126*(1+K126*(L126-1))*AG126),0))</f>
        <v>128</v>
      </c>
      <c r="AO126" s="65" t="str">
        <f>IF($A126="","",IF(COUNTIF(個性タイプマスタ!$A$5:$A$100,$AM126)&gt;0,"OK","未登録"))</f>
        <v>OK</v>
      </c>
      <c r="AP126" s="67" t="str">
        <f>IF($A126="","",IF(COUNTIF(属性耐性マスタ!$A$5:$A$11,$C126)&gt;0,"OK","未登録"))</f>
        <v>OK</v>
      </c>
    </row>
    <row r="127" spans="1:42">
      <c r="A127" s="66" t="s">
        <v>354</v>
      </c>
      <c r="B127" s="51" t="s">
        <v>355</v>
      </c>
      <c r="C127" s="109" t="s">
        <v>114</v>
      </c>
      <c r="D127" s="53">
        <f>ROUND(設定!$B$5*POWER($D$2,W127-1),2)</f>
        <v>672.75</v>
      </c>
      <c r="E127" s="54">
        <f>MAX(1,ROUND(設定!$B$6*AE127*Y127,0))</f>
        <v>693</v>
      </c>
      <c r="F127" s="54">
        <f>MAX(0,ROUND(設定!$B$7*AE127*設定!$B$15*IF(X127="Melee",0.6,1.35)*IFERROR(VLOOKUP($AM127,個性タイプマスタ!$A$5:$P$100,14,FALSE),1),0))</f>
        <v>260</v>
      </c>
      <c r="G127" s="54">
        <f>IF(X127="Melee",AN127,MAX(1,ROUND(AN127*設定!$B$16*IFERROR(VLOOKUP($AM127,個性タイプマスタ!$A$5:$P$100,15,FALSE),1),0)))</f>
        <v>39</v>
      </c>
      <c r="H127" s="54">
        <f>IF(X127="Ranged",AN127,MAX(1,ROUND(AN127*設定!$B$16*IFERROR(VLOOKUP($AM127,個性タイプマスタ!$A$5:$P$100,15,FALSE),1),0)))</f>
        <v>124</v>
      </c>
      <c r="I127" s="54">
        <f>MAX(0,ROUND(設定!$B$8*AE127*Z127,0))</f>
        <v>52</v>
      </c>
      <c r="J127" s="54">
        <f>MAX(0,ROUND(設定!$B$9*AE127*AA127,0))</f>
        <v>64</v>
      </c>
      <c r="K127" s="55">
        <f>IFERROR(VLOOKUP($AM127,個性タイプマスタ!$A$5:$P$100,9,FALSE),0.05)</f>
        <v>6.5000000000000002E-2</v>
      </c>
      <c r="L127" s="56">
        <f>IFERROR(VLOOKUP($AM127,個性タイプマスタ!$A$5:$P$100,10,FALSE),1.5)</f>
        <v>1.45</v>
      </c>
      <c r="M127" s="56">
        <f>IFERROR(VLOOKUP($AM127,個性タイプマスタ!$A$5:$P$100,11,FALSE),2)</f>
        <v>2.1</v>
      </c>
      <c r="N127" s="57">
        <f>MAX(0.1,ROUND(設定!$B$10*AB127,3))</f>
        <v>0.9</v>
      </c>
      <c r="O127" s="57">
        <f t="shared" si="4"/>
        <v>2.8</v>
      </c>
      <c r="P127" s="58">
        <f>MAX(-10,MIN(0.8,IFERROR(INDEX(属性耐性マスタ!$B$5:$G$11,MATCH($C127,属性耐性マスタ!$A$5:$A$11,0),1),0)+IFERROR(VLOOKUP($AM127,個性タイプマスタ!$A$5:$P$100,12,FALSE),0)))</f>
        <v>0.02</v>
      </c>
      <c r="Q127" s="58">
        <f>MAX(-10,MIN(0.8,IFERROR(INDEX(属性耐性マスタ!$B$5:$G$11,MATCH($C127,属性耐性マスタ!$A$5:$A$11,0),2),0)+IFERROR(VLOOKUP($AM127,個性タイプマスタ!$A$5:$P$100,12,FALSE),0)))</f>
        <v>0.02</v>
      </c>
      <c r="R127" s="58">
        <f>MAX(-10,MIN(0.8,IFERROR(INDEX(属性耐性マスタ!$B$5:$G$11,MATCH($C127,属性耐性マスタ!$A$5:$A$11,0),3),0)+IFERROR(VLOOKUP($AM127,個性タイプマスタ!$A$5:$P$100,12,FALSE),0)))</f>
        <v>0.22</v>
      </c>
      <c r="S127" s="58">
        <f>MAX(-10,MIN(0.8,IFERROR(INDEX(属性耐性マスタ!$B$5:$G$11,MATCH($C127,属性耐性マスタ!$A$5:$A$11,0),4),0)+IFERROR(VLOOKUP($AM127,個性タイプマスタ!$A$5:$P$100,12,FALSE),0)))</f>
        <v>-0.08</v>
      </c>
      <c r="T127" s="58">
        <f>MAX(-10,MIN(0.8,IFERROR(INDEX(属性耐性マスタ!$B$5:$G$11,MATCH($C127,属性耐性マスタ!$A$5:$A$11,0),5),0)+IFERROR(VLOOKUP($AM127,個性タイプマスタ!$A$5:$P$100,12,FALSE),0)))</f>
        <v>0.02</v>
      </c>
      <c r="U127" s="58">
        <f>MAX(-10,MIN(0.8,IFERROR(INDEX(属性耐性マスタ!$B$5:$G$11,MATCH($C127,属性耐性マスタ!$A$5:$A$11,0),6),0)+IFERROR(VLOOKUP($AM127,個性タイプマスタ!$A$5:$P$100,12,FALSE),0)))</f>
        <v>0.02</v>
      </c>
      <c r="V127" s="59">
        <f>ROUND(設定!$B$19*IFERROR(VLOOKUP($AM127,個性タイプマスタ!$A$5:$P$100,13,FALSE),1),2)</f>
        <v>4.2</v>
      </c>
      <c r="W127" s="59">
        <v>21</v>
      </c>
      <c r="X127" s="59" t="str">
        <f>IFERROR(VLOOKUP($AM127,個性タイプマスタ!$A$5:$P$100,2,FALSE),"Ranged")</f>
        <v>Ranged</v>
      </c>
      <c r="Y127" s="56">
        <f>IFERROR(VLOOKUP($AM127,個性タイプマスタ!$A$5:$P$100,3,FALSE),1)</f>
        <v>1.03</v>
      </c>
      <c r="Z127" s="56">
        <f>IFERROR(VLOOKUP($AM127,個性タイプマスタ!$A$5:$P$100,4,FALSE),1)</f>
        <v>0.96</v>
      </c>
      <c r="AA127" s="56">
        <f>IFERROR(VLOOKUP($AM127,個性タイプマスタ!$A$5:$P$100,5,FALSE),1)</f>
        <v>1.18</v>
      </c>
      <c r="AB127" s="56">
        <f>IFERROR(VLOOKUP($AM127,個性タイプマスタ!$A$5:$P$100,6,FALSE),1)</f>
        <v>0.9</v>
      </c>
      <c r="AC127" s="56">
        <f>IFERROR(VLOOKUP($AM127,個性タイプマスタ!$A$5:$P$100,7,FALSE),1)</f>
        <v>1.1200000000000001</v>
      </c>
      <c r="AD127" s="56">
        <f>IFERROR(VLOOKUP($AM127,個性タイプマスタ!$A$5:$P$100,8,FALSE),1)</f>
        <v>0.79</v>
      </c>
      <c r="AE127" s="60">
        <f>IFERROR(D127/設定!$B$5,1)</f>
        <v>6.7275</v>
      </c>
      <c r="AF127" s="60">
        <f>1+設定!$B$13*((I127/設定!$B$8+J127/設定!$B$9)/(2*AE127))</f>
        <v>1.3232998885172798</v>
      </c>
      <c r="AG127" s="60">
        <f>MAX(0.7,1+設定!$B$14*(O127/IF(X127="Melee",1.5,2.5)-1))</f>
        <v>1.0144</v>
      </c>
      <c r="AH127" s="53">
        <f t="shared" si="5"/>
        <v>116.51834592000002</v>
      </c>
      <c r="AI127" s="53">
        <f>E127*AF127*(1+設定!$B$18*AVERAGE(P127:U127))</f>
        <v>932.17809531772571</v>
      </c>
      <c r="AJ127" s="61">
        <f>設定!$B$5*SQRT((AH127/(設定!$B$7*設定!$B$10*(1+設定!$B$11*(設定!$B$12-1))))*(AI127/(設定!$B$6*(1+設定!$B$13))))</f>
        <v>672.94061504335752</v>
      </c>
      <c r="AK127" s="62">
        <f t="shared" si="6"/>
        <v>2.8333711387218408E-4</v>
      </c>
      <c r="AL127" s="63">
        <f t="shared" si="7"/>
        <v>531.47249999999997</v>
      </c>
      <c r="AM127" s="64" t="s">
        <v>932</v>
      </c>
      <c r="AN127" s="54">
        <f>MAX(1,ROUND((設定!$B$7*設定!$B$10*(1+設定!$B$11*(設定!$B$12-1)))*AE127^2*(設定!$B$6*(1+設定!$B$13))/(AI127*N127*(1+K127*(L127-1))*AG127),0))</f>
        <v>124</v>
      </c>
      <c r="AO127" s="65" t="str">
        <f>IF($A127="","",IF(COUNTIF(個性タイプマスタ!$A$5:$A$100,$AM127)&gt;0,"OK","未登録"))</f>
        <v>OK</v>
      </c>
      <c r="AP127" s="67" t="str">
        <f>IF($A127="","",IF(COUNTIF(属性耐性マスタ!$A$5:$A$11,$C127)&gt;0,"OK","未登録"))</f>
        <v>OK</v>
      </c>
    </row>
    <row r="128" spans="1:42">
      <c r="A128" s="66" t="s">
        <v>356</v>
      </c>
      <c r="B128" s="51" t="s">
        <v>357</v>
      </c>
      <c r="C128" s="109" t="s">
        <v>114</v>
      </c>
      <c r="D128" s="53">
        <f>ROUND(設定!$B$5*POWER($D$2,W128-1),2)</f>
        <v>672.75</v>
      </c>
      <c r="E128" s="54">
        <f>MAX(1,ROUND(設定!$B$6*AE128*Y128,0))</f>
        <v>619</v>
      </c>
      <c r="F128" s="54">
        <f>MAX(0,ROUND(設定!$B$7*AE128*設定!$B$15*IF(X128="Melee",0.6,1.35)*IFERROR(VLOOKUP($AM128,個性タイプマスタ!$A$5:$P$100,14,FALSE),1),0))</f>
        <v>44</v>
      </c>
      <c r="G128" s="54">
        <f>IF(X128="Melee",AN128,MAX(1,ROUND(AN128*設定!$B$16*IFERROR(VLOOKUP($AM128,個性タイプマスタ!$A$5:$P$100,15,FALSE),1),0)))</f>
        <v>127</v>
      </c>
      <c r="H128" s="54">
        <f>IF(X128="Ranged",AN128,MAX(1,ROUND(AN128*設定!$B$16*IFERROR(VLOOKUP($AM128,個性タイプマスタ!$A$5:$P$100,15,FALSE),1),0)))</f>
        <v>57</v>
      </c>
      <c r="I128" s="54">
        <f>MAX(0,ROUND(設定!$B$8*AE128*Z128,0))</f>
        <v>51</v>
      </c>
      <c r="J128" s="54">
        <f>MAX(0,ROUND(設定!$B$9*AE128*AA128,0))</f>
        <v>57</v>
      </c>
      <c r="K128" s="55">
        <f>IFERROR(VLOOKUP($AM128,個性タイプマスタ!$A$5:$P$100,9,FALSE),0.05)</f>
        <v>0.05</v>
      </c>
      <c r="L128" s="56">
        <f>IFERROR(VLOOKUP($AM128,個性タイプマスタ!$A$5:$P$100,10,FALSE),1.5)</f>
        <v>1.5</v>
      </c>
      <c r="M128" s="56">
        <f>IFERROR(VLOOKUP($AM128,個性タイプマスタ!$A$5:$P$100,11,FALSE),2)</f>
        <v>2</v>
      </c>
      <c r="N128" s="57">
        <f>MAX(0.1,ROUND(設定!$B$10*AB128,3))</f>
        <v>1.05</v>
      </c>
      <c r="O128" s="57">
        <f t="shared" si="4"/>
        <v>1.2</v>
      </c>
      <c r="P128" s="58">
        <f>MAX(-10,MIN(0.8,IFERROR(INDEX(属性耐性マスタ!$B$5:$G$11,MATCH($C128,属性耐性マスタ!$A$5:$A$11,0),1),0)+IFERROR(VLOOKUP($AM128,個性タイプマスタ!$A$5:$P$100,12,FALSE),0)))</f>
        <v>0.01</v>
      </c>
      <c r="Q128" s="58">
        <f>MAX(-10,MIN(0.8,IFERROR(INDEX(属性耐性マスタ!$B$5:$G$11,MATCH($C128,属性耐性マスタ!$A$5:$A$11,0),2),0)+IFERROR(VLOOKUP($AM128,個性タイプマスタ!$A$5:$P$100,12,FALSE),0)))</f>
        <v>0.01</v>
      </c>
      <c r="R128" s="58">
        <f>MAX(-10,MIN(0.8,IFERROR(INDEX(属性耐性マスタ!$B$5:$G$11,MATCH($C128,属性耐性マスタ!$A$5:$A$11,0),3),0)+IFERROR(VLOOKUP($AM128,個性タイプマスタ!$A$5:$P$100,12,FALSE),0)))</f>
        <v>0.21000000000000002</v>
      </c>
      <c r="S128" s="58">
        <f>MAX(-10,MIN(0.8,IFERROR(INDEX(属性耐性マスタ!$B$5:$G$11,MATCH($C128,属性耐性マスタ!$A$5:$A$11,0),4),0)+IFERROR(VLOOKUP($AM128,個性タイプマスタ!$A$5:$P$100,12,FALSE),0)))</f>
        <v>-9.0000000000000011E-2</v>
      </c>
      <c r="T128" s="58">
        <f>MAX(-10,MIN(0.8,IFERROR(INDEX(属性耐性マスタ!$B$5:$G$11,MATCH($C128,属性耐性マスタ!$A$5:$A$11,0),5),0)+IFERROR(VLOOKUP($AM128,個性タイプマスタ!$A$5:$P$100,12,FALSE),0)))</f>
        <v>0.01</v>
      </c>
      <c r="U128" s="58">
        <f>MAX(-10,MIN(0.8,IFERROR(INDEX(属性耐性マスタ!$B$5:$G$11,MATCH($C128,属性耐性マスタ!$A$5:$A$11,0),6),0)+IFERROR(VLOOKUP($AM128,個性タイプマスタ!$A$5:$P$100,12,FALSE),0)))</f>
        <v>0.01</v>
      </c>
      <c r="V128" s="59">
        <f>ROUND(設定!$B$19*IFERROR(VLOOKUP($AM128,個性タイプマスタ!$A$5:$P$100,13,FALSE),1),2)</f>
        <v>4</v>
      </c>
      <c r="W128" s="59">
        <v>21</v>
      </c>
      <c r="X128" s="59" t="str">
        <f>IFERROR(VLOOKUP($AM128,個性タイプマスタ!$A$5:$P$100,2,FALSE),"Ranged")</f>
        <v>Melee</v>
      </c>
      <c r="Y128" s="56">
        <f>IFERROR(VLOOKUP($AM128,個性タイプマスタ!$A$5:$P$100,3,FALSE),1)</f>
        <v>0.92</v>
      </c>
      <c r="Z128" s="56">
        <f>IFERROR(VLOOKUP($AM128,個性タイプマスタ!$A$5:$P$100,4,FALSE),1)</f>
        <v>0.95</v>
      </c>
      <c r="AA128" s="56">
        <f>IFERROR(VLOOKUP($AM128,個性タイプマスタ!$A$5:$P$100,5,FALSE),1)</f>
        <v>1.05</v>
      </c>
      <c r="AB128" s="56">
        <f>IFERROR(VLOOKUP($AM128,個性タイプマスタ!$A$5:$P$100,6,FALSE),1)</f>
        <v>1.05</v>
      </c>
      <c r="AC128" s="56">
        <f>IFERROR(VLOOKUP($AM128,個性タイプマスタ!$A$5:$P$100,7,FALSE),1)</f>
        <v>0.8</v>
      </c>
      <c r="AD128" s="56">
        <f>IFERROR(VLOOKUP($AM128,個性タイプマスタ!$A$5:$P$100,8,FALSE),1)</f>
        <v>0.74</v>
      </c>
      <c r="AE128" s="60">
        <f>IFERROR(D128/設定!$B$5,1)</f>
        <v>6.7275</v>
      </c>
      <c r="AF128" s="60">
        <f>1+設定!$B$13*((I128/設定!$B$8+J128/設定!$B$9)/(2*AE128))</f>
        <v>1.3010033444816054</v>
      </c>
      <c r="AG128" s="60">
        <f>MAX(0.7,1+設定!$B$14*(O128/IF(X128="Melee",1.5,2.5)-1))</f>
        <v>0.97599999999999998</v>
      </c>
      <c r="AH128" s="53">
        <f t="shared" si="5"/>
        <v>133.40333999999999</v>
      </c>
      <c r="AI128" s="53">
        <f>E128*AF128*(1+設定!$B$18*AVERAGE(P128:U128))</f>
        <v>814.984923076923</v>
      </c>
      <c r="AJ128" s="61">
        <f>設定!$B$5*SQRT((AH128/(設定!$B$7*設定!$B$10*(1+設定!$B$11*(設定!$B$12-1))))*(AI128/(設定!$B$6*(1+設定!$B$13))))</f>
        <v>673.26847156652343</v>
      </c>
      <c r="AK128" s="62">
        <f t="shared" si="6"/>
        <v>7.7067494094906763E-4</v>
      </c>
      <c r="AL128" s="63">
        <f t="shared" si="7"/>
        <v>497.83499999999998</v>
      </c>
      <c r="AM128" s="64" t="s">
        <v>892</v>
      </c>
      <c r="AN128" s="54">
        <f>MAX(1,ROUND((設定!$B$7*設定!$B$10*(1+設定!$B$11*(設定!$B$12-1)))*AE128^2*(設定!$B$6*(1+設定!$B$13))/(AI128*N128*(1+K128*(L128-1))*AG128),0))</f>
        <v>127</v>
      </c>
      <c r="AO128" s="65" t="str">
        <f>IF($A128="","",IF(COUNTIF(個性タイプマスタ!$A$5:$A$100,$AM128)&gt;0,"OK","未登録"))</f>
        <v>OK</v>
      </c>
      <c r="AP128" s="67" t="str">
        <f>IF($A128="","",IF(COUNTIF(属性耐性マスタ!$A$5:$A$11,$C128)&gt;0,"OK","未登録"))</f>
        <v>OK</v>
      </c>
    </row>
    <row r="129" spans="1:42">
      <c r="A129" s="66" t="s">
        <v>358</v>
      </c>
      <c r="B129" s="51" t="s">
        <v>359</v>
      </c>
      <c r="C129" s="109" t="s">
        <v>871</v>
      </c>
      <c r="D129" s="53">
        <f>ROUND(設定!$B$5*POWER($D$2,W129-1),2)</f>
        <v>672.75</v>
      </c>
      <c r="E129" s="54">
        <f>MAX(1,ROUND(設定!$B$6*AE129*Y129,0))</f>
        <v>545</v>
      </c>
      <c r="F129" s="54">
        <f>MAX(0,ROUND(設定!$B$7*AE129*設定!$B$15*IF(X129="Melee",0.6,1.35)*IFERROR(VLOOKUP($AM129,個性タイプマスタ!$A$5:$P$100,14,FALSE),1),0))</f>
        <v>34</v>
      </c>
      <c r="G129" s="54">
        <f>IF(X129="Melee",AN129,MAX(1,ROUND(AN129*設定!$B$16*IFERROR(VLOOKUP($AM129,個性タイプマスタ!$A$5:$P$100,15,FALSE),1),0)))</f>
        <v>93</v>
      </c>
      <c r="H129" s="54">
        <f>IF(X129="Ranged",AN129,MAX(1,ROUND(AN129*設定!$B$16*IFERROR(VLOOKUP($AM129,個性タイプマスタ!$A$5:$P$100,15,FALSE),1),0)))</f>
        <v>29</v>
      </c>
      <c r="I129" s="54">
        <f>MAX(0,ROUND(設定!$B$8*AE129*Z129,0))</f>
        <v>40</v>
      </c>
      <c r="J129" s="54">
        <f>MAX(0,ROUND(設定!$B$9*AE129*AA129,0))</f>
        <v>43</v>
      </c>
      <c r="K129" s="55">
        <f>IFERROR(VLOOKUP($AM129,個性タイプマスタ!$A$5:$P$100,9,FALSE),0.05)</f>
        <v>7.0000000000000007E-2</v>
      </c>
      <c r="L129" s="56">
        <f>IFERROR(VLOOKUP($AM129,個性タイプマスタ!$A$5:$P$100,10,FALSE),1.5)</f>
        <v>1.45</v>
      </c>
      <c r="M129" s="56">
        <f>IFERROR(VLOOKUP($AM129,個性タイプマスタ!$A$5:$P$100,11,FALSE),2)</f>
        <v>3.35</v>
      </c>
      <c r="N129" s="57">
        <f>MAX(0.1,ROUND(設定!$B$10*AB129,3))</f>
        <v>1.77</v>
      </c>
      <c r="O129" s="57">
        <f t="shared" si="4"/>
        <v>1.1399999999999999</v>
      </c>
      <c r="P129" s="58">
        <f>MAX(-10,MIN(0.8,IFERROR(INDEX(属性耐性マスタ!$B$5:$G$11,MATCH($C129,属性耐性マスタ!$A$5:$A$11,0),1),0)+IFERROR(VLOOKUP($AM129,個性タイプマスタ!$A$5:$P$100,12,FALSE),0)))</f>
        <v>-6.5000000000000002E-2</v>
      </c>
      <c r="Q129" s="58">
        <f>MAX(-10,MIN(0.8,IFERROR(INDEX(属性耐性マスタ!$B$5:$G$11,MATCH($C129,属性耐性マスタ!$A$5:$A$11,0),2),0)+IFERROR(VLOOKUP($AM129,個性タイプマスタ!$A$5:$P$100,12,FALSE),0)))</f>
        <v>-6.5000000000000002E-2</v>
      </c>
      <c r="R129" s="58">
        <f>MAX(-10,MIN(0.8,IFERROR(INDEX(属性耐性マスタ!$B$5:$G$11,MATCH($C129,属性耐性マスタ!$A$5:$A$11,0),3),0)+IFERROR(VLOOKUP($AM129,個性タイプマスタ!$A$5:$P$100,12,FALSE),0)))</f>
        <v>-0.16500000000000001</v>
      </c>
      <c r="S129" s="58">
        <f>MAX(-10,MIN(0.8,IFERROR(INDEX(属性耐性マスタ!$B$5:$G$11,MATCH($C129,属性耐性マスタ!$A$5:$A$11,0),4),0)+IFERROR(VLOOKUP($AM129,個性タイプマスタ!$A$5:$P$100,12,FALSE),0)))</f>
        <v>0.13500000000000001</v>
      </c>
      <c r="T129" s="58">
        <f>MAX(-10,MIN(0.8,IFERROR(INDEX(属性耐性マスタ!$B$5:$G$11,MATCH($C129,属性耐性マスタ!$A$5:$A$11,0),5),0)+IFERROR(VLOOKUP($AM129,個性タイプマスタ!$A$5:$P$100,12,FALSE),0)))</f>
        <v>-6.5000000000000002E-2</v>
      </c>
      <c r="U129" s="58">
        <f>MAX(-10,MIN(0.8,IFERROR(INDEX(属性耐性マスタ!$B$5:$G$11,MATCH($C129,属性耐性マスタ!$A$5:$A$11,0),6),0)+IFERROR(VLOOKUP($AM129,個性タイプマスタ!$A$5:$P$100,12,FALSE),0)))</f>
        <v>-6.5000000000000002E-2</v>
      </c>
      <c r="V129" s="59">
        <f>ROUND(設定!$B$19*IFERROR(VLOOKUP($AM129,個性タイプマスタ!$A$5:$P$100,13,FALSE),1),2)</f>
        <v>5</v>
      </c>
      <c r="W129" s="59">
        <v>21</v>
      </c>
      <c r="X129" s="59" t="str">
        <f>IFERROR(VLOOKUP($AM129,個性タイプマスタ!$A$5:$P$100,2,FALSE),"Ranged")</f>
        <v>Melee</v>
      </c>
      <c r="Y129" s="56">
        <f>IFERROR(VLOOKUP($AM129,個性タイプマスタ!$A$5:$P$100,3,FALSE),1)</f>
        <v>0.81</v>
      </c>
      <c r="Z129" s="56">
        <f>IFERROR(VLOOKUP($AM129,個性タイプマスタ!$A$5:$P$100,4,FALSE),1)</f>
        <v>0.75</v>
      </c>
      <c r="AA129" s="56">
        <f>IFERROR(VLOOKUP($AM129,個性タイプマスタ!$A$5:$P$100,5,FALSE),1)</f>
        <v>0.79</v>
      </c>
      <c r="AB129" s="56">
        <f>IFERROR(VLOOKUP($AM129,個性タイプマスタ!$A$5:$P$100,6,FALSE),1)</f>
        <v>1.77</v>
      </c>
      <c r="AC129" s="56">
        <f>IFERROR(VLOOKUP($AM129,個性タイプマスタ!$A$5:$P$100,7,FALSE),1)</f>
        <v>0.76</v>
      </c>
      <c r="AD129" s="56">
        <f>IFERROR(VLOOKUP($AM129,個性タイプマスタ!$A$5:$P$100,8,FALSE),1)</f>
        <v>0.66</v>
      </c>
      <c r="AE129" s="60">
        <f>IFERROR(D129/設定!$B$5,1)</f>
        <v>6.7275</v>
      </c>
      <c r="AF129" s="60">
        <f>1+設定!$B$13*((I129/設定!$B$8+J129/設定!$B$9)/(2*AE129))</f>
        <v>1.2313266443701227</v>
      </c>
      <c r="AG129" s="60">
        <f>MAX(0.7,1+設定!$B$14*(O129/IF(X129="Melee",1.5,2.5)-1))</f>
        <v>0.97119999999999995</v>
      </c>
      <c r="AH129" s="53">
        <f t="shared" si="5"/>
        <v>164.90511280800004</v>
      </c>
      <c r="AI129" s="53">
        <f>E129*AF129*(1+設定!$B$18*AVERAGE(P129:U129))</f>
        <v>656.47718297101449</v>
      </c>
      <c r="AJ129" s="61">
        <f>設定!$B$5*SQRT((AH129/(設定!$B$7*設定!$B$10*(1+設定!$B$11*(設定!$B$12-1))))*(AI129/(設定!$B$6*(1+設定!$B$13))))</f>
        <v>671.82632460976299</v>
      </c>
      <c r="AK129" s="62">
        <f t="shared" si="6"/>
        <v>-1.3729846008725399E-3</v>
      </c>
      <c r="AL129" s="63">
        <f t="shared" si="7"/>
        <v>444.01500000000004</v>
      </c>
      <c r="AM129" s="64" t="s">
        <v>948</v>
      </c>
      <c r="AN129" s="54">
        <f>MAX(1,ROUND((設定!$B$7*設定!$B$10*(1+設定!$B$11*(設定!$B$12-1)))*AE129^2*(設定!$B$6*(1+設定!$B$13))/(AI129*N129*(1+K129*(L129-1))*AG129),0))</f>
        <v>93</v>
      </c>
      <c r="AO129" s="65" t="str">
        <f>IF($A129="","",IF(COUNTIF(個性タイプマスタ!$A$5:$A$100,$AM129)&gt;0,"OK","未登録"))</f>
        <v>OK</v>
      </c>
      <c r="AP129" s="67" t="str">
        <f>IF($A129="","",IF(COUNTIF(属性耐性マスタ!$A$5:$A$11,$C129)&gt;0,"OK","未登録"))</f>
        <v>OK</v>
      </c>
    </row>
    <row r="130" spans="1:42">
      <c r="A130" s="66" t="s">
        <v>360</v>
      </c>
      <c r="B130" s="51" t="s">
        <v>361</v>
      </c>
      <c r="C130" s="109" t="s">
        <v>121</v>
      </c>
      <c r="D130" s="53">
        <f>ROUND(設定!$B$5*POWER($D$2,W130-1),2)</f>
        <v>672.75</v>
      </c>
      <c r="E130" s="54">
        <f>MAX(1,ROUND(設定!$B$6*AE130*Y130,0))</f>
        <v>552</v>
      </c>
      <c r="F130" s="54">
        <f>MAX(0,ROUND(設定!$B$7*AE130*設定!$B$15*IF(X130="Melee",0.6,1.35)*IFERROR(VLOOKUP($AM130,個性タイプマスタ!$A$5:$P$100,14,FALSE),1),0))</f>
        <v>132</v>
      </c>
      <c r="G130" s="54">
        <f>IF(X130="Melee",AN130,MAX(1,ROUND(AN130*設定!$B$16*IFERROR(VLOOKUP($AM130,個性タイプマスタ!$A$5:$P$100,15,FALSE),1),0)))</f>
        <v>51</v>
      </c>
      <c r="H130" s="54">
        <f>IF(X130="Ranged",AN130,MAX(1,ROUND(AN130*設定!$B$16*IFERROR(VLOOKUP($AM130,個性タイプマスタ!$A$5:$P$100,15,FALSE),1),0)))</f>
        <v>188</v>
      </c>
      <c r="I130" s="54">
        <f>MAX(0,ROUND(設定!$B$8*AE130*Z130,0))</f>
        <v>44</v>
      </c>
      <c r="J130" s="54">
        <f>MAX(0,ROUND(設定!$B$9*AE130*AA130,0))</f>
        <v>47</v>
      </c>
      <c r="K130" s="55">
        <f>IFERROR(VLOOKUP($AM130,個性タイプマスタ!$A$5:$P$100,9,FALSE),0.05)</f>
        <v>0.12</v>
      </c>
      <c r="L130" s="56">
        <f>IFERROR(VLOOKUP($AM130,個性タイプマスタ!$A$5:$P$100,10,FALSE),1.5)</f>
        <v>2.5499999999999998</v>
      </c>
      <c r="M130" s="56">
        <f>IFERROR(VLOOKUP($AM130,個性タイプマスタ!$A$5:$P$100,11,FALSE),2)</f>
        <v>2.2999999999999998</v>
      </c>
      <c r="N130" s="57">
        <f>MAX(0.1,ROUND(設定!$B$10*AB130,3))</f>
        <v>0.68</v>
      </c>
      <c r="O130" s="57">
        <f t="shared" si="4"/>
        <v>3.55</v>
      </c>
      <c r="P130" s="58">
        <f>MAX(-10,MIN(0.8,IFERROR(INDEX(属性耐性マスタ!$B$5:$G$11,MATCH($C130,属性耐性マスタ!$A$5:$A$11,0),1),0)+IFERROR(VLOOKUP($AM130,個性タイプマスタ!$A$5:$P$100,12,FALSE),0)))</f>
        <v>-5.5E-2</v>
      </c>
      <c r="Q130" s="58">
        <f>MAX(-10,MIN(0.8,IFERROR(INDEX(属性耐性マスタ!$B$5:$G$11,MATCH($C130,属性耐性マスタ!$A$5:$A$11,0),2),0)+IFERROR(VLOOKUP($AM130,個性タイプマスタ!$A$5:$P$100,12,FALSE),0)))</f>
        <v>-5.5E-2</v>
      </c>
      <c r="R130" s="58">
        <f>MAX(-10,MIN(0.8,IFERROR(INDEX(属性耐性マスタ!$B$5:$G$11,MATCH($C130,属性耐性マスタ!$A$5:$A$11,0),3),0)+IFERROR(VLOOKUP($AM130,個性タイプマスタ!$A$5:$P$100,12,FALSE),0)))</f>
        <v>-5.5E-2</v>
      </c>
      <c r="S130" s="58">
        <f>MAX(-10,MIN(0.8,IFERROR(INDEX(属性耐性マスタ!$B$5:$G$11,MATCH($C130,属性耐性マスタ!$A$5:$A$11,0),4),0)+IFERROR(VLOOKUP($AM130,個性タイプマスタ!$A$5:$P$100,12,FALSE),0)))</f>
        <v>-5.5E-2</v>
      </c>
      <c r="T130" s="58">
        <f>MAX(-10,MIN(0.8,IFERROR(INDEX(属性耐性マスタ!$B$5:$G$11,MATCH($C130,属性耐性マスタ!$A$5:$A$11,0),5),0)+IFERROR(VLOOKUP($AM130,個性タイプマスタ!$A$5:$P$100,12,FALSE),0)))</f>
        <v>0.14500000000000002</v>
      </c>
      <c r="U130" s="58">
        <f>MAX(-10,MIN(0.8,IFERROR(INDEX(属性耐性マスタ!$B$5:$G$11,MATCH($C130,属性耐性マスタ!$A$5:$A$11,0),6),0)+IFERROR(VLOOKUP($AM130,個性タイプマスタ!$A$5:$P$100,12,FALSE),0)))</f>
        <v>-0.155</v>
      </c>
      <c r="V130" s="59">
        <f>ROUND(設定!$B$19*IFERROR(VLOOKUP($AM130,個性タイプマスタ!$A$5:$P$100,13,FALSE),1),2)</f>
        <v>4.8</v>
      </c>
      <c r="W130" s="59">
        <v>21</v>
      </c>
      <c r="X130" s="59" t="str">
        <f>IFERROR(VLOOKUP($AM130,個性タイプマスタ!$A$5:$P$100,2,FALSE),"Ranged")</f>
        <v>Ranged</v>
      </c>
      <c r="Y130" s="56">
        <f>IFERROR(VLOOKUP($AM130,個性タイプマスタ!$A$5:$P$100,3,FALSE),1)</f>
        <v>0.82</v>
      </c>
      <c r="Z130" s="56">
        <f>IFERROR(VLOOKUP($AM130,個性タイプマスタ!$A$5:$P$100,4,FALSE),1)</f>
        <v>0.81</v>
      </c>
      <c r="AA130" s="56">
        <f>IFERROR(VLOOKUP($AM130,個性タイプマスタ!$A$5:$P$100,5,FALSE),1)</f>
        <v>0.87</v>
      </c>
      <c r="AB130" s="56">
        <f>IFERROR(VLOOKUP($AM130,個性タイプマスタ!$A$5:$P$100,6,FALSE),1)</f>
        <v>0.68</v>
      </c>
      <c r="AC130" s="56">
        <f>IFERROR(VLOOKUP($AM130,個性タイプマスタ!$A$5:$P$100,7,FALSE),1)</f>
        <v>1.42</v>
      </c>
      <c r="AD130" s="56">
        <f>IFERROR(VLOOKUP($AM130,個性タイプマスタ!$A$5:$P$100,8,FALSE),1)</f>
        <v>0.67</v>
      </c>
      <c r="AE130" s="60">
        <f>IFERROR(D130/設定!$B$5,1)</f>
        <v>6.7275</v>
      </c>
      <c r="AF130" s="60">
        <f>1+設定!$B$13*((I130/設定!$B$8+J130/設定!$B$9)/(2*AE130))</f>
        <v>1.2536231884057971</v>
      </c>
      <c r="AG130" s="60">
        <f>MAX(0.7,1+設定!$B$14*(O130/IF(X130="Melee",1.5,2.5)-1))</f>
        <v>1.0504</v>
      </c>
      <c r="AH130" s="53">
        <f t="shared" si="5"/>
        <v>159.25979929599998</v>
      </c>
      <c r="AI130" s="53">
        <f>E130*AF130*(1+設定!$B$18*AVERAGE(P130:U130))</f>
        <v>680.06299999999999</v>
      </c>
      <c r="AJ130" s="61">
        <f>設定!$B$5*SQRT((AH130/(設定!$B$7*設定!$B$10*(1+設定!$B$11*(設定!$B$12-1))))*(AI130/(設定!$B$6*(1+設定!$B$13))))</f>
        <v>671.98223844320319</v>
      </c>
      <c r="AK130" s="62">
        <f t="shared" si="6"/>
        <v>-1.1412286240012337E-3</v>
      </c>
      <c r="AL130" s="63">
        <f t="shared" si="7"/>
        <v>450.74250000000001</v>
      </c>
      <c r="AM130" s="64" t="s">
        <v>924</v>
      </c>
      <c r="AN130" s="54">
        <f>MAX(1,ROUND((設定!$B$7*設定!$B$10*(1+設定!$B$11*(設定!$B$12-1)))*AE130^2*(設定!$B$6*(1+設定!$B$13))/(AI130*N130*(1+K130*(L130-1))*AG130),0))</f>
        <v>188</v>
      </c>
      <c r="AO130" s="65" t="str">
        <f>IF($A130="","",IF(COUNTIF(個性タイプマスタ!$A$5:$A$100,$AM130)&gt;0,"OK","未登録"))</f>
        <v>OK</v>
      </c>
      <c r="AP130" s="67" t="str">
        <f>IF($A130="","",IF(COUNTIF(属性耐性マスタ!$A$5:$A$11,$C130)&gt;0,"OK","未登録"))</f>
        <v>OK</v>
      </c>
    </row>
    <row r="131" spans="1:42">
      <c r="A131" s="66" t="s">
        <v>362</v>
      </c>
      <c r="B131" s="51" t="s">
        <v>363</v>
      </c>
      <c r="C131" s="109" t="s">
        <v>874</v>
      </c>
      <c r="D131" s="53">
        <f>ROUND(設定!$B$5*POWER($D$2,W131-1),2)</f>
        <v>740.02</v>
      </c>
      <c r="E131" s="54">
        <f>MAX(1,ROUND(設定!$B$6*AE131*Y131,0))</f>
        <v>1273</v>
      </c>
      <c r="F131" s="54">
        <f>MAX(0,ROUND(設定!$B$7*AE131*設定!$B$15*IF(X131="Melee",0.6,1.35)*IFERROR(VLOOKUP($AM131,個性タイプマスタ!$A$5:$P$100,14,FALSE),1),0))</f>
        <v>146</v>
      </c>
      <c r="G131" s="54">
        <f>IF(X131="Melee",AN131,MAX(1,ROUND(AN131*設定!$B$16*IFERROR(VLOOKUP($AM131,個性タイプマスタ!$A$5:$P$100,15,FALSE),1),0)))</f>
        <v>31</v>
      </c>
      <c r="H131" s="54">
        <f>IF(X131="Ranged",AN131,MAX(1,ROUND(AN131*設定!$B$16*IFERROR(VLOOKUP($AM131,個性タイプマスタ!$A$5:$P$100,15,FALSE),1),0)))</f>
        <v>105</v>
      </c>
      <c r="I131" s="54">
        <f>MAX(0,ROUND(設定!$B$8*AE131*Z131,0))</f>
        <v>97</v>
      </c>
      <c r="J131" s="54">
        <f>MAX(0,ROUND(設定!$B$9*AE131*AA131,0))</f>
        <v>92</v>
      </c>
      <c r="K131" s="55">
        <f>IFERROR(VLOOKUP($AM131,個性タイプマスタ!$A$5:$P$100,9,FALSE),0.05)</f>
        <v>3.5000000000000003E-2</v>
      </c>
      <c r="L131" s="56">
        <f>IFERROR(VLOOKUP($AM131,個性タイプマスタ!$A$5:$P$100,10,FALSE),1.5)</f>
        <v>1.4</v>
      </c>
      <c r="M131" s="56">
        <f>IFERROR(VLOOKUP($AM131,個性タイプマスタ!$A$5:$P$100,11,FALSE),2)</f>
        <v>1.5</v>
      </c>
      <c r="N131" s="57">
        <f>MAX(0.1,ROUND(設定!$B$10*AB131,3))</f>
        <v>0.6</v>
      </c>
      <c r="O131" s="57">
        <f t="shared" si="4"/>
        <v>3.1</v>
      </c>
      <c r="P131" s="58">
        <f>MAX(-10,MIN(0.8,IFERROR(INDEX(属性耐性マスタ!$B$5:$G$11,MATCH($C131,属性耐性マスタ!$A$5:$A$11,0),1),0)+IFERROR(VLOOKUP($AM131,個性タイプマスタ!$A$5:$P$100,12,FALSE),0)))</f>
        <v>0.12</v>
      </c>
      <c r="Q131" s="58">
        <f>MAX(-10,MIN(0.8,IFERROR(INDEX(属性耐性マスタ!$B$5:$G$11,MATCH($C131,属性耐性マスタ!$A$5:$A$11,0),2),0)+IFERROR(VLOOKUP($AM131,個性タイプマスタ!$A$5:$P$100,12,FALSE),0)))</f>
        <v>0.12</v>
      </c>
      <c r="R131" s="58">
        <f>MAX(-10,MIN(0.8,IFERROR(INDEX(属性耐性マスタ!$B$5:$G$11,MATCH($C131,属性耐性マスタ!$A$5:$A$11,0),3),0)+IFERROR(VLOOKUP($AM131,個性タイプマスタ!$A$5:$P$100,12,FALSE),0)))</f>
        <v>0.12</v>
      </c>
      <c r="S131" s="58">
        <f>MAX(-10,MIN(0.8,IFERROR(INDEX(属性耐性マスタ!$B$5:$G$11,MATCH($C131,属性耐性マスタ!$A$5:$A$11,0),4),0)+IFERROR(VLOOKUP($AM131,個性タイプマスタ!$A$5:$P$100,12,FALSE),0)))</f>
        <v>0.12</v>
      </c>
      <c r="T131" s="58">
        <f>MAX(-10,MIN(0.8,IFERROR(INDEX(属性耐性マスタ!$B$5:$G$11,MATCH($C131,属性耐性マスタ!$A$5:$A$11,0),5),0)+IFERROR(VLOOKUP($AM131,個性タイプマスタ!$A$5:$P$100,12,FALSE),0)))</f>
        <v>1.999999999999999E-2</v>
      </c>
      <c r="U131" s="58">
        <f>MAX(-10,MIN(0.8,IFERROR(INDEX(属性耐性マスタ!$B$5:$G$11,MATCH($C131,属性耐性マスタ!$A$5:$A$11,0),6),0)+IFERROR(VLOOKUP($AM131,個性タイプマスタ!$A$5:$P$100,12,FALSE),0)))</f>
        <v>0.32</v>
      </c>
      <c r="V131" s="59">
        <f>ROUND(設定!$B$19*IFERROR(VLOOKUP($AM131,個性タイプマスタ!$A$5:$P$100,13,FALSE),1),2)</f>
        <v>4.12</v>
      </c>
      <c r="W131" s="59">
        <v>22</v>
      </c>
      <c r="X131" s="59" t="str">
        <f>IFERROR(VLOOKUP($AM131,個性タイプマスタ!$A$5:$P$100,2,FALSE),"Ranged")</f>
        <v>Ranged</v>
      </c>
      <c r="Y131" s="56">
        <f>IFERROR(VLOOKUP($AM131,個性タイプマスタ!$A$5:$P$100,3,FALSE),1)</f>
        <v>1.72</v>
      </c>
      <c r="Z131" s="56">
        <f>IFERROR(VLOOKUP($AM131,個性タイプマスタ!$A$5:$P$100,4,FALSE),1)</f>
        <v>1.64</v>
      </c>
      <c r="AA131" s="56">
        <f>IFERROR(VLOOKUP($AM131,個性タイプマスタ!$A$5:$P$100,5,FALSE),1)</f>
        <v>1.55</v>
      </c>
      <c r="AB131" s="56">
        <f>IFERROR(VLOOKUP($AM131,個性タイプマスタ!$A$5:$P$100,6,FALSE),1)</f>
        <v>0.6</v>
      </c>
      <c r="AC131" s="56">
        <f>IFERROR(VLOOKUP($AM131,個性タイプマスタ!$A$5:$P$100,7,FALSE),1)</f>
        <v>1.24</v>
      </c>
      <c r="AD131" s="56">
        <f>IFERROR(VLOOKUP($AM131,個性タイプマスタ!$A$5:$P$100,8,FALSE),1)</f>
        <v>0.91</v>
      </c>
      <c r="AE131" s="60">
        <f>IFERROR(D131/設定!$B$5,1)</f>
        <v>7.4001999999999999</v>
      </c>
      <c r="AF131" s="60">
        <f>1+設定!$B$13*((I131/設定!$B$8+J131/設定!$B$9)/(2*AE131))</f>
        <v>1.4788721926434421</v>
      </c>
      <c r="AG131" s="60">
        <f>MAX(0.7,1+設定!$B$14*(O131/IF(X131="Melee",1.5,2.5)-1))</f>
        <v>1.0287999999999999</v>
      </c>
      <c r="AH131" s="53">
        <f t="shared" si="5"/>
        <v>65.721801599999992</v>
      </c>
      <c r="AI131" s="53">
        <f>E131*AF131*(1+設定!$B$18*AVERAGE(P131:U131))</f>
        <v>1998.3844657610607</v>
      </c>
      <c r="AJ131" s="61">
        <f>設定!$B$5*SQRT((AH131/(設定!$B$7*設定!$B$10*(1+設定!$B$11*(設定!$B$12-1))))*(AI131/(設定!$B$6*(1+設定!$B$13))))</f>
        <v>739.98751286522247</v>
      </c>
      <c r="AK131" s="62">
        <f t="shared" si="6"/>
        <v>-4.3900346987313377E-5</v>
      </c>
      <c r="AL131" s="63">
        <f t="shared" si="7"/>
        <v>673.41819999999996</v>
      </c>
      <c r="AM131" s="64" t="s">
        <v>916</v>
      </c>
      <c r="AN131" s="54">
        <f>MAX(1,ROUND((設定!$B$7*設定!$B$10*(1+設定!$B$11*(設定!$B$12-1)))*AE131^2*(設定!$B$6*(1+設定!$B$13))/(AI131*N131*(1+K131*(L131-1))*AG131),0))</f>
        <v>105</v>
      </c>
      <c r="AO131" s="65" t="str">
        <f>IF($A131="","",IF(COUNTIF(個性タイプマスタ!$A$5:$A$100,$AM131)&gt;0,"OK","未登録"))</f>
        <v>OK</v>
      </c>
      <c r="AP131" s="67" t="str">
        <f>IF($A131="","",IF(COUNTIF(属性耐性マスタ!$A$5:$A$11,$C131)&gt;0,"OK","未登録"))</f>
        <v>OK</v>
      </c>
    </row>
    <row r="132" spans="1:42">
      <c r="A132" s="66" t="s">
        <v>364</v>
      </c>
      <c r="B132" s="51" t="s">
        <v>365</v>
      </c>
      <c r="C132" s="109" t="s">
        <v>871</v>
      </c>
      <c r="D132" s="53">
        <f>ROUND(設定!$B$5*POWER($D$2,W132-1),2)</f>
        <v>740.02</v>
      </c>
      <c r="E132" s="54">
        <f>MAX(1,ROUND(設定!$B$6*AE132*Y132,0))</f>
        <v>740</v>
      </c>
      <c r="F132" s="54">
        <f>MAX(0,ROUND(設定!$B$7*AE132*設定!$B$15*IF(X132="Melee",0.6,1.35)*IFERROR(VLOOKUP($AM132,個性タイプマスタ!$A$5:$P$100,14,FALSE),1),0))</f>
        <v>129</v>
      </c>
      <c r="G132" s="54">
        <f>IF(X132="Melee",AN132,MAX(1,ROUND(AN132*設定!$B$16*IFERROR(VLOOKUP($AM132,個性タイプマスタ!$A$5:$P$100,15,FALSE),1),0)))</f>
        <v>42</v>
      </c>
      <c r="H132" s="54">
        <f>IF(X132="Ranged",AN132,MAX(1,ROUND(AN132*設定!$B$16*IFERROR(VLOOKUP($AM132,個性タイプマスタ!$A$5:$P$100,15,FALSE),1),0)))</f>
        <v>133</v>
      </c>
      <c r="I132" s="54">
        <f>MAX(0,ROUND(設定!$B$8*AE132*Z132,0))</f>
        <v>57</v>
      </c>
      <c r="J132" s="54">
        <f>MAX(0,ROUND(設定!$B$9*AE132*AA132,0))</f>
        <v>60</v>
      </c>
      <c r="K132" s="55">
        <f>IFERROR(VLOOKUP($AM132,個性タイプマスタ!$A$5:$P$100,9,FALSE),0.05)</f>
        <v>4.4999999999999998E-2</v>
      </c>
      <c r="L132" s="56">
        <f>IFERROR(VLOOKUP($AM132,個性タイプマスタ!$A$5:$P$100,10,FALSE),1.5)</f>
        <v>1.4</v>
      </c>
      <c r="M132" s="56">
        <f>IFERROR(VLOOKUP($AM132,個性タイプマスタ!$A$5:$P$100,11,FALSE),2)</f>
        <v>2.0499999999999998</v>
      </c>
      <c r="N132" s="57">
        <f>MAX(0.1,ROUND(設定!$B$10*AB132,3))</f>
        <v>0.92</v>
      </c>
      <c r="O132" s="57">
        <f t="shared" si="4"/>
        <v>2.6749999999999998</v>
      </c>
      <c r="P132" s="58">
        <f>MAX(-10,MIN(0.8,IFERROR(INDEX(属性耐性マスタ!$B$5:$G$11,MATCH($C132,属性耐性マスタ!$A$5:$A$11,0),1),0)+IFERROR(VLOOKUP($AM132,個性タイプマスタ!$A$5:$P$100,12,FALSE),0)))</f>
        <v>0.19</v>
      </c>
      <c r="Q132" s="58">
        <f>MAX(-10,MIN(0.8,IFERROR(INDEX(属性耐性マスタ!$B$5:$G$11,MATCH($C132,属性耐性マスタ!$A$5:$A$11,0),2),0)+IFERROR(VLOOKUP($AM132,個性タイプマスタ!$A$5:$P$100,12,FALSE),0)))</f>
        <v>0.19</v>
      </c>
      <c r="R132" s="58">
        <f>MAX(-10,MIN(0.8,IFERROR(INDEX(属性耐性マスタ!$B$5:$G$11,MATCH($C132,属性耐性マスタ!$A$5:$A$11,0),3),0)+IFERROR(VLOOKUP($AM132,個性タイプマスタ!$A$5:$P$100,12,FALSE),0)))</f>
        <v>0.09</v>
      </c>
      <c r="S132" s="58">
        <f>MAX(-10,MIN(0.8,IFERROR(INDEX(属性耐性マスタ!$B$5:$G$11,MATCH($C132,属性耐性マスタ!$A$5:$A$11,0),4),0)+IFERROR(VLOOKUP($AM132,個性タイプマスタ!$A$5:$P$100,12,FALSE),0)))</f>
        <v>0.39</v>
      </c>
      <c r="T132" s="58">
        <f>MAX(-10,MIN(0.8,IFERROR(INDEX(属性耐性マスタ!$B$5:$G$11,MATCH($C132,属性耐性マスタ!$A$5:$A$11,0),5),0)+IFERROR(VLOOKUP($AM132,個性タイプマスタ!$A$5:$P$100,12,FALSE),0)))</f>
        <v>0.19</v>
      </c>
      <c r="U132" s="58">
        <f>MAX(-10,MIN(0.8,IFERROR(INDEX(属性耐性マスタ!$B$5:$G$11,MATCH($C132,属性耐性マスタ!$A$5:$A$11,0),6),0)+IFERROR(VLOOKUP($AM132,個性タイプマスタ!$A$5:$P$100,12,FALSE),0)))</f>
        <v>0.19</v>
      </c>
      <c r="V132" s="59">
        <f>ROUND(設定!$B$19*IFERROR(VLOOKUP($AM132,個性タイプマスタ!$A$5:$P$100,13,FALSE),1),2)</f>
        <v>4</v>
      </c>
      <c r="W132" s="59">
        <v>22</v>
      </c>
      <c r="X132" s="59" t="str">
        <f>IFERROR(VLOOKUP($AM132,個性タイプマスタ!$A$5:$P$100,2,FALSE),"Ranged")</f>
        <v>Ranged</v>
      </c>
      <c r="Y132" s="56">
        <f>IFERROR(VLOOKUP($AM132,個性タイプマスタ!$A$5:$P$100,3,FALSE),1)</f>
        <v>1</v>
      </c>
      <c r="Z132" s="56">
        <f>IFERROR(VLOOKUP($AM132,個性タイプマスタ!$A$5:$P$100,4,FALSE),1)</f>
        <v>0.96</v>
      </c>
      <c r="AA132" s="56">
        <f>IFERROR(VLOOKUP($AM132,個性タイプマスタ!$A$5:$P$100,5,FALSE),1)</f>
        <v>1.02</v>
      </c>
      <c r="AB132" s="56">
        <f>IFERROR(VLOOKUP($AM132,個性タイプマスタ!$A$5:$P$100,6,FALSE),1)</f>
        <v>0.92</v>
      </c>
      <c r="AC132" s="56">
        <f>IFERROR(VLOOKUP($AM132,個性タイプマスタ!$A$5:$P$100,7,FALSE),1)</f>
        <v>1.07</v>
      </c>
      <c r="AD132" s="56">
        <f>IFERROR(VLOOKUP($AM132,個性タイプマスタ!$A$5:$P$100,8,FALSE),1)</f>
        <v>0.85</v>
      </c>
      <c r="AE132" s="60">
        <f>IFERROR(D132/設定!$B$5,1)</f>
        <v>7.4001999999999999</v>
      </c>
      <c r="AF132" s="60">
        <f>1+設定!$B$13*((I132/設定!$B$8+J132/設定!$B$9)/(2*AE132))</f>
        <v>1.2964446906840355</v>
      </c>
      <c r="AG132" s="60">
        <f>MAX(0.7,1+設定!$B$14*(O132/IF(X132="Melee",1.5,2.5)-1))</f>
        <v>1.0084</v>
      </c>
      <c r="AH132" s="53">
        <f t="shared" si="5"/>
        <v>125.608804832</v>
      </c>
      <c r="AI132" s="53">
        <f>E132*AF132*(1+設定!$B$18*AVERAGE(P132:U132))</f>
        <v>1048.5903947190616</v>
      </c>
      <c r="AJ132" s="61">
        <f>設定!$B$5*SQRT((AH132/(設定!$B$7*設定!$B$10*(1+設定!$B$11*(設定!$B$12-1))))*(AI132/(設定!$B$6*(1+設定!$B$13))))</f>
        <v>741.04250282295152</v>
      </c>
      <c r="AK132" s="62">
        <f t="shared" si="6"/>
        <v>1.3817232276851499E-3</v>
      </c>
      <c r="AL132" s="63">
        <f t="shared" si="7"/>
        <v>629.01699999999994</v>
      </c>
      <c r="AM132" s="64" t="s">
        <v>930</v>
      </c>
      <c r="AN132" s="54">
        <f>MAX(1,ROUND((設定!$B$7*設定!$B$10*(1+設定!$B$11*(設定!$B$12-1)))*AE132^2*(設定!$B$6*(1+設定!$B$13))/(AI132*N132*(1+K132*(L132-1))*AG132),0))</f>
        <v>133</v>
      </c>
      <c r="AO132" s="65" t="str">
        <f>IF($A132="","",IF(COUNTIF(個性タイプマスタ!$A$5:$A$100,$AM132)&gt;0,"OK","未登録"))</f>
        <v>OK</v>
      </c>
      <c r="AP132" s="67" t="str">
        <f>IF($A132="","",IF(COUNTIF(属性耐性マスタ!$A$5:$A$11,$C132)&gt;0,"OK","未登録"))</f>
        <v>OK</v>
      </c>
    </row>
    <row r="133" spans="1:42">
      <c r="A133" s="66" t="s">
        <v>366</v>
      </c>
      <c r="B133" s="51" t="s">
        <v>367</v>
      </c>
      <c r="C133" s="109" t="s">
        <v>874</v>
      </c>
      <c r="D133" s="53">
        <f>ROUND(設定!$B$5*POWER($D$2,W133-1),2)</f>
        <v>740.02</v>
      </c>
      <c r="E133" s="54">
        <f>MAX(1,ROUND(設定!$B$6*AE133*Y133,0))</f>
        <v>681</v>
      </c>
      <c r="F133" s="54">
        <f>MAX(0,ROUND(設定!$B$7*AE133*設定!$B$15*IF(X133="Melee",0.6,1.35)*IFERROR(VLOOKUP($AM133,個性タイプマスタ!$A$5:$P$100,14,FALSE),1),0))</f>
        <v>108</v>
      </c>
      <c r="G133" s="54">
        <f>IF(X133="Melee",AN133,MAX(1,ROUND(AN133*設定!$B$16*IFERROR(VLOOKUP($AM133,個性タイプマスタ!$A$5:$P$100,15,FALSE),1),0)))</f>
        <v>62</v>
      </c>
      <c r="H133" s="54">
        <f>IF(X133="Ranged",AN133,MAX(1,ROUND(AN133*設定!$B$16*IFERROR(VLOOKUP($AM133,個性タイプマスタ!$A$5:$P$100,15,FALSE),1),0)))</f>
        <v>137</v>
      </c>
      <c r="I133" s="54">
        <f>MAX(0,ROUND(設定!$B$8*AE133*Z133,0))</f>
        <v>56</v>
      </c>
      <c r="J133" s="54">
        <f>MAX(0,ROUND(設定!$B$9*AE133*AA133,0))</f>
        <v>62</v>
      </c>
      <c r="K133" s="55">
        <f>IFERROR(VLOOKUP($AM133,個性タイプマスタ!$A$5:$P$100,9,FALSE),0.05)</f>
        <v>0.05</v>
      </c>
      <c r="L133" s="56">
        <f>IFERROR(VLOOKUP($AM133,個性タイプマスタ!$A$5:$P$100,10,FALSE),1.5)</f>
        <v>1.5</v>
      </c>
      <c r="M133" s="56">
        <f>IFERROR(VLOOKUP($AM133,個性タイプマスタ!$A$5:$P$100,11,FALSE),2)</f>
        <v>2</v>
      </c>
      <c r="N133" s="57">
        <f>MAX(0.1,ROUND(設定!$B$10*AB133,3))</f>
        <v>1.05</v>
      </c>
      <c r="O133" s="57">
        <f t="shared" ref="O133:O196" si="8">MAX(0.1,ROUND(IF(X133="Melee",1.5,2.5)*AC133,3))</f>
        <v>2.5</v>
      </c>
      <c r="P133" s="58">
        <f>MAX(-10,MIN(0.8,IFERROR(INDEX(属性耐性マスタ!$B$5:$G$11,MATCH($C133,属性耐性マスタ!$A$5:$A$11,0),1),0)+IFERROR(VLOOKUP($AM133,個性タイプマスタ!$A$5:$P$100,12,FALSE),0)))</f>
        <v>0</v>
      </c>
      <c r="Q133" s="58">
        <f>MAX(-10,MIN(0.8,IFERROR(INDEX(属性耐性マスタ!$B$5:$G$11,MATCH($C133,属性耐性マスタ!$A$5:$A$11,0),2),0)+IFERROR(VLOOKUP($AM133,個性タイプマスタ!$A$5:$P$100,12,FALSE),0)))</f>
        <v>0</v>
      </c>
      <c r="R133" s="58">
        <f>MAX(-10,MIN(0.8,IFERROR(INDEX(属性耐性マスタ!$B$5:$G$11,MATCH($C133,属性耐性マスタ!$A$5:$A$11,0),3),0)+IFERROR(VLOOKUP($AM133,個性タイプマスタ!$A$5:$P$100,12,FALSE),0)))</f>
        <v>0</v>
      </c>
      <c r="S133" s="58">
        <f>MAX(-10,MIN(0.8,IFERROR(INDEX(属性耐性マスタ!$B$5:$G$11,MATCH($C133,属性耐性マスタ!$A$5:$A$11,0),4),0)+IFERROR(VLOOKUP($AM133,個性タイプマスタ!$A$5:$P$100,12,FALSE),0)))</f>
        <v>0</v>
      </c>
      <c r="T133" s="58">
        <f>MAX(-10,MIN(0.8,IFERROR(INDEX(属性耐性マスタ!$B$5:$G$11,MATCH($C133,属性耐性マスタ!$A$5:$A$11,0),5),0)+IFERROR(VLOOKUP($AM133,個性タイプマスタ!$A$5:$P$100,12,FALSE),0)))</f>
        <v>-0.1</v>
      </c>
      <c r="U133" s="58">
        <f>MAX(-10,MIN(0.8,IFERROR(INDEX(属性耐性マスタ!$B$5:$G$11,MATCH($C133,属性耐性マスタ!$A$5:$A$11,0),6),0)+IFERROR(VLOOKUP($AM133,個性タイプマスタ!$A$5:$P$100,12,FALSE),0)))</f>
        <v>0.2</v>
      </c>
      <c r="V133" s="59">
        <f>ROUND(設定!$B$19*IFERROR(VLOOKUP($AM133,個性タイプマスタ!$A$5:$P$100,13,FALSE),1),2)</f>
        <v>4</v>
      </c>
      <c r="W133" s="59">
        <v>22</v>
      </c>
      <c r="X133" s="59" t="str">
        <f>IFERROR(VLOOKUP($AM133,個性タイプマスタ!$A$5:$P$100,2,FALSE),"Ranged")</f>
        <v>Ranged</v>
      </c>
      <c r="Y133" s="56">
        <f>IFERROR(VLOOKUP($AM133,個性タイプマスタ!$A$5:$P$100,3,FALSE),1)</f>
        <v>0.92</v>
      </c>
      <c r="Z133" s="56">
        <f>IFERROR(VLOOKUP($AM133,個性タイプマスタ!$A$5:$P$100,4,FALSE),1)</f>
        <v>0.95</v>
      </c>
      <c r="AA133" s="56">
        <f>IFERROR(VLOOKUP($AM133,個性タイプマスタ!$A$5:$P$100,5,FALSE),1)</f>
        <v>1.05</v>
      </c>
      <c r="AB133" s="56">
        <f>IFERROR(VLOOKUP($AM133,個性タイプマスタ!$A$5:$P$100,6,FALSE),1)</f>
        <v>1.05</v>
      </c>
      <c r="AC133" s="56">
        <f>IFERROR(VLOOKUP($AM133,個性タイプマスタ!$A$5:$P$100,7,FALSE),1)</f>
        <v>1</v>
      </c>
      <c r="AD133" s="56">
        <f>IFERROR(VLOOKUP($AM133,個性タイプマスタ!$A$5:$P$100,8,FALSE),1)</f>
        <v>0.74</v>
      </c>
      <c r="AE133" s="60">
        <f>IFERROR(D133/設定!$B$5,1)</f>
        <v>7.4001999999999999</v>
      </c>
      <c r="AF133" s="60">
        <f>1+設定!$B$13*((I133/設定!$B$8+J133/設定!$B$9)/(2*AE133))</f>
        <v>1.2989784059890273</v>
      </c>
      <c r="AG133" s="60">
        <f>MAX(0.7,1+設定!$B$14*(O133/IF(X133="Melee",1.5,2.5)-1))</f>
        <v>1</v>
      </c>
      <c r="AH133" s="53">
        <f t="shared" ref="AH133:AH196" si="9">IF(X133="Melee",G133,H133)*N133*(1+K133*(L133-1))*AG133</f>
        <v>147.44624999999999</v>
      </c>
      <c r="AI133" s="53">
        <f>E133*AF133*(1+設定!$B$18*AVERAGE(P133:U133))</f>
        <v>891.23882668711656</v>
      </c>
      <c r="AJ133" s="61">
        <f>設定!$B$5*SQRT((AH133/(設定!$B$7*設定!$B$10*(1+設定!$B$11*(設定!$B$12-1))))*(AI133/(設定!$B$6*(1+設定!$B$13))))</f>
        <v>740.19143175026215</v>
      </c>
      <c r="AK133" s="62">
        <f t="shared" ref="AK133:AK196" si="10">IF(D133=0,0,AJ133/D133-1)</f>
        <v>2.3165826634707898E-4</v>
      </c>
      <c r="AL133" s="63">
        <f t="shared" ref="AL133:AL196" si="11">D133*AD133</f>
        <v>547.61479999999995</v>
      </c>
      <c r="AM133" s="64" t="s">
        <v>881</v>
      </c>
      <c r="AN133" s="54">
        <f>MAX(1,ROUND((設定!$B$7*設定!$B$10*(1+設定!$B$11*(設定!$B$12-1)))*AE133^2*(設定!$B$6*(1+設定!$B$13))/(AI133*N133*(1+K133*(L133-1))*AG133),0))</f>
        <v>137</v>
      </c>
      <c r="AO133" s="65" t="str">
        <f>IF($A133="","",IF(COUNTIF(個性タイプマスタ!$A$5:$A$100,$AM133)&gt;0,"OK","未登録"))</f>
        <v>OK</v>
      </c>
      <c r="AP133" s="67" t="str">
        <f>IF($A133="","",IF(COUNTIF(属性耐性マスタ!$A$5:$A$11,$C133)&gt;0,"OK","未登録"))</f>
        <v>OK</v>
      </c>
    </row>
    <row r="134" spans="1:42">
      <c r="A134" s="66" t="s">
        <v>368</v>
      </c>
      <c r="B134" s="51" t="s">
        <v>369</v>
      </c>
      <c r="C134" s="109" t="s">
        <v>111</v>
      </c>
      <c r="D134" s="53">
        <f>ROUND(設定!$B$5*POWER($D$2,W134-1),2)</f>
        <v>740.02</v>
      </c>
      <c r="E134" s="54">
        <f>MAX(1,ROUND(設定!$B$6*AE134*Y134,0))</f>
        <v>592</v>
      </c>
      <c r="F134" s="54">
        <f>MAX(0,ROUND(設定!$B$7*AE134*設定!$B$15*IF(X134="Melee",0.6,1.35)*IFERROR(VLOOKUP($AM134,個性タイプマスタ!$A$5:$P$100,14,FALSE),1),0))</f>
        <v>36</v>
      </c>
      <c r="G134" s="54">
        <f>IF(X134="Melee",AN134,MAX(1,ROUND(AN134*設定!$B$16*IFERROR(VLOOKUP($AM134,個性タイプマスタ!$A$5:$P$100,15,FALSE),1),0)))</f>
        <v>146</v>
      </c>
      <c r="H134" s="54">
        <f>IF(X134="Ranged",AN134,MAX(1,ROUND(AN134*設定!$B$16*IFERROR(VLOOKUP($AM134,個性タイプマスタ!$A$5:$P$100,15,FALSE),1),0)))</f>
        <v>50</v>
      </c>
      <c r="I134" s="54">
        <f>MAX(0,ROUND(設定!$B$8*AE134*Z134,0))</f>
        <v>49</v>
      </c>
      <c r="J134" s="54">
        <f>MAX(0,ROUND(設定!$B$9*AE134*AA134,0))</f>
        <v>45</v>
      </c>
      <c r="K134" s="55">
        <f>IFERROR(VLOOKUP($AM134,個性タイプマスタ!$A$5:$P$100,9,FALSE),0.05)</f>
        <v>0.13</v>
      </c>
      <c r="L134" s="56">
        <f>IFERROR(VLOOKUP($AM134,個性タイプマスタ!$A$5:$P$100,10,FALSE),1.5)</f>
        <v>1.7</v>
      </c>
      <c r="M134" s="56">
        <f>IFERROR(VLOOKUP($AM134,個性タイプマスタ!$A$5:$P$100,11,FALSE),2)</f>
        <v>3</v>
      </c>
      <c r="N134" s="57">
        <f>MAX(0.1,ROUND(設定!$B$10*AB134,3))</f>
        <v>1.06</v>
      </c>
      <c r="O134" s="57">
        <f t="shared" si="8"/>
        <v>2.4300000000000002</v>
      </c>
      <c r="P134" s="58">
        <f>MAX(-10,MIN(0.8,IFERROR(INDEX(属性耐性マスタ!$B$5:$G$11,MATCH($C134,属性耐性マスタ!$A$5:$A$11,0),1),0)+IFERROR(VLOOKUP($AM134,個性タイプマスタ!$A$5:$P$100,12,FALSE),0)))</f>
        <v>0.15500000000000003</v>
      </c>
      <c r="Q134" s="58">
        <f>MAX(-10,MIN(0.8,IFERROR(INDEX(属性耐性マスタ!$B$5:$G$11,MATCH($C134,属性耐性マスタ!$A$5:$A$11,0),2),0)+IFERROR(VLOOKUP($AM134,個性タイプマスタ!$A$5:$P$100,12,FALSE),0)))</f>
        <v>-0.14500000000000002</v>
      </c>
      <c r="R134" s="58">
        <f>MAX(-10,MIN(0.8,IFERROR(INDEX(属性耐性マスタ!$B$5:$G$11,MATCH($C134,属性耐性マスタ!$A$5:$A$11,0),3),0)+IFERROR(VLOOKUP($AM134,個性タイプマスタ!$A$5:$P$100,12,FALSE),0)))</f>
        <v>-4.4999999999999998E-2</v>
      </c>
      <c r="S134" s="58">
        <f>MAX(-10,MIN(0.8,IFERROR(INDEX(属性耐性マスタ!$B$5:$G$11,MATCH($C134,属性耐性マスタ!$A$5:$A$11,0),4),0)+IFERROR(VLOOKUP($AM134,個性タイプマスタ!$A$5:$P$100,12,FALSE),0)))</f>
        <v>-4.4999999999999998E-2</v>
      </c>
      <c r="T134" s="58">
        <f>MAX(-10,MIN(0.8,IFERROR(INDEX(属性耐性マスタ!$B$5:$G$11,MATCH($C134,属性耐性マスタ!$A$5:$A$11,0),5),0)+IFERROR(VLOOKUP($AM134,個性タイプマスタ!$A$5:$P$100,12,FALSE),0)))</f>
        <v>-4.4999999999999998E-2</v>
      </c>
      <c r="U134" s="58">
        <f>MAX(-10,MIN(0.8,IFERROR(INDEX(属性耐性マスタ!$B$5:$G$11,MATCH($C134,属性耐性マスタ!$A$5:$A$11,0),6),0)+IFERROR(VLOOKUP($AM134,個性タイプマスタ!$A$5:$P$100,12,FALSE),0)))</f>
        <v>-4.4999999999999998E-2</v>
      </c>
      <c r="V134" s="59">
        <f>ROUND(設定!$B$19*IFERROR(VLOOKUP($AM134,個性タイプマスタ!$A$5:$P$100,13,FALSE),1),2)</f>
        <v>5.2</v>
      </c>
      <c r="W134" s="59">
        <v>22</v>
      </c>
      <c r="X134" s="59" t="str">
        <f>IFERROR(VLOOKUP($AM134,個性タイプマスタ!$A$5:$P$100,2,FALSE),"Ranged")</f>
        <v>Melee</v>
      </c>
      <c r="Y134" s="56">
        <f>IFERROR(VLOOKUP($AM134,個性タイプマスタ!$A$5:$P$100,3,FALSE),1)</f>
        <v>0.8</v>
      </c>
      <c r="Z134" s="56">
        <f>IFERROR(VLOOKUP($AM134,個性タイプマスタ!$A$5:$P$100,4,FALSE),1)</f>
        <v>0.82</v>
      </c>
      <c r="AA134" s="56">
        <f>IFERROR(VLOOKUP($AM134,個性タイプマスタ!$A$5:$P$100,5,FALSE),1)</f>
        <v>0.76</v>
      </c>
      <c r="AB134" s="56">
        <f>IFERROR(VLOOKUP($AM134,個性タイプマスタ!$A$5:$P$100,6,FALSE),1)</f>
        <v>1.06</v>
      </c>
      <c r="AC134" s="56">
        <f>IFERROR(VLOOKUP($AM134,個性タイプマスタ!$A$5:$P$100,7,FALSE),1)</f>
        <v>1.62</v>
      </c>
      <c r="AD134" s="56">
        <f>IFERROR(VLOOKUP($AM134,個性タイプマスタ!$A$5:$P$100,8,FALSE),1)</f>
        <v>0.71</v>
      </c>
      <c r="AE134" s="60">
        <f>IFERROR(D134/設定!$B$5,1)</f>
        <v>7.4001999999999999</v>
      </c>
      <c r="AF134" s="60">
        <f>1+設定!$B$13*((I134/設定!$B$8+J134/設定!$B$9)/(2*AE134))</f>
        <v>1.2381692386692251</v>
      </c>
      <c r="AG134" s="60">
        <f>MAX(0.7,1+設定!$B$14*(O134/IF(X134="Melee",1.5,2.5)-1))</f>
        <v>1.0744</v>
      </c>
      <c r="AH134" s="53">
        <f t="shared" si="9"/>
        <v>181.40509110400001</v>
      </c>
      <c r="AI134" s="53">
        <f>E134*AF134*(1+設定!$B$18*AVERAGE(P134:U134))</f>
        <v>723.65048787870592</v>
      </c>
      <c r="AJ134" s="61">
        <f>設定!$B$5*SQRT((AH134/(設定!$B$7*設定!$B$10*(1+設定!$B$11*(設定!$B$12-1))))*(AI134/(設定!$B$6*(1+設定!$B$13))))</f>
        <v>739.80847794292947</v>
      </c>
      <c r="AK134" s="62">
        <f t="shared" si="10"/>
        <v>-2.8583289244954457E-4</v>
      </c>
      <c r="AL134" s="63">
        <f t="shared" si="11"/>
        <v>525.41419999999994</v>
      </c>
      <c r="AM134" s="64" t="s">
        <v>946</v>
      </c>
      <c r="AN134" s="54">
        <f>MAX(1,ROUND((設定!$B$7*設定!$B$10*(1+設定!$B$11*(設定!$B$12-1)))*AE134^2*(設定!$B$6*(1+設定!$B$13))/(AI134*N134*(1+K134*(L134-1))*AG134),0))</f>
        <v>146</v>
      </c>
      <c r="AO134" s="65" t="str">
        <f>IF($A134="","",IF(COUNTIF(個性タイプマスタ!$A$5:$A$100,$AM134)&gt;0,"OK","未登録"))</f>
        <v>OK</v>
      </c>
      <c r="AP134" s="67" t="str">
        <f>IF($A134="","",IF(COUNTIF(属性耐性マスタ!$A$5:$A$11,$C134)&gt;0,"OK","未登録"))</f>
        <v>OK</v>
      </c>
    </row>
    <row r="135" spans="1:42">
      <c r="A135" s="66" t="s">
        <v>370</v>
      </c>
      <c r="B135" s="51" t="s">
        <v>371</v>
      </c>
      <c r="C135" s="109" t="s">
        <v>111</v>
      </c>
      <c r="D135" s="53">
        <f>ROUND(設定!$B$5*POWER($D$2,W135-1),2)</f>
        <v>740.02</v>
      </c>
      <c r="E135" s="54">
        <f>MAX(1,ROUND(設定!$B$6*AE135*Y135,0))</f>
        <v>488</v>
      </c>
      <c r="F135" s="54">
        <f>MAX(0,ROUND(設定!$B$7*AE135*設定!$B$15*IF(X135="Melee",0.6,1.35)*IFERROR(VLOOKUP($AM135,個性タイプマスタ!$A$5:$P$100,14,FALSE),1),0))</f>
        <v>29</v>
      </c>
      <c r="G135" s="54">
        <f>IF(X135="Melee",AN135,MAX(1,ROUND(AN135*設定!$B$16*IFERROR(VLOOKUP($AM135,個性タイプマスタ!$A$5:$P$100,15,FALSE),1),0)))</f>
        <v>132</v>
      </c>
      <c r="H135" s="54">
        <f>IF(X135="Ranged",AN135,MAX(1,ROUND(AN135*設定!$B$16*IFERROR(VLOOKUP($AM135,個性タイプマスタ!$A$5:$P$100,15,FALSE),1),0)))</f>
        <v>33</v>
      </c>
      <c r="I135" s="54">
        <f>MAX(0,ROUND(設定!$B$8*AE135*Z135,0))</f>
        <v>41</v>
      </c>
      <c r="J135" s="54">
        <f>MAX(0,ROUND(設定!$B$9*AE135*AA135,0))</f>
        <v>42</v>
      </c>
      <c r="K135" s="55">
        <f>IFERROR(VLOOKUP($AM135,個性タイプマスタ!$A$5:$P$100,9,FALSE),0.05)</f>
        <v>0.21</v>
      </c>
      <c r="L135" s="56">
        <f>IFERROR(VLOOKUP($AM135,個性タイプマスタ!$A$5:$P$100,10,FALSE),1.5)</f>
        <v>1.78</v>
      </c>
      <c r="M135" s="56">
        <f>IFERROR(VLOOKUP($AM135,個性タイプマスタ!$A$5:$P$100,11,FALSE),2)</f>
        <v>4.05</v>
      </c>
      <c r="N135" s="57">
        <f>MAX(0.1,ROUND(設定!$B$10*AB135,3))</f>
        <v>1.56</v>
      </c>
      <c r="O135" s="57">
        <f t="shared" si="8"/>
        <v>0.9</v>
      </c>
      <c r="P135" s="58">
        <f>MAX(-10,MIN(0.8,IFERROR(INDEX(属性耐性マスタ!$B$5:$G$11,MATCH($C135,属性耐性マスタ!$A$5:$A$11,0),1),0)+IFERROR(VLOOKUP($AM135,個性タイプマスタ!$A$5:$P$100,12,FALSE),0)))</f>
        <v>0.12000000000000001</v>
      </c>
      <c r="Q135" s="58">
        <f>MAX(-10,MIN(0.8,IFERROR(INDEX(属性耐性マスタ!$B$5:$G$11,MATCH($C135,属性耐性マスタ!$A$5:$A$11,0),2),0)+IFERROR(VLOOKUP($AM135,個性タイプマスタ!$A$5:$P$100,12,FALSE),0)))</f>
        <v>-0.18</v>
      </c>
      <c r="R135" s="58">
        <f>MAX(-10,MIN(0.8,IFERROR(INDEX(属性耐性マスタ!$B$5:$G$11,MATCH($C135,属性耐性マスタ!$A$5:$A$11,0),3),0)+IFERROR(VLOOKUP($AM135,個性タイプマスタ!$A$5:$P$100,12,FALSE),0)))</f>
        <v>-0.08</v>
      </c>
      <c r="S135" s="58">
        <f>MAX(-10,MIN(0.8,IFERROR(INDEX(属性耐性マスタ!$B$5:$G$11,MATCH($C135,属性耐性マスタ!$A$5:$A$11,0),4),0)+IFERROR(VLOOKUP($AM135,個性タイプマスタ!$A$5:$P$100,12,FALSE),0)))</f>
        <v>-0.08</v>
      </c>
      <c r="T135" s="58">
        <f>MAX(-10,MIN(0.8,IFERROR(INDEX(属性耐性マスタ!$B$5:$G$11,MATCH($C135,属性耐性マスタ!$A$5:$A$11,0),5),0)+IFERROR(VLOOKUP($AM135,個性タイプマスタ!$A$5:$P$100,12,FALSE),0)))</f>
        <v>-0.08</v>
      </c>
      <c r="U135" s="58">
        <f>MAX(-10,MIN(0.8,IFERROR(INDEX(属性耐性マスタ!$B$5:$G$11,MATCH($C135,属性耐性マスタ!$A$5:$A$11,0),6),0)+IFERROR(VLOOKUP($AM135,個性タイプマスタ!$A$5:$P$100,12,FALSE),0)))</f>
        <v>-0.08</v>
      </c>
      <c r="V135" s="59">
        <f>ROUND(設定!$B$19*IFERROR(VLOOKUP($AM135,個性タイプマスタ!$A$5:$P$100,13,FALSE),1),2)</f>
        <v>5</v>
      </c>
      <c r="W135" s="59">
        <v>22</v>
      </c>
      <c r="X135" s="59" t="str">
        <f>IFERROR(VLOOKUP($AM135,個性タイプマスタ!$A$5:$P$100,2,FALSE),"Ranged")</f>
        <v>Melee</v>
      </c>
      <c r="Y135" s="56">
        <f>IFERROR(VLOOKUP($AM135,個性タイプマスタ!$A$5:$P$100,3,FALSE),1)</f>
        <v>0.66</v>
      </c>
      <c r="Z135" s="56">
        <f>IFERROR(VLOOKUP($AM135,個性タイプマスタ!$A$5:$P$100,4,FALSE),1)</f>
        <v>0.7</v>
      </c>
      <c r="AA135" s="56">
        <f>IFERROR(VLOOKUP($AM135,個性タイプマスタ!$A$5:$P$100,5,FALSE),1)</f>
        <v>0.71</v>
      </c>
      <c r="AB135" s="56">
        <f>IFERROR(VLOOKUP($AM135,個性タイプマスタ!$A$5:$P$100,6,FALSE),1)</f>
        <v>1.56</v>
      </c>
      <c r="AC135" s="56">
        <f>IFERROR(VLOOKUP($AM135,個性タイプマスタ!$A$5:$P$100,7,FALSE),1)</f>
        <v>0.6</v>
      </c>
      <c r="AD135" s="56">
        <f>IFERROR(VLOOKUP($AM135,個性タイプマスタ!$A$5:$P$100,8,FALSE),1)</f>
        <v>0.6</v>
      </c>
      <c r="AE135" s="60">
        <f>IFERROR(D135/設定!$B$5,1)</f>
        <v>7.4001999999999999</v>
      </c>
      <c r="AF135" s="60">
        <f>1+設定!$B$13*((I135/設定!$B$8+J135/設定!$B$9)/(2*AE135))</f>
        <v>1.2102983703143158</v>
      </c>
      <c r="AG135" s="60">
        <f>MAX(0.7,1+設定!$B$14*(O135/IF(X135="Melee",1.5,2.5)-1))</f>
        <v>0.95199999999999996</v>
      </c>
      <c r="AH135" s="53">
        <f t="shared" si="9"/>
        <v>228.146510592</v>
      </c>
      <c r="AI135" s="53">
        <f>E135*AF135*(1+設定!$B$18*AVERAGE(P135:U135))</f>
        <v>573.79277497905457</v>
      </c>
      <c r="AJ135" s="61">
        <f>設定!$B$5*SQRT((AH135/(設定!$B$7*設定!$B$10*(1+設定!$B$11*(設定!$B$12-1))))*(AI135/(設定!$B$6*(1+設定!$B$13))))</f>
        <v>738.77908457903163</v>
      </c>
      <c r="AK135" s="62">
        <f t="shared" si="10"/>
        <v>-1.676867410297489E-3</v>
      </c>
      <c r="AL135" s="63">
        <f t="shared" si="11"/>
        <v>444.012</v>
      </c>
      <c r="AM135" s="64" t="s">
        <v>960</v>
      </c>
      <c r="AN135" s="54">
        <f>MAX(1,ROUND((設定!$B$7*設定!$B$10*(1+設定!$B$11*(設定!$B$12-1)))*AE135^2*(設定!$B$6*(1+設定!$B$13))/(AI135*N135*(1+K135*(L135-1))*AG135),0))</f>
        <v>132</v>
      </c>
      <c r="AO135" s="65" t="str">
        <f>IF($A135="","",IF(COUNTIF(個性タイプマスタ!$A$5:$A$100,$AM135)&gt;0,"OK","未登録"))</f>
        <v>OK</v>
      </c>
      <c r="AP135" s="67" t="str">
        <f>IF($A135="","",IF(COUNTIF(属性耐性マスタ!$A$5:$A$11,$C135)&gt;0,"OK","未登録"))</f>
        <v>OK</v>
      </c>
    </row>
    <row r="136" spans="1:42">
      <c r="A136" s="66" t="s">
        <v>372</v>
      </c>
      <c r="B136" s="51" t="s">
        <v>373</v>
      </c>
      <c r="C136" s="109" t="s">
        <v>871</v>
      </c>
      <c r="D136" s="53">
        <f>ROUND(設定!$B$5*POWER($D$2,W136-1),2)</f>
        <v>740.02</v>
      </c>
      <c r="E136" s="54">
        <f>MAX(1,ROUND(設定!$B$6*AE136*Y136,0))</f>
        <v>585</v>
      </c>
      <c r="F136" s="54">
        <f>MAX(0,ROUND(設定!$B$7*AE136*設定!$B$15*IF(X136="Melee",0.6,1.35)*IFERROR(VLOOKUP($AM136,個性タイプマスタ!$A$5:$P$100,14,FALSE),1),0))</f>
        <v>97</v>
      </c>
      <c r="G136" s="54">
        <f>IF(X136="Melee",AN136,MAX(1,ROUND(AN136*設定!$B$16*IFERROR(VLOOKUP($AM136,個性タイプマスタ!$A$5:$P$100,15,FALSE),1),0)))</f>
        <v>26</v>
      </c>
      <c r="H136" s="54">
        <f>IF(X136="Ranged",AN136,MAX(1,ROUND(AN136*設定!$B$16*IFERROR(VLOOKUP($AM136,個性タイプマスタ!$A$5:$P$100,15,FALSE),1),0)))</f>
        <v>107</v>
      </c>
      <c r="I136" s="54">
        <f>MAX(0,ROUND(設定!$B$8*AE136*Z136,0))</f>
        <v>50</v>
      </c>
      <c r="J136" s="54">
        <f>MAX(0,ROUND(設定!$B$9*AE136*AA136,0))</f>
        <v>48</v>
      </c>
      <c r="K136" s="55">
        <f>IFERROR(VLOOKUP($AM136,個性タイプマスタ!$A$5:$P$100,9,FALSE),0.05)</f>
        <v>6.5000000000000002E-2</v>
      </c>
      <c r="L136" s="56">
        <f>IFERROR(VLOOKUP($AM136,個性タイプマスタ!$A$5:$P$100,10,FALSE),1.5)</f>
        <v>1.45</v>
      </c>
      <c r="M136" s="56">
        <f>IFERROR(VLOOKUP($AM136,個性タイプマスタ!$A$5:$P$100,11,FALSE),2)</f>
        <v>4</v>
      </c>
      <c r="N136" s="57">
        <f>MAX(0.1,ROUND(設定!$B$10*AB136,3))</f>
        <v>1.72</v>
      </c>
      <c r="O136" s="57">
        <f t="shared" si="8"/>
        <v>1.9</v>
      </c>
      <c r="P136" s="58">
        <f>MAX(-10,MIN(0.8,IFERROR(INDEX(属性耐性マスタ!$B$5:$G$11,MATCH($C136,属性耐性マスタ!$A$5:$A$11,0),1),0)+IFERROR(VLOOKUP($AM136,個性タイプマスタ!$A$5:$P$100,12,FALSE),0)))</f>
        <v>-7.0000000000000007E-2</v>
      </c>
      <c r="Q136" s="58">
        <f>MAX(-10,MIN(0.8,IFERROR(INDEX(属性耐性マスタ!$B$5:$G$11,MATCH($C136,属性耐性マスタ!$A$5:$A$11,0),2),0)+IFERROR(VLOOKUP($AM136,個性タイプマスタ!$A$5:$P$100,12,FALSE),0)))</f>
        <v>-7.0000000000000007E-2</v>
      </c>
      <c r="R136" s="58">
        <f>MAX(-10,MIN(0.8,IFERROR(INDEX(属性耐性マスタ!$B$5:$G$11,MATCH($C136,属性耐性マスタ!$A$5:$A$11,0),3),0)+IFERROR(VLOOKUP($AM136,個性タイプマスタ!$A$5:$P$100,12,FALSE),0)))</f>
        <v>-0.17</v>
      </c>
      <c r="S136" s="58">
        <f>MAX(-10,MIN(0.8,IFERROR(INDEX(属性耐性マスタ!$B$5:$G$11,MATCH($C136,属性耐性マスタ!$A$5:$A$11,0),4),0)+IFERROR(VLOOKUP($AM136,個性タイプマスタ!$A$5:$P$100,12,FALSE),0)))</f>
        <v>0.13</v>
      </c>
      <c r="T136" s="58">
        <f>MAX(-10,MIN(0.8,IFERROR(INDEX(属性耐性マスタ!$B$5:$G$11,MATCH($C136,属性耐性マスタ!$A$5:$A$11,0),5),0)+IFERROR(VLOOKUP($AM136,個性タイプマスタ!$A$5:$P$100,12,FALSE),0)))</f>
        <v>-7.0000000000000007E-2</v>
      </c>
      <c r="U136" s="58">
        <f>MAX(-10,MIN(0.8,IFERROR(INDEX(属性耐性マスタ!$B$5:$G$11,MATCH($C136,属性耐性マスタ!$A$5:$A$11,0),6),0)+IFERROR(VLOOKUP($AM136,個性タイプマスタ!$A$5:$P$100,12,FALSE),0)))</f>
        <v>-7.0000000000000007E-2</v>
      </c>
      <c r="V136" s="59">
        <f>ROUND(設定!$B$19*IFERROR(VLOOKUP($AM136,個性タイプマスタ!$A$5:$P$100,13,FALSE),1),2)</f>
        <v>5.4</v>
      </c>
      <c r="W136" s="59">
        <v>22</v>
      </c>
      <c r="X136" s="59" t="str">
        <f>IFERROR(VLOOKUP($AM136,個性タイプマスタ!$A$5:$P$100,2,FALSE),"Ranged")</f>
        <v>Ranged</v>
      </c>
      <c r="Y136" s="56">
        <f>IFERROR(VLOOKUP($AM136,個性タイプマスタ!$A$5:$P$100,3,FALSE),1)</f>
        <v>0.79</v>
      </c>
      <c r="Z136" s="56">
        <f>IFERROR(VLOOKUP($AM136,個性タイプマスタ!$A$5:$P$100,4,FALSE),1)</f>
        <v>0.85</v>
      </c>
      <c r="AA136" s="56">
        <f>IFERROR(VLOOKUP($AM136,個性タイプマスタ!$A$5:$P$100,5,FALSE),1)</f>
        <v>0.81</v>
      </c>
      <c r="AB136" s="56">
        <f>IFERROR(VLOOKUP($AM136,個性タイプマスタ!$A$5:$P$100,6,FALSE),1)</f>
        <v>1.72</v>
      </c>
      <c r="AC136" s="56">
        <f>IFERROR(VLOOKUP($AM136,個性タイプマスタ!$A$5:$P$100,7,FALSE),1)</f>
        <v>0.76</v>
      </c>
      <c r="AD136" s="56">
        <f>IFERROR(VLOOKUP($AM136,個性タイプマスタ!$A$5:$P$100,8,FALSE),1)</f>
        <v>0.63</v>
      </c>
      <c r="AE136" s="60">
        <f>IFERROR(D136/設定!$B$5,1)</f>
        <v>7.4001999999999999</v>
      </c>
      <c r="AF136" s="60">
        <f>1+設定!$B$13*((I136/設定!$B$8+J136/設定!$B$9)/(2*AE136))</f>
        <v>1.2483040998891921</v>
      </c>
      <c r="AG136" s="60">
        <f>MAX(0.7,1+設定!$B$14*(O136/IF(X136="Melee",1.5,2.5)-1))</f>
        <v>0.97119999999999995</v>
      </c>
      <c r="AH136" s="53">
        <f t="shared" si="9"/>
        <v>183.967782704</v>
      </c>
      <c r="AI136" s="53">
        <f>E136*AF136*(1+設定!$B$18*AVERAGE(P136:U136))</f>
        <v>712.73170887273307</v>
      </c>
      <c r="AJ136" s="61">
        <f>設定!$B$5*SQRT((AH136/(設定!$B$7*設定!$B$10*(1+設定!$B$11*(設定!$B$12-1))))*(AI136/(設定!$B$6*(1+設定!$B$13))))</f>
        <v>739.3738149888876</v>
      </c>
      <c r="AK136" s="62">
        <f t="shared" si="10"/>
        <v>-8.7319938800622943E-4</v>
      </c>
      <c r="AL136" s="63">
        <f t="shared" si="11"/>
        <v>466.21260000000001</v>
      </c>
      <c r="AM136" s="64" t="s">
        <v>936</v>
      </c>
      <c r="AN136" s="54">
        <f>MAX(1,ROUND((設定!$B$7*設定!$B$10*(1+設定!$B$11*(設定!$B$12-1)))*AE136^2*(設定!$B$6*(1+設定!$B$13))/(AI136*N136*(1+K136*(L136-1))*AG136),0))</f>
        <v>107</v>
      </c>
      <c r="AO136" s="65" t="str">
        <f>IF($A136="","",IF(COUNTIF(個性タイプマスタ!$A$5:$A$100,$AM136)&gt;0,"OK","未登録"))</f>
        <v>OK</v>
      </c>
      <c r="AP136" s="67" t="str">
        <f>IF($A136="","",IF(COUNTIF(属性耐性マスタ!$A$5:$A$11,$C136)&gt;0,"OK","未登録"))</f>
        <v>OK</v>
      </c>
    </row>
    <row r="137" spans="1:42">
      <c r="A137" s="66" t="s">
        <v>374</v>
      </c>
      <c r="B137" s="51" t="s">
        <v>375</v>
      </c>
      <c r="C137" s="109" t="s">
        <v>874</v>
      </c>
      <c r="D137" s="53">
        <f>ROUND(設定!$B$5*POWER($D$2,W137-1),2)</f>
        <v>814.03</v>
      </c>
      <c r="E137" s="54">
        <f>MAX(1,ROUND(設定!$B$6*AE137*Y137,0))</f>
        <v>912</v>
      </c>
      <c r="F137" s="54">
        <f>MAX(0,ROUND(設定!$B$7*AE137*設定!$B$15*IF(X137="Melee",0.6,1.35)*IFERROR(VLOOKUP($AM137,個性タイプマスタ!$A$5:$P$100,14,FALSE),1),0))</f>
        <v>160</v>
      </c>
      <c r="G137" s="54">
        <f>IF(X137="Melee",AN137,MAX(1,ROUND(AN137*設定!$B$16*IFERROR(VLOOKUP($AM137,個性タイプマスタ!$A$5:$P$100,15,FALSE),1),0)))</f>
        <v>40</v>
      </c>
      <c r="H137" s="54">
        <f>IF(X137="Ranged",AN137,MAX(1,ROUND(AN137*設定!$B$16*IFERROR(VLOOKUP($AM137,個性タイプマスタ!$A$5:$P$100,15,FALSE),1),0)))</f>
        <v>135</v>
      </c>
      <c r="I137" s="54">
        <f>MAX(0,ROUND(設定!$B$8*AE137*Z137,0))</f>
        <v>127</v>
      </c>
      <c r="J137" s="54">
        <f>MAX(0,ROUND(設定!$B$9*AE137*AA137,0))</f>
        <v>47</v>
      </c>
      <c r="K137" s="55">
        <f>IFERROR(VLOOKUP($AM137,個性タイプマスタ!$A$5:$P$100,9,FALSE),0.05)</f>
        <v>5.5E-2</v>
      </c>
      <c r="L137" s="56">
        <f>IFERROR(VLOOKUP($AM137,個性タイプマスタ!$A$5:$P$100,10,FALSE),1.5)</f>
        <v>1.5</v>
      </c>
      <c r="M137" s="56">
        <f>IFERROR(VLOOKUP($AM137,個性タイプマスタ!$A$5:$P$100,11,FALSE),2)</f>
        <v>1.85</v>
      </c>
      <c r="N137" s="57">
        <f>MAX(0.1,ROUND(設定!$B$10*AB137,3))</f>
        <v>0.87</v>
      </c>
      <c r="O137" s="57">
        <f t="shared" si="8"/>
        <v>2.35</v>
      </c>
      <c r="P137" s="58">
        <f>MAX(-10,MIN(0.8,IFERROR(INDEX(属性耐性マスタ!$B$5:$G$11,MATCH($C137,属性耐性マスタ!$A$5:$A$11,0),1),0)+IFERROR(VLOOKUP($AM137,個性タイプマスタ!$A$5:$P$100,12,FALSE),0)))</f>
        <v>6.5000000000000002E-2</v>
      </c>
      <c r="Q137" s="58">
        <f>MAX(-10,MIN(0.8,IFERROR(INDEX(属性耐性マスタ!$B$5:$G$11,MATCH($C137,属性耐性マスタ!$A$5:$A$11,0),2),0)+IFERROR(VLOOKUP($AM137,個性タイプマスタ!$A$5:$P$100,12,FALSE),0)))</f>
        <v>6.5000000000000002E-2</v>
      </c>
      <c r="R137" s="58">
        <f>MAX(-10,MIN(0.8,IFERROR(INDEX(属性耐性マスタ!$B$5:$G$11,MATCH($C137,属性耐性マスタ!$A$5:$A$11,0),3),0)+IFERROR(VLOOKUP($AM137,個性タイプマスタ!$A$5:$P$100,12,FALSE),0)))</f>
        <v>6.5000000000000002E-2</v>
      </c>
      <c r="S137" s="58">
        <f>MAX(-10,MIN(0.8,IFERROR(INDEX(属性耐性マスタ!$B$5:$G$11,MATCH($C137,属性耐性マスタ!$A$5:$A$11,0),4),0)+IFERROR(VLOOKUP($AM137,個性タイプマスタ!$A$5:$P$100,12,FALSE),0)))</f>
        <v>6.5000000000000002E-2</v>
      </c>
      <c r="T137" s="58">
        <f>MAX(-10,MIN(0.8,IFERROR(INDEX(属性耐性マスタ!$B$5:$G$11,MATCH($C137,属性耐性マスタ!$A$5:$A$11,0),5),0)+IFERROR(VLOOKUP($AM137,個性タイプマスタ!$A$5:$P$100,12,FALSE),0)))</f>
        <v>-3.5000000000000003E-2</v>
      </c>
      <c r="U137" s="58">
        <f>MAX(-10,MIN(0.8,IFERROR(INDEX(属性耐性マスタ!$B$5:$G$11,MATCH($C137,属性耐性マスタ!$A$5:$A$11,0),6),0)+IFERROR(VLOOKUP($AM137,個性タイプマスタ!$A$5:$P$100,12,FALSE),0)))</f>
        <v>0.26500000000000001</v>
      </c>
      <c r="V137" s="59">
        <f>ROUND(設定!$B$19*IFERROR(VLOOKUP($AM137,個性タイプマスタ!$A$5:$P$100,13,FALSE),1),2)</f>
        <v>4.2</v>
      </c>
      <c r="W137" s="59">
        <v>23</v>
      </c>
      <c r="X137" s="59" t="str">
        <f>IFERROR(VLOOKUP($AM137,個性タイプマスタ!$A$5:$P$100,2,FALSE),"Ranged")</f>
        <v>Ranged</v>
      </c>
      <c r="Y137" s="56">
        <f>IFERROR(VLOOKUP($AM137,個性タイプマスタ!$A$5:$P$100,3,FALSE),1)</f>
        <v>1.1200000000000001</v>
      </c>
      <c r="Z137" s="56">
        <f>IFERROR(VLOOKUP($AM137,個性タイプマスタ!$A$5:$P$100,4,FALSE),1)</f>
        <v>1.95</v>
      </c>
      <c r="AA137" s="56">
        <f>IFERROR(VLOOKUP($AM137,個性タイプマスタ!$A$5:$P$100,5,FALSE),1)</f>
        <v>0.72</v>
      </c>
      <c r="AB137" s="56">
        <f>IFERROR(VLOOKUP($AM137,個性タイプマスタ!$A$5:$P$100,6,FALSE),1)</f>
        <v>0.87</v>
      </c>
      <c r="AC137" s="56">
        <f>IFERROR(VLOOKUP($AM137,個性タイプマスタ!$A$5:$P$100,7,FALSE),1)</f>
        <v>0.94</v>
      </c>
      <c r="AD137" s="56">
        <f>IFERROR(VLOOKUP($AM137,個性タイプマスタ!$A$5:$P$100,8,FALSE),1)</f>
        <v>0.82</v>
      </c>
      <c r="AE137" s="60">
        <f>IFERROR(D137/設定!$B$5,1)</f>
        <v>8.1402999999999999</v>
      </c>
      <c r="AF137" s="60">
        <f>1+設定!$B$13*((I137/設定!$B$8+J137/設定!$B$9)/(2*AE137))</f>
        <v>1.4007837548984681</v>
      </c>
      <c r="AG137" s="60">
        <f>MAX(0.7,1+設定!$B$14*(O137/IF(X137="Melee",1.5,2.5)-1))</f>
        <v>0.99280000000000002</v>
      </c>
      <c r="AH137" s="53">
        <f t="shared" si="9"/>
        <v>119.81097990000001</v>
      </c>
      <c r="AI137" s="53">
        <f>E137*AF137*(1+設定!$B$18*AVERAGE(P137:U137))</f>
        <v>1324.46345279658</v>
      </c>
      <c r="AJ137" s="61">
        <f>設定!$B$5*SQRT((AH137/(設定!$B$7*設定!$B$10*(1+設定!$B$11*(設定!$B$12-1))))*(AI137/(設定!$B$6*(1+設定!$B$13))))</f>
        <v>813.38926832054744</v>
      </c>
      <c r="AK137" s="62">
        <f t="shared" si="10"/>
        <v>-7.8711064635517136E-4</v>
      </c>
      <c r="AL137" s="63">
        <f t="shared" si="11"/>
        <v>667.50459999999998</v>
      </c>
      <c r="AM137" s="64" t="s">
        <v>928</v>
      </c>
      <c r="AN137" s="54">
        <f>MAX(1,ROUND((設定!$B$7*設定!$B$10*(1+設定!$B$11*(設定!$B$12-1)))*AE137^2*(設定!$B$6*(1+設定!$B$13))/(AI137*N137*(1+K137*(L137-1))*AG137),0))</f>
        <v>135</v>
      </c>
      <c r="AO137" s="65" t="str">
        <f>IF($A137="","",IF(COUNTIF(個性タイプマスタ!$A$5:$A$100,$AM137)&gt;0,"OK","未登録"))</f>
        <v>OK</v>
      </c>
      <c r="AP137" s="67" t="str">
        <f>IF($A137="","",IF(COUNTIF(属性耐性マスタ!$A$5:$A$11,$C137)&gt;0,"OK","未登録"))</f>
        <v>OK</v>
      </c>
    </row>
    <row r="138" spans="1:42">
      <c r="A138" s="66" t="s">
        <v>376</v>
      </c>
      <c r="B138" s="51" t="s">
        <v>377</v>
      </c>
      <c r="C138" s="109" t="s">
        <v>874</v>
      </c>
      <c r="D138" s="53">
        <f>ROUND(設定!$B$5*POWER($D$2,W138-1),2)</f>
        <v>814.03</v>
      </c>
      <c r="E138" s="54">
        <f>MAX(1,ROUND(設定!$B$6*AE138*Y138,0))</f>
        <v>668</v>
      </c>
      <c r="F138" s="54">
        <f>MAX(0,ROUND(設定!$B$7*AE138*設定!$B$15*IF(X138="Melee",0.6,1.35)*IFERROR(VLOOKUP($AM138,個性タイプマスタ!$A$5:$P$100,14,FALSE),1),0))</f>
        <v>107</v>
      </c>
      <c r="G138" s="54">
        <f>IF(X138="Melee",AN138,MAX(1,ROUND(AN138*設定!$B$16*IFERROR(VLOOKUP($AM138,個性タイプマスタ!$A$5:$P$100,15,FALSE),1),0)))</f>
        <v>82</v>
      </c>
      <c r="H138" s="54">
        <f>IF(X138="Ranged",AN138,MAX(1,ROUND(AN138*設定!$B$16*IFERROR(VLOOKUP($AM138,個性タイプマスタ!$A$5:$P$100,15,FALSE),1),0)))</f>
        <v>182</v>
      </c>
      <c r="I138" s="54">
        <f>MAX(0,ROUND(設定!$B$8*AE138*Z138,0))</f>
        <v>55</v>
      </c>
      <c r="J138" s="54">
        <f>MAX(0,ROUND(設定!$B$9*AE138*AA138,0))</f>
        <v>65</v>
      </c>
      <c r="K138" s="55">
        <f>IFERROR(VLOOKUP($AM138,個性タイプマスタ!$A$5:$P$100,9,FALSE),0.05)</f>
        <v>0.05</v>
      </c>
      <c r="L138" s="56">
        <f>IFERROR(VLOOKUP($AM138,個性タイプマスタ!$A$5:$P$100,10,FALSE),1.5)</f>
        <v>1.5</v>
      </c>
      <c r="M138" s="56">
        <f>IFERROR(VLOOKUP($AM138,個性タイプマスタ!$A$5:$P$100,11,FALSE),2)</f>
        <v>2</v>
      </c>
      <c r="N138" s="57">
        <f>MAX(0.1,ROUND(設定!$B$10*AB138,3))</f>
        <v>1</v>
      </c>
      <c r="O138" s="57">
        <f t="shared" si="8"/>
        <v>2.5</v>
      </c>
      <c r="P138" s="58">
        <f>MAX(-10,MIN(0.8,IFERROR(INDEX(属性耐性マスタ!$B$5:$G$11,MATCH($C138,属性耐性マスタ!$A$5:$A$11,0),1),0)+IFERROR(VLOOKUP($AM138,個性タイプマスタ!$A$5:$P$100,12,FALSE),0)))</f>
        <v>-0.02</v>
      </c>
      <c r="Q138" s="58">
        <f>MAX(-10,MIN(0.8,IFERROR(INDEX(属性耐性マスタ!$B$5:$G$11,MATCH($C138,属性耐性マスタ!$A$5:$A$11,0),2),0)+IFERROR(VLOOKUP($AM138,個性タイプマスタ!$A$5:$P$100,12,FALSE),0)))</f>
        <v>-0.02</v>
      </c>
      <c r="R138" s="58">
        <f>MAX(-10,MIN(0.8,IFERROR(INDEX(属性耐性マスタ!$B$5:$G$11,MATCH($C138,属性耐性マスタ!$A$5:$A$11,0),3),0)+IFERROR(VLOOKUP($AM138,個性タイプマスタ!$A$5:$P$100,12,FALSE),0)))</f>
        <v>-0.02</v>
      </c>
      <c r="S138" s="58">
        <f>MAX(-10,MIN(0.8,IFERROR(INDEX(属性耐性マスタ!$B$5:$G$11,MATCH($C138,属性耐性マスタ!$A$5:$A$11,0),4),0)+IFERROR(VLOOKUP($AM138,個性タイプマスタ!$A$5:$P$100,12,FALSE),0)))</f>
        <v>-0.02</v>
      </c>
      <c r="T138" s="58">
        <f>MAX(-10,MIN(0.8,IFERROR(INDEX(属性耐性マスタ!$B$5:$G$11,MATCH($C138,属性耐性マスタ!$A$5:$A$11,0),5),0)+IFERROR(VLOOKUP($AM138,個性タイプマスタ!$A$5:$P$100,12,FALSE),0)))</f>
        <v>-0.12000000000000001</v>
      </c>
      <c r="U138" s="58">
        <f>MAX(-10,MIN(0.8,IFERROR(INDEX(属性耐性マスタ!$B$5:$G$11,MATCH($C138,属性耐性マスタ!$A$5:$A$11,0),6),0)+IFERROR(VLOOKUP($AM138,個性タイプマスタ!$A$5:$P$100,12,FALSE),0)))</f>
        <v>0.18000000000000002</v>
      </c>
      <c r="V138" s="59">
        <f>ROUND(設定!$B$19*IFERROR(VLOOKUP($AM138,個性タイプマスタ!$A$5:$P$100,13,FALSE),1),2)</f>
        <v>4</v>
      </c>
      <c r="W138" s="59">
        <v>23</v>
      </c>
      <c r="X138" s="59" t="str">
        <f>IFERROR(VLOOKUP($AM138,個性タイプマスタ!$A$5:$P$100,2,FALSE),"Ranged")</f>
        <v>Ranged</v>
      </c>
      <c r="Y138" s="56">
        <f>IFERROR(VLOOKUP($AM138,個性タイプマスタ!$A$5:$P$100,3,FALSE),1)</f>
        <v>0.82</v>
      </c>
      <c r="Z138" s="56">
        <f>IFERROR(VLOOKUP($AM138,個性タイプマスタ!$A$5:$P$100,4,FALSE),1)</f>
        <v>0.85</v>
      </c>
      <c r="AA138" s="56">
        <f>IFERROR(VLOOKUP($AM138,個性タイプマスタ!$A$5:$P$100,5,FALSE),1)</f>
        <v>1</v>
      </c>
      <c r="AB138" s="56">
        <f>IFERROR(VLOOKUP($AM138,個性タイプマスタ!$A$5:$P$100,6,FALSE),1)</f>
        <v>1</v>
      </c>
      <c r="AC138" s="56">
        <f>IFERROR(VLOOKUP($AM138,個性タイプマスタ!$A$5:$P$100,7,FALSE),1)</f>
        <v>1</v>
      </c>
      <c r="AD138" s="56">
        <f>IFERROR(VLOOKUP($AM138,個性タイプマスタ!$A$5:$P$100,8,FALSE),1)</f>
        <v>0.68</v>
      </c>
      <c r="AE138" s="60">
        <f>IFERROR(D138/設定!$B$5,1)</f>
        <v>8.1402999999999999</v>
      </c>
      <c r="AF138" s="60">
        <f>1+設定!$B$13*((I138/設定!$B$8+J138/設定!$B$9)/(2*AE138))</f>
        <v>1.2764025895851505</v>
      </c>
      <c r="AG138" s="60">
        <f>MAX(0.7,1+設定!$B$14*(O138/IF(X138="Melee",1.5,2.5)-1))</f>
        <v>1</v>
      </c>
      <c r="AH138" s="53">
        <f t="shared" si="9"/>
        <v>186.54999999999998</v>
      </c>
      <c r="AI138" s="53">
        <f>E138*AF138*(1+設定!$B$18*AVERAGE(P138:U138))</f>
        <v>851.35797444811635</v>
      </c>
      <c r="AJ138" s="61">
        <f>設定!$B$5*SQRT((AH138/(設定!$B$7*設定!$B$10*(1+設定!$B$11*(設定!$B$12-1))))*(AI138/(設定!$B$6*(1+設定!$B$13))))</f>
        <v>813.73663642461497</v>
      </c>
      <c r="AK138" s="62">
        <f t="shared" si="10"/>
        <v>-3.6038423078388337E-4</v>
      </c>
      <c r="AL138" s="63">
        <f t="shared" si="11"/>
        <v>553.54039999999998</v>
      </c>
      <c r="AM138" s="64" t="s">
        <v>878</v>
      </c>
      <c r="AN138" s="54">
        <f>MAX(1,ROUND((設定!$B$7*設定!$B$10*(1+設定!$B$11*(設定!$B$12-1)))*AE138^2*(設定!$B$6*(1+設定!$B$13))/(AI138*N138*(1+K138*(L138-1))*AG138),0))</f>
        <v>182</v>
      </c>
      <c r="AO138" s="65" t="str">
        <f>IF($A138="","",IF(COUNTIF(個性タイプマスタ!$A$5:$A$100,$AM138)&gt;0,"OK","未登録"))</f>
        <v>OK</v>
      </c>
      <c r="AP138" s="67" t="str">
        <f>IF($A138="","",IF(COUNTIF(属性耐性マスタ!$A$5:$A$11,$C138)&gt;0,"OK","未登録"))</f>
        <v>OK</v>
      </c>
    </row>
    <row r="139" spans="1:42">
      <c r="A139" s="66" t="s">
        <v>378</v>
      </c>
      <c r="B139" s="51" t="s">
        <v>379</v>
      </c>
      <c r="C139" s="109" t="s">
        <v>874</v>
      </c>
      <c r="D139" s="53">
        <f>ROUND(設定!$B$5*POWER($D$2,W139-1),2)</f>
        <v>814.03</v>
      </c>
      <c r="E139" s="54">
        <f>MAX(1,ROUND(設定!$B$6*AE139*Y139,0))</f>
        <v>895</v>
      </c>
      <c r="F139" s="54">
        <f>MAX(0,ROUND(設定!$B$7*AE139*設定!$B$15*IF(X139="Melee",0.6,1.35)*IFERROR(VLOOKUP($AM139,個性タイプマスタ!$A$5:$P$100,14,FALSE),1),0))</f>
        <v>125</v>
      </c>
      <c r="G139" s="54">
        <f>IF(X139="Melee",AN139,MAX(1,ROUND(AN139*設定!$B$16*IFERROR(VLOOKUP($AM139,個性タイプマスタ!$A$5:$P$100,15,FALSE),1),0)))</f>
        <v>57</v>
      </c>
      <c r="H139" s="54">
        <f>IF(X139="Ranged",AN139,MAX(1,ROUND(AN139*設定!$B$16*IFERROR(VLOOKUP($AM139,個性タイプマスタ!$A$5:$P$100,15,FALSE),1),0)))</f>
        <v>126</v>
      </c>
      <c r="I139" s="54">
        <f>MAX(0,ROUND(設定!$B$8*AE139*Z139,0))</f>
        <v>72</v>
      </c>
      <c r="J139" s="54">
        <f>MAX(0,ROUND(設定!$B$9*AE139*AA139,0))</f>
        <v>72</v>
      </c>
      <c r="K139" s="55">
        <f>IFERROR(VLOOKUP($AM139,個性タイプマスタ!$A$5:$P$100,9,FALSE),0.05)</f>
        <v>7.0000000000000007E-2</v>
      </c>
      <c r="L139" s="56">
        <f>IFERROR(VLOOKUP($AM139,個性タイプマスタ!$A$5:$P$100,10,FALSE),1.5)</f>
        <v>1.55</v>
      </c>
      <c r="M139" s="56">
        <f>IFERROR(VLOOKUP($AM139,個性タイプマスタ!$A$5:$P$100,11,FALSE),2)</f>
        <v>2.4</v>
      </c>
      <c r="N139" s="57">
        <f>MAX(0.1,ROUND(設定!$B$10*AB139,3))</f>
        <v>1</v>
      </c>
      <c r="O139" s="57">
        <f t="shared" si="8"/>
        <v>2.5</v>
      </c>
      <c r="P139" s="58">
        <f>MAX(-10,MIN(0.8,IFERROR(INDEX(属性耐性マスタ!$B$5:$G$11,MATCH($C139,属性耐性マスタ!$A$5:$A$11,0),1),0)+IFERROR(VLOOKUP($AM139,個性タイプマスタ!$A$5:$P$100,12,FALSE),0)))</f>
        <v>0.02</v>
      </c>
      <c r="Q139" s="58">
        <f>MAX(-10,MIN(0.8,IFERROR(INDEX(属性耐性マスタ!$B$5:$G$11,MATCH($C139,属性耐性マスタ!$A$5:$A$11,0),2),0)+IFERROR(VLOOKUP($AM139,個性タイプマスタ!$A$5:$P$100,12,FALSE),0)))</f>
        <v>0.02</v>
      </c>
      <c r="R139" s="58">
        <f>MAX(-10,MIN(0.8,IFERROR(INDEX(属性耐性マスタ!$B$5:$G$11,MATCH($C139,属性耐性マスタ!$A$5:$A$11,0),3),0)+IFERROR(VLOOKUP($AM139,個性タイプマスタ!$A$5:$P$100,12,FALSE),0)))</f>
        <v>0.02</v>
      </c>
      <c r="S139" s="58">
        <f>MAX(-10,MIN(0.8,IFERROR(INDEX(属性耐性マスタ!$B$5:$G$11,MATCH($C139,属性耐性マスタ!$A$5:$A$11,0),4),0)+IFERROR(VLOOKUP($AM139,個性タイプマスタ!$A$5:$P$100,12,FALSE),0)))</f>
        <v>0.02</v>
      </c>
      <c r="T139" s="58">
        <f>MAX(-10,MIN(0.8,IFERROR(INDEX(属性耐性マスタ!$B$5:$G$11,MATCH($C139,属性耐性マスタ!$A$5:$A$11,0),5),0)+IFERROR(VLOOKUP($AM139,個性タイプマスタ!$A$5:$P$100,12,FALSE),0)))</f>
        <v>-0.08</v>
      </c>
      <c r="U139" s="58">
        <f>MAX(-10,MIN(0.8,IFERROR(INDEX(属性耐性マスタ!$B$5:$G$11,MATCH($C139,属性耐性マスタ!$A$5:$A$11,0),6),0)+IFERROR(VLOOKUP($AM139,個性タイプマスタ!$A$5:$P$100,12,FALSE),0)))</f>
        <v>0.22</v>
      </c>
      <c r="V139" s="59">
        <f>ROUND(設定!$B$19*IFERROR(VLOOKUP($AM139,個性タイプマスタ!$A$5:$P$100,13,FALSE),1),2)</f>
        <v>4</v>
      </c>
      <c r="W139" s="59">
        <v>23</v>
      </c>
      <c r="X139" s="59" t="str">
        <f>IFERROR(VLOOKUP($AM139,個性タイプマスタ!$A$5:$P$100,2,FALSE),"Ranged")</f>
        <v>Ranged</v>
      </c>
      <c r="Y139" s="56">
        <f>IFERROR(VLOOKUP($AM139,個性タイプマスタ!$A$5:$P$100,3,FALSE),1)</f>
        <v>1.1000000000000001</v>
      </c>
      <c r="Z139" s="56">
        <f>IFERROR(VLOOKUP($AM139,個性タイプマスタ!$A$5:$P$100,4,FALSE),1)</f>
        <v>1.1000000000000001</v>
      </c>
      <c r="AA139" s="56">
        <f>IFERROR(VLOOKUP($AM139,個性タイプマスタ!$A$5:$P$100,5,FALSE),1)</f>
        <v>1.1000000000000001</v>
      </c>
      <c r="AB139" s="56">
        <f>IFERROR(VLOOKUP($AM139,個性タイプマスタ!$A$5:$P$100,6,FALSE),1)</f>
        <v>1</v>
      </c>
      <c r="AC139" s="56">
        <f>IFERROR(VLOOKUP($AM139,個性タイプマスタ!$A$5:$P$100,7,FALSE),1)</f>
        <v>1</v>
      </c>
      <c r="AD139" s="56">
        <f>IFERROR(VLOOKUP($AM139,個性タイプマスタ!$A$5:$P$100,8,FALSE),1)</f>
        <v>0.88</v>
      </c>
      <c r="AE139" s="60">
        <f>IFERROR(D139/設定!$B$5,1)</f>
        <v>8.1402999999999999</v>
      </c>
      <c r="AF139" s="60">
        <f>1+設定!$B$13*((I139/設定!$B$8+J139/設定!$B$9)/(2*AE139))</f>
        <v>1.3316831075021804</v>
      </c>
      <c r="AG139" s="60">
        <f>MAX(0.7,1+設定!$B$14*(O139/IF(X139="Melee",1.5,2.5)-1))</f>
        <v>1</v>
      </c>
      <c r="AH139" s="53">
        <f t="shared" si="9"/>
        <v>130.851</v>
      </c>
      <c r="AI139" s="53">
        <f>E139*AF139*(1+設定!$B$18*AVERAGE(P139:U139))</f>
        <v>1211.5220115044899</v>
      </c>
      <c r="AJ139" s="61">
        <f>設定!$B$5*SQRT((AH139/(設定!$B$7*設定!$B$10*(1+設定!$B$11*(設定!$B$12-1))))*(AI139/(設定!$B$6*(1+設定!$B$13))))</f>
        <v>812.98833845968318</v>
      </c>
      <c r="AK139" s="62">
        <f t="shared" si="10"/>
        <v>-1.279635320954764E-3</v>
      </c>
      <c r="AL139" s="63">
        <f t="shared" si="11"/>
        <v>716.34640000000002</v>
      </c>
      <c r="AM139" s="64" t="s">
        <v>906</v>
      </c>
      <c r="AN139" s="54">
        <f>MAX(1,ROUND((設定!$B$7*設定!$B$10*(1+設定!$B$11*(設定!$B$12-1)))*AE139^2*(設定!$B$6*(1+設定!$B$13))/(AI139*N139*(1+K139*(L139-1))*AG139),0))</f>
        <v>126</v>
      </c>
      <c r="AO139" s="65" t="str">
        <f>IF($A139="","",IF(COUNTIF(個性タイプマスタ!$A$5:$A$100,$AM139)&gt;0,"OK","未登録"))</f>
        <v>OK</v>
      </c>
      <c r="AP139" s="67" t="str">
        <f>IF($A139="","",IF(COUNTIF(属性耐性マスタ!$A$5:$A$11,$C139)&gt;0,"OK","未登録"))</f>
        <v>OK</v>
      </c>
    </row>
    <row r="140" spans="1:42">
      <c r="A140" s="66" t="s">
        <v>380</v>
      </c>
      <c r="B140" s="51" t="s">
        <v>381</v>
      </c>
      <c r="C140" s="109" t="s">
        <v>874</v>
      </c>
      <c r="D140" s="53">
        <f>ROUND(設定!$B$5*POWER($D$2,W140-1),2)</f>
        <v>814.03</v>
      </c>
      <c r="E140" s="54">
        <f>MAX(1,ROUND(設定!$B$6*AE140*Y140,0))</f>
        <v>749</v>
      </c>
      <c r="F140" s="54">
        <f>MAX(0,ROUND(設定!$B$7*AE140*設定!$B$15*IF(X140="Melee",0.6,1.35)*IFERROR(VLOOKUP($AM140,個性タイプマスタ!$A$5:$P$100,14,FALSE),1),0))</f>
        <v>47</v>
      </c>
      <c r="G140" s="54">
        <f>IF(X140="Melee",AN140,MAX(1,ROUND(AN140*設定!$B$16*IFERROR(VLOOKUP($AM140,個性タイプマスタ!$A$5:$P$100,15,FALSE),1),0)))</f>
        <v>157</v>
      </c>
      <c r="H140" s="54">
        <f>IF(X140="Ranged",AN140,MAX(1,ROUND(AN140*設定!$B$16*IFERROR(VLOOKUP($AM140,個性タイプマスタ!$A$5:$P$100,15,FALSE),1),0)))</f>
        <v>57</v>
      </c>
      <c r="I140" s="54">
        <f>MAX(0,ROUND(設定!$B$8*AE140*Z140,0))</f>
        <v>60</v>
      </c>
      <c r="J140" s="54">
        <f>MAX(0,ROUND(設定!$B$9*AE140*AA140,0))</f>
        <v>55</v>
      </c>
      <c r="K140" s="55">
        <f>IFERROR(VLOOKUP($AM140,個性タイプマスタ!$A$5:$P$100,9,FALSE),0.05)</f>
        <v>7.0000000000000007E-2</v>
      </c>
      <c r="L140" s="56">
        <f>IFERROR(VLOOKUP($AM140,個性タイプマスタ!$A$5:$P$100,10,FALSE),1.5)</f>
        <v>1.6</v>
      </c>
      <c r="M140" s="56">
        <f>IFERROR(VLOOKUP($AM140,個性タイプマスタ!$A$5:$P$100,11,FALSE),2)</f>
        <v>2.4500000000000002</v>
      </c>
      <c r="N140" s="57">
        <f>MAX(0.1,ROUND(設定!$B$10*AB140,3))</f>
        <v>0.94</v>
      </c>
      <c r="O140" s="57">
        <f t="shared" si="8"/>
        <v>2.73</v>
      </c>
      <c r="P140" s="58">
        <f>MAX(-10,MIN(0.8,IFERROR(INDEX(属性耐性マスタ!$B$5:$G$11,MATCH($C140,属性耐性マスタ!$A$5:$A$11,0),1),0)+IFERROR(VLOOKUP($AM140,個性タイプマスタ!$A$5:$P$100,12,FALSE),0)))</f>
        <v>-3.5000000000000003E-2</v>
      </c>
      <c r="Q140" s="58">
        <f>MAX(-10,MIN(0.8,IFERROR(INDEX(属性耐性マスタ!$B$5:$G$11,MATCH($C140,属性耐性マスタ!$A$5:$A$11,0),2),0)+IFERROR(VLOOKUP($AM140,個性タイプマスタ!$A$5:$P$100,12,FALSE),0)))</f>
        <v>-3.5000000000000003E-2</v>
      </c>
      <c r="R140" s="58">
        <f>MAX(-10,MIN(0.8,IFERROR(INDEX(属性耐性マスタ!$B$5:$G$11,MATCH($C140,属性耐性マスタ!$A$5:$A$11,0),3),0)+IFERROR(VLOOKUP($AM140,個性タイプマスタ!$A$5:$P$100,12,FALSE),0)))</f>
        <v>-3.5000000000000003E-2</v>
      </c>
      <c r="S140" s="58">
        <f>MAX(-10,MIN(0.8,IFERROR(INDEX(属性耐性マスタ!$B$5:$G$11,MATCH($C140,属性耐性マスタ!$A$5:$A$11,0),4),0)+IFERROR(VLOOKUP($AM140,個性タイプマスタ!$A$5:$P$100,12,FALSE),0)))</f>
        <v>-3.5000000000000003E-2</v>
      </c>
      <c r="T140" s="58">
        <f>MAX(-10,MIN(0.8,IFERROR(INDEX(属性耐性マスタ!$B$5:$G$11,MATCH($C140,属性耐性マスタ!$A$5:$A$11,0),5),0)+IFERROR(VLOOKUP($AM140,個性タイプマスタ!$A$5:$P$100,12,FALSE),0)))</f>
        <v>-0.13500000000000001</v>
      </c>
      <c r="U140" s="58">
        <f>MAX(-10,MIN(0.8,IFERROR(INDEX(属性耐性マスタ!$B$5:$G$11,MATCH($C140,属性耐性マスタ!$A$5:$A$11,0),6),0)+IFERROR(VLOOKUP($AM140,個性タイプマスタ!$A$5:$P$100,12,FALSE),0)))</f>
        <v>0.16500000000000001</v>
      </c>
      <c r="V140" s="59">
        <f>ROUND(設定!$B$19*IFERROR(VLOOKUP($AM140,個性タイプマスタ!$A$5:$P$100,13,FALSE),1),2)</f>
        <v>5.6</v>
      </c>
      <c r="W140" s="59">
        <v>23</v>
      </c>
      <c r="X140" s="59" t="str">
        <f>IFERROR(VLOOKUP($AM140,個性タイプマスタ!$A$5:$P$100,2,FALSE),"Ranged")</f>
        <v>Melee</v>
      </c>
      <c r="Y140" s="56">
        <f>IFERROR(VLOOKUP($AM140,個性タイプマスタ!$A$5:$P$100,3,FALSE),1)</f>
        <v>0.92</v>
      </c>
      <c r="Z140" s="56">
        <f>IFERROR(VLOOKUP($AM140,個性タイプマスタ!$A$5:$P$100,4,FALSE),1)</f>
        <v>0.92</v>
      </c>
      <c r="AA140" s="56">
        <f>IFERROR(VLOOKUP($AM140,個性タイプマスタ!$A$5:$P$100,5,FALSE),1)</f>
        <v>0.85</v>
      </c>
      <c r="AB140" s="56">
        <f>IFERROR(VLOOKUP($AM140,個性タイプマスタ!$A$5:$P$100,6,FALSE),1)</f>
        <v>0.94</v>
      </c>
      <c r="AC140" s="56">
        <f>IFERROR(VLOOKUP($AM140,個性タイプマスタ!$A$5:$P$100,7,FALSE),1)</f>
        <v>1.82</v>
      </c>
      <c r="AD140" s="56">
        <f>IFERROR(VLOOKUP($AM140,個性タイプマスタ!$A$5:$P$100,8,FALSE),1)</f>
        <v>0.74</v>
      </c>
      <c r="AE140" s="60">
        <f>IFERROR(D140/設定!$B$5,1)</f>
        <v>8.1402999999999999</v>
      </c>
      <c r="AF140" s="60">
        <f>1+設定!$B$13*((I140/設定!$B$8+J140/設定!$B$9)/(2*AE140))</f>
        <v>1.2648858150191025</v>
      </c>
      <c r="AG140" s="60">
        <f>MAX(0.7,1+設定!$B$14*(O140/IF(X140="Melee",1.5,2.5)-1))</f>
        <v>1.0984</v>
      </c>
      <c r="AH140" s="53">
        <f t="shared" si="9"/>
        <v>168.91015062400001</v>
      </c>
      <c r="AI140" s="53">
        <f>E140*AF140*(1+設定!$B$18*AVERAGE(P140:U140))</f>
        <v>939.58342977685095</v>
      </c>
      <c r="AJ140" s="61">
        <f>設定!$B$5*SQRT((AH140/(設定!$B$7*設定!$B$10*(1+設定!$B$11*(設定!$B$12-1))))*(AI140/(設定!$B$6*(1+設定!$B$13))))</f>
        <v>813.44030567977677</v>
      </c>
      <c r="AK140" s="62">
        <f t="shared" si="10"/>
        <v>-7.2441349854823756E-4</v>
      </c>
      <c r="AL140" s="63">
        <f t="shared" si="11"/>
        <v>602.38220000000001</v>
      </c>
      <c r="AM140" s="64" t="s">
        <v>958</v>
      </c>
      <c r="AN140" s="54">
        <f>MAX(1,ROUND((設定!$B$7*設定!$B$10*(1+設定!$B$11*(設定!$B$12-1)))*AE140^2*(設定!$B$6*(1+設定!$B$13))/(AI140*N140*(1+K140*(L140-1))*AG140),0))</f>
        <v>157</v>
      </c>
      <c r="AO140" s="65" t="str">
        <f>IF($A140="","",IF(COUNTIF(個性タイプマスタ!$A$5:$A$100,$AM140)&gt;0,"OK","未登録"))</f>
        <v>OK</v>
      </c>
      <c r="AP140" s="67" t="str">
        <f>IF($A140="","",IF(COUNTIF(属性耐性マスタ!$A$5:$A$11,$C140)&gt;0,"OK","未登録"))</f>
        <v>OK</v>
      </c>
    </row>
    <row r="141" spans="1:42">
      <c r="A141" s="66" t="s">
        <v>382</v>
      </c>
      <c r="B141" s="51" t="s">
        <v>383</v>
      </c>
      <c r="C141" s="109" t="s">
        <v>874</v>
      </c>
      <c r="D141" s="53">
        <f>ROUND(設定!$B$5*POWER($D$2,W141-1),2)</f>
        <v>814.03</v>
      </c>
      <c r="E141" s="54">
        <f>MAX(1,ROUND(設定!$B$6*AE141*Y141,0))</f>
        <v>977</v>
      </c>
      <c r="F141" s="54">
        <f>MAX(0,ROUND(設定!$B$7*AE141*設定!$B$15*IF(X141="Melee",0.6,1.35)*IFERROR(VLOOKUP($AM141,個性タイプマスタ!$A$5:$P$100,14,FALSE),1),0))</f>
        <v>59</v>
      </c>
      <c r="G141" s="54">
        <f>IF(X141="Melee",AN141,MAX(1,ROUND(AN141*設定!$B$16*IFERROR(VLOOKUP($AM141,個性タイプマスタ!$A$5:$P$100,15,FALSE),1),0)))</f>
        <v>108</v>
      </c>
      <c r="H141" s="54">
        <f>IF(X141="Ranged",AN141,MAX(1,ROUND(AN141*設定!$B$16*IFERROR(VLOOKUP($AM141,個性タイプマスタ!$A$5:$P$100,15,FALSE),1),0)))</f>
        <v>40</v>
      </c>
      <c r="I141" s="54">
        <f>MAX(0,ROUND(設定!$B$8*AE141*Z141,0))</f>
        <v>49</v>
      </c>
      <c r="J141" s="54">
        <f>MAX(0,ROUND(設定!$B$9*AE141*AA141,0))</f>
        <v>137</v>
      </c>
      <c r="K141" s="55">
        <f>IFERROR(VLOOKUP($AM141,個性タイプマスタ!$A$5:$P$100,9,FALSE),0.05)</f>
        <v>0.05</v>
      </c>
      <c r="L141" s="56">
        <f>IFERROR(VLOOKUP($AM141,個性タイプマスタ!$A$5:$P$100,10,FALSE),1.5)</f>
        <v>1.47</v>
      </c>
      <c r="M141" s="56">
        <f>IFERROR(VLOOKUP($AM141,個性タイプマスタ!$A$5:$P$100,11,FALSE),2)</f>
        <v>2.4500000000000002</v>
      </c>
      <c r="N141" s="57">
        <f>MAX(0.1,ROUND(設定!$B$10*AB141,3))</f>
        <v>1</v>
      </c>
      <c r="O141" s="57">
        <f t="shared" si="8"/>
        <v>1.395</v>
      </c>
      <c r="P141" s="58">
        <f>MAX(-10,MIN(0.8,IFERROR(INDEX(属性耐性マスタ!$B$5:$G$11,MATCH($C141,属性耐性マスタ!$A$5:$A$11,0),1),0)+IFERROR(VLOOKUP($AM141,個性タイプマスタ!$A$5:$P$100,12,FALSE),0)))</f>
        <v>6.5000000000000002E-2</v>
      </c>
      <c r="Q141" s="58">
        <f>MAX(-10,MIN(0.8,IFERROR(INDEX(属性耐性マスタ!$B$5:$G$11,MATCH($C141,属性耐性マスタ!$A$5:$A$11,0),2),0)+IFERROR(VLOOKUP($AM141,個性タイプマスタ!$A$5:$P$100,12,FALSE),0)))</f>
        <v>6.5000000000000002E-2</v>
      </c>
      <c r="R141" s="58">
        <f>MAX(-10,MIN(0.8,IFERROR(INDEX(属性耐性マスタ!$B$5:$G$11,MATCH($C141,属性耐性マスタ!$A$5:$A$11,0),3),0)+IFERROR(VLOOKUP($AM141,個性タイプマスタ!$A$5:$P$100,12,FALSE),0)))</f>
        <v>6.5000000000000002E-2</v>
      </c>
      <c r="S141" s="58">
        <f>MAX(-10,MIN(0.8,IFERROR(INDEX(属性耐性マスタ!$B$5:$G$11,MATCH($C141,属性耐性マスタ!$A$5:$A$11,0),4),0)+IFERROR(VLOOKUP($AM141,個性タイプマスタ!$A$5:$P$100,12,FALSE),0)))</f>
        <v>6.5000000000000002E-2</v>
      </c>
      <c r="T141" s="58">
        <f>MAX(-10,MIN(0.8,IFERROR(INDEX(属性耐性マスタ!$B$5:$G$11,MATCH($C141,属性耐性マスタ!$A$5:$A$11,0),5),0)+IFERROR(VLOOKUP($AM141,個性タイプマスタ!$A$5:$P$100,12,FALSE),0)))</f>
        <v>-3.5000000000000003E-2</v>
      </c>
      <c r="U141" s="58">
        <f>MAX(-10,MIN(0.8,IFERROR(INDEX(属性耐性マスタ!$B$5:$G$11,MATCH($C141,属性耐性マスタ!$A$5:$A$11,0),6),0)+IFERROR(VLOOKUP($AM141,個性タイプマスタ!$A$5:$P$100,12,FALSE),0)))</f>
        <v>0.26500000000000001</v>
      </c>
      <c r="V141" s="59">
        <f>ROUND(設定!$B$19*IFERROR(VLOOKUP($AM141,個性タイプマスタ!$A$5:$P$100,13,FALSE),1),2)</f>
        <v>4.2</v>
      </c>
      <c r="W141" s="59">
        <v>23</v>
      </c>
      <c r="X141" s="59" t="str">
        <f>IFERROR(VLOOKUP($AM141,個性タイプマスタ!$A$5:$P$100,2,FALSE),"Ranged")</f>
        <v>Melee</v>
      </c>
      <c r="Y141" s="56">
        <f>IFERROR(VLOOKUP($AM141,個性タイプマスタ!$A$5:$P$100,3,FALSE),1)</f>
        <v>1.2</v>
      </c>
      <c r="Z141" s="56">
        <f>IFERROR(VLOOKUP($AM141,個性タイプマスタ!$A$5:$P$100,4,FALSE),1)</f>
        <v>0.76</v>
      </c>
      <c r="AA141" s="56">
        <f>IFERROR(VLOOKUP($AM141,個性タイプマスタ!$A$5:$P$100,5,FALSE),1)</f>
        <v>2.1</v>
      </c>
      <c r="AB141" s="56">
        <f>IFERROR(VLOOKUP($AM141,個性タイプマスタ!$A$5:$P$100,6,FALSE),1)</f>
        <v>1</v>
      </c>
      <c r="AC141" s="56">
        <f>IFERROR(VLOOKUP($AM141,個性タイプマスタ!$A$5:$P$100,7,FALSE),1)</f>
        <v>0.93</v>
      </c>
      <c r="AD141" s="56">
        <f>IFERROR(VLOOKUP($AM141,個性タイプマスタ!$A$5:$P$100,8,FALSE),1)</f>
        <v>0.8</v>
      </c>
      <c r="AE141" s="60">
        <f>IFERROR(D141/設定!$B$5,1)</f>
        <v>8.1402999999999999</v>
      </c>
      <c r="AF141" s="60">
        <f>1+設定!$B$13*((I141/設定!$B$8+J141/設定!$B$9)/(2*AE141))</f>
        <v>1.4284240138569833</v>
      </c>
      <c r="AG141" s="60">
        <f>MAX(0.7,1+設定!$B$14*(O141/IF(X141="Melee",1.5,2.5)-1))</f>
        <v>0.99160000000000004</v>
      </c>
      <c r="AH141" s="53">
        <f t="shared" si="9"/>
        <v>109.60948080000001</v>
      </c>
      <c r="AI141" s="53">
        <f>E141*AF141*(1+設定!$B$18*AVERAGE(P141:U141))</f>
        <v>1446.8574686498043</v>
      </c>
      <c r="AJ141" s="61">
        <f>設定!$B$5*SQRT((AH141/(設定!$B$7*設定!$B$10*(1+設定!$B$11*(設定!$B$12-1))))*(AI141/(設定!$B$6*(1+設定!$B$13))))</f>
        <v>813.1432741424627</v>
      </c>
      <c r="AK141" s="62">
        <f t="shared" si="10"/>
        <v>-1.089303659001839E-3</v>
      </c>
      <c r="AL141" s="63">
        <f t="shared" si="11"/>
        <v>651.22400000000005</v>
      </c>
      <c r="AM141" s="64" t="s">
        <v>972</v>
      </c>
      <c r="AN141" s="54">
        <f>MAX(1,ROUND((設定!$B$7*設定!$B$10*(1+設定!$B$11*(設定!$B$12-1)))*AE141^2*(設定!$B$6*(1+設定!$B$13))/(AI141*N141*(1+K141*(L141-1))*AG141),0))</f>
        <v>108</v>
      </c>
      <c r="AO141" s="65" t="str">
        <f>IF($A141="","",IF(COUNTIF(個性タイプマスタ!$A$5:$A$100,$AM141)&gt;0,"OK","未登録"))</f>
        <v>OK</v>
      </c>
      <c r="AP141" s="67" t="str">
        <f>IF($A141="","",IF(COUNTIF(属性耐性マスタ!$A$5:$A$11,$C141)&gt;0,"OK","未登録"))</f>
        <v>OK</v>
      </c>
    </row>
    <row r="142" spans="1:42">
      <c r="A142" s="66" t="s">
        <v>384</v>
      </c>
      <c r="B142" s="51" t="s">
        <v>385</v>
      </c>
      <c r="C142" s="109" t="s">
        <v>108</v>
      </c>
      <c r="D142" s="53">
        <f>ROUND(設定!$B$5*POWER($D$2,W142-1),2)</f>
        <v>814.03</v>
      </c>
      <c r="E142" s="54">
        <f>MAX(1,ROUND(設定!$B$6*AE142*Y142,0))</f>
        <v>1221</v>
      </c>
      <c r="F142" s="54">
        <f>MAX(0,ROUND(設定!$B$7*AE142*設定!$B$15*IF(X142="Melee",0.6,1.35)*IFERROR(VLOOKUP($AM142,個性タイプマスタ!$A$5:$P$100,14,FALSE),1),0))</f>
        <v>148</v>
      </c>
      <c r="G142" s="54">
        <f>IF(X142="Melee",AN142,MAX(1,ROUND(AN142*設定!$B$16*IFERROR(VLOOKUP($AM142,個性タイプマスタ!$A$5:$P$100,15,FALSE),1),0)))</f>
        <v>30</v>
      </c>
      <c r="H142" s="54">
        <f>IF(X142="Ranged",AN142,MAX(1,ROUND(AN142*設定!$B$16*IFERROR(VLOOKUP($AM142,個性タイプマスタ!$A$5:$P$100,15,FALSE),1),0)))</f>
        <v>66</v>
      </c>
      <c r="I142" s="54">
        <f>MAX(0,ROUND(設定!$B$8*AE142*Z142,0))</f>
        <v>98</v>
      </c>
      <c r="J142" s="54">
        <f>MAX(0,ROUND(設定!$B$9*AE142*AA142,0))</f>
        <v>91</v>
      </c>
      <c r="K142" s="55">
        <f>IFERROR(VLOOKUP($AM142,個性タイプマスタ!$A$5:$P$100,9,FALSE),0.05)</f>
        <v>0.1</v>
      </c>
      <c r="L142" s="56">
        <f>IFERROR(VLOOKUP($AM142,個性タイプマスタ!$A$5:$P$100,10,FALSE),1.5)</f>
        <v>1.75</v>
      </c>
      <c r="M142" s="56">
        <f>IFERROR(VLOOKUP($AM142,個性タイプマスタ!$A$5:$P$100,11,FALSE),2)</f>
        <v>2.4</v>
      </c>
      <c r="N142" s="57">
        <f>MAX(0.1,ROUND(設定!$B$10*AB142,3))</f>
        <v>1.2</v>
      </c>
      <c r="O142" s="57">
        <f t="shared" si="8"/>
        <v>3</v>
      </c>
      <c r="P142" s="58">
        <f>MAX(-10,MIN(0.8,IFERROR(INDEX(属性耐性マスタ!$B$5:$G$11,MATCH($C142,属性耐性マスタ!$A$5:$A$11,0),1),0)+IFERROR(VLOOKUP($AM142,個性タイプマスタ!$A$5:$P$100,12,FALSE),0)))</f>
        <v>-2.0000000000000004E-2</v>
      </c>
      <c r="Q142" s="58">
        <f>MAX(-10,MIN(0.8,IFERROR(INDEX(属性耐性マスタ!$B$5:$G$11,MATCH($C142,属性耐性マスタ!$A$5:$A$11,0),2),0)+IFERROR(VLOOKUP($AM142,個性タイプマスタ!$A$5:$P$100,12,FALSE),0)))</f>
        <v>0.28000000000000003</v>
      </c>
      <c r="R142" s="58">
        <f>MAX(-10,MIN(0.8,IFERROR(INDEX(属性耐性マスタ!$B$5:$G$11,MATCH($C142,属性耐性マスタ!$A$5:$A$11,0),3),0)+IFERROR(VLOOKUP($AM142,個性タイプマスタ!$A$5:$P$100,12,FALSE),0)))</f>
        <v>0.08</v>
      </c>
      <c r="S142" s="58">
        <f>MAX(-10,MIN(0.8,IFERROR(INDEX(属性耐性マスタ!$B$5:$G$11,MATCH($C142,属性耐性マスタ!$A$5:$A$11,0),4),0)+IFERROR(VLOOKUP($AM142,個性タイプマスタ!$A$5:$P$100,12,FALSE),0)))</f>
        <v>0.08</v>
      </c>
      <c r="T142" s="58">
        <f>MAX(-10,MIN(0.8,IFERROR(INDEX(属性耐性マスタ!$B$5:$G$11,MATCH($C142,属性耐性マスタ!$A$5:$A$11,0),5),0)+IFERROR(VLOOKUP($AM142,個性タイプマスタ!$A$5:$P$100,12,FALSE),0)))</f>
        <v>0.08</v>
      </c>
      <c r="U142" s="58">
        <f>MAX(-10,MIN(0.8,IFERROR(INDEX(属性耐性マスタ!$B$5:$G$11,MATCH($C142,属性耐性マスタ!$A$5:$A$11,0),6),0)+IFERROR(VLOOKUP($AM142,個性タイプマスタ!$A$5:$P$100,12,FALSE),0)))</f>
        <v>0.08</v>
      </c>
      <c r="V142" s="59">
        <f>ROUND(設定!$B$19*IFERROR(VLOOKUP($AM142,個性タイプマスタ!$A$5:$P$100,13,FALSE),1),2)</f>
        <v>4</v>
      </c>
      <c r="W142" s="59">
        <v>23</v>
      </c>
      <c r="X142" s="59" t="str">
        <f>IFERROR(VLOOKUP($AM142,個性タイプマスタ!$A$5:$P$100,2,FALSE),"Ranged")</f>
        <v>Ranged</v>
      </c>
      <c r="Y142" s="56">
        <f>IFERROR(VLOOKUP($AM142,個性タイプマスタ!$A$5:$P$100,3,FALSE),1)</f>
        <v>1.5</v>
      </c>
      <c r="Z142" s="56">
        <f>IFERROR(VLOOKUP($AM142,個性タイプマスタ!$A$5:$P$100,4,FALSE),1)</f>
        <v>1.5</v>
      </c>
      <c r="AA142" s="56">
        <f>IFERROR(VLOOKUP($AM142,個性タイプマスタ!$A$5:$P$100,5,FALSE),1)</f>
        <v>1.4</v>
      </c>
      <c r="AB142" s="56">
        <f>IFERROR(VLOOKUP($AM142,個性タイプマスタ!$A$5:$P$100,6,FALSE),1)</f>
        <v>1.2</v>
      </c>
      <c r="AC142" s="56">
        <f>IFERROR(VLOOKUP($AM142,個性タイプマスタ!$A$5:$P$100,7,FALSE),1)</f>
        <v>1.2</v>
      </c>
      <c r="AD142" s="56">
        <f>IFERROR(VLOOKUP($AM142,個性タイプマスタ!$A$5:$P$100,8,FALSE),1)</f>
        <v>1</v>
      </c>
      <c r="AE142" s="60">
        <f>IFERROR(D142/設定!$B$5,1)</f>
        <v>8.1402999999999999</v>
      </c>
      <c r="AF142" s="60">
        <f>1+設定!$B$13*((I142/設定!$B$8+J142/設定!$B$9)/(2*AE142))</f>
        <v>1.435334078596612</v>
      </c>
      <c r="AG142" s="60">
        <f>MAX(0.7,1+設定!$B$14*(O142/IF(X142="Melee",1.5,2.5)-1))</f>
        <v>1.024</v>
      </c>
      <c r="AH142" s="53">
        <f t="shared" si="9"/>
        <v>87.183360000000008</v>
      </c>
      <c r="AI142" s="53">
        <f>E142*AF142*(1+設定!$B$18*AVERAGE(P142:U142))</f>
        <v>1828.7785265500045</v>
      </c>
      <c r="AJ142" s="61">
        <f>設定!$B$5*SQRT((AH142/(設定!$B$7*設定!$B$10*(1+設定!$B$11*(設定!$B$12-1))))*(AI142/(設定!$B$6*(1+設定!$B$13))))</f>
        <v>815.31887517172879</v>
      </c>
      <c r="AK142" s="62">
        <f t="shared" si="10"/>
        <v>1.5833263783016083E-3</v>
      </c>
      <c r="AL142" s="63">
        <f t="shared" si="11"/>
        <v>814.03</v>
      </c>
      <c r="AM142" s="64" t="s">
        <v>890</v>
      </c>
      <c r="AN142" s="54">
        <f>MAX(1,ROUND((設定!$B$7*設定!$B$10*(1+設定!$B$11*(設定!$B$12-1)))*AE142^2*(設定!$B$6*(1+設定!$B$13))/(AI142*N142*(1+K142*(L142-1))*AG142),0))</f>
        <v>66</v>
      </c>
      <c r="AO142" s="65" t="str">
        <f>IF($A142="","",IF(COUNTIF(個性タイプマスタ!$A$5:$A$100,$AM142)&gt;0,"OK","未登録"))</f>
        <v>OK</v>
      </c>
      <c r="AP142" s="67" t="str">
        <f>IF($A142="","",IF(COUNTIF(属性耐性マスタ!$A$5:$A$11,$C142)&gt;0,"OK","未登録"))</f>
        <v>OK</v>
      </c>
    </row>
    <row r="143" spans="1:42">
      <c r="A143" s="66" t="s">
        <v>386</v>
      </c>
      <c r="B143" s="51" t="s">
        <v>387</v>
      </c>
      <c r="C143" s="109" t="s">
        <v>111</v>
      </c>
      <c r="D143" s="53">
        <f>ROUND(設定!$B$5*POWER($D$2,W143-1),2)</f>
        <v>895.43</v>
      </c>
      <c r="E143" s="54">
        <f>MAX(1,ROUND(設定!$B$6*AE143*Y143,0))</f>
        <v>492</v>
      </c>
      <c r="F143" s="54">
        <f>MAX(0,ROUND(設定!$B$7*AE143*設定!$B$15*IF(X143="Melee",0.6,1.35)*IFERROR(VLOOKUP($AM143,個性タイプマスタ!$A$5:$P$100,14,FALSE),1),0))</f>
        <v>196</v>
      </c>
      <c r="G143" s="54">
        <f>IF(X143="Melee",AN143,MAX(1,ROUND(AN143*設定!$B$16*IFERROR(VLOOKUP($AM143,個性タイプマスタ!$A$5:$P$100,15,FALSE),1),0)))</f>
        <v>92</v>
      </c>
      <c r="H143" s="54">
        <f>IF(X143="Ranged",AN143,MAX(1,ROUND(AN143*設定!$B$16*IFERROR(VLOOKUP($AM143,個性タイプマスタ!$A$5:$P$100,15,FALSE),1),0)))</f>
        <v>256</v>
      </c>
      <c r="I143" s="54">
        <f>MAX(0,ROUND(設定!$B$8*AE143*Z143,0))</f>
        <v>104</v>
      </c>
      <c r="J143" s="54">
        <f>MAX(0,ROUND(設定!$B$9*AE143*AA143,0))</f>
        <v>161</v>
      </c>
      <c r="K143" s="55">
        <f>IFERROR(VLOOKUP($AM143,個性タイプマスタ!$A$5:$P$100,9,FALSE),0.05)</f>
        <v>0.04</v>
      </c>
      <c r="L143" s="56">
        <f>IFERROR(VLOOKUP($AM143,個性タイプマスタ!$A$5:$P$100,10,FALSE),1.5)</f>
        <v>1.38</v>
      </c>
      <c r="M143" s="56">
        <f>IFERROR(VLOOKUP($AM143,個性タイプマスタ!$A$5:$P$100,11,FALSE),2)</f>
        <v>2.2000000000000002</v>
      </c>
      <c r="N143" s="57">
        <f>MAX(0.1,ROUND(設定!$B$10*AB143,3))</f>
        <v>0.88</v>
      </c>
      <c r="O143" s="57">
        <f t="shared" si="8"/>
        <v>3.15</v>
      </c>
      <c r="P143" s="58">
        <f>MAX(-10,MIN(0.8,IFERROR(INDEX(属性耐性マスタ!$B$5:$G$11,MATCH($C143,属性耐性マスタ!$A$5:$A$11,0),1),0)+IFERROR(VLOOKUP($AM143,個性タイプマスタ!$A$5:$P$100,12,FALSE),0)))</f>
        <v>0.33</v>
      </c>
      <c r="Q143" s="58">
        <f>MAX(-10,MIN(0.8,IFERROR(INDEX(属性耐性マスタ!$B$5:$G$11,MATCH($C143,属性耐性マスタ!$A$5:$A$11,0),2),0)+IFERROR(VLOOKUP($AM143,個性タイプマスタ!$A$5:$P$100,12,FALSE),0)))</f>
        <v>0.03</v>
      </c>
      <c r="R143" s="58">
        <f>MAX(-10,MIN(0.8,IFERROR(INDEX(属性耐性マスタ!$B$5:$G$11,MATCH($C143,属性耐性マスタ!$A$5:$A$11,0),3),0)+IFERROR(VLOOKUP($AM143,個性タイプマスタ!$A$5:$P$100,12,FALSE),0)))</f>
        <v>0.13</v>
      </c>
      <c r="S143" s="58">
        <f>MAX(-10,MIN(0.8,IFERROR(INDEX(属性耐性マスタ!$B$5:$G$11,MATCH($C143,属性耐性マスタ!$A$5:$A$11,0),4),0)+IFERROR(VLOOKUP($AM143,個性タイプマスタ!$A$5:$P$100,12,FALSE),0)))</f>
        <v>0.13</v>
      </c>
      <c r="T143" s="58">
        <f>MAX(-10,MIN(0.8,IFERROR(INDEX(属性耐性マスタ!$B$5:$G$11,MATCH($C143,属性耐性マスタ!$A$5:$A$11,0),5),0)+IFERROR(VLOOKUP($AM143,個性タイプマスタ!$A$5:$P$100,12,FALSE),0)))</f>
        <v>0.13</v>
      </c>
      <c r="U143" s="58">
        <f>MAX(-10,MIN(0.8,IFERROR(INDEX(属性耐性マスタ!$B$5:$G$11,MATCH($C143,属性耐性マスタ!$A$5:$A$11,0),6),0)+IFERROR(VLOOKUP($AM143,個性タイプマスタ!$A$5:$P$100,12,FALSE),0)))</f>
        <v>0.13</v>
      </c>
      <c r="V143" s="59">
        <f>ROUND(設定!$B$19*IFERROR(VLOOKUP($AM143,個性タイプマスタ!$A$5:$P$100,13,FALSE),1),2)</f>
        <v>4.4800000000000004</v>
      </c>
      <c r="W143" s="59">
        <v>24</v>
      </c>
      <c r="X143" s="59" t="str">
        <f>IFERROR(VLOOKUP($AM143,個性タイプマスタ!$A$5:$P$100,2,FALSE),"Ranged")</f>
        <v>Ranged</v>
      </c>
      <c r="Y143" s="56">
        <f>IFERROR(VLOOKUP($AM143,個性タイプマスタ!$A$5:$P$100,3,FALSE),1)</f>
        <v>0.55000000000000004</v>
      </c>
      <c r="Z143" s="56">
        <f>IFERROR(VLOOKUP($AM143,個性タイプマスタ!$A$5:$P$100,4,FALSE),1)</f>
        <v>1.45</v>
      </c>
      <c r="AA143" s="56">
        <f>IFERROR(VLOOKUP($AM143,個性タイプマスタ!$A$5:$P$100,5,FALSE),1)</f>
        <v>2.25</v>
      </c>
      <c r="AB143" s="56">
        <f>IFERROR(VLOOKUP($AM143,個性タイプマスタ!$A$5:$P$100,6,FALSE),1)</f>
        <v>0.88</v>
      </c>
      <c r="AC143" s="56">
        <f>IFERROR(VLOOKUP($AM143,個性タイプマスタ!$A$5:$P$100,7,FALSE),1)</f>
        <v>1.26</v>
      </c>
      <c r="AD143" s="56">
        <f>IFERROR(VLOOKUP($AM143,個性タイプマスタ!$A$5:$P$100,8,FALSE),1)</f>
        <v>0.75</v>
      </c>
      <c r="AE143" s="60">
        <f>IFERROR(D143/設定!$B$5,1)</f>
        <v>8.9542999999999999</v>
      </c>
      <c r="AF143" s="60">
        <f>1+設定!$B$13*((I143/設定!$B$8+J143/設定!$B$9)/(2*AE143))</f>
        <v>1.55490099728622</v>
      </c>
      <c r="AG143" s="60">
        <f>MAX(0.7,1+設定!$B$14*(O143/IF(X143="Melee",1.5,2.5)-1))</f>
        <v>1.0311999999999999</v>
      </c>
      <c r="AH143" s="53">
        <f t="shared" si="9"/>
        <v>235.83982878719999</v>
      </c>
      <c r="AI143" s="53">
        <f>E143*AF143*(1+設定!$B$18*AVERAGE(P143:U143))</f>
        <v>815.50203584869837</v>
      </c>
      <c r="AJ143" s="61">
        <f>設定!$B$5*SQRT((AH143/(設定!$B$7*設定!$B$10*(1+設定!$B$11*(設定!$B$12-1))))*(AI143/(設定!$B$6*(1+設定!$B$13))))</f>
        <v>895.47040849591963</v>
      </c>
      <c r="AK143" s="62">
        <f t="shared" si="10"/>
        <v>4.5127476094863894E-5</v>
      </c>
      <c r="AL143" s="63">
        <f t="shared" si="11"/>
        <v>671.57249999999999</v>
      </c>
      <c r="AM143" s="64" t="s">
        <v>940</v>
      </c>
      <c r="AN143" s="54">
        <f>MAX(1,ROUND((設定!$B$7*設定!$B$10*(1+設定!$B$11*(設定!$B$12-1)))*AE143^2*(設定!$B$6*(1+設定!$B$13))/(AI143*N143*(1+K143*(L143-1))*AG143),0))</f>
        <v>256</v>
      </c>
      <c r="AO143" s="65" t="str">
        <f>IF($A143="","",IF(COUNTIF(個性タイプマスタ!$A$5:$A$100,$AM143)&gt;0,"OK","未登録"))</f>
        <v>OK</v>
      </c>
      <c r="AP143" s="67" t="str">
        <f>IF($A143="","",IF(COUNTIF(属性耐性マスタ!$A$5:$A$11,$C143)&gt;0,"OK","未登録"))</f>
        <v>OK</v>
      </c>
    </row>
    <row r="144" spans="1:42">
      <c r="A144" s="66" t="s">
        <v>388</v>
      </c>
      <c r="B144" s="51" t="s">
        <v>389</v>
      </c>
      <c r="C144" s="109" t="s">
        <v>108</v>
      </c>
      <c r="D144" s="53">
        <f>ROUND(設定!$B$5*POWER($D$2,W144-1),2)</f>
        <v>895.43</v>
      </c>
      <c r="E144" s="54">
        <f>MAX(1,ROUND(設定!$B$6*AE144*Y144,0))</f>
        <v>895</v>
      </c>
      <c r="F144" s="54">
        <f>MAX(0,ROUND(設定!$B$7*AE144*設定!$B$15*IF(X144="Melee",0.6,1.35)*IFERROR(VLOOKUP($AM144,個性タイプマスタ!$A$5:$P$100,14,FALSE),1),0))</f>
        <v>189</v>
      </c>
      <c r="G144" s="54">
        <f>IF(X144="Melee",AN144,MAX(1,ROUND(AN144*設定!$B$16*IFERROR(VLOOKUP($AM144,個性タイプマスタ!$A$5:$P$100,15,FALSE),1),0)))</f>
        <v>72</v>
      </c>
      <c r="H144" s="54">
        <f>IF(X144="Ranged",AN144,MAX(1,ROUND(AN144*設定!$B$16*IFERROR(VLOOKUP($AM144,個性タイプマスタ!$A$5:$P$100,15,FALSE),1),0)))</f>
        <v>160</v>
      </c>
      <c r="I144" s="54">
        <f>MAX(0,ROUND(設定!$B$8*AE144*Z144,0))</f>
        <v>72</v>
      </c>
      <c r="J144" s="54">
        <f>MAX(0,ROUND(設定!$B$9*AE144*AA144,0))</f>
        <v>86</v>
      </c>
      <c r="K144" s="55">
        <f>IFERROR(VLOOKUP($AM144,個性タイプマスタ!$A$5:$P$100,9,FALSE),0.05)</f>
        <v>0.06</v>
      </c>
      <c r="L144" s="56">
        <f>IFERROR(VLOOKUP($AM144,個性タイプマスタ!$A$5:$P$100,10,FALSE),1.5)</f>
        <v>1.4</v>
      </c>
      <c r="M144" s="56">
        <f>IFERROR(VLOOKUP($AM144,個性タイプマスタ!$A$5:$P$100,11,FALSE),2)</f>
        <v>2.1</v>
      </c>
      <c r="N144" s="57">
        <f>MAX(0.1,ROUND(設定!$B$10*AB144,3))</f>
        <v>0.95</v>
      </c>
      <c r="O144" s="57">
        <f t="shared" si="8"/>
        <v>2.875</v>
      </c>
      <c r="P144" s="58">
        <f>MAX(-10,MIN(0.8,IFERROR(INDEX(属性耐性マスタ!$B$5:$G$11,MATCH($C144,属性耐性マスタ!$A$5:$A$11,0),1),0)+IFERROR(VLOOKUP($AM144,個性タイプマスタ!$A$5:$P$100,12,FALSE),0)))</f>
        <v>-7.0000000000000007E-2</v>
      </c>
      <c r="Q144" s="58">
        <f>MAX(-10,MIN(0.8,IFERROR(INDEX(属性耐性マスタ!$B$5:$G$11,MATCH($C144,属性耐性マスタ!$A$5:$A$11,0),2),0)+IFERROR(VLOOKUP($AM144,個性タイプマスタ!$A$5:$P$100,12,FALSE),0)))</f>
        <v>0.23</v>
      </c>
      <c r="R144" s="58">
        <f>MAX(-10,MIN(0.8,IFERROR(INDEX(属性耐性マスタ!$B$5:$G$11,MATCH($C144,属性耐性マスタ!$A$5:$A$11,0),3),0)+IFERROR(VLOOKUP($AM144,個性タイプマスタ!$A$5:$P$100,12,FALSE),0)))</f>
        <v>0.03</v>
      </c>
      <c r="S144" s="58">
        <f>MAX(-10,MIN(0.8,IFERROR(INDEX(属性耐性マスタ!$B$5:$G$11,MATCH($C144,属性耐性マスタ!$A$5:$A$11,0),4),0)+IFERROR(VLOOKUP($AM144,個性タイプマスタ!$A$5:$P$100,12,FALSE),0)))</f>
        <v>0.03</v>
      </c>
      <c r="T144" s="58">
        <f>MAX(-10,MIN(0.8,IFERROR(INDEX(属性耐性マスタ!$B$5:$G$11,MATCH($C144,属性耐性マスタ!$A$5:$A$11,0),5),0)+IFERROR(VLOOKUP($AM144,個性タイプマスタ!$A$5:$P$100,12,FALSE),0)))</f>
        <v>0.03</v>
      </c>
      <c r="U144" s="58">
        <f>MAX(-10,MIN(0.8,IFERROR(INDEX(属性耐性マスタ!$B$5:$G$11,MATCH($C144,属性耐性マスタ!$A$5:$A$11,0),6),0)+IFERROR(VLOOKUP($AM144,個性タイプマスタ!$A$5:$P$100,12,FALSE),0)))</f>
        <v>0.03</v>
      </c>
      <c r="V144" s="59">
        <f>ROUND(設定!$B$19*IFERROR(VLOOKUP($AM144,個性タイプマスタ!$A$5:$P$100,13,FALSE),1),2)</f>
        <v>4.8</v>
      </c>
      <c r="W144" s="59">
        <v>24</v>
      </c>
      <c r="X144" s="59" t="str">
        <f>IFERROR(VLOOKUP($AM144,個性タイプマスタ!$A$5:$P$100,2,FALSE),"Ranged")</f>
        <v>Ranged</v>
      </c>
      <c r="Y144" s="56">
        <f>IFERROR(VLOOKUP($AM144,個性タイプマスタ!$A$5:$P$100,3,FALSE),1)</f>
        <v>1</v>
      </c>
      <c r="Z144" s="56">
        <f>IFERROR(VLOOKUP($AM144,個性タイプマスタ!$A$5:$P$100,4,FALSE),1)</f>
        <v>1</v>
      </c>
      <c r="AA144" s="56">
        <f>IFERROR(VLOOKUP($AM144,個性タイプマスタ!$A$5:$P$100,5,FALSE),1)</f>
        <v>1.2</v>
      </c>
      <c r="AB144" s="56">
        <f>IFERROR(VLOOKUP($AM144,個性タイプマスタ!$A$5:$P$100,6,FALSE),1)</f>
        <v>0.95</v>
      </c>
      <c r="AC144" s="56">
        <f>IFERROR(VLOOKUP($AM144,個性タイプマスタ!$A$5:$P$100,7,FALSE),1)</f>
        <v>1.1499999999999999</v>
      </c>
      <c r="AD144" s="56">
        <f>IFERROR(VLOOKUP($AM144,個性タイプマスタ!$A$5:$P$100,8,FALSE),1)</f>
        <v>0.84</v>
      </c>
      <c r="AE144" s="60">
        <f>IFERROR(D144/設定!$B$5,1)</f>
        <v>8.9542999999999999</v>
      </c>
      <c r="AF144" s="60">
        <f>1+設定!$B$13*((I144/設定!$B$8+J144/設定!$B$9)/(2*AE144))</f>
        <v>1.3308466323442369</v>
      </c>
      <c r="AG144" s="60">
        <f>MAX(0.7,1+設定!$B$14*(O144/IF(X144="Melee",1.5,2.5)-1))</f>
        <v>1.018</v>
      </c>
      <c r="AH144" s="53">
        <f t="shared" si="9"/>
        <v>158.44966400000001</v>
      </c>
      <c r="AI144" s="53">
        <f>E144*AF144*(1+設定!$B$18*AVERAGE(P144:U144))</f>
        <v>1216.120998403002</v>
      </c>
      <c r="AJ144" s="61">
        <f>設定!$B$5*SQRT((AH144/(設定!$B$7*設定!$B$10*(1+設定!$B$11*(設定!$B$12-1))))*(AI144/(設定!$B$6*(1+設定!$B$13))))</f>
        <v>896.32228352327616</v>
      </c>
      <c r="AK144" s="62">
        <f t="shared" si="10"/>
        <v>9.9648607180480298E-4</v>
      </c>
      <c r="AL144" s="63">
        <f t="shared" si="11"/>
        <v>752.16119999999989</v>
      </c>
      <c r="AM144" s="64" t="s">
        <v>898</v>
      </c>
      <c r="AN144" s="54">
        <f>MAX(1,ROUND((設定!$B$7*設定!$B$10*(1+設定!$B$11*(設定!$B$12-1)))*AE144^2*(設定!$B$6*(1+設定!$B$13))/(AI144*N144*(1+K144*(L144-1))*AG144),0))</f>
        <v>160</v>
      </c>
      <c r="AO144" s="65" t="str">
        <f>IF($A144="","",IF(COUNTIF(個性タイプマスタ!$A$5:$A$100,$AM144)&gt;0,"OK","未登録"))</f>
        <v>OK</v>
      </c>
      <c r="AP144" s="67" t="str">
        <f>IF($A144="","",IF(COUNTIF(属性耐性マスタ!$A$5:$A$11,$C144)&gt;0,"OK","未登録"))</f>
        <v>OK</v>
      </c>
    </row>
    <row r="145" spans="1:42">
      <c r="A145" s="66" t="s">
        <v>390</v>
      </c>
      <c r="B145" s="51" t="s">
        <v>391</v>
      </c>
      <c r="C145" s="109" t="s">
        <v>111</v>
      </c>
      <c r="D145" s="53">
        <f>ROUND(設定!$B$5*POWER($D$2,W145-1),2)</f>
        <v>895.43</v>
      </c>
      <c r="E145" s="54">
        <f>MAX(1,ROUND(設定!$B$6*AE145*Y145,0))</f>
        <v>860</v>
      </c>
      <c r="F145" s="54">
        <f>MAX(0,ROUND(設定!$B$7*AE145*設定!$B$15*IF(X145="Melee",0.6,1.35)*IFERROR(VLOOKUP($AM145,個性タイプマスタ!$A$5:$P$100,14,FALSE),1),0))</f>
        <v>144</v>
      </c>
      <c r="G145" s="54">
        <f>IF(X145="Melee",AN145,MAX(1,ROUND(AN145*設定!$B$16*IFERROR(VLOOKUP($AM145,個性タイプマスタ!$A$5:$P$100,15,FALSE),1),0)))</f>
        <v>47</v>
      </c>
      <c r="H145" s="54">
        <f>IF(X145="Ranged",AN145,MAX(1,ROUND(AN145*設定!$B$16*IFERROR(VLOOKUP($AM145,個性タイプマスタ!$A$5:$P$100,15,FALSE),1),0)))</f>
        <v>170</v>
      </c>
      <c r="I145" s="54">
        <f>MAX(0,ROUND(設定!$B$8*AE145*Z145,0))</f>
        <v>59</v>
      </c>
      <c r="J145" s="54">
        <f>MAX(0,ROUND(設定!$B$9*AE145*AA145,0))</f>
        <v>65</v>
      </c>
      <c r="K145" s="55">
        <f>IFERROR(VLOOKUP($AM145,個性タイプマスタ!$A$5:$P$100,9,FALSE),0.05)</f>
        <v>0.06</v>
      </c>
      <c r="L145" s="56">
        <f>IFERROR(VLOOKUP($AM145,個性タイプマスタ!$A$5:$P$100,10,FALSE),1.5)</f>
        <v>1.6</v>
      </c>
      <c r="M145" s="56">
        <f>IFERROR(VLOOKUP($AM145,個性タイプマスタ!$A$5:$P$100,11,FALSE),2)</f>
        <v>2.25</v>
      </c>
      <c r="N145" s="57">
        <f>MAX(0.1,ROUND(設定!$B$10*AB145,3))</f>
        <v>0.91</v>
      </c>
      <c r="O145" s="57">
        <f t="shared" si="8"/>
        <v>4.75</v>
      </c>
      <c r="P145" s="58">
        <f>MAX(-10,MIN(0.8,IFERROR(INDEX(属性耐性マスタ!$B$5:$G$11,MATCH($C145,属性耐性マスタ!$A$5:$A$11,0),1),0)+IFERROR(VLOOKUP($AM145,個性タイプマスタ!$A$5:$P$100,12,FALSE),0)))</f>
        <v>0.18000000000000002</v>
      </c>
      <c r="Q145" s="58">
        <f>MAX(-10,MIN(0.8,IFERROR(INDEX(属性耐性マスタ!$B$5:$G$11,MATCH($C145,属性耐性マスタ!$A$5:$A$11,0),2),0)+IFERROR(VLOOKUP($AM145,個性タイプマスタ!$A$5:$P$100,12,FALSE),0)))</f>
        <v>-0.12000000000000001</v>
      </c>
      <c r="R145" s="58">
        <f>MAX(-10,MIN(0.8,IFERROR(INDEX(属性耐性マスタ!$B$5:$G$11,MATCH($C145,属性耐性マスタ!$A$5:$A$11,0),3),0)+IFERROR(VLOOKUP($AM145,個性タイプマスタ!$A$5:$P$100,12,FALSE),0)))</f>
        <v>-0.02</v>
      </c>
      <c r="S145" s="58">
        <f>MAX(-10,MIN(0.8,IFERROR(INDEX(属性耐性マスタ!$B$5:$G$11,MATCH($C145,属性耐性マスタ!$A$5:$A$11,0),4),0)+IFERROR(VLOOKUP($AM145,個性タイプマスタ!$A$5:$P$100,12,FALSE),0)))</f>
        <v>-0.02</v>
      </c>
      <c r="T145" s="58">
        <f>MAX(-10,MIN(0.8,IFERROR(INDEX(属性耐性マスタ!$B$5:$G$11,MATCH($C145,属性耐性マスタ!$A$5:$A$11,0),5),0)+IFERROR(VLOOKUP($AM145,個性タイプマスタ!$A$5:$P$100,12,FALSE),0)))</f>
        <v>-0.02</v>
      </c>
      <c r="U145" s="58">
        <f>MAX(-10,MIN(0.8,IFERROR(INDEX(属性耐性マスタ!$B$5:$G$11,MATCH($C145,属性耐性マスタ!$A$5:$A$11,0),6),0)+IFERROR(VLOOKUP($AM145,個性タイプマスタ!$A$5:$P$100,12,FALSE),0)))</f>
        <v>-0.02</v>
      </c>
      <c r="V145" s="59">
        <f>ROUND(設定!$B$19*IFERROR(VLOOKUP($AM145,個性タイプマスタ!$A$5:$P$100,13,FALSE),1),2)</f>
        <v>6.6</v>
      </c>
      <c r="W145" s="59">
        <v>24</v>
      </c>
      <c r="X145" s="59" t="str">
        <f>IFERROR(VLOOKUP($AM145,個性タイプマスタ!$A$5:$P$100,2,FALSE),"Ranged")</f>
        <v>Ranged</v>
      </c>
      <c r="Y145" s="56">
        <f>IFERROR(VLOOKUP($AM145,個性タイプマスタ!$A$5:$P$100,3,FALSE),1)</f>
        <v>0.96</v>
      </c>
      <c r="Z145" s="56">
        <f>IFERROR(VLOOKUP($AM145,個性タイプマスタ!$A$5:$P$100,4,FALSE),1)</f>
        <v>0.82</v>
      </c>
      <c r="AA145" s="56">
        <f>IFERROR(VLOOKUP($AM145,個性タイプマスタ!$A$5:$P$100,5,FALSE),1)</f>
        <v>0.91</v>
      </c>
      <c r="AB145" s="56">
        <f>IFERROR(VLOOKUP($AM145,個性タイプマスタ!$A$5:$P$100,6,FALSE),1)</f>
        <v>0.91</v>
      </c>
      <c r="AC145" s="56">
        <f>IFERROR(VLOOKUP($AM145,個性タイプマスタ!$A$5:$P$100,7,FALSE),1)</f>
        <v>1.9</v>
      </c>
      <c r="AD145" s="56">
        <f>IFERROR(VLOOKUP($AM145,個性タイプマスタ!$A$5:$P$100,8,FALSE),1)</f>
        <v>0.75</v>
      </c>
      <c r="AE145" s="60">
        <f>IFERROR(D145/設定!$B$5,1)</f>
        <v>8.9542999999999999</v>
      </c>
      <c r="AF145" s="60">
        <f>1+設定!$B$13*((I145/設定!$B$8+J145/設定!$B$9)/(2*AE145))</f>
        <v>1.2596517874094011</v>
      </c>
      <c r="AG145" s="60">
        <f>MAX(0.7,1+設定!$B$14*(O145/IF(X145="Melee",1.5,2.5)-1))</f>
        <v>1.1080000000000001</v>
      </c>
      <c r="AH145" s="53">
        <f t="shared" si="9"/>
        <v>177.57827360000002</v>
      </c>
      <c r="AI145" s="53">
        <f>E145*AF145*(1+設定!$B$18*AVERAGE(P145:U145))</f>
        <v>1081.6755863663268</v>
      </c>
      <c r="AJ145" s="61">
        <f>設定!$B$5*SQRT((AH145/(設定!$B$7*設定!$B$10*(1+設定!$B$11*(設定!$B$12-1))))*(AI145/(設定!$B$6*(1+設定!$B$13))))</f>
        <v>894.89806124124664</v>
      </c>
      <c r="AK145" s="62">
        <f t="shared" si="10"/>
        <v>-5.9405956775326896E-4</v>
      </c>
      <c r="AL145" s="63">
        <f t="shared" si="11"/>
        <v>671.57249999999999</v>
      </c>
      <c r="AM145" s="64" t="s">
        <v>918</v>
      </c>
      <c r="AN145" s="54">
        <f>MAX(1,ROUND((設定!$B$7*設定!$B$10*(1+設定!$B$11*(設定!$B$12-1)))*AE145^2*(設定!$B$6*(1+設定!$B$13))/(AI145*N145*(1+K145*(L145-1))*AG145),0))</f>
        <v>170</v>
      </c>
      <c r="AO145" s="65" t="str">
        <f>IF($A145="","",IF(COUNTIF(個性タイプマスタ!$A$5:$A$100,$AM145)&gt;0,"OK","未登録"))</f>
        <v>OK</v>
      </c>
      <c r="AP145" s="67" t="str">
        <f>IF($A145="","",IF(COUNTIF(属性耐性マスタ!$A$5:$A$11,$C145)&gt;0,"OK","未登録"))</f>
        <v>OK</v>
      </c>
    </row>
    <row r="146" spans="1:42">
      <c r="A146" s="66" t="s">
        <v>392</v>
      </c>
      <c r="B146" s="51" t="s">
        <v>393</v>
      </c>
      <c r="C146" s="109" t="s">
        <v>874</v>
      </c>
      <c r="D146" s="53">
        <f>ROUND(設定!$B$5*POWER($D$2,W146-1),2)</f>
        <v>895.43</v>
      </c>
      <c r="E146" s="54">
        <f>MAX(1,ROUND(設定!$B$6*AE146*Y146,0))</f>
        <v>779</v>
      </c>
      <c r="F146" s="54">
        <f>MAX(0,ROUND(設定!$B$7*AE146*設定!$B$15*IF(X146="Melee",0.6,1.35)*IFERROR(VLOOKUP($AM146,個性タイプマスタ!$A$5:$P$100,14,FALSE),1),0))</f>
        <v>42</v>
      </c>
      <c r="G146" s="54">
        <f>IF(X146="Melee",AN146,MAX(1,ROUND(AN146*設定!$B$16*IFERROR(VLOOKUP($AM146,個性タイプマスタ!$A$5:$P$100,15,FALSE),1),0)))</f>
        <v>152</v>
      </c>
      <c r="H146" s="54">
        <f>IF(X146="Ranged",AN146,MAX(1,ROUND(AN146*設定!$B$16*IFERROR(VLOOKUP($AM146,個性タイプマスタ!$A$5:$P$100,15,FALSE),1),0)))</f>
        <v>44</v>
      </c>
      <c r="I146" s="54">
        <f>MAX(0,ROUND(設定!$B$8*AE146*Z146,0))</f>
        <v>62</v>
      </c>
      <c r="J146" s="54">
        <f>MAX(0,ROUND(設定!$B$9*AE146*AA146,0))</f>
        <v>55</v>
      </c>
      <c r="K146" s="55">
        <f>IFERROR(VLOOKUP($AM146,個性タイプマスタ!$A$5:$P$100,9,FALSE),0.05)</f>
        <v>0.27</v>
      </c>
      <c r="L146" s="56">
        <f>IFERROR(VLOOKUP($AM146,個性タイプマスタ!$A$5:$P$100,10,FALSE),1.5)</f>
        <v>2.0299999999999998</v>
      </c>
      <c r="M146" s="56">
        <f>IFERROR(VLOOKUP($AM146,個性タイプマスタ!$A$5:$P$100,11,FALSE),2)</f>
        <v>2.75</v>
      </c>
      <c r="N146" s="57">
        <f>MAX(0.1,ROUND(設定!$B$10*AB146,3))</f>
        <v>1.04</v>
      </c>
      <c r="O146" s="57">
        <f t="shared" si="8"/>
        <v>1.53</v>
      </c>
      <c r="P146" s="58">
        <f>MAX(-10,MIN(0.8,IFERROR(INDEX(属性耐性マスタ!$B$5:$G$11,MATCH($C146,属性耐性マスタ!$A$5:$A$11,0),1),0)+IFERROR(VLOOKUP($AM146,個性タイプマスタ!$A$5:$P$100,12,FALSE),0)))</f>
        <v>-0.06</v>
      </c>
      <c r="Q146" s="58">
        <f>MAX(-10,MIN(0.8,IFERROR(INDEX(属性耐性マスタ!$B$5:$G$11,MATCH($C146,属性耐性マスタ!$A$5:$A$11,0),2),0)+IFERROR(VLOOKUP($AM146,個性タイプマスタ!$A$5:$P$100,12,FALSE),0)))</f>
        <v>-0.06</v>
      </c>
      <c r="R146" s="58">
        <f>MAX(-10,MIN(0.8,IFERROR(INDEX(属性耐性マスタ!$B$5:$G$11,MATCH($C146,属性耐性マスタ!$A$5:$A$11,0),3),0)+IFERROR(VLOOKUP($AM146,個性タイプマスタ!$A$5:$P$100,12,FALSE),0)))</f>
        <v>-0.06</v>
      </c>
      <c r="S146" s="58">
        <f>MAX(-10,MIN(0.8,IFERROR(INDEX(属性耐性マスタ!$B$5:$G$11,MATCH($C146,属性耐性マスタ!$A$5:$A$11,0),4),0)+IFERROR(VLOOKUP($AM146,個性タイプマスタ!$A$5:$P$100,12,FALSE),0)))</f>
        <v>-0.06</v>
      </c>
      <c r="T146" s="58">
        <f>MAX(-10,MIN(0.8,IFERROR(INDEX(属性耐性マスタ!$B$5:$G$11,MATCH($C146,属性耐性マスタ!$A$5:$A$11,0),5),0)+IFERROR(VLOOKUP($AM146,個性タイプマスタ!$A$5:$P$100,12,FALSE),0)))</f>
        <v>-0.16</v>
      </c>
      <c r="U146" s="58">
        <f>MAX(-10,MIN(0.8,IFERROR(INDEX(属性耐性マスタ!$B$5:$G$11,MATCH($C146,属性耐性マスタ!$A$5:$A$11,0),6),0)+IFERROR(VLOOKUP($AM146,個性タイプマスタ!$A$5:$P$100,12,FALSE),0)))</f>
        <v>0.14000000000000001</v>
      </c>
      <c r="V146" s="59">
        <f>ROUND(設定!$B$19*IFERROR(VLOOKUP($AM146,個性タイプマスタ!$A$5:$P$100,13,FALSE),1),2)</f>
        <v>4.2</v>
      </c>
      <c r="W146" s="59">
        <v>24</v>
      </c>
      <c r="X146" s="59" t="str">
        <f>IFERROR(VLOOKUP($AM146,個性タイプマスタ!$A$5:$P$100,2,FALSE),"Ranged")</f>
        <v>Melee</v>
      </c>
      <c r="Y146" s="56">
        <f>IFERROR(VLOOKUP($AM146,個性タイプマスタ!$A$5:$P$100,3,FALSE),1)</f>
        <v>0.87</v>
      </c>
      <c r="Z146" s="56">
        <f>IFERROR(VLOOKUP($AM146,個性タイプマスタ!$A$5:$P$100,4,FALSE),1)</f>
        <v>0.86</v>
      </c>
      <c r="AA146" s="56">
        <f>IFERROR(VLOOKUP($AM146,個性タイプマスタ!$A$5:$P$100,5,FALSE),1)</f>
        <v>0.77</v>
      </c>
      <c r="AB146" s="56">
        <f>IFERROR(VLOOKUP($AM146,個性タイプマスタ!$A$5:$P$100,6,FALSE),1)</f>
        <v>1.04</v>
      </c>
      <c r="AC146" s="56">
        <f>IFERROR(VLOOKUP($AM146,個性タイプマスタ!$A$5:$P$100,7,FALSE),1)</f>
        <v>1.02</v>
      </c>
      <c r="AD146" s="56">
        <f>IFERROR(VLOOKUP($AM146,個性タイプマスタ!$A$5:$P$100,8,FALSE),1)</f>
        <v>0.7</v>
      </c>
      <c r="AE146" s="60">
        <f>IFERROR(D146/設定!$B$5,1)</f>
        <v>8.9542999999999999</v>
      </c>
      <c r="AF146" s="60">
        <f>1+設定!$B$13*((I146/設定!$B$8+J146/設定!$B$9)/(2*AE146))</f>
        <v>1.2449940252169349</v>
      </c>
      <c r="AG146" s="60">
        <f>MAX(0.7,1+設定!$B$14*(O146/IF(X146="Melee",1.5,2.5)-1))</f>
        <v>1.0024</v>
      </c>
      <c r="AH146" s="53">
        <f t="shared" si="9"/>
        <v>202.52694891520002</v>
      </c>
      <c r="AI146" s="53">
        <f>E146*AF146*(1+設定!$B$18*AVERAGE(P146:U146))</f>
        <v>950.93826390393451</v>
      </c>
      <c r="AJ146" s="61">
        <f>設定!$B$5*SQRT((AH146/(設定!$B$7*設定!$B$10*(1+設定!$B$11*(設定!$B$12-1))))*(AI146/(設定!$B$6*(1+設定!$B$13))))</f>
        <v>896.0819103502987</v>
      </c>
      <c r="AK146" s="62">
        <f t="shared" si="10"/>
        <v>7.2804166746553989E-4</v>
      </c>
      <c r="AL146" s="63">
        <f t="shared" si="11"/>
        <v>626.80099999999993</v>
      </c>
      <c r="AM146" s="64" t="s">
        <v>970</v>
      </c>
      <c r="AN146" s="54">
        <f>MAX(1,ROUND((設定!$B$7*設定!$B$10*(1+設定!$B$11*(設定!$B$12-1)))*AE146^2*(設定!$B$6*(1+設定!$B$13))/(AI146*N146*(1+K146*(L146-1))*AG146),0))</f>
        <v>152</v>
      </c>
      <c r="AO146" s="65" t="str">
        <f>IF($A146="","",IF(COUNTIF(個性タイプマスタ!$A$5:$A$100,$AM146)&gt;0,"OK","未登録"))</f>
        <v>OK</v>
      </c>
      <c r="AP146" s="67" t="str">
        <f>IF($A146="","",IF(COUNTIF(属性耐性マスタ!$A$5:$A$11,$C146)&gt;0,"OK","未登録"))</f>
        <v>OK</v>
      </c>
    </row>
    <row r="147" spans="1:42">
      <c r="A147" s="66" t="s">
        <v>394</v>
      </c>
      <c r="B147" s="51" t="s">
        <v>395</v>
      </c>
      <c r="C147" s="109" t="s">
        <v>874</v>
      </c>
      <c r="D147" s="53">
        <f>ROUND(設定!$B$5*POWER($D$2,W147-1),2)</f>
        <v>895.43</v>
      </c>
      <c r="E147" s="54">
        <f>MAX(1,ROUND(設定!$B$6*AE147*Y147,0))</f>
        <v>824</v>
      </c>
      <c r="F147" s="54">
        <f>MAX(0,ROUND(設定!$B$7*AE147*設定!$B$15*IF(X147="Melee",0.6,1.35)*IFERROR(VLOOKUP($AM147,個性タイプマスタ!$A$5:$P$100,14,FALSE),1),0))</f>
        <v>58</v>
      </c>
      <c r="G147" s="54">
        <f>IF(X147="Melee",AN147,MAX(1,ROUND(AN147*設定!$B$16*IFERROR(VLOOKUP($AM147,個性タイプマスタ!$A$5:$P$100,15,FALSE),1),0)))</f>
        <v>169</v>
      </c>
      <c r="H147" s="54">
        <f>IF(X147="Ranged",AN147,MAX(1,ROUND(AN147*設定!$B$16*IFERROR(VLOOKUP($AM147,個性タイプマスタ!$A$5:$P$100,15,FALSE),1),0)))</f>
        <v>76</v>
      </c>
      <c r="I147" s="54">
        <f>MAX(0,ROUND(設定!$B$8*AE147*Z147,0))</f>
        <v>68</v>
      </c>
      <c r="J147" s="54">
        <f>MAX(0,ROUND(設定!$B$9*AE147*AA147,0))</f>
        <v>75</v>
      </c>
      <c r="K147" s="55">
        <f>IFERROR(VLOOKUP($AM147,個性タイプマスタ!$A$5:$P$100,9,FALSE),0.05)</f>
        <v>0.05</v>
      </c>
      <c r="L147" s="56">
        <f>IFERROR(VLOOKUP($AM147,個性タイプマスタ!$A$5:$P$100,10,FALSE),1.5)</f>
        <v>1.5</v>
      </c>
      <c r="M147" s="56">
        <f>IFERROR(VLOOKUP($AM147,個性タイプマスタ!$A$5:$P$100,11,FALSE),2)</f>
        <v>2</v>
      </c>
      <c r="N147" s="57">
        <f>MAX(0.1,ROUND(設定!$B$10*AB147,3))</f>
        <v>1.05</v>
      </c>
      <c r="O147" s="57">
        <f t="shared" si="8"/>
        <v>1.2</v>
      </c>
      <c r="P147" s="58">
        <f>MAX(-10,MIN(0.8,IFERROR(INDEX(属性耐性マスタ!$B$5:$G$11,MATCH($C147,属性耐性マスタ!$A$5:$A$11,0),1),0)+IFERROR(VLOOKUP($AM147,個性タイプマスタ!$A$5:$P$100,12,FALSE),0)))</f>
        <v>0.01</v>
      </c>
      <c r="Q147" s="58">
        <f>MAX(-10,MIN(0.8,IFERROR(INDEX(属性耐性マスタ!$B$5:$G$11,MATCH($C147,属性耐性マスタ!$A$5:$A$11,0),2),0)+IFERROR(VLOOKUP($AM147,個性タイプマスタ!$A$5:$P$100,12,FALSE),0)))</f>
        <v>0.01</v>
      </c>
      <c r="R147" s="58">
        <f>MAX(-10,MIN(0.8,IFERROR(INDEX(属性耐性マスタ!$B$5:$G$11,MATCH($C147,属性耐性マスタ!$A$5:$A$11,0),3),0)+IFERROR(VLOOKUP($AM147,個性タイプマスタ!$A$5:$P$100,12,FALSE),0)))</f>
        <v>0.01</v>
      </c>
      <c r="S147" s="58">
        <f>MAX(-10,MIN(0.8,IFERROR(INDEX(属性耐性マスタ!$B$5:$G$11,MATCH($C147,属性耐性マスタ!$A$5:$A$11,0),4),0)+IFERROR(VLOOKUP($AM147,個性タイプマスタ!$A$5:$P$100,12,FALSE),0)))</f>
        <v>0.01</v>
      </c>
      <c r="T147" s="58">
        <f>MAX(-10,MIN(0.8,IFERROR(INDEX(属性耐性マスタ!$B$5:$G$11,MATCH($C147,属性耐性マスタ!$A$5:$A$11,0),5),0)+IFERROR(VLOOKUP($AM147,個性タイプマスタ!$A$5:$P$100,12,FALSE),0)))</f>
        <v>-9.0000000000000011E-2</v>
      </c>
      <c r="U147" s="58">
        <f>MAX(-10,MIN(0.8,IFERROR(INDEX(属性耐性マスタ!$B$5:$G$11,MATCH($C147,属性耐性マスタ!$A$5:$A$11,0),6),0)+IFERROR(VLOOKUP($AM147,個性タイプマスタ!$A$5:$P$100,12,FALSE),0)))</f>
        <v>0.21000000000000002</v>
      </c>
      <c r="V147" s="59">
        <f>ROUND(設定!$B$19*IFERROR(VLOOKUP($AM147,個性タイプマスタ!$A$5:$P$100,13,FALSE),1),2)</f>
        <v>4</v>
      </c>
      <c r="W147" s="59">
        <v>24</v>
      </c>
      <c r="X147" s="59" t="str">
        <f>IFERROR(VLOOKUP($AM147,個性タイプマスタ!$A$5:$P$100,2,FALSE),"Ranged")</f>
        <v>Melee</v>
      </c>
      <c r="Y147" s="56">
        <f>IFERROR(VLOOKUP($AM147,個性タイプマスタ!$A$5:$P$100,3,FALSE),1)</f>
        <v>0.92</v>
      </c>
      <c r="Z147" s="56">
        <f>IFERROR(VLOOKUP($AM147,個性タイプマスタ!$A$5:$P$100,4,FALSE),1)</f>
        <v>0.95</v>
      </c>
      <c r="AA147" s="56">
        <f>IFERROR(VLOOKUP($AM147,個性タイプマスタ!$A$5:$P$100,5,FALSE),1)</f>
        <v>1.05</v>
      </c>
      <c r="AB147" s="56">
        <f>IFERROR(VLOOKUP($AM147,個性タイプマスタ!$A$5:$P$100,6,FALSE),1)</f>
        <v>1.05</v>
      </c>
      <c r="AC147" s="56">
        <f>IFERROR(VLOOKUP($AM147,個性タイプマスタ!$A$5:$P$100,7,FALSE),1)</f>
        <v>0.8</v>
      </c>
      <c r="AD147" s="56">
        <f>IFERROR(VLOOKUP($AM147,個性タイプマスタ!$A$5:$P$100,8,FALSE),1)</f>
        <v>0.74</v>
      </c>
      <c r="AE147" s="60">
        <f>IFERROR(D147/設定!$B$5,1)</f>
        <v>8.9542999999999999</v>
      </c>
      <c r="AF147" s="60">
        <f>1+設定!$B$13*((I147/設定!$B$8+J147/設定!$B$9)/(2*AE147))</f>
        <v>1.2994371419318094</v>
      </c>
      <c r="AG147" s="60">
        <f>MAX(0.7,1+設定!$B$14*(O147/IF(X147="Melee",1.5,2.5)-1))</f>
        <v>0.97599999999999998</v>
      </c>
      <c r="AH147" s="53">
        <f t="shared" si="9"/>
        <v>177.52097999999998</v>
      </c>
      <c r="AI147" s="53">
        <f>E147*AF147*(1+設定!$B$18*AVERAGE(P147:U147))</f>
        <v>1083.5850394112329</v>
      </c>
      <c r="AJ147" s="61">
        <f>設定!$B$5*SQRT((AH147/(設定!$B$7*設定!$B$10*(1+設定!$B$11*(設定!$B$12-1))))*(AI147/(設定!$B$6*(1+設定!$B$13))))</f>
        <v>895.54307946048425</v>
      </c>
      <c r="AK147" s="62">
        <f t="shared" si="10"/>
        <v>1.2628509261958243E-4</v>
      </c>
      <c r="AL147" s="63">
        <f t="shared" si="11"/>
        <v>662.6182</v>
      </c>
      <c r="AM147" s="64" t="s">
        <v>892</v>
      </c>
      <c r="AN147" s="54">
        <f>MAX(1,ROUND((設定!$B$7*設定!$B$10*(1+設定!$B$11*(設定!$B$12-1)))*AE147^2*(設定!$B$6*(1+設定!$B$13))/(AI147*N147*(1+K147*(L147-1))*AG147),0))</f>
        <v>169</v>
      </c>
      <c r="AO147" s="65" t="str">
        <f>IF($A147="","",IF(COUNTIF(個性タイプマスタ!$A$5:$A$100,$AM147)&gt;0,"OK","未登録"))</f>
        <v>OK</v>
      </c>
      <c r="AP147" s="67" t="str">
        <f>IF($A147="","",IF(COUNTIF(属性耐性マスタ!$A$5:$A$11,$C147)&gt;0,"OK","未登録"))</f>
        <v>OK</v>
      </c>
    </row>
    <row r="148" spans="1:42">
      <c r="A148" s="66" t="s">
        <v>396</v>
      </c>
      <c r="B148" s="51" t="s">
        <v>397</v>
      </c>
      <c r="C148" s="109" t="s">
        <v>874</v>
      </c>
      <c r="D148" s="53">
        <f>ROUND(設定!$B$5*POWER($D$2,W148-1),2)</f>
        <v>895.43</v>
      </c>
      <c r="E148" s="54">
        <f>MAX(1,ROUND(設定!$B$6*AE148*Y148,0))</f>
        <v>600</v>
      </c>
      <c r="F148" s="54">
        <f>MAX(0,ROUND(設定!$B$7*AE148*設定!$B$15*IF(X148="Melee",0.6,1.35)*IFERROR(VLOOKUP($AM148,個性タイプマスタ!$A$5:$P$100,14,FALSE),1),0))</f>
        <v>144</v>
      </c>
      <c r="G148" s="54">
        <f>IF(X148="Melee",AN148,MAX(1,ROUND(AN148*設定!$B$16*IFERROR(VLOOKUP($AM148,個性タイプマスタ!$A$5:$P$100,15,FALSE),1),0)))</f>
        <v>66</v>
      </c>
      <c r="H148" s="54">
        <f>IF(X148="Ranged",AN148,MAX(1,ROUND(AN148*設定!$B$16*IFERROR(VLOOKUP($AM148,個性タイプマスタ!$A$5:$P$100,15,FALSE),1),0)))</f>
        <v>284</v>
      </c>
      <c r="I148" s="54">
        <f>MAX(0,ROUND(設定!$B$8*AE148*Z148,0))</f>
        <v>47</v>
      </c>
      <c r="J148" s="54">
        <f>MAX(0,ROUND(設定!$B$9*AE148*AA148,0))</f>
        <v>57</v>
      </c>
      <c r="K148" s="55">
        <f>IFERROR(VLOOKUP($AM148,個性タイプマスタ!$A$5:$P$100,9,FALSE),0.05)</f>
        <v>0.18</v>
      </c>
      <c r="L148" s="56">
        <f>IFERROR(VLOOKUP($AM148,個性タイプマスタ!$A$5:$P$100,10,FALSE),1.5)</f>
        <v>1.85</v>
      </c>
      <c r="M148" s="56">
        <f>IFERROR(VLOOKUP($AM148,個性タイプマスタ!$A$5:$P$100,11,FALSE),2)</f>
        <v>2.0499999999999998</v>
      </c>
      <c r="N148" s="57">
        <f>MAX(0.1,ROUND(設定!$B$10*AB148,3))</f>
        <v>0.75</v>
      </c>
      <c r="O148" s="57">
        <f t="shared" si="8"/>
        <v>4.45</v>
      </c>
      <c r="P148" s="58">
        <f>MAX(-10,MIN(0.8,IFERROR(INDEX(属性耐性マスタ!$B$5:$G$11,MATCH($C148,属性耐性マスタ!$A$5:$A$11,0),1),0)+IFERROR(VLOOKUP($AM148,個性タイプマスタ!$A$5:$P$100,12,FALSE),0)))</f>
        <v>-0.06</v>
      </c>
      <c r="Q148" s="58">
        <f>MAX(-10,MIN(0.8,IFERROR(INDEX(属性耐性マスタ!$B$5:$G$11,MATCH($C148,属性耐性マスタ!$A$5:$A$11,0),2),0)+IFERROR(VLOOKUP($AM148,個性タイプマスタ!$A$5:$P$100,12,FALSE),0)))</f>
        <v>-0.06</v>
      </c>
      <c r="R148" s="58">
        <f>MAX(-10,MIN(0.8,IFERROR(INDEX(属性耐性マスタ!$B$5:$G$11,MATCH($C148,属性耐性マスタ!$A$5:$A$11,0),3),0)+IFERROR(VLOOKUP($AM148,個性タイプマスタ!$A$5:$P$100,12,FALSE),0)))</f>
        <v>-0.06</v>
      </c>
      <c r="S148" s="58">
        <f>MAX(-10,MIN(0.8,IFERROR(INDEX(属性耐性マスタ!$B$5:$G$11,MATCH($C148,属性耐性マスタ!$A$5:$A$11,0),4),0)+IFERROR(VLOOKUP($AM148,個性タイプマスタ!$A$5:$P$100,12,FALSE),0)))</f>
        <v>-0.06</v>
      </c>
      <c r="T148" s="58">
        <f>MAX(-10,MIN(0.8,IFERROR(INDEX(属性耐性マスタ!$B$5:$G$11,MATCH($C148,属性耐性マスタ!$A$5:$A$11,0),5),0)+IFERROR(VLOOKUP($AM148,個性タイプマスタ!$A$5:$P$100,12,FALSE),0)))</f>
        <v>-0.16</v>
      </c>
      <c r="U148" s="58">
        <f>MAX(-10,MIN(0.8,IFERROR(INDEX(属性耐性マスタ!$B$5:$G$11,MATCH($C148,属性耐性マスタ!$A$5:$A$11,0),6),0)+IFERROR(VLOOKUP($AM148,個性タイプマスタ!$A$5:$P$100,12,FALSE),0)))</f>
        <v>0.14000000000000001</v>
      </c>
      <c r="V148" s="59">
        <f>ROUND(設定!$B$19*IFERROR(VLOOKUP($AM148,個性タイプマスタ!$A$5:$P$100,13,FALSE),1),2)</f>
        <v>5.6</v>
      </c>
      <c r="W148" s="59">
        <v>24</v>
      </c>
      <c r="X148" s="59" t="str">
        <f>IFERROR(VLOOKUP($AM148,個性タイプマスタ!$A$5:$P$100,2,FALSE),"Ranged")</f>
        <v>Ranged</v>
      </c>
      <c r="Y148" s="56">
        <f>IFERROR(VLOOKUP($AM148,個性タイプマスタ!$A$5:$P$100,3,FALSE),1)</f>
        <v>0.67</v>
      </c>
      <c r="Z148" s="56">
        <f>IFERROR(VLOOKUP($AM148,個性タイプマスタ!$A$5:$P$100,4,FALSE),1)</f>
        <v>0.65</v>
      </c>
      <c r="AA148" s="56">
        <f>IFERROR(VLOOKUP($AM148,個性タイプマスタ!$A$5:$P$100,5,FALSE),1)</f>
        <v>0.8</v>
      </c>
      <c r="AB148" s="56">
        <f>IFERROR(VLOOKUP($AM148,個性タイプマスタ!$A$5:$P$100,6,FALSE),1)</f>
        <v>0.75</v>
      </c>
      <c r="AC148" s="56">
        <f>IFERROR(VLOOKUP($AM148,個性タイプマスタ!$A$5:$P$100,7,FALSE),1)</f>
        <v>1.78</v>
      </c>
      <c r="AD148" s="56">
        <f>IFERROR(VLOOKUP($AM148,個性タイプマスタ!$A$5:$P$100,8,FALSE),1)</f>
        <v>0.62</v>
      </c>
      <c r="AE148" s="60">
        <f>IFERROR(D148/設定!$B$5,1)</f>
        <v>8.9542999999999999</v>
      </c>
      <c r="AF148" s="60">
        <f>1+設定!$B$13*((I148/設定!$B$8+J148/設定!$B$9)/(2*AE148))</f>
        <v>1.2177724668594976</v>
      </c>
      <c r="AG148" s="60">
        <f>MAX(0.7,1+設定!$B$14*(O148/IF(X148="Melee",1.5,2.5)-1))</f>
        <v>1.0935999999999999</v>
      </c>
      <c r="AH148" s="53">
        <f t="shared" si="9"/>
        <v>268.57613039999995</v>
      </c>
      <c r="AI148" s="53">
        <f>E148*AF148*(1+設定!$B$18*AVERAGE(P148:U148))</f>
        <v>716.41554225344248</v>
      </c>
      <c r="AJ148" s="61">
        <f>設定!$B$5*SQRT((AH148/(設定!$B$7*設定!$B$10*(1+設定!$B$11*(設定!$B$12-1))))*(AI148/(設定!$B$6*(1+設定!$B$13))))</f>
        <v>895.66652759305668</v>
      </c>
      <c r="AK148" s="62">
        <f t="shared" si="10"/>
        <v>2.6414973036059664E-4</v>
      </c>
      <c r="AL148" s="63">
        <f t="shared" si="11"/>
        <v>555.16660000000002</v>
      </c>
      <c r="AM148" s="64" t="s">
        <v>910</v>
      </c>
      <c r="AN148" s="54">
        <f>MAX(1,ROUND((設定!$B$7*設定!$B$10*(1+設定!$B$11*(設定!$B$12-1)))*AE148^2*(設定!$B$6*(1+設定!$B$13))/(AI148*N148*(1+K148*(L148-1))*AG148),0))</f>
        <v>284</v>
      </c>
      <c r="AO148" s="65" t="str">
        <f>IF($A148="","",IF(COUNTIF(個性タイプマスタ!$A$5:$A$100,$AM148)&gt;0,"OK","未登録"))</f>
        <v>OK</v>
      </c>
      <c r="AP148" s="67" t="str">
        <f>IF($A148="","",IF(COUNTIF(属性耐性マスタ!$A$5:$A$11,$C148)&gt;0,"OK","未登録"))</f>
        <v>OK</v>
      </c>
    </row>
    <row r="149" spans="1:42">
      <c r="A149" s="66" t="s">
        <v>398</v>
      </c>
      <c r="B149" s="51" t="s">
        <v>399</v>
      </c>
      <c r="C149" s="109" t="s">
        <v>114</v>
      </c>
      <c r="D149" s="53">
        <f>ROUND(設定!$B$5*POWER($D$2,W149-1),2)</f>
        <v>984.97</v>
      </c>
      <c r="E149" s="54">
        <f>MAX(1,ROUND(設定!$B$6*AE149*Y149,0))</f>
        <v>768</v>
      </c>
      <c r="F149" s="54">
        <f>MAX(0,ROUND(設定!$B$7*AE149*設定!$B$15*IF(X149="Melee",0.6,1.35)*IFERROR(VLOOKUP($AM149,個性タイプマスタ!$A$5:$P$100,14,FALSE),1),0))</f>
        <v>165</v>
      </c>
      <c r="G149" s="54">
        <f>IF(X149="Melee",AN149,MAX(1,ROUND(AN149*設定!$B$16*IFERROR(VLOOKUP($AM149,個性タイプマスタ!$A$5:$P$100,15,FALSE),1),0)))</f>
        <v>94</v>
      </c>
      <c r="H149" s="54">
        <f>IF(X149="Ranged",AN149,MAX(1,ROUND(AN149*設定!$B$16*IFERROR(VLOOKUP($AM149,個性タイプマスタ!$A$5:$P$100,15,FALSE),1),0)))</f>
        <v>208</v>
      </c>
      <c r="I149" s="54">
        <f>MAX(0,ROUND(設定!$B$8*AE149*Z149,0))</f>
        <v>59</v>
      </c>
      <c r="J149" s="54">
        <f>MAX(0,ROUND(設定!$B$9*AE149*AA149,0))</f>
        <v>63</v>
      </c>
      <c r="K149" s="55">
        <f>IFERROR(VLOOKUP($AM149,個性タイプマスタ!$A$5:$P$100,9,FALSE),0.05)</f>
        <v>0.11</v>
      </c>
      <c r="L149" s="56">
        <f>IFERROR(VLOOKUP($AM149,個性タイプマスタ!$A$5:$P$100,10,FALSE),1.5)</f>
        <v>1.65</v>
      </c>
      <c r="M149" s="56">
        <f>IFERROR(VLOOKUP($AM149,個性タイプマスタ!$A$5:$P$100,11,FALSE),2)</f>
        <v>2.2000000000000002</v>
      </c>
      <c r="N149" s="57">
        <f>MAX(0.1,ROUND(設定!$B$10*AB149,3))</f>
        <v>1.1000000000000001</v>
      </c>
      <c r="O149" s="57">
        <f t="shared" si="8"/>
        <v>2.75</v>
      </c>
      <c r="P149" s="58">
        <f>MAX(-10,MIN(0.8,IFERROR(INDEX(属性耐性マスタ!$B$5:$G$11,MATCH($C149,属性耐性マスタ!$A$5:$A$11,0),1),0)+IFERROR(VLOOKUP($AM149,個性タイプマスタ!$A$5:$P$100,12,FALSE),0)))</f>
        <v>-0.04</v>
      </c>
      <c r="Q149" s="58">
        <f>MAX(-10,MIN(0.8,IFERROR(INDEX(属性耐性マスタ!$B$5:$G$11,MATCH($C149,属性耐性マスタ!$A$5:$A$11,0),2),0)+IFERROR(VLOOKUP($AM149,個性タイプマスタ!$A$5:$P$100,12,FALSE),0)))</f>
        <v>-0.04</v>
      </c>
      <c r="R149" s="58">
        <f>MAX(-10,MIN(0.8,IFERROR(INDEX(属性耐性マスタ!$B$5:$G$11,MATCH($C149,属性耐性マスタ!$A$5:$A$11,0),3),0)+IFERROR(VLOOKUP($AM149,個性タイプマスタ!$A$5:$P$100,12,FALSE),0)))</f>
        <v>0.16</v>
      </c>
      <c r="S149" s="58">
        <f>MAX(-10,MIN(0.8,IFERROR(INDEX(属性耐性マスタ!$B$5:$G$11,MATCH($C149,属性耐性マスタ!$A$5:$A$11,0),4),0)+IFERROR(VLOOKUP($AM149,個性タイプマスタ!$A$5:$P$100,12,FALSE),0)))</f>
        <v>-0.14000000000000001</v>
      </c>
      <c r="T149" s="58">
        <f>MAX(-10,MIN(0.8,IFERROR(INDEX(属性耐性マスタ!$B$5:$G$11,MATCH($C149,属性耐性マスタ!$A$5:$A$11,0),5),0)+IFERROR(VLOOKUP($AM149,個性タイプマスタ!$A$5:$P$100,12,FALSE),0)))</f>
        <v>-0.04</v>
      </c>
      <c r="U149" s="58">
        <f>MAX(-10,MIN(0.8,IFERROR(INDEX(属性耐性マスタ!$B$5:$G$11,MATCH($C149,属性耐性マスタ!$A$5:$A$11,0),6),0)+IFERROR(VLOOKUP($AM149,個性タイプマスタ!$A$5:$P$100,12,FALSE),0)))</f>
        <v>-0.04</v>
      </c>
      <c r="V149" s="59">
        <f>ROUND(設定!$B$19*IFERROR(VLOOKUP($AM149,個性タイプマスタ!$A$5:$P$100,13,FALSE),1),2)</f>
        <v>4.2</v>
      </c>
      <c r="W149" s="59">
        <v>25</v>
      </c>
      <c r="X149" s="59" t="str">
        <f>IFERROR(VLOOKUP($AM149,個性タイプマスタ!$A$5:$P$100,2,FALSE),"Ranged")</f>
        <v>Ranged</v>
      </c>
      <c r="Y149" s="56">
        <f>IFERROR(VLOOKUP($AM149,個性タイプマスタ!$A$5:$P$100,3,FALSE),1)</f>
        <v>0.78</v>
      </c>
      <c r="Z149" s="56">
        <f>IFERROR(VLOOKUP($AM149,個性タイプマスタ!$A$5:$P$100,4,FALSE),1)</f>
        <v>0.75</v>
      </c>
      <c r="AA149" s="56">
        <f>IFERROR(VLOOKUP($AM149,個性タイプマスタ!$A$5:$P$100,5,FALSE),1)</f>
        <v>0.8</v>
      </c>
      <c r="AB149" s="56">
        <f>IFERROR(VLOOKUP($AM149,個性タイプマスタ!$A$5:$P$100,6,FALSE),1)</f>
        <v>1.1000000000000001</v>
      </c>
      <c r="AC149" s="56">
        <f>IFERROR(VLOOKUP($AM149,個性タイプマスタ!$A$5:$P$100,7,FALSE),1)</f>
        <v>1.1000000000000001</v>
      </c>
      <c r="AD149" s="56">
        <f>IFERROR(VLOOKUP($AM149,個性タイプマスタ!$A$5:$P$100,8,FALSE),1)</f>
        <v>0.72</v>
      </c>
      <c r="AE149" s="60">
        <f>IFERROR(D149/設定!$B$5,1)</f>
        <v>9.8497000000000003</v>
      </c>
      <c r="AF149" s="60">
        <f>1+設定!$B$13*((I149/設定!$B$8+J149/設定!$B$9)/(2*AE149))</f>
        <v>1.2322405758551023</v>
      </c>
      <c r="AG149" s="60">
        <f>MAX(0.7,1+設定!$B$14*(O149/IF(X149="Melee",1.5,2.5)-1))</f>
        <v>1.012</v>
      </c>
      <c r="AH149" s="53">
        <f t="shared" si="9"/>
        <v>248.10111040000001</v>
      </c>
      <c r="AI149" s="53">
        <f>E149*AF149*(1+設定!$B$18*AVERAGE(P149:U149))</f>
        <v>936.42397425302306</v>
      </c>
      <c r="AJ149" s="61">
        <f>設定!$B$5*SQRT((AH149/(設定!$B$7*設定!$B$10*(1+設定!$B$11*(設定!$B$12-1))))*(AI149/(設定!$B$6*(1+設定!$B$13))))</f>
        <v>984.19409400017003</v>
      </c>
      <c r="AK149" s="62">
        <f t="shared" si="10"/>
        <v>-7.8774581949703215E-4</v>
      </c>
      <c r="AL149" s="63">
        <f t="shared" si="11"/>
        <v>709.17840000000001</v>
      </c>
      <c r="AM149" s="64" t="s">
        <v>896</v>
      </c>
      <c r="AN149" s="54">
        <f>MAX(1,ROUND((設定!$B$7*設定!$B$10*(1+設定!$B$11*(設定!$B$12-1)))*AE149^2*(設定!$B$6*(1+設定!$B$13))/(AI149*N149*(1+K149*(L149-1))*AG149),0))</f>
        <v>208</v>
      </c>
      <c r="AO149" s="65" t="str">
        <f>IF($A149="","",IF(COUNTIF(個性タイプマスタ!$A$5:$A$100,$AM149)&gt;0,"OK","未登録"))</f>
        <v>OK</v>
      </c>
      <c r="AP149" s="67" t="str">
        <f>IF($A149="","",IF(COUNTIF(属性耐性マスタ!$A$5:$A$11,$C149)&gt;0,"OK","未登録"))</f>
        <v>OK</v>
      </c>
    </row>
    <row r="150" spans="1:42">
      <c r="A150" s="66" t="s">
        <v>400</v>
      </c>
      <c r="B150" s="51" t="s">
        <v>401</v>
      </c>
      <c r="C150" s="109" t="s">
        <v>108</v>
      </c>
      <c r="D150" s="53">
        <f>ROUND(設定!$B$5*POWER($D$2,W150-1),2)</f>
        <v>984.97</v>
      </c>
      <c r="E150" s="54">
        <f>MAX(1,ROUND(設定!$B$6*AE150*Y150,0))</f>
        <v>1694</v>
      </c>
      <c r="F150" s="54">
        <f>MAX(0,ROUND(設定!$B$7*AE150*設定!$B$15*IF(X150="Melee",0.6,1.35)*IFERROR(VLOOKUP($AM150,個性タイプマスタ!$A$5:$P$100,14,FALSE),1),0))</f>
        <v>194</v>
      </c>
      <c r="G150" s="54">
        <f>IF(X150="Melee",AN150,MAX(1,ROUND(AN150*設定!$B$16*IFERROR(VLOOKUP($AM150,個性タイプマスタ!$A$5:$P$100,15,FALSE),1),0)))</f>
        <v>41</v>
      </c>
      <c r="H150" s="54">
        <f>IF(X150="Ranged",AN150,MAX(1,ROUND(AN150*設定!$B$16*IFERROR(VLOOKUP($AM150,個性タイプマスタ!$A$5:$P$100,15,FALSE),1),0)))</f>
        <v>140</v>
      </c>
      <c r="I150" s="54">
        <f>MAX(0,ROUND(設定!$B$8*AE150*Z150,0))</f>
        <v>129</v>
      </c>
      <c r="J150" s="54">
        <f>MAX(0,ROUND(設定!$B$9*AE150*AA150,0))</f>
        <v>122</v>
      </c>
      <c r="K150" s="55">
        <f>IFERROR(VLOOKUP($AM150,個性タイプマスタ!$A$5:$P$100,9,FALSE),0.05)</f>
        <v>3.5000000000000003E-2</v>
      </c>
      <c r="L150" s="56">
        <f>IFERROR(VLOOKUP($AM150,個性タイプマスタ!$A$5:$P$100,10,FALSE),1.5)</f>
        <v>1.4</v>
      </c>
      <c r="M150" s="56">
        <f>IFERROR(VLOOKUP($AM150,個性タイプマスタ!$A$5:$P$100,11,FALSE),2)</f>
        <v>1.5</v>
      </c>
      <c r="N150" s="57">
        <f>MAX(0.1,ROUND(設定!$B$10*AB150,3))</f>
        <v>0.6</v>
      </c>
      <c r="O150" s="57">
        <f t="shared" si="8"/>
        <v>3.1</v>
      </c>
      <c r="P150" s="58">
        <f>MAX(-10,MIN(0.8,IFERROR(INDEX(属性耐性マスタ!$B$5:$G$11,MATCH($C150,属性耐性マスタ!$A$5:$A$11,0),1),0)+IFERROR(VLOOKUP($AM150,個性タイプマスタ!$A$5:$P$100,12,FALSE),0)))</f>
        <v>1.999999999999999E-2</v>
      </c>
      <c r="Q150" s="58">
        <f>MAX(-10,MIN(0.8,IFERROR(INDEX(属性耐性マスタ!$B$5:$G$11,MATCH($C150,属性耐性マスタ!$A$5:$A$11,0),2),0)+IFERROR(VLOOKUP($AM150,個性タイプマスタ!$A$5:$P$100,12,FALSE),0)))</f>
        <v>0.32</v>
      </c>
      <c r="R150" s="58">
        <f>MAX(-10,MIN(0.8,IFERROR(INDEX(属性耐性マスタ!$B$5:$G$11,MATCH($C150,属性耐性マスタ!$A$5:$A$11,0),3),0)+IFERROR(VLOOKUP($AM150,個性タイプマスタ!$A$5:$P$100,12,FALSE),0)))</f>
        <v>0.12</v>
      </c>
      <c r="S150" s="58">
        <f>MAX(-10,MIN(0.8,IFERROR(INDEX(属性耐性マスタ!$B$5:$G$11,MATCH($C150,属性耐性マスタ!$A$5:$A$11,0),4),0)+IFERROR(VLOOKUP($AM150,個性タイプマスタ!$A$5:$P$100,12,FALSE),0)))</f>
        <v>0.12</v>
      </c>
      <c r="T150" s="58">
        <f>MAX(-10,MIN(0.8,IFERROR(INDEX(属性耐性マスタ!$B$5:$G$11,MATCH($C150,属性耐性マスタ!$A$5:$A$11,0),5),0)+IFERROR(VLOOKUP($AM150,個性タイプマスタ!$A$5:$P$100,12,FALSE),0)))</f>
        <v>0.12</v>
      </c>
      <c r="U150" s="58">
        <f>MAX(-10,MIN(0.8,IFERROR(INDEX(属性耐性マスタ!$B$5:$G$11,MATCH($C150,属性耐性マスタ!$A$5:$A$11,0),6),0)+IFERROR(VLOOKUP($AM150,個性タイプマスタ!$A$5:$P$100,12,FALSE),0)))</f>
        <v>0.12</v>
      </c>
      <c r="V150" s="59">
        <f>ROUND(設定!$B$19*IFERROR(VLOOKUP($AM150,個性タイプマスタ!$A$5:$P$100,13,FALSE),1),2)</f>
        <v>4.12</v>
      </c>
      <c r="W150" s="59">
        <v>25</v>
      </c>
      <c r="X150" s="59" t="str">
        <f>IFERROR(VLOOKUP($AM150,個性タイプマスタ!$A$5:$P$100,2,FALSE),"Ranged")</f>
        <v>Ranged</v>
      </c>
      <c r="Y150" s="56">
        <f>IFERROR(VLOOKUP($AM150,個性タイプマスタ!$A$5:$P$100,3,FALSE),1)</f>
        <v>1.72</v>
      </c>
      <c r="Z150" s="56">
        <f>IFERROR(VLOOKUP($AM150,個性タイプマスタ!$A$5:$P$100,4,FALSE),1)</f>
        <v>1.64</v>
      </c>
      <c r="AA150" s="56">
        <f>IFERROR(VLOOKUP($AM150,個性タイプマスタ!$A$5:$P$100,5,FALSE),1)</f>
        <v>1.55</v>
      </c>
      <c r="AB150" s="56">
        <f>IFERROR(VLOOKUP($AM150,個性タイプマスタ!$A$5:$P$100,6,FALSE),1)</f>
        <v>0.6</v>
      </c>
      <c r="AC150" s="56">
        <f>IFERROR(VLOOKUP($AM150,個性タイプマスタ!$A$5:$P$100,7,FALSE),1)</f>
        <v>1.24</v>
      </c>
      <c r="AD150" s="56">
        <f>IFERROR(VLOOKUP($AM150,個性タイプマスタ!$A$5:$P$100,8,FALSE),1)</f>
        <v>0.91</v>
      </c>
      <c r="AE150" s="60">
        <f>IFERROR(D150/設定!$B$5,1)</f>
        <v>9.8497000000000003</v>
      </c>
      <c r="AF150" s="60">
        <f>1+設定!$B$13*((I150/設定!$B$8+J150/設定!$B$9)/(2*AE150))</f>
        <v>1.4778064306527101</v>
      </c>
      <c r="AG150" s="60">
        <f>MAX(0.7,1+設定!$B$14*(O150/IF(X150="Melee",1.5,2.5)-1))</f>
        <v>1.0287999999999999</v>
      </c>
      <c r="AH150" s="53">
        <f t="shared" si="9"/>
        <v>87.629068799999999</v>
      </c>
      <c r="AI150" s="53">
        <f>E150*AF150*(1+設定!$B$18*AVERAGE(P150:U150))</f>
        <v>2657.3634452775209</v>
      </c>
      <c r="AJ150" s="61">
        <f>設定!$B$5*SQRT((AH150/(設定!$B$7*設定!$B$10*(1+設定!$B$11*(設定!$B$12-1))))*(AI150/(設定!$B$6*(1+設定!$B$13))))</f>
        <v>985.32548370059203</v>
      </c>
      <c r="AK150" s="62">
        <f t="shared" si="10"/>
        <v>3.6090815008771315E-4</v>
      </c>
      <c r="AL150" s="63">
        <f t="shared" si="11"/>
        <v>896.32270000000005</v>
      </c>
      <c r="AM150" s="64" t="s">
        <v>916</v>
      </c>
      <c r="AN150" s="54">
        <f>MAX(1,ROUND((設定!$B$7*設定!$B$10*(1+設定!$B$11*(設定!$B$12-1)))*AE150^2*(設定!$B$6*(1+設定!$B$13))/(AI150*N150*(1+K150*(L150-1))*AG150),0))</f>
        <v>140</v>
      </c>
      <c r="AO150" s="65" t="str">
        <f>IF($A150="","",IF(COUNTIF(個性タイプマスタ!$A$5:$A$100,$AM150)&gt;0,"OK","未登録"))</f>
        <v>OK</v>
      </c>
      <c r="AP150" s="67" t="str">
        <f>IF($A150="","",IF(COUNTIF(属性耐性マスタ!$A$5:$A$11,$C150)&gt;0,"OK","未登録"))</f>
        <v>OK</v>
      </c>
    </row>
    <row r="151" spans="1:42">
      <c r="A151" s="66" t="s">
        <v>402</v>
      </c>
      <c r="B151" s="51" t="s">
        <v>403</v>
      </c>
      <c r="C151" s="109" t="s">
        <v>874</v>
      </c>
      <c r="D151" s="53">
        <f>ROUND(設定!$B$5*POWER($D$2,W151-1),2)</f>
        <v>984.97</v>
      </c>
      <c r="E151" s="54">
        <f>MAX(1,ROUND(設定!$B$6*AE151*Y151,0))</f>
        <v>985</v>
      </c>
      <c r="F151" s="54">
        <f>MAX(0,ROUND(設定!$B$7*AE151*設定!$B$15*IF(X151="Melee",0.6,1.35)*IFERROR(VLOOKUP($AM151,個性タイプマスタ!$A$5:$P$100,14,FALSE),1),0))</f>
        <v>172</v>
      </c>
      <c r="G151" s="54">
        <f>IF(X151="Melee",AN151,MAX(1,ROUND(AN151*設定!$B$16*IFERROR(VLOOKUP($AM151,個性タイプマスタ!$A$5:$P$100,15,FALSE),1),0)))</f>
        <v>55</v>
      </c>
      <c r="H151" s="54">
        <f>IF(X151="Ranged",AN151,MAX(1,ROUND(AN151*設定!$B$16*IFERROR(VLOOKUP($AM151,個性タイプマスタ!$A$5:$P$100,15,FALSE),1),0)))</f>
        <v>176</v>
      </c>
      <c r="I151" s="54">
        <f>MAX(0,ROUND(設定!$B$8*AE151*Z151,0))</f>
        <v>76</v>
      </c>
      <c r="J151" s="54">
        <f>MAX(0,ROUND(設定!$B$9*AE151*AA151,0))</f>
        <v>80</v>
      </c>
      <c r="K151" s="55">
        <f>IFERROR(VLOOKUP($AM151,個性タイプマスタ!$A$5:$P$100,9,FALSE),0.05)</f>
        <v>4.4999999999999998E-2</v>
      </c>
      <c r="L151" s="56">
        <f>IFERROR(VLOOKUP($AM151,個性タイプマスタ!$A$5:$P$100,10,FALSE),1.5)</f>
        <v>1.4</v>
      </c>
      <c r="M151" s="56">
        <f>IFERROR(VLOOKUP($AM151,個性タイプマスタ!$A$5:$P$100,11,FALSE),2)</f>
        <v>2.0499999999999998</v>
      </c>
      <c r="N151" s="57">
        <f>MAX(0.1,ROUND(設定!$B$10*AB151,3))</f>
        <v>0.92</v>
      </c>
      <c r="O151" s="57">
        <f t="shared" si="8"/>
        <v>2.6749999999999998</v>
      </c>
      <c r="P151" s="58">
        <f>MAX(-10,MIN(0.8,IFERROR(INDEX(属性耐性マスタ!$B$5:$G$11,MATCH($C151,属性耐性マスタ!$A$5:$A$11,0),1),0)+IFERROR(VLOOKUP($AM151,個性タイプマスタ!$A$5:$P$100,12,FALSE),0)))</f>
        <v>0.19</v>
      </c>
      <c r="Q151" s="58">
        <f>MAX(-10,MIN(0.8,IFERROR(INDEX(属性耐性マスタ!$B$5:$G$11,MATCH($C151,属性耐性マスタ!$A$5:$A$11,0),2),0)+IFERROR(VLOOKUP($AM151,個性タイプマスタ!$A$5:$P$100,12,FALSE),0)))</f>
        <v>0.19</v>
      </c>
      <c r="R151" s="58">
        <f>MAX(-10,MIN(0.8,IFERROR(INDEX(属性耐性マスタ!$B$5:$G$11,MATCH($C151,属性耐性マスタ!$A$5:$A$11,0),3),0)+IFERROR(VLOOKUP($AM151,個性タイプマスタ!$A$5:$P$100,12,FALSE),0)))</f>
        <v>0.19</v>
      </c>
      <c r="S151" s="58">
        <f>MAX(-10,MIN(0.8,IFERROR(INDEX(属性耐性マスタ!$B$5:$G$11,MATCH($C151,属性耐性マスタ!$A$5:$A$11,0),4),0)+IFERROR(VLOOKUP($AM151,個性タイプマスタ!$A$5:$P$100,12,FALSE),0)))</f>
        <v>0.19</v>
      </c>
      <c r="T151" s="58">
        <f>MAX(-10,MIN(0.8,IFERROR(INDEX(属性耐性マスタ!$B$5:$G$11,MATCH($C151,属性耐性マスタ!$A$5:$A$11,0),5),0)+IFERROR(VLOOKUP($AM151,個性タイプマスタ!$A$5:$P$100,12,FALSE),0)))</f>
        <v>0.09</v>
      </c>
      <c r="U151" s="58">
        <f>MAX(-10,MIN(0.8,IFERROR(INDEX(属性耐性マスタ!$B$5:$G$11,MATCH($C151,属性耐性マスタ!$A$5:$A$11,0),6),0)+IFERROR(VLOOKUP($AM151,個性タイプマスタ!$A$5:$P$100,12,FALSE),0)))</f>
        <v>0.39</v>
      </c>
      <c r="V151" s="59">
        <f>ROUND(設定!$B$19*IFERROR(VLOOKUP($AM151,個性タイプマスタ!$A$5:$P$100,13,FALSE),1),2)</f>
        <v>4</v>
      </c>
      <c r="W151" s="59">
        <v>25</v>
      </c>
      <c r="X151" s="59" t="str">
        <f>IFERROR(VLOOKUP($AM151,個性タイプマスタ!$A$5:$P$100,2,FALSE),"Ranged")</f>
        <v>Ranged</v>
      </c>
      <c r="Y151" s="56">
        <f>IFERROR(VLOOKUP($AM151,個性タイプマスタ!$A$5:$P$100,3,FALSE),1)</f>
        <v>1</v>
      </c>
      <c r="Z151" s="56">
        <f>IFERROR(VLOOKUP($AM151,個性タイプマスタ!$A$5:$P$100,4,FALSE),1)</f>
        <v>0.96</v>
      </c>
      <c r="AA151" s="56">
        <f>IFERROR(VLOOKUP($AM151,個性タイプマスタ!$A$5:$P$100,5,FALSE),1)</f>
        <v>1.02</v>
      </c>
      <c r="AB151" s="56">
        <f>IFERROR(VLOOKUP($AM151,個性タイプマスタ!$A$5:$P$100,6,FALSE),1)</f>
        <v>0.92</v>
      </c>
      <c r="AC151" s="56">
        <f>IFERROR(VLOOKUP($AM151,個性タイプマスタ!$A$5:$P$100,7,FALSE),1)</f>
        <v>1.07</v>
      </c>
      <c r="AD151" s="56">
        <f>IFERROR(VLOOKUP($AM151,個性タイプマスタ!$A$5:$P$100,8,FALSE),1)</f>
        <v>0.85</v>
      </c>
      <c r="AE151" s="60">
        <f>IFERROR(D151/設定!$B$5,1)</f>
        <v>9.8497000000000003</v>
      </c>
      <c r="AF151" s="60">
        <f>1+設定!$B$13*((I151/設定!$B$8+J151/設定!$B$9)/(2*AE151))</f>
        <v>1.2969633592901306</v>
      </c>
      <c r="AG151" s="60">
        <f>MAX(0.7,1+設定!$B$14*(O151/IF(X151="Melee",1.5,2.5)-1))</f>
        <v>1.0084</v>
      </c>
      <c r="AH151" s="53">
        <f t="shared" si="9"/>
        <v>166.21917030400002</v>
      </c>
      <c r="AI151" s="53">
        <f>E151*AF151*(1+設定!$B$18*AVERAGE(P151:U151))</f>
        <v>1396.3172374285509</v>
      </c>
      <c r="AJ151" s="61">
        <f>設定!$B$5*SQRT((AH151/(設定!$B$7*設定!$B$10*(1+設定!$B$11*(設定!$B$12-1))))*(AI151/(設定!$B$6*(1+設定!$B$13))))</f>
        <v>983.70016304970682</v>
      </c>
      <c r="AK151" s="62">
        <f t="shared" si="10"/>
        <v>-1.2892138342215365E-3</v>
      </c>
      <c r="AL151" s="63">
        <f t="shared" si="11"/>
        <v>837.22450000000003</v>
      </c>
      <c r="AM151" s="64" t="s">
        <v>930</v>
      </c>
      <c r="AN151" s="54">
        <f>MAX(1,ROUND((設定!$B$7*設定!$B$10*(1+設定!$B$11*(設定!$B$12-1)))*AE151^2*(設定!$B$6*(1+設定!$B$13))/(AI151*N151*(1+K151*(L151-1))*AG151),0))</f>
        <v>176</v>
      </c>
      <c r="AO151" s="65" t="str">
        <f>IF($A151="","",IF(COUNTIF(個性タイプマスタ!$A$5:$A$100,$AM151)&gt;0,"OK","未登録"))</f>
        <v>OK</v>
      </c>
      <c r="AP151" s="67" t="str">
        <f>IF($A151="","",IF(COUNTIF(属性耐性マスタ!$A$5:$A$11,$C151)&gt;0,"OK","未登録"))</f>
        <v>OK</v>
      </c>
    </row>
    <row r="152" spans="1:42">
      <c r="A152" s="66" t="s">
        <v>404</v>
      </c>
      <c r="B152" s="51" t="s">
        <v>405</v>
      </c>
      <c r="C152" s="109" t="s">
        <v>874</v>
      </c>
      <c r="D152" s="53">
        <f>ROUND(設定!$B$5*POWER($D$2,W152-1),2)</f>
        <v>984.97</v>
      </c>
      <c r="E152" s="54">
        <f>MAX(1,ROUND(設定!$B$6*AE152*Y152,0))</f>
        <v>1330</v>
      </c>
      <c r="F152" s="54">
        <f>MAX(0,ROUND(設定!$B$7*AE152*設定!$B$15*IF(X152="Melee",0.6,1.35)*IFERROR(VLOOKUP($AM152,個性タイプマスタ!$A$5:$P$100,14,FALSE),1),0))</f>
        <v>57</v>
      </c>
      <c r="G152" s="54">
        <f>IF(X152="Melee",AN152,MAX(1,ROUND(AN152*設定!$B$16*IFERROR(VLOOKUP($AM152,個性タイプマスタ!$A$5:$P$100,15,FALSE),1),0)))</f>
        <v>116</v>
      </c>
      <c r="H152" s="54">
        <f>IF(X152="Ranged",AN152,MAX(1,ROUND(AN152*設定!$B$16*IFERROR(VLOOKUP($AM152,個性タイプマスタ!$A$5:$P$100,15,FALSE),1),0)))</f>
        <v>52</v>
      </c>
      <c r="I152" s="54">
        <f>MAX(0,ROUND(設定!$B$8*AE152*Z152,0))</f>
        <v>110</v>
      </c>
      <c r="J152" s="54">
        <f>MAX(0,ROUND(設定!$B$9*AE152*AA152,0))</f>
        <v>79</v>
      </c>
      <c r="K152" s="55">
        <f>IFERROR(VLOOKUP($AM152,個性タイプマスタ!$A$5:$P$100,9,FALSE),0.05)</f>
        <v>0.08</v>
      </c>
      <c r="L152" s="56">
        <f>IFERROR(VLOOKUP($AM152,個性タイプマスタ!$A$5:$P$100,10,FALSE),1.5)</f>
        <v>1.6</v>
      </c>
      <c r="M152" s="56">
        <f>IFERROR(VLOOKUP($AM152,個性タイプマスタ!$A$5:$P$100,11,FALSE),2)</f>
        <v>2.7</v>
      </c>
      <c r="N152" s="57">
        <f>MAX(0.1,ROUND(設定!$B$10*AB152,3))</f>
        <v>1.05</v>
      </c>
      <c r="O152" s="57">
        <f t="shared" si="8"/>
        <v>1.2</v>
      </c>
      <c r="P152" s="58">
        <f>MAX(-10,MIN(0.8,IFERROR(INDEX(属性耐性マスタ!$B$5:$G$11,MATCH($C152,属性耐性マスタ!$A$5:$A$11,0),1),0)+IFERROR(VLOOKUP($AM152,個性タイプマスタ!$A$5:$P$100,12,FALSE),0)))</f>
        <v>6.5000000000000002E-2</v>
      </c>
      <c r="Q152" s="58">
        <f>MAX(-10,MIN(0.8,IFERROR(INDEX(属性耐性マスタ!$B$5:$G$11,MATCH($C152,属性耐性マスタ!$A$5:$A$11,0),2),0)+IFERROR(VLOOKUP($AM152,個性タイプマスタ!$A$5:$P$100,12,FALSE),0)))</f>
        <v>6.5000000000000002E-2</v>
      </c>
      <c r="R152" s="58">
        <f>MAX(-10,MIN(0.8,IFERROR(INDEX(属性耐性マスタ!$B$5:$G$11,MATCH($C152,属性耐性マスタ!$A$5:$A$11,0),3),0)+IFERROR(VLOOKUP($AM152,個性タイプマスタ!$A$5:$P$100,12,FALSE),0)))</f>
        <v>6.5000000000000002E-2</v>
      </c>
      <c r="S152" s="58">
        <f>MAX(-10,MIN(0.8,IFERROR(INDEX(属性耐性マスタ!$B$5:$G$11,MATCH($C152,属性耐性マスタ!$A$5:$A$11,0),4),0)+IFERROR(VLOOKUP($AM152,個性タイプマスタ!$A$5:$P$100,12,FALSE),0)))</f>
        <v>6.5000000000000002E-2</v>
      </c>
      <c r="T152" s="58">
        <f>MAX(-10,MIN(0.8,IFERROR(INDEX(属性耐性マスタ!$B$5:$G$11,MATCH($C152,属性耐性マスタ!$A$5:$A$11,0),5),0)+IFERROR(VLOOKUP($AM152,個性タイプマスタ!$A$5:$P$100,12,FALSE),0)))</f>
        <v>-3.5000000000000003E-2</v>
      </c>
      <c r="U152" s="58">
        <f>MAX(-10,MIN(0.8,IFERROR(INDEX(属性耐性マスタ!$B$5:$G$11,MATCH($C152,属性耐性マスタ!$A$5:$A$11,0),6),0)+IFERROR(VLOOKUP($AM152,個性タイプマスタ!$A$5:$P$100,12,FALSE),0)))</f>
        <v>0.26500000000000001</v>
      </c>
      <c r="V152" s="59">
        <f>ROUND(設定!$B$19*IFERROR(VLOOKUP($AM152,個性タイプマスタ!$A$5:$P$100,13,FALSE),1),2)</f>
        <v>4</v>
      </c>
      <c r="W152" s="59">
        <v>25</v>
      </c>
      <c r="X152" s="59" t="str">
        <f>IFERROR(VLOOKUP($AM152,個性タイプマスタ!$A$5:$P$100,2,FALSE),"Ranged")</f>
        <v>Melee</v>
      </c>
      <c r="Y152" s="56">
        <f>IFERROR(VLOOKUP($AM152,個性タイプマスタ!$A$5:$P$100,3,FALSE),1)</f>
        <v>1.35</v>
      </c>
      <c r="Z152" s="56">
        <f>IFERROR(VLOOKUP($AM152,個性タイプマスタ!$A$5:$P$100,4,FALSE),1)</f>
        <v>1.4</v>
      </c>
      <c r="AA152" s="56">
        <f>IFERROR(VLOOKUP($AM152,個性タイプマスタ!$A$5:$P$100,5,FALSE),1)</f>
        <v>1</v>
      </c>
      <c r="AB152" s="56">
        <f>IFERROR(VLOOKUP($AM152,個性タイプマスタ!$A$5:$P$100,6,FALSE),1)</f>
        <v>1.05</v>
      </c>
      <c r="AC152" s="56">
        <f>IFERROR(VLOOKUP($AM152,個性タイプマスタ!$A$5:$P$100,7,FALSE),1)</f>
        <v>0.8</v>
      </c>
      <c r="AD152" s="56">
        <f>IFERROR(VLOOKUP($AM152,個性タイプマスタ!$A$5:$P$100,8,FALSE),1)</f>
        <v>0.9</v>
      </c>
      <c r="AE152" s="60">
        <f>IFERROR(D152/設定!$B$5,1)</f>
        <v>9.8497000000000003</v>
      </c>
      <c r="AF152" s="60">
        <f>1+設定!$B$13*((I152/設定!$B$8+J152/設定!$B$9)/(2*AE152))</f>
        <v>1.3597825314476584</v>
      </c>
      <c r="AG152" s="60">
        <f>MAX(0.7,1+設定!$B$14*(O152/IF(X152="Melee",1.5,2.5)-1))</f>
        <v>0.97599999999999998</v>
      </c>
      <c r="AH152" s="53">
        <f t="shared" si="9"/>
        <v>124.58288640000001</v>
      </c>
      <c r="AI152" s="53">
        <f>E152*AF152*(1+設定!$B$18*AVERAGE(P152:U152))</f>
        <v>1874.9735375062187</v>
      </c>
      <c r="AJ152" s="61">
        <f>設定!$B$5*SQRT((AH152/(設定!$B$7*設定!$B$10*(1+設定!$B$11*(設定!$B$12-1))))*(AI152/(設定!$B$6*(1+設定!$B$13))))</f>
        <v>986.86308582351728</v>
      </c>
      <c r="AK152" s="62">
        <f t="shared" si="10"/>
        <v>1.92197307889308E-3</v>
      </c>
      <c r="AL152" s="63">
        <f t="shared" si="11"/>
        <v>886.47300000000007</v>
      </c>
      <c r="AM152" s="64" t="s">
        <v>888</v>
      </c>
      <c r="AN152" s="54">
        <f>MAX(1,ROUND((設定!$B$7*設定!$B$10*(1+設定!$B$11*(設定!$B$12-1)))*AE152^2*(設定!$B$6*(1+設定!$B$13))/(AI152*N152*(1+K152*(L152-1))*AG152),0))</f>
        <v>116</v>
      </c>
      <c r="AO152" s="65" t="str">
        <f>IF($A152="","",IF(COUNTIF(個性タイプマスタ!$A$5:$A$100,$AM152)&gt;0,"OK","未登録"))</f>
        <v>OK</v>
      </c>
      <c r="AP152" s="67" t="str">
        <f>IF($A152="","",IF(COUNTIF(属性耐性マスタ!$A$5:$A$11,$C152)&gt;0,"OK","未登録"))</f>
        <v>OK</v>
      </c>
    </row>
    <row r="153" spans="1:42">
      <c r="A153" s="66" t="s">
        <v>406</v>
      </c>
      <c r="B153" s="51" t="s">
        <v>407</v>
      </c>
      <c r="C153" s="109" t="s">
        <v>874</v>
      </c>
      <c r="D153" s="53">
        <f>ROUND(設定!$B$5*POWER($D$2,W153-1),2)</f>
        <v>984.97</v>
      </c>
      <c r="E153" s="54">
        <f>MAX(1,ROUND(設定!$B$6*AE153*Y153,0))</f>
        <v>788</v>
      </c>
      <c r="F153" s="54">
        <f>MAX(0,ROUND(設定!$B$7*AE153*設定!$B$15*IF(X153="Melee",0.6,1.35)*IFERROR(VLOOKUP($AM153,個性タイプマスタ!$A$5:$P$100,14,FALSE),1),0))</f>
        <v>48</v>
      </c>
      <c r="G153" s="54">
        <f>IF(X153="Melee",AN153,MAX(1,ROUND(AN153*設定!$B$16*IFERROR(VLOOKUP($AM153,個性タイプマスタ!$A$5:$P$100,15,FALSE),1),0)))</f>
        <v>194</v>
      </c>
      <c r="H153" s="54">
        <f>IF(X153="Ranged",AN153,MAX(1,ROUND(AN153*設定!$B$16*IFERROR(VLOOKUP($AM153,個性タイプマスタ!$A$5:$P$100,15,FALSE),1),0)))</f>
        <v>66</v>
      </c>
      <c r="I153" s="54">
        <f>MAX(0,ROUND(設定!$B$8*AE153*Z153,0))</f>
        <v>65</v>
      </c>
      <c r="J153" s="54">
        <f>MAX(0,ROUND(設定!$B$9*AE153*AA153,0))</f>
        <v>60</v>
      </c>
      <c r="K153" s="55">
        <f>IFERROR(VLOOKUP($AM153,個性タイプマスタ!$A$5:$P$100,9,FALSE),0.05)</f>
        <v>0.13</v>
      </c>
      <c r="L153" s="56">
        <f>IFERROR(VLOOKUP($AM153,個性タイプマスタ!$A$5:$P$100,10,FALSE),1.5)</f>
        <v>1.7</v>
      </c>
      <c r="M153" s="56">
        <f>IFERROR(VLOOKUP($AM153,個性タイプマスタ!$A$5:$P$100,11,FALSE),2)</f>
        <v>3</v>
      </c>
      <c r="N153" s="57">
        <f>MAX(0.1,ROUND(設定!$B$10*AB153,3))</f>
        <v>1.06</v>
      </c>
      <c r="O153" s="57">
        <f t="shared" si="8"/>
        <v>2.4300000000000002</v>
      </c>
      <c r="P153" s="58">
        <f>MAX(-10,MIN(0.8,IFERROR(INDEX(属性耐性マスタ!$B$5:$G$11,MATCH($C153,属性耐性マスタ!$A$5:$A$11,0),1),0)+IFERROR(VLOOKUP($AM153,個性タイプマスタ!$A$5:$P$100,12,FALSE),0)))</f>
        <v>-4.4999999999999998E-2</v>
      </c>
      <c r="Q153" s="58">
        <f>MAX(-10,MIN(0.8,IFERROR(INDEX(属性耐性マスタ!$B$5:$G$11,MATCH($C153,属性耐性マスタ!$A$5:$A$11,0),2),0)+IFERROR(VLOOKUP($AM153,個性タイプマスタ!$A$5:$P$100,12,FALSE),0)))</f>
        <v>-4.4999999999999998E-2</v>
      </c>
      <c r="R153" s="58">
        <f>MAX(-10,MIN(0.8,IFERROR(INDEX(属性耐性マスタ!$B$5:$G$11,MATCH($C153,属性耐性マスタ!$A$5:$A$11,0),3),0)+IFERROR(VLOOKUP($AM153,個性タイプマスタ!$A$5:$P$100,12,FALSE),0)))</f>
        <v>-4.4999999999999998E-2</v>
      </c>
      <c r="S153" s="58">
        <f>MAX(-10,MIN(0.8,IFERROR(INDEX(属性耐性マスタ!$B$5:$G$11,MATCH($C153,属性耐性マスタ!$A$5:$A$11,0),4),0)+IFERROR(VLOOKUP($AM153,個性タイプマスタ!$A$5:$P$100,12,FALSE),0)))</f>
        <v>-4.4999999999999998E-2</v>
      </c>
      <c r="T153" s="58">
        <f>MAX(-10,MIN(0.8,IFERROR(INDEX(属性耐性マスタ!$B$5:$G$11,MATCH($C153,属性耐性マスタ!$A$5:$A$11,0),5),0)+IFERROR(VLOOKUP($AM153,個性タイプマスタ!$A$5:$P$100,12,FALSE),0)))</f>
        <v>-0.14500000000000002</v>
      </c>
      <c r="U153" s="58">
        <f>MAX(-10,MIN(0.8,IFERROR(INDEX(属性耐性マスタ!$B$5:$G$11,MATCH($C153,属性耐性マスタ!$A$5:$A$11,0),6),0)+IFERROR(VLOOKUP($AM153,個性タイプマスタ!$A$5:$P$100,12,FALSE),0)))</f>
        <v>0.15500000000000003</v>
      </c>
      <c r="V153" s="59">
        <f>ROUND(設定!$B$19*IFERROR(VLOOKUP($AM153,個性タイプマスタ!$A$5:$P$100,13,FALSE),1),2)</f>
        <v>5.2</v>
      </c>
      <c r="W153" s="59">
        <v>25</v>
      </c>
      <c r="X153" s="59" t="str">
        <f>IFERROR(VLOOKUP($AM153,個性タイプマスタ!$A$5:$P$100,2,FALSE),"Ranged")</f>
        <v>Melee</v>
      </c>
      <c r="Y153" s="56">
        <f>IFERROR(VLOOKUP($AM153,個性タイプマスタ!$A$5:$P$100,3,FALSE),1)</f>
        <v>0.8</v>
      </c>
      <c r="Z153" s="56">
        <f>IFERROR(VLOOKUP($AM153,個性タイプマスタ!$A$5:$P$100,4,FALSE),1)</f>
        <v>0.82</v>
      </c>
      <c r="AA153" s="56">
        <f>IFERROR(VLOOKUP($AM153,個性タイプマスタ!$A$5:$P$100,5,FALSE),1)</f>
        <v>0.76</v>
      </c>
      <c r="AB153" s="56">
        <f>IFERROR(VLOOKUP($AM153,個性タイプマスタ!$A$5:$P$100,6,FALSE),1)</f>
        <v>1.06</v>
      </c>
      <c r="AC153" s="56">
        <f>IFERROR(VLOOKUP($AM153,個性タイプマスタ!$A$5:$P$100,7,FALSE),1)</f>
        <v>1.62</v>
      </c>
      <c r="AD153" s="56">
        <f>IFERROR(VLOOKUP($AM153,個性タイプマスタ!$A$5:$P$100,8,FALSE),1)</f>
        <v>0.71</v>
      </c>
      <c r="AE153" s="60">
        <f>IFERROR(D153/設定!$B$5,1)</f>
        <v>9.8497000000000003</v>
      </c>
      <c r="AF153" s="60">
        <f>1+設定!$B$13*((I153/設定!$B$8+J153/設定!$B$9)/(2*AE153))</f>
        <v>1.2379514096876048</v>
      </c>
      <c r="AG153" s="60">
        <f>MAX(0.7,1+設定!$B$14*(O153/IF(X153="Melee",1.5,2.5)-1))</f>
        <v>1.0744</v>
      </c>
      <c r="AH153" s="53">
        <f t="shared" si="9"/>
        <v>241.045121056</v>
      </c>
      <c r="AI153" s="53">
        <f>E153*AF153*(1+設定!$B$18*AVERAGE(P153:U153))</f>
        <v>963.06801302070107</v>
      </c>
      <c r="AJ153" s="61">
        <f>設定!$B$5*SQRT((AH153/(設定!$B$7*設定!$B$10*(1+設定!$B$11*(設定!$B$12-1))))*(AI153/(設定!$B$6*(1+設定!$B$13))))</f>
        <v>983.80220276541786</v>
      </c>
      <c r="AK153" s="62">
        <f t="shared" si="10"/>
        <v>-1.1856170589785719E-3</v>
      </c>
      <c r="AL153" s="63">
        <f t="shared" si="11"/>
        <v>699.32870000000003</v>
      </c>
      <c r="AM153" s="64" t="s">
        <v>946</v>
      </c>
      <c r="AN153" s="54">
        <f>MAX(1,ROUND((設定!$B$7*設定!$B$10*(1+設定!$B$11*(設定!$B$12-1)))*AE153^2*(設定!$B$6*(1+設定!$B$13))/(AI153*N153*(1+K153*(L153-1))*AG153),0))</f>
        <v>194</v>
      </c>
      <c r="AO153" s="65" t="str">
        <f>IF($A153="","",IF(COUNTIF(個性タイプマスタ!$A$5:$A$100,$AM153)&gt;0,"OK","未登録"))</f>
        <v>OK</v>
      </c>
      <c r="AP153" s="67" t="str">
        <f>IF($A153="","",IF(COUNTIF(属性耐性マスタ!$A$5:$A$11,$C153)&gt;0,"OK","未登録"))</f>
        <v>OK</v>
      </c>
    </row>
    <row r="154" spans="1:42">
      <c r="A154" s="66" t="s">
        <v>408</v>
      </c>
      <c r="B154" s="51" t="s">
        <v>409</v>
      </c>
      <c r="C154" s="109" t="s">
        <v>874</v>
      </c>
      <c r="D154" s="53">
        <f>ROUND(設定!$B$5*POWER($D$2,W154-1),2)</f>
        <v>984.97</v>
      </c>
      <c r="E154" s="54">
        <f>MAX(1,ROUND(設定!$B$6*AE154*Y154,0))</f>
        <v>719</v>
      </c>
      <c r="F154" s="54">
        <f>MAX(0,ROUND(設定!$B$7*AE154*設定!$B$15*IF(X154="Melee",0.6,1.35)*IFERROR(VLOOKUP($AM154,個性タイプマスタ!$A$5:$P$100,14,FALSE),1),0))</f>
        <v>169</v>
      </c>
      <c r="G154" s="54">
        <f>IF(X154="Melee",AN154,MAX(1,ROUND(AN154*設定!$B$16*IFERROR(VLOOKUP($AM154,個性タイプマスタ!$A$5:$P$100,15,FALSE),1),0)))</f>
        <v>55</v>
      </c>
      <c r="H154" s="54">
        <f>IF(X154="Ranged",AN154,MAX(1,ROUND(AN154*設定!$B$16*IFERROR(VLOOKUP($AM154,個性タイプマスタ!$A$5:$P$100,15,FALSE),1),0)))</f>
        <v>220</v>
      </c>
      <c r="I154" s="54">
        <f>MAX(0,ROUND(設定!$B$8*AE154*Z154,0))</f>
        <v>61</v>
      </c>
      <c r="J154" s="54">
        <f>MAX(0,ROUND(設定!$B$9*AE154*AA154,0))</f>
        <v>67</v>
      </c>
      <c r="K154" s="55">
        <f>IFERROR(VLOOKUP($AM154,個性タイプマスタ!$A$5:$P$100,9,FALSE),0.05)</f>
        <v>0.26</v>
      </c>
      <c r="L154" s="56">
        <f>IFERROR(VLOOKUP($AM154,個性タイプマスタ!$A$5:$P$100,10,FALSE),1.5)</f>
        <v>1.95</v>
      </c>
      <c r="M154" s="56">
        <f>IFERROR(VLOOKUP($AM154,個性タイプマスタ!$A$5:$P$100,11,FALSE),2)</f>
        <v>2.75</v>
      </c>
      <c r="N154" s="57">
        <f>MAX(0.1,ROUND(設定!$B$10*AB154,3))</f>
        <v>0.95</v>
      </c>
      <c r="O154" s="57">
        <f t="shared" si="8"/>
        <v>2.8</v>
      </c>
      <c r="P154" s="58">
        <f>MAX(-10,MIN(0.8,IFERROR(INDEX(属性耐性マスタ!$B$5:$G$11,MATCH($C154,属性耐性マスタ!$A$5:$A$11,0),1),0)+IFERROR(VLOOKUP($AM154,個性タイプマスタ!$A$5:$P$100,12,FALSE),0)))</f>
        <v>-0.05</v>
      </c>
      <c r="Q154" s="58">
        <f>MAX(-10,MIN(0.8,IFERROR(INDEX(属性耐性マスタ!$B$5:$G$11,MATCH($C154,属性耐性マスタ!$A$5:$A$11,0),2),0)+IFERROR(VLOOKUP($AM154,個性タイプマスタ!$A$5:$P$100,12,FALSE),0)))</f>
        <v>-0.05</v>
      </c>
      <c r="R154" s="58">
        <f>MAX(-10,MIN(0.8,IFERROR(INDEX(属性耐性マスタ!$B$5:$G$11,MATCH($C154,属性耐性マスタ!$A$5:$A$11,0),3),0)+IFERROR(VLOOKUP($AM154,個性タイプマスタ!$A$5:$P$100,12,FALSE),0)))</f>
        <v>-0.05</v>
      </c>
      <c r="S154" s="58">
        <f>MAX(-10,MIN(0.8,IFERROR(INDEX(属性耐性マスタ!$B$5:$G$11,MATCH($C154,属性耐性マスタ!$A$5:$A$11,0),4),0)+IFERROR(VLOOKUP($AM154,個性タイプマスタ!$A$5:$P$100,12,FALSE),0)))</f>
        <v>-0.05</v>
      </c>
      <c r="T154" s="58">
        <f>MAX(-10,MIN(0.8,IFERROR(INDEX(属性耐性マスタ!$B$5:$G$11,MATCH($C154,属性耐性マスタ!$A$5:$A$11,0),5),0)+IFERROR(VLOOKUP($AM154,個性タイプマスタ!$A$5:$P$100,12,FALSE),0)))</f>
        <v>-0.15000000000000002</v>
      </c>
      <c r="U154" s="58">
        <f>MAX(-10,MIN(0.8,IFERROR(INDEX(属性耐性マスタ!$B$5:$G$11,MATCH($C154,属性耐性マスタ!$A$5:$A$11,0),6),0)+IFERROR(VLOOKUP($AM154,個性タイプマスタ!$A$5:$P$100,12,FALSE),0)))</f>
        <v>0.15000000000000002</v>
      </c>
      <c r="V154" s="59">
        <f>ROUND(設定!$B$19*IFERROR(VLOOKUP($AM154,個性タイプマスタ!$A$5:$P$100,13,FALSE),1),2)</f>
        <v>4.4000000000000004</v>
      </c>
      <c r="W154" s="59">
        <v>25</v>
      </c>
      <c r="X154" s="59" t="str">
        <f>IFERROR(VLOOKUP($AM154,個性タイプマスタ!$A$5:$P$100,2,FALSE),"Ranged")</f>
        <v>Ranged</v>
      </c>
      <c r="Y154" s="56">
        <f>IFERROR(VLOOKUP($AM154,個性タイプマスタ!$A$5:$P$100,3,FALSE),1)</f>
        <v>0.73</v>
      </c>
      <c r="Z154" s="56">
        <f>IFERROR(VLOOKUP($AM154,個性タイプマスタ!$A$5:$P$100,4,FALSE),1)</f>
        <v>0.77</v>
      </c>
      <c r="AA154" s="56">
        <f>IFERROR(VLOOKUP($AM154,個性タイプマスタ!$A$5:$P$100,5,FALSE),1)</f>
        <v>0.85</v>
      </c>
      <c r="AB154" s="56">
        <f>IFERROR(VLOOKUP($AM154,個性タイプマスタ!$A$5:$P$100,6,FALSE),1)</f>
        <v>0.95</v>
      </c>
      <c r="AC154" s="56">
        <f>IFERROR(VLOOKUP($AM154,個性タイプマスタ!$A$5:$P$100,7,FALSE),1)</f>
        <v>1.1200000000000001</v>
      </c>
      <c r="AD154" s="56">
        <f>IFERROR(VLOOKUP($AM154,個性タイプマスタ!$A$5:$P$100,8,FALSE),1)</f>
        <v>0.66</v>
      </c>
      <c r="AE154" s="60">
        <f>IFERROR(D154/設定!$B$5,1)</f>
        <v>9.8497000000000003</v>
      </c>
      <c r="AF154" s="60">
        <f>1+設定!$B$13*((I154/設定!$B$8+J154/設定!$B$9)/(2*AE154))</f>
        <v>1.2436622435201072</v>
      </c>
      <c r="AG154" s="60">
        <f>MAX(0.7,1+設定!$B$14*(O154/IF(X154="Melee",1.5,2.5)-1))</f>
        <v>1.0144</v>
      </c>
      <c r="AH154" s="53">
        <f t="shared" si="9"/>
        <v>264.37597119999998</v>
      </c>
      <c r="AI154" s="53">
        <f>E154*AF154*(1+設定!$B$18*AVERAGE(P154:U154))</f>
        <v>880.78025579459279</v>
      </c>
      <c r="AJ154" s="61">
        <f>設定!$B$5*SQRT((AH154/(設定!$B$7*設定!$B$10*(1+設定!$B$11*(設定!$B$12-1))))*(AI154/(設定!$B$6*(1+設定!$B$13))))</f>
        <v>985.31459076508497</v>
      </c>
      <c r="AK154" s="62">
        <f t="shared" si="10"/>
        <v>3.4984899548717863E-4</v>
      </c>
      <c r="AL154" s="63">
        <f t="shared" si="11"/>
        <v>650.0802000000001</v>
      </c>
      <c r="AM154" s="64" t="s">
        <v>922</v>
      </c>
      <c r="AN154" s="54">
        <f>MAX(1,ROUND((設定!$B$7*設定!$B$10*(1+設定!$B$11*(設定!$B$12-1)))*AE154^2*(設定!$B$6*(1+設定!$B$13))/(AI154*N154*(1+K154*(L154-1))*AG154),0))</f>
        <v>220</v>
      </c>
      <c r="AO154" s="65" t="str">
        <f>IF($A154="","",IF(COUNTIF(個性タイプマスタ!$A$5:$A$100,$AM154)&gt;0,"OK","未登録"))</f>
        <v>OK</v>
      </c>
      <c r="AP154" s="67" t="str">
        <f>IF($A154="","",IF(COUNTIF(属性耐性マスタ!$A$5:$A$11,$C154)&gt;0,"OK","未登録"))</f>
        <v>OK</v>
      </c>
    </row>
    <row r="155" spans="1:42">
      <c r="A155" s="66" t="s">
        <v>410</v>
      </c>
      <c r="B155" s="51" t="s">
        <v>411</v>
      </c>
      <c r="C155" s="109" t="s">
        <v>874</v>
      </c>
      <c r="D155" s="53">
        <f>ROUND(設定!$B$5*POWER($D$2,W155-1),2)</f>
        <v>1083.47</v>
      </c>
      <c r="E155" s="54">
        <f>MAX(1,ROUND(設定!$B$6*AE155*Y155,0))</f>
        <v>628</v>
      </c>
      <c r="F155" s="54">
        <f>MAX(0,ROUND(設定!$B$7*AE155*設定!$B$15*IF(X155="Melee",0.6,1.35)*IFERROR(VLOOKUP($AM155,個性タイプマスタ!$A$5:$P$100,14,FALSE),1),0))</f>
        <v>123</v>
      </c>
      <c r="G155" s="54">
        <f>IF(X155="Melee",AN155,MAX(1,ROUND(AN155*設定!$B$16*IFERROR(VLOOKUP($AM155,個性タイプマスタ!$A$5:$P$100,15,FALSE),1),0)))</f>
        <v>62</v>
      </c>
      <c r="H155" s="54">
        <f>IF(X155="Ranged",AN155,MAX(1,ROUND(AN155*設定!$B$16*IFERROR(VLOOKUP($AM155,個性タイプマスタ!$A$5:$P$100,15,FALSE),1),0)))</f>
        <v>287</v>
      </c>
      <c r="I155" s="54">
        <f>MAX(0,ROUND(設定!$B$8*AE155*Z155,0))</f>
        <v>55</v>
      </c>
      <c r="J155" s="54">
        <f>MAX(0,ROUND(設定!$B$9*AE155*AA155,0))</f>
        <v>56</v>
      </c>
      <c r="K155" s="55">
        <f>IFERROR(VLOOKUP($AM155,個性タイプマスタ!$A$5:$P$100,9,FALSE),0.05)</f>
        <v>0.08</v>
      </c>
      <c r="L155" s="56">
        <f>IFERROR(VLOOKUP($AM155,個性タイプマスタ!$A$5:$P$100,10,FALSE),1.5)</f>
        <v>1.55</v>
      </c>
      <c r="M155" s="56">
        <f>IFERROR(VLOOKUP($AM155,個性タイプマスタ!$A$5:$P$100,11,FALSE),2)</f>
        <v>4.2</v>
      </c>
      <c r="N155" s="57">
        <f>MAX(0.1,ROUND(設定!$B$10*AB155,3))</f>
        <v>1.3</v>
      </c>
      <c r="O155" s="57">
        <f t="shared" si="8"/>
        <v>2.5</v>
      </c>
      <c r="P155" s="58">
        <f>MAX(-10,MIN(0.8,IFERROR(INDEX(属性耐性マスタ!$B$5:$G$11,MATCH($C155,属性耐性マスタ!$A$5:$A$11,0),1),0)+IFERROR(VLOOKUP($AM155,個性タイプマスタ!$A$5:$P$100,12,FALSE),0)))</f>
        <v>-0.09</v>
      </c>
      <c r="Q155" s="58">
        <f>MAX(-10,MIN(0.8,IFERROR(INDEX(属性耐性マスタ!$B$5:$G$11,MATCH($C155,属性耐性マスタ!$A$5:$A$11,0),2),0)+IFERROR(VLOOKUP($AM155,個性タイプマスタ!$A$5:$P$100,12,FALSE),0)))</f>
        <v>-0.09</v>
      </c>
      <c r="R155" s="58">
        <f>MAX(-10,MIN(0.8,IFERROR(INDEX(属性耐性マスタ!$B$5:$G$11,MATCH($C155,属性耐性マスタ!$A$5:$A$11,0),3),0)+IFERROR(VLOOKUP($AM155,個性タイプマスタ!$A$5:$P$100,12,FALSE),0)))</f>
        <v>-0.09</v>
      </c>
      <c r="S155" s="58">
        <f>MAX(-10,MIN(0.8,IFERROR(INDEX(属性耐性マスタ!$B$5:$G$11,MATCH($C155,属性耐性マスタ!$A$5:$A$11,0),4),0)+IFERROR(VLOOKUP($AM155,個性タイプマスタ!$A$5:$P$100,12,FALSE),0)))</f>
        <v>-0.09</v>
      </c>
      <c r="T155" s="58">
        <f>MAX(-10,MIN(0.8,IFERROR(INDEX(属性耐性マスタ!$B$5:$G$11,MATCH($C155,属性耐性マスタ!$A$5:$A$11,0),5),0)+IFERROR(VLOOKUP($AM155,個性タイプマスタ!$A$5:$P$100,12,FALSE),0)))</f>
        <v>-0.19</v>
      </c>
      <c r="U155" s="58">
        <f>MAX(-10,MIN(0.8,IFERROR(INDEX(属性耐性マスタ!$B$5:$G$11,MATCH($C155,属性耐性マスタ!$A$5:$A$11,0),6),0)+IFERROR(VLOOKUP($AM155,個性タイプマスタ!$A$5:$P$100,12,FALSE),0)))</f>
        <v>0.11000000000000001</v>
      </c>
      <c r="V155" s="59">
        <f>ROUND(設定!$B$19*IFERROR(VLOOKUP($AM155,個性タイプマスタ!$A$5:$P$100,13,FALSE),1),2)</f>
        <v>4.2</v>
      </c>
      <c r="W155" s="59">
        <v>26</v>
      </c>
      <c r="X155" s="59" t="str">
        <f>IFERROR(VLOOKUP($AM155,個性タイプマスタ!$A$5:$P$100,2,FALSE),"Ranged")</f>
        <v>Ranged</v>
      </c>
      <c r="Y155" s="56">
        <f>IFERROR(VLOOKUP($AM155,個性タイプマスタ!$A$5:$P$100,3,FALSE),1)</f>
        <v>0.57999999999999996</v>
      </c>
      <c r="Z155" s="56">
        <f>IFERROR(VLOOKUP($AM155,個性タイプマスタ!$A$5:$P$100,4,FALSE),1)</f>
        <v>0.64</v>
      </c>
      <c r="AA155" s="56">
        <f>IFERROR(VLOOKUP($AM155,個性タイプマスタ!$A$5:$P$100,5,FALSE),1)</f>
        <v>0.65</v>
      </c>
      <c r="AB155" s="56">
        <f>IFERROR(VLOOKUP($AM155,個性タイプマスタ!$A$5:$P$100,6,FALSE),1)</f>
        <v>1.3</v>
      </c>
      <c r="AC155" s="56">
        <f>IFERROR(VLOOKUP($AM155,個性タイプマスタ!$A$5:$P$100,7,FALSE),1)</f>
        <v>1</v>
      </c>
      <c r="AD155" s="56">
        <f>IFERROR(VLOOKUP($AM155,個性タイプマスタ!$A$5:$P$100,8,FALSE),1)</f>
        <v>0.56999999999999995</v>
      </c>
      <c r="AE155" s="60">
        <f>IFERROR(D155/設定!$B$5,1)</f>
        <v>10.8347</v>
      </c>
      <c r="AF155" s="60">
        <f>1+設定!$B$13*((I155/設定!$B$8+J155/設定!$B$9)/(2*AE155))</f>
        <v>1.192091151577801</v>
      </c>
      <c r="AG155" s="60">
        <f>MAX(0.7,1+設定!$B$14*(O155/IF(X155="Melee",1.5,2.5)-1))</f>
        <v>1</v>
      </c>
      <c r="AH155" s="53">
        <f t="shared" si="9"/>
        <v>389.51640000000003</v>
      </c>
      <c r="AI155" s="53">
        <f>E155*AF155*(1+設定!$B$18*AVERAGE(P155:U155))</f>
        <v>723.9283461655607</v>
      </c>
      <c r="AJ155" s="61">
        <f>設定!$B$5*SQRT((AH155/(設定!$B$7*設定!$B$10*(1+設定!$B$11*(設定!$B$12-1))))*(AI155/(設定!$B$6*(1+設定!$B$13))))</f>
        <v>1084.2783932979901</v>
      </c>
      <c r="AK155" s="62">
        <f t="shared" si="10"/>
        <v>7.4611507285848866E-4</v>
      </c>
      <c r="AL155" s="63">
        <f t="shared" si="11"/>
        <v>617.5779</v>
      </c>
      <c r="AM155" s="64" t="s">
        <v>914</v>
      </c>
      <c r="AN155" s="54">
        <f>MAX(1,ROUND((設定!$B$7*設定!$B$10*(1+設定!$B$11*(設定!$B$12-1)))*AE155^2*(設定!$B$6*(1+設定!$B$13))/(AI155*N155*(1+K155*(L155-1))*AG155),0))</f>
        <v>287</v>
      </c>
      <c r="AO155" s="65" t="str">
        <f>IF($A155="","",IF(COUNTIF(個性タイプマスタ!$A$5:$A$100,$AM155)&gt;0,"OK","未登録"))</f>
        <v>OK</v>
      </c>
      <c r="AP155" s="67" t="str">
        <f>IF($A155="","",IF(COUNTIF(属性耐性マスタ!$A$5:$A$11,$C155)&gt;0,"OK","未登録"))</f>
        <v>OK</v>
      </c>
    </row>
    <row r="156" spans="1:42">
      <c r="A156" s="66" t="s">
        <v>412</v>
      </c>
      <c r="B156" s="51" t="s">
        <v>413</v>
      </c>
      <c r="C156" s="109" t="s">
        <v>871</v>
      </c>
      <c r="D156" s="53">
        <f>ROUND(設定!$B$5*POWER($D$2,W156-1),2)</f>
        <v>1083.47</v>
      </c>
      <c r="E156" s="54">
        <f>MAX(1,ROUND(設定!$B$6*AE156*Y156,0))</f>
        <v>1213</v>
      </c>
      <c r="F156" s="54">
        <f>MAX(0,ROUND(設定!$B$7*AE156*設定!$B$15*IF(X156="Melee",0.6,1.35)*IFERROR(VLOOKUP($AM156,個性タイプマスタ!$A$5:$P$100,14,FALSE),1),0))</f>
        <v>213</v>
      </c>
      <c r="G156" s="54">
        <f>IF(X156="Melee",AN156,MAX(1,ROUND(AN156*設定!$B$16*IFERROR(VLOOKUP($AM156,個性タイプマスタ!$A$5:$P$100,15,FALSE),1),0)))</f>
        <v>53</v>
      </c>
      <c r="H156" s="54">
        <f>IF(X156="Ranged",AN156,MAX(1,ROUND(AN156*設定!$B$16*IFERROR(VLOOKUP($AM156,個性タイプマスタ!$A$5:$P$100,15,FALSE),1),0)))</f>
        <v>180</v>
      </c>
      <c r="I156" s="54">
        <f>MAX(0,ROUND(設定!$B$8*AE156*Z156,0))</f>
        <v>169</v>
      </c>
      <c r="J156" s="54">
        <f>MAX(0,ROUND(設定!$B$9*AE156*AA156,0))</f>
        <v>62</v>
      </c>
      <c r="K156" s="55">
        <f>IFERROR(VLOOKUP($AM156,個性タイプマスタ!$A$5:$P$100,9,FALSE),0.05)</f>
        <v>5.5E-2</v>
      </c>
      <c r="L156" s="56">
        <f>IFERROR(VLOOKUP($AM156,個性タイプマスタ!$A$5:$P$100,10,FALSE),1.5)</f>
        <v>1.5</v>
      </c>
      <c r="M156" s="56">
        <f>IFERROR(VLOOKUP($AM156,個性タイプマスタ!$A$5:$P$100,11,FALSE),2)</f>
        <v>1.85</v>
      </c>
      <c r="N156" s="57">
        <f>MAX(0.1,ROUND(設定!$B$10*AB156,3))</f>
        <v>0.87</v>
      </c>
      <c r="O156" s="57">
        <f t="shared" si="8"/>
        <v>2.35</v>
      </c>
      <c r="P156" s="58">
        <f>MAX(-10,MIN(0.8,IFERROR(INDEX(属性耐性マスタ!$B$5:$G$11,MATCH($C156,属性耐性マスタ!$A$5:$A$11,0),1),0)+IFERROR(VLOOKUP($AM156,個性タイプマスタ!$A$5:$P$100,12,FALSE),0)))</f>
        <v>6.5000000000000002E-2</v>
      </c>
      <c r="Q156" s="58">
        <f>MAX(-10,MIN(0.8,IFERROR(INDEX(属性耐性マスタ!$B$5:$G$11,MATCH($C156,属性耐性マスタ!$A$5:$A$11,0),2),0)+IFERROR(VLOOKUP($AM156,個性タイプマスタ!$A$5:$P$100,12,FALSE),0)))</f>
        <v>6.5000000000000002E-2</v>
      </c>
      <c r="R156" s="58">
        <f>MAX(-10,MIN(0.8,IFERROR(INDEX(属性耐性マスタ!$B$5:$G$11,MATCH($C156,属性耐性マスタ!$A$5:$A$11,0),3),0)+IFERROR(VLOOKUP($AM156,個性タイプマスタ!$A$5:$P$100,12,FALSE),0)))</f>
        <v>-3.5000000000000003E-2</v>
      </c>
      <c r="S156" s="58">
        <f>MAX(-10,MIN(0.8,IFERROR(INDEX(属性耐性マスタ!$B$5:$G$11,MATCH($C156,属性耐性マスタ!$A$5:$A$11,0),4),0)+IFERROR(VLOOKUP($AM156,個性タイプマスタ!$A$5:$P$100,12,FALSE),0)))</f>
        <v>0.26500000000000001</v>
      </c>
      <c r="T156" s="58">
        <f>MAX(-10,MIN(0.8,IFERROR(INDEX(属性耐性マスタ!$B$5:$G$11,MATCH($C156,属性耐性マスタ!$A$5:$A$11,0),5),0)+IFERROR(VLOOKUP($AM156,個性タイプマスタ!$A$5:$P$100,12,FALSE),0)))</f>
        <v>6.5000000000000002E-2</v>
      </c>
      <c r="U156" s="58">
        <f>MAX(-10,MIN(0.8,IFERROR(INDEX(属性耐性マスタ!$B$5:$G$11,MATCH($C156,属性耐性マスタ!$A$5:$A$11,0),6),0)+IFERROR(VLOOKUP($AM156,個性タイプマスタ!$A$5:$P$100,12,FALSE),0)))</f>
        <v>6.5000000000000002E-2</v>
      </c>
      <c r="V156" s="59">
        <f>ROUND(設定!$B$19*IFERROR(VLOOKUP($AM156,個性タイプマスタ!$A$5:$P$100,13,FALSE),1),2)</f>
        <v>4.2</v>
      </c>
      <c r="W156" s="59">
        <v>26</v>
      </c>
      <c r="X156" s="59" t="str">
        <f>IFERROR(VLOOKUP($AM156,個性タイプマスタ!$A$5:$P$100,2,FALSE),"Ranged")</f>
        <v>Ranged</v>
      </c>
      <c r="Y156" s="56">
        <f>IFERROR(VLOOKUP($AM156,個性タイプマスタ!$A$5:$P$100,3,FALSE),1)</f>
        <v>1.1200000000000001</v>
      </c>
      <c r="Z156" s="56">
        <f>IFERROR(VLOOKUP($AM156,個性タイプマスタ!$A$5:$P$100,4,FALSE),1)</f>
        <v>1.95</v>
      </c>
      <c r="AA156" s="56">
        <f>IFERROR(VLOOKUP($AM156,個性タイプマスタ!$A$5:$P$100,5,FALSE),1)</f>
        <v>0.72</v>
      </c>
      <c r="AB156" s="56">
        <f>IFERROR(VLOOKUP($AM156,個性タイプマスタ!$A$5:$P$100,6,FALSE),1)</f>
        <v>0.87</v>
      </c>
      <c r="AC156" s="56">
        <f>IFERROR(VLOOKUP($AM156,個性タイプマスタ!$A$5:$P$100,7,FALSE),1)</f>
        <v>0.94</v>
      </c>
      <c r="AD156" s="56">
        <f>IFERROR(VLOOKUP($AM156,個性タイプマスタ!$A$5:$P$100,8,FALSE),1)</f>
        <v>0.82</v>
      </c>
      <c r="AE156" s="60">
        <f>IFERROR(D156/設定!$B$5,1)</f>
        <v>10.8347</v>
      </c>
      <c r="AF156" s="60">
        <f>1+設定!$B$13*((I156/設定!$B$8+J156/設定!$B$9)/(2*AE156))</f>
        <v>1.3997572613916398</v>
      </c>
      <c r="AG156" s="60">
        <f>MAX(0.7,1+設定!$B$14*(O156/IF(X156="Melee",1.5,2.5)-1))</f>
        <v>0.99280000000000002</v>
      </c>
      <c r="AH156" s="53">
        <f t="shared" si="9"/>
        <v>159.74797319999999</v>
      </c>
      <c r="AI156" s="53">
        <f>E156*AF156*(1+設定!$B$18*AVERAGE(P156:U156))</f>
        <v>1760.3035873270603</v>
      </c>
      <c r="AJ156" s="61">
        <f>設定!$B$5*SQRT((AH156/(設定!$B$7*設定!$B$10*(1+設定!$B$11*(設定!$B$12-1))))*(AI156/(設定!$B$6*(1+設定!$B$13))))</f>
        <v>1082.7834372732621</v>
      </c>
      <c r="AK156" s="62">
        <f t="shared" si="10"/>
        <v>-6.3367026935490234E-4</v>
      </c>
      <c r="AL156" s="63">
        <f t="shared" si="11"/>
        <v>888.44539999999995</v>
      </c>
      <c r="AM156" s="64" t="s">
        <v>928</v>
      </c>
      <c r="AN156" s="54">
        <f>MAX(1,ROUND((設定!$B$7*設定!$B$10*(1+設定!$B$11*(設定!$B$12-1)))*AE156^2*(設定!$B$6*(1+設定!$B$13))/(AI156*N156*(1+K156*(L156-1))*AG156),0))</f>
        <v>180</v>
      </c>
      <c r="AO156" s="65" t="str">
        <f>IF($A156="","",IF(COUNTIF(個性タイプマスタ!$A$5:$A$100,$AM156)&gt;0,"OK","未登録"))</f>
        <v>OK</v>
      </c>
      <c r="AP156" s="67" t="str">
        <f>IF($A156="","",IF(COUNTIF(属性耐性マスタ!$A$5:$A$11,$C156)&gt;0,"OK","未登録"))</f>
        <v>OK</v>
      </c>
    </row>
    <row r="157" spans="1:42">
      <c r="A157" s="66" t="s">
        <v>414</v>
      </c>
      <c r="B157" s="51" t="s">
        <v>415</v>
      </c>
      <c r="C157" s="109" t="s">
        <v>871</v>
      </c>
      <c r="D157" s="53">
        <f>ROUND(設定!$B$5*POWER($D$2,W157-1),2)</f>
        <v>1083.47</v>
      </c>
      <c r="E157" s="54">
        <f>MAX(1,ROUND(設定!$B$6*AE157*Y157,0))</f>
        <v>888</v>
      </c>
      <c r="F157" s="54">
        <f>MAX(0,ROUND(設定!$B$7*AE157*設定!$B$15*IF(X157="Melee",0.6,1.35)*IFERROR(VLOOKUP($AM157,個性タイプマスタ!$A$5:$P$100,14,FALSE),1),0))</f>
        <v>142</v>
      </c>
      <c r="G157" s="54">
        <f>IF(X157="Melee",AN157,MAX(1,ROUND(AN157*設定!$B$16*IFERROR(VLOOKUP($AM157,個性タイプマスタ!$A$5:$P$100,15,FALSE),1),0)))</f>
        <v>109</v>
      </c>
      <c r="H157" s="54">
        <f>IF(X157="Ranged",AN157,MAX(1,ROUND(AN157*設定!$B$16*IFERROR(VLOOKUP($AM157,個性タイプマスタ!$A$5:$P$100,15,FALSE),1),0)))</f>
        <v>242</v>
      </c>
      <c r="I157" s="54">
        <f>MAX(0,ROUND(設定!$B$8*AE157*Z157,0))</f>
        <v>74</v>
      </c>
      <c r="J157" s="54">
        <f>MAX(0,ROUND(設定!$B$9*AE157*AA157,0))</f>
        <v>87</v>
      </c>
      <c r="K157" s="55">
        <f>IFERROR(VLOOKUP($AM157,個性タイプマスタ!$A$5:$P$100,9,FALSE),0.05)</f>
        <v>0.05</v>
      </c>
      <c r="L157" s="56">
        <f>IFERROR(VLOOKUP($AM157,個性タイプマスタ!$A$5:$P$100,10,FALSE),1.5)</f>
        <v>1.5</v>
      </c>
      <c r="M157" s="56">
        <f>IFERROR(VLOOKUP($AM157,個性タイプマスタ!$A$5:$P$100,11,FALSE),2)</f>
        <v>2</v>
      </c>
      <c r="N157" s="57">
        <f>MAX(0.1,ROUND(設定!$B$10*AB157,3))</f>
        <v>1</v>
      </c>
      <c r="O157" s="57">
        <f t="shared" si="8"/>
        <v>2.5</v>
      </c>
      <c r="P157" s="58">
        <f>MAX(-10,MIN(0.8,IFERROR(INDEX(属性耐性マスタ!$B$5:$G$11,MATCH($C157,属性耐性マスタ!$A$5:$A$11,0),1),0)+IFERROR(VLOOKUP($AM157,個性タイプマスタ!$A$5:$P$100,12,FALSE),0)))</f>
        <v>-0.02</v>
      </c>
      <c r="Q157" s="58">
        <f>MAX(-10,MIN(0.8,IFERROR(INDEX(属性耐性マスタ!$B$5:$G$11,MATCH($C157,属性耐性マスタ!$A$5:$A$11,0),2),0)+IFERROR(VLOOKUP($AM157,個性タイプマスタ!$A$5:$P$100,12,FALSE),0)))</f>
        <v>-0.02</v>
      </c>
      <c r="R157" s="58">
        <f>MAX(-10,MIN(0.8,IFERROR(INDEX(属性耐性マスタ!$B$5:$G$11,MATCH($C157,属性耐性マスタ!$A$5:$A$11,0),3),0)+IFERROR(VLOOKUP($AM157,個性タイプマスタ!$A$5:$P$100,12,FALSE),0)))</f>
        <v>-0.12000000000000001</v>
      </c>
      <c r="S157" s="58">
        <f>MAX(-10,MIN(0.8,IFERROR(INDEX(属性耐性マスタ!$B$5:$G$11,MATCH($C157,属性耐性マスタ!$A$5:$A$11,0),4),0)+IFERROR(VLOOKUP($AM157,個性タイプマスタ!$A$5:$P$100,12,FALSE),0)))</f>
        <v>0.18000000000000002</v>
      </c>
      <c r="T157" s="58">
        <f>MAX(-10,MIN(0.8,IFERROR(INDEX(属性耐性マスタ!$B$5:$G$11,MATCH($C157,属性耐性マスタ!$A$5:$A$11,0),5),0)+IFERROR(VLOOKUP($AM157,個性タイプマスタ!$A$5:$P$100,12,FALSE),0)))</f>
        <v>-0.02</v>
      </c>
      <c r="U157" s="58">
        <f>MAX(-10,MIN(0.8,IFERROR(INDEX(属性耐性マスタ!$B$5:$G$11,MATCH($C157,属性耐性マスタ!$A$5:$A$11,0),6),0)+IFERROR(VLOOKUP($AM157,個性タイプマスタ!$A$5:$P$100,12,FALSE),0)))</f>
        <v>-0.02</v>
      </c>
      <c r="V157" s="59">
        <f>ROUND(設定!$B$19*IFERROR(VLOOKUP($AM157,個性タイプマスタ!$A$5:$P$100,13,FALSE),1),2)</f>
        <v>4</v>
      </c>
      <c r="W157" s="59">
        <v>26</v>
      </c>
      <c r="X157" s="59" t="str">
        <f>IFERROR(VLOOKUP($AM157,個性タイプマスタ!$A$5:$P$100,2,FALSE),"Ranged")</f>
        <v>Ranged</v>
      </c>
      <c r="Y157" s="56">
        <f>IFERROR(VLOOKUP($AM157,個性タイプマスタ!$A$5:$P$100,3,FALSE),1)</f>
        <v>0.82</v>
      </c>
      <c r="Z157" s="56">
        <f>IFERROR(VLOOKUP($AM157,個性タイプマスタ!$A$5:$P$100,4,FALSE),1)</f>
        <v>0.85</v>
      </c>
      <c r="AA157" s="56">
        <f>IFERROR(VLOOKUP($AM157,個性タイプマスタ!$A$5:$P$100,5,FALSE),1)</f>
        <v>1</v>
      </c>
      <c r="AB157" s="56">
        <f>IFERROR(VLOOKUP($AM157,個性タイプマスタ!$A$5:$P$100,6,FALSE),1)</f>
        <v>1</v>
      </c>
      <c r="AC157" s="56">
        <f>IFERROR(VLOOKUP($AM157,個性タイプマスタ!$A$5:$P$100,7,FALSE),1)</f>
        <v>1</v>
      </c>
      <c r="AD157" s="56">
        <f>IFERROR(VLOOKUP($AM157,個性タイプマスタ!$A$5:$P$100,8,FALSE),1)</f>
        <v>0.68</v>
      </c>
      <c r="AE157" s="60">
        <f>IFERROR(D157/設定!$B$5,1)</f>
        <v>10.8347</v>
      </c>
      <c r="AF157" s="60">
        <f>1+設定!$B$13*((I157/設定!$B$8+J157/設定!$B$9)/(2*AE157))</f>
        <v>1.2786186973335671</v>
      </c>
      <c r="AG157" s="60">
        <f>MAX(0.7,1+設定!$B$14*(O157/IF(X157="Melee",1.5,2.5)-1))</f>
        <v>1</v>
      </c>
      <c r="AH157" s="53">
        <f t="shared" si="9"/>
        <v>248.04999999999998</v>
      </c>
      <c r="AI157" s="53">
        <f>E157*AF157*(1+設定!$B$18*AVERAGE(P157:U157))</f>
        <v>1133.7102831273594</v>
      </c>
      <c r="AJ157" s="61">
        <f>設定!$B$5*SQRT((AH157/(設定!$B$7*設定!$B$10*(1+設定!$B$11*(設定!$B$12-1))))*(AI157/(設定!$B$6*(1+設定!$B$13))))</f>
        <v>1082.8063580558824</v>
      </c>
      <c r="AK157" s="62">
        <f t="shared" si="10"/>
        <v>-6.1251529264094717E-4</v>
      </c>
      <c r="AL157" s="63">
        <f t="shared" si="11"/>
        <v>736.75960000000009</v>
      </c>
      <c r="AM157" s="64" t="s">
        <v>878</v>
      </c>
      <c r="AN157" s="54">
        <f>MAX(1,ROUND((設定!$B$7*設定!$B$10*(1+設定!$B$11*(設定!$B$12-1)))*AE157^2*(設定!$B$6*(1+設定!$B$13))/(AI157*N157*(1+K157*(L157-1))*AG157),0))</f>
        <v>242</v>
      </c>
      <c r="AO157" s="65" t="str">
        <f>IF($A157="","",IF(COUNTIF(個性タイプマスタ!$A$5:$A$100,$AM157)&gt;0,"OK","未登録"))</f>
        <v>OK</v>
      </c>
      <c r="AP157" s="67" t="str">
        <f>IF($A157="","",IF(COUNTIF(属性耐性マスタ!$A$5:$A$11,$C157)&gt;0,"OK","未登録"))</f>
        <v>OK</v>
      </c>
    </row>
    <row r="158" spans="1:42">
      <c r="A158" s="66" t="s">
        <v>416</v>
      </c>
      <c r="B158" s="51" t="s">
        <v>417</v>
      </c>
      <c r="C158" s="109" t="s">
        <v>871</v>
      </c>
      <c r="D158" s="53">
        <f>ROUND(設定!$B$5*POWER($D$2,W158-1),2)</f>
        <v>1083.47</v>
      </c>
      <c r="E158" s="54">
        <f>MAX(1,ROUND(設定!$B$6*AE158*Y158,0))</f>
        <v>1376</v>
      </c>
      <c r="F158" s="54">
        <f>MAX(0,ROUND(設定!$B$7*AE158*設定!$B$15*IF(X158="Melee",0.6,1.35)*IFERROR(VLOOKUP($AM158,個性タイプマスタ!$A$5:$P$100,14,FALSE),1),0))</f>
        <v>49</v>
      </c>
      <c r="G158" s="54">
        <f>IF(X158="Melee",AN158,MAX(1,ROUND(AN158*設定!$B$16*IFERROR(VLOOKUP($AM158,個性タイプマスタ!$A$5:$P$100,15,FALSE),1),0)))</f>
        <v>273</v>
      </c>
      <c r="H158" s="54">
        <f>IF(X158="Ranged",AN158,MAX(1,ROUND(AN158*設定!$B$16*IFERROR(VLOOKUP($AM158,個性タイプマスタ!$A$5:$P$100,15,FALSE),1),0)))</f>
        <v>80</v>
      </c>
      <c r="I158" s="54">
        <f>MAX(0,ROUND(設定!$B$8*AE158*Z158,0))</f>
        <v>91</v>
      </c>
      <c r="J158" s="54">
        <f>MAX(0,ROUND(設定!$B$9*AE158*AA158,0))</f>
        <v>76</v>
      </c>
      <c r="K158" s="55">
        <f>IFERROR(VLOOKUP($AM158,個性タイプマスタ!$A$5:$P$100,9,FALSE),0.05)</f>
        <v>0.06</v>
      </c>
      <c r="L158" s="56">
        <f>IFERROR(VLOOKUP($AM158,個性タイプマスタ!$A$5:$P$100,10,FALSE),1.5)</f>
        <v>2.15</v>
      </c>
      <c r="M158" s="56">
        <f>IFERROR(VLOOKUP($AM158,個性タイプマスタ!$A$5:$P$100,11,FALSE),2)</f>
        <v>1.65</v>
      </c>
      <c r="N158" s="57">
        <f>MAX(0.1,ROUND(設定!$B$10*AB158,3))</f>
        <v>0.53</v>
      </c>
      <c r="O158" s="57">
        <f t="shared" si="8"/>
        <v>1.86</v>
      </c>
      <c r="P158" s="58">
        <f>MAX(-10,MIN(0.8,IFERROR(INDEX(属性耐性マスタ!$B$5:$G$11,MATCH($C158,属性耐性マスタ!$A$5:$A$11,0),1),0)+IFERROR(VLOOKUP($AM158,個性タイプマスタ!$A$5:$P$100,12,FALSE),0)))</f>
        <v>-2.5000000000000001E-2</v>
      </c>
      <c r="Q158" s="58">
        <f>MAX(-10,MIN(0.8,IFERROR(INDEX(属性耐性マスタ!$B$5:$G$11,MATCH($C158,属性耐性マスタ!$A$5:$A$11,0),2),0)+IFERROR(VLOOKUP($AM158,個性タイプマスタ!$A$5:$P$100,12,FALSE),0)))</f>
        <v>-2.5000000000000001E-2</v>
      </c>
      <c r="R158" s="58">
        <f>MAX(-10,MIN(0.8,IFERROR(INDEX(属性耐性マスタ!$B$5:$G$11,MATCH($C158,属性耐性マスタ!$A$5:$A$11,0),3),0)+IFERROR(VLOOKUP($AM158,個性タイプマスタ!$A$5:$P$100,12,FALSE),0)))</f>
        <v>-0.125</v>
      </c>
      <c r="S158" s="58">
        <f>MAX(-10,MIN(0.8,IFERROR(INDEX(属性耐性マスタ!$B$5:$G$11,MATCH($C158,属性耐性マスタ!$A$5:$A$11,0),4),0)+IFERROR(VLOOKUP($AM158,個性タイプマスタ!$A$5:$P$100,12,FALSE),0)))</f>
        <v>0.17500000000000002</v>
      </c>
      <c r="T158" s="58">
        <f>MAX(-10,MIN(0.8,IFERROR(INDEX(属性耐性マスタ!$B$5:$G$11,MATCH($C158,属性耐性マスタ!$A$5:$A$11,0),5),0)+IFERROR(VLOOKUP($AM158,個性タイプマスタ!$A$5:$P$100,12,FALSE),0)))</f>
        <v>-2.5000000000000001E-2</v>
      </c>
      <c r="U158" s="58">
        <f>MAX(-10,MIN(0.8,IFERROR(INDEX(属性耐性マスタ!$B$5:$G$11,MATCH($C158,属性耐性マスタ!$A$5:$A$11,0),6),0)+IFERROR(VLOOKUP($AM158,個性タイプマスタ!$A$5:$P$100,12,FALSE),0)))</f>
        <v>-2.5000000000000001E-2</v>
      </c>
      <c r="V158" s="59">
        <f>ROUND(設定!$B$19*IFERROR(VLOOKUP($AM158,個性タイプマスタ!$A$5:$P$100,13,FALSE),1),2)</f>
        <v>4.4000000000000004</v>
      </c>
      <c r="W158" s="59">
        <v>26</v>
      </c>
      <c r="X158" s="59" t="str">
        <f>IFERROR(VLOOKUP($AM158,個性タイプマスタ!$A$5:$P$100,2,FALSE),"Ranged")</f>
        <v>Melee</v>
      </c>
      <c r="Y158" s="56">
        <f>IFERROR(VLOOKUP($AM158,個性タイプマスタ!$A$5:$P$100,3,FALSE),1)</f>
        <v>1.27</v>
      </c>
      <c r="Z158" s="56">
        <f>IFERROR(VLOOKUP($AM158,個性タイプマスタ!$A$5:$P$100,4,FALSE),1)</f>
        <v>1.05</v>
      </c>
      <c r="AA158" s="56">
        <f>IFERROR(VLOOKUP($AM158,個性タイプマスタ!$A$5:$P$100,5,FALSE),1)</f>
        <v>0.88</v>
      </c>
      <c r="AB158" s="56">
        <f>IFERROR(VLOOKUP($AM158,個性タイプマスタ!$A$5:$P$100,6,FALSE),1)</f>
        <v>0.53</v>
      </c>
      <c r="AC158" s="56">
        <f>IFERROR(VLOOKUP($AM158,個性タイプマスタ!$A$5:$P$100,7,FALSE),1)</f>
        <v>1.24</v>
      </c>
      <c r="AD158" s="56">
        <f>IFERROR(VLOOKUP($AM158,個性タイプマスタ!$A$5:$P$100,8,FALSE),1)</f>
        <v>0.8</v>
      </c>
      <c r="AE158" s="60">
        <f>IFERROR(D158/設定!$B$5,1)</f>
        <v>10.8347</v>
      </c>
      <c r="AF158" s="60">
        <f>1+設定!$B$13*((I158/設定!$B$8+J158/設定!$B$9)/(2*AE158))</f>
        <v>1.289002002824259</v>
      </c>
      <c r="AG158" s="60">
        <f>MAX(0.7,1+設定!$B$14*(O158/IF(X158="Melee",1.5,2.5)-1))</f>
        <v>1.0287999999999999</v>
      </c>
      <c r="AH158" s="53">
        <f t="shared" si="9"/>
        <v>159.12820996799999</v>
      </c>
      <c r="AI158" s="53">
        <f>E158*AF158*(1+設定!$B$18*AVERAGE(P158:U158))</f>
        <v>1767.0155055516072</v>
      </c>
      <c r="AJ158" s="61">
        <f>設定!$B$5*SQRT((AH158/(設定!$B$7*設定!$B$10*(1+設定!$B$11*(設定!$B$12-1))))*(AI158/(設定!$B$6*(1+設定!$B$13))))</f>
        <v>1082.7393173653982</v>
      </c>
      <c r="AK158" s="62">
        <f t="shared" si="10"/>
        <v>-6.7439120105017292E-4</v>
      </c>
      <c r="AL158" s="63">
        <f t="shared" si="11"/>
        <v>866.77600000000007</v>
      </c>
      <c r="AM158" s="64" t="s">
        <v>944</v>
      </c>
      <c r="AN158" s="54">
        <f>MAX(1,ROUND((設定!$B$7*設定!$B$10*(1+設定!$B$11*(設定!$B$12-1)))*AE158^2*(設定!$B$6*(1+設定!$B$13))/(AI158*N158*(1+K158*(L158-1))*AG158),0))</f>
        <v>273</v>
      </c>
      <c r="AO158" s="65" t="str">
        <f>IF($A158="","",IF(COUNTIF(個性タイプマスタ!$A$5:$A$100,$AM158)&gt;0,"OK","未登録"))</f>
        <v>OK</v>
      </c>
      <c r="AP158" s="67" t="str">
        <f>IF($A158="","",IF(COUNTIF(属性耐性マスタ!$A$5:$A$11,$C158)&gt;0,"OK","未登録"))</f>
        <v>OK</v>
      </c>
    </row>
    <row r="159" spans="1:42">
      <c r="A159" s="66" t="s">
        <v>418</v>
      </c>
      <c r="B159" s="51" t="s">
        <v>419</v>
      </c>
      <c r="C159" s="109" t="s">
        <v>874</v>
      </c>
      <c r="D159" s="53">
        <f>ROUND(設定!$B$5*POWER($D$2,W159-1),2)</f>
        <v>1083.47</v>
      </c>
      <c r="E159" s="54">
        <f>MAX(1,ROUND(設定!$B$6*AE159*Y159,0))</f>
        <v>997</v>
      </c>
      <c r="F159" s="54">
        <f>MAX(0,ROUND(設定!$B$7*AE159*設定!$B$15*IF(X159="Melee",0.6,1.35)*IFERROR(VLOOKUP($AM159,個性タイプマスタ!$A$5:$P$100,14,FALSE),1),0))</f>
        <v>63</v>
      </c>
      <c r="G159" s="54">
        <f>IF(X159="Melee",AN159,MAX(1,ROUND(AN159*設定!$B$16*IFERROR(VLOOKUP($AM159,個性タイプマスタ!$A$5:$P$100,15,FALSE),1),0)))</f>
        <v>209</v>
      </c>
      <c r="H159" s="54">
        <f>IF(X159="Ranged",AN159,MAX(1,ROUND(AN159*設定!$B$16*IFERROR(VLOOKUP($AM159,個性タイプマスタ!$A$5:$P$100,15,FALSE),1),0)))</f>
        <v>75</v>
      </c>
      <c r="I159" s="54">
        <f>MAX(0,ROUND(設定!$B$8*AE159*Z159,0))</f>
        <v>80</v>
      </c>
      <c r="J159" s="54">
        <f>MAX(0,ROUND(設定!$B$9*AE159*AA159,0))</f>
        <v>74</v>
      </c>
      <c r="K159" s="55">
        <f>IFERROR(VLOOKUP($AM159,個性タイプマスタ!$A$5:$P$100,9,FALSE),0.05)</f>
        <v>7.0000000000000007E-2</v>
      </c>
      <c r="L159" s="56">
        <f>IFERROR(VLOOKUP($AM159,個性タイプマスタ!$A$5:$P$100,10,FALSE),1.5)</f>
        <v>1.6</v>
      </c>
      <c r="M159" s="56">
        <f>IFERROR(VLOOKUP($AM159,個性タイプマスタ!$A$5:$P$100,11,FALSE),2)</f>
        <v>2.4500000000000002</v>
      </c>
      <c r="N159" s="57">
        <f>MAX(0.1,ROUND(設定!$B$10*AB159,3))</f>
        <v>0.94</v>
      </c>
      <c r="O159" s="57">
        <f t="shared" si="8"/>
        <v>2.73</v>
      </c>
      <c r="P159" s="58">
        <f>MAX(-10,MIN(0.8,IFERROR(INDEX(属性耐性マスタ!$B$5:$G$11,MATCH($C159,属性耐性マスタ!$A$5:$A$11,0),1),0)+IFERROR(VLOOKUP($AM159,個性タイプマスタ!$A$5:$P$100,12,FALSE),0)))</f>
        <v>-3.5000000000000003E-2</v>
      </c>
      <c r="Q159" s="58">
        <f>MAX(-10,MIN(0.8,IFERROR(INDEX(属性耐性マスタ!$B$5:$G$11,MATCH($C159,属性耐性マスタ!$A$5:$A$11,0),2),0)+IFERROR(VLOOKUP($AM159,個性タイプマスタ!$A$5:$P$100,12,FALSE),0)))</f>
        <v>-3.5000000000000003E-2</v>
      </c>
      <c r="R159" s="58">
        <f>MAX(-10,MIN(0.8,IFERROR(INDEX(属性耐性マスタ!$B$5:$G$11,MATCH($C159,属性耐性マスタ!$A$5:$A$11,0),3),0)+IFERROR(VLOOKUP($AM159,個性タイプマスタ!$A$5:$P$100,12,FALSE),0)))</f>
        <v>-3.5000000000000003E-2</v>
      </c>
      <c r="S159" s="58">
        <f>MAX(-10,MIN(0.8,IFERROR(INDEX(属性耐性マスタ!$B$5:$G$11,MATCH($C159,属性耐性マスタ!$A$5:$A$11,0),4),0)+IFERROR(VLOOKUP($AM159,個性タイプマスタ!$A$5:$P$100,12,FALSE),0)))</f>
        <v>-3.5000000000000003E-2</v>
      </c>
      <c r="T159" s="58">
        <f>MAX(-10,MIN(0.8,IFERROR(INDEX(属性耐性マスタ!$B$5:$G$11,MATCH($C159,属性耐性マスタ!$A$5:$A$11,0),5),0)+IFERROR(VLOOKUP($AM159,個性タイプマスタ!$A$5:$P$100,12,FALSE),0)))</f>
        <v>-0.13500000000000001</v>
      </c>
      <c r="U159" s="58">
        <f>MAX(-10,MIN(0.8,IFERROR(INDEX(属性耐性マスタ!$B$5:$G$11,MATCH($C159,属性耐性マスタ!$A$5:$A$11,0),6),0)+IFERROR(VLOOKUP($AM159,個性タイプマスタ!$A$5:$P$100,12,FALSE),0)))</f>
        <v>0.16500000000000001</v>
      </c>
      <c r="V159" s="59">
        <f>ROUND(設定!$B$19*IFERROR(VLOOKUP($AM159,個性タイプマスタ!$A$5:$P$100,13,FALSE),1),2)</f>
        <v>5.6</v>
      </c>
      <c r="W159" s="59">
        <v>26</v>
      </c>
      <c r="X159" s="59" t="str">
        <f>IFERROR(VLOOKUP($AM159,個性タイプマスタ!$A$5:$P$100,2,FALSE),"Ranged")</f>
        <v>Melee</v>
      </c>
      <c r="Y159" s="56">
        <f>IFERROR(VLOOKUP($AM159,個性タイプマスタ!$A$5:$P$100,3,FALSE),1)</f>
        <v>0.92</v>
      </c>
      <c r="Z159" s="56">
        <f>IFERROR(VLOOKUP($AM159,個性タイプマスタ!$A$5:$P$100,4,FALSE),1)</f>
        <v>0.92</v>
      </c>
      <c r="AA159" s="56">
        <f>IFERROR(VLOOKUP($AM159,個性タイプマスタ!$A$5:$P$100,5,FALSE),1)</f>
        <v>0.85</v>
      </c>
      <c r="AB159" s="56">
        <f>IFERROR(VLOOKUP($AM159,個性タイプマスタ!$A$5:$P$100,6,FALSE),1)</f>
        <v>0.94</v>
      </c>
      <c r="AC159" s="56">
        <f>IFERROR(VLOOKUP($AM159,個性タイプマスタ!$A$5:$P$100,7,FALSE),1)</f>
        <v>1.82</v>
      </c>
      <c r="AD159" s="56">
        <f>IFERROR(VLOOKUP($AM159,個性タイプマスタ!$A$5:$P$100,8,FALSE),1)</f>
        <v>0.74</v>
      </c>
      <c r="AE159" s="60">
        <f>IFERROR(D159/設定!$B$5,1)</f>
        <v>10.8347</v>
      </c>
      <c r="AF159" s="60">
        <f>1+設定!$B$13*((I159/設定!$B$8+J159/設定!$B$9)/(2*AE159))</f>
        <v>1.2665048409277599</v>
      </c>
      <c r="AG159" s="60">
        <f>MAX(0.7,1+設定!$B$14*(O159/IF(X159="Melee",1.5,2.5)-1))</f>
        <v>1.0984</v>
      </c>
      <c r="AH159" s="53">
        <f t="shared" si="9"/>
        <v>224.85491388799997</v>
      </c>
      <c r="AI159" s="53">
        <f>E159*AF159*(1+設定!$B$18*AVERAGE(P159:U159))</f>
        <v>1252.2880074621355</v>
      </c>
      <c r="AJ159" s="61">
        <f>設定!$B$5*SQRT((AH159/(設定!$B$7*設定!$B$10*(1+設定!$B$11*(設定!$B$12-1))))*(AI159/(設定!$B$6*(1+設定!$B$13))))</f>
        <v>1083.5112897199012</v>
      </c>
      <c r="AK159" s="62">
        <f t="shared" si="10"/>
        <v>3.8108780031853584E-5</v>
      </c>
      <c r="AL159" s="63">
        <f t="shared" si="11"/>
        <v>801.76779999999997</v>
      </c>
      <c r="AM159" s="64" t="s">
        <v>958</v>
      </c>
      <c r="AN159" s="54">
        <f>MAX(1,ROUND((設定!$B$7*設定!$B$10*(1+設定!$B$11*(設定!$B$12-1)))*AE159^2*(設定!$B$6*(1+設定!$B$13))/(AI159*N159*(1+K159*(L159-1))*AG159),0))</f>
        <v>209</v>
      </c>
      <c r="AO159" s="65" t="str">
        <f>IF($A159="","",IF(COUNTIF(個性タイプマスタ!$A$5:$A$100,$AM159)&gt;0,"OK","未登録"))</f>
        <v>OK</v>
      </c>
      <c r="AP159" s="67" t="str">
        <f>IF($A159="","",IF(COUNTIF(属性耐性マスタ!$A$5:$A$11,$C159)&gt;0,"OK","未登録"))</f>
        <v>OK</v>
      </c>
    </row>
    <row r="160" spans="1:42">
      <c r="A160" s="66" t="s">
        <v>420</v>
      </c>
      <c r="B160" s="51" t="s">
        <v>421</v>
      </c>
      <c r="C160" s="109" t="s">
        <v>871</v>
      </c>
      <c r="D160" s="53">
        <f>ROUND(設定!$B$5*POWER($D$2,W160-1),2)</f>
        <v>1083.47</v>
      </c>
      <c r="E160" s="54">
        <f>MAX(1,ROUND(設定!$B$6*AE160*Y160,0))</f>
        <v>964</v>
      </c>
      <c r="F160" s="54">
        <f>MAX(0,ROUND(設定!$B$7*AE160*設定!$B$15*IF(X160="Melee",0.6,1.35)*IFERROR(VLOOKUP($AM160,個性タイプマスタ!$A$5:$P$100,14,FALSE),1),0))</f>
        <v>150</v>
      </c>
      <c r="G160" s="54">
        <f>IF(X160="Melee",AN160,MAX(1,ROUND(AN160*設定!$B$16*IFERROR(VLOOKUP($AM160,個性タイプマスタ!$A$5:$P$100,15,FALSE),1),0)))</f>
        <v>50</v>
      </c>
      <c r="H160" s="54">
        <f>IF(X160="Ranged",AN160,MAX(1,ROUND(AN160*設定!$B$16*IFERROR(VLOOKUP($AM160,個性タイプマスタ!$A$5:$P$100,15,FALSE),1),0)))</f>
        <v>186</v>
      </c>
      <c r="I160" s="54">
        <f>MAX(0,ROUND(設定!$B$8*AE160*Z160,0))</f>
        <v>80</v>
      </c>
      <c r="J160" s="54">
        <f>MAX(0,ROUND(設定!$B$9*AE160*AA160,0))</f>
        <v>79</v>
      </c>
      <c r="K160" s="55">
        <f>IFERROR(VLOOKUP($AM160,個性タイプマスタ!$A$5:$P$100,9,FALSE),0.05)</f>
        <v>7.4999999999999997E-2</v>
      </c>
      <c r="L160" s="56">
        <f>IFERROR(VLOOKUP($AM160,個性タイプマスタ!$A$5:$P$100,10,FALSE),1.5)</f>
        <v>1.5</v>
      </c>
      <c r="M160" s="56">
        <f>IFERROR(VLOOKUP($AM160,個性タイプマスタ!$A$5:$P$100,11,FALSE),2)</f>
        <v>3.1</v>
      </c>
      <c r="N160" s="57">
        <f>MAX(0.1,ROUND(設定!$B$10*AB160,3))</f>
        <v>1.1499999999999999</v>
      </c>
      <c r="O160" s="57">
        <f t="shared" si="8"/>
        <v>3.0750000000000002</v>
      </c>
      <c r="P160" s="58">
        <f>MAX(-10,MIN(0.8,IFERROR(INDEX(属性耐性マスタ!$B$5:$G$11,MATCH($C160,属性耐性マスタ!$A$5:$A$11,0),1),0)+IFERROR(VLOOKUP($AM160,個性タイプマスタ!$A$5:$P$100,12,FALSE),0)))</f>
        <v>-0.01</v>
      </c>
      <c r="Q160" s="58">
        <f>MAX(-10,MIN(0.8,IFERROR(INDEX(属性耐性マスタ!$B$5:$G$11,MATCH($C160,属性耐性マスタ!$A$5:$A$11,0),2),0)+IFERROR(VLOOKUP($AM160,個性タイプマスタ!$A$5:$P$100,12,FALSE),0)))</f>
        <v>-0.01</v>
      </c>
      <c r="R160" s="58">
        <f>MAX(-10,MIN(0.8,IFERROR(INDEX(属性耐性マスタ!$B$5:$G$11,MATCH($C160,属性耐性マスタ!$A$5:$A$11,0),3),0)+IFERROR(VLOOKUP($AM160,個性タイプマスタ!$A$5:$P$100,12,FALSE),0)))</f>
        <v>-0.11</v>
      </c>
      <c r="S160" s="58">
        <f>MAX(-10,MIN(0.8,IFERROR(INDEX(属性耐性マスタ!$B$5:$G$11,MATCH($C160,属性耐性マスタ!$A$5:$A$11,0),4),0)+IFERROR(VLOOKUP($AM160,個性タイプマスタ!$A$5:$P$100,12,FALSE),0)))</f>
        <v>0.19</v>
      </c>
      <c r="T160" s="58">
        <f>MAX(-10,MIN(0.8,IFERROR(INDEX(属性耐性マスタ!$B$5:$G$11,MATCH($C160,属性耐性マスタ!$A$5:$A$11,0),5),0)+IFERROR(VLOOKUP($AM160,個性タイプマスタ!$A$5:$P$100,12,FALSE),0)))</f>
        <v>-0.01</v>
      </c>
      <c r="U160" s="58">
        <f>MAX(-10,MIN(0.8,IFERROR(INDEX(属性耐性マスタ!$B$5:$G$11,MATCH($C160,属性耐性マスタ!$A$5:$A$11,0),6),0)+IFERROR(VLOOKUP($AM160,個性タイプマスタ!$A$5:$P$100,12,FALSE),0)))</f>
        <v>-0.01</v>
      </c>
      <c r="V160" s="59">
        <f>ROUND(設定!$B$19*IFERROR(VLOOKUP($AM160,個性タイプマスタ!$A$5:$P$100,13,FALSE),1),2)</f>
        <v>8.6</v>
      </c>
      <c r="W160" s="59">
        <v>26</v>
      </c>
      <c r="X160" s="59" t="str">
        <f>IFERROR(VLOOKUP($AM160,個性タイプマスタ!$A$5:$P$100,2,FALSE),"Ranged")</f>
        <v>Ranged</v>
      </c>
      <c r="Y160" s="56">
        <f>IFERROR(VLOOKUP($AM160,個性タイプマスタ!$A$5:$P$100,3,FALSE),1)</f>
        <v>0.89</v>
      </c>
      <c r="Z160" s="56">
        <f>IFERROR(VLOOKUP($AM160,個性タイプマスタ!$A$5:$P$100,4,FALSE),1)</f>
        <v>0.92</v>
      </c>
      <c r="AA160" s="56">
        <f>IFERROR(VLOOKUP($AM160,個性タイプマスタ!$A$5:$P$100,5,FALSE),1)</f>
        <v>0.91</v>
      </c>
      <c r="AB160" s="56">
        <f>IFERROR(VLOOKUP($AM160,個性タイプマスタ!$A$5:$P$100,6,FALSE),1)</f>
        <v>1.1499999999999999</v>
      </c>
      <c r="AC160" s="56">
        <f>IFERROR(VLOOKUP($AM160,個性タイプマスタ!$A$5:$P$100,7,FALSE),1)</f>
        <v>1.23</v>
      </c>
      <c r="AD160" s="56">
        <f>IFERROR(VLOOKUP($AM160,個性タイプマスタ!$A$5:$P$100,8,FALSE),1)</f>
        <v>0.74</v>
      </c>
      <c r="AE160" s="60">
        <f>IFERROR(D160/設定!$B$5,1)</f>
        <v>10.8347</v>
      </c>
      <c r="AF160" s="60">
        <f>1+設定!$B$13*((I160/設定!$B$8+J160/設定!$B$9)/(2*AE160))</f>
        <v>1.2751575955033365</v>
      </c>
      <c r="AG160" s="60">
        <f>MAX(0.7,1+設定!$B$14*(O160/IF(X160="Melee",1.5,2.5)-1))</f>
        <v>1.0276000000000001</v>
      </c>
      <c r="AH160" s="53">
        <f t="shared" si="9"/>
        <v>228.0462765</v>
      </c>
      <c r="AI160" s="53">
        <f>E160*AF160*(1+設定!$B$18*AVERAGE(P160:U160))</f>
        <v>1232.9396778314119</v>
      </c>
      <c r="AJ160" s="61">
        <f>設定!$B$5*SQRT((AH160/(設定!$B$7*設定!$B$10*(1+設定!$B$11*(設定!$B$12-1))))*(AI160/(設定!$B$6*(1+設定!$B$13))))</f>
        <v>1082.7109920288094</v>
      </c>
      <c r="AK160" s="62">
        <f t="shared" si="10"/>
        <v>-7.0053436753270137E-4</v>
      </c>
      <c r="AL160" s="63">
        <f t="shared" si="11"/>
        <v>801.76779999999997</v>
      </c>
      <c r="AM160" s="64" t="s">
        <v>934</v>
      </c>
      <c r="AN160" s="54">
        <f>MAX(1,ROUND((設定!$B$7*設定!$B$10*(1+設定!$B$11*(設定!$B$12-1)))*AE160^2*(設定!$B$6*(1+設定!$B$13))/(AI160*N160*(1+K160*(L160-1))*AG160),0))</f>
        <v>186</v>
      </c>
      <c r="AO160" s="65" t="str">
        <f>IF($A160="","",IF(COUNTIF(個性タイプマスタ!$A$5:$A$100,$AM160)&gt;0,"OK","未登録"))</f>
        <v>OK</v>
      </c>
      <c r="AP160" s="67" t="str">
        <f>IF($A160="","",IF(COUNTIF(属性耐性マスタ!$A$5:$A$11,$C160)&gt;0,"OK","未登録"))</f>
        <v>OK</v>
      </c>
    </row>
    <row r="161" spans="1:42">
      <c r="A161" s="66" t="s">
        <v>422</v>
      </c>
      <c r="B161" s="51" t="s">
        <v>423</v>
      </c>
      <c r="C161" s="109" t="s">
        <v>108</v>
      </c>
      <c r="D161" s="53">
        <f>ROUND(設定!$B$5*POWER($D$2,W161-1),2)</f>
        <v>1191.82</v>
      </c>
      <c r="E161" s="54">
        <f>MAX(1,ROUND(設定!$B$6*AE161*Y161,0))</f>
        <v>1263</v>
      </c>
      <c r="F161" s="54">
        <f>MAX(0,ROUND(設定!$B$7*AE161*設定!$B$15*IF(X161="Melee",0.6,1.35)*IFERROR(VLOOKUP($AM161,個性タイプマスタ!$A$5:$P$100,14,FALSE),1),0))</f>
        <v>304</v>
      </c>
      <c r="G161" s="54">
        <f>IF(X161="Melee",AN161,MAX(1,ROUND(AN161*設定!$B$16*IFERROR(VLOOKUP($AM161,個性タイプマスタ!$A$5:$P$100,15,FALSE),1),0)))</f>
        <v>61</v>
      </c>
      <c r="H161" s="54">
        <f>IF(X161="Ranged",AN161,MAX(1,ROUND(AN161*設定!$B$16*IFERROR(VLOOKUP($AM161,個性タイプマスタ!$A$5:$P$100,15,FALSE),1),0)))</f>
        <v>210</v>
      </c>
      <c r="I161" s="54">
        <f>MAX(0,ROUND(設定!$B$8*AE161*Z161,0))</f>
        <v>73</v>
      </c>
      <c r="J161" s="54">
        <f>MAX(0,ROUND(設定!$B$9*AE161*AA161,0))</f>
        <v>195</v>
      </c>
      <c r="K161" s="55">
        <f>IFERROR(VLOOKUP($AM161,個性タイプマスタ!$A$5:$P$100,9,FALSE),0.05)</f>
        <v>4.4999999999999998E-2</v>
      </c>
      <c r="L161" s="56">
        <f>IFERROR(VLOOKUP($AM161,個性タイプマスタ!$A$5:$P$100,10,FALSE),1.5)</f>
        <v>1.45</v>
      </c>
      <c r="M161" s="56">
        <f>IFERROR(VLOOKUP($AM161,個性タイプマスタ!$A$5:$P$100,11,FALSE),2)</f>
        <v>1.9</v>
      </c>
      <c r="N161" s="57">
        <f>MAX(0.1,ROUND(設定!$B$10*AB161,3))</f>
        <v>0.84</v>
      </c>
      <c r="O161" s="57">
        <f t="shared" si="8"/>
        <v>2.65</v>
      </c>
      <c r="P161" s="58">
        <f>MAX(-10,MIN(0.8,IFERROR(INDEX(属性耐性マスタ!$B$5:$G$11,MATCH($C161,属性耐性マスタ!$A$5:$A$11,0),1),0)+IFERROR(VLOOKUP($AM161,個性タイプマスタ!$A$5:$P$100,12,FALSE),0)))</f>
        <v>-1.0000000000000009E-2</v>
      </c>
      <c r="Q161" s="58">
        <f>MAX(-10,MIN(0.8,IFERROR(INDEX(属性耐性マスタ!$B$5:$G$11,MATCH($C161,属性耐性マスタ!$A$5:$A$11,0),2),0)+IFERROR(VLOOKUP($AM161,個性タイプマスタ!$A$5:$P$100,12,FALSE),0)))</f>
        <v>0.29000000000000004</v>
      </c>
      <c r="R161" s="58">
        <f>MAX(-10,MIN(0.8,IFERROR(INDEX(属性耐性マスタ!$B$5:$G$11,MATCH($C161,属性耐性マスタ!$A$5:$A$11,0),3),0)+IFERROR(VLOOKUP($AM161,個性タイプマスタ!$A$5:$P$100,12,FALSE),0)))</f>
        <v>0.09</v>
      </c>
      <c r="S161" s="58">
        <f>MAX(-10,MIN(0.8,IFERROR(INDEX(属性耐性マスタ!$B$5:$G$11,MATCH($C161,属性耐性マスタ!$A$5:$A$11,0),4),0)+IFERROR(VLOOKUP($AM161,個性タイプマスタ!$A$5:$P$100,12,FALSE),0)))</f>
        <v>0.09</v>
      </c>
      <c r="T161" s="58">
        <f>MAX(-10,MIN(0.8,IFERROR(INDEX(属性耐性マスタ!$B$5:$G$11,MATCH($C161,属性耐性マスタ!$A$5:$A$11,0),5),0)+IFERROR(VLOOKUP($AM161,個性タイプマスタ!$A$5:$P$100,12,FALSE),0)))</f>
        <v>0.09</v>
      </c>
      <c r="U161" s="58">
        <f>MAX(-10,MIN(0.8,IFERROR(INDEX(属性耐性マスタ!$B$5:$G$11,MATCH($C161,属性耐性マスタ!$A$5:$A$11,0),6),0)+IFERROR(VLOOKUP($AM161,個性タイプマスタ!$A$5:$P$100,12,FALSE),0)))</f>
        <v>0.09</v>
      </c>
      <c r="V161" s="59">
        <f>ROUND(設定!$B$19*IFERROR(VLOOKUP($AM161,個性タイプマスタ!$A$5:$P$100,13,FALSE),1),2)</f>
        <v>4.4000000000000004</v>
      </c>
      <c r="W161" s="59">
        <v>27</v>
      </c>
      <c r="X161" s="59" t="str">
        <f>IFERROR(VLOOKUP($AM161,個性タイプマスタ!$A$5:$P$100,2,FALSE),"Ranged")</f>
        <v>Ranged</v>
      </c>
      <c r="Y161" s="56">
        <f>IFERROR(VLOOKUP($AM161,個性タイプマスタ!$A$5:$P$100,3,FALSE),1)</f>
        <v>1.06</v>
      </c>
      <c r="Z161" s="56">
        <f>IFERROR(VLOOKUP($AM161,個性タイプマスタ!$A$5:$P$100,4,FALSE),1)</f>
        <v>0.77</v>
      </c>
      <c r="AA161" s="56">
        <f>IFERROR(VLOOKUP($AM161,個性タイプマスタ!$A$5:$P$100,5,FALSE),1)</f>
        <v>2.0499999999999998</v>
      </c>
      <c r="AB161" s="56">
        <f>IFERROR(VLOOKUP($AM161,個性タイプマスタ!$A$5:$P$100,6,FALSE),1)</f>
        <v>0.84</v>
      </c>
      <c r="AC161" s="56">
        <f>IFERROR(VLOOKUP($AM161,個性タイプマスタ!$A$5:$P$100,7,FALSE),1)</f>
        <v>1.06</v>
      </c>
      <c r="AD161" s="56">
        <f>IFERROR(VLOOKUP($AM161,個性タイプマスタ!$A$5:$P$100,8,FALSE),1)</f>
        <v>0.82</v>
      </c>
      <c r="AE161" s="60">
        <f>IFERROR(D161/設定!$B$5,1)</f>
        <v>11.918199999999999</v>
      </c>
      <c r="AF161" s="60">
        <f>1+設定!$B$13*((I161/設定!$B$8+J161/設定!$B$9)/(2*AE161))</f>
        <v>1.4216240707489387</v>
      </c>
      <c r="AG161" s="60">
        <f>MAX(0.7,1+設定!$B$14*(O161/IF(X161="Melee",1.5,2.5)-1))</f>
        <v>1.0072000000000001</v>
      </c>
      <c r="AH161" s="53">
        <f t="shared" si="9"/>
        <v>181.26789912000004</v>
      </c>
      <c r="AI161" s="53">
        <f>E161*AF161*(1+設定!$B$18*AVERAGE(P161:U161))</f>
        <v>1881.6957390209934</v>
      </c>
      <c r="AJ161" s="61">
        <f>設定!$B$5*SQRT((AH161/(設定!$B$7*設定!$B$10*(1+設定!$B$11*(設定!$B$12-1))))*(AI161/(設定!$B$6*(1+設定!$B$13))))</f>
        <v>1192.5189527027699</v>
      </c>
      <c r="AK161" s="62">
        <f t="shared" si="10"/>
        <v>5.8645827622449964E-4</v>
      </c>
      <c r="AL161" s="63">
        <f t="shared" si="11"/>
        <v>977.29239999999993</v>
      </c>
      <c r="AM161" s="64" t="s">
        <v>926</v>
      </c>
      <c r="AN161" s="54">
        <f>MAX(1,ROUND((設定!$B$7*設定!$B$10*(1+設定!$B$11*(設定!$B$12-1)))*AE161^2*(設定!$B$6*(1+設定!$B$13))/(AI161*N161*(1+K161*(L161-1))*AG161),0))</f>
        <v>210</v>
      </c>
      <c r="AO161" s="65" t="str">
        <f>IF($A161="","",IF(COUNTIF(個性タイプマスタ!$A$5:$A$100,$AM161)&gt;0,"OK","未登録"))</f>
        <v>OK</v>
      </c>
      <c r="AP161" s="67" t="str">
        <f>IF($A161="","",IF(COUNTIF(属性耐性マスタ!$A$5:$A$11,$C161)&gt;0,"OK","未登録"))</f>
        <v>OK</v>
      </c>
    </row>
    <row r="162" spans="1:42">
      <c r="A162" s="66" t="s">
        <v>424</v>
      </c>
      <c r="B162" s="51" t="s">
        <v>425</v>
      </c>
      <c r="C162" s="109" t="s">
        <v>108</v>
      </c>
      <c r="D162" s="53">
        <f>ROUND(設定!$B$5*POWER($D$2,W162-1),2)</f>
        <v>1191.82</v>
      </c>
      <c r="E162" s="54">
        <f>MAX(1,ROUND(設定!$B$6*AE162*Y162,0))</f>
        <v>656</v>
      </c>
      <c r="F162" s="54">
        <f>MAX(0,ROUND(設定!$B$7*AE162*設定!$B$15*IF(X162="Melee",0.6,1.35)*IFERROR(VLOOKUP($AM162,個性タイプマスタ!$A$5:$P$100,14,FALSE),1),0))</f>
        <v>261</v>
      </c>
      <c r="G162" s="54">
        <f>IF(X162="Melee",AN162,MAX(1,ROUND(AN162*設定!$B$16*IFERROR(VLOOKUP($AM162,個性タイプマスタ!$A$5:$P$100,15,FALSE),1),0)))</f>
        <v>122</v>
      </c>
      <c r="H162" s="54">
        <f>IF(X162="Ranged",AN162,MAX(1,ROUND(AN162*設定!$B$16*IFERROR(VLOOKUP($AM162,個性タイプマスタ!$A$5:$P$100,15,FALSE),1),0)))</f>
        <v>340</v>
      </c>
      <c r="I162" s="54">
        <f>MAX(0,ROUND(設定!$B$8*AE162*Z162,0))</f>
        <v>138</v>
      </c>
      <c r="J162" s="54">
        <f>MAX(0,ROUND(設定!$B$9*AE162*AA162,0))</f>
        <v>215</v>
      </c>
      <c r="K162" s="55">
        <f>IFERROR(VLOOKUP($AM162,個性タイプマスタ!$A$5:$P$100,9,FALSE),0.05)</f>
        <v>0.04</v>
      </c>
      <c r="L162" s="56">
        <f>IFERROR(VLOOKUP($AM162,個性タイプマスタ!$A$5:$P$100,10,FALSE),1.5)</f>
        <v>1.38</v>
      </c>
      <c r="M162" s="56">
        <f>IFERROR(VLOOKUP($AM162,個性タイプマスタ!$A$5:$P$100,11,FALSE),2)</f>
        <v>2.2000000000000002</v>
      </c>
      <c r="N162" s="57">
        <f>MAX(0.1,ROUND(設定!$B$10*AB162,3))</f>
        <v>0.88</v>
      </c>
      <c r="O162" s="57">
        <f t="shared" si="8"/>
        <v>3.15</v>
      </c>
      <c r="P162" s="58">
        <f>MAX(-10,MIN(0.8,IFERROR(INDEX(属性耐性マスタ!$B$5:$G$11,MATCH($C162,属性耐性マスタ!$A$5:$A$11,0),1),0)+IFERROR(VLOOKUP($AM162,個性タイプマスタ!$A$5:$P$100,12,FALSE),0)))</f>
        <v>0.03</v>
      </c>
      <c r="Q162" s="58">
        <f>MAX(-10,MIN(0.8,IFERROR(INDEX(属性耐性マスタ!$B$5:$G$11,MATCH($C162,属性耐性マスタ!$A$5:$A$11,0),2),0)+IFERROR(VLOOKUP($AM162,個性タイプマスタ!$A$5:$P$100,12,FALSE),0)))</f>
        <v>0.33</v>
      </c>
      <c r="R162" s="58">
        <f>MAX(-10,MIN(0.8,IFERROR(INDEX(属性耐性マスタ!$B$5:$G$11,MATCH($C162,属性耐性マスタ!$A$5:$A$11,0),3),0)+IFERROR(VLOOKUP($AM162,個性タイプマスタ!$A$5:$P$100,12,FALSE),0)))</f>
        <v>0.13</v>
      </c>
      <c r="S162" s="58">
        <f>MAX(-10,MIN(0.8,IFERROR(INDEX(属性耐性マスタ!$B$5:$G$11,MATCH($C162,属性耐性マスタ!$A$5:$A$11,0),4),0)+IFERROR(VLOOKUP($AM162,個性タイプマスタ!$A$5:$P$100,12,FALSE),0)))</f>
        <v>0.13</v>
      </c>
      <c r="T162" s="58">
        <f>MAX(-10,MIN(0.8,IFERROR(INDEX(属性耐性マスタ!$B$5:$G$11,MATCH($C162,属性耐性マスタ!$A$5:$A$11,0),5),0)+IFERROR(VLOOKUP($AM162,個性タイプマスタ!$A$5:$P$100,12,FALSE),0)))</f>
        <v>0.13</v>
      </c>
      <c r="U162" s="58">
        <f>MAX(-10,MIN(0.8,IFERROR(INDEX(属性耐性マスタ!$B$5:$G$11,MATCH($C162,属性耐性マスタ!$A$5:$A$11,0),6),0)+IFERROR(VLOOKUP($AM162,個性タイプマスタ!$A$5:$P$100,12,FALSE),0)))</f>
        <v>0.13</v>
      </c>
      <c r="V162" s="59">
        <f>ROUND(設定!$B$19*IFERROR(VLOOKUP($AM162,個性タイプマスタ!$A$5:$P$100,13,FALSE),1),2)</f>
        <v>4.4800000000000004</v>
      </c>
      <c r="W162" s="59">
        <v>27</v>
      </c>
      <c r="X162" s="59" t="str">
        <f>IFERROR(VLOOKUP($AM162,個性タイプマスタ!$A$5:$P$100,2,FALSE),"Ranged")</f>
        <v>Ranged</v>
      </c>
      <c r="Y162" s="56">
        <f>IFERROR(VLOOKUP($AM162,個性タイプマスタ!$A$5:$P$100,3,FALSE),1)</f>
        <v>0.55000000000000004</v>
      </c>
      <c r="Z162" s="56">
        <f>IFERROR(VLOOKUP($AM162,個性タイプマスタ!$A$5:$P$100,4,FALSE),1)</f>
        <v>1.45</v>
      </c>
      <c r="AA162" s="56">
        <f>IFERROR(VLOOKUP($AM162,個性タイプマスタ!$A$5:$P$100,5,FALSE),1)</f>
        <v>2.25</v>
      </c>
      <c r="AB162" s="56">
        <f>IFERROR(VLOOKUP($AM162,個性タイプマスタ!$A$5:$P$100,6,FALSE),1)</f>
        <v>0.88</v>
      </c>
      <c r="AC162" s="56">
        <f>IFERROR(VLOOKUP($AM162,個性タイプマスタ!$A$5:$P$100,7,FALSE),1)</f>
        <v>1.26</v>
      </c>
      <c r="AD162" s="56">
        <f>IFERROR(VLOOKUP($AM162,個性タイプマスタ!$A$5:$P$100,8,FALSE),1)</f>
        <v>0.75</v>
      </c>
      <c r="AE162" s="60">
        <f>IFERROR(D162/設定!$B$5,1)</f>
        <v>11.918199999999999</v>
      </c>
      <c r="AF162" s="60">
        <f>1+設定!$B$13*((I162/設定!$B$8+J162/設定!$B$9)/(2*AE162))</f>
        <v>1.5553481230387138</v>
      </c>
      <c r="AG162" s="60">
        <f>MAX(0.7,1+設定!$B$14*(O162/IF(X162="Melee",1.5,2.5)-1))</f>
        <v>1.0311999999999999</v>
      </c>
      <c r="AH162" s="53">
        <f t="shared" si="9"/>
        <v>313.22477260799997</v>
      </c>
      <c r="AI162" s="53">
        <f>E162*AF162*(1+設定!$B$18*AVERAGE(P162:U162))</f>
        <v>1087.6487210484804</v>
      </c>
      <c r="AJ162" s="61">
        <f>設定!$B$5*SQRT((AH162/(設定!$B$7*設定!$B$10*(1+設定!$B$11*(設定!$B$12-1))))*(AI162/(設定!$B$6*(1+設定!$B$13))))</f>
        <v>1191.7976278253748</v>
      </c>
      <c r="AK162" s="62">
        <f t="shared" si="10"/>
        <v>-1.8771437486519993E-5</v>
      </c>
      <c r="AL162" s="63">
        <f t="shared" si="11"/>
        <v>893.86500000000001</v>
      </c>
      <c r="AM162" s="64" t="s">
        <v>940</v>
      </c>
      <c r="AN162" s="54">
        <f>MAX(1,ROUND((設定!$B$7*設定!$B$10*(1+設定!$B$11*(設定!$B$12-1)))*AE162^2*(設定!$B$6*(1+設定!$B$13))/(AI162*N162*(1+K162*(L162-1))*AG162),0))</f>
        <v>340</v>
      </c>
      <c r="AO162" s="65" t="str">
        <f>IF($A162="","",IF(COUNTIF(個性タイプマスタ!$A$5:$A$100,$AM162)&gt;0,"OK","未登録"))</f>
        <v>OK</v>
      </c>
      <c r="AP162" s="67" t="str">
        <f>IF($A162="","",IF(COUNTIF(属性耐性マスタ!$A$5:$A$11,$C162)&gt;0,"OK","未登録"))</f>
        <v>OK</v>
      </c>
    </row>
    <row r="163" spans="1:42">
      <c r="A163" s="66" t="s">
        <v>426</v>
      </c>
      <c r="B163" s="51" t="s">
        <v>427</v>
      </c>
      <c r="C163" s="109" t="s">
        <v>108</v>
      </c>
      <c r="D163" s="53">
        <f>ROUND(設定!$B$5*POWER($D$2,W163-1),2)</f>
        <v>1191.82</v>
      </c>
      <c r="E163" s="54">
        <f>MAX(1,ROUND(設定!$B$6*AE163*Y163,0))</f>
        <v>1192</v>
      </c>
      <c r="F163" s="54">
        <f>MAX(0,ROUND(設定!$B$7*AE163*設定!$B$15*IF(X163="Melee",0.6,1.35)*IFERROR(VLOOKUP($AM163,個性タイプマスタ!$A$5:$P$100,14,FALSE),1),0))</f>
        <v>252</v>
      </c>
      <c r="G163" s="54">
        <f>IF(X163="Melee",AN163,MAX(1,ROUND(AN163*設定!$B$16*IFERROR(VLOOKUP($AM163,個性タイプマスタ!$A$5:$P$100,15,FALSE),1),0)))</f>
        <v>96</v>
      </c>
      <c r="H163" s="54">
        <f>IF(X163="Ranged",AN163,MAX(1,ROUND(AN163*設定!$B$16*IFERROR(VLOOKUP($AM163,個性タイプマスタ!$A$5:$P$100,15,FALSE),1),0)))</f>
        <v>213</v>
      </c>
      <c r="I163" s="54">
        <f>MAX(0,ROUND(設定!$B$8*AE163*Z163,0))</f>
        <v>95</v>
      </c>
      <c r="J163" s="54">
        <f>MAX(0,ROUND(設定!$B$9*AE163*AA163,0))</f>
        <v>114</v>
      </c>
      <c r="K163" s="55">
        <f>IFERROR(VLOOKUP($AM163,個性タイプマスタ!$A$5:$P$100,9,FALSE),0.05)</f>
        <v>0.06</v>
      </c>
      <c r="L163" s="56">
        <f>IFERROR(VLOOKUP($AM163,個性タイプマスタ!$A$5:$P$100,10,FALSE),1.5)</f>
        <v>1.4</v>
      </c>
      <c r="M163" s="56">
        <f>IFERROR(VLOOKUP($AM163,個性タイプマスタ!$A$5:$P$100,11,FALSE),2)</f>
        <v>2.1</v>
      </c>
      <c r="N163" s="57">
        <f>MAX(0.1,ROUND(設定!$B$10*AB163,3))</f>
        <v>0.95</v>
      </c>
      <c r="O163" s="57">
        <f t="shared" si="8"/>
        <v>2.875</v>
      </c>
      <c r="P163" s="58">
        <f>MAX(-10,MIN(0.8,IFERROR(INDEX(属性耐性マスタ!$B$5:$G$11,MATCH($C163,属性耐性マスタ!$A$5:$A$11,0),1),0)+IFERROR(VLOOKUP($AM163,個性タイプマスタ!$A$5:$P$100,12,FALSE),0)))</f>
        <v>-7.0000000000000007E-2</v>
      </c>
      <c r="Q163" s="58">
        <f>MAX(-10,MIN(0.8,IFERROR(INDEX(属性耐性マスタ!$B$5:$G$11,MATCH($C163,属性耐性マスタ!$A$5:$A$11,0),2),0)+IFERROR(VLOOKUP($AM163,個性タイプマスタ!$A$5:$P$100,12,FALSE),0)))</f>
        <v>0.23</v>
      </c>
      <c r="R163" s="58">
        <f>MAX(-10,MIN(0.8,IFERROR(INDEX(属性耐性マスタ!$B$5:$G$11,MATCH($C163,属性耐性マスタ!$A$5:$A$11,0),3),0)+IFERROR(VLOOKUP($AM163,個性タイプマスタ!$A$5:$P$100,12,FALSE),0)))</f>
        <v>0.03</v>
      </c>
      <c r="S163" s="58">
        <f>MAX(-10,MIN(0.8,IFERROR(INDEX(属性耐性マスタ!$B$5:$G$11,MATCH($C163,属性耐性マスタ!$A$5:$A$11,0),4),0)+IFERROR(VLOOKUP($AM163,個性タイプマスタ!$A$5:$P$100,12,FALSE),0)))</f>
        <v>0.03</v>
      </c>
      <c r="T163" s="58">
        <f>MAX(-10,MIN(0.8,IFERROR(INDEX(属性耐性マスタ!$B$5:$G$11,MATCH($C163,属性耐性マスタ!$A$5:$A$11,0),5),0)+IFERROR(VLOOKUP($AM163,個性タイプマスタ!$A$5:$P$100,12,FALSE),0)))</f>
        <v>0.03</v>
      </c>
      <c r="U163" s="58">
        <f>MAX(-10,MIN(0.8,IFERROR(INDEX(属性耐性マスタ!$B$5:$G$11,MATCH($C163,属性耐性マスタ!$A$5:$A$11,0),6),0)+IFERROR(VLOOKUP($AM163,個性タイプマスタ!$A$5:$P$100,12,FALSE),0)))</f>
        <v>0.03</v>
      </c>
      <c r="V163" s="59">
        <f>ROUND(設定!$B$19*IFERROR(VLOOKUP($AM163,個性タイプマスタ!$A$5:$P$100,13,FALSE),1),2)</f>
        <v>4.8</v>
      </c>
      <c r="W163" s="59">
        <v>27</v>
      </c>
      <c r="X163" s="59" t="str">
        <f>IFERROR(VLOOKUP($AM163,個性タイプマスタ!$A$5:$P$100,2,FALSE),"Ranged")</f>
        <v>Ranged</v>
      </c>
      <c r="Y163" s="56">
        <f>IFERROR(VLOOKUP($AM163,個性タイプマスタ!$A$5:$P$100,3,FALSE),1)</f>
        <v>1</v>
      </c>
      <c r="Z163" s="56">
        <f>IFERROR(VLOOKUP($AM163,個性タイプマスタ!$A$5:$P$100,4,FALSE),1)</f>
        <v>1</v>
      </c>
      <c r="AA163" s="56">
        <f>IFERROR(VLOOKUP($AM163,個性タイプマスタ!$A$5:$P$100,5,FALSE),1)</f>
        <v>1.2</v>
      </c>
      <c r="AB163" s="56">
        <f>IFERROR(VLOOKUP($AM163,個性タイプマスタ!$A$5:$P$100,6,FALSE),1)</f>
        <v>0.95</v>
      </c>
      <c r="AC163" s="56">
        <f>IFERROR(VLOOKUP($AM163,個性タイプマスタ!$A$5:$P$100,7,FALSE),1)</f>
        <v>1.1499999999999999</v>
      </c>
      <c r="AD163" s="56">
        <f>IFERROR(VLOOKUP($AM163,個性タイプマスタ!$A$5:$P$100,8,FALSE),1)</f>
        <v>0.84</v>
      </c>
      <c r="AE163" s="60">
        <f>IFERROR(D163/設定!$B$5,1)</f>
        <v>11.918199999999999</v>
      </c>
      <c r="AF163" s="60">
        <f>1+設定!$B$13*((I163/設定!$B$8+J163/設定!$B$9)/(2*AE163))</f>
        <v>1.3288038462183887</v>
      </c>
      <c r="AG163" s="60">
        <f>MAX(0.7,1+設定!$B$14*(O163/IF(X163="Melee",1.5,2.5)-1))</f>
        <v>1.018</v>
      </c>
      <c r="AH163" s="53">
        <f t="shared" si="9"/>
        <v>210.93611520000002</v>
      </c>
      <c r="AI163" s="53">
        <f>E163*AF163*(1+設定!$B$18*AVERAGE(P163:U163))</f>
        <v>1617.1968025708579</v>
      </c>
      <c r="AJ163" s="61">
        <f>設定!$B$5*SQRT((AH163/(設定!$B$7*設定!$B$10*(1+設定!$B$11*(設定!$B$12-1))))*(AI163/(設定!$B$6*(1+設定!$B$13))))</f>
        <v>1192.5786969847341</v>
      </c>
      <c r="AK163" s="62">
        <f t="shared" si="10"/>
        <v>6.3658688789769435E-4</v>
      </c>
      <c r="AL163" s="63">
        <f t="shared" si="11"/>
        <v>1001.1288</v>
      </c>
      <c r="AM163" s="64" t="s">
        <v>898</v>
      </c>
      <c r="AN163" s="54">
        <f>MAX(1,ROUND((設定!$B$7*設定!$B$10*(1+設定!$B$11*(設定!$B$12-1)))*AE163^2*(設定!$B$6*(1+設定!$B$13))/(AI163*N163*(1+K163*(L163-1))*AG163),0))</f>
        <v>213</v>
      </c>
      <c r="AO163" s="65" t="str">
        <f>IF($A163="","",IF(COUNTIF(個性タイプマスタ!$A$5:$A$100,$AM163)&gt;0,"OK","未登録"))</f>
        <v>OK</v>
      </c>
      <c r="AP163" s="67" t="str">
        <f>IF($A163="","",IF(COUNTIF(属性耐性マスタ!$A$5:$A$11,$C163)&gt;0,"OK","未登録"))</f>
        <v>OK</v>
      </c>
    </row>
    <row r="164" spans="1:42">
      <c r="A164" s="66" t="s">
        <v>428</v>
      </c>
      <c r="B164" s="51" t="s">
        <v>429</v>
      </c>
      <c r="C164" s="109" t="s">
        <v>108</v>
      </c>
      <c r="D164" s="53">
        <f>ROUND(設定!$B$5*POWER($D$2,W164-1),2)</f>
        <v>1191.82</v>
      </c>
      <c r="E164" s="54">
        <f>MAX(1,ROUND(設定!$B$6*AE164*Y164,0))</f>
        <v>1406</v>
      </c>
      <c r="F164" s="54">
        <f>MAX(0,ROUND(設定!$B$7*AE164*設定!$B$15*IF(X164="Melee",0.6,1.35)*IFERROR(VLOOKUP($AM164,個性タイプマスタ!$A$5:$P$100,14,FALSE),1),0))</f>
        <v>81</v>
      </c>
      <c r="G164" s="54">
        <f>IF(X164="Melee",AN164,MAX(1,ROUND(AN164*設定!$B$16*IFERROR(VLOOKUP($AM164,個性タイプマスタ!$A$5:$P$100,15,FALSE),1),0)))</f>
        <v>186</v>
      </c>
      <c r="H164" s="54">
        <f>IF(X164="Ranged",AN164,MAX(1,ROUND(AN164*設定!$B$16*IFERROR(VLOOKUP($AM164,個性タイプマスタ!$A$5:$P$100,15,FALSE),1),0)))</f>
        <v>59</v>
      </c>
      <c r="I164" s="54">
        <f>MAX(0,ROUND(設定!$B$8*AE164*Z164,0))</f>
        <v>109</v>
      </c>
      <c r="J164" s="54">
        <f>MAX(0,ROUND(設定!$B$9*AE164*AA164,0))</f>
        <v>109</v>
      </c>
      <c r="K164" s="55">
        <f>IFERROR(VLOOKUP($AM164,個性タイプマスタ!$A$5:$P$100,9,FALSE),0.05)</f>
        <v>0.04</v>
      </c>
      <c r="L164" s="56">
        <f>IFERROR(VLOOKUP($AM164,個性タイプマスタ!$A$5:$P$100,10,FALSE),1.5)</f>
        <v>1.43</v>
      </c>
      <c r="M164" s="56">
        <f>IFERROR(VLOOKUP($AM164,個性タイプマスタ!$A$5:$P$100,11,FALSE),2)</f>
        <v>2.15</v>
      </c>
      <c r="N164" s="57">
        <f>MAX(0.1,ROUND(設定!$B$10*AB164,3))</f>
        <v>0.88</v>
      </c>
      <c r="O164" s="57">
        <f t="shared" si="8"/>
        <v>1.425</v>
      </c>
      <c r="P164" s="58">
        <f>MAX(-10,MIN(0.8,IFERROR(INDEX(属性耐性マスタ!$B$5:$G$11,MATCH($C164,属性耐性マスタ!$A$5:$A$11,0),1),0)+IFERROR(VLOOKUP($AM164,個性タイプマスタ!$A$5:$P$100,12,FALSE),0)))</f>
        <v>0.09</v>
      </c>
      <c r="Q164" s="58">
        <f>MAX(-10,MIN(0.8,IFERROR(INDEX(属性耐性マスタ!$B$5:$G$11,MATCH($C164,属性耐性マスタ!$A$5:$A$11,0),2),0)+IFERROR(VLOOKUP($AM164,個性タイプマスタ!$A$5:$P$100,12,FALSE),0)))</f>
        <v>0.39</v>
      </c>
      <c r="R164" s="58">
        <f>MAX(-10,MIN(0.8,IFERROR(INDEX(属性耐性マスタ!$B$5:$G$11,MATCH($C164,属性耐性マスタ!$A$5:$A$11,0),3),0)+IFERROR(VLOOKUP($AM164,個性タイプマスタ!$A$5:$P$100,12,FALSE),0)))</f>
        <v>0.19</v>
      </c>
      <c r="S164" s="58">
        <f>MAX(-10,MIN(0.8,IFERROR(INDEX(属性耐性マスタ!$B$5:$G$11,MATCH($C164,属性耐性マスタ!$A$5:$A$11,0),4),0)+IFERROR(VLOOKUP($AM164,個性タイプマスタ!$A$5:$P$100,12,FALSE),0)))</f>
        <v>0.19</v>
      </c>
      <c r="T164" s="58">
        <f>MAX(-10,MIN(0.8,IFERROR(INDEX(属性耐性マスタ!$B$5:$G$11,MATCH($C164,属性耐性マスタ!$A$5:$A$11,0),5),0)+IFERROR(VLOOKUP($AM164,個性タイプマスタ!$A$5:$P$100,12,FALSE),0)))</f>
        <v>0.19</v>
      </c>
      <c r="U164" s="58">
        <f>MAX(-10,MIN(0.8,IFERROR(INDEX(属性耐性マスタ!$B$5:$G$11,MATCH($C164,属性耐性マスタ!$A$5:$A$11,0),6),0)+IFERROR(VLOOKUP($AM164,個性タイプマスタ!$A$5:$P$100,12,FALSE),0)))</f>
        <v>0.19</v>
      </c>
      <c r="V164" s="59">
        <f>ROUND(設定!$B$19*IFERROR(VLOOKUP($AM164,個性タイプマスタ!$A$5:$P$100,13,FALSE),1),2)</f>
        <v>3.8</v>
      </c>
      <c r="W164" s="59">
        <v>27</v>
      </c>
      <c r="X164" s="59" t="str">
        <f>IFERROR(VLOOKUP($AM164,個性タイプマスタ!$A$5:$P$100,2,FALSE),"Ranged")</f>
        <v>Melee</v>
      </c>
      <c r="Y164" s="56">
        <f>IFERROR(VLOOKUP($AM164,個性タイプマスタ!$A$5:$P$100,3,FALSE),1)</f>
        <v>1.18</v>
      </c>
      <c r="Z164" s="56">
        <f>IFERROR(VLOOKUP($AM164,個性タイプマスタ!$A$5:$P$100,4,FALSE),1)</f>
        <v>1.1399999999999999</v>
      </c>
      <c r="AA164" s="56">
        <f>IFERROR(VLOOKUP($AM164,個性タイプマスタ!$A$5:$P$100,5,FALSE),1)</f>
        <v>1.1399999999999999</v>
      </c>
      <c r="AB164" s="56">
        <f>IFERROR(VLOOKUP($AM164,個性タイプマスタ!$A$5:$P$100,6,FALSE),1)</f>
        <v>0.88</v>
      </c>
      <c r="AC164" s="56">
        <f>IFERROR(VLOOKUP($AM164,個性タイプマスタ!$A$5:$P$100,7,FALSE),1)</f>
        <v>0.95</v>
      </c>
      <c r="AD164" s="56">
        <f>IFERROR(VLOOKUP($AM164,個性タイプマスタ!$A$5:$P$100,8,FALSE),1)</f>
        <v>0.88</v>
      </c>
      <c r="AE164" s="60">
        <f>IFERROR(D164/設定!$B$5,1)</f>
        <v>11.918199999999999</v>
      </c>
      <c r="AF164" s="60">
        <f>1+設定!$B$13*((I164/設定!$B$8+J164/設定!$B$9)/(2*AE164))</f>
        <v>1.3429628635196591</v>
      </c>
      <c r="AG164" s="60">
        <f>MAX(0.7,1+設定!$B$14*(O164/IF(X164="Melee",1.5,2.5)-1))</f>
        <v>0.99399999999999999</v>
      </c>
      <c r="AH164" s="53">
        <f t="shared" si="9"/>
        <v>165.49632422400003</v>
      </c>
      <c r="AI164" s="53">
        <f>E164*AF164*(1+設定!$B$18*AVERAGE(P164:U164))</f>
        <v>2063.8089242167443</v>
      </c>
      <c r="AJ164" s="61">
        <f>設定!$B$5*SQRT((AH164/(設定!$B$7*設定!$B$10*(1+設定!$B$11*(設定!$B$12-1))))*(AI164/(設定!$B$6*(1+設定!$B$13))))</f>
        <v>1193.3258755388649</v>
      </c>
      <c r="AK164" s="62">
        <f t="shared" si="10"/>
        <v>1.2635092034576356E-3</v>
      </c>
      <c r="AL164" s="63">
        <f t="shared" si="11"/>
        <v>1048.8016</v>
      </c>
      <c r="AM164" s="64" t="s">
        <v>956</v>
      </c>
      <c r="AN164" s="54">
        <f>MAX(1,ROUND((設定!$B$7*設定!$B$10*(1+設定!$B$11*(設定!$B$12-1)))*AE164^2*(設定!$B$6*(1+設定!$B$13))/(AI164*N164*(1+K164*(L164-1))*AG164),0))</f>
        <v>186</v>
      </c>
      <c r="AO164" s="65" t="str">
        <f>IF($A164="","",IF(COUNTIF(個性タイプマスタ!$A$5:$A$100,$AM164)&gt;0,"OK","未登録"))</f>
        <v>OK</v>
      </c>
      <c r="AP164" s="67" t="str">
        <f>IF($A164="","",IF(COUNTIF(属性耐性マスタ!$A$5:$A$11,$C164)&gt;0,"OK","未登録"))</f>
        <v>OK</v>
      </c>
    </row>
    <row r="165" spans="1:42">
      <c r="A165" s="66" t="s">
        <v>430</v>
      </c>
      <c r="B165" s="51" t="s">
        <v>431</v>
      </c>
      <c r="C165" s="109" t="s">
        <v>108</v>
      </c>
      <c r="D165" s="53">
        <f>ROUND(設定!$B$5*POWER($D$2,W165-1),2)</f>
        <v>1191.82</v>
      </c>
      <c r="E165" s="54">
        <f>MAX(1,ROUND(設定!$B$6*AE165*Y165,0))</f>
        <v>1037</v>
      </c>
      <c r="F165" s="54">
        <f>MAX(0,ROUND(設定!$B$7*AE165*設定!$B$15*IF(X165="Melee",0.6,1.35)*IFERROR(VLOOKUP($AM165,個性タイプマスタ!$A$5:$P$100,14,FALSE),1),0))</f>
        <v>56</v>
      </c>
      <c r="G165" s="54">
        <f>IF(X165="Melee",AN165,MAX(1,ROUND(AN165*設定!$B$16*IFERROR(VLOOKUP($AM165,個性タイプマスタ!$A$5:$P$100,15,FALSE),1),0)))</f>
        <v>202</v>
      </c>
      <c r="H165" s="54">
        <f>IF(X165="Ranged",AN165,MAX(1,ROUND(AN165*設定!$B$16*IFERROR(VLOOKUP($AM165,個性タイプマスタ!$A$5:$P$100,15,FALSE),1),0)))</f>
        <v>59</v>
      </c>
      <c r="I165" s="54">
        <f>MAX(0,ROUND(設定!$B$8*AE165*Z165,0))</f>
        <v>82</v>
      </c>
      <c r="J165" s="54">
        <f>MAX(0,ROUND(設定!$B$9*AE165*AA165,0))</f>
        <v>73</v>
      </c>
      <c r="K165" s="55">
        <f>IFERROR(VLOOKUP($AM165,個性タイプマスタ!$A$5:$P$100,9,FALSE),0.05)</f>
        <v>0.27</v>
      </c>
      <c r="L165" s="56">
        <f>IFERROR(VLOOKUP($AM165,個性タイプマスタ!$A$5:$P$100,10,FALSE),1.5)</f>
        <v>2.0299999999999998</v>
      </c>
      <c r="M165" s="56">
        <f>IFERROR(VLOOKUP($AM165,個性タイプマスタ!$A$5:$P$100,11,FALSE),2)</f>
        <v>2.75</v>
      </c>
      <c r="N165" s="57">
        <f>MAX(0.1,ROUND(設定!$B$10*AB165,3))</f>
        <v>1.04</v>
      </c>
      <c r="O165" s="57">
        <f t="shared" si="8"/>
        <v>1.53</v>
      </c>
      <c r="P165" s="58">
        <f>MAX(-10,MIN(0.8,IFERROR(INDEX(属性耐性マスタ!$B$5:$G$11,MATCH($C165,属性耐性マスタ!$A$5:$A$11,0),1),0)+IFERROR(VLOOKUP($AM165,個性タイプマスタ!$A$5:$P$100,12,FALSE),0)))</f>
        <v>-0.16</v>
      </c>
      <c r="Q165" s="58">
        <f>MAX(-10,MIN(0.8,IFERROR(INDEX(属性耐性マスタ!$B$5:$G$11,MATCH($C165,属性耐性マスタ!$A$5:$A$11,0),2),0)+IFERROR(VLOOKUP($AM165,個性タイプマスタ!$A$5:$P$100,12,FALSE),0)))</f>
        <v>0.14000000000000001</v>
      </c>
      <c r="R165" s="58">
        <f>MAX(-10,MIN(0.8,IFERROR(INDEX(属性耐性マスタ!$B$5:$G$11,MATCH($C165,属性耐性マスタ!$A$5:$A$11,0),3),0)+IFERROR(VLOOKUP($AM165,個性タイプマスタ!$A$5:$P$100,12,FALSE),0)))</f>
        <v>-0.06</v>
      </c>
      <c r="S165" s="58">
        <f>MAX(-10,MIN(0.8,IFERROR(INDEX(属性耐性マスタ!$B$5:$G$11,MATCH($C165,属性耐性マスタ!$A$5:$A$11,0),4),0)+IFERROR(VLOOKUP($AM165,個性タイプマスタ!$A$5:$P$100,12,FALSE),0)))</f>
        <v>-0.06</v>
      </c>
      <c r="T165" s="58">
        <f>MAX(-10,MIN(0.8,IFERROR(INDEX(属性耐性マスタ!$B$5:$G$11,MATCH($C165,属性耐性マスタ!$A$5:$A$11,0),5),0)+IFERROR(VLOOKUP($AM165,個性タイプマスタ!$A$5:$P$100,12,FALSE),0)))</f>
        <v>-0.06</v>
      </c>
      <c r="U165" s="58">
        <f>MAX(-10,MIN(0.8,IFERROR(INDEX(属性耐性マスタ!$B$5:$G$11,MATCH($C165,属性耐性マスタ!$A$5:$A$11,0),6),0)+IFERROR(VLOOKUP($AM165,個性タイプマスタ!$A$5:$P$100,12,FALSE),0)))</f>
        <v>-0.06</v>
      </c>
      <c r="V165" s="59">
        <f>ROUND(設定!$B$19*IFERROR(VLOOKUP($AM165,個性タイプマスタ!$A$5:$P$100,13,FALSE),1),2)</f>
        <v>4.2</v>
      </c>
      <c r="W165" s="59">
        <v>27</v>
      </c>
      <c r="X165" s="59" t="str">
        <f>IFERROR(VLOOKUP($AM165,個性タイプマスタ!$A$5:$P$100,2,FALSE),"Ranged")</f>
        <v>Melee</v>
      </c>
      <c r="Y165" s="56">
        <f>IFERROR(VLOOKUP($AM165,個性タイプマスタ!$A$5:$P$100,3,FALSE),1)</f>
        <v>0.87</v>
      </c>
      <c r="Z165" s="56">
        <f>IFERROR(VLOOKUP($AM165,個性タイプマスタ!$A$5:$P$100,4,FALSE),1)</f>
        <v>0.86</v>
      </c>
      <c r="AA165" s="56">
        <f>IFERROR(VLOOKUP($AM165,個性タイプマスタ!$A$5:$P$100,5,FALSE),1)</f>
        <v>0.77</v>
      </c>
      <c r="AB165" s="56">
        <f>IFERROR(VLOOKUP($AM165,個性タイプマスタ!$A$5:$P$100,6,FALSE),1)</f>
        <v>1.04</v>
      </c>
      <c r="AC165" s="56">
        <f>IFERROR(VLOOKUP($AM165,個性タイプマスタ!$A$5:$P$100,7,FALSE),1)</f>
        <v>1.02</v>
      </c>
      <c r="AD165" s="56">
        <f>IFERROR(VLOOKUP($AM165,個性タイプマスタ!$A$5:$P$100,8,FALSE),1)</f>
        <v>0.7</v>
      </c>
      <c r="AE165" s="60">
        <f>IFERROR(D165/設定!$B$5,1)</f>
        <v>11.918199999999999</v>
      </c>
      <c r="AF165" s="60">
        <f>1+設定!$B$13*((I165/設定!$B$8+J165/設定!$B$9)/(2*AE165))</f>
        <v>1.2438497424107666</v>
      </c>
      <c r="AG165" s="60">
        <f>MAX(0.7,1+設定!$B$14*(O165/IF(X165="Melee",1.5,2.5)-1))</f>
        <v>1.0024</v>
      </c>
      <c r="AH165" s="53">
        <f t="shared" si="9"/>
        <v>269.14765579520002</v>
      </c>
      <c r="AI165" s="53">
        <f>E165*AF165*(1+設定!$B$18*AVERAGE(P165:U165))</f>
        <v>1264.7196753138057</v>
      </c>
      <c r="AJ165" s="61">
        <f>設定!$B$5*SQRT((AH165/(設定!$B$7*設定!$B$10*(1+設定!$B$11*(設定!$B$12-1))))*(AI165/(設定!$B$6*(1+設定!$B$13))))</f>
        <v>1191.3039365354357</v>
      </c>
      <c r="AK165" s="62">
        <f t="shared" si="10"/>
        <v>-4.3300453471517564E-4</v>
      </c>
      <c r="AL165" s="63">
        <f t="shared" si="11"/>
        <v>834.27399999999989</v>
      </c>
      <c r="AM165" s="64" t="s">
        <v>970</v>
      </c>
      <c r="AN165" s="54">
        <f>MAX(1,ROUND((設定!$B$7*設定!$B$10*(1+設定!$B$11*(設定!$B$12-1)))*AE165^2*(設定!$B$6*(1+設定!$B$13))/(AI165*N165*(1+K165*(L165-1))*AG165),0))</f>
        <v>202</v>
      </c>
      <c r="AO165" s="65" t="str">
        <f>IF($A165="","",IF(COUNTIF(個性タイプマスタ!$A$5:$A$100,$AM165)&gt;0,"OK","未登録"))</f>
        <v>OK</v>
      </c>
      <c r="AP165" s="67" t="str">
        <f>IF($A165="","",IF(COUNTIF(属性耐性マスタ!$A$5:$A$11,$C165)&gt;0,"OK","未登録"))</f>
        <v>OK</v>
      </c>
    </row>
    <row r="166" spans="1:42">
      <c r="A166" s="66" t="s">
        <v>432</v>
      </c>
      <c r="B166" s="51" t="s">
        <v>433</v>
      </c>
      <c r="C166" s="109" t="s">
        <v>114</v>
      </c>
      <c r="D166" s="53">
        <f>ROUND(設定!$B$5*POWER($D$2,W166-1),2)</f>
        <v>1191.82</v>
      </c>
      <c r="E166" s="54">
        <f>MAX(1,ROUND(設定!$B$6*AE166*Y166,0))</f>
        <v>1192</v>
      </c>
      <c r="F166" s="54">
        <f>MAX(0,ROUND(設定!$B$7*AE166*設定!$B$15*IF(X166="Melee",0.6,1.35)*IFERROR(VLOOKUP($AM166,個性タイプマスタ!$A$5:$P$100,14,FALSE),1),0))</f>
        <v>191</v>
      </c>
      <c r="G166" s="54">
        <f>IF(X166="Melee",AN166,MAX(1,ROUND(AN166*設定!$B$16*IFERROR(VLOOKUP($AM166,個性タイプマスタ!$A$5:$P$100,15,FALSE),1),0)))</f>
        <v>86</v>
      </c>
      <c r="H166" s="54">
        <f>IF(X166="Ranged",AN166,MAX(1,ROUND(AN166*設定!$B$16*IFERROR(VLOOKUP($AM166,個性タイプマスタ!$A$5:$P$100,15,FALSE),1),0)))</f>
        <v>191</v>
      </c>
      <c r="I166" s="54">
        <f>MAX(0,ROUND(設定!$B$8*AE166*Z166,0))</f>
        <v>91</v>
      </c>
      <c r="J166" s="54">
        <f>MAX(0,ROUND(設定!$B$9*AE166*AA166,0))</f>
        <v>105</v>
      </c>
      <c r="K166" s="55">
        <f>IFERROR(VLOOKUP($AM166,個性タイプマスタ!$A$5:$P$100,9,FALSE),0.05)</f>
        <v>7.0000000000000007E-2</v>
      </c>
      <c r="L166" s="56">
        <f>IFERROR(VLOOKUP($AM166,個性タイプマスタ!$A$5:$P$100,10,FALSE),1.5)</f>
        <v>1.55</v>
      </c>
      <c r="M166" s="56">
        <f>IFERROR(VLOOKUP($AM166,個性タイプマスタ!$A$5:$P$100,11,FALSE),2)</f>
        <v>2.2999999999999998</v>
      </c>
      <c r="N166" s="57">
        <f>MAX(0.1,ROUND(設定!$B$10*AB166,3))</f>
        <v>1.1000000000000001</v>
      </c>
      <c r="O166" s="57">
        <f t="shared" si="8"/>
        <v>2.7</v>
      </c>
      <c r="P166" s="58">
        <f>MAX(-10,MIN(0.8,IFERROR(INDEX(属性耐性マスタ!$B$5:$G$11,MATCH($C166,属性耐性マスタ!$A$5:$A$11,0),1),0)+IFERROR(VLOOKUP($AM166,個性タイプマスタ!$A$5:$P$100,12,FALSE),0)))</f>
        <v>-0.03</v>
      </c>
      <c r="Q166" s="58">
        <f>MAX(-10,MIN(0.8,IFERROR(INDEX(属性耐性マスタ!$B$5:$G$11,MATCH($C166,属性耐性マスタ!$A$5:$A$11,0),2),0)+IFERROR(VLOOKUP($AM166,個性タイプマスタ!$A$5:$P$100,12,FALSE),0)))</f>
        <v>-0.03</v>
      </c>
      <c r="R166" s="58">
        <f>MAX(-10,MIN(0.8,IFERROR(INDEX(属性耐性マスタ!$B$5:$G$11,MATCH($C166,属性耐性マスタ!$A$5:$A$11,0),3),0)+IFERROR(VLOOKUP($AM166,個性タイプマスタ!$A$5:$P$100,12,FALSE),0)))</f>
        <v>0.17</v>
      </c>
      <c r="S166" s="58">
        <f>MAX(-10,MIN(0.8,IFERROR(INDEX(属性耐性マスタ!$B$5:$G$11,MATCH($C166,属性耐性マスタ!$A$5:$A$11,0),4),0)+IFERROR(VLOOKUP($AM166,個性タイプマスタ!$A$5:$P$100,12,FALSE),0)))</f>
        <v>-0.13</v>
      </c>
      <c r="T166" s="58">
        <f>MAX(-10,MIN(0.8,IFERROR(INDEX(属性耐性マスタ!$B$5:$G$11,MATCH($C166,属性耐性マスタ!$A$5:$A$11,0),5),0)+IFERROR(VLOOKUP($AM166,個性タイプマスタ!$A$5:$P$100,12,FALSE),0)))</f>
        <v>-0.03</v>
      </c>
      <c r="U166" s="58">
        <f>MAX(-10,MIN(0.8,IFERROR(INDEX(属性耐性マスタ!$B$5:$G$11,MATCH($C166,属性耐性マスタ!$A$5:$A$11,0),6),0)+IFERROR(VLOOKUP($AM166,個性タイプマスタ!$A$5:$P$100,12,FALSE),0)))</f>
        <v>-0.03</v>
      </c>
      <c r="V166" s="59">
        <f>ROUND(設定!$B$19*IFERROR(VLOOKUP($AM166,個性タイプマスタ!$A$5:$P$100,13,FALSE),1),2)</f>
        <v>4</v>
      </c>
      <c r="W166" s="59">
        <v>27</v>
      </c>
      <c r="X166" s="59" t="str">
        <f>IFERROR(VLOOKUP($AM166,個性タイプマスタ!$A$5:$P$100,2,FALSE),"Ranged")</f>
        <v>Ranged</v>
      </c>
      <c r="Y166" s="56">
        <f>IFERROR(VLOOKUP($AM166,個性タイプマスタ!$A$5:$P$100,3,FALSE),1)</f>
        <v>1</v>
      </c>
      <c r="Z166" s="56">
        <f>IFERROR(VLOOKUP($AM166,個性タイプマスタ!$A$5:$P$100,4,FALSE),1)</f>
        <v>0.95</v>
      </c>
      <c r="AA166" s="56">
        <f>IFERROR(VLOOKUP($AM166,個性タイプマスタ!$A$5:$P$100,5,FALSE),1)</f>
        <v>1.1000000000000001</v>
      </c>
      <c r="AB166" s="56">
        <f>IFERROR(VLOOKUP($AM166,個性タイプマスタ!$A$5:$P$100,6,FALSE),1)</f>
        <v>1.1000000000000001</v>
      </c>
      <c r="AC166" s="56">
        <f>IFERROR(VLOOKUP($AM166,個性タイプマスタ!$A$5:$P$100,7,FALSE),1)</f>
        <v>1.08</v>
      </c>
      <c r="AD166" s="56">
        <f>IFERROR(VLOOKUP($AM166,個性タイプマスタ!$A$5:$P$100,8,FALSE),1)</f>
        <v>0.8</v>
      </c>
      <c r="AE166" s="60">
        <f>IFERROR(D166/設定!$B$5,1)</f>
        <v>11.918199999999999</v>
      </c>
      <c r="AF166" s="60">
        <f>1+設定!$B$13*((I166/設定!$B$8+J166/設定!$B$9)/(2*AE166))</f>
        <v>1.308351932338776</v>
      </c>
      <c r="AG166" s="60">
        <f>MAX(0.7,1+設定!$B$14*(O166/IF(X166="Melee",1.5,2.5)-1))</f>
        <v>1.0096000000000001</v>
      </c>
      <c r="AH166" s="53">
        <f t="shared" si="9"/>
        <v>220.28346296000004</v>
      </c>
      <c r="AI166" s="53">
        <f>E166*AF166*(1+設定!$B$18*AVERAGE(P166:U166))</f>
        <v>1550.198170327734</v>
      </c>
      <c r="AJ166" s="61">
        <f>設定!$B$5*SQRT((AH166/(設定!$B$7*設定!$B$10*(1+設定!$B$11*(設定!$B$12-1))))*(AI166/(設定!$B$6*(1+設定!$B$13))))</f>
        <v>1193.2039878647945</v>
      </c>
      <c r="AK166" s="62">
        <f t="shared" si="10"/>
        <v>1.1612389998443273E-3</v>
      </c>
      <c r="AL166" s="63">
        <f t="shared" si="11"/>
        <v>953.45600000000002</v>
      </c>
      <c r="AM166" s="64" t="s">
        <v>883</v>
      </c>
      <c r="AN166" s="54">
        <f>MAX(1,ROUND((設定!$B$7*設定!$B$10*(1+設定!$B$11*(設定!$B$12-1)))*AE166^2*(設定!$B$6*(1+設定!$B$13))/(AI166*N166*(1+K166*(L166-1))*AG166),0))</f>
        <v>191</v>
      </c>
      <c r="AO166" s="65" t="str">
        <f>IF($A166="","",IF(COUNTIF(個性タイプマスタ!$A$5:$A$100,$AM166)&gt;0,"OK","未登録"))</f>
        <v>OK</v>
      </c>
      <c r="AP166" s="67" t="str">
        <f>IF($A166="","",IF(COUNTIF(属性耐性マスタ!$A$5:$A$11,$C166)&gt;0,"OK","未登録"))</f>
        <v>OK</v>
      </c>
    </row>
    <row r="167" spans="1:42">
      <c r="A167" s="66" t="s">
        <v>434</v>
      </c>
      <c r="B167" s="51" t="s">
        <v>435</v>
      </c>
      <c r="C167" s="109" t="s">
        <v>874</v>
      </c>
      <c r="D167" s="53">
        <f>ROUND(設定!$B$5*POWER($D$2,W167-1),2)</f>
        <v>1311</v>
      </c>
      <c r="E167" s="54">
        <f>MAX(1,ROUND(設定!$B$6*AE167*Y167,0))</f>
        <v>1835</v>
      </c>
      <c r="F167" s="54">
        <f>MAX(0,ROUND(設定!$B$7*AE167*設定!$B$15*IF(X167="Melee",0.6,1.35)*IFERROR(VLOOKUP($AM167,個性タイプマスタ!$A$5:$P$100,14,FALSE),1),0))</f>
        <v>421</v>
      </c>
      <c r="G167" s="54">
        <f>IF(X167="Melee",AN167,MAX(1,ROUND(AN167*設定!$B$16*IFERROR(VLOOKUP($AM167,個性タイプマスタ!$A$5:$P$100,15,FALSE),1),0)))</f>
        <v>70</v>
      </c>
      <c r="H167" s="54">
        <f>IF(X167="Ranged",AN167,MAX(1,ROUND(AN167*設定!$B$16*IFERROR(VLOOKUP($AM167,個性タイプマスタ!$A$5:$P$100,15,FALSE),1),0)))</f>
        <v>186</v>
      </c>
      <c r="I167" s="54">
        <f>MAX(0,ROUND(設定!$B$8*AE167*Z167,0))</f>
        <v>100</v>
      </c>
      <c r="J167" s="54">
        <f>MAX(0,ROUND(設定!$B$9*AE167*AA167,0))</f>
        <v>176</v>
      </c>
      <c r="K167" s="55">
        <f>IFERROR(VLOOKUP($AM167,個性タイプマスタ!$A$5:$P$100,9,FALSE),0.05)</f>
        <v>0.115</v>
      </c>
      <c r="L167" s="56">
        <f>IFERROR(VLOOKUP($AM167,個性タイプマスタ!$A$5:$P$100,10,FALSE),1.5)</f>
        <v>1.95</v>
      </c>
      <c r="M167" s="56">
        <f>IFERROR(VLOOKUP($AM167,個性タイプマスタ!$A$5:$P$100,11,FALSE),2)</f>
        <v>1.2</v>
      </c>
      <c r="N167" s="57">
        <f>MAX(0.1,ROUND(設定!$B$10*AB167,3))</f>
        <v>0.72</v>
      </c>
      <c r="O167" s="57">
        <f t="shared" si="8"/>
        <v>3.3250000000000002</v>
      </c>
      <c r="P167" s="58">
        <f>MAX(-10,MIN(0.8,IFERROR(INDEX(属性耐性マスタ!$B$5:$G$11,MATCH($C167,属性耐性マスタ!$A$5:$A$11,0),1),0)+IFERROR(VLOOKUP($AM167,個性タイプマスタ!$A$5:$P$100,12,FALSE),0)))</f>
        <v>0.08</v>
      </c>
      <c r="Q167" s="58">
        <f>MAX(-10,MIN(0.8,IFERROR(INDEX(属性耐性マスタ!$B$5:$G$11,MATCH($C167,属性耐性マスタ!$A$5:$A$11,0),2),0)+IFERROR(VLOOKUP($AM167,個性タイプマスタ!$A$5:$P$100,12,FALSE),0)))</f>
        <v>0.08</v>
      </c>
      <c r="R167" s="58">
        <f>MAX(-10,MIN(0.8,IFERROR(INDEX(属性耐性マスタ!$B$5:$G$11,MATCH($C167,属性耐性マスタ!$A$5:$A$11,0),3),0)+IFERROR(VLOOKUP($AM167,個性タイプマスタ!$A$5:$P$100,12,FALSE),0)))</f>
        <v>0.08</v>
      </c>
      <c r="S167" s="58">
        <f>MAX(-10,MIN(0.8,IFERROR(INDEX(属性耐性マスタ!$B$5:$G$11,MATCH($C167,属性耐性マスタ!$A$5:$A$11,0),4),0)+IFERROR(VLOOKUP($AM167,個性タイプマスタ!$A$5:$P$100,12,FALSE),0)))</f>
        <v>0.08</v>
      </c>
      <c r="T167" s="58">
        <f>MAX(-10,MIN(0.8,IFERROR(INDEX(属性耐性マスタ!$B$5:$G$11,MATCH($C167,属性耐性マスタ!$A$5:$A$11,0),5),0)+IFERROR(VLOOKUP($AM167,個性タイプマスタ!$A$5:$P$100,12,FALSE),0)))</f>
        <v>-2.0000000000000004E-2</v>
      </c>
      <c r="U167" s="58">
        <f>MAX(-10,MIN(0.8,IFERROR(INDEX(属性耐性マスタ!$B$5:$G$11,MATCH($C167,属性耐性マスタ!$A$5:$A$11,0),6),0)+IFERROR(VLOOKUP($AM167,個性タイプマスタ!$A$5:$P$100,12,FALSE),0)))</f>
        <v>0.28000000000000003</v>
      </c>
      <c r="V167" s="59">
        <f>ROUND(設定!$B$19*IFERROR(VLOOKUP($AM167,個性タイプマスタ!$A$5:$P$100,13,FALSE),1),2)</f>
        <v>5</v>
      </c>
      <c r="W167" s="59">
        <v>28</v>
      </c>
      <c r="X167" s="59" t="str">
        <f>IFERROR(VLOOKUP($AM167,個性タイプマスタ!$A$5:$P$100,2,FALSE),"Ranged")</f>
        <v>Ranged</v>
      </c>
      <c r="Y167" s="56">
        <f>IFERROR(VLOOKUP($AM167,個性タイプマスタ!$A$5:$P$100,3,FALSE),1)</f>
        <v>1.4</v>
      </c>
      <c r="Z167" s="56">
        <f>IFERROR(VLOOKUP($AM167,個性タイプマスタ!$A$5:$P$100,4,FALSE),1)</f>
        <v>0.95</v>
      </c>
      <c r="AA167" s="56">
        <f>IFERROR(VLOOKUP($AM167,個性タイプマスタ!$A$5:$P$100,5,FALSE),1)</f>
        <v>1.68</v>
      </c>
      <c r="AB167" s="56">
        <f>IFERROR(VLOOKUP($AM167,個性タイプマスタ!$A$5:$P$100,6,FALSE),1)</f>
        <v>0.72</v>
      </c>
      <c r="AC167" s="56">
        <f>IFERROR(VLOOKUP($AM167,個性タイプマスタ!$A$5:$P$100,7,FALSE),1)</f>
        <v>1.33</v>
      </c>
      <c r="AD167" s="56">
        <f>IFERROR(VLOOKUP($AM167,個性タイプマスタ!$A$5:$P$100,8,FALSE),1)</f>
        <v>0.86</v>
      </c>
      <c r="AE167" s="60">
        <f>IFERROR(D167/設定!$B$5,1)</f>
        <v>13.11</v>
      </c>
      <c r="AF167" s="60">
        <f>1+設定!$B$13*((I167/設定!$B$8+J167/設定!$B$9)/(2*AE167))</f>
        <v>1.3947368421052633</v>
      </c>
      <c r="AG167" s="60">
        <f>MAX(0.7,1+設定!$B$14*(O167/IF(X167="Melee",1.5,2.5)-1))</f>
        <v>1.0396000000000001</v>
      </c>
      <c r="AH167" s="53">
        <f t="shared" si="9"/>
        <v>154.433370096</v>
      </c>
      <c r="AI167" s="53">
        <f>E167*AF167*(1+設定!$B$18*AVERAGE(P167:U167))</f>
        <v>2670.6734868421054</v>
      </c>
      <c r="AJ167" s="61">
        <f>設定!$B$5*SQRT((AH167/(設定!$B$7*設定!$B$10*(1+設定!$B$11*(設定!$B$12-1))))*(AI167/(設定!$B$6*(1+設定!$B$13))))</f>
        <v>1311.3273235884258</v>
      </c>
      <c r="AK167" s="62">
        <f t="shared" si="10"/>
        <v>2.4967474326897943E-4</v>
      </c>
      <c r="AL167" s="63">
        <f t="shared" si="11"/>
        <v>1127.46</v>
      </c>
      <c r="AM167" s="64" t="s">
        <v>938</v>
      </c>
      <c r="AN167" s="54">
        <f>MAX(1,ROUND((設定!$B$7*設定!$B$10*(1+設定!$B$11*(設定!$B$12-1)))*AE167^2*(設定!$B$6*(1+設定!$B$13))/(AI167*N167*(1+K167*(L167-1))*AG167),0))</f>
        <v>186</v>
      </c>
      <c r="AO167" s="65" t="str">
        <f>IF($A167="","",IF(COUNTIF(個性タイプマスタ!$A$5:$A$100,$AM167)&gt;0,"OK","未登録"))</f>
        <v>OK</v>
      </c>
      <c r="AP167" s="67" t="str">
        <f>IF($A167="","",IF(COUNTIF(属性耐性マスタ!$A$5:$A$11,$C167)&gt;0,"OK","未登録"))</f>
        <v>OK</v>
      </c>
    </row>
    <row r="168" spans="1:42">
      <c r="A168" s="66" t="s">
        <v>436</v>
      </c>
      <c r="B168" s="51" t="s">
        <v>437</v>
      </c>
      <c r="C168" s="109" t="s">
        <v>874</v>
      </c>
      <c r="D168" s="53">
        <f>ROUND(設定!$B$5*POWER($D$2,W168-1),2)</f>
        <v>1311</v>
      </c>
      <c r="E168" s="54">
        <f>MAX(1,ROUND(設定!$B$6*AE168*Y168,0))</f>
        <v>1023</v>
      </c>
      <c r="F168" s="54">
        <f>MAX(0,ROUND(設定!$B$7*AE168*設定!$B$15*IF(X168="Melee",0.6,1.35)*IFERROR(VLOOKUP($AM168,個性タイプマスタ!$A$5:$P$100,14,FALSE),1),0))</f>
        <v>220</v>
      </c>
      <c r="G168" s="54">
        <f>IF(X168="Melee",AN168,MAX(1,ROUND(AN168*設定!$B$16*IFERROR(VLOOKUP($AM168,個性タイプマスタ!$A$5:$P$100,15,FALSE),1),0)))</f>
        <v>125</v>
      </c>
      <c r="H168" s="54">
        <f>IF(X168="Ranged",AN168,MAX(1,ROUND(AN168*設定!$B$16*IFERROR(VLOOKUP($AM168,個性タイプマスタ!$A$5:$P$100,15,FALSE),1),0)))</f>
        <v>277</v>
      </c>
      <c r="I168" s="54">
        <f>MAX(0,ROUND(設定!$B$8*AE168*Z168,0))</f>
        <v>79</v>
      </c>
      <c r="J168" s="54">
        <f>MAX(0,ROUND(設定!$B$9*AE168*AA168,0))</f>
        <v>84</v>
      </c>
      <c r="K168" s="55">
        <f>IFERROR(VLOOKUP($AM168,個性タイプマスタ!$A$5:$P$100,9,FALSE),0.05)</f>
        <v>0.11</v>
      </c>
      <c r="L168" s="56">
        <f>IFERROR(VLOOKUP($AM168,個性タイプマスタ!$A$5:$P$100,10,FALSE),1.5)</f>
        <v>1.65</v>
      </c>
      <c r="M168" s="56">
        <f>IFERROR(VLOOKUP($AM168,個性タイプマスタ!$A$5:$P$100,11,FALSE),2)</f>
        <v>2.2000000000000002</v>
      </c>
      <c r="N168" s="57">
        <f>MAX(0.1,ROUND(設定!$B$10*AB168,3))</f>
        <v>1.1000000000000001</v>
      </c>
      <c r="O168" s="57">
        <f t="shared" si="8"/>
        <v>2.75</v>
      </c>
      <c r="P168" s="58">
        <f>MAX(-10,MIN(0.8,IFERROR(INDEX(属性耐性マスタ!$B$5:$G$11,MATCH($C168,属性耐性マスタ!$A$5:$A$11,0),1),0)+IFERROR(VLOOKUP($AM168,個性タイプマスタ!$A$5:$P$100,12,FALSE),0)))</f>
        <v>-0.04</v>
      </c>
      <c r="Q168" s="58">
        <f>MAX(-10,MIN(0.8,IFERROR(INDEX(属性耐性マスタ!$B$5:$G$11,MATCH($C168,属性耐性マスタ!$A$5:$A$11,0),2),0)+IFERROR(VLOOKUP($AM168,個性タイプマスタ!$A$5:$P$100,12,FALSE),0)))</f>
        <v>-0.04</v>
      </c>
      <c r="R168" s="58">
        <f>MAX(-10,MIN(0.8,IFERROR(INDEX(属性耐性マスタ!$B$5:$G$11,MATCH($C168,属性耐性マスタ!$A$5:$A$11,0),3),0)+IFERROR(VLOOKUP($AM168,個性タイプマスタ!$A$5:$P$100,12,FALSE),0)))</f>
        <v>-0.04</v>
      </c>
      <c r="S168" s="58">
        <f>MAX(-10,MIN(0.8,IFERROR(INDEX(属性耐性マスタ!$B$5:$G$11,MATCH($C168,属性耐性マスタ!$A$5:$A$11,0),4),0)+IFERROR(VLOOKUP($AM168,個性タイプマスタ!$A$5:$P$100,12,FALSE),0)))</f>
        <v>-0.04</v>
      </c>
      <c r="T168" s="58">
        <f>MAX(-10,MIN(0.8,IFERROR(INDEX(属性耐性マスタ!$B$5:$G$11,MATCH($C168,属性耐性マスタ!$A$5:$A$11,0),5),0)+IFERROR(VLOOKUP($AM168,個性タイプマスタ!$A$5:$P$100,12,FALSE),0)))</f>
        <v>-0.14000000000000001</v>
      </c>
      <c r="U168" s="58">
        <f>MAX(-10,MIN(0.8,IFERROR(INDEX(属性耐性マスタ!$B$5:$G$11,MATCH($C168,属性耐性マスタ!$A$5:$A$11,0),6),0)+IFERROR(VLOOKUP($AM168,個性タイプマスタ!$A$5:$P$100,12,FALSE),0)))</f>
        <v>0.16</v>
      </c>
      <c r="V168" s="59">
        <f>ROUND(設定!$B$19*IFERROR(VLOOKUP($AM168,個性タイプマスタ!$A$5:$P$100,13,FALSE),1),2)</f>
        <v>4.2</v>
      </c>
      <c r="W168" s="59">
        <v>28</v>
      </c>
      <c r="X168" s="59" t="str">
        <f>IFERROR(VLOOKUP($AM168,個性タイプマスタ!$A$5:$P$100,2,FALSE),"Ranged")</f>
        <v>Ranged</v>
      </c>
      <c r="Y168" s="56">
        <f>IFERROR(VLOOKUP($AM168,個性タイプマスタ!$A$5:$P$100,3,FALSE),1)</f>
        <v>0.78</v>
      </c>
      <c r="Z168" s="56">
        <f>IFERROR(VLOOKUP($AM168,個性タイプマスタ!$A$5:$P$100,4,FALSE),1)</f>
        <v>0.75</v>
      </c>
      <c r="AA168" s="56">
        <f>IFERROR(VLOOKUP($AM168,個性タイプマスタ!$A$5:$P$100,5,FALSE),1)</f>
        <v>0.8</v>
      </c>
      <c r="AB168" s="56">
        <f>IFERROR(VLOOKUP($AM168,個性タイプマスタ!$A$5:$P$100,6,FALSE),1)</f>
        <v>1.1000000000000001</v>
      </c>
      <c r="AC168" s="56">
        <f>IFERROR(VLOOKUP($AM168,個性タイプマスタ!$A$5:$P$100,7,FALSE),1)</f>
        <v>1.1000000000000001</v>
      </c>
      <c r="AD168" s="56">
        <f>IFERROR(VLOOKUP($AM168,個性タイプマスタ!$A$5:$P$100,8,FALSE),1)</f>
        <v>0.72</v>
      </c>
      <c r="AE168" s="60">
        <f>IFERROR(D168/設定!$B$5,1)</f>
        <v>13.11</v>
      </c>
      <c r="AF168" s="60">
        <f>1+設定!$B$13*((I168/設定!$B$8+J168/設定!$B$9)/(2*AE168))</f>
        <v>1.2331235697940504</v>
      </c>
      <c r="AG168" s="60">
        <f>MAX(0.7,1+設定!$B$14*(O168/IF(X168="Melee",1.5,2.5)-1))</f>
        <v>1.012</v>
      </c>
      <c r="AH168" s="53">
        <f t="shared" si="9"/>
        <v>330.40388260000003</v>
      </c>
      <c r="AI168" s="53">
        <f>E168*AF168*(1+設定!$B$18*AVERAGE(P168:U168))</f>
        <v>1248.2398150743707</v>
      </c>
      <c r="AJ168" s="61">
        <f>設定!$B$5*SQRT((AH168/(設定!$B$7*設定!$B$10*(1+設定!$B$11*(設定!$B$12-1))))*(AI168/(設定!$B$6*(1+設定!$B$13))))</f>
        <v>1311.2989855338378</v>
      </c>
      <c r="AK168" s="62">
        <f t="shared" si="10"/>
        <v>2.2805914099000013E-4</v>
      </c>
      <c r="AL168" s="63">
        <f t="shared" si="11"/>
        <v>943.92</v>
      </c>
      <c r="AM168" s="64" t="s">
        <v>896</v>
      </c>
      <c r="AN168" s="54">
        <f>MAX(1,ROUND((設定!$B$7*設定!$B$10*(1+設定!$B$11*(設定!$B$12-1)))*AE168^2*(設定!$B$6*(1+設定!$B$13))/(AI168*N168*(1+K168*(L168-1))*AG168),0))</f>
        <v>277</v>
      </c>
      <c r="AO168" s="65" t="str">
        <f>IF($A168="","",IF(COUNTIF(個性タイプマスタ!$A$5:$A$100,$AM168)&gt;0,"OK","未登録"))</f>
        <v>OK</v>
      </c>
      <c r="AP168" s="67" t="str">
        <f>IF($A168="","",IF(COUNTIF(属性耐性マスタ!$A$5:$A$11,$C168)&gt;0,"OK","未登録"))</f>
        <v>OK</v>
      </c>
    </row>
    <row r="169" spans="1:42">
      <c r="A169" s="66" t="s">
        <v>438</v>
      </c>
      <c r="B169" s="51" t="s">
        <v>439</v>
      </c>
      <c r="C169" s="109" t="s">
        <v>111</v>
      </c>
      <c r="D169" s="53">
        <f>ROUND(設定!$B$5*POWER($D$2,W169-1),2)</f>
        <v>1311</v>
      </c>
      <c r="E169" s="54">
        <f>MAX(1,ROUND(設定!$B$6*AE169*Y169,0))</f>
        <v>2255</v>
      </c>
      <c r="F169" s="54">
        <f>MAX(0,ROUND(設定!$B$7*AE169*設定!$B$15*IF(X169="Melee",0.6,1.35)*IFERROR(VLOOKUP($AM169,個性タイプマスタ!$A$5:$P$100,14,FALSE),1),0))</f>
        <v>258</v>
      </c>
      <c r="G169" s="54">
        <f>IF(X169="Melee",AN169,MAX(1,ROUND(AN169*設定!$B$16*IFERROR(VLOOKUP($AM169,個性タイプマスタ!$A$5:$P$100,15,FALSE),1),0)))</f>
        <v>54</v>
      </c>
      <c r="H169" s="54">
        <f>IF(X169="Ranged",AN169,MAX(1,ROUND(AN169*設定!$B$16*IFERROR(VLOOKUP($AM169,個性タイプマスタ!$A$5:$P$100,15,FALSE),1),0)))</f>
        <v>186</v>
      </c>
      <c r="I169" s="54">
        <f>MAX(0,ROUND(設定!$B$8*AE169*Z169,0))</f>
        <v>172</v>
      </c>
      <c r="J169" s="54">
        <f>MAX(0,ROUND(設定!$B$9*AE169*AA169,0))</f>
        <v>163</v>
      </c>
      <c r="K169" s="55">
        <f>IFERROR(VLOOKUP($AM169,個性タイプマスタ!$A$5:$P$100,9,FALSE),0.05)</f>
        <v>3.5000000000000003E-2</v>
      </c>
      <c r="L169" s="56">
        <f>IFERROR(VLOOKUP($AM169,個性タイプマスタ!$A$5:$P$100,10,FALSE),1.5)</f>
        <v>1.4</v>
      </c>
      <c r="M169" s="56">
        <f>IFERROR(VLOOKUP($AM169,個性タイプマスタ!$A$5:$P$100,11,FALSE),2)</f>
        <v>1.5</v>
      </c>
      <c r="N169" s="57">
        <f>MAX(0.1,ROUND(設定!$B$10*AB169,3))</f>
        <v>0.6</v>
      </c>
      <c r="O169" s="57">
        <f t="shared" si="8"/>
        <v>3.1</v>
      </c>
      <c r="P169" s="58">
        <f>MAX(-10,MIN(0.8,IFERROR(INDEX(属性耐性マスタ!$B$5:$G$11,MATCH($C169,属性耐性マスタ!$A$5:$A$11,0),1),0)+IFERROR(VLOOKUP($AM169,個性タイプマスタ!$A$5:$P$100,12,FALSE),0)))</f>
        <v>0.32</v>
      </c>
      <c r="Q169" s="58">
        <f>MAX(-10,MIN(0.8,IFERROR(INDEX(属性耐性マスタ!$B$5:$G$11,MATCH($C169,属性耐性マスタ!$A$5:$A$11,0),2),0)+IFERROR(VLOOKUP($AM169,個性タイプマスタ!$A$5:$P$100,12,FALSE),0)))</f>
        <v>1.999999999999999E-2</v>
      </c>
      <c r="R169" s="58">
        <f>MAX(-10,MIN(0.8,IFERROR(INDEX(属性耐性マスタ!$B$5:$G$11,MATCH($C169,属性耐性マスタ!$A$5:$A$11,0),3),0)+IFERROR(VLOOKUP($AM169,個性タイプマスタ!$A$5:$P$100,12,FALSE),0)))</f>
        <v>0.12</v>
      </c>
      <c r="S169" s="58">
        <f>MAX(-10,MIN(0.8,IFERROR(INDEX(属性耐性マスタ!$B$5:$G$11,MATCH($C169,属性耐性マスタ!$A$5:$A$11,0),4),0)+IFERROR(VLOOKUP($AM169,個性タイプマスタ!$A$5:$P$100,12,FALSE),0)))</f>
        <v>0.12</v>
      </c>
      <c r="T169" s="58">
        <f>MAX(-10,MIN(0.8,IFERROR(INDEX(属性耐性マスタ!$B$5:$G$11,MATCH($C169,属性耐性マスタ!$A$5:$A$11,0),5),0)+IFERROR(VLOOKUP($AM169,個性タイプマスタ!$A$5:$P$100,12,FALSE),0)))</f>
        <v>0.12</v>
      </c>
      <c r="U169" s="58">
        <f>MAX(-10,MIN(0.8,IFERROR(INDEX(属性耐性マスタ!$B$5:$G$11,MATCH($C169,属性耐性マスタ!$A$5:$A$11,0),6),0)+IFERROR(VLOOKUP($AM169,個性タイプマスタ!$A$5:$P$100,12,FALSE),0)))</f>
        <v>0.12</v>
      </c>
      <c r="V169" s="59">
        <f>ROUND(設定!$B$19*IFERROR(VLOOKUP($AM169,個性タイプマスタ!$A$5:$P$100,13,FALSE),1),2)</f>
        <v>4.12</v>
      </c>
      <c r="W169" s="59">
        <v>28</v>
      </c>
      <c r="X169" s="59" t="str">
        <f>IFERROR(VLOOKUP($AM169,個性タイプマスタ!$A$5:$P$100,2,FALSE),"Ranged")</f>
        <v>Ranged</v>
      </c>
      <c r="Y169" s="56">
        <f>IFERROR(VLOOKUP($AM169,個性タイプマスタ!$A$5:$P$100,3,FALSE),1)</f>
        <v>1.72</v>
      </c>
      <c r="Z169" s="56">
        <f>IFERROR(VLOOKUP($AM169,個性タイプマスタ!$A$5:$P$100,4,FALSE),1)</f>
        <v>1.64</v>
      </c>
      <c r="AA169" s="56">
        <f>IFERROR(VLOOKUP($AM169,個性タイプマスタ!$A$5:$P$100,5,FALSE),1)</f>
        <v>1.55</v>
      </c>
      <c r="AB169" s="56">
        <f>IFERROR(VLOOKUP($AM169,個性タイプマスタ!$A$5:$P$100,6,FALSE),1)</f>
        <v>0.6</v>
      </c>
      <c r="AC169" s="56">
        <f>IFERROR(VLOOKUP($AM169,個性タイプマスタ!$A$5:$P$100,7,FALSE),1)</f>
        <v>1.24</v>
      </c>
      <c r="AD169" s="56">
        <f>IFERROR(VLOOKUP($AM169,個性タイプマスタ!$A$5:$P$100,8,FALSE),1)</f>
        <v>0.91</v>
      </c>
      <c r="AE169" s="60">
        <f>IFERROR(D169/設定!$B$5,1)</f>
        <v>13.11</v>
      </c>
      <c r="AF169" s="60">
        <f>1+設定!$B$13*((I169/設定!$B$8+J169/設定!$B$9)/(2*AE169))</f>
        <v>1.4791189931350115</v>
      </c>
      <c r="AG169" s="60">
        <f>MAX(0.7,1+設定!$B$14*(O169/IF(X169="Melee",1.5,2.5)-1))</f>
        <v>1.0287999999999999</v>
      </c>
      <c r="AH169" s="53">
        <f t="shared" si="9"/>
        <v>116.42147711999998</v>
      </c>
      <c r="AI169" s="53">
        <f>E169*AF169*(1+設定!$B$18*AVERAGE(P169:U169))</f>
        <v>3540.5412492848977</v>
      </c>
      <c r="AJ169" s="61">
        <f>設定!$B$5*SQRT((AH169/(設定!$B$7*設定!$B$10*(1+設定!$B$11*(設定!$B$12-1))))*(AI169/(設定!$B$6*(1+設定!$B$13))))</f>
        <v>1310.9360921711971</v>
      </c>
      <c r="AK169" s="62">
        <f t="shared" si="10"/>
        <v>-4.8747390391290502E-5</v>
      </c>
      <c r="AL169" s="63">
        <f t="shared" si="11"/>
        <v>1193.01</v>
      </c>
      <c r="AM169" s="64" t="s">
        <v>916</v>
      </c>
      <c r="AN169" s="54">
        <f>MAX(1,ROUND((設定!$B$7*設定!$B$10*(1+設定!$B$11*(設定!$B$12-1)))*AE169^2*(設定!$B$6*(1+設定!$B$13))/(AI169*N169*(1+K169*(L169-1))*AG169),0))</f>
        <v>186</v>
      </c>
      <c r="AO169" s="65" t="str">
        <f>IF($A169="","",IF(COUNTIF(個性タイプマスタ!$A$5:$A$100,$AM169)&gt;0,"OK","未登録"))</f>
        <v>OK</v>
      </c>
      <c r="AP169" s="67" t="str">
        <f>IF($A169="","",IF(COUNTIF(属性耐性マスタ!$A$5:$A$11,$C169)&gt;0,"OK","未登録"))</f>
        <v>OK</v>
      </c>
    </row>
    <row r="170" spans="1:42">
      <c r="A170" s="66" t="s">
        <v>440</v>
      </c>
      <c r="B170" s="51" t="s">
        <v>441</v>
      </c>
      <c r="C170" s="109" t="s">
        <v>874</v>
      </c>
      <c r="D170" s="53">
        <f>ROUND(設定!$B$5*POWER($D$2,W170-1),2)</f>
        <v>1311</v>
      </c>
      <c r="E170" s="54">
        <f>MAX(1,ROUND(設定!$B$6*AE170*Y170,0))</f>
        <v>2688</v>
      </c>
      <c r="F170" s="54">
        <f>MAX(0,ROUND(設定!$B$7*AE170*設定!$B$15*IF(X170="Melee",0.6,1.35)*IFERROR(VLOOKUP($AM170,個性タイプマスタ!$A$5:$P$100,14,FALSE),1),0))</f>
        <v>51</v>
      </c>
      <c r="G170" s="54">
        <f>IF(X170="Melee",AN170,MAX(1,ROUND(AN170*設定!$B$16*IFERROR(VLOOKUP($AM170,個性タイプマスタ!$A$5:$P$100,15,FALSE),1),0)))</f>
        <v>207</v>
      </c>
      <c r="H170" s="54">
        <f>IF(X170="Ranged",AN170,MAX(1,ROUND(AN170*設定!$B$16*IFERROR(VLOOKUP($AM170,個性タイプマスタ!$A$5:$P$100,15,FALSE),1),0)))</f>
        <v>84</v>
      </c>
      <c r="I170" s="54">
        <f>MAX(0,ROUND(設定!$B$8*AE170*Z170,0))</f>
        <v>159</v>
      </c>
      <c r="J170" s="54">
        <f>MAX(0,ROUND(設定!$B$9*AE170*AA170,0))</f>
        <v>136</v>
      </c>
      <c r="K170" s="55">
        <f>IFERROR(VLOOKUP($AM170,個性タイプマスタ!$A$5:$P$100,9,FALSE),0.05)</f>
        <v>2.5000000000000001E-2</v>
      </c>
      <c r="L170" s="56">
        <f>IFERROR(VLOOKUP($AM170,個性タイプマスタ!$A$5:$P$100,10,FALSE),1.5)</f>
        <v>1.35</v>
      </c>
      <c r="M170" s="56">
        <f>IFERROR(VLOOKUP($AM170,個性タイプマスタ!$A$5:$P$100,11,FALSE),2)</f>
        <v>1.1499999999999999</v>
      </c>
      <c r="N170" s="57">
        <f>MAX(0.1,ROUND(設定!$B$10*AB170,3))</f>
        <v>0.51</v>
      </c>
      <c r="O170" s="57">
        <f t="shared" si="8"/>
        <v>1.2749999999999999</v>
      </c>
      <c r="P170" s="58">
        <f>MAX(-10,MIN(0.8,IFERROR(INDEX(属性耐性マスタ!$B$5:$G$11,MATCH($C170,属性耐性マスタ!$A$5:$A$11,0),1),0)+IFERROR(VLOOKUP($AM170,個性タイプマスタ!$A$5:$P$100,12,FALSE),0)))</f>
        <v>0.05</v>
      </c>
      <c r="Q170" s="58">
        <f>MAX(-10,MIN(0.8,IFERROR(INDEX(属性耐性マスタ!$B$5:$G$11,MATCH($C170,属性耐性マスタ!$A$5:$A$11,0),2),0)+IFERROR(VLOOKUP($AM170,個性タイプマスタ!$A$5:$P$100,12,FALSE),0)))</f>
        <v>0.05</v>
      </c>
      <c r="R170" s="58">
        <f>MAX(-10,MIN(0.8,IFERROR(INDEX(属性耐性マスタ!$B$5:$G$11,MATCH($C170,属性耐性マスタ!$A$5:$A$11,0),3),0)+IFERROR(VLOOKUP($AM170,個性タイプマスタ!$A$5:$P$100,12,FALSE),0)))</f>
        <v>0.05</v>
      </c>
      <c r="S170" s="58">
        <f>MAX(-10,MIN(0.8,IFERROR(INDEX(属性耐性マスタ!$B$5:$G$11,MATCH($C170,属性耐性マスタ!$A$5:$A$11,0),4),0)+IFERROR(VLOOKUP($AM170,個性タイプマスタ!$A$5:$P$100,12,FALSE),0)))</f>
        <v>0.05</v>
      </c>
      <c r="T170" s="58">
        <f>MAX(-10,MIN(0.8,IFERROR(INDEX(属性耐性マスタ!$B$5:$G$11,MATCH($C170,属性耐性マスタ!$A$5:$A$11,0),5),0)+IFERROR(VLOOKUP($AM170,個性タイプマスタ!$A$5:$P$100,12,FALSE),0)))</f>
        <v>-0.05</v>
      </c>
      <c r="U170" s="58">
        <f>MAX(-10,MIN(0.8,IFERROR(INDEX(属性耐性マスタ!$B$5:$G$11,MATCH($C170,属性耐性マスタ!$A$5:$A$11,0),6),0)+IFERROR(VLOOKUP($AM170,個性タイプマスタ!$A$5:$P$100,12,FALSE),0)))</f>
        <v>0.25</v>
      </c>
      <c r="V170" s="59">
        <f>ROUND(設定!$B$19*IFERROR(VLOOKUP($AM170,個性タイプマスタ!$A$5:$P$100,13,FALSE),1),2)</f>
        <v>3.2</v>
      </c>
      <c r="W170" s="59">
        <v>28</v>
      </c>
      <c r="X170" s="59" t="str">
        <f>IFERROR(VLOOKUP($AM170,個性タイプマスタ!$A$5:$P$100,2,FALSE),"Ranged")</f>
        <v>Melee</v>
      </c>
      <c r="Y170" s="56">
        <f>IFERROR(VLOOKUP($AM170,個性タイプマスタ!$A$5:$P$100,3,FALSE),1)</f>
        <v>2.0499999999999998</v>
      </c>
      <c r="Z170" s="56">
        <f>IFERROR(VLOOKUP($AM170,個性タイプマスタ!$A$5:$P$100,4,FALSE),1)</f>
        <v>1.52</v>
      </c>
      <c r="AA170" s="56">
        <f>IFERROR(VLOOKUP($AM170,個性タイプマスタ!$A$5:$P$100,5,FALSE),1)</f>
        <v>1.3</v>
      </c>
      <c r="AB170" s="56">
        <f>IFERROR(VLOOKUP($AM170,個性タイプマスタ!$A$5:$P$100,6,FALSE),1)</f>
        <v>0.51</v>
      </c>
      <c r="AC170" s="56">
        <f>IFERROR(VLOOKUP($AM170,個性タイプマスタ!$A$5:$P$100,7,FALSE),1)</f>
        <v>0.85</v>
      </c>
      <c r="AD170" s="56">
        <f>IFERROR(VLOOKUP($AM170,個性タイプマスタ!$A$5:$P$100,8,FALSE),1)</f>
        <v>0.95</v>
      </c>
      <c r="AE170" s="60">
        <f>IFERROR(D170/設定!$B$5,1)</f>
        <v>13.11</v>
      </c>
      <c r="AF170" s="60">
        <f>1+設定!$B$13*((I170/設定!$B$8+J170/設定!$B$9)/(2*AE170))</f>
        <v>1.4219107551487413</v>
      </c>
      <c r="AG170" s="60">
        <f>MAX(0.7,1+設定!$B$14*(O170/IF(X170="Melee",1.5,2.5)-1))</f>
        <v>0.98199999999999998</v>
      </c>
      <c r="AH170" s="53">
        <f t="shared" si="9"/>
        <v>104.576850225</v>
      </c>
      <c r="AI170" s="53">
        <f>E170*AF170*(1+設定!$B$18*AVERAGE(P170:U170))</f>
        <v>3936.7589931350112</v>
      </c>
      <c r="AJ170" s="61">
        <f>設定!$B$5*SQRT((AH170/(設定!$B$7*設定!$B$10*(1+設定!$B$11*(設定!$B$12-1))))*(AI170/(設定!$B$6*(1+設定!$B$13))))</f>
        <v>1310.1388685543295</v>
      </c>
      <c r="AK170" s="62">
        <f t="shared" si="10"/>
        <v>-6.568508357517322E-4</v>
      </c>
      <c r="AL170" s="63">
        <f t="shared" si="11"/>
        <v>1245.45</v>
      </c>
      <c r="AM170" s="64" t="s">
        <v>968</v>
      </c>
      <c r="AN170" s="54">
        <f>MAX(1,ROUND((設定!$B$7*設定!$B$10*(1+設定!$B$11*(設定!$B$12-1)))*AE170^2*(設定!$B$6*(1+設定!$B$13))/(AI170*N170*(1+K170*(L170-1))*AG170),0))</f>
        <v>207</v>
      </c>
      <c r="AO170" s="65" t="str">
        <f>IF($A170="","",IF(COUNTIF(個性タイプマスタ!$A$5:$A$100,$AM170)&gt;0,"OK","未登録"))</f>
        <v>OK</v>
      </c>
      <c r="AP170" s="67" t="str">
        <f>IF($A170="","",IF(COUNTIF(属性耐性マスタ!$A$5:$A$11,$C170)&gt;0,"OK","未登録"))</f>
        <v>OK</v>
      </c>
    </row>
    <row r="171" spans="1:42">
      <c r="A171" s="66" t="s">
        <v>442</v>
      </c>
      <c r="B171" s="51" t="s">
        <v>443</v>
      </c>
      <c r="C171" s="109" t="s">
        <v>874</v>
      </c>
      <c r="D171" s="53">
        <f>ROUND(設定!$B$5*POWER($D$2,W171-1),2)</f>
        <v>1311</v>
      </c>
      <c r="E171" s="54">
        <f>MAX(1,ROUND(設定!$B$6*AE171*Y171,0))</f>
        <v>1770</v>
      </c>
      <c r="F171" s="54">
        <f>MAX(0,ROUND(設定!$B$7*AE171*設定!$B$15*IF(X171="Melee",0.6,1.35)*IFERROR(VLOOKUP($AM171,個性タイプマスタ!$A$5:$P$100,14,FALSE),1),0))</f>
        <v>76</v>
      </c>
      <c r="G171" s="54">
        <f>IF(X171="Melee",AN171,MAX(1,ROUND(AN171*設定!$B$16*IFERROR(VLOOKUP($AM171,個性タイプマスタ!$A$5:$P$100,15,FALSE),1),0)))</f>
        <v>154</v>
      </c>
      <c r="H171" s="54">
        <f>IF(X171="Ranged",AN171,MAX(1,ROUND(AN171*設定!$B$16*IFERROR(VLOOKUP($AM171,個性タイプマスタ!$A$5:$P$100,15,FALSE),1),0)))</f>
        <v>69</v>
      </c>
      <c r="I171" s="54">
        <f>MAX(0,ROUND(設定!$B$8*AE171*Z171,0))</f>
        <v>147</v>
      </c>
      <c r="J171" s="54">
        <f>MAX(0,ROUND(設定!$B$9*AE171*AA171,0))</f>
        <v>105</v>
      </c>
      <c r="K171" s="55">
        <f>IFERROR(VLOOKUP($AM171,個性タイプマスタ!$A$5:$P$100,9,FALSE),0.05)</f>
        <v>0.08</v>
      </c>
      <c r="L171" s="56">
        <f>IFERROR(VLOOKUP($AM171,個性タイプマスタ!$A$5:$P$100,10,FALSE),1.5)</f>
        <v>1.6</v>
      </c>
      <c r="M171" s="56">
        <f>IFERROR(VLOOKUP($AM171,個性タイプマスタ!$A$5:$P$100,11,FALSE),2)</f>
        <v>2.7</v>
      </c>
      <c r="N171" s="57">
        <f>MAX(0.1,ROUND(設定!$B$10*AB171,3))</f>
        <v>1.05</v>
      </c>
      <c r="O171" s="57">
        <f t="shared" si="8"/>
        <v>1.2</v>
      </c>
      <c r="P171" s="58">
        <f>MAX(-10,MIN(0.8,IFERROR(INDEX(属性耐性マスタ!$B$5:$G$11,MATCH($C171,属性耐性マスタ!$A$5:$A$11,0),1),0)+IFERROR(VLOOKUP($AM171,個性タイプマスタ!$A$5:$P$100,12,FALSE),0)))</f>
        <v>6.5000000000000002E-2</v>
      </c>
      <c r="Q171" s="58">
        <f>MAX(-10,MIN(0.8,IFERROR(INDEX(属性耐性マスタ!$B$5:$G$11,MATCH($C171,属性耐性マスタ!$A$5:$A$11,0),2),0)+IFERROR(VLOOKUP($AM171,個性タイプマスタ!$A$5:$P$100,12,FALSE),0)))</f>
        <v>6.5000000000000002E-2</v>
      </c>
      <c r="R171" s="58">
        <f>MAX(-10,MIN(0.8,IFERROR(INDEX(属性耐性マスタ!$B$5:$G$11,MATCH($C171,属性耐性マスタ!$A$5:$A$11,0),3),0)+IFERROR(VLOOKUP($AM171,個性タイプマスタ!$A$5:$P$100,12,FALSE),0)))</f>
        <v>6.5000000000000002E-2</v>
      </c>
      <c r="S171" s="58">
        <f>MAX(-10,MIN(0.8,IFERROR(INDEX(属性耐性マスタ!$B$5:$G$11,MATCH($C171,属性耐性マスタ!$A$5:$A$11,0),4),0)+IFERROR(VLOOKUP($AM171,個性タイプマスタ!$A$5:$P$100,12,FALSE),0)))</f>
        <v>6.5000000000000002E-2</v>
      </c>
      <c r="T171" s="58">
        <f>MAX(-10,MIN(0.8,IFERROR(INDEX(属性耐性マスタ!$B$5:$G$11,MATCH($C171,属性耐性マスタ!$A$5:$A$11,0),5),0)+IFERROR(VLOOKUP($AM171,個性タイプマスタ!$A$5:$P$100,12,FALSE),0)))</f>
        <v>-3.5000000000000003E-2</v>
      </c>
      <c r="U171" s="58">
        <f>MAX(-10,MIN(0.8,IFERROR(INDEX(属性耐性マスタ!$B$5:$G$11,MATCH($C171,属性耐性マスタ!$A$5:$A$11,0),6),0)+IFERROR(VLOOKUP($AM171,個性タイプマスタ!$A$5:$P$100,12,FALSE),0)))</f>
        <v>0.26500000000000001</v>
      </c>
      <c r="V171" s="59">
        <f>ROUND(設定!$B$19*IFERROR(VLOOKUP($AM171,個性タイプマスタ!$A$5:$P$100,13,FALSE),1),2)</f>
        <v>4</v>
      </c>
      <c r="W171" s="59">
        <v>28</v>
      </c>
      <c r="X171" s="59" t="str">
        <f>IFERROR(VLOOKUP($AM171,個性タイプマスタ!$A$5:$P$100,2,FALSE),"Ranged")</f>
        <v>Melee</v>
      </c>
      <c r="Y171" s="56">
        <f>IFERROR(VLOOKUP($AM171,個性タイプマスタ!$A$5:$P$100,3,FALSE),1)</f>
        <v>1.35</v>
      </c>
      <c r="Z171" s="56">
        <f>IFERROR(VLOOKUP($AM171,個性タイプマスタ!$A$5:$P$100,4,FALSE),1)</f>
        <v>1.4</v>
      </c>
      <c r="AA171" s="56">
        <f>IFERROR(VLOOKUP($AM171,個性タイプマスタ!$A$5:$P$100,5,FALSE),1)</f>
        <v>1</v>
      </c>
      <c r="AB171" s="56">
        <f>IFERROR(VLOOKUP($AM171,個性タイプマスタ!$A$5:$P$100,6,FALSE),1)</f>
        <v>1.05</v>
      </c>
      <c r="AC171" s="56">
        <f>IFERROR(VLOOKUP($AM171,個性タイプマスタ!$A$5:$P$100,7,FALSE),1)</f>
        <v>0.8</v>
      </c>
      <c r="AD171" s="56">
        <f>IFERROR(VLOOKUP($AM171,個性タイプマスタ!$A$5:$P$100,8,FALSE),1)</f>
        <v>0.9</v>
      </c>
      <c r="AE171" s="60">
        <f>IFERROR(D171/設定!$B$5,1)</f>
        <v>13.11</v>
      </c>
      <c r="AF171" s="60">
        <f>1+設定!$B$13*((I171/設定!$B$8+J171/設定!$B$9)/(2*AE171))</f>
        <v>1.360411899313501</v>
      </c>
      <c r="AG171" s="60">
        <f>MAX(0.7,1+設定!$B$14*(O171/IF(X171="Melee",1.5,2.5)-1))</f>
        <v>0.97599999999999998</v>
      </c>
      <c r="AH171" s="53">
        <f t="shared" si="9"/>
        <v>165.39452160000002</v>
      </c>
      <c r="AI171" s="53">
        <f>E171*AF171*(1+設定!$B$18*AVERAGE(P171:U171))</f>
        <v>2496.4204548054922</v>
      </c>
      <c r="AJ171" s="61">
        <f>設定!$B$5*SQRT((AH171/(設定!$B$7*設定!$B$10*(1+設定!$B$11*(設定!$B$12-1))))*(AI171/(設定!$B$6*(1+設定!$B$13))))</f>
        <v>1312.0475206388153</v>
      </c>
      <c r="AK171" s="62">
        <f t="shared" si="10"/>
        <v>7.9902413334509426E-4</v>
      </c>
      <c r="AL171" s="63">
        <f t="shared" si="11"/>
        <v>1179.9000000000001</v>
      </c>
      <c r="AM171" s="64" t="s">
        <v>888</v>
      </c>
      <c r="AN171" s="54">
        <f>MAX(1,ROUND((設定!$B$7*設定!$B$10*(1+設定!$B$11*(設定!$B$12-1)))*AE171^2*(設定!$B$6*(1+設定!$B$13))/(AI171*N171*(1+K171*(L171-1))*AG171),0))</f>
        <v>154</v>
      </c>
      <c r="AO171" s="65" t="str">
        <f>IF($A171="","",IF(COUNTIF(個性タイプマスタ!$A$5:$A$100,$AM171)&gt;0,"OK","未登録"))</f>
        <v>OK</v>
      </c>
      <c r="AP171" s="67" t="str">
        <f>IF($A171="","",IF(COUNTIF(属性耐性マスタ!$A$5:$A$11,$C171)&gt;0,"OK","未登録"))</f>
        <v>OK</v>
      </c>
    </row>
    <row r="172" spans="1:42">
      <c r="A172" s="66" t="s">
        <v>444</v>
      </c>
      <c r="B172" s="51" t="s">
        <v>445</v>
      </c>
      <c r="C172" s="109" t="s">
        <v>874</v>
      </c>
      <c r="D172" s="53">
        <f>ROUND(設定!$B$5*POWER($D$2,W172-1),2)</f>
        <v>1311</v>
      </c>
      <c r="E172" s="54">
        <f>MAX(1,ROUND(設定!$B$6*AE172*Y172,0))</f>
        <v>970</v>
      </c>
      <c r="F172" s="54">
        <f>MAX(0,ROUND(設定!$B$7*AE172*設定!$B$15*IF(X172="Melee",0.6,1.35)*IFERROR(VLOOKUP($AM172,個性タイプマスタ!$A$5:$P$100,14,FALSE),1),0))</f>
        <v>182</v>
      </c>
      <c r="G172" s="54">
        <f>IF(X172="Melee",AN172,MAX(1,ROUND(AN172*設定!$B$16*IFERROR(VLOOKUP($AM172,個性タイプマスタ!$A$5:$P$100,15,FALSE),1),0)))</f>
        <v>66</v>
      </c>
      <c r="H172" s="54">
        <f>IF(X172="Ranged",AN172,MAX(1,ROUND(AN172*設定!$B$16*IFERROR(VLOOKUP($AM172,個性タイプマスタ!$A$5:$P$100,15,FALSE),1),0)))</f>
        <v>225</v>
      </c>
      <c r="I172" s="54">
        <f>MAX(0,ROUND(設定!$B$8*AE172*Z172,0))</f>
        <v>76</v>
      </c>
      <c r="J172" s="54">
        <f>MAX(0,ROUND(設定!$B$9*AE172*AA172,0))</f>
        <v>88</v>
      </c>
      <c r="K172" s="55">
        <f>IFERROR(VLOOKUP($AM172,個性タイプマスタ!$A$5:$P$100,9,FALSE),0.05)</f>
        <v>0.05</v>
      </c>
      <c r="L172" s="56">
        <f>IFERROR(VLOOKUP($AM172,個性タイプマスタ!$A$5:$P$100,10,FALSE),1.5)</f>
        <v>1.4</v>
      </c>
      <c r="M172" s="56">
        <f>IFERROR(VLOOKUP($AM172,個性タイプマスタ!$A$5:$P$100,11,FALSE),2)</f>
        <v>3.35</v>
      </c>
      <c r="N172" s="57">
        <f>MAX(0.1,ROUND(設定!$B$10*AB172,3))</f>
        <v>1.55</v>
      </c>
      <c r="O172" s="57">
        <f t="shared" si="8"/>
        <v>2.2999999999999998</v>
      </c>
      <c r="P172" s="58">
        <f>MAX(-10,MIN(0.8,IFERROR(INDEX(属性耐性マスタ!$B$5:$G$11,MATCH($C172,属性耐性マスタ!$A$5:$A$11,0),1),0)+IFERROR(VLOOKUP($AM172,個性タイプマスタ!$A$5:$P$100,12,FALSE),0)))</f>
        <v>-7.0000000000000007E-2</v>
      </c>
      <c r="Q172" s="58">
        <f>MAX(-10,MIN(0.8,IFERROR(INDEX(属性耐性マスタ!$B$5:$G$11,MATCH($C172,属性耐性マスタ!$A$5:$A$11,0),2),0)+IFERROR(VLOOKUP($AM172,個性タイプマスタ!$A$5:$P$100,12,FALSE),0)))</f>
        <v>-7.0000000000000007E-2</v>
      </c>
      <c r="R172" s="58">
        <f>MAX(-10,MIN(0.8,IFERROR(INDEX(属性耐性マスタ!$B$5:$G$11,MATCH($C172,属性耐性マスタ!$A$5:$A$11,0),3),0)+IFERROR(VLOOKUP($AM172,個性タイプマスタ!$A$5:$P$100,12,FALSE),0)))</f>
        <v>-7.0000000000000007E-2</v>
      </c>
      <c r="S172" s="58">
        <f>MAX(-10,MIN(0.8,IFERROR(INDEX(属性耐性マスタ!$B$5:$G$11,MATCH($C172,属性耐性マスタ!$A$5:$A$11,0),4),0)+IFERROR(VLOOKUP($AM172,個性タイプマスタ!$A$5:$P$100,12,FALSE),0)))</f>
        <v>-7.0000000000000007E-2</v>
      </c>
      <c r="T172" s="58">
        <f>MAX(-10,MIN(0.8,IFERROR(INDEX(属性耐性マスタ!$B$5:$G$11,MATCH($C172,属性耐性マスタ!$A$5:$A$11,0),5),0)+IFERROR(VLOOKUP($AM172,個性タイプマスタ!$A$5:$P$100,12,FALSE),0)))</f>
        <v>-0.17</v>
      </c>
      <c r="U172" s="58">
        <f>MAX(-10,MIN(0.8,IFERROR(INDEX(属性耐性マスタ!$B$5:$G$11,MATCH($C172,属性耐性マスタ!$A$5:$A$11,0),6),0)+IFERROR(VLOOKUP($AM172,個性タイプマスタ!$A$5:$P$100,12,FALSE),0)))</f>
        <v>0.13</v>
      </c>
      <c r="V172" s="59">
        <f>ROUND(設定!$B$19*IFERROR(VLOOKUP($AM172,個性タイプマスタ!$A$5:$P$100,13,FALSE),1),2)</f>
        <v>4</v>
      </c>
      <c r="W172" s="59">
        <v>28</v>
      </c>
      <c r="X172" s="59" t="str">
        <f>IFERROR(VLOOKUP($AM172,個性タイプマスタ!$A$5:$P$100,2,FALSE),"Ranged")</f>
        <v>Ranged</v>
      </c>
      <c r="Y172" s="56">
        <f>IFERROR(VLOOKUP($AM172,個性タイプマスタ!$A$5:$P$100,3,FALSE),1)</f>
        <v>0.74</v>
      </c>
      <c r="Z172" s="56">
        <f>IFERROR(VLOOKUP($AM172,個性タイプマスタ!$A$5:$P$100,4,FALSE),1)</f>
        <v>0.72</v>
      </c>
      <c r="AA172" s="56">
        <f>IFERROR(VLOOKUP($AM172,個性タイプマスタ!$A$5:$P$100,5,FALSE),1)</f>
        <v>0.84</v>
      </c>
      <c r="AB172" s="56">
        <f>IFERROR(VLOOKUP($AM172,個性タイプマスタ!$A$5:$P$100,6,FALSE),1)</f>
        <v>1.55</v>
      </c>
      <c r="AC172" s="56">
        <f>IFERROR(VLOOKUP($AM172,個性タイプマスタ!$A$5:$P$100,7,FALSE),1)</f>
        <v>0.92</v>
      </c>
      <c r="AD172" s="56">
        <f>IFERROR(VLOOKUP($AM172,個性タイプマスタ!$A$5:$P$100,8,FALSE),1)</f>
        <v>0.61</v>
      </c>
      <c r="AE172" s="60">
        <f>IFERROR(D172/設定!$B$5,1)</f>
        <v>13.11</v>
      </c>
      <c r="AF172" s="60">
        <f>1+設定!$B$13*((I172/設定!$B$8+J172/設定!$B$9)/(2*AE172))</f>
        <v>1.2345537757437071</v>
      </c>
      <c r="AG172" s="60">
        <f>MAX(0.7,1+設定!$B$14*(O172/IF(X172="Melee",1.5,2.5)-1))</f>
        <v>0.99039999999999995</v>
      </c>
      <c r="AH172" s="53">
        <f t="shared" si="9"/>
        <v>352.31004000000001</v>
      </c>
      <c r="AI172" s="53">
        <f>E172*AF172*(1+設定!$B$18*AVERAGE(P172:U172))</f>
        <v>1168.7767505720822</v>
      </c>
      <c r="AJ172" s="61">
        <f>設定!$B$5*SQRT((AH172/(設定!$B$7*設定!$B$10*(1+設定!$B$11*(設定!$B$12-1))))*(AI172/(設定!$B$6*(1+設定!$B$13))))</f>
        <v>1310.2628585817351</v>
      </c>
      <c r="AK172" s="62">
        <f t="shared" si="10"/>
        <v>-5.6227415580845097E-4</v>
      </c>
      <c r="AL172" s="63">
        <f t="shared" si="11"/>
        <v>799.71</v>
      </c>
      <c r="AM172" s="64" t="s">
        <v>908</v>
      </c>
      <c r="AN172" s="54">
        <f>MAX(1,ROUND((設定!$B$7*設定!$B$10*(1+設定!$B$11*(設定!$B$12-1)))*AE172^2*(設定!$B$6*(1+設定!$B$13))/(AI172*N172*(1+K172*(L172-1))*AG172),0))</f>
        <v>225</v>
      </c>
      <c r="AO172" s="65" t="str">
        <f>IF($A172="","",IF(COUNTIF(個性タイプマスタ!$A$5:$A$100,$AM172)&gt;0,"OK","未登録"))</f>
        <v>OK</v>
      </c>
      <c r="AP172" s="67" t="str">
        <f>IF($A172="","",IF(COUNTIF(属性耐性マスタ!$A$5:$A$11,$C172)&gt;0,"OK","未登録"))</f>
        <v>OK</v>
      </c>
    </row>
    <row r="173" spans="1:42">
      <c r="A173" s="66" t="s">
        <v>446</v>
      </c>
      <c r="B173" s="51" t="s">
        <v>447</v>
      </c>
      <c r="C173" s="109" t="s">
        <v>871</v>
      </c>
      <c r="D173" s="53">
        <f>ROUND(設定!$B$5*POWER($D$2,W173-1),2)</f>
        <v>1442.1</v>
      </c>
      <c r="E173" s="54">
        <f>MAX(1,ROUND(設定!$B$6*AE173*Y173,0))</f>
        <v>1731</v>
      </c>
      <c r="F173" s="54">
        <f>MAX(0,ROUND(設定!$B$7*AE173*設定!$B$15*IF(X173="Melee",0.6,1.35)*IFERROR(VLOOKUP($AM173,個性タイプマスタ!$A$5:$P$100,14,FALSE),1),0))</f>
        <v>210</v>
      </c>
      <c r="G173" s="54">
        <f>IF(X173="Melee",AN173,MAX(1,ROUND(AN173*設定!$B$16*IFERROR(VLOOKUP($AM173,個性タイプマスタ!$A$5:$P$100,15,FALSE),1),0)))</f>
        <v>92</v>
      </c>
      <c r="H173" s="54">
        <f>IF(X173="Ranged",AN173,MAX(1,ROUND(AN173*設定!$B$16*IFERROR(VLOOKUP($AM173,個性タイプマスタ!$A$5:$P$100,15,FALSE),1),0)))</f>
        <v>205</v>
      </c>
      <c r="I173" s="54">
        <f>MAX(0,ROUND(設定!$B$8*AE173*Z173,0))</f>
        <v>150</v>
      </c>
      <c r="J173" s="54">
        <f>MAX(0,ROUND(設定!$B$9*AE173*AA173,0))</f>
        <v>98</v>
      </c>
      <c r="K173" s="55">
        <f>IFERROR(VLOOKUP($AM173,個性タイプマスタ!$A$5:$P$100,9,FALSE),0.05)</f>
        <v>0.08</v>
      </c>
      <c r="L173" s="56">
        <f>IFERROR(VLOOKUP($AM173,個性タイプマスタ!$A$5:$P$100,10,FALSE),1.5)</f>
        <v>1.6</v>
      </c>
      <c r="M173" s="56">
        <f>IFERROR(VLOOKUP($AM173,個性タイプマスタ!$A$5:$P$100,11,FALSE),2)</f>
        <v>2.8</v>
      </c>
      <c r="N173" s="57">
        <f>MAX(0.1,ROUND(設定!$B$10*AB173,3))</f>
        <v>1</v>
      </c>
      <c r="O173" s="57">
        <f t="shared" si="8"/>
        <v>2.5</v>
      </c>
      <c r="P173" s="58">
        <f>MAX(-10,MIN(0.8,IFERROR(INDEX(属性耐性マスタ!$B$5:$G$11,MATCH($C173,属性耐性マスタ!$A$5:$A$11,0),1),0)+IFERROR(VLOOKUP($AM173,個性タイプマスタ!$A$5:$P$100,12,FALSE),0)))</f>
        <v>1.4999999999999999E-2</v>
      </c>
      <c r="Q173" s="58">
        <f>MAX(-10,MIN(0.8,IFERROR(INDEX(属性耐性マスタ!$B$5:$G$11,MATCH($C173,属性耐性マスタ!$A$5:$A$11,0),2),0)+IFERROR(VLOOKUP($AM173,個性タイプマスタ!$A$5:$P$100,12,FALSE),0)))</f>
        <v>1.4999999999999999E-2</v>
      </c>
      <c r="R173" s="58">
        <f>MAX(-10,MIN(0.8,IFERROR(INDEX(属性耐性マスタ!$B$5:$G$11,MATCH($C173,属性耐性マスタ!$A$5:$A$11,0),3),0)+IFERROR(VLOOKUP($AM173,個性タイプマスタ!$A$5:$P$100,12,FALSE),0)))</f>
        <v>-8.5000000000000006E-2</v>
      </c>
      <c r="S173" s="58">
        <f>MAX(-10,MIN(0.8,IFERROR(INDEX(属性耐性マスタ!$B$5:$G$11,MATCH($C173,属性耐性マスタ!$A$5:$A$11,0),4),0)+IFERROR(VLOOKUP($AM173,個性タイプマスタ!$A$5:$P$100,12,FALSE),0)))</f>
        <v>0.21500000000000002</v>
      </c>
      <c r="T173" s="58">
        <f>MAX(-10,MIN(0.8,IFERROR(INDEX(属性耐性マスタ!$B$5:$G$11,MATCH($C173,属性耐性マスタ!$A$5:$A$11,0),5),0)+IFERROR(VLOOKUP($AM173,個性タイプマスタ!$A$5:$P$100,12,FALSE),0)))</f>
        <v>1.4999999999999999E-2</v>
      </c>
      <c r="U173" s="58">
        <f>MAX(-10,MIN(0.8,IFERROR(INDEX(属性耐性マスタ!$B$5:$G$11,MATCH($C173,属性耐性マスタ!$A$5:$A$11,0),6),0)+IFERROR(VLOOKUP($AM173,個性タイプマスタ!$A$5:$P$100,12,FALSE),0)))</f>
        <v>1.4999999999999999E-2</v>
      </c>
      <c r="V173" s="59">
        <f>ROUND(設定!$B$19*IFERROR(VLOOKUP($AM173,個性タイプマスタ!$A$5:$P$100,13,FALSE),1),2)</f>
        <v>4</v>
      </c>
      <c r="W173" s="59">
        <v>29</v>
      </c>
      <c r="X173" s="59" t="str">
        <f>IFERROR(VLOOKUP($AM173,個性タイプマスタ!$A$5:$P$100,2,FALSE),"Ranged")</f>
        <v>Ranged</v>
      </c>
      <c r="Y173" s="56">
        <f>IFERROR(VLOOKUP($AM173,個性タイプマスタ!$A$5:$P$100,3,FALSE),1)</f>
        <v>1.2</v>
      </c>
      <c r="Z173" s="56">
        <f>IFERROR(VLOOKUP($AM173,個性タイプマスタ!$A$5:$P$100,4,FALSE),1)</f>
        <v>1.3</v>
      </c>
      <c r="AA173" s="56">
        <f>IFERROR(VLOOKUP($AM173,個性タイプマスタ!$A$5:$P$100,5,FALSE),1)</f>
        <v>0.85</v>
      </c>
      <c r="AB173" s="56">
        <f>IFERROR(VLOOKUP($AM173,個性タイプマスタ!$A$5:$P$100,6,FALSE),1)</f>
        <v>1</v>
      </c>
      <c r="AC173" s="56">
        <f>IFERROR(VLOOKUP($AM173,個性タイプマスタ!$A$5:$P$100,7,FALSE),1)</f>
        <v>1</v>
      </c>
      <c r="AD173" s="56">
        <f>IFERROR(VLOOKUP($AM173,個性タイプマスタ!$A$5:$P$100,8,FALSE),1)</f>
        <v>0.85</v>
      </c>
      <c r="AE173" s="60">
        <f>IFERROR(D173/設定!$B$5,1)</f>
        <v>14.420999999999999</v>
      </c>
      <c r="AF173" s="60">
        <f>1+設定!$B$13*((I173/設定!$B$8+J173/設定!$B$9)/(2*AE173))</f>
        <v>1.3224464322862493</v>
      </c>
      <c r="AG173" s="60">
        <f>MAX(0.7,1+設定!$B$14*(O173/IF(X173="Melee",1.5,2.5)-1))</f>
        <v>1</v>
      </c>
      <c r="AH173" s="53">
        <f t="shared" si="9"/>
        <v>214.84</v>
      </c>
      <c r="AI173" s="53">
        <f>E173*AF173*(1+設定!$B$18*AVERAGE(P173:U173))</f>
        <v>2321.7752298210944</v>
      </c>
      <c r="AJ173" s="61">
        <f>設定!$B$5*SQRT((AH173/(設定!$B$7*設定!$B$10*(1+設定!$B$11*(設定!$B$12-1))))*(AI173/(設定!$B$6*(1+設定!$B$13))))</f>
        <v>1442.1080370319792</v>
      </c>
      <c r="AK173" s="62">
        <f t="shared" si="10"/>
        <v>5.5731447050622052E-6</v>
      </c>
      <c r="AL173" s="63">
        <f t="shared" si="11"/>
        <v>1225.7849999999999</v>
      </c>
      <c r="AM173" s="64" t="s">
        <v>894</v>
      </c>
      <c r="AN173" s="54">
        <f>MAX(1,ROUND((設定!$B$7*設定!$B$10*(1+設定!$B$11*(設定!$B$12-1)))*AE173^2*(設定!$B$6*(1+設定!$B$13))/(AI173*N173*(1+K173*(L173-1))*AG173),0))</f>
        <v>205</v>
      </c>
      <c r="AO173" s="65" t="str">
        <f>IF($A173="","",IF(COUNTIF(個性タイプマスタ!$A$5:$A$100,$AM173)&gt;0,"OK","未登録"))</f>
        <v>OK</v>
      </c>
      <c r="AP173" s="67" t="str">
        <f>IF($A173="","",IF(COUNTIF(属性耐性マスタ!$A$5:$A$11,$C173)&gt;0,"OK","未登録"))</f>
        <v>OK</v>
      </c>
    </row>
    <row r="174" spans="1:42">
      <c r="A174" s="66" t="s">
        <v>448</v>
      </c>
      <c r="B174" s="51" t="s">
        <v>449</v>
      </c>
      <c r="C174" s="109" t="s">
        <v>874</v>
      </c>
      <c r="D174" s="53">
        <f>ROUND(設定!$B$5*POWER($D$2,W174-1),2)</f>
        <v>1442.1</v>
      </c>
      <c r="E174" s="54">
        <f>MAX(1,ROUND(設定!$B$6*AE174*Y174,0))</f>
        <v>836</v>
      </c>
      <c r="F174" s="54">
        <f>MAX(0,ROUND(設定!$B$7*AE174*設定!$B$15*IF(X174="Melee",0.6,1.35)*IFERROR(VLOOKUP($AM174,個性タイプマスタ!$A$5:$P$100,14,FALSE),1),0))</f>
        <v>164</v>
      </c>
      <c r="G174" s="54">
        <f>IF(X174="Melee",AN174,MAX(1,ROUND(AN174*設定!$B$16*IFERROR(VLOOKUP($AM174,個性タイプマスタ!$A$5:$P$100,15,FALSE),1),0)))</f>
        <v>82</v>
      </c>
      <c r="H174" s="54">
        <f>IF(X174="Ranged",AN174,MAX(1,ROUND(AN174*設定!$B$16*IFERROR(VLOOKUP($AM174,個性タイプマスタ!$A$5:$P$100,15,FALSE),1),0)))</f>
        <v>381</v>
      </c>
      <c r="I174" s="54">
        <f>MAX(0,ROUND(設定!$B$8*AE174*Z174,0))</f>
        <v>74</v>
      </c>
      <c r="J174" s="54">
        <f>MAX(0,ROUND(設定!$B$9*AE174*AA174,0))</f>
        <v>75</v>
      </c>
      <c r="K174" s="55">
        <f>IFERROR(VLOOKUP($AM174,個性タイプマスタ!$A$5:$P$100,9,FALSE),0.05)</f>
        <v>0.08</v>
      </c>
      <c r="L174" s="56">
        <f>IFERROR(VLOOKUP($AM174,個性タイプマスタ!$A$5:$P$100,10,FALSE),1.5)</f>
        <v>1.55</v>
      </c>
      <c r="M174" s="56">
        <f>IFERROR(VLOOKUP($AM174,個性タイプマスタ!$A$5:$P$100,11,FALSE),2)</f>
        <v>4.2</v>
      </c>
      <c r="N174" s="57">
        <f>MAX(0.1,ROUND(設定!$B$10*AB174,3))</f>
        <v>1.3</v>
      </c>
      <c r="O174" s="57">
        <f t="shared" si="8"/>
        <v>2.5</v>
      </c>
      <c r="P174" s="58">
        <f>MAX(-10,MIN(0.8,IFERROR(INDEX(属性耐性マスタ!$B$5:$G$11,MATCH($C174,属性耐性マスタ!$A$5:$A$11,0),1),0)+IFERROR(VLOOKUP($AM174,個性タイプマスタ!$A$5:$P$100,12,FALSE),0)))</f>
        <v>-0.09</v>
      </c>
      <c r="Q174" s="58">
        <f>MAX(-10,MIN(0.8,IFERROR(INDEX(属性耐性マスタ!$B$5:$G$11,MATCH($C174,属性耐性マスタ!$A$5:$A$11,0),2),0)+IFERROR(VLOOKUP($AM174,個性タイプマスタ!$A$5:$P$100,12,FALSE),0)))</f>
        <v>-0.09</v>
      </c>
      <c r="R174" s="58">
        <f>MAX(-10,MIN(0.8,IFERROR(INDEX(属性耐性マスタ!$B$5:$G$11,MATCH($C174,属性耐性マスタ!$A$5:$A$11,0),3),0)+IFERROR(VLOOKUP($AM174,個性タイプマスタ!$A$5:$P$100,12,FALSE),0)))</f>
        <v>-0.09</v>
      </c>
      <c r="S174" s="58">
        <f>MAX(-10,MIN(0.8,IFERROR(INDEX(属性耐性マスタ!$B$5:$G$11,MATCH($C174,属性耐性マスタ!$A$5:$A$11,0),4),0)+IFERROR(VLOOKUP($AM174,個性タイプマスタ!$A$5:$P$100,12,FALSE),0)))</f>
        <v>-0.09</v>
      </c>
      <c r="T174" s="58">
        <f>MAX(-10,MIN(0.8,IFERROR(INDEX(属性耐性マスタ!$B$5:$G$11,MATCH($C174,属性耐性マスタ!$A$5:$A$11,0),5),0)+IFERROR(VLOOKUP($AM174,個性タイプマスタ!$A$5:$P$100,12,FALSE),0)))</f>
        <v>-0.19</v>
      </c>
      <c r="U174" s="58">
        <f>MAX(-10,MIN(0.8,IFERROR(INDEX(属性耐性マスタ!$B$5:$G$11,MATCH($C174,属性耐性マスタ!$A$5:$A$11,0),6),0)+IFERROR(VLOOKUP($AM174,個性タイプマスタ!$A$5:$P$100,12,FALSE),0)))</f>
        <v>0.11000000000000001</v>
      </c>
      <c r="V174" s="59">
        <f>ROUND(設定!$B$19*IFERROR(VLOOKUP($AM174,個性タイプマスタ!$A$5:$P$100,13,FALSE),1),2)</f>
        <v>4.2</v>
      </c>
      <c r="W174" s="59">
        <v>29</v>
      </c>
      <c r="X174" s="59" t="str">
        <f>IFERROR(VLOOKUP($AM174,個性タイプマスタ!$A$5:$P$100,2,FALSE),"Ranged")</f>
        <v>Ranged</v>
      </c>
      <c r="Y174" s="56">
        <f>IFERROR(VLOOKUP($AM174,個性タイプマスタ!$A$5:$P$100,3,FALSE),1)</f>
        <v>0.57999999999999996</v>
      </c>
      <c r="Z174" s="56">
        <f>IFERROR(VLOOKUP($AM174,個性タイプマスタ!$A$5:$P$100,4,FALSE),1)</f>
        <v>0.64</v>
      </c>
      <c r="AA174" s="56">
        <f>IFERROR(VLOOKUP($AM174,個性タイプマスタ!$A$5:$P$100,5,FALSE),1)</f>
        <v>0.65</v>
      </c>
      <c r="AB174" s="56">
        <f>IFERROR(VLOOKUP($AM174,個性タイプマスタ!$A$5:$P$100,6,FALSE),1)</f>
        <v>1.3</v>
      </c>
      <c r="AC174" s="56">
        <f>IFERROR(VLOOKUP($AM174,個性タイプマスタ!$A$5:$P$100,7,FALSE),1)</f>
        <v>1</v>
      </c>
      <c r="AD174" s="56">
        <f>IFERROR(VLOOKUP($AM174,個性タイプマスタ!$A$5:$P$100,8,FALSE),1)</f>
        <v>0.56999999999999995</v>
      </c>
      <c r="AE174" s="60">
        <f>IFERROR(D174/設定!$B$5,1)</f>
        <v>14.420999999999999</v>
      </c>
      <c r="AF174" s="60">
        <f>1+設定!$B$13*((I174/設定!$B$8+J174/設定!$B$9)/(2*AE174))</f>
        <v>1.1937278968171416</v>
      </c>
      <c r="AG174" s="60">
        <f>MAX(0.7,1+設定!$B$14*(O174/IF(X174="Melee",1.5,2.5)-1))</f>
        <v>1</v>
      </c>
      <c r="AH174" s="53">
        <f t="shared" si="9"/>
        <v>517.09320000000002</v>
      </c>
      <c r="AI174" s="53">
        <f>E174*AF174*(1+設定!$B$18*AVERAGE(P174:U174))</f>
        <v>965.02395652173902</v>
      </c>
      <c r="AJ174" s="61">
        <f>設定!$B$5*SQRT((AH174/(設定!$B$7*設定!$B$10*(1+設定!$B$11*(設定!$B$12-1))))*(AI174/(設定!$B$6*(1+設定!$B$13))))</f>
        <v>1442.3929775141671</v>
      </c>
      <c r="AK174" s="62">
        <f t="shared" si="10"/>
        <v>2.0316033157707913E-4</v>
      </c>
      <c r="AL174" s="63">
        <f t="shared" si="11"/>
        <v>821.99699999999984</v>
      </c>
      <c r="AM174" s="64" t="s">
        <v>914</v>
      </c>
      <c r="AN174" s="54">
        <f>MAX(1,ROUND((設定!$B$7*設定!$B$10*(1+設定!$B$11*(設定!$B$12-1)))*AE174^2*(設定!$B$6*(1+設定!$B$13))/(AI174*N174*(1+K174*(L174-1))*AG174),0))</f>
        <v>381</v>
      </c>
      <c r="AO174" s="65" t="str">
        <f>IF($A174="","",IF(COUNTIF(個性タイプマスタ!$A$5:$A$100,$AM174)&gt;0,"OK","未登録"))</f>
        <v>OK</v>
      </c>
      <c r="AP174" s="67" t="str">
        <f>IF($A174="","",IF(COUNTIF(属性耐性マスタ!$A$5:$A$11,$C174)&gt;0,"OK","未登録"))</f>
        <v>OK</v>
      </c>
    </row>
    <row r="175" spans="1:42">
      <c r="A175" s="66" t="s">
        <v>450</v>
      </c>
      <c r="B175" s="51" t="s">
        <v>451</v>
      </c>
      <c r="C175" s="109" t="s">
        <v>871</v>
      </c>
      <c r="D175" s="53">
        <f>ROUND(設定!$B$5*POWER($D$2,W175-1),2)</f>
        <v>1442.1</v>
      </c>
      <c r="E175" s="54">
        <f>MAX(1,ROUND(設定!$B$6*AE175*Y175,0))</f>
        <v>1615</v>
      </c>
      <c r="F175" s="54">
        <f>MAX(0,ROUND(設定!$B$7*AE175*設定!$B$15*IF(X175="Melee",0.6,1.35)*IFERROR(VLOOKUP($AM175,個性タイプマスタ!$A$5:$P$100,14,FALSE),1),0))</f>
        <v>284</v>
      </c>
      <c r="G175" s="54">
        <f>IF(X175="Melee",AN175,MAX(1,ROUND(AN175*設定!$B$16*IFERROR(VLOOKUP($AM175,個性タイプマスタ!$A$5:$P$100,15,FALSE),1),0)))</f>
        <v>71</v>
      </c>
      <c r="H175" s="54">
        <f>IF(X175="Ranged",AN175,MAX(1,ROUND(AN175*設定!$B$16*IFERROR(VLOOKUP($AM175,個性タイプマスタ!$A$5:$P$100,15,FALSE),1),0)))</f>
        <v>240</v>
      </c>
      <c r="I175" s="54">
        <f>MAX(0,ROUND(設定!$B$8*AE175*Z175,0))</f>
        <v>225</v>
      </c>
      <c r="J175" s="54">
        <f>MAX(0,ROUND(設定!$B$9*AE175*AA175,0))</f>
        <v>83</v>
      </c>
      <c r="K175" s="55">
        <f>IFERROR(VLOOKUP($AM175,個性タイプマスタ!$A$5:$P$100,9,FALSE),0.05)</f>
        <v>5.5E-2</v>
      </c>
      <c r="L175" s="56">
        <f>IFERROR(VLOOKUP($AM175,個性タイプマスタ!$A$5:$P$100,10,FALSE),1.5)</f>
        <v>1.5</v>
      </c>
      <c r="M175" s="56">
        <f>IFERROR(VLOOKUP($AM175,個性タイプマスタ!$A$5:$P$100,11,FALSE),2)</f>
        <v>1.85</v>
      </c>
      <c r="N175" s="57">
        <f>MAX(0.1,ROUND(設定!$B$10*AB175,3))</f>
        <v>0.87</v>
      </c>
      <c r="O175" s="57">
        <f t="shared" si="8"/>
        <v>2.35</v>
      </c>
      <c r="P175" s="58">
        <f>MAX(-10,MIN(0.8,IFERROR(INDEX(属性耐性マスタ!$B$5:$G$11,MATCH($C175,属性耐性マスタ!$A$5:$A$11,0),1),0)+IFERROR(VLOOKUP($AM175,個性タイプマスタ!$A$5:$P$100,12,FALSE),0)))</f>
        <v>6.5000000000000002E-2</v>
      </c>
      <c r="Q175" s="58">
        <f>MAX(-10,MIN(0.8,IFERROR(INDEX(属性耐性マスタ!$B$5:$G$11,MATCH($C175,属性耐性マスタ!$A$5:$A$11,0),2),0)+IFERROR(VLOOKUP($AM175,個性タイプマスタ!$A$5:$P$100,12,FALSE),0)))</f>
        <v>6.5000000000000002E-2</v>
      </c>
      <c r="R175" s="58">
        <f>MAX(-10,MIN(0.8,IFERROR(INDEX(属性耐性マスタ!$B$5:$G$11,MATCH($C175,属性耐性マスタ!$A$5:$A$11,0),3),0)+IFERROR(VLOOKUP($AM175,個性タイプマスタ!$A$5:$P$100,12,FALSE),0)))</f>
        <v>-3.5000000000000003E-2</v>
      </c>
      <c r="S175" s="58">
        <f>MAX(-10,MIN(0.8,IFERROR(INDEX(属性耐性マスタ!$B$5:$G$11,MATCH($C175,属性耐性マスタ!$A$5:$A$11,0),4),0)+IFERROR(VLOOKUP($AM175,個性タイプマスタ!$A$5:$P$100,12,FALSE),0)))</f>
        <v>0.26500000000000001</v>
      </c>
      <c r="T175" s="58">
        <f>MAX(-10,MIN(0.8,IFERROR(INDEX(属性耐性マスタ!$B$5:$G$11,MATCH($C175,属性耐性マスタ!$A$5:$A$11,0),5),0)+IFERROR(VLOOKUP($AM175,個性タイプマスタ!$A$5:$P$100,12,FALSE),0)))</f>
        <v>6.5000000000000002E-2</v>
      </c>
      <c r="U175" s="58">
        <f>MAX(-10,MIN(0.8,IFERROR(INDEX(属性耐性マスタ!$B$5:$G$11,MATCH($C175,属性耐性マスタ!$A$5:$A$11,0),6),0)+IFERROR(VLOOKUP($AM175,個性タイプマスタ!$A$5:$P$100,12,FALSE),0)))</f>
        <v>6.5000000000000002E-2</v>
      </c>
      <c r="V175" s="59">
        <f>ROUND(設定!$B$19*IFERROR(VLOOKUP($AM175,個性タイプマスタ!$A$5:$P$100,13,FALSE),1),2)</f>
        <v>4.2</v>
      </c>
      <c r="W175" s="59">
        <v>29</v>
      </c>
      <c r="X175" s="59" t="str">
        <f>IFERROR(VLOOKUP($AM175,個性タイプマスタ!$A$5:$P$100,2,FALSE),"Ranged")</f>
        <v>Ranged</v>
      </c>
      <c r="Y175" s="56">
        <f>IFERROR(VLOOKUP($AM175,個性タイプマスタ!$A$5:$P$100,3,FALSE),1)</f>
        <v>1.1200000000000001</v>
      </c>
      <c r="Z175" s="56">
        <f>IFERROR(VLOOKUP($AM175,個性タイプマスタ!$A$5:$P$100,4,FALSE),1)</f>
        <v>1.95</v>
      </c>
      <c r="AA175" s="56">
        <f>IFERROR(VLOOKUP($AM175,個性タイプマスタ!$A$5:$P$100,5,FALSE),1)</f>
        <v>0.72</v>
      </c>
      <c r="AB175" s="56">
        <f>IFERROR(VLOOKUP($AM175,個性タイプマスタ!$A$5:$P$100,6,FALSE),1)</f>
        <v>0.87</v>
      </c>
      <c r="AC175" s="56">
        <f>IFERROR(VLOOKUP($AM175,個性タイプマスタ!$A$5:$P$100,7,FALSE),1)</f>
        <v>0.94</v>
      </c>
      <c r="AD175" s="56">
        <f>IFERROR(VLOOKUP($AM175,個性タイプマスタ!$A$5:$P$100,8,FALSE),1)</f>
        <v>0.82</v>
      </c>
      <c r="AE175" s="60">
        <f>IFERROR(D175/設定!$B$5,1)</f>
        <v>14.420999999999999</v>
      </c>
      <c r="AF175" s="60">
        <f>1+設定!$B$13*((I175/設定!$B$8+J175/設定!$B$9)/(2*AE175))</f>
        <v>1.4004576659038901</v>
      </c>
      <c r="AG175" s="60">
        <f>MAX(0.7,1+設定!$B$14*(O175/IF(X175="Melee",1.5,2.5)-1))</f>
        <v>0.99280000000000002</v>
      </c>
      <c r="AH175" s="53">
        <f t="shared" si="9"/>
        <v>212.99729760000002</v>
      </c>
      <c r="AI175" s="53">
        <f>E175*AF175*(1+設定!$B$18*AVERAGE(P175:U175))</f>
        <v>2344.8580434782607</v>
      </c>
      <c r="AJ175" s="61">
        <f>設定!$B$5*SQRT((AH175/(設定!$B$7*設定!$B$10*(1+設定!$B$11*(設定!$B$12-1))))*(AI175/(設定!$B$6*(1+設定!$B$13))))</f>
        <v>1443.0303430081308</v>
      </c>
      <c r="AK175" s="62">
        <f t="shared" si="10"/>
        <v>6.4513071779415121E-4</v>
      </c>
      <c r="AL175" s="63">
        <f t="shared" si="11"/>
        <v>1182.5219999999999</v>
      </c>
      <c r="AM175" s="64" t="s">
        <v>928</v>
      </c>
      <c r="AN175" s="54">
        <f>MAX(1,ROUND((設定!$B$7*設定!$B$10*(1+設定!$B$11*(設定!$B$12-1)))*AE175^2*(設定!$B$6*(1+設定!$B$13))/(AI175*N175*(1+K175*(L175-1))*AG175),0))</f>
        <v>240</v>
      </c>
      <c r="AO175" s="65" t="str">
        <f>IF($A175="","",IF(COUNTIF(個性タイプマスタ!$A$5:$A$100,$AM175)&gt;0,"OK","未登録"))</f>
        <v>OK</v>
      </c>
      <c r="AP175" s="67" t="str">
        <f>IF($A175="","",IF(COUNTIF(属性耐性マスタ!$A$5:$A$11,$C175)&gt;0,"OK","未登録"))</f>
        <v>OK</v>
      </c>
    </row>
    <row r="176" spans="1:42">
      <c r="A176" s="66" t="s">
        <v>452</v>
      </c>
      <c r="B176" s="51" t="s">
        <v>453</v>
      </c>
      <c r="C176" s="109" t="s">
        <v>871</v>
      </c>
      <c r="D176" s="53">
        <f>ROUND(設定!$B$5*POWER($D$2,W176-1),2)</f>
        <v>1442.1</v>
      </c>
      <c r="E176" s="54">
        <f>MAX(1,ROUND(設定!$B$6*AE176*Y176,0))</f>
        <v>1731</v>
      </c>
      <c r="F176" s="54">
        <f>MAX(0,ROUND(設定!$B$7*AE176*設定!$B$15*IF(X176="Melee",0.6,1.35)*IFERROR(VLOOKUP($AM176,個性タイプマスタ!$A$5:$P$100,14,FALSE),1),0))</f>
        <v>79</v>
      </c>
      <c r="G176" s="54">
        <f>IF(X176="Melee",AN176,MAX(1,ROUND(AN176*設定!$B$16*IFERROR(VLOOKUP($AM176,個性タイプマスタ!$A$5:$P$100,15,FALSE),1),0)))</f>
        <v>208</v>
      </c>
      <c r="H176" s="54">
        <f>IF(X176="Ranged",AN176,MAX(1,ROUND(AN176*設定!$B$16*IFERROR(VLOOKUP($AM176,個性タイプマスタ!$A$5:$P$100,15,FALSE),1),0)))</f>
        <v>94</v>
      </c>
      <c r="I176" s="54">
        <f>MAX(0,ROUND(設定!$B$8*AE176*Z176,0))</f>
        <v>150</v>
      </c>
      <c r="J176" s="54">
        <f>MAX(0,ROUND(設定!$B$9*AE176*AA176,0))</f>
        <v>98</v>
      </c>
      <c r="K176" s="55">
        <f>IFERROR(VLOOKUP($AM176,個性タイプマスタ!$A$5:$P$100,9,FALSE),0.05)</f>
        <v>0.08</v>
      </c>
      <c r="L176" s="56">
        <f>IFERROR(VLOOKUP($AM176,個性タイプマスタ!$A$5:$P$100,10,FALSE),1.5)</f>
        <v>1.6</v>
      </c>
      <c r="M176" s="56">
        <f>IFERROR(VLOOKUP($AM176,個性タイプマスタ!$A$5:$P$100,11,FALSE),2)</f>
        <v>2.8</v>
      </c>
      <c r="N176" s="57">
        <f>MAX(0.1,ROUND(設定!$B$10*AB176,3))</f>
        <v>1</v>
      </c>
      <c r="O176" s="57">
        <f t="shared" si="8"/>
        <v>1.2</v>
      </c>
      <c r="P176" s="58">
        <f>MAX(-10,MIN(0.8,IFERROR(INDEX(属性耐性マスタ!$B$5:$G$11,MATCH($C176,属性耐性マスタ!$A$5:$A$11,0),1),0)+IFERROR(VLOOKUP($AM176,個性タイプマスタ!$A$5:$P$100,12,FALSE),0)))</f>
        <v>3.5000000000000003E-2</v>
      </c>
      <c r="Q176" s="58">
        <f>MAX(-10,MIN(0.8,IFERROR(INDEX(属性耐性マスタ!$B$5:$G$11,MATCH($C176,属性耐性マスタ!$A$5:$A$11,0),2),0)+IFERROR(VLOOKUP($AM176,個性タイプマスタ!$A$5:$P$100,12,FALSE),0)))</f>
        <v>3.5000000000000003E-2</v>
      </c>
      <c r="R176" s="58">
        <f>MAX(-10,MIN(0.8,IFERROR(INDEX(属性耐性マスタ!$B$5:$G$11,MATCH($C176,属性耐性マスタ!$A$5:$A$11,0),3),0)+IFERROR(VLOOKUP($AM176,個性タイプマスタ!$A$5:$P$100,12,FALSE),0)))</f>
        <v>-6.5000000000000002E-2</v>
      </c>
      <c r="S176" s="58">
        <f>MAX(-10,MIN(0.8,IFERROR(INDEX(属性耐性マスタ!$B$5:$G$11,MATCH($C176,属性耐性マスタ!$A$5:$A$11,0),4),0)+IFERROR(VLOOKUP($AM176,個性タイプマスタ!$A$5:$P$100,12,FALSE),0)))</f>
        <v>0.23500000000000001</v>
      </c>
      <c r="T176" s="58">
        <f>MAX(-10,MIN(0.8,IFERROR(INDEX(属性耐性マスタ!$B$5:$G$11,MATCH($C176,属性耐性マスタ!$A$5:$A$11,0),5),0)+IFERROR(VLOOKUP($AM176,個性タイプマスタ!$A$5:$P$100,12,FALSE),0)))</f>
        <v>3.5000000000000003E-2</v>
      </c>
      <c r="U176" s="58">
        <f>MAX(-10,MIN(0.8,IFERROR(INDEX(属性耐性マスタ!$B$5:$G$11,MATCH($C176,属性耐性マスタ!$A$5:$A$11,0),6),0)+IFERROR(VLOOKUP($AM176,個性タイプマスタ!$A$5:$P$100,12,FALSE),0)))</f>
        <v>3.5000000000000003E-2</v>
      </c>
      <c r="V176" s="59">
        <f>ROUND(設定!$B$19*IFERROR(VLOOKUP($AM176,個性タイプマスタ!$A$5:$P$100,13,FALSE),1),2)</f>
        <v>4</v>
      </c>
      <c r="W176" s="59">
        <v>29</v>
      </c>
      <c r="X176" s="59" t="str">
        <f>IFERROR(VLOOKUP($AM176,個性タイプマスタ!$A$5:$P$100,2,FALSE),"Ranged")</f>
        <v>Melee</v>
      </c>
      <c r="Y176" s="56">
        <f>IFERROR(VLOOKUP($AM176,個性タイプマスタ!$A$5:$P$100,3,FALSE),1)</f>
        <v>1.2</v>
      </c>
      <c r="Z176" s="56">
        <f>IFERROR(VLOOKUP($AM176,個性タイプマスタ!$A$5:$P$100,4,FALSE),1)</f>
        <v>1.3</v>
      </c>
      <c r="AA176" s="56">
        <f>IFERROR(VLOOKUP($AM176,個性タイプマスタ!$A$5:$P$100,5,FALSE),1)</f>
        <v>0.85</v>
      </c>
      <c r="AB176" s="56">
        <f>IFERROR(VLOOKUP($AM176,個性タイプマスタ!$A$5:$P$100,6,FALSE),1)</f>
        <v>1</v>
      </c>
      <c r="AC176" s="56">
        <f>IFERROR(VLOOKUP($AM176,個性タイプマスタ!$A$5:$P$100,7,FALSE),1)</f>
        <v>0.8</v>
      </c>
      <c r="AD176" s="56">
        <f>IFERROR(VLOOKUP($AM176,個性タイプマスタ!$A$5:$P$100,8,FALSE),1)</f>
        <v>0.85</v>
      </c>
      <c r="AE176" s="60">
        <f>IFERROR(D176/設定!$B$5,1)</f>
        <v>14.420999999999999</v>
      </c>
      <c r="AF176" s="60">
        <f>1+設定!$B$13*((I176/設定!$B$8+J176/設定!$B$9)/(2*AE176))</f>
        <v>1.3224464322862493</v>
      </c>
      <c r="AG176" s="60">
        <f>MAX(0.7,1+設定!$B$14*(O176/IF(X176="Melee",1.5,2.5)-1))</f>
        <v>0.97599999999999998</v>
      </c>
      <c r="AH176" s="53">
        <f t="shared" si="9"/>
        <v>212.75238400000001</v>
      </c>
      <c r="AI176" s="53">
        <f>E176*AF176*(1+設定!$B$18*AVERAGE(P176:U176))</f>
        <v>2342.3776227896815</v>
      </c>
      <c r="AJ176" s="61">
        <f>設定!$B$5*SQRT((AH176/(設定!$B$7*設定!$B$10*(1+設定!$B$11*(設定!$B$12-1))))*(AI176/(設定!$B$6*(1+設定!$B$13))))</f>
        <v>1441.4374838735127</v>
      </c>
      <c r="AK176" s="62">
        <f t="shared" si="10"/>
        <v>-4.5941066950083709E-4</v>
      </c>
      <c r="AL176" s="63">
        <f t="shared" si="11"/>
        <v>1225.7849999999999</v>
      </c>
      <c r="AM176" s="64" t="s">
        <v>885</v>
      </c>
      <c r="AN176" s="54">
        <f>MAX(1,ROUND((設定!$B$7*設定!$B$10*(1+設定!$B$11*(設定!$B$12-1)))*AE176^2*(設定!$B$6*(1+設定!$B$13))/(AI176*N176*(1+K176*(L176-1))*AG176),0))</f>
        <v>208</v>
      </c>
      <c r="AO176" s="65" t="str">
        <f>IF($A176="","",IF(COUNTIF(個性タイプマスタ!$A$5:$A$100,$AM176)&gt;0,"OK","未登録"))</f>
        <v>OK</v>
      </c>
      <c r="AP176" s="67" t="str">
        <f>IF($A176="","",IF(COUNTIF(属性耐性マスタ!$A$5:$A$11,$C176)&gt;0,"OK","未登録"))</f>
        <v>OK</v>
      </c>
    </row>
    <row r="177" spans="1:42">
      <c r="A177" s="66" t="s">
        <v>454</v>
      </c>
      <c r="B177" s="51" t="s">
        <v>455</v>
      </c>
      <c r="C177" s="109" t="s">
        <v>871</v>
      </c>
      <c r="D177" s="53">
        <f>ROUND(設定!$B$5*POWER($D$2,W177-1),2)</f>
        <v>1442.1</v>
      </c>
      <c r="E177" s="54">
        <f>MAX(1,ROUND(設定!$B$6*AE177*Y177,0))</f>
        <v>1831</v>
      </c>
      <c r="F177" s="54">
        <f>MAX(0,ROUND(設定!$B$7*AE177*設定!$B$15*IF(X177="Melee",0.6,1.35)*IFERROR(VLOOKUP($AM177,個性タイプマスタ!$A$5:$P$100,14,FALSE),1),0))</f>
        <v>65</v>
      </c>
      <c r="G177" s="54">
        <f>IF(X177="Melee",AN177,MAX(1,ROUND(AN177*設定!$B$16*IFERROR(VLOOKUP($AM177,個性タイプマスタ!$A$5:$P$100,15,FALSE),1),0)))</f>
        <v>364</v>
      </c>
      <c r="H177" s="54">
        <f>IF(X177="Ranged",AN177,MAX(1,ROUND(AN177*設定!$B$16*IFERROR(VLOOKUP($AM177,個性タイプマスタ!$A$5:$P$100,15,FALSE),1),0)))</f>
        <v>106</v>
      </c>
      <c r="I177" s="54">
        <f>MAX(0,ROUND(設定!$B$8*AE177*Z177,0))</f>
        <v>121</v>
      </c>
      <c r="J177" s="54">
        <f>MAX(0,ROUND(設定!$B$9*AE177*AA177,0))</f>
        <v>102</v>
      </c>
      <c r="K177" s="55">
        <f>IFERROR(VLOOKUP($AM177,個性タイプマスタ!$A$5:$P$100,9,FALSE),0.05)</f>
        <v>0.06</v>
      </c>
      <c r="L177" s="56">
        <f>IFERROR(VLOOKUP($AM177,個性タイプマスタ!$A$5:$P$100,10,FALSE),1.5)</f>
        <v>2.15</v>
      </c>
      <c r="M177" s="56">
        <f>IFERROR(VLOOKUP($AM177,個性タイプマスタ!$A$5:$P$100,11,FALSE),2)</f>
        <v>1.65</v>
      </c>
      <c r="N177" s="57">
        <f>MAX(0.1,ROUND(設定!$B$10*AB177,3))</f>
        <v>0.53</v>
      </c>
      <c r="O177" s="57">
        <f t="shared" si="8"/>
        <v>1.86</v>
      </c>
      <c r="P177" s="58">
        <f>MAX(-10,MIN(0.8,IFERROR(INDEX(属性耐性マスタ!$B$5:$G$11,MATCH($C177,属性耐性マスタ!$A$5:$A$11,0),1),0)+IFERROR(VLOOKUP($AM177,個性タイプマスタ!$A$5:$P$100,12,FALSE),0)))</f>
        <v>-2.5000000000000001E-2</v>
      </c>
      <c r="Q177" s="58">
        <f>MAX(-10,MIN(0.8,IFERROR(INDEX(属性耐性マスタ!$B$5:$G$11,MATCH($C177,属性耐性マスタ!$A$5:$A$11,0),2),0)+IFERROR(VLOOKUP($AM177,個性タイプマスタ!$A$5:$P$100,12,FALSE),0)))</f>
        <v>-2.5000000000000001E-2</v>
      </c>
      <c r="R177" s="58">
        <f>MAX(-10,MIN(0.8,IFERROR(INDEX(属性耐性マスタ!$B$5:$G$11,MATCH($C177,属性耐性マスタ!$A$5:$A$11,0),3),0)+IFERROR(VLOOKUP($AM177,個性タイプマスタ!$A$5:$P$100,12,FALSE),0)))</f>
        <v>-0.125</v>
      </c>
      <c r="S177" s="58">
        <f>MAX(-10,MIN(0.8,IFERROR(INDEX(属性耐性マスタ!$B$5:$G$11,MATCH($C177,属性耐性マスタ!$A$5:$A$11,0),4),0)+IFERROR(VLOOKUP($AM177,個性タイプマスタ!$A$5:$P$100,12,FALSE),0)))</f>
        <v>0.17500000000000002</v>
      </c>
      <c r="T177" s="58">
        <f>MAX(-10,MIN(0.8,IFERROR(INDEX(属性耐性マスタ!$B$5:$G$11,MATCH($C177,属性耐性マスタ!$A$5:$A$11,0),5),0)+IFERROR(VLOOKUP($AM177,個性タイプマスタ!$A$5:$P$100,12,FALSE),0)))</f>
        <v>-2.5000000000000001E-2</v>
      </c>
      <c r="U177" s="58">
        <f>MAX(-10,MIN(0.8,IFERROR(INDEX(属性耐性マスタ!$B$5:$G$11,MATCH($C177,属性耐性マスタ!$A$5:$A$11,0),6),0)+IFERROR(VLOOKUP($AM177,個性タイプマスタ!$A$5:$P$100,12,FALSE),0)))</f>
        <v>-2.5000000000000001E-2</v>
      </c>
      <c r="V177" s="59">
        <f>ROUND(設定!$B$19*IFERROR(VLOOKUP($AM177,個性タイプマスタ!$A$5:$P$100,13,FALSE),1),2)</f>
        <v>4.4000000000000004</v>
      </c>
      <c r="W177" s="59">
        <v>29</v>
      </c>
      <c r="X177" s="59" t="str">
        <f>IFERROR(VLOOKUP($AM177,個性タイプマスタ!$A$5:$P$100,2,FALSE),"Ranged")</f>
        <v>Melee</v>
      </c>
      <c r="Y177" s="56">
        <f>IFERROR(VLOOKUP($AM177,個性タイプマスタ!$A$5:$P$100,3,FALSE),1)</f>
        <v>1.27</v>
      </c>
      <c r="Z177" s="56">
        <f>IFERROR(VLOOKUP($AM177,個性タイプマスタ!$A$5:$P$100,4,FALSE),1)</f>
        <v>1.05</v>
      </c>
      <c r="AA177" s="56">
        <f>IFERROR(VLOOKUP($AM177,個性タイプマスタ!$A$5:$P$100,5,FALSE),1)</f>
        <v>0.88</v>
      </c>
      <c r="AB177" s="56">
        <f>IFERROR(VLOOKUP($AM177,個性タイプマスタ!$A$5:$P$100,6,FALSE),1)</f>
        <v>0.53</v>
      </c>
      <c r="AC177" s="56">
        <f>IFERROR(VLOOKUP($AM177,個性タイプマスタ!$A$5:$P$100,7,FALSE),1)</f>
        <v>1.24</v>
      </c>
      <c r="AD177" s="56">
        <f>IFERROR(VLOOKUP($AM177,個性タイプマスタ!$A$5:$P$100,8,FALSE),1)</f>
        <v>0.8</v>
      </c>
      <c r="AE177" s="60">
        <f>IFERROR(D177/設定!$B$5,1)</f>
        <v>14.420999999999999</v>
      </c>
      <c r="AF177" s="60">
        <f>1+設定!$B$13*((I177/設定!$B$8+J177/設定!$B$9)/(2*AE177))</f>
        <v>1.2899417516122322</v>
      </c>
      <c r="AG177" s="60">
        <f>MAX(0.7,1+設定!$B$14*(O177/IF(X177="Melee",1.5,2.5)-1))</f>
        <v>1.0287999999999999</v>
      </c>
      <c r="AH177" s="53">
        <f t="shared" si="9"/>
        <v>212.17094662399998</v>
      </c>
      <c r="AI177" s="53">
        <f>E177*AF177*(1+設定!$B$18*AVERAGE(P177:U177))</f>
        <v>2353.02628464999</v>
      </c>
      <c r="AJ177" s="61">
        <f>設定!$B$5*SQRT((AH177/(設定!$B$7*設定!$B$10*(1+設定!$B$11*(設定!$B$12-1))))*(AI177/(設定!$B$6*(1+設定!$B$13))))</f>
        <v>1442.7347249354871</v>
      </c>
      <c r="AK177" s="62">
        <f t="shared" si="10"/>
        <v>4.4013933533548766E-4</v>
      </c>
      <c r="AL177" s="63">
        <f t="shared" si="11"/>
        <v>1153.68</v>
      </c>
      <c r="AM177" s="64" t="s">
        <v>944</v>
      </c>
      <c r="AN177" s="54">
        <f>MAX(1,ROUND((設定!$B$7*設定!$B$10*(1+設定!$B$11*(設定!$B$12-1)))*AE177^2*(設定!$B$6*(1+設定!$B$13))/(AI177*N177*(1+K177*(L177-1))*AG177),0))</f>
        <v>364</v>
      </c>
      <c r="AO177" s="65" t="str">
        <f>IF($A177="","",IF(COUNTIF(個性タイプマスタ!$A$5:$A$100,$AM177)&gt;0,"OK","未登録"))</f>
        <v>OK</v>
      </c>
      <c r="AP177" s="67" t="str">
        <f>IF($A177="","",IF(COUNTIF(属性耐性マスタ!$A$5:$A$11,$C177)&gt;0,"OK","未登録"))</f>
        <v>OK</v>
      </c>
    </row>
    <row r="178" spans="1:42">
      <c r="A178" s="66" t="s">
        <v>456</v>
      </c>
      <c r="B178" s="51" t="s">
        <v>457</v>
      </c>
      <c r="C178" s="109" t="s">
        <v>871</v>
      </c>
      <c r="D178" s="53">
        <f>ROUND(設定!$B$5*POWER($D$2,W178-1),2)</f>
        <v>1442.1</v>
      </c>
      <c r="E178" s="54">
        <f>MAX(1,ROUND(設定!$B$6*AE178*Y178,0))</f>
        <v>1846</v>
      </c>
      <c r="F178" s="54">
        <f>MAX(0,ROUND(設定!$B$7*AE178*設定!$B$15*IF(X178="Melee",0.6,1.35)*IFERROR(VLOOKUP($AM178,個性タイプマスタ!$A$5:$P$100,14,FALSE),1),0))</f>
        <v>200</v>
      </c>
      <c r="G178" s="54">
        <f>IF(X178="Melee",AN178,MAX(1,ROUND(AN178*設定!$B$16*IFERROR(VLOOKUP($AM178,個性タイプマスタ!$A$5:$P$100,15,FALSE),1),0)))</f>
        <v>52</v>
      </c>
      <c r="H178" s="54">
        <f>IF(X178="Ranged",AN178,MAX(1,ROUND(AN178*設定!$B$16*IFERROR(VLOOKUP($AM178,個性タイプマスタ!$A$5:$P$100,15,FALSE),1),0)))</f>
        <v>137</v>
      </c>
      <c r="I178" s="54">
        <f>MAX(0,ROUND(設定!$B$8*AE178*Z178,0))</f>
        <v>142</v>
      </c>
      <c r="J178" s="54">
        <f>MAX(0,ROUND(設定!$B$9*AE178*AA178,0))</f>
        <v>129</v>
      </c>
      <c r="K178" s="55">
        <f>IFERROR(VLOOKUP($AM178,個性タイプマスタ!$A$5:$P$100,9,FALSE),0.05)</f>
        <v>7.0000000000000007E-2</v>
      </c>
      <c r="L178" s="56">
        <f>IFERROR(VLOOKUP($AM178,個性タイプマスタ!$A$5:$P$100,10,FALSE),1.5)</f>
        <v>1.5</v>
      </c>
      <c r="M178" s="56">
        <f>IFERROR(VLOOKUP($AM178,個性タイプマスタ!$A$5:$P$100,11,FALSE),2)</f>
        <v>2.8</v>
      </c>
      <c r="N178" s="57">
        <f>MAX(0.1,ROUND(設定!$B$10*AB178,3))</f>
        <v>1.45</v>
      </c>
      <c r="O178" s="57">
        <f t="shared" si="8"/>
        <v>1.55</v>
      </c>
      <c r="P178" s="58">
        <f>MAX(-10,MIN(0.8,IFERROR(INDEX(属性耐性マスタ!$B$5:$G$11,MATCH($C178,属性耐性マスタ!$A$5:$A$11,0),1),0)+IFERROR(VLOOKUP($AM178,個性タイプマスタ!$A$5:$P$100,12,FALSE),0)))</f>
        <v>0.03</v>
      </c>
      <c r="Q178" s="58">
        <f>MAX(-10,MIN(0.8,IFERROR(INDEX(属性耐性マスタ!$B$5:$G$11,MATCH($C178,属性耐性マスタ!$A$5:$A$11,0),2),0)+IFERROR(VLOOKUP($AM178,個性タイプマスタ!$A$5:$P$100,12,FALSE),0)))</f>
        <v>0.03</v>
      </c>
      <c r="R178" s="58">
        <f>MAX(-10,MIN(0.8,IFERROR(INDEX(属性耐性マスタ!$B$5:$G$11,MATCH($C178,属性耐性マスタ!$A$5:$A$11,0),3),0)+IFERROR(VLOOKUP($AM178,個性タイプマスタ!$A$5:$P$100,12,FALSE),0)))</f>
        <v>-7.0000000000000007E-2</v>
      </c>
      <c r="S178" s="58">
        <f>MAX(-10,MIN(0.8,IFERROR(INDEX(属性耐性マスタ!$B$5:$G$11,MATCH($C178,属性耐性マスタ!$A$5:$A$11,0),4),0)+IFERROR(VLOOKUP($AM178,個性タイプマスタ!$A$5:$P$100,12,FALSE),0)))</f>
        <v>0.23</v>
      </c>
      <c r="T178" s="58">
        <f>MAX(-10,MIN(0.8,IFERROR(INDEX(属性耐性マスタ!$B$5:$G$11,MATCH($C178,属性耐性マスタ!$A$5:$A$11,0),5),0)+IFERROR(VLOOKUP($AM178,個性タイプマスタ!$A$5:$P$100,12,FALSE),0)))</f>
        <v>0.03</v>
      </c>
      <c r="U178" s="58">
        <f>MAX(-10,MIN(0.8,IFERROR(INDEX(属性耐性マスタ!$B$5:$G$11,MATCH($C178,属性耐性マスタ!$A$5:$A$11,0),6),0)+IFERROR(VLOOKUP($AM178,個性タイプマスタ!$A$5:$P$100,12,FALSE),0)))</f>
        <v>0.03</v>
      </c>
      <c r="V178" s="59">
        <f>ROUND(設定!$B$19*IFERROR(VLOOKUP($AM178,個性タイプマスタ!$A$5:$P$100,13,FALSE),1),2)</f>
        <v>3.6</v>
      </c>
      <c r="W178" s="59">
        <v>29</v>
      </c>
      <c r="X178" s="59" t="str">
        <f>IFERROR(VLOOKUP($AM178,個性タイプマスタ!$A$5:$P$100,2,FALSE),"Ranged")</f>
        <v>Ranged</v>
      </c>
      <c r="Y178" s="56">
        <f>IFERROR(VLOOKUP($AM178,個性タイプマスタ!$A$5:$P$100,3,FALSE),1)</f>
        <v>1.28</v>
      </c>
      <c r="Z178" s="56">
        <f>IFERROR(VLOOKUP($AM178,個性タイプマスタ!$A$5:$P$100,4,FALSE),1)</f>
        <v>1.23</v>
      </c>
      <c r="AA178" s="56">
        <f>IFERROR(VLOOKUP($AM178,個性タイプマスタ!$A$5:$P$100,5,FALSE),1)</f>
        <v>1.1200000000000001</v>
      </c>
      <c r="AB178" s="56">
        <f>IFERROR(VLOOKUP($AM178,個性タイプマスタ!$A$5:$P$100,6,FALSE),1)</f>
        <v>1.45</v>
      </c>
      <c r="AC178" s="56">
        <f>IFERROR(VLOOKUP($AM178,個性タイプマスタ!$A$5:$P$100,7,FALSE),1)</f>
        <v>0.62</v>
      </c>
      <c r="AD178" s="56">
        <f>IFERROR(VLOOKUP($AM178,個性タイプマスタ!$A$5:$P$100,8,FALSE),1)</f>
        <v>0.8</v>
      </c>
      <c r="AE178" s="60">
        <f>IFERROR(D178/設定!$B$5,1)</f>
        <v>14.420999999999999</v>
      </c>
      <c r="AF178" s="60">
        <f>1+設定!$B$13*((I178/設定!$B$8+J178/設定!$B$9)/(2*AE178))</f>
        <v>1.3523507385063449</v>
      </c>
      <c r="AG178" s="60">
        <f>MAX(0.7,1+設定!$B$14*(O178/IF(X178="Melee",1.5,2.5)-1))</f>
        <v>0.95440000000000003</v>
      </c>
      <c r="AH178" s="53">
        <f t="shared" si="9"/>
        <v>196.22726459999998</v>
      </c>
      <c r="AI178" s="53">
        <f>E178*AF178*(1+設定!$B$18*AVERAGE(P178:U178))</f>
        <v>2548.8646920116494</v>
      </c>
      <c r="AJ178" s="61">
        <f>設定!$B$5*SQRT((AH178/(設定!$B$7*設定!$B$10*(1+設定!$B$11*(設定!$B$12-1))))*(AI178/(設定!$B$6*(1+設定!$B$13))))</f>
        <v>1444.053236281113</v>
      </c>
      <c r="AK178" s="62">
        <f t="shared" si="10"/>
        <v>1.3544388607675817E-3</v>
      </c>
      <c r="AL178" s="63">
        <f t="shared" si="11"/>
        <v>1153.68</v>
      </c>
      <c r="AM178" s="64" t="s">
        <v>920</v>
      </c>
      <c r="AN178" s="54">
        <f>MAX(1,ROUND((設定!$B$7*設定!$B$10*(1+設定!$B$11*(設定!$B$12-1)))*AE178^2*(設定!$B$6*(1+設定!$B$13))/(AI178*N178*(1+K178*(L178-1))*AG178),0))</f>
        <v>137</v>
      </c>
      <c r="AO178" s="65" t="str">
        <f>IF($A178="","",IF(COUNTIF(個性タイプマスタ!$A$5:$A$100,$AM178)&gt;0,"OK","未登録"))</f>
        <v>OK</v>
      </c>
      <c r="AP178" s="67" t="str">
        <f>IF($A178="","",IF(COUNTIF(属性耐性マスタ!$A$5:$A$11,$C178)&gt;0,"OK","未登録"))</f>
        <v>OK</v>
      </c>
    </row>
    <row r="179" spans="1:42">
      <c r="A179" s="66" t="s">
        <v>458</v>
      </c>
      <c r="B179" s="51" t="s">
        <v>459</v>
      </c>
      <c r="C179" s="109" t="s">
        <v>111</v>
      </c>
      <c r="D179" s="53">
        <f>ROUND(設定!$B$5*POWER($D$2,W179-1),2)</f>
        <v>1586.31</v>
      </c>
      <c r="E179" s="54">
        <f>MAX(1,ROUND(設定!$B$6*AE179*Y179,0))</f>
        <v>1444</v>
      </c>
      <c r="F179" s="54">
        <f>MAX(0,ROUND(設定!$B$7*AE179*設定!$B$15*IF(X179="Melee",0.6,1.35)*IFERROR(VLOOKUP($AM179,個性タイプマスタ!$A$5:$P$100,14,FALSE),1),0))</f>
        <v>370</v>
      </c>
      <c r="G179" s="54">
        <f>IF(X179="Melee",AN179,MAX(1,ROUND(AN179*設定!$B$16*IFERROR(VLOOKUP($AM179,個性タイプマスタ!$A$5:$P$100,15,FALSE),1),0)))</f>
        <v>157</v>
      </c>
      <c r="H179" s="54">
        <f>IF(X179="Ranged",AN179,MAX(1,ROUND(AN179*設定!$B$16*IFERROR(VLOOKUP($AM179,個性タイプマスタ!$A$5:$P$100,15,FALSE),1),0)))</f>
        <v>464</v>
      </c>
      <c r="I179" s="54">
        <f>MAX(0,ROUND(設定!$B$8*AE179*Z179,0))</f>
        <v>112</v>
      </c>
      <c r="J179" s="54">
        <f>MAX(0,ROUND(設定!$B$9*AE179*AA179,0))</f>
        <v>121</v>
      </c>
      <c r="K179" s="55">
        <f>IFERROR(VLOOKUP($AM179,個性タイプマスタ!$A$5:$P$100,9,FALSE),0.05)</f>
        <v>0.04</v>
      </c>
      <c r="L179" s="56">
        <f>IFERROR(VLOOKUP($AM179,個性タイプマスタ!$A$5:$P$100,10,FALSE),1.5)</f>
        <v>2.2000000000000002</v>
      </c>
      <c r="M179" s="56">
        <f>IFERROR(VLOOKUP($AM179,個性タイプマスタ!$A$5:$P$100,11,FALSE),2)</f>
        <v>1.65</v>
      </c>
      <c r="N179" s="57">
        <f>MAX(0.1,ROUND(設定!$B$10*AB179,3))</f>
        <v>0.64</v>
      </c>
      <c r="O179" s="57">
        <f t="shared" si="8"/>
        <v>3.7</v>
      </c>
      <c r="P179" s="58">
        <f>MAX(-10,MIN(0.8,IFERROR(INDEX(属性耐性マスタ!$B$5:$G$11,MATCH($C179,属性耐性マスタ!$A$5:$A$11,0),1),0)+IFERROR(VLOOKUP($AM179,個性タイプマスタ!$A$5:$P$100,12,FALSE),0)))</f>
        <v>0.17500000000000002</v>
      </c>
      <c r="Q179" s="58">
        <f>MAX(-10,MIN(0.8,IFERROR(INDEX(属性耐性マスタ!$B$5:$G$11,MATCH($C179,属性耐性マスタ!$A$5:$A$11,0),2),0)+IFERROR(VLOOKUP($AM179,個性タイプマスタ!$A$5:$P$100,12,FALSE),0)))</f>
        <v>-0.125</v>
      </c>
      <c r="R179" s="58">
        <f>MAX(-10,MIN(0.8,IFERROR(INDEX(属性耐性マスタ!$B$5:$G$11,MATCH($C179,属性耐性マスタ!$A$5:$A$11,0),3),0)+IFERROR(VLOOKUP($AM179,個性タイプマスタ!$A$5:$P$100,12,FALSE),0)))</f>
        <v>-2.5000000000000001E-2</v>
      </c>
      <c r="S179" s="58">
        <f>MAX(-10,MIN(0.8,IFERROR(INDEX(属性耐性マスタ!$B$5:$G$11,MATCH($C179,属性耐性マスタ!$A$5:$A$11,0),4),0)+IFERROR(VLOOKUP($AM179,個性タイプマスタ!$A$5:$P$100,12,FALSE),0)))</f>
        <v>-2.5000000000000001E-2</v>
      </c>
      <c r="T179" s="58">
        <f>MAX(-10,MIN(0.8,IFERROR(INDEX(属性耐性マスタ!$B$5:$G$11,MATCH($C179,属性耐性マスタ!$A$5:$A$11,0),5),0)+IFERROR(VLOOKUP($AM179,個性タイプマスタ!$A$5:$P$100,12,FALSE),0)))</f>
        <v>-2.5000000000000001E-2</v>
      </c>
      <c r="U179" s="58">
        <f>MAX(-10,MIN(0.8,IFERROR(INDEX(属性耐性マスタ!$B$5:$G$11,MATCH($C179,属性耐性マスタ!$A$5:$A$11,0),6),0)+IFERROR(VLOOKUP($AM179,個性タイプマスタ!$A$5:$P$100,12,FALSE),0)))</f>
        <v>-2.5000000000000001E-2</v>
      </c>
      <c r="V179" s="59">
        <f>ROUND(設定!$B$19*IFERROR(VLOOKUP($AM179,個性タイプマスタ!$A$5:$P$100,13,FALSE),1),2)</f>
        <v>5</v>
      </c>
      <c r="W179" s="59">
        <v>30</v>
      </c>
      <c r="X179" s="59" t="str">
        <f>IFERROR(VLOOKUP($AM179,個性タイプマスタ!$A$5:$P$100,2,FALSE),"Ranged")</f>
        <v>Ranged</v>
      </c>
      <c r="Y179" s="56">
        <f>IFERROR(VLOOKUP($AM179,個性タイプマスタ!$A$5:$P$100,3,FALSE),1)</f>
        <v>0.91</v>
      </c>
      <c r="Z179" s="56">
        <f>IFERROR(VLOOKUP($AM179,個性タイプマスタ!$A$5:$P$100,4,FALSE),1)</f>
        <v>0.88</v>
      </c>
      <c r="AA179" s="56">
        <f>IFERROR(VLOOKUP($AM179,個性タイプマスタ!$A$5:$P$100,5,FALSE),1)</f>
        <v>0.95</v>
      </c>
      <c r="AB179" s="56">
        <f>IFERROR(VLOOKUP($AM179,個性タイプマスタ!$A$5:$P$100,6,FALSE),1)</f>
        <v>0.64</v>
      </c>
      <c r="AC179" s="56">
        <f>IFERROR(VLOOKUP($AM179,個性タイプマスタ!$A$5:$P$100,7,FALSE),1)</f>
        <v>1.48</v>
      </c>
      <c r="AD179" s="56">
        <f>IFERROR(VLOOKUP($AM179,個性タイプマスタ!$A$5:$P$100,8,FALSE),1)</f>
        <v>0.75</v>
      </c>
      <c r="AE179" s="60">
        <f>IFERROR(D179/設定!$B$5,1)</f>
        <v>15.863099999999999</v>
      </c>
      <c r="AF179" s="60">
        <f>1+設定!$B$13*((I179/設定!$B$8+J179/設定!$B$9)/(2*AE179))</f>
        <v>1.2754032944380356</v>
      </c>
      <c r="AG179" s="60">
        <f>MAX(0.7,1+設定!$B$14*(O179/IF(X179="Melee",1.5,2.5)-1))</f>
        <v>1.0576000000000001</v>
      </c>
      <c r="AH179" s="53">
        <f t="shared" si="9"/>
        <v>329.14001100799999</v>
      </c>
      <c r="AI179" s="53">
        <f>E179*AF179*(1+設定!$B$18*AVERAGE(P179:U179))</f>
        <v>1834.7760483291413</v>
      </c>
      <c r="AJ179" s="61">
        <f>設定!$B$5*SQRT((AH179/(設定!$B$7*設定!$B$10*(1+設定!$B$11*(設定!$B$12-1))))*(AI179/(設定!$B$6*(1+設定!$B$13))))</f>
        <v>1586.7627962432398</v>
      </c>
      <c r="AK179" s="62">
        <f t="shared" si="10"/>
        <v>2.8543994757646018E-4</v>
      </c>
      <c r="AL179" s="63">
        <f t="shared" si="11"/>
        <v>1189.7325000000001</v>
      </c>
      <c r="AM179" s="64" t="s">
        <v>912</v>
      </c>
      <c r="AN179" s="54">
        <f>MAX(1,ROUND((設定!$B$7*設定!$B$10*(1+設定!$B$11*(設定!$B$12-1)))*AE179^2*(設定!$B$6*(1+設定!$B$13))/(AI179*N179*(1+K179*(L179-1))*AG179),0))</f>
        <v>464</v>
      </c>
      <c r="AO179" s="65" t="str">
        <f>IF($A179="","",IF(COUNTIF(個性タイプマスタ!$A$5:$A$100,$AM179)&gt;0,"OK","未登録"))</f>
        <v>OK</v>
      </c>
      <c r="AP179" s="67" t="str">
        <f>IF($A179="","",IF(COUNTIF(属性耐性マスタ!$A$5:$A$11,$C179)&gt;0,"OK","未登録"))</f>
        <v>OK</v>
      </c>
    </row>
    <row r="180" spans="1:42">
      <c r="A180" s="66" t="s">
        <v>460</v>
      </c>
      <c r="B180" s="51" t="s">
        <v>461</v>
      </c>
      <c r="C180" s="109" t="s">
        <v>111</v>
      </c>
      <c r="D180" s="53">
        <f>ROUND(設定!$B$5*POWER($D$2,W180-1),2)</f>
        <v>1586.31</v>
      </c>
      <c r="E180" s="54">
        <f>MAX(1,ROUND(設定!$B$6*AE180*Y180,0))</f>
        <v>1681</v>
      </c>
      <c r="F180" s="54">
        <f>MAX(0,ROUND(設定!$B$7*AE180*設定!$B$15*IF(X180="Melee",0.6,1.35)*IFERROR(VLOOKUP($AM180,個性タイプマスタ!$A$5:$P$100,14,FALSE),1),0))</f>
        <v>405</v>
      </c>
      <c r="G180" s="54">
        <f>IF(X180="Melee",AN180,MAX(1,ROUND(AN180*設定!$B$16*IFERROR(VLOOKUP($AM180,個性タイプマスタ!$A$5:$P$100,15,FALSE),1),0)))</f>
        <v>82</v>
      </c>
      <c r="H180" s="54">
        <f>IF(X180="Ranged",AN180,MAX(1,ROUND(AN180*設定!$B$16*IFERROR(VLOOKUP($AM180,個性タイプマスタ!$A$5:$P$100,15,FALSE),1),0)))</f>
        <v>279</v>
      </c>
      <c r="I180" s="54">
        <f>MAX(0,ROUND(設定!$B$8*AE180*Z180,0))</f>
        <v>98</v>
      </c>
      <c r="J180" s="54">
        <f>MAX(0,ROUND(設定!$B$9*AE180*AA180,0))</f>
        <v>260</v>
      </c>
      <c r="K180" s="55">
        <f>IFERROR(VLOOKUP($AM180,個性タイプマスタ!$A$5:$P$100,9,FALSE),0.05)</f>
        <v>4.4999999999999998E-2</v>
      </c>
      <c r="L180" s="56">
        <f>IFERROR(VLOOKUP($AM180,個性タイプマスタ!$A$5:$P$100,10,FALSE),1.5)</f>
        <v>1.45</v>
      </c>
      <c r="M180" s="56">
        <f>IFERROR(VLOOKUP($AM180,個性タイプマスタ!$A$5:$P$100,11,FALSE),2)</f>
        <v>1.9</v>
      </c>
      <c r="N180" s="57">
        <f>MAX(0.1,ROUND(設定!$B$10*AB180,3))</f>
        <v>0.84</v>
      </c>
      <c r="O180" s="57">
        <f t="shared" si="8"/>
        <v>2.65</v>
      </c>
      <c r="P180" s="58">
        <f>MAX(-10,MIN(0.8,IFERROR(INDEX(属性耐性マスタ!$B$5:$G$11,MATCH($C180,属性耐性マスタ!$A$5:$A$11,0),1),0)+IFERROR(VLOOKUP($AM180,個性タイプマスタ!$A$5:$P$100,12,FALSE),0)))</f>
        <v>0.29000000000000004</v>
      </c>
      <c r="Q180" s="58">
        <f>MAX(-10,MIN(0.8,IFERROR(INDEX(属性耐性マスタ!$B$5:$G$11,MATCH($C180,属性耐性マスタ!$A$5:$A$11,0),2),0)+IFERROR(VLOOKUP($AM180,個性タイプマスタ!$A$5:$P$100,12,FALSE),0)))</f>
        <v>-1.0000000000000009E-2</v>
      </c>
      <c r="R180" s="58">
        <f>MAX(-10,MIN(0.8,IFERROR(INDEX(属性耐性マスタ!$B$5:$G$11,MATCH($C180,属性耐性マスタ!$A$5:$A$11,0),3),0)+IFERROR(VLOOKUP($AM180,個性タイプマスタ!$A$5:$P$100,12,FALSE),0)))</f>
        <v>0.09</v>
      </c>
      <c r="S180" s="58">
        <f>MAX(-10,MIN(0.8,IFERROR(INDEX(属性耐性マスタ!$B$5:$G$11,MATCH($C180,属性耐性マスタ!$A$5:$A$11,0),4),0)+IFERROR(VLOOKUP($AM180,個性タイプマスタ!$A$5:$P$100,12,FALSE),0)))</f>
        <v>0.09</v>
      </c>
      <c r="T180" s="58">
        <f>MAX(-10,MIN(0.8,IFERROR(INDEX(属性耐性マスタ!$B$5:$G$11,MATCH($C180,属性耐性マスタ!$A$5:$A$11,0),5),0)+IFERROR(VLOOKUP($AM180,個性タイプマスタ!$A$5:$P$100,12,FALSE),0)))</f>
        <v>0.09</v>
      </c>
      <c r="U180" s="58">
        <f>MAX(-10,MIN(0.8,IFERROR(INDEX(属性耐性マスタ!$B$5:$G$11,MATCH($C180,属性耐性マスタ!$A$5:$A$11,0),6),0)+IFERROR(VLOOKUP($AM180,個性タイプマスタ!$A$5:$P$100,12,FALSE),0)))</f>
        <v>0.09</v>
      </c>
      <c r="V180" s="59">
        <f>ROUND(設定!$B$19*IFERROR(VLOOKUP($AM180,個性タイプマスタ!$A$5:$P$100,13,FALSE),1),2)</f>
        <v>4.4000000000000004</v>
      </c>
      <c r="W180" s="59">
        <v>30</v>
      </c>
      <c r="X180" s="59" t="str">
        <f>IFERROR(VLOOKUP($AM180,個性タイプマスタ!$A$5:$P$100,2,FALSE),"Ranged")</f>
        <v>Ranged</v>
      </c>
      <c r="Y180" s="56">
        <f>IFERROR(VLOOKUP($AM180,個性タイプマスタ!$A$5:$P$100,3,FALSE),1)</f>
        <v>1.06</v>
      </c>
      <c r="Z180" s="56">
        <f>IFERROR(VLOOKUP($AM180,個性タイプマスタ!$A$5:$P$100,4,FALSE),1)</f>
        <v>0.77</v>
      </c>
      <c r="AA180" s="56">
        <f>IFERROR(VLOOKUP($AM180,個性タイプマスタ!$A$5:$P$100,5,FALSE),1)</f>
        <v>2.0499999999999998</v>
      </c>
      <c r="AB180" s="56">
        <f>IFERROR(VLOOKUP($AM180,個性タイプマスタ!$A$5:$P$100,6,FALSE),1)</f>
        <v>0.84</v>
      </c>
      <c r="AC180" s="56">
        <f>IFERROR(VLOOKUP($AM180,個性タイプマスタ!$A$5:$P$100,7,FALSE),1)</f>
        <v>1.06</v>
      </c>
      <c r="AD180" s="56">
        <f>IFERROR(VLOOKUP($AM180,個性タイプマスタ!$A$5:$P$100,8,FALSE),1)</f>
        <v>0.82</v>
      </c>
      <c r="AE180" s="60">
        <f>IFERROR(D180/設定!$B$5,1)</f>
        <v>15.863099999999999</v>
      </c>
      <c r="AF180" s="60">
        <f>1+設定!$B$13*((I180/設定!$B$8+J180/設定!$B$9)/(2*AE180))</f>
        <v>1.4231518429562948</v>
      </c>
      <c r="AG180" s="60">
        <f>MAX(0.7,1+設定!$B$14*(O180/IF(X180="Melee",1.5,2.5)-1))</f>
        <v>1.0072000000000001</v>
      </c>
      <c r="AH180" s="53">
        <f t="shared" si="9"/>
        <v>240.82735168800005</v>
      </c>
      <c r="AI180" s="53">
        <f>E180*AF180*(1+設定!$B$18*AVERAGE(P180:U180))</f>
        <v>2507.149523913989</v>
      </c>
      <c r="AJ180" s="61">
        <f>設定!$B$5*SQRT((AH180/(設定!$B$7*設定!$B$10*(1+設定!$B$11*(設定!$B$12-1))))*(AI180/(設定!$B$6*(1+設定!$B$13))))</f>
        <v>1586.6208654922082</v>
      </c>
      <c r="AK180" s="62">
        <f t="shared" si="10"/>
        <v>1.9596768110163865E-4</v>
      </c>
      <c r="AL180" s="63">
        <f t="shared" si="11"/>
        <v>1300.7741999999998</v>
      </c>
      <c r="AM180" s="64" t="s">
        <v>926</v>
      </c>
      <c r="AN180" s="54">
        <f>MAX(1,ROUND((設定!$B$7*設定!$B$10*(1+設定!$B$11*(設定!$B$12-1)))*AE180^2*(設定!$B$6*(1+設定!$B$13))/(AI180*N180*(1+K180*(L180-1))*AG180),0))</f>
        <v>279</v>
      </c>
      <c r="AO180" s="65" t="str">
        <f>IF($A180="","",IF(COUNTIF(個性タイプマスタ!$A$5:$A$100,$AM180)&gt;0,"OK","未登録"))</f>
        <v>OK</v>
      </c>
      <c r="AP180" s="67" t="str">
        <f>IF($A180="","",IF(COUNTIF(属性耐性マスタ!$A$5:$A$11,$C180)&gt;0,"OK","未登録"))</f>
        <v>OK</v>
      </c>
    </row>
    <row r="181" spans="1:42">
      <c r="A181" s="66" t="s">
        <v>462</v>
      </c>
      <c r="B181" s="51" t="s">
        <v>463</v>
      </c>
      <c r="C181" s="109" t="s">
        <v>111</v>
      </c>
      <c r="D181" s="53">
        <f>ROUND(設定!$B$5*POWER($D$2,W181-1),2)</f>
        <v>1586.31</v>
      </c>
      <c r="E181" s="54">
        <f>MAX(1,ROUND(設定!$B$6*AE181*Y181,0))</f>
        <v>872</v>
      </c>
      <c r="F181" s="54">
        <f>MAX(0,ROUND(設定!$B$7*AE181*設定!$B$15*IF(X181="Melee",0.6,1.35)*IFERROR(VLOOKUP($AM181,個性タイプマスタ!$A$5:$P$100,14,FALSE),1),0))</f>
        <v>347</v>
      </c>
      <c r="G181" s="54">
        <f>IF(X181="Melee",AN181,MAX(1,ROUND(AN181*設定!$B$16*IFERROR(VLOOKUP($AM181,個性タイプマスタ!$A$5:$P$100,15,FALSE),1),0)))</f>
        <v>163</v>
      </c>
      <c r="H181" s="54">
        <f>IF(X181="Ranged",AN181,MAX(1,ROUND(AN181*設定!$B$16*IFERROR(VLOOKUP($AM181,個性タイプマスタ!$A$5:$P$100,15,FALSE),1),0)))</f>
        <v>453</v>
      </c>
      <c r="I181" s="54">
        <f>MAX(0,ROUND(設定!$B$8*AE181*Z181,0))</f>
        <v>184</v>
      </c>
      <c r="J181" s="54">
        <f>MAX(0,ROUND(設定!$B$9*AE181*AA181,0))</f>
        <v>286</v>
      </c>
      <c r="K181" s="55">
        <f>IFERROR(VLOOKUP($AM181,個性タイプマスタ!$A$5:$P$100,9,FALSE),0.05)</f>
        <v>0.04</v>
      </c>
      <c r="L181" s="56">
        <f>IFERROR(VLOOKUP($AM181,個性タイプマスタ!$A$5:$P$100,10,FALSE),1.5)</f>
        <v>1.38</v>
      </c>
      <c r="M181" s="56">
        <f>IFERROR(VLOOKUP($AM181,個性タイプマスタ!$A$5:$P$100,11,FALSE),2)</f>
        <v>2.2000000000000002</v>
      </c>
      <c r="N181" s="57">
        <f>MAX(0.1,ROUND(設定!$B$10*AB181,3))</f>
        <v>0.88</v>
      </c>
      <c r="O181" s="57">
        <f t="shared" si="8"/>
        <v>3.15</v>
      </c>
      <c r="P181" s="58">
        <f>MAX(-10,MIN(0.8,IFERROR(INDEX(属性耐性マスタ!$B$5:$G$11,MATCH($C181,属性耐性マスタ!$A$5:$A$11,0),1),0)+IFERROR(VLOOKUP($AM181,個性タイプマスタ!$A$5:$P$100,12,FALSE),0)))</f>
        <v>0.33</v>
      </c>
      <c r="Q181" s="58">
        <f>MAX(-10,MIN(0.8,IFERROR(INDEX(属性耐性マスタ!$B$5:$G$11,MATCH($C181,属性耐性マスタ!$A$5:$A$11,0),2),0)+IFERROR(VLOOKUP($AM181,個性タイプマスタ!$A$5:$P$100,12,FALSE),0)))</f>
        <v>0.03</v>
      </c>
      <c r="R181" s="58">
        <f>MAX(-10,MIN(0.8,IFERROR(INDEX(属性耐性マスタ!$B$5:$G$11,MATCH($C181,属性耐性マスタ!$A$5:$A$11,0),3),0)+IFERROR(VLOOKUP($AM181,個性タイプマスタ!$A$5:$P$100,12,FALSE),0)))</f>
        <v>0.13</v>
      </c>
      <c r="S181" s="58">
        <f>MAX(-10,MIN(0.8,IFERROR(INDEX(属性耐性マスタ!$B$5:$G$11,MATCH($C181,属性耐性マスタ!$A$5:$A$11,0),4),0)+IFERROR(VLOOKUP($AM181,個性タイプマスタ!$A$5:$P$100,12,FALSE),0)))</f>
        <v>0.13</v>
      </c>
      <c r="T181" s="58">
        <f>MAX(-10,MIN(0.8,IFERROR(INDEX(属性耐性マスタ!$B$5:$G$11,MATCH($C181,属性耐性マスタ!$A$5:$A$11,0),5),0)+IFERROR(VLOOKUP($AM181,個性タイプマスタ!$A$5:$P$100,12,FALSE),0)))</f>
        <v>0.13</v>
      </c>
      <c r="U181" s="58">
        <f>MAX(-10,MIN(0.8,IFERROR(INDEX(属性耐性マスタ!$B$5:$G$11,MATCH($C181,属性耐性マスタ!$A$5:$A$11,0),6),0)+IFERROR(VLOOKUP($AM181,個性タイプマスタ!$A$5:$P$100,12,FALSE),0)))</f>
        <v>0.13</v>
      </c>
      <c r="V181" s="59">
        <f>ROUND(設定!$B$19*IFERROR(VLOOKUP($AM181,個性タイプマスタ!$A$5:$P$100,13,FALSE),1),2)</f>
        <v>4.4800000000000004</v>
      </c>
      <c r="W181" s="59">
        <v>30</v>
      </c>
      <c r="X181" s="59" t="str">
        <f>IFERROR(VLOOKUP($AM181,個性タイプマスタ!$A$5:$P$100,2,FALSE),"Ranged")</f>
        <v>Ranged</v>
      </c>
      <c r="Y181" s="56">
        <f>IFERROR(VLOOKUP($AM181,個性タイプマスタ!$A$5:$P$100,3,FALSE),1)</f>
        <v>0.55000000000000004</v>
      </c>
      <c r="Z181" s="56">
        <f>IFERROR(VLOOKUP($AM181,個性タイプマスタ!$A$5:$P$100,4,FALSE),1)</f>
        <v>1.45</v>
      </c>
      <c r="AA181" s="56">
        <f>IFERROR(VLOOKUP($AM181,個性タイプマスタ!$A$5:$P$100,5,FALSE),1)</f>
        <v>2.25</v>
      </c>
      <c r="AB181" s="56">
        <f>IFERROR(VLOOKUP($AM181,個性タイプマスタ!$A$5:$P$100,6,FALSE),1)</f>
        <v>0.88</v>
      </c>
      <c r="AC181" s="56">
        <f>IFERROR(VLOOKUP($AM181,個性タイプマスタ!$A$5:$P$100,7,FALSE),1)</f>
        <v>1.26</v>
      </c>
      <c r="AD181" s="56">
        <f>IFERROR(VLOOKUP($AM181,個性タイプマスタ!$A$5:$P$100,8,FALSE),1)</f>
        <v>0.75</v>
      </c>
      <c r="AE181" s="60">
        <f>IFERROR(D181/設定!$B$5,1)</f>
        <v>15.863099999999999</v>
      </c>
      <c r="AF181" s="60">
        <f>1+設定!$B$13*((I181/設定!$B$8+J181/設定!$B$9)/(2*AE181))</f>
        <v>1.5555345424286551</v>
      </c>
      <c r="AG181" s="60">
        <f>MAX(0.7,1+設定!$B$14*(O181/IF(X181="Melee",1.5,2.5)-1))</f>
        <v>1.0311999999999999</v>
      </c>
      <c r="AH181" s="53">
        <f t="shared" si="9"/>
        <v>417.32594703360002</v>
      </c>
      <c r="AI181" s="53">
        <f>E181*AF181*(1+設定!$B$18*AVERAGE(P181:U181))</f>
        <v>1445.9502449836411</v>
      </c>
      <c r="AJ181" s="61">
        <f>設定!$B$5*SQRT((AH181/(設定!$B$7*設定!$B$10*(1+設定!$B$11*(設定!$B$12-1))))*(AI181/(設定!$B$6*(1+設定!$B$13))))</f>
        <v>1586.150918315592</v>
      </c>
      <c r="AK181" s="62">
        <f t="shared" si="10"/>
        <v>-1.0028410865969839E-4</v>
      </c>
      <c r="AL181" s="63">
        <f t="shared" si="11"/>
        <v>1189.7325000000001</v>
      </c>
      <c r="AM181" s="64" t="s">
        <v>940</v>
      </c>
      <c r="AN181" s="54">
        <f>MAX(1,ROUND((設定!$B$7*設定!$B$10*(1+設定!$B$11*(設定!$B$12-1)))*AE181^2*(設定!$B$6*(1+設定!$B$13))/(AI181*N181*(1+K181*(L181-1))*AG181),0))</f>
        <v>453</v>
      </c>
      <c r="AO181" s="65" t="str">
        <f>IF($A181="","",IF(COUNTIF(個性タイプマスタ!$A$5:$A$100,$AM181)&gt;0,"OK","未登録"))</f>
        <v>OK</v>
      </c>
      <c r="AP181" s="67" t="str">
        <f>IF($A181="","",IF(COUNTIF(属性耐性マスタ!$A$5:$A$11,$C181)&gt;0,"OK","未登録"))</f>
        <v>OK</v>
      </c>
    </row>
    <row r="182" spans="1:42">
      <c r="A182" s="66" t="s">
        <v>464</v>
      </c>
      <c r="B182" s="51" t="s">
        <v>465</v>
      </c>
      <c r="C182" s="109" t="s">
        <v>111</v>
      </c>
      <c r="D182" s="53">
        <f>ROUND(設定!$B$5*POWER($D$2,W182-1),2)</f>
        <v>1586.31</v>
      </c>
      <c r="E182" s="54">
        <f>MAX(1,ROUND(設定!$B$6*AE182*Y182,0))</f>
        <v>1031</v>
      </c>
      <c r="F182" s="54">
        <f>MAX(0,ROUND(設定!$B$7*AE182*設定!$B$15*IF(X182="Melee",0.6,1.35)*IFERROR(VLOOKUP($AM182,個性タイプマスタ!$A$5:$P$100,14,FALSE),1),0))</f>
        <v>49</v>
      </c>
      <c r="G182" s="54">
        <f>IF(X182="Melee",AN182,MAX(1,ROUND(AN182*設定!$B$16*IFERROR(VLOOKUP($AM182,個性タイプマスタ!$A$5:$P$100,15,FALSE),1),0)))</f>
        <v>317</v>
      </c>
      <c r="H182" s="54">
        <f>IF(X182="Ranged",AN182,MAX(1,ROUND(AN182*設定!$B$16*IFERROR(VLOOKUP($AM182,個性タイプマスタ!$A$5:$P$100,15,FALSE),1),0)))</f>
        <v>93</v>
      </c>
      <c r="I182" s="54">
        <f>MAX(0,ROUND(設定!$B$8*AE182*Z182,0))</f>
        <v>79</v>
      </c>
      <c r="J182" s="54">
        <f>MAX(0,ROUND(設定!$B$9*AE182*AA182,0))</f>
        <v>86</v>
      </c>
      <c r="K182" s="55">
        <f>IFERROR(VLOOKUP($AM182,個性タイプマスタ!$A$5:$P$100,9,FALSE),0.05)</f>
        <v>0.18</v>
      </c>
      <c r="L182" s="56">
        <f>IFERROR(VLOOKUP($AM182,個性タイプマスタ!$A$5:$P$100,10,FALSE),1.5)</f>
        <v>2.1</v>
      </c>
      <c r="M182" s="56">
        <f>IFERROR(VLOOKUP($AM182,個性タイプマスタ!$A$5:$P$100,11,FALSE),2)</f>
        <v>3.15</v>
      </c>
      <c r="N182" s="57">
        <f>MAX(0.1,ROUND(設定!$B$10*AB182,3))</f>
        <v>1.35</v>
      </c>
      <c r="O182" s="57">
        <f t="shared" si="8"/>
        <v>1.29</v>
      </c>
      <c r="P182" s="58">
        <f>MAX(-10,MIN(0.8,IFERROR(INDEX(属性耐性マスタ!$B$5:$G$11,MATCH($C182,属性耐性マスタ!$A$5:$A$11,0),1),0)+IFERROR(VLOOKUP($AM182,個性タイプマスタ!$A$5:$P$100,12,FALSE),0)))</f>
        <v>0.12000000000000001</v>
      </c>
      <c r="Q182" s="58">
        <f>MAX(-10,MIN(0.8,IFERROR(INDEX(属性耐性マスタ!$B$5:$G$11,MATCH($C182,属性耐性マスタ!$A$5:$A$11,0),2),0)+IFERROR(VLOOKUP($AM182,個性タイプマスタ!$A$5:$P$100,12,FALSE),0)))</f>
        <v>-0.18</v>
      </c>
      <c r="R182" s="58">
        <f>MAX(-10,MIN(0.8,IFERROR(INDEX(属性耐性マスタ!$B$5:$G$11,MATCH($C182,属性耐性マスタ!$A$5:$A$11,0),3),0)+IFERROR(VLOOKUP($AM182,個性タイプマスタ!$A$5:$P$100,12,FALSE),0)))</f>
        <v>-0.08</v>
      </c>
      <c r="S182" s="58">
        <f>MAX(-10,MIN(0.8,IFERROR(INDEX(属性耐性マスタ!$B$5:$G$11,MATCH($C182,属性耐性マスタ!$A$5:$A$11,0),4),0)+IFERROR(VLOOKUP($AM182,個性タイプマスタ!$A$5:$P$100,12,FALSE),0)))</f>
        <v>-0.08</v>
      </c>
      <c r="T182" s="58">
        <f>MAX(-10,MIN(0.8,IFERROR(INDEX(属性耐性マスタ!$B$5:$G$11,MATCH($C182,属性耐性マスタ!$A$5:$A$11,0),5),0)+IFERROR(VLOOKUP($AM182,個性タイプマスタ!$A$5:$P$100,12,FALSE),0)))</f>
        <v>-0.08</v>
      </c>
      <c r="U182" s="58">
        <f>MAX(-10,MIN(0.8,IFERROR(INDEX(属性耐性マスタ!$B$5:$G$11,MATCH($C182,属性耐性マスタ!$A$5:$A$11,0),6),0)+IFERROR(VLOOKUP($AM182,個性タイプマスタ!$A$5:$P$100,12,FALSE),0)))</f>
        <v>-0.08</v>
      </c>
      <c r="V182" s="59">
        <f>ROUND(設定!$B$19*IFERROR(VLOOKUP($AM182,個性タイプマスタ!$A$5:$P$100,13,FALSE),1),2)</f>
        <v>4.8</v>
      </c>
      <c r="W182" s="59">
        <v>30</v>
      </c>
      <c r="X182" s="59" t="str">
        <f>IFERROR(VLOOKUP($AM182,個性タイプマスタ!$A$5:$P$100,2,FALSE),"Ranged")</f>
        <v>Melee</v>
      </c>
      <c r="Y182" s="56">
        <f>IFERROR(VLOOKUP($AM182,個性タイプマスタ!$A$5:$P$100,3,FALSE),1)</f>
        <v>0.65</v>
      </c>
      <c r="Z182" s="56">
        <f>IFERROR(VLOOKUP($AM182,個性タイプマスタ!$A$5:$P$100,4,FALSE),1)</f>
        <v>0.62</v>
      </c>
      <c r="AA182" s="56">
        <f>IFERROR(VLOOKUP($AM182,個性タイプマスタ!$A$5:$P$100,5,FALSE),1)</f>
        <v>0.68</v>
      </c>
      <c r="AB182" s="56">
        <f>IFERROR(VLOOKUP($AM182,個性タイプマスタ!$A$5:$P$100,6,FALSE),1)</f>
        <v>1.35</v>
      </c>
      <c r="AC182" s="56">
        <f>IFERROR(VLOOKUP($AM182,個性タイプマスタ!$A$5:$P$100,7,FALSE),1)</f>
        <v>0.86</v>
      </c>
      <c r="AD182" s="56">
        <f>IFERROR(VLOOKUP($AM182,個性タイプマスタ!$A$5:$P$100,8,FALSE),1)</f>
        <v>0.56999999999999995</v>
      </c>
      <c r="AE182" s="60">
        <f>IFERROR(D182/設定!$B$5,1)</f>
        <v>15.863099999999999</v>
      </c>
      <c r="AF182" s="60">
        <f>1+設定!$B$13*((I182/設定!$B$8+J182/設定!$B$9)/(2*AE182))</f>
        <v>1.1950280840441023</v>
      </c>
      <c r="AG182" s="60">
        <f>MAX(0.7,1+設定!$B$14*(O182/IF(X182="Melee",1.5,2.5)-1))</f>
        <v>0.98319999999999996</v>
      </c>
      <c r="AH182" s="53">
        <f t="shared" si="9"/>
        <v>504.07100712000005</v>
      </c>
      <c r="AI182" s="53">
        <f>E182*AF182*(1+設定!$B$18*AVERAGE(P182:U182))</f>
        <v>1196.9598469419595</v>
      </c>
      <c r="AJ182" s="61">
        <f>設定!$B$5*SQRT((AH182/(設定!$B$7*設定!$B$10*(1+設定!$B$11*(設定!$B$12-1))))*(AI182/(設定!$B$6*(1+設定!$B$13))))</f>
        <v>1586.046036052267</v>
      </c>
      <c r="AK182" s="62">
        <f t="shared" si="10"/>
        <v>-1.6640123792510675E-4</v>
      </c>
      <c r="AL182" s="63">
        <f t="shared" si="11"/>
        <v>904.19669999999985</v>
      </c>
      <c r="AM182" s="64" t="s">
        <v>942</v>
      </c>
      <c r="AN182" s="54">
        <f>MAX(1,ROUND((設定!$B$7*設定!$B$10*(1+設定!$B$11*(設定!$B$12-1)))*AE182^2*(設定!$B$6*(1+設定!$B$13))/(AI182*N182*(1+K182*(L182-1))*AG182),0))</f>
        <v>317</v>
      </c>
      <c r="AO182" s="65" t="str">
        <f>IF($A182="","",IF(COUNTIF(個性タイプマスタ!$A$5:$A$100,$AM182)&gt;0,"OK","未登録"))</f>
        <v>OK</v>
      </c>
      <c r="AP182" s="67" t="str">
        <f>IF($A182="","",IF(COUNTIF(属性耐性マスタ!$A$5:$A$11,$C182)&gt;0,"OK","未登録"))</f>
        <v>OK</v>
      </c>
    </row>
    <row r="183" spans="1:42">
      <c r="A183" s="66" t="s">
        <v>466</v>
      </c>
      <c r="B183" s="51" t="s">
        <v>467</v>
      </c>
      <c r="C183" s="109" t="s">
        <v>111</v>
      </c>
      <c r="D183" s="53">
        <f>ROUND(設定!$B$5*POWER($D$2,W183-1),2)</f>
        <v>1586.31</v>
      </c>
      <c r="E183" s="54">
        <f>MAX(1,ROUND(設定!$B$6*AE183*Y183,0))</f>
        <v>1872</v>
      </c>
      <c r="F183" s="54">
        <f>MAX(0,ROUND(設定!$B$7*AE183*設定!$B$15*IF(X183="Melee",0.6,1.35)*IFERROR(VLOOKUP($AM183,個性タイプマスタ!$A$5:$P$100,14,FALSE),1),0))</f>
        <v>108</v>
      </c>
      <c r="G183" s="54">
        <f>IF(X183="Melee",AN183,MAX(1,ROUND(AN183*設定!$B$16*IFERROR(VLOOKUP($AM183,個性タイプマスタ!$A$5:$P$100,15,FALSE),1),0)))</f>
        <v>247</v>
      </c>
      <c r="H183" s="54">
        <f>IF(X183="Ranged",AN183,MAX(1,ROUND(AN183*設定!$B$16*IFERROR(VLOOKUP($AM183,個性タイプマスタ!$A$5:$P$100,15,FALSE),1),0)))</f>
        <v>78</v>
      </c>
      <c r="I183" s="54">
        <f>MAX(0,ROUND(設定!$B$8*AE183*Z183,0))</f>
        <v>145</v>
      </c>
      <c r="J183" s="54">
        <f>MAX(0,ROUND(設定!$B$9*AE183*AA183,0))</f>
        <v>145</v>
      </c>
      <c r="K183" s="55">
        <f>IFERROR(VLOOKUP($AM183,個性タイプマスタ!$A$5:$P$100,9,FALSE),0.05)</f>
        <v>0.04</v>
      </c>
      <c r="L183" s="56">
        <f>IFERROR(VLOOKUP($AM183,個性タイプマスタ!$A$5:$P$100,10,FALSE),1.5)</f>
        <v>1.43</v>
      </c>
      <c r="M183" s="56">
        <f>IFERROR(VLOOKUP($AM183,個性タイプマスタ!$A$5:$P$100,11,FALSE),2)</f>
        <v>2.15</v>
      </c>
      <c r="N183" s="57">
        <f>MAX(0.1,ROUND(設定!$B$10*AB183,3))</f>
        <v>0.88</v>
      </c>
      <c r="O183" s="57">
        <f t="shared" si="8"/>
        <v>1.425</v>
      </c>
      <c r="P183" s="58">
        <f>MAX(-10,MIN(0.8,IFERROR(INDEX(属性耐性マスタ!$B$5:$G$11,MATCH($C183,属性耐性マスタ!$A$5:$A$11,0),1),0)+IFERROR(VLOOKUP($AM183,個性タイプマスタ!$A$5:$P$100,12,FALSE),0)))</f>
        <v>0.39</v>
      </c>
      <c r="Q183" s="58">
        <f>MAX(-10,MIN(0.8,IFERROR(INDEX(属性耐性マスタ!$B$5:$G$11,MATCH($C183,属性耐性マスタ!$A$5:$A$11,0),2),0)+IFERROR(VLOOKUP($AM183,個性タイプマスタ!$A$5:$P$100,12,FALSE),0)))</f>
        <v>0.09</v>
      </c>
      <c r="R183" s="58">
        <f>MAX(-10,MIN(0.8,IFERROR(INDEX(属性耐性マスタ!$B$5:$G$11,MATCH($C183,属性耐性マスタ!$A$5:$A$11,0),3),0)+IFERROR(VLOOKUP($AM183,個性タイプマスタ!$A$5:$P$100,12,FALSE),0)))</f>
        <v>0.19</v>
      </c>
      <c r="S183" s="58">
        <f>MAX(-10,MIN(0.8,IFERROR(INDEX(属性耐性マスタ!$B$5:$G$11,MATCH($C183,属性耐性マスタ!$A$5:$A$11,0),4),0)+IFERROR(VLOOKUP($AM183,個性タイプマスタ!$A$5:$P$100,12,FALSE),0)))</f>
        <v>0.19</v>
      </c>
      <c r="T183" s="58">
        <f>MAX(-10,MIN(0.8,IFERROR(INDEX(属性耐性マスタ!$B$5:$G$11,MATCH($C183,属性耐性マスタ!$A$5:$A$11,0),5),0)+IFERROR(VLOOKUP($AM183,個性タイプマスタ!$A$5:$P$100,12,FALSE),0)))</f>
        <v>0.19</v>
      </c>
      <c r="U183" s="58">
        <f>MAX(-10,MIN(0.8,IFERROR(INDEX(属性耐性マスタ!$B$5:$G$11,MATCH($C183,属性耐性マスタ!$A$5:$A$11,0),6),0)+IFERROR(VLOOKUP($AM183,個性タイプマスタ!$A$5:$P$100,12,FALSE),0)))</f>
        <v>0.19</v>
      </c>
      <c r="V183" s="59">
        <f>ROUND(設定!$B$19*IFERROR(VLOOKUP($AM183,個性タイプマスタ!$A$5:$P$100,13,FALSE),1),2)</f>
        <v>3.8</v>
      </c>
      <c r="W183" s="59">
        <v>30</v>
      </c>
      <c r="X183" s="59" t="str">
        <f>IFERROR(VLOOKUP($AM183,個性タイプマスタ!$A$5:$P$100,2,FALSE),"Ranged")</f>
        <v>Melee</v>
      </c>
      <c r="Y183" s="56">
        <f>IFERROR(VLOOKUP($AM183,個性タイプマスタ!$A$5:$P$100,3,FALSE),1)</f>
        <v>1.18</v>
      </c>
      <c r="Z183" s="56">
        <f>IFERROR(VLOOKUP($AM183,個性タイプマスタ!$A$5:$P$100,4,FALSE),1)</f>
        <v>1.1399999999999999</v>
      </c>
      <c r="AA183" s="56">
        <f>IFERROR(VLOOKUP($AM183,個性タイプマスタ!$A$5:$P$100,5,FALSE),1)</f>
        <v>1.1399999999999999</v>
      </c>
      <c r="AB183" s="56">
        <f>IFERROR(VLOOKUP($AM183,個性タイプマスタ!$A$5:$P$100,6,FALSE),1)</f>
        <v>0.88</v>
      </c>
      <c r="AC183" s="56">
        <f>IFERROR(VLOOKUP($AM183,個性タイプマスタ!$A$5:$P$100,7,FALSE),1)</f>
        <v>0.95</v>
      </c>
      <c r="AD183" s="56">
        <f>IFERROR(VLOOKUP($AM183,個性タイプマスタ!$A$5:$P$100,8,FALSE),1)</f>
        <v>0.88</v>
      </c>
      <c r="AE183" s="60">
        <f>IFERROR(D183/設定!$B$5,1)</f>
        <v>15.863099999999999</v>
      </c>
      <c r="AF183" s="60">
        <f>1+設定!$B$13*((I183/設定!$B$8+J183/設定!$B$9)/(2*AE183))</f>
        <v>1.3427766325623618</v>
      </c>
      <c r="AG183" s="60">
        <f>MAX(0.7,1+設定!$B$14*(O183/IF(X183="Melee",1.5,2.5)-1))</f>
        <v>0.99399999999999999</v>
      </c>
      <c r="AH183" s="53">
        <f t="shared" si="9"/>
        <v>219.77200044800003</v>
      </c>
      <c r="AI183" s="53">
        <f>E183*AF183*(1+設定!$B$18*AVERAGE(P183:U183))</f>
        <v>2747.4498967793179</v>
      </c>
      <c r="AJ183" s="61">
        <f>設定!$B$5*SQRT((AH183/(設定!$B$7*設定!$B$10*(1+設定!$B$11*(設定!$B$12-1))))*(AI183/(設定!$B$6*(1+設定!$B$13))))</f>
        <v>1586.6502697081628</v>
      </c>
      <c r="AK183" s="62">
        <f t="shared" si="10"/>
        <v>2.1450391673938363E-4</v>
      </c>
      <c r="AL183" s="63">
        <f t="shared" si="11"/>
        <v>1395.9528</v>
      </c>
      <c r="AM183" s="64" t="s">
        <v>956</v>
      </c>
      <c r="AN183" s="54">
        <f>MAX(1,ROUND((設定!$B$7*設定!$B$10*(1+設定!$B$11*(設定!$B$12-1)))*AE183^2*(設定!$B$6*(1+設定!$B$13))/(AI183*N183*(1+K183*(L183-1))*AG183),0))</f>
        <v>247</v>
      </c>
      <c r="AO183" s="65" t="str">
        <f>IF($A183="","",IF(COUNTIF(個性タイプマスタ!$A$5:$A$100,$AM183)&gt;0,"OK","未登録"))</f>
        <v>OK</v>
      </c>
      <c r="AP183" s="67" t="str">
        <f>IF($A183="","",IF(COUNTIF(属性耐性マスタ!$A$5:$A$11,$C183)&gt;0,"OK","未登録"))</f>
        <v>OK</v>
      </c>
    </row>
    <row r="184" spans="1:42">
      <c r="A184" s="66" t="s">
        <v>468</v>
      </c>
      <c r="B184" s="51" t="s">
        <v>469</v>
      </c>
      <c r="C184" s="109" t="s">
        <v>111</v>
      </c>
      <c r="D184" s="53">
        <f>ROUND(設定!$B$5*POWER($D$2,W184-1),2)</f>
        <v>1586.31</v>
      </c>
      <c r="E184" s="54">
        <f>MAX(1,ROUND(設定!$B$6*AE184*Y184,0))</f>
        <v>1634</v>
      </c>
      <c r="F184" s="54">
        <f>MAX(0,ROUND(設定!$B$7*AE184*設定!$B$15*IF(X184="Melee",0.6,1.35)*IFERROR(VLOOKUP($AM184,個性タイプマスタ!$A$5:$P$100,14,FALSE),1),0))</f>
        <v>613</v>
      </c>
      <c r="G184" s="54">
        <f>IF(X184="Melee",AN184,MAX(1,ROUND(AN184*設定!$B$16*IFERROR(VLOOKUP($AM184,個性タイプマスタ!$A$5:$P$100,15,FALSE),1),0)))</f>
        <v>92</v>
      </c>
      <c r="H184" s="54">
        <f>IF(X184="Ranged",AN184,MAX(1,ROUND(AN184*設定!$B$16*IFERROR(VLOOKUP($AM184,個性タイプマスタ!$A$5:$P$100,15,FALSE),1),0)))</f>
        <v>293</v>
      </c>
      <c r="I184" s="54">
        <f>MAX(0,ROUND(設定!$B$8*AE184*Z184,0))</f>
        <v>122</v>
      </c>
      <c r="J184" s="54">
        <f>MAX(0,ROUND(設定!$B$9*AE184*AA184,0))</f>
        <v>150</v>
      </c>
      <c r="K184" s="55">
        <f>IFERROR(VLOOKUP($AM184,個性タイプマスタ!$A$5:$P$100,9,FALSE),0.05)</f>
        <v>6.5000000000000002E-2</v>
      </c>
      <c r="L184" s="56">
        <f>IFERROR(VLOOKUP($AM184,個性タイプマスタ!$A$5:$P$100,10,FALSE),1.5)</f>
        <v>1.45</v>
      </c>
      <c r="M184" s="56">
        <f>IFERROR(VLOOKUP($AM184,個性タイプマスタ!$A$5:$P$100,11,FALSE),2)</f>
        <v>2.1</v>
      </c>
      <c r="N184" s="57">
        <f>MAX(0.1,ROUND(設定!$B$10*AB184,3))</f>
        <v>0.9</v>
      </c>
      <c r="O184" s="57">
        <f t="shared" si="8"/>
        <v>2.8</v>
      </c>
      <c r="P184" s="58">
        <f>MAX(-10,MIN(0.8,IFERROR(INDEX(属性耐性マスタ!$B$5:$G$11,MATCH($C184,属性耐性マスタ!$A$5:$A$11,0),1),0)+IFERROR(VLOOKUP($AM184,個性タイプマスタ!$A$5:$P$100,12,FALSE),0)))</f>
        <v>0.22</v>
      </c>
      <c r="Q184" s="58">
        <f>MAX(-10,MIN(0.8,IFERROR(INDEX(属性耐性マスタ!$B$5:$G$11,MATCH($C184,属性耐性マスタ!$A$5:$A$11,0),2),0)+IFERROR(VLOOKUP($AM184,個性タイプマスタ!$A$5:$P$100,12,FALSE),0)))</f>
        <v>-0.08</v>
      </c>
      <c r="R184" s="58">
        <f>MAX(-10,MIN(0.8,IFERROR(INDEX(属性耐性マスタ!$B$5:$G$11,MATCH($C184,属性耐性マスタ!$A$5:$A$11,0),3),0)+IFERROR(VLOOKUP($AM184,個性タイプマスタ!$A$5:$P$100,12,FALSE),0)))</f>
        <v>0.02</v>
      </c>
      <c r="S184" s="58">
        <f>MAX(-10,MIN(0.8,IFERROR(INDEX(属性耐性マスタ!$B$5:$G$11,MATCH($C184,属性耐性マスタ!$A$5:$A$11,0),4),0)+IFERROR(VLOOKUP($AM184,個性タイプマスタ!$A$5:$P$100,12,FALSE),0)))</f>
        <v>0.02</v>
      </c>
      <c r="T184" s="58">
        <f>MAX(-10,MIN(0.8,IFERROR(INDEX(属性耐性マスタ!$B$5:$G$11,MATCH($C184,属性耐性マスタ!$A$5:$A$11,0),5),0)+IFERROR(VLOOKUP($AM184,個性タイプマスタ!$A$5:$P$100,12,FALSE),0)))</f>
        <v>0.02</v>
      </c>
      <c r="U184" s="58">
        <f>MAX(-10,MIN(0.8,IFERROR(INDEX(属性耐性マスタ!$B$5:$G$11,MATCH($C184,属性耐性マスタ!$A$5:$A$11,0),6),0)+IFERROR(VLOOKUP($AM184,個性タイプマスタ!$A$5:$P$100,12,FALSE),0)))</f>
        <v>0.02</v>
      </c>
      <c r="V184" s="59">
        <f>ROUND(設定!$B$19*IFERROR(VLOOKUP($AM184,個性タイプマスタ!$A$5:$P$100,13,FALSE),1),2)</f>
        <v>4.2</v>
      </c>
      <c r="W184" s="59">
        <v>30</v>
      </c>
      <c r="X184" s="59" t="str">
        <f>IFERROR(VLOOKUP($AM184,個性タイプマスタ!$A$5:$P$100,2,FALSE),"Ranged")</f>
        <v>Ranged</v>
      </c>
      <c r="Y184" s="56">
        <f>IFERROR(VLOOKUP($AM184,個性タイプマスタ!$A$5:$P$100,3,FALSE),1)</f>
        <v>1.03</v>
      </c>
      <c r="Z184" s="56">
        <f>IFERROR(VLOOKUP($AM184,個性タイプマスタ!$A$5:$P$100,4,FALSE),1)</f>
        <v>0.96</v>
      </c>
      <c r="AA184" s="56">
        <f>IFERROR(VLOOKUP($AM184,個性タイプマスタ!$A$5:$P$100,5,FALSE),1)</f>
        <v>1.18</v>
      </c>
      <c r="AB184" s="56">
        <f>IFERROR(VLOOKUP($AM184,個性タイプマスタ!$A$5:$P$100,6,FALSE),1)</f>
        <v>0.9</v>
      </c>
      <c r="AC184" s="56">
        <f>IFERROR(VLOOKUP($AM184,個性タイプマスタ!$A$5:$P$100,7,FALSE),1)</f>
        <v>1.1200000000000001</v>
      </c>
      <c r="AD184" s="56">
        <f>IFERROR(VLOOKUP($AM184,個性タイプマスタ!$A$5:$P$100,8,FALSE),1)</f>
        <v>0.79</v>
      </c>
      <c r="AE184" s="60">
        <f>IFERROR(D184/設定!$B$5,1)</f>
        <v>15.863099999999999</v>
      </c>
      <c r="AF184" s="60">
        <f>1+設定!$B$13*((I184/設定!$B$8+J184/設定!$B$9)/(2*AE184))</f>
        <v>1.3215008415757323</v>
      </c>
      <c r="AG184" s="60">
        <f>MAX(0.7,1+設定!$B$14*(O184/IF(X184="Melee",1.5,2.5)-1))</f>
        <v>1.0144</v>
      </c>
      <c r="AH184" s="53">
        <f t="shared" si="9"/>
        <v>275.32157544</v>
      </c>
      <c r="AI184" s="53">
        <f>E184*AF184*(1+設定!$B$18*AVERAGE(P184:U184))</f>
        <v>2194.9613593244699</v>
      </c>
      <c r="AJ184" s="61">
        <f>設定!$B$5*SQRT((AH184/(設定!$B$7*設定!$B$10*(1+設定!$B$11*(設定!$B$12-1))))*(AI184/(設定!$B$6*(1+設定!$B$13))))</f>
        <v>1587.3171230970838</v>
      </c>
      <c r="AK184" s="62">
        <f t="shared" si="10"/>
        <v>6.3488416329970931E-4</v>
      </c>
      <c r="AL184" s="63">
        <f t="shared" si="11"/>
        <v>1253.1849</v>
      </c>
      <c r="AM184" s="64" t="s">
        <v>932</v>
      </c>
      <c r="AN184" s="54">
        <f>MAX(1,ROUND((設定!$B$7*設定!$B$10*(1+設定!$B$11*(設定!$B$12-1)))*AE184^2*(設定!$B$6*(1+設定!$B$13))/(AI184*N184*(1+K184*(L184-1))*AG184),0))</f>
        <v>293</v>
      </c>
      <c r="AO184" s="65" t="str">
        <f>IF($A184="","",IF(COUNTIF(個性タイプマスタ!$A$5:$A$100,$AM184)&gt;0,"OK","未登録"))</f>
        <v>OK</v>
      </c>
      <c r="AP184" s="67" t="str">
        <f>IF($A184="","",IF(COUNTIF(属性耐性マスタ!$A$5:$A$11,$C184)&gt;0,"OK","未登録"))</f>
        <v>OK</v>
      </c>
    </row>
    <row r="185" spans="1:42">
      <c r="A185" s="66" t="s">
        <v>470</v>
      </c>
      <c r="B185" s="51" t="s">
        <v>471</v>
      </c>
      <c r="C185" s="109" t="s">
        <v>108</v>
      </c>
      <c r="D185" s="53">
        <f>ROUND(設定!$B$5*POWER($D$2,W185-1),2)</f>
        <v>1744.94</v>
      </c>
      <c r="E185" s="54">
        <f>MAX(1,ROUND(設定!$B$6*AE185*Y185,0))</f>
        <v>1431</v>
      </c>
      <c r="F185" s="54">
        <f>MAX(0,ROUND(設定!$B$7*AE185*設定!$B$15*IF(X185="Melee",0.6,1.35)*IFERROR(VLOOKUP($AM185,個性タイプマスタ!$A$5:$P$100,14,FALSE),1),0))</f>
        <v>343</v>
      </c>
      <c r="G185" s="54">
        <f>IF(X185="Melee",AN185,MAX(1,ROUND(AN185*設定!$B$16*IFERROR(VLOOKUP($AM185,個性タイプマスタ!$A$5:$P$100,15,FALSE),1),0)))</f>
        <v>132</v>
      </c>
      <c r="H185" s="54">
        <f>IF(X185="Ranged",AN185,MAX(1,ROUND(AN185*設定!$B$16*IFERROR(VLOOKUP($AM185,個性タイプマスタ!$A$5:$P$100,15,FALSE),1),0)))</f>
        <v>490</v>
      </c>
      <c r="I185" s="54">
        <f>MAX(0,ROUND(設定!$B$8*AE185*Z185,0))</f>
        <v>113</v>
      </c>
      <c r="J185" s="54">
        <f>MAX(0,ROUND(設定!$B$9*AE185*AA185,0))</f>
        <v>121</v>
      </c>
      <c r="K185" s="55">
        <f>IFERROR(VLOOKUP($AM185,個性タイプマスタ!$A$5:$P$100,9,FALSE),0.05)</f>
        <v>0.12</v>
      </c>
      <c r="L185" s="56">
        <f>IFERROR(VLOOKUP($AM185,個性タイプマスタ!$A$5:$P$100,10,FALSE),1.5)</f>
        <v>2.5499999999999998</v>
      </c>
      <c r="M185" s="56">
        <f>IFERROR(VLOOKUP($AM185,個性タイプマスタ!$A$5:$P$100,11,FALSE),2)</f>
        <v>2.2999999999999998</v>
      </c>
      <c r="N185" s="57">
        <f>MAX(0.1,ROUND(設定!$B$10*AB185,3))</f>
        <v>0.68</v>
      </c>
      <c r="O185" s="57">
        <f t="shared" si="8"/>
        <v>3.55</v>
      </c>
      <c r="P185" s="58">
        <f>MAX(-10,MIN(0.8,IFERROR(INDEX(属性耐性マスタ!$B$5:$G$11,MATCH($C185,属性耐性マスタ!$A$5:$A$11,0),1),0)+IFERROR(VLOOKUP($AM185,個性タイプマスタ!$A$5:$P$100,12,FALSE),0)))</f>
        <v>-0.155</v>
      </c>
      <c r="Q185" s="58">
        <f>MAX(-10,MIN(0.8,IFERROR(INDEX(属性耐性マスタ!$B$5:$G$11,MATCH($C185,属性耐性マスタ!$A$5:$A$11,0),2),0)+IFERROR(VLOOKUP($AM185,個性タイプマスタ!$A$5:$P$100,12,FALSE),0)))</f>
        <v>0.14500000000000002</v>
      </c>
      <c r="R185" s="58">
        <f>MAX(-10,MIN(0.8,IFERROR(INDEX(属性耐性マスタ!$B$5:$G$11,MATCH($C185,属性耐性マスタ!$A$5:$A$11,0),3),0)+IFERROR(VLOOKUP($AM185,個性タイプマスタ!$A$5:$P$100,12,FALSE),0)))</f>
        <v>-5.5E-2</v>
      </c>
      <c r="S185" s="58">
        <f>MAX(-10,MIN(0.8,IFERROR(INDEX(属性耐性マスタ!$B$5:$G$11,MATCH($C185,属性耐性マスタ!$A$5:$A$11,0),4),0)+IFERROR(VLOOKUP($AM185,個性タイプマスタ!$A$5:$P$100,12,FALSE),0)))</f>
        <v>-5.5E-2</v>
      </c>
      <c r="T185" s="58">
        <f>MAX(-10,MIN(0.8,IFERROR(INDEX(属性耐性マスタ!$B$5:$G$11,MATCH($C185,属性耐性マスタ!$A$5:$A$11,0),5),0)+IFERROR(VLOOKUP($AM185,個性タイプマスタ!$A$5:$P$100,12,FALSE),0)))</f>
        <v>-5.5E-2</v>
      </c>
      <c r="U185" s="58">
        <f>MAX(-10,MIN(0.8,IFERROR(INDEX(属性耐性マスタ!$B$5:$G$11,MATCH($C185,属性耐性マスタ!$A$5:$A$11,0),6),0)+IFERROR(VLOOKUP($AM185,個性タイプマスタ!$A$5:$P$100,12,FALSE),0)))</f>
        <v>-5.5E-2</v>
      </c>
      <c r="V185" s="59">
        <f>ROUND(設定!$B$19*IFERROR(VLOOKUP($AM185,個性タイプマスタ!$A$5:$P$100,13,FALSE),1),2)</f>
        <v>4.8</v>
      </c>
      <c r="W185" s="59">
        <v>31</v>
      </c>
      <c r="X185" s="59" t="str">
        <f>IFERROR(VLOOKUP($AM185,個性タイプマスタ!$A$5:$P$100,2,FALSE),"Ranged")</f>
        <v>Ranged</v>
      </c>
      <c r="Y185" s="56">
        <f>IFERROR(VLOOKUP($AM185,個性タイプマスタ!$A$5:$P$100,3,FALSE),1)</f>
        <v>0.82</v>
      </c>
      <c r="Z185" s="56">
        <f>IFERROR(VLOOKUP($AM185,個性タイプマスタ!$A$5:$P$100,4,FALSE),1)</f>
        <v>0.81</v>
      </c>
      <c r="AA185" s="56">
        <f>IFERROR(VLOOKUP($AM185,個性タイプマスタ!$A$5:$P$100,5,FALSE),1)</f>
        <v>0.87</v>
      </c>
      <c r="AB185" s="56">
        <f>IFERROR(VLOOKUP($AM185,個性タイプマスタ!$A$5:$P$100,6,FALSE),1)</f>
        <v>0.68</v>
      </c>
      <c r="AC185" s="56">
        <f>IFERROR(VLOOKUP($AM185,個性タイプマスタ!$A$5:$P$100,7,FALSE),1)</f>
        <v>1.42</v>
      </c>
      <c r="AD185" s="56">
        <f>IFERROR(VLOOKUP($AM185,個性タイプマスタ!$A$5:$P$100,8,FALSE),1)</f>
        <v>0.67</v>
      </c>
      <c r="AE185" s="60">
        <f>IFERROR(D185/設定!$B$5,1)</f>
        <v>17.449400000000001</v>
      </c>
      <c r="AF185" s="60">
        <f>1+設定!$B$13*((I185/設定!$B$8+J185/設定!$B$9)/(2*AE185))</f>
        <v>1.2514413103029329</v>
      </c>
      <c r="AG185" s="60">
        <f>MAX(0.7,1+設定!$B$14*(O185/IF(X185="Melee",1.5,2.5)-1))</f>
        <v>1.0504</v>
      </c>
      <c r="AH185" s="53">
        <f t="shared" si="9"/>
        <v>415.09203008000003</v>
      </c>
      <c r="AI185" s="53">
        <f>E185*AF185*(1+設定!$B$18*AVERAGE(P185:U185))</f>
        <v>1759.9209991589969</v>
      </c>
      <c r="AJ185" s="61">
        <f>設定!$B$5*SQRT((AH185/(設定!$B$7*設定!$B$10*(1+設定!$B$11*(設定!$B$12-1))))*(AI185/(設定!$B$6*(1+設定!$B$13))))</f>
        <v>1745.2149421113045</v>
      </c>
      <c r="AK185" s="62">
        <f t="shared" si="10"/>
        <v>1.575653668919319E-4</v>
      </c>
      <c r="AL185" s="63">
        <f t="shared" si="11"/>
        <v>1169.1098000000002</v>
      </c>
      <c r="AM185" s="64" t="s">
        <v>924</v>
      </c>
      <c r="AN185" s="54">
        <f>MAX(1,ROUND((設定!$B$7*設定!$B$10*(1+設定!$B$11*(設定!$B$12-1)))*AE185^2*(設定!$B$6*(1+設定!$B$13))/(AI185*N185*(1+K185*(L185-1))*AG185),0))</f>
        <v>490</v>
      </c>
      <c r="AO185" s="65" t="str">
        <f>IF($A185="","",IF(COUNTIF(個性タイプマスタ!$A$5:$A$100,$AM185)&gt;0,"OK","未登録"))</f>
        <v>OK</v>
      </c>
      <c r="AP185" s="67" t="str">
        <f>IF($A185="","",IF(COUNTIF(属性耐性マスタ!$A$5:$A$11,$C185)&gt;0,"OK","未登録"))</f>
        <v>OK</v>
      </c>
    </row>
    <row r="186" spans="1:42">
      <c r="A186" s="66" t="s">
        <v>472</v>
      </c>
      <c r="B186" s="51" t="s">
        <v>473</v>
      </c>
      <c r="C186" s="109" t="s">
        <v>108</v>
      </c>
      <c r="D186" s="53">
        <f>ROUND(設定!$B$5*POWER($D$2,W186-1),2)</f>
        <v>1744.94</v>
      </c>
      <c r="E186" s="54">
        <f>MAX(1,ROUND(設定!$B$6*AE186*Y186,0))</f>
        <v>2443</v>
      </c>
      <c r="F186" s="54">
        <f>MAX(0,ROUND(設定!$B$7*AE186*設定!$B$15*IF(X186="Melee",0.6,1.35)*IFERROR(VLOOKUP($AM186,個性タイプマスタ!$A$5:$P$100,14,FALSE),1),0))</f>
        <v>560</v>
      </c>
      <c r="G186" s="54">
        <f>IF(X186="Melee",AN186,MAX(1,ROUND(AN186*設定!$B$16*IFERROR(VLOOKUP($AM186,個性タイプマスタ!$A$5:$P$100,15,FALSE),1),0)))</f>
        <v>93</v>
      </c>
      <c r="H186" s="54">
        <f>IF(X186="Ranged",AN186,MAX(1,ROUND(AN186*設定!$B$16*IFERROR(VLOOKUP($AM186,個性タイプマスタ!$A$5:$P$100,15,FALSE),1),0)))</f>
        <v>247</v>
      </c>
      <c r="I186" s="54">
        <f>MAX(0,ROUND(設定!$B$8*AE186*Z186,0))</f>
        <v>133</v>
      </c>
      <c r="J186" s="54">
        <f>MAX(0,ROUND(設定!$B$9*AE186*AA186,0))</f>
        <v>235</v>
      </c>
      <c r="K186" s="55">
        <f>IFERROR(VLOOKUP($AM186,個性タイプマスタ!$A$5:$P$100,9,FALSE),0.05)</f>
        <v>0.115</v>
      </c>
      <c r="L186" s="56">
        <f>IFERROR(VLOOKUP($AM186,個性タイプマスタ!$A$5:$P$100,10,FALSE),1.5)</f>
        <v>1.95</v>
      </c>
      <c r="M186" s="56">
        <f>IFERROR(VLOOKUP($AM186,個性タイプマスタ!$A$5:$P$100,11,FALSE),2)</f>
        <v>1.2</v>
      </c>
      <c r="N186" s="57">
        <f>MAX(0.1,ROUND(設定!$B$10*AB186,3))</f>
        <v>0.72</v>
      </c>
      <c r="O186" s="57">
        <f t="shared" si="8"/>
        <v>3.3250000000000002</v>
      </c>
      <c r="P186" s="58">
        <f>MAX(-10,MIN(0.8,IFERROR(INDEX(属性耐性マスタ!$B$5:$G$11,MATCH($C186,属性耐性マスタ!$A$5:$A$11,0),1),0)+IFERROR(VLOOKUP($AM186,個性タイプマスタ!$A$5:$P$100,12,FALSE),0)))</f>
        <v>-2.0000000000000004E-2</v>
      </c>
      <c r="Q186" s="58">
        <f>MAX(-10,MIN(0.8,IFERROR(INDEX(属性耐性マスタ!$B$5:$G$11,MATCH($C186,属性耐性マスタ!$A$5:$A$11,0),2),0)+IFERROR(VLOOKUP($AM186,個性タイプマスタ!$A$5:$P$100,12,FALSE),0)))</f>
        <v>0.28000000000000003</v>
      </c>
      <c r="R186" s="58">
        <f>MAX(-10,MIN(0.8,IFERROR(INDEX(属性耐性マスタ!$B$5:$G$11,MATCH($C186,属性耐性マスタ!$A$5:$A$11,0),3),0)+IFERROR(VLOOKUP($AM186,個性タイプマスタ!$A$5:$P$100,12,FALSE),0)))</f>
        <v>0.08</v>
      </c>
      <c r="S186" s="58">
        <f>MAX(-10,MIN(0.8,IFERROR(INDEX(属性耐性マスタ!$B$5:$G$11,MATCH($C186,属性耐性マスタ!$A$5:$A$11,0),4),0)+IFERROR(VLOOKUP($AM186,個性タイプマスタ!$A$5:$P$100,12,FALSE),0)))</f>
        <v>0.08</v>
      </c>
      <c r="T186" s="58">
        <f>MAX(-10,MIN(0.8,IFERROR(INDEX(属性耐性マスタ!$B$5:$G$11,MATCH($C186,属性耐性マスタ!$A$5:$A$11,0),5),0)+IFERROR(VLOOKUP($AM186,個性タイプマスタ!$A$5:$P$100,12,FALSE),0)))</f>
        <v>0.08</v>
      </c>
      <c r="U186" s="58">
        <f>MAX(-10,MIN(0.8,IFERROR(INDEX(属性耐性マスタ!$B$5:$G$11,MATCH($C186,属性耐性マスタ!$A$5:$A$11,0),6),0)+IFERROR(VLOOKUP($AM186,個性タイプマスタ!$A$5:$P$100,12,FALSE),0)))</f>
        <v>0.08</v>
      </c>
      <c r="V186" s="59">
        <f>ROUND(設定!$B$19*IFERROR(VLOOKUP($AM186,個性タイプマスタ!$A$5:$P$100,13,FALSE),1),2)</f>
        <v>5</v>
      </c>
      <c r="W186" s="59">
        <v>31</v>
      </c>
      <c r="X186" s="59" t="str">
        <f>IFERROR(VLOOKUP($AM186,個性タイプマスタ!$A$5:$P$100,2,FALSE),"Ranged")</f>
        <v>Ranged</v>
      </c>
      <c r="Y186" s="56">
        <f>IFERROR(VLOOKUP($AM186,個性タイプマスタ!$A$5:$P$100,3,FALSE),1)</f>
        <v>1.4</v>
      </c>
      <c r="Z186" s="56">
        <f>IFERROR(VLOOKUP($AM186,個性タイプマスタ!$A$5:$P$100,4,FALSE),1)</f>
        <v>0.95</v>
      </c>
      <c r="AA186" s="56">
        <f>IFERROR(VLOOKUP($AM186,個性タイプマスタ!$A$5:$P$100,5,FALSE),1)</f>
        <v>1.68</v>
      </c>
      <c r="AB186" s="56">
        <f>IFERROR(VLOOKUP($AM186,個性タイプマスタ!$A$5:$P$100,6,FALSE),1)</f>
        <v>0.72</v>
      </c>
      <c r="AC186" s="56">
        <f>IFERROR(VLOOKUP($AM186,個性タイプマスタ!$A$5:$P$100,7,FALSE),1)</f>
        <v>1.33</v>
      </c>
      <c r="AD186" s="56">
        <f>IFERROR(VLOOKUP($AM186,個性タイプマスタ!$A$5:$P$100,8,FALSE),1)</f>
        <v>0.86</v>
      </c>
      <c r="AE186" s="60">
        <f>IFERROR(D186/設定!$B$5,1)</f>
        <v>17.449400000000001</v>
      </c>
      <c r="AF186" s="60">
        <f>1+設定!$B$13*((I186/設定!$B$8+J186/設定!$B$9)/(2*AE186))</f>
        <v>1.3954290691943563</v>
      </c>
      <c r="AG186" s="60">
        <f>MAX(0.7,1+設定!$B$14*(O186/IF(X186="Melee",1.5,2.5)-1))</f>
        <v>1.0396000000000001</v>
      </c>
      <c r="AH186" s="53">
        <f t="shared" si="9"/>
        <v>205.08087319200004</v>
      </c>
      <c r="AI186" s="53">
        <f>E186*AF186*(1+設定!$B$18*AVERAGE(P186:U186))</f>
        <v>3557.3261609396318</v>
      </c>
      <c r="AJ186" s="61">
        <f>設定!$B$5*SQRT((AH186/(設定!$B$7*設定!$B$10*(1+設定!$B$11*(設定!$B$12-1))))*(AI186/(設定!$B$6*(1+設定!$B$13))))</f>
        <v>1744.0324474845247</v>
      </c>
      <c r="AK186" s="62">
        <f t="shared" si="10"/>
        <v>-5.2010528469481621E-4</v>
      </c>
      <c r="AL186" s="63">
        <f t="shared" si="11"/>
        <v>1500.6484</v>
      </c>
      <c r="AM186" s="64" t="s">
        <v>938</v>
      </c>
      <c r="AN186" s="54">
        <f>MAX(1,ROUND((設定!$B$7*設定!$B$10*(1+設定!$B$11*(設定!$B$12-1)))*AE186^2*(設定!$B$6*(1+設定!$B$13))/(AI186*N186*(1+K186*(L186-1))*AG186),0))</f>
        <v>247</v>
      </c>
      <c r="AO186" s="65" t="str">
        <f>IF($A186="","",IF(COUNTIF(個性タイプマスタ!$A$5:$A$100,$AM186)&gt;0,"OK","未登録"))</f>
        <v>OK</v>
      </c>
      <c r="AP186" s="67" t="str">
        <f>IF($A186="","",IF(COUNTIF(属性耐性マスタ!$A$5:$A$11,$C186)&gt;0,"OK","未登録"))</f>
        <v>OK</v>
      </c>
    </row>
    <row r="187" spans="1:42">
      <c r="A187" s="66" t="s">
        <v>474</v>
      </c>
      <c r="B187" s="51" t="s">
        <v>475</v>
      </c>
      <c r="C187" s="109" t="s">
        <v>108</v>
      </c>
      <c r="D187" s="53">
        <f>ROUND(設定!$B$5*POWER($D$2,W187-1),2)</f>
        <v>1744.94</v>
      </c>
      <c r="E187" s="54">
        <f>MAX(1,ROUND(設定!$B$6*AE187*Y187,0))</f>
        <v>1361</v>
      </c>
      <c r="F187" s="54">
        <f>MAX(0,ROUND(設定!$B$7*AE187*設定!$B$15*IF(X187="Melee",0.6,1.35)*IFERROR(VLOOKUP($AM187,個性タイプマスタ!$A$5:$P$100,14,FALSE),1),0))</f>
        <v>293</v>
      </c>
      <c r="G187" s="54">
        <f>IF(X187="Melee",AN187,MAX(1,ROUND(AN187*設定!$B$16*IFERROR(VLOOKUP($AM187,個性タイプマスタ!$A$5:$P$100,15,FALSE),1),0)))</f>
        <v>166</v>
      </c>
      <c r="H187" s="54">
        <f>IF(X187="Ranged",AN187,MAX(1,ROUND(AN187*設定!$B$16*IFERROR(VLOOKUP($AM187,個性タイプマスタ!$A$5:$P$100,15,FALSE),1),0)))</f>
        <v>369</v>
      </c>
      <c r="I187" s="54">
        <f>MAX(0,ROUND(設定!$B$8*AE187*Z187,0))</f>
        <v>105</v>
      </c>
      <c r="J187" s="54">
        <f>MAX(0,ROUND(設定!$B$9*AE187*AA187,0))</f>
        <v>112</v>
      </c>
      <c r="K187" s="55">
        <f>IFERROR(VLOOKUP($AM187,個性タイプマスタ!$A$5:$P$100,9,FALSE),0.05)</f>
        <v>0.11</v>
      </c>
      <c r="L187" s="56">
        <f>IFERROR(VLOOKUP($AM187,個性タイプマスタ!$A$5:$P$100,10,FALSE),1.5)</f>
        <v>1.65</v>
      </c>
      <c r="M187" s="56">
        <f>IFERROR(VLOOKUP($AM187,個性タイプマスタ!$A$5:$P$100,11,FALSE),2)</f>
        <v>2.2000000000000002</v>
      </c>
      <c r="N187" s="57">
        <f>MAX(0.1,ROUND(設定!$B$10*AB187,3))</f>
        <v>1.1000000000000001</v>
      </c>
      <c r="O187" s="57">
        <f t="shared" si="8"/>
        <v>2.75</v>
      </c>
      <c r="P187" s="58">
        <f>MAX(-10,MIN(0.8,IFERROR(INDEX(属性耐性マスタ!$B$5:$G$11,MATCH($C187,属性耐性マスタ!$A$5:$A$11,0),1),0)+IFERROR(VLOOKUP($AM187,個性タイプマスタ!$A$5:$P$100,12,FALSE),0)))</f>
        <v>-0.14000000000000001</v>
      </c>
      <c r="Q187" s="58">
        <f>MAX(-10,MIN(0.8,IFERROR(INDEX(属性耐性マスタ!$B$5:$G$11,MATCH($C187,属性耐性マスタ!$A$5:$A$11,0),2),0)+IFERROR(VLOOKUP($AM187,個性タイプマスタ!$A$5:$P$100,12,FALSE),0)))</f>
        <v>0.16</v>
      </c>
      <c r="R187" s="58">
        <f>MAX(-10,MIN(0.8,IFERROR(INDEX(属性耐性マスタ!$B$5:$G$11,MATCH($C187,属性耐性マスタ!$A$5:$A$11,0),3),0)+IFERROR(VLOOKUP($AM187,個性タイプマスタ!$A$5:$P$100,12,FALSE),0)))</f>
        <v>-0.04</v>
      </c>
      <c r="S187" s="58">
        <f>MAX(-10,MIN(0.8,IFERROR(INDEX(属性耐性マスタ!$B$5:$G$11,MATCH($C187,属性耐性マスタ!$A$5:$A$11,0),4),0)+IFERROR(VLOOKUP($AM187,個性タイプマスタ!$A$5:$P$100,12,FALSE),0)))</f>
        <v>-0.04</v>
      </c>
      <c r="T187" s="58">
        <f>MAX(-10,MIN(0.8,IFERROR(INDEX(属性耐性マスタ!$B$5:$G$11,MATCH($C187,属性耐性マスタ!$A$5:$A$11,0),5),0)+IFERROR(VLOOKUP($AM187,個性タイプマスタ!$A$5:$P$100,12,FALSE),0)))</f>
        <v>-0.04</v>
      </c>
      <c r="U187" s="58">
        <f>MAX(-10,MIN(0.8,IFERROR(INDEX(属性耐性マスタ!$B$5:$G$11,MATCH($C187,属性耐性マスタ!$A$5:$A$11,0),6),0)+IFERROR(VLOOKUP($AM187,個性タイプマスタ!$A$5:$P$100,12,FALSE),0)))</f>
        <v>-0.04</v>
      </c>
      <c r="V187" s="59">
        <f>ROUND(設定!$B$19*IFERROR(VLOOKUP($AM187,個性タイプマスタ!$A$5:$P$100,13,FALSE),1),2)</f>
        <v>4.2</v>
      </c>
      <c r="W187" s="59">
        <v>31</v>
      </c>
      <c r="X187" s="59" t="str">
        <f>IFERROR(VLOOKUP($AM187,個性タイプマスタ!$A$5:$P$100,2,FALSE),"Ranged")</f>
        <v>Ranged</v>
      </c>
      <c r="Y187" s="56">
        <f>IFERROR(VLOOKUP($AM187,個性タイプマスタ!$A$5:$P$100,3,FALSE),1)</f>
        <v>0.78</v>
      </c>
      <c r="Z187" s="56">
        <f>IFERROR(VLOOKUP($AM187,個性タイプマスタ!$A$5:$P$100,4,FALSE),1)</f>
        <v>0.75</v>
      </c>
      <c r="AA187" s="56">
        <f>IFERROR(VLOOKUP($AM187,個性タイプマスタ!$A$5:$P$100,5,FALSE),1)</f>
        <v>0.8</v>
      </c>
      <c r="AB187" s="56">
        <f>IFERROR(VLOOKUP($AM187,個性タイプマスタ!$A$5:$P$100,6,FALSE),1)</f>
        <v>1.1000000000000001</v>
      </c>
      <c r="AC187" s="56">
        <f>IFERROR(VLOOKUP($AM187,個性タイプマスタ!$A$5:$P$100,7,FALSE),1)</f>
        <v>1.1000000000000001</v>
      </c>
      <c r="AD187" s="56">
        <f>IFERROR(VLOOKUP($AM187,個性タイプマスタ!$A$5:$P$100,8,FALSE),1)</f>
        <v>0.72</v>
      </c>
      <c r="AE187" s="60">
        <f>IFERROR(D187/設定!$B$5,1)</f>
        <v>17.449400000000001</v>
      </c>
      <c r="AF187" s="60">
        <f>1+設定!$B$13*((I187/設定!$B$8+J187/設定!$B$9)/(2*AE187))</f>
        <v>1.2331742065629765</v>
      </c>
      <c r="AG187" s="60">
        <f>MAX(0.7,1+設定!$B$14*(O187/IF(X187="Melee",1.5,2.5)-1))</f>
        <v>1.012</v>
      </c>
      <c r="AH187" s="53">
        <f t="shared" si="9"/>
        <v>440.1409122</v>
      </c>
      <c r="AI187" s="53">
        <f>E187*AF187*(1+設定!$B$18*AVERAGE(P187:U187))</f>
        <v>1660.7274191333229</v>
      </c>
      <c r="AJ187" s="61">
        <f>設定!$B$5*SQRT((AH187/(設定!$B$7*設定!$B$10*(1+設定!$B$11*(設定!$B$12-1))))*(AI187/(設定!$B$6*(1+設定!$B$13))))</f>
        <v>1745.722406795549</v>
      </c>
      <c r="AK187" s="62">
        <f t="shared" si="10"/>
        <v>4.4838607376118667E-4</v>
      </c>
      <c r="AL187" s="63">
        <f t="shared" si="11"/>
        <v>1256.3568</v>
      </c>
      <c r="AM187" s="64" t="s">
        <v>896</v>
      </c>
      <c r="AN187" s="54">
        <f>MAX(1,ROUND((設定!$B$7*設定!$B$10*(1+設定!$B$11*(設定!$B$12-1)))*AE187^2*(設定!$B$6*(1+設定!$B$13))/(AI187*N187*(1+K187*(L187-1))*AG187),0))</f>
        <v>369</v>
      </c>
      <c r="AO187" s="65" t="str">
        <f>IF($A187="","",IF(COUNTIF(個性タイプマスタ!$A$5:$A$100,$AM187)&gt;0,"OK","未登録"))</f>
        <v>OK</v>
      </c>
      <c r="AP187" s="67" t="str">
        <f>IF($A187="","",IF(COUNTIF(属性耐性マスタ!$A$5:$A$11,$C187)&gt;0,"OK","未登録"))</f>
        <v>OK</v>
      </c>
    </row>
    <row r="188" spans="1:42">
      <c r="A188" s="66" t="s">
        <v>476</v>
      </c>
      <c r="B188" s="51" t="s">
        <v>477</v>
      </c>
      <c r="C188" s="109" t="s">
        <v>108</v>
      </c>
      <c r="D188" s="53">
        <f>ROUND(設定!$B$5*POWER($D$2,W188-1),2)</f>
        <v>1744.94</v>
      </c>
      <c r="E188" s="54">
        <f>MAX(1,ROUND(設定!$B$6*AE188*Y188,0))</f>
        <v>2565</v>
      </c>
      <c r="F188" s="54">
        <f>MAX(0,ROUND(設定!$B$7*AE188*設定!$B$15*IF(X188="Melee",0.6,1.35)*IFERROR(VLOOKUP($AM188,個性タイプマスタ!$A$5:$P$100,14,FALSE),1),0))</f>
        <v>113</v>
      </c>
      <c r="G188" s="54">
        <f>IF(X188="Melee",AN188,MAX(1,ROUND(AN188*設定!$B$16*IFERROR(VLOOKUP($AM188,個性タイプマスタ!$A$5:$P$100,15,FALSE),1),0)))</f>
        <v>235</v>
      </c>
      <c r="H188" s="54">
        <f>IF(X188="Ranged",AN188,MAX(1,ROUND(AN188*設定!$B$16*IFERROR(VLOOKUP($AM188,個性タイプマスタ!$A$5:$P$100,15,FALSE),1),0)))</f>
        <v>80</v>
      </c>
      <c r="I188" s="54">
        <f>MAX(0,ROUND(設定!$B$8*AE188*Z188,0))</f>
        <v>128</v>
      </c>
      <c r="J188" s="54">
        <f>MAX(0,ROUND(設定!$B$9*AE188*AA188,0))</f>
        <v>307</v>
      </c>
      <c r="K188" s="55">
        <f>IFERROR(VLOOKUP($AM188,個性タイプマスタ!$A$5:$P$100,9,FALSE),0.05)</f>
        <v>0.05</v>
      </c>
      <c r="L188" s="56">
        <f>IFERROR(VLOOKUP($AM188,個性タイプマスタ!$A$5:$P$100,10,FALSE),1.5)</f>
        <v>1.5</v>
      </c>
      <c r="M188" s="56">
        <f>IFERROR(VLOOKUP($AM188,個性タイプマスタ!$A$5:$P$100,11,FALSE),2)</f>
        <v>2.0499999999999998</v>
      </c>
      <c r="N188" s="57">
        <f>MAX(0.1,ROUND(設定!$B$10*AB188,3))</f>
        <v>0.79</v>
      </c>
      <c r="O188" s="57">
        <f t="shared" si="8"/>
        <v>1.26</v>
      </c>
      <c r="P188" s="58">
        <f>MAX(-10,MIN(0.8,IFERROR(INDEX(属性耐性マスタ!$B$5:$G$11,MATCH($C188,属性耐性マスタ!$A$5:$A$11,0),1),0)+IFERROR(VLOOKUP($AM188,個性タイプマスタ!$A$5:$P$100,12,FALSE),0)))</f>
        <v>-0.03</v>
      </c>
      <c r="Q188" s="58">
        <f>MAX(-10,MIN(0.8,IFERROR(INDEX(属性耐性マスタ!$B$5:$G$11,MATCH($C188,属性耐性マスタ!$A$5:$A$11,0),2),0)+IFERROR(VLOOKUP($AM188,個性タイプマスタ!$A$5:$P$100,12,FALSE),0)))</f>
        <v>0.27</v>
      </c>
      <c r="R188" s="58">
        <f>MAX(-10,MIN(0.8,IFERROR(INDEX(属性耐性マスタ!$B$5:$G$11,MATCH($C188,属性耐性マスタ!$A$5:$A$11,0),3),0)+IFERROR(VLOOKUP($AM188,個性タイプマスタ!$A$5:$P$100,12,FALSE),0)))</f>
        <v>7.0000000000000007E-2</v>
      </c>
      <c r="S188" s="58">
        <f>MAX(-10,MIN(0.8,IFERROR(INDEX(属性耐性マスタ!$B$5:$G$11,MATCH($C188,属性耐性マスタ!$A$5:$A$11,0),4),0)+IFERROR(VLOOKUP($AM188,個性タイプマスタ!$A$5:$P$100,12,FALSE),0)))</f>
        <v>7.0000000000000007E-2</v>
      </c>
      <c r="T188" s="58">
        <f>MAX(-10,MIN(0.8,IFERROR(INDEX(属性耐性マスタ!$B$5:$G$11,MATCH($C188,属性耐性マスタ!$A$5:$A$11,0),5),0)+IFERROR(VLOOKUP($AM188,個性タイプマスタ!$A$5:$P$100,12,FALSE),0)))</f>
        <v>7.0000000000000007E-2</v>
      </c>
      <c r="U188" s="58">
        <f>MAX(-10,MIN(0.8,IFERROR(INDEX(属性耐性マスタ!$B$5:$G$11,MATCH($C188,属性耐性マスタ!$A$5:$A$11,0),6),0)+IFERROR(VLOOKUP($AM188,個性タイプマスタ!$A$5:$P$100,12,FALSE),0)))</f>
        <v>7.0000000000000007E-2</v>
      </c>
      <c r="V188" s="59">
        <f>ROUND(設定!$B$19*IFERROR(VLOOKUP($AM188,個性タイプマスタ!$A$5:$P$100,13,FALSE),1),2)</f>
        <v>4</v>
      </c>
      <c r="W188" s="59">
        <v>31</v>
      </c>
      <c r="X188" s="59" t="str">
        <f>IFERROR(VLOOKUP($AM188,個性タイプマスタ!$A$5:$P$100,2,FALSE),"Ranged")</f>
        <v>Melee</v>
      </c>
      <c r="Y188" s="56">
        <f>IFERROR(VLOOKUP($AM188,個性タイプマスタ!$A$5:$P$100,3,FALSE),1)</f>
        <v>1.47</v>
      </c>
      <c r="Z188" s="56">
        <f>IFERROR(VLOOKUP($AM188,個性タイプマスタ!$A$5:$P$100,4,FALSE),1)</f>
        <v>0.92</v>
      </c>
      <c r="AA188" s="56">
        <f>IFERROR(VLOOKUP($AM188,個性タイプマスタ!$A$5:$P$100,5,FALSE),1)</f>
        <v>2.2000000000000002</v>
      </c>
      <c r="AB188" s="56">
        <f>IFERROR(VLOOKUP($AM188,個性タイプマスタ!$A$5:$P$100,6,FALSE),1)</f>
        <v>0.79</v>
      </c>
      <c r="AC188" s="56">
        <f>IFERROR(VLOOKUP($AM188,個性タイプマスタ!$A$5:$P$100,7,FALSE),1)</f>
        <v>0.84</v>
      </c>
      <c r="AD188" s="56">
        <f>IFERROR(VLOOKUP($AM188,個性タイプマスタ!$A$5:$P$100,8,FALSE),1)</f>
        <v>0.86</v>
      </c>
      <c r="AE188" s="60">
        <f>IFERROR(D188/設定!$B$5,1)</f>
        <v>17.449400000000001</v>
      </c>
      <c r="AF188" s="60">
        <f>1+設定!$B$13*((I188/設定!$B$8+J188/設定!$B$9)/(2*AE188))</f>
        <v>1.4674229486400678</v>
      </c>
      <c r="AG188" s="60">
        <f>MAX(0.7,1+設定!$B$14*(O188/IF(X188="Melee",1.5,2.5)-1))</f>
        <v>0.98080000000000001</v>
      </c>
      <c r="AH188" s="53">
        <f t="shared" si="9"/>
        <v>186.63765799999999</v>
      </c>
      <c r="AI188" s="53">
        <f>E188*AF188*(1+設定!$B$18*AVERAGE(P188:U188))</f>
        <v>3910.733517928983</v>
      </c>
      <c r="AJ188" s="61">
        <f>設定!$B$5*SQRT((AH188/(設定!$B$7*設定!$B$10*(1+設定!$B$11*(設定!$B$12-1))))*(AI188/(設定!$B$6*(1+設定!$B$13))))</f>
        <v>1744.4514556641934</v>
      </c>
      <c r="AK188" s="62">
        <f t="shared" si="10"/>
        <v>-2.7997772749011052E-4</v>
      </c>
      <c r="AL188" s="63">
        <f t="shared" si="11"/>
        <v>1500.6484</v>
      </c>
      <c r="AM188" s="64" t="s">
        <v>954</v>
      </c>
      <c r="AN188" s="54">
        <f>MAX(1,ROUND((設定!$B$7*設定!$B$10*(1+設定!$B$11*(設定!$B$12-1)))*AE188^2*(設定!$B$6*(1+設定!$B$13))/(AI188*N188*(1+K188*(L188-1))*AG188),0))</f>
        <v>235</v>
      </c>
      <c r="AO188" s="65" t="str">
        <f>IF($A188="","",IF(COUNTIF(個性タイプマスタ!$A$5:$A$100,$AM188)&gt;0,"OK","未登録"))</f>
        <v>OK</v>
      </c>
      <c r="AP188" s="67" t="str">
        <f>IF($A188="","",IF(COUNTIF(属性耐性マスタ!$A$5:$A$11,$C188)&gt;0,"OK","未登録"))</f>
        <v>OK</v>
      </c>
    </row>
    <row r="189" spans="1:42">
      <c r="A189" s="66" t="s">
        <v>478</v>
      </c>
      <c r="B189" s="51" t="s">
        <v>479</v>
      </c>
      <c r="C189" s="109" t="s">
        <v>108</v>
      </c>
      <c r="D189" s="53">
        <f>ROUND(設定!$B$5*POWER($D$2,W189-1),2)</f>
        <v>1744.94</v>
      </c>
      <c r="E189" s="54">
        <f>MAX(1,ROUND(設定!$B$6*AE189*Y189,0))</f>
        <v>3577</v>
      </c>
      <c r="F189" s="54">
        <f>MAX(0,ROUND(設定!$B$7*AE189*設定!$B$15*IF(X189="Melee",0.6,1.35)*IFERROR(VLOOKUP($AM189,個性タイプマスタ!$A$5:$P$100,14,FALSE),1),0))</f>
        <v>68</v>
      </c>
      <c r="G189" s="54">
        <f>IF(X189="Melee",AN189,MAX(1,ROUND(AN189*設定!$B$16*IFERROR(VLOOKUP($AM189,個性タイプマスタ!$A$5:$P$100,15,FALSE),1),0)))</f>
        <v>276</v>
      </c>
      <c r="H189" s="54">
        <f>IF(X189="Ranged",AN189,MAX(1,ROUND(AN189*設定!$B$16*IFERROR(VLOOKUP($AM189,個性タイプマスタ!$A$5:$P$100,15,FALSE),1),0)))</f>
        <v>112</v>
      </c>
      <c r="I189" s="54">
        <f>MAX(0,ROUND(設定!$B$8*AE189*Z189,0))</f>
        <v>212</v>
      </c>
      <c r="J189" s="54">
        <f>MAX(0,ROUND(設定!$B$9*AE189*AA189,0))</f>
        <v>181</v>
      </c>
      <c r="K189" s="55">
        <f>IFERROR(VLOOKUP($AM189,個性タイプマスタ!$A$5:$P$100,9,FALSE),0.05)</f>
        <v>2.5000000000000001E-2</v>
      </c>
      <c r="L189" s="56">
        <f>IFERROR(VLOOKUP($AM189,個性タイプマスタ!$A$5:$P$100,10,FALSE),1.5)</f>
        <v>1.35</v>
      </c>
      <c r="M189" s="56">
        <f>IFERROR(VLOOKUP($AM189,個性タイプマスタ!$A$5:$P$100,11,FALSE),2)</f>
        <v>1.1499999999999999</v>
      </c>
      <c r="N189" s="57">
        <f>MAX(0.1,ROUND(設定!$B$10*AB189,3))</f>
        <v>0.51</v>
      </c>
      <c r="O189" s="57">
        <f t="shared" si="8"/>
        <v>1.2749999999999999</v>
      </c>
      <c r="P189" s="58">
        <f>MAX(-10,MIN(0.8,IFERROR(INDEX(属性耐性マスタ!$B$5:$G$11,MATCH($C189,属性耐性マスタ!$A$5:$A$11,0),1),0)+IFERROR(VLOOKUP($AM189,個性タイプマスタ!$A$5:$P$100,12,FALSE),0)))</f>
        <v>-0.05</v>
      </c>
      <c r="Q189" s="58">
        <f>MAX(-10,MIN(0.8,IFERROR(INDEX(属性耐性マスタ!$B$5:$G$11,MATCH($C189,属性耐性マスタ!$A$5:$A$11,0),2),0)+IFERROR(VLOOKUP($AM189,個性タイプマスタ!$A$5:$P$100,12,FALSE),0)))</f>
        <v>0.25</v>
      </c>
      <c r="R189" s="58">
        <f>MAX(-10,MIN(0.8,IFERROR(INDEX(属性耐性マスタ!$B$5:$G$11,MATCH($C189,属性耐性マスタ!$A$5:$A$11,0),3),0)+IFERROR(VLOOKUP($AM189,個性タイプマスタ!$A$5:$P$100,12,FALSE),0)))</f>
        <v>0.05</v>
      </c>
      <c r="S189" s="58">
        <f>MAX(-10,MIN(0.8,IFERROR(INDEX(属性耐性マスタ!$B$5:$G$11,MATCH($C189,属性耐性マスタ!$A$5:$A$11,0),4),0)+IFERROR(VLOOKUP($AM189,個性タイプマスタ!$A$5:$P$100,12,FALSE),0)))</f>
        <v>0.05</v>
      </c>
      <c r="T189" s="58">
        <f>MAX(-10,MIN(0.8,IFERROR(INDEX(属性耐性マスタ!$B$5:$G$11,MATCH($C189,属性耐性マスタ!$A$5:$A$11,0),5),0)+IFERROR(VLOOKUP($AM189,個性タイプマスタ!$A$5:$P$100,12,FALSE),0)))</f>
        <v>0.05</v>
      </c>
      <c r="U189" s="58">
        <f>MAX(-10,MIN(0.8,IFERROR(INDEX(属性耐性マスタ!$B$5:$G$11,MATCH($C189,属性耐性マスタ!$A$5:$A$11,0),6),0)+IFERROR(VLOOKUP($AM189,個性タイプマスタ!$A$5:$P$100,12,FALSE),0)))</f>
        <v>0.05</v>
      </c>
      <c r="V189" s="59">
        <f>ROUND(設定!$B$19*IFERROR(VLOOKUP($AM189,個性タイプマスタ!$A$5:$P$100,13,FALSE),1),2)</f>
        <v>3.2</v>
      </c>
      <c r="W189" s="59">
        <v>31</v>
      </c>
      <c r="X189" s="59" t="str">
        <f>IFERROR(VLOOKUP($AM189,個性タイプマスタ!$A$5:$P$100,2,FALSE),"Ranged")</f>
        <v>Melee</v>
      </c>
      <c r="Y189" s="56">
        <f>IFERROR(VLOOKUP($AM189,個性タイプマスタ!$A$5:$P$100,3,FALSE),1)</f>
        <v>2.0499999999999998</v>
      </c>
      <c r="Z189" s="56">
        <f>IFERROR(VLOOKUP($AM189,個性タイプマスタ!$A$5:$P$100,4,FALSE),1)</f>
        <v>1.52</v>
      </c>
      <c r="AA189" s="56">
        <f>IFERROR(VLOOKUP($AM189,個性タイプマスタ!$A$5:$P$100,5,FALSE),1)</f>
        <v>1.3</v>
      </c>
      <c r="AB189" s="56">
        <f>IFERROR(VLOOKUP($AM189,個性タイプマスタ!$A$5:$P$100,6,FALSE),1)</f>
        <v>0.51</v>
      </c>
      <c r="AC189" s="56">
        <f>IFERROR(VLOOKUP($AM189,個性タイプマスタ!$A$5:$P$100,7,FALSE),1)</f>
        <v>0.85</v>
      </c>
      <c r="AD189" s="56">
        <f>IFERROR(VLOOKUP($AM189,個性タイプマスタ!$A$5:$P$100,8,FALSE),1)</f>
        <v>0.95</v>
      </c>
      <c r="AE189" s="60">
        <f>IFERROR(D189/設定!$B$5,1)</f>
        <v>17.449400000000001</v>
      </c>
      <c r="AF189" s="60">
        <f>1+設定!$B$13*((I189/設定!$B$8+J189/設定!$B$9)/(2*AE189))</f>
        <v>1.4222924570472337</v>
      </c>
      <c r="AG189" s="60">
        <f>MAX(0.7,1+設定!$B$14*(O189/IF(X189="Melee",1.5,2.5)-1))</f>
        <v>0.98199999999999998</v>
      </c>
      <c r="AH189" s="53">
        <f t="shared" si="9"/>
        <v>139.43580029999998</v>
      </c>
      <c r="AI189" s="53">
        <f>E189*AF189*(1+設定!$B$18*AVERAGE(P189:U189))</f>
        <v>5240.1663224236945</v>
      </c>
      <c r="AJ189" s="61">
        <f>設定!$B$5*SQRT((AH189/(設定!$B$7*設定!$B$10*(1+設定!$B$11*(設定!$B$12-1))))*(AI189/(設定!$B$6*(1+設定!$B$13))))</f>
        <v>1745.3793011931182</v>
      </c>
      <c r="AK189" s="62">
        <f t="shared" si="10"/>
        <v>2.5175719114600703E-4</v>
      </c>
      <c r="AL189" s="63">
        <f t="shared" si="11"/>
        <v>1657.693</v>
      </c>
      <c r="AM189" s="64" t="s">
        <v>968</v>
      </c>
      <c r="AN189" s="54">
        <f>MAX(1,ROUND((設定!$B$7*設定!$B$10*(1+設定!$B$11*(設定!$B$12-1)))*AE189^2*(設定!$B$6*(1+設定!$B$13))/(AI189*N189*(1+K189*(L189-1))*AG189),0))</f>
        <v>276</v>
      </c>
      <c r="AO189" s="65" t="str">
        <f>IF($A189="","",IF(COUNTIF(個性タイプマスタ!$A$5:$A$100,$AM189)&gt;0,"OK","未登録"))</f>
        <v>OK</v>
      </c>
      <c r="AP189" s="67" t="str">
        <f>IF($A189="","",IF(COUNTIF(属性耐性マスタ!$A$5:$A$11,$C189)&gt;0,"OK","未登録"))</f>
        <v>OK</v>
      </c>
    </row>
    <row r="190" spans="1:42">
      <c r="A190" s="66" t="s">
        <v>480</v>
      </c>
      <c r="B190" s="51" t="s">
        <v>481</v>
      </c>
      <c r="C190" s="109" t="s">
        <v>108</v>
      </c>
      <c r="D190" s="53">
        <f>ROUND(設定!$B$5*POWER($D$2,W190-1),2)</f>
        <v>1744.94</v>
      </c>
      <c r="E190" s="54">
        <f>MAX(1,ROUND(設定!$B$6*AE190*Y190,0))</f>
        <v>1605</v>
      </c>
      <c r="F190" s="54">
        <f>MAX(0,ROUND(設定!$B$7*AE190*設定!$B$15*IF(X190="Melee",0.6,1.35)*IFERROR(VLOOKUP($AM190,個性タイプマスタ!$A$5:$P$100,14,FALSE),1),0))</f>
        <v>254</v>
      </c>
      <c r="G190" s="54">
        <f>IF(X190="Melee",AN190,MAX(1,ROUND(AN190*設定!$B$16*IFERROR(VLOOKUP($AM190,個性タイプマスタ!$A$5:$P$100,15,FALSE),1),0)))</f>
        <v>145</v>
      </c>
      <c r="H190" s="54">
        <f>IF(X190="Ranged",AN190,MAX(1,ROUND(AN190*設定!$B$16*IFERROR(VLOOKUP($AM190,個性タイプマスタ!$A$5:$P$100,15,FALSE),1),0)))</f>
        <v>323</v>
      </c>
      <c r="I190" s="54">
        <f>MAX(0,ROUND(設定!$B$8*AE190*Z190,0))</f>
        <v>133</v>
      </c>
      <c r="J190" s="54">
        <f>MAX(0,ROUND(設定!$B$9*AE190*AA190,0))</f>
        <v>147</v>
      </c>
      <c r="K190" s="55">
        <f>IFERROR(VLOOKUP($AM190,個性タイプマスタ!$A$5:$P$100,9,FALSE),0.05)</f>
        <v>0.05</v>
      </c>
      <c r="L190" s="56">
        <f>IFERROR(VLOOKUP($AM190,個性タイプマスタ!$A$5:$P$100,10,FALSE),1.5)</f>
        <v>1.5</v>
      </c>
      <c r="M190" s="56">
        <f>IFERROR(VLOOKUP($AM190,個性タイプマスタ!$A$5:$P$100,11,FALSE),2)</f>
        <v>2</v>
      </c>
      <c r="N190" s="57">
        <f>MAX(0.1,ROUND(設定!$B$10*AB190,3))</f>
        <v>1.05</v>
      </c>
      <c r="O190" s="57">
        <f t="shared" si="8"/>
        <v>2.5</v>
      </c>
      <c r="P190" s="58">
        <f>MAX(-10,MIN(0.8,IFERROR(INDEX(属性耐性マスタ!$B$5:$G$11,MATCH($C190,属性耐性マスタ!$A$5:$A$11,0),1),0)+IFERROR(VLOOKUP($AM190,個性タイプマスタ!$A$5:$P$100,12,FALSE),0)))</f>
        <v>-0.1</v>
      </c>
      <c r="Q190" s="58">
        <f>MAX(-10,MIN(0.8,IFERROR(INDEX(属性耐性マスタ!$B$5:$G$11,MATCH($C190,属性耐性マスタ!$A$5:$A$11,0),2),0)+IFERROR(VLOOKUP($AM190,個性タイプマスタ!$A$5:$P$100,12,FALSE),0)))</f>
        <v>0.2</v>
      </c>
      <c r="R190" s="58">
        <f>MAX(-10,MIN(0.8,IFERROR(INDEX(属性耐性マスタ!$B$5:$G$11,MATCH($C190,属性耐性マスタ!$A$5:$A$11,0),3),0)+IFERROR(VLOOKUP($AM190,個性タイプマスタ!$A$5:$P$100,12,FALSE),0)))</f>
        <v>0</v>
      </c>
      <c r="S190" s="58">
        <f>MAX(-10,MIN(0.8,IFERROR(INDEX(属性耐性マスタ!$B$5:$G$11,MATCH($C190,属性耐性マスタ!$A$5:$A$11,0),4),0)+IFERROR(VLOOKUP($AM190,個性タイプマスタ!$A$5:$P$100,12,FALSE),0)))</f>
        <v>0</v>
      </c>
      <c r="T190" s="58">
        <f>MAX(-10,MIN(0.8,IFERROR(INDEX(属性耐性マスタ!$B$5:$G$11,MATCH($C190,属性耐性マスタ!$A$5:$A$11,0),5),0)+IFERROR(VLOOKUP($AM190,個性タイプマスタ!$A$5:$P$100,12,FALSE),0)))</f>
        <v>0</v>
      </c>
      <c r="U190" s="58">
        <f>MAX(-10,MIN(0.8,IFERROR(INDEX(属性耐性マスタ!$B$5:$G$11,MATCH($C190,属性耐性マスタ!$A$5:$A$11,0),6),0)+IFERROR(VLOOKUP($AM190,個性タイプマスタ!$A$5:$P$100,12,FALSE),0)))</f>
        <v>0</v>
      </c>
      <c r="V190" s="59">
        <f>ROUND(設定!$B$19*IFERROR(VLOOKUP($AM190,個性タイプマスタ!$A$5:$P$100,13,FALSE),1),2)</f>
        <v>4</v>
      </c>
      <c r="W190" s="59">
        <v>31</v>
      </c>
      <c r="X190" s="59" t="str">
        <f>IFERROR(VLOOKUP($AM190,個性タイプマスタ!$A$5:$P$100,2,FALSE),"Ranged")</f>
        <v>Ranged</v>
      </c>
      <c r="Y190" s="56">
        <f>IFERROR(VLOOKUP($AM190,個性タイプマスタ!$A$5:$P$100,3,FALSE),1)</f>
        <v>0.92</v>
      </c>
      <c r="Z190" s="56">
        <f>IFERROR(VLOOKUP($AM190,個性タイプマスタ!$A$5:$P$100,4,FALSE),1)</f>
        <v>0.95</v>
      </c>
      <c r="AA190" s="56">
        <f>IFERROR(VLOOKUP($AM190,個性タイプマスタ!$A$5:$P$100,5,FALSE),1)</f>
        <v>1.05</v>
      </c>
      <c r="AB190" s="56">
        <f>IFERROR(VLOOKUP($AM190,個性タイプマスタ!$A$5:$P$100,6,FALSE),1)</f>
        <v>1.05</v>
      </c>
      <c r="AC190" s="56">
        <f>IFERROR(VLOOKUP($AM190,個性タイプマスタ!$A$5:$P$100,7,FALSE),1)</f>
        <v>1</v>
      </c>
      <c r="AD190" s="56">
        <f>IFERROR(VLOOKUP($AM190,個性タイプマスタ!$A$5:$P$100,8,FALSE),1)</f>
        <v>0.74</v>
      </c>
      <c r="AE190" s="60">
        <f>IFERROR(D190/設定!$B$5,1)</f>
        <v>17.449400000000001</v>
      </c>
      <c r="AF190" s="60">
        <f>1+設定!$B$13*((I190/設定!$B$8+J190/設定!$B$9)/(2*AE190))</f>
        <v>1.3008699439522275</v>
      </c>
      <c r="AG190" s="60">
        <f>MAX(0.7,1+設定!$B$14*(O190/IF(X190="Melee",1.5,2.5)-1))</f>
        <v>1</v>
      </c>
      <c r="AH190" s="53">
        <f t="shared" si="9"/>
        <v>347.62875000000003</v>
      </c>
      <c r="AI190" s="53">
        <f>E190*AF190*(1+設定!$B$18*AVERAGE(P190:U190))</f>
        <v>2103.5554819936501</v>
      </c>
      <c r="AJ190" s="61">
        <f>設定!$B$5*SQRT((AH190/(設定!$B$7*設定!$B$10*(1+設定!$B$11*(設定!$B$12-1))))*(AI190/(設定!$B$6*(1+設定!$B$13))))</f>
        <v>1746.0833358948007</v>
      </c>
      <c r="AK190" s="62">
        <f t="shared" si="10"/>
        <v>6.552293458803593E-4</v>
      </c>
      <c r="AL190" s="63">
        <f t="shared" si="11"/>
        <v>1291.2556</v>
      </c>
      <c r="AM190" s="64" t="s">
        <v>881</v>
      </c>
      <c r="AN190" s="54">
        <f>MAX(1,ROUND((設定!$B$7*設定!$B$10*(1+設定!$B$11*(設定!$B$12-1)))*AE190^2*(設定!$B$6*(1+設定!$B$13))/(AI190*N190*(1+K190*(L190-1))*AG190),0))</f>
        <v>323</v>
      </c>
      <c r="AO190" s="65" t="str">
        <f>IF($A190="","",IF(COUNTIF(個性タイプマスタ!$A$5:$A$100,$AM190)&gt;0,"OK","未登録"))</f>
        <v>OK</v>
      </c>
      <c r="AP190" s="67" t="str">
        <f>IF($A190="","",IF(COUNTIF(属性耐性マスタ!$A$5:$A$11,$C190)&gt;0,"OK","未登録"))</f>
        <v>OK</v>
      </c>
    </row>
    <row r="191" spans="1:42">
      <c r="A191" s="66" t="s">
        <v>482</v>
      </c>
      <c r="B191" s="51" t="s">
        <v>483</v>
      </c>
      <c r="C191" s="109" t="s">
        <v>114</v>
      </c>
      <c r="D191" s="53">
        <f>ROUND(設定!$B$5*POWER($D$2,W191-1),2)</f>
        <v>1919.43</v>
      </c>
      <c r="E191" s="54">
        <f>MAX(1,ROUND(設定!$B$6*AE191*Y191,0))</f>
        <v>1516</v>
      </c>
      <c r="F191" s="54">
        <f>MAX(0,ROUND(設定!$B$7*AE191*設定!$B$15*IF(X191="Melee",0.6,1.35)*IFERROR(VLOOKUP($AM191,個性タイプマスタ!$A$5:$P$100,14,FALSE),1),0))</f>
        <v>252</v>
      </c>
      <c r="G191" s="54">
        <f>IF(X191="Melee",AN191,MAX(1,ROUND(AN191*設定!$B$16*IFERROR(VLOOKUP($AM191,個性タイプマスタ!$A$5:$P$100,15,FALSE),1),0)))</f>
        <v>66</v>
      </c>
      <c r="H191" s="54">
        <f>IF(X191="Ranged",AN191,MAX(1,ROUND(AN191*設定!$B$16*IFERROR(VLOOKUP($AM191,個性タイプマスタ!$A$5:$P$100,15,FALSE),1),0)))</f>
        <v>278</v>
      </c>
      <c r="I191" s="54">
        <f>MAX(0,ROUND(設定!$B$8*AE191*Z191,0))</f>
        <v>131</v>
      </c>
      <c r="J191" s="54">
        <f>MAX(0,ROUND(設定!$B$9*AE191*AA191,0))</f>
        <v>124</v>
      </c>
      <c r="K191" s="55">
        <f>IFERROR(VLOOKUP($AM191,個性タイプマスタ!$A$5:$P$100,9,FALSE),0.05)</f>
        <v>6.5000000000000002E-2</v>
      </c>
      <c r="L191" s="56">
        <f>IFERROR(VLOOKUP($AM191,個性タイプマスタ!$A$5:$P$100,10,FALSE),1.5)</f>
        <v>1.45</v>
      </c>
      <c r="M191" s="56">
        <f>IFERROR(VLOOKUP($AM191,個性タイプマスタ!$A$5:$P$100,11,FALSE),2)</f>
        <v>4</v>
      </c>
      <c r="N191" s="57">
        <f>MAX(0.1,ROUND(設定!$B$10*AB191,3))</f>
        <v>1.72</v>
      </c>
      <c r="O191" s="57">
        <f t="shared" si="8"/>
        <v>1.9</v>
      </c>
      <c r="P191" s="58">
        <f>MAX(-10,MIN(0.8,IFERROR(INDEX(属性耐性マスタ!$B$5:$G$11,MATCH($C191,属性耐性マスタ!$A$5:$A$11,0),1),0)+IFERROR(VLOOKUP($AM191,個性タイプマスタ!$A$5:$P$100,12,FALSE),0)))</f>
        <v>-7.0000000000000007E-2</v>
      </c>
      <c r="Q191" s="58">
        <f>MAX(-10,MIN(0.8,IFERROR(INDEX(属性耐性マスタ!$B$5:$G$11,MATCH($C191,属性耐性マスタ!$A$5:$A$11,0),2),0)+IFERROR(VLOOKUP($AM191,個性タイプマスタ!$A$5:$P$100,12,FALSE),0)))</f>
        <v>-7.0000000000000007E-2</v>
      </c>
      <c r="R191" s="58">
        <f>MAX(-10,MIN(0.8,IFERROR(INDEX(属性耐性マスタ!$B$5:$G$11,MATCH($C191,属性耐性マスタ!$A$5:$A$11,0),3),0)+IFERROR(VLOOKUP($AM191,個性タイプマスタ!$A$5:$P$100,12,FALSE),0)))</f>
        <v>0.13</v>
      </c>
      <c r="S191" s="58">
        <f>MAX(-10,MIN(0.8,IFERROR(INDEX(属性耐性マスタ!$B$5:$G$11,MATCH($C191,属性耐性マスタ!$A$5:$A$11,0),4),0)+IFERROR(VLOOKUP($AM191,個性タイプマスタ!$A$5:$P$100,12,FALSE),0)))</f>
        <v>-0.17</v>
      </c>
      <c r="T191" s="58">
        <f>MAX(-10,MIN(0.8,IFERROR(INDEX(属性耐性マスタ!$B$5:$G$11,MATCH($C191,属性耐性マスタ!$A$5:$A$11,0),5),0)+IFERROR(VLOOKUP($AM191,個性タイプマスタ!$A$5:$P$100,12,FALSE),0)))</f>
        <v>-7.0000000000000007E-2</v>
      </c>
      <c r="U191" s="58">
        <f>MAX(-10,MIN(0.8,IFERROR(INDEX(属性耐性マスタ!$B$5:$G$11,MATCH($C191,属性耐性マスタ!$A$5:$A$11,0),6),0)+IFERROR(VLOOKUP($AM191,個性タイプマスタ!$A$5:$P$100,12,FALSE),0)))</f>
        <v>-7.0000000000000007E-2</v>
      </c>
      <c r="V191" s="59">
        <f>ROUND(設定!$B$19*IFERROR(VLOOKUP($AM191,個性タイプマスタ!$A$5:$P$100,13,FALSE),1),2)</f>
        <v>5.4</v>
      </c>
      <c r="W191" s="59">
        <v>32</v>
      </c>
      <c r="X191" s="59" t="str">
        <f>IFERROR(VLOOKUP($AM191,個性タイプマスタ!$A$5:$P$100,2,FALSE),"Ranged")</f>
        <v>Ranged</v>
      </c>
      <c r="Y191" s="56">
        <f>IFERROR(VLOOKUP($AM191,個性タイプマスタ!$A$5:$P$100,3,FALSE),1)</f>
        <v>0.79</v>
      </c>
      <c r="Z191" s="56">
        <f>IFERROR(VLOOKUP($AM191,個性タイプマスタ!$A$5:$P$100,4,FALSE),1)</f>
        <v>0.85</v>
      </c>
      <c r="AA191" s="56">
        <f>IFERROR(VLOOKUP($AM191,個性タイプマスタ!$A$5:$P$100,5,FALSE),1)</f>
        <v>0.81</v>
      </c>
      <c r="AB191" s="56">
        <f>IFERROR(VLOOKUP($AM191,個性タイプマスタ!$A$5:$P$100,6,FALSE),1)</f>
        <v>1.72</v>
      </c>
      <c r="AC191" s="56">
        <f>IFERROR(VLOOKUP($AM191,個性タイプマスタ!$A$5:$P$100,7,FALSE),1)</f>
        <v>0.76</v>
      </c>
      <c r="AD191" s="56">
        <f>IFERROR(VLOOKUP($AM191,個性タイプマスタ!$A$5:$P$100,8,FALSE),1)</f>
        <v>0.63</v>
      </c>
      <c r="AE191" s="60">
        <f>IFERROR(D191/設定!$B$5,1)</f>
        <v>19.194300000000002</v>
      </c>
      <c r="AF191" s="60">
        <f>1+設定!$B$13*((I191/設定!$B$8+J191/設定!$B$9)/(2*AE191))</f>
        <v>1.2490973882871477</v>
      </c>
      <c r="AG191" s="60">
        <f>MAX(0.7,1+設定!$B$14*(O191/IF(X191="Melee",1.5,2.5)-1))</f>
        <v>0.97119999999999995</v>
      </c>
      <c r="AH191" s="53">
        <f t="shared" si="9"/>
        <v>477.97237001599996</v>
      </c>
      <c r="AI191" s="53">
        <f>E191*AF191*(1+設定!$B$18*AVERAGE(P191:U191))</f>
        <v>1848.1844812678762</v>
      </c>
      <c r="AJ191" s="61">
        <f>設定!$B$5*SQRT((AH191/(設定!$B$7*設定!$B$10*(1+設定!$B$11*(設定!$B$12-1))))*(AI191/(設定!$B$6*(1+設定!$B$13))))</f>
        <v>1919.1291158827235</v>
      </c>
      <c r="AK191" s="62">
        <f t="shared" si="10"/>
        <v>-1.5675701498707451E-4</v>
      </c>
      <c r="AL191" s="63">
        <f t="shared" si="11"/>
        <v>1209.2409</v>
      </c>
      <c r="AM191" s="64" t="s">
        <v>936</v>
      </c>
      <c r="AN191" s="54">
        <f>MAX(1,ROUND((設定!$B$7*設定!$B$10*(1+設定!$B$11*(設定!$B$12-1)))*AE191^2*(設定!$B$6*(1+設定!$B$13))/(AI191*N191*(1+K191*(L191-1))*AG191),0))</f>
        <v>278</v>
      </c>
      <c r="AO191" s="65" t="str">
        <f>IF($A191="","",IF(COUNTIF(個性タイプマスタ!$A$5:$A$100,$AM191)&gt;0,"OK","未登録"))</f>
        <v>OK</v>
      </c>
      <c r="AP191" s="67" t="str">
        <f>IF($A191="","",IF(COUNTIF(属性耐性マスタ!$A$5:$A$11,$C191)&gt;0,"OK","未登録"))</f>
        <v>OK</v>
      </c>
    </row>
    <row r="192" spans="1:42">
      <c r="A192" s="66" t="s">
        <v>484</v>
      </c>
      <c r="B192" s="51" t="s">
        <v>485</v>
      </c>
      <c r="C192" s="109" t="s">
        <v>114</v>
      </c>
      <c r="D192" s="53">
        <f>ROUND(設定!$B$5*POWER($D$2,W192-1),2)</f>
        <v>1919.43</v>
      </c>
      <c r="E192" s="54">
        <f>MAX(1,ROUND(設定!$B$6*AE192*Y192,0))</f>
        <v>2303</v>
      </c>
      <c r="F192" s="54">
        <f>MAX(0,ROUND(設定!$B$7*AE192*設定!$B$15*IF(X192="Melee",0.6,1.35)*IFERROR(VLOOKUP($AM192,個性タイプマスタ!$A$5:$P$100,14,FALSE),1),0))</f>
        <v>280</v>
      </c>
      <c r="G192" s="54">
        <f>IF(X192="Melee",AN192,MAX(1,ROUND(AN192*設定!$B$16*IFERROR(VLOOKUP($AM192,個性タイプマスタ!$A$5:$P$100,15,FALSE),1),0)))</f>
        <v>123</v>
      </c>
      <c r="H192" s="54">
        <f>IF(X192="Ranged",AN192,MAX(1,ROUND(AN192*設定!$B$16*IFERROR(VLOOKUP($AM192,個性タイプマスタ!$A$5:$P$100,15,FALSE),1),0)))</f>
        <v>273</v>
      </c>
      <c r="I192" s="54">
        <f>MAX(0,ROUND(設定!$B$8*AE192*Z192,0))</f>
        <v>200</v>
      </c>
      <c r="J192" s="54">
        <f>MAX(0,ROUND(設定!$B$9*AE192*AA192,0))</f>
        <v>131</v>
      </c>
      <c r="K192" s="55">
        <f>IFERROR(VLOOKUP($AM192,個性タイプマスタ!$A$5:$P$100,9,FALSE),0.05)</f>
        <v>0.08</v>
      </c>
      <c r="L192" s="56">
        <f>IFERROR(VLOOKUP($AM192,個性タイプマスタ!$A$5:$P$100,10,FALSE),1.5)</f>
        <v>1.6</v>
      </c>
      <c r="M192" s="56">
        <f>IFERROR(VLOOKUP($AM192,個性タイプマスタ!$A$5:$P$100,11,FALSE),2)</f>
        <v>2.8</v>
      </c>
      <c r="N192" s="57">
        <f>MAX(0.1,ROUND(設定!$B$10*AB192,3))</f>
        <v>1</v>
      </c>
      <c r="O192" s="57">
        <f t="shared" si="8"/>
        <v>2.5</v>
      </c>
      <c r="P192" s="58">
        <f>MAX(-10,MIN(0.8,IFERROR(INDEX(属性耐性マスタ!$B$5:$G$11,MATCH($C192,属性耐性マスタ!$A$5:$A$11,0),1),0)+IFERROR(VLOOKUP($AM192,個性タイプマスタ!$A$5:$P$100,12,FALSE),0)))</f>
        <v>1.4999999999999999E-2</v>
      </c>
      <c r="Q192" s="58">
        <f>MAX(-10,MIN(0.8,IFERROR(INDEX(属性耐性マスタ!$B$5:$G$11,MATCH($C192,属性耐性マスタ!$A$5:$A$11,0),2),0)+IFERROR(VLOOKUP($AM192,個性タイプマスタ!$A$5:$P$100,12,FALSE),0)))</f>
        <v>1.4999999999999999E-2</v>
      </c>
      <c r="R192" s="58">
        <f>MAX(-10,MIN(0.8,IFERROR(INDEX(属性耐性マスタ!$B$5:$G$11,MATCH($C192,属性耐性マスタ!$A$5:$A$11,0),3),0)+IFERROR(VLOOKUP($AM192,個性タイプマスタ!$A$5:$P$100,12,FALSE),0)))</f>
        <v>0.21500000000000002</v>
      </c>
      <c r="S192" s="58">
        <f>MAX(-10,MIN(0.8,IFERROR(INDEX(属性耐性マスタ!$B$5:$G$11,MATCH($C192,属性耐性マスタ!$A$5:$A$11,0),4),0)+IFERROR(VLOOKUP($AM192,個性タイプマスタ!$A$5:$P$100,12,FALSE),0)))</f>
        <v>-8.5000000000000006E-2</v>
      </c>
      <c r="T192" s="58">
        <f>MAX(-10,MIN(0.8,IFERROR(INDEX(属性耐性マスタ!$B$5:$G$11,MATCH($C192,属性耐性マスタ!$A$5:$A$11,0),5),0)+IFERROR(VLOOKUP($AM192,個性タイプマスタ!$A$5:$P$100,12,FALSE),0)))</f>
        <v>1.4999999999999999E-2</v>
      </c>
      <c r="U192" s="58">
        <f>MAX(-10,MIN(0.8,IFERROR(INDEX(属性耐性マスタ!$B$5:$G$11,MATCH($C192,属性耐性マスタ!$A$5:$A$11,0),6),0)+IFERROR(VLOOKUP($AM192,個性タイプマスタ!$A$5:$P$100,12,FALSE),0)))</f>
        <v>1.4999999999999999E-2</v>
      </c>
      <c r="V192" s="59">
        <f>ROUND(設定!$B$19*IFERROR(VLOOKUP($AM192,個性タイプマスタ!$A$5:$P$100,13,FALSE),1),2)</f>
        <v>4</v>
      </c>
      <c r="W192" s="59">
        <v>32</v>
      </c>
      <c r="X192" s="59" t="str">
        <f>IFERROR(VLOOKUP($AM192,個性タイプマスタ!$A$5:$P$100,2,FALSE),"Ranged")</f>
        <v>Ranged</v>
      </c>
      <c r="Y192" s="56">
        <f>IFERROR(VLOOKUP($AM192,個性タイプマスタ!$A$5:$P$100,3,FALSE),1)</f>
        <v>1.2</v>
      </c>
      <c r="Z192" s="56">
        <f>IFERROR(VLOOKUP($AM192,個性タイプマスタ!$A$5:$P$100,4,FALSE),1)</f>
        <v>1.3</v>
      </c>
      <c r="AA192" s="56">
        <f>IFERROR(VLOOKUP($AM192,個性タイプマスタ!$A$5:$P$100,5,FALSE),1)</f>
        <v>0.85</v>
      </c>
      <c r="AB192" s="56">
        <f>IFERROR(VLOOKUP($AM192,個性タイプマスタ!$A$5:$P$100,6,FALSE),1)</f>
        <v>1</v>
      </c>
      <c r="AC192" s="56">
        <f>IFERROR(VLOOKUP($AM192,個性タイプマスタ!$A$5:$P$100,7,FALSE),1)</f>
        <v>1</v>
      </c>
      <c r="AD192" s="56">
        <f>IFERROR(VLOOKUP($AM192,個性タイプマスタ!$A$5:$P$100,8,FALSE),1)</f>
        <v>0.85</v>
      </c>
      <c r="AE192" s="60">
        <f>IFERROR(D192/設定!$B$5,1)</f>
        <v>19.194300000000002</v>
      </c>
      <c r="AF192" s="60">
        <f>1+設定!$B$13*((I192/設定!$B$8+J192/設定!$B$9)/(2*AE192))</f>
        <v>1.3233381785217486</v>
      </c>
      <c r="AG192" s="60">
        <f>MAX(0.7,1+設定!$B$14*(O192/IF(X192="Melee",1.5,2.5)-1))</f>
        <v>1</v>
      </c>
      <c r="AH192" s="53">
        <f t="shared" si="9"/>
        <v>286.10399999999998</v>
      </c>
      <c r="AI192" s="53">
        <f>E192*AF192*(1+設定!$B$18*AVERAGE(P192:U192))</f>
        <v>3091.0768066437695</v>
      </c>
      <c r="AJ192" s="61">
        <f>設定!$B$5*SQRT((AH192/(設定!$B$7*設定!$B$10*(1+設定!$B$11*(設定!$B$12-1))))*(AI192/(設定!$B$6*(1+設定!$B$13))))</f>
        <v>1920.2023713444528</v>
      </c>
      <c r="AK192" s="62">
        <f t="shared" si="10"/>
        <v>4.0239620327531256E-4</v>
      </c>
      <c r="AL192" s="63">
        <f t="shared" si="11"/>
        <v>1631.5155</v>
      </c>
      <c r="AM192" s="64" t="s">
        <v>894</v>
      </c>
      <c r="AN192" s="54">
        <f>MAX(1,ROUND((設定!$B$7*設定!$B$10*(1+設定!$B$11*(設定!$B$12-1)))*AE192^2*(設定!$B$6*(1+設定!$B$13))/(AI192*N192*(1+K192*(L192-1))*AG192),0))</f>
        <v>273</v>
      </c>
      <c r="AO192" s="65" t="str">
        <f>IF($A192="","",IF(COUNTIF(個性タイプマスタ!$A$5:$A$100,$AM192)&gt;0,"OK","未登録"))</f>
        <v>OK</v>
      </c>
      <c r="AP192" s="67" t="str">
        <f>IF($A192="","",IF(COUNTIF(属性耐性マスタ!$A$5:$A$11,$C192)&gt;0,"OK","未登録"))</f>
        <v>OK</v>
      </c>
    </row>
    <row r="193" spans="1:42">
      <c r="A193" s="66" t="s">
        <v>486</v>
      </c>
      <c r="B193" s="51" t="s">
        <v>487</v>
      </c>
      <c r="C193" s="109" t="s">
        <v>114</v>
      </c>
      <c r="D193" s="53">
        <f>ROUND(設定!$B$5*POWER($D$2,W193-1),2)</f>
        <v>1919.43</v>
      </c>
      <c r="E193" s="54">
        <f>MAX(1,ROUND(設定!$B$6*AE193*Y193,0))</f>
        <v>1113</v>
      </c>
      <c r="F193" s="54">
        <f>MAX(0,ROUND(設定!$B$7*AE193*設定!$B$15*IF(X193="Melee",0.6,1.35)*IFERROR(VLOOKUP($AM193,個性タイプマスタ!$A$5:$P$100,14,FALSE),1),0))</f>
        <v>218</v>
      </c>
      <c r="G193" s="54">
        <f>IF(X193="Melee",AN193,MAX(1,ROUND(AN193*設定!$B$16*IFERROR(VLOOKUP($AM193,個性タイプマスタ!$A$5:$P$100,15,FALSE),1),0)))</f>
        <v>110</v>
      </c>
      <c r="H193" s="54">
        <f>IF(X193="Ranged",AN193,MAX(1,ROUND(AN193*設定!$B$16*IFERROR(VLOOKUP($AM193,個性タイプマスタ!$A$5:$P$100,15,FALSE),1),0)))</f>
        <v>507</v>
      </c>
      <c r="I193" s="54">
        <f>MAX(0,ROUND(設定!$B$8*AE193*Z193,0))</f>
        <v>98</v>
      </c>
      <c r="J193" s="54">
        <f>MAX(0,ROUND(設定!$B$9*AE193*AA193,0))</f>
        <v>100</v>
      </c>
      <c r="K193" s="55">
        <f>IFERROR(VLOOKUP($AM193,個性タイプマスタ!$A$5:$P$100,9,FALSE),0.05)</f>
        <v>0.08</v>
      </c>
      <c r="L193" s="56">
        <f>IFERROR(VLOOKUP($AM193,個性タイプマスタ!$A$5:$P$100,10,FALSE),1.5)</f>
        <v>1.55</v>
      </c>
      <c r="M193" s="56">
        <f>IFERROR(VLOOKUP($AM193,個性タイプマスタ!$A$5:$P$100,11,FALSE),2)</f>
        <v>4.2</v>
      </c>
      <c r="N193" s="57">
        <f>MAX(0.1,ROUND(設定!$B$10*AB193,3))</f>
        <v>1.3</v>
      </c>
      <c r="O193" s="57">
        <f t="shared" si="8"/>
        <v>2.5</v>
      </c>
      <c r="P193" s="58">
        <f>MAX(-10,MIN(0.8,IFERROR(INDEX(属性耐性マスタ!$B$5:$G$11,MATCH($C193,属性耐性マスタ!$A$5:$A$11,0),1),0)+IFERROR(VLOOKUP($AM193,個性タイプマスタ!$A$5:$P$100,12,FALSE),0)))</f>
        <v>-0.09</v>
      </c>
      <c r="Q193" s="58">
        <f>MAX(-10,MIN(0.8,IFERROR(INDEX(属性耐性マスタ!$B$5:$G$11,MATCH($C193,属性耐性マスタ!$A$5:$A$11,0),2),0)+IFERROR(VLOOKUP($AM193,個性タイプマスタ!$A$5:$P$100,12,FALSE),0)))</f>
        <v>-0.09</v>
      </c>
      <c r="R193" s="58">
        <f>MAX(-10,MIN(0.8,IFERROR(INDEX(属性耐性マスタ!$B$5:$G$11,MATCH($C193,属性耐性マスタ!$A$5:$A$11,0),3),0)+IFERROR(VLOOKUP($AM193,個性タイプマスタ!$A$5:$P$100,12,FALSE),0)))</f>
        <v>0.11000000000000001</v>
      </c>
      <c r="S193" s="58">
        <f>MAX(-10,MIN(0.8,IFERROR(INDEX(属性耐性マスタ!$B$5:$G$11,MATCH($C193,属性耐性マスタ!$A$5:$A$11,0),4),0)+IFERROR(VLOOKUP($AM193,個性タイプマスタ!$A$5:$P$100,12,FALSE),0)))</f>
        <v>-0.19</v>
      </c>
      <c r="T193" s="58">
        <f>MAX(-10,MIN(0.8,IFERROR(INDEX(属性耐性マスタ!$B$5:$G$11,MATCH($C193,属性耐性マスタ!$A$5:$A$11,0),5),0)+IFERROR(VLOOKUP($AM193,個性タイプマスタ!$A$5:$P$100,12,FALSE),0)))</f>
        <v>-0.09</v>
      </c>
      <c r="U193" s="58">
        <f>MAX(-10,MIN(0.8,IFERROR(INDEX(属性耐性マスタ!$B$5:$G$11,MATCH($C193,属性耐性マスタ!$A$5:$A$11,0),6),0)+IFERROR(VLOOKUP($AM193,個性タイプマスタ!$A$5:$P$100,12,FALSE),0)))</f>
        <v>-0.09</v>
      </c>
      <c r="V193" s="59">
        <f>ROUND(設定!$B$19*IFERROR(VLOOKUP($AM193,個性タイプマスタ!$A$5:$P$100,13,FALSE),1),2)</f>
        <v>4.2</v>
      </c>
      <c r="W193" s="59">
        <v>32</v>
      </c>
      <c r="X193" s="59" t="str">
        <f>IFERROR(VLOOKUP($AM193,個性タイプマスタ!$A$5:$P$100,2,FALSE),"Ranged")</f>
        <v>Ranged</v>
      </c>
      <c r="Y193" s="56">
        <f>IFERROR(VLOOKUP($AM193,個性タイプマスタ!$A$5:$P$100,3,FALSE),1)</f>
        <v>0.57999999999999996</v>
      </c>
      <c r="Z193" s="56">
        <f>IFERROR(VLOOKUP($AM193,個性タイプマスタ!$A$5:$P$100,4,FALSE),1)</f>
        <v>0.64</v>
      </c>
      <c r="AA193" s="56">
        <f>IFERROR(VLOOKUP($AM193,個性タイプマスタ!$A$5:$P$100,5,FALSE),1)</f>
        <v>0.65</v>
      </c>
      <c r="AB193" s="56">
        <f>IFERROR(VLOOKUP($AM193,個性タイプマスタ!$A$5:$P$100,6,FALSE),1)</f>
        <v>1.3</v>
      </c>
      <c r="AC193" s="56">
        <f>IFERROR(VLOOKUP($AM193,個性タイプマスタ!$A$5:$P$100,7,FALSE),1)</f>
        <v>1</v>
      </c>
      <c r="AD193" s="56">
        <f>IFERROR(VLOOKUP($AM193,個性タイプマスタ!$A$5:$P$100,8,FALSE),1)</f>
        <v>0.56999999999999995</v>
      </c>
      <c r="AE193" s="60">
        <f>IFERROR(D193/設定!$B$5,1)</f>
        <v>19.194300000000002</v>
      </c>
      <c r="AF193" s="60">
        <f>1+設定!$B$13*((I193/設定!$B$8+J193/設定!$B$9)/(2*AE193))</f>
        <v>1.193416795611197</v>
      </c>
      <c r="AG193" s="60">
        <f>MAX(0.7,1+設定!$B$14*(O193/IF(X193="Melee",1.5,2.5)-1))</f>
        <v>1</v>
      </c>
      <c r="AH193" s="53">
        <f t="shared" si="9"/>
        <v>688.10040000000004</v>
      </c>
      <c r="AI193" s="53">
        <f>E193*AF193*(1+設定!$B$18*AVERAGE(P193:U193))</f>
        <v>1284.4398880292586</v>
      </c>
      <c r="AJ193" s="61">
        <f>設定!$B$5*SQRT((AH193/(設定!$B$7*設定!$B$10*(1+設定!$B$11*(設定!$B$12-1))))*(AI193/(設定!$B$6*(1+設定!$B$13))))</f>
        <v>1919.6096998466141</v>
      </c>
      <c r="AK193" s="62">
        <f t="shared" si="10"/>
        <v>9.3621463983728503E-5</v>
      </c>
      <c r="AL193" s="63">
        <f t="shared" si="11"/>
        <v>1094.0751</v>
      </c>
      <c r="AM193" s="64" t="s">
        <v>914</v>
      </c>
      <c r="AN193" s="54">
        <f>MAX(1,ROUND((設定!$B$7*設定!$B$10*(1+設定!$B$11*(設定!$B$12-1)))*AE193^2*(設定!$B$6*(1+設定!$B$13))/(AI193*N193*(1+K193*(L193-1))*AG193),0))</f>
        <v>507</v>
      </c>
      <c r="AO193" s="65" t="str">
        <f>IF($A193="","",IF(COUNTIF(個性タイプマスタ!$A$5:$A$100,$AM193)&gt;0,"OK","未登録"))</f>
        <v>OK</v>
      </c>
      <c r="AP193" s="67" t="str">
        <f>IF($A193="","",IF(COUNTIF(属性耐性マスタ!$A$5:$A$11,$C193)&gt;0,"OK","未登録"))</f>
        <v>OK</v>
      </c>
    </row>
    <row r="194" spans="1:42">
      <c r="A194" s="66" t="s">
        <v>488</v>
      </c>
      <c r="B194" s="51" t="s">
        <v>489</v>
      </c>
      <c r="C194" s="109" t="s">
        <v>114</v>
      </c>
      <c r="D194" s="53">
        <f>ROUND(設定!$B$5*POWER($D$2,W194-1),2)</f>
        <v>1919.43</v>
      </c>
      <c r="E194" s="54">
        <f>MAX(1,ROUND(設定!$B$6*AE194*Y194,0))</f>
        <v>1516</v>
      </c>
      <c r="F194" s="54">
        <f>MAX(0,ROUND(設定!$B$7*AE194*設定!$B$15*IF(X194="Melee",0.6,1.35)*IFERROR(VLOOKUP($AM194,個性タイプマスタ!$A$5:$P$100,14,FALSE),1),0))</f>
        <v>106</v>
      </c>
      <c r="G194" s="54">
        <f>IF(X194="Melee",AN194,MAX(1,ROUND(AN194*設定!$B$16*IFERROR(VLOOKUP($AM194,個性タイプマスタ!$A$5:$P$100,15,FALSE),1),0)))</f>
        <v>308</v>
      </c>
      <c r="H194" s="54">
        <f>IF(X194="Ranged",AN194,MAX(1,ROUND(AN194*設定!$B$16*IFERROR(VLOOKUP($AM194,個性タイプマスタ!$A$5:$P$100,15,FALSE),1),0)))</f>
        <v>97</v>
      </c>
      <c r="I194" s="54">
        <f>MAX(0,ROUND(設定!$B$8*AE194*Z194,0))</f>
        <v>121</v>
      </c>
      <c r="J194" s="54">
        <f>MAX(0,ROUND(設定!$B$9*AE194*AA194,0))</f>
        <v>112</v>
      </c>
      <c r="K194" s="55">
        <f>IFERROR(VLOOKUP($AM194,個性タイプマスタ!$A$5:$P$100,9,FALSE),0.05)</f>
        <v>0.1</v>
      </c>
      <c r="L194" s="56">
        <f>IFERROR(VLOOKUP($AM194,個性タイプマスタ!$A$5:$P$100,10,FALSE),1.5)</f>
        <v>1.85</v>
      </c>
      <c r="M194" s="56">
        <f>IFERROR(VLOOKUP($AM194,個性タイプマスタ!$A$5:$P$100,11,FALSE),2)</f>
        <v>4</v>
      </c>
      <c r="N194" s="57">
        <f>MAX(0.1,ROUND(設定!$B$10*AB194,3))</f>
        <v>1.41</v>
      </c>
      <c r="O194" s="57">
        <f t="shared" si="8"/>
        <v>1.8</v>
      </c>
      <c r="P194" s="58">
        <f>MAX(-10,MIN(0.8,IFERROR(INDEX(属性耐性マスタ!$B$5:$G$11,MATCH($C194,属性耐性マスタ!$A$5:$A$11,0),1),0)+IFERROR(VLOOKUP($AM194,個性タイプマスタ!$A$5:$P$100,12,FALSE),0)))</f>
        <v>-5.5E-2</v>
      </c>
      <c r="Q194" s="58">
        <f>MAX(-10,MIN(0.8,IFERROR(INDEX(属性耐性マスタ!$B$5:$G$11,MATCH($C194,属性耐性マスタ!$A$5:$A$11,0),2),0)+IFERROR(VLOOKUP($AM194,個性タイプマスタ!$A$5:$P$100,12,FALSE),0)))</f>
        <v>-5.5E-2</v>
      </c>
      <c r="R194" s="58">
        <f>MAX(-10,MIN(0.8,IFERROR(INDEX(属性耐性マスタ!$B$5:$G$11,MATCH($C194,属性耐性マスタ!$A$5:$A$11,0),3),0)+IFERROR(VLOOKUP($AM194,個性タイプマスタ!$A$5:$P$100,12,FALSE),0)))</f>
        <v>0.14500000000000002</v>
      </c>
      <c r="S194" s="58">
        <f>MAX(-10,MIN(0.8,IFERROR(INDEX(属性耐性マスタ!$B$5:$G$11,MATCH($C194,属性耐性マスタ!$A$5:$A$11,0),4),0)+IFERROR(VLOOKUP($AM194,個性タイプマスタ!$A$5:$P$100,12,FALSE),0)))</f>
        <v>-0.155</v>
      </c>
      <c r="T194" s="58">
        <f>MAX(-10,MIN(0.8,IFERROR(INDEX(属性耐性マスタ!$B$5:$G$11,MATCH($C194,属性耐性マスタ!$A$5:$A$11,0),5),0)+IFERROR(VLOOKUP($AM194,個性タイプマスタ!$A$5:$P$100,12,FALSE),0)))</f>
        <v>-5.5E-2</v>
      </c>
      <c r="U194" s="58">
        <f>MAX(-10,MIN(0.8,IFERROR(INDEX(属性耐性マスタ!$B$5:$G$11,MATCH($C194,属性耐性マスタ!$A$5:$A$11,0),6),0)+IFERROR(VLOOKUP($AM194,個性タイプマスタ!$A$5:$P$100,12,FALSE),0)))</f>
        <v>-5.5E-2</v>
      </c>
      <c r="V194" s="59">
        <f>ROUND(設定!$B$19*IFERROR(VLOOKUP($AM194,個性タイプマスタ!$A$5:$P$100,13,FALSE),1),2)</f>
        <v>6.4</v>
      </c>
      <c r="W194" s="59">
        <v>32</v>
      </c>
      <c r="X194" s="59" t="str">
        <f>IFERROR(VLOOKUP($AM194,個性タイプマスタ!$A$5:$P$100,2,FALSE),"Ranged")</f>
        <v>Melee</v>
      </c>
      <c r="Y194" s="56">
        <f>IFERROR(VLOOKUP($AM194,個性タイプマスタ!$A$5:$P$100,3,FALSE),1)</f>
        <v>0.79</v>
      </c>
      <c r="Z194" s="56">
        <f>IFERROR(VLOOKUP($AM194,個性タイプマスタ!$A$5:$P$100,4,FALSE),1)</f>
        <v>0.79</v>
      </c>
      <c r="AA194" s="56">
        <f>IFERROR(VLOOKUP($AM194,個性タイプマスタ!$A$5:$P$100,5,FALSE),1)</f>
        <v>0.73</v>
      </c>
      <c r="AB194" s="56">
        <f>IFERROR(VLOOKUP($AM194,個性タイプマスタ!$A$5:$P$100,6,FALSE),1)</f>
        <v>1.41</v>
      </c>
      <c r="AC194" s="56">
        <f>IFERROR(VLOOKUP($AM194,個性タイプマスタ!$A$5:$P$100,7,FALSE),1)</f>
        <v>1.2</v>
      </c>
      <c r="AD194" s="56">
        <f>IFERROR(VLOOKUP($AM194,個性タイプマスタ!$A$5:$P$100,8,FALSE),1)</f>
        <v>0.64</v>
      </c>
      <c r="AE194" s="60">
        <f>IFERROR(D194/設定!$B$5,1)</f>
        <v>19.194300000000002</v>
      </c>
      <c r="AF194" s="60">
        <f>1+設定!$B$13*((I194/設定!$B$8+J194/設定!$B$9)/(2*AE194))</f>
        <v>1.2276066332192368</v>
      </c>
      <c r="AG194" s="60">
        <f>MAX(0.7,1+設定!$B$14*(O194/IF(X194="Melee",1.5,2.5)-1))</f>
        <v>1.024</v>
      </c>
      <c r="AH194" s="53">
        <f t="shared" si="9"/>
        <v>482.50245119999994</v>
      </c>
      <c r="AI194" s="53">
        <f>E194*AF194*(1+設定!$B$18*AVERAGE(P194:U194))</f>
        <v>1828.9485148950466</v>
      </c>
      <c r="AJ194" s="61">
        <f>設定!$B$5*SQRT((AH194/(設定!$B$7*設定!$B$10*(1+設定!$B$11*(設定!$B$12-1))))*(AI194/(設定!$B$6*(1+設定!$B$13))))</f>
        <v>1918.1414958834439</v>
      </c>
      <c r="AK194" s="62">
        <f t="shared" si="10"/>
        <v>-6.7129518479769335E-4</v>
      </c>
      <c r="AL194" s="63">
        <f t="shared" si="11"/>
        <v>1228.4352000000001</v>
      </c>
      <c r="AM194" s="64" t="s">
        <v>966</v>
      </c>
      <c r="AN194" s="54">
        <f>MAX(1,ROUND((設定!$B$7*設定!$B$10*(1+設定!$B$11*(設定!$B$12-1)))*AE194^2*(設定!$B$6*(1+設定!$B$13))/(AI194*N194*(1+K194*(L194-1))*AG194),0))</f>
        <v>308</v>
      </c>
      <c r="AO194" s="65" t="str">
        <f>IF($A194="","",IF(COUNTIF(個性タイプマスタ!$A$5:$A$100,$AM194)&gt;0,"OK","未登録"))</f>
        <v>OK</v>
      </c>
      <c r="AP194" s="67" t="str">
        <f>IF($A194="","",IF(COUNTIF(属性耐性マスタ!$A$5:$A$11,$C194)&gt;0,"OK","未登録"))</f>
        <v>OK</v>
      </c>
    </row>
    <row r="195" spans="1:42">
      <c r="A195" s="66" t="s">
        <v>490</v>
      </c>
      <c r="B195" s="51" t="s">
        <v>491</v>
      </c>
      <c r="C195" s="109" t="s">
        <v>114</v>
      </c>
      <c r="D195" s="53">
        <f>ROUND(設定!$B$5*POWER($D$2,W195-1),2)</f>
        <v>1919.43</v>
      </c>
      <c r="E195" s="54">
        <f>MAX(1,ROUND(設定!$B$6*AE195*Y195,0))</f>
        <v>2303</v>
      </c>
      <c r="F195" s="54">
        <f>MAX(0,ROUND(設定!$B$7*AE195*設定!$B$15*IF(X195="Melee",0.6,1.35)*IFERROR(VLOOKUP($AM195,個性タイプマスタ!$A$5:$P$100,14,FALSE),1),0))</f>
        <v>106</v>
      </c>
      <c r="G195" s="54">
        <f>IF(X195="Melee",AN195,MAX(1,ROUND(AN195*設定!$B$16*IFERROR(VLOOKUP($AM195,個性タイプマスタ!$A$5:$P$100,15,FALSE),1),0)))</f>
        <v>277</v>
      </c>
      <c r="H195" s="54">
        <f>IF(X195="Ranged",AN195,MAX(1,ROUND(AN195*設定!$B$16*IFERROR(VLOOKUP($AM195,個性タイプマスタ!$A$5:$P$100,15,FALSE),1),0)))</f>
        <v>125</v>
      </c>
      <c r="I195" s="54">
        <f>MAX(0,ROUND(設定!$B$8*AE195*Z195,0))</f>
        <v>200</v>
      </c>
      <c r="J195" s="54">
        <f>MAX(0,ROUND(設定!$B$9*AE195*AA195,0))</f>
        <v>131</v>
      </c>
      <c r="K195" s="55">
        <f>IFERROR(VLOOKUP($AM195,個性タイプマスタ!$A$5:$P$100,9,FALSE),0.05)</f>
        <v>0.08</v>
      </c>
      <c r="L195" s="56">
        <f>IFERROR(VLOOKUP($AM195,個性タイプマスタ!$A$5:$P$100,10,FALSE),1.5)</f>
        <v>1.6</v>
      </c>
      <c r="M195" s="56">
        <f>IFERROR(VLOOKUP($AM195,個性タイプマスタ!$A$5:$P$100,11,FALSE),2)</f>
        <v>2.8</v>
      </c>
      <c r="N195" s="57">
        <f>MAX(0.1,ROUND(設定!$B$10*AB195,3))</f>
        <v>1</v>
      </c>
      <c r="O195" s="57">
        <f t="shared" si="8"/>
        <v>1.2</v>
      </c>
      <c r="P195" s="58">
        <f>MAX(-10,MIN(0.8,IFERROR(INDEX(属性耐性マスタ!$B$5:$G$11,MATCH($C195,属性耐性マスタ!$A$5:$A$11,0),1),0)+IFERROR(VLOOKUP($AM195,個性タイプマスタ!$A$5:$P$100,12,FALSE),0)))</f>
        <v>3.5000000000000003E-2</v>
      </c>
      <c r="Q195" s="58">
        <f>MAX(-10,MIN(0.8,IFERROR(INDEX(属性耐性マスタ!$B$5:$G$11,MATCH($C195,属性耐性マスタ!$A$5:$A$11,0),2),0)+IFERROR(VLOOKUP($AM195,個性タイプマスタ!$A$5:$P$100,12,FALSE),0)))</f>
        <v>3.5000000000000003E-2</v>
      </c>
      <c r="R195" s="58">
        <f>MAX(-10,MIN(0.8,IFERROR(INDEX(属性耐性マスタ!$B$5:$G$11,MATCH($C195,属性耐性マスタ!$A$5:$A$11,0),3),0)+IFERROR(VLOOKUP($AM195,個性タイプマスタ!$A$5:$P$100,12,FALSE),0)))</f>
        <v>0.23500000000000001</v>
      </c>
      <c r="S195" s="58">
        <f>MAX(-10,MIN(0.8,IFERROR(INDEX(属性耐性マスタ!$B$5:$G$11,MATCH($C195,属性耐性マスタ!$A$5:$A$11,0),4),0)+IFERROR(VLOOKUP($AM195,個性タイプマスタ!$A$5:$P$100,12,FALSE),0)))</f>
        <v>-6.5000000000000002E-2</v>
      </c>
      <c r="T195" s="58">
        <f>MAX(-10,MIN(0.8,IFERROR(INDEX(属性耐性マスタ!$B$5:$G$11,MATCH($C195,属性耐性マスタ!$A$5:$A$11,0),5),0)+IFERROR(VLOOKUP($AM195,個性タイプマスタ!$A$5:$P$100,12,FALSE),0)))</f>
        <v>3.5000000000000003E-2</v>
      </c>
      <c r="U195" s="58">
        <f>MAX(-10,MIN(0.8,IFERROR(INDEX(属性耐性マスタ!$B$5:$G$11,MATCH($C195,属性耐性マスタ!$A$5:$A$11,0),6),0)+IFERROR(VLOOKUP($AM195,個性タイプマスタ!$A$5:$P$100,12,FALSE),0)))</f>
        <v>3.5000000000000003E-2</v>
      </c>
      <c r="V195" s="59">
        <f>ROUND(設定!$B$19*IFERROR(VLOOKUP($AM195,個性タイプマスタ!$A$5:$P$100,13,FALSE),1),2)</f>
        <v>4</v>
      </c>
      <c r="W195" s="59">
        <v>32</v>
      </c>
      <c r="X195" s="59" t="str">
        <f>IFERROR(VLOOKUP($AM195,個性タイプマスタ!$A$5:$P$100,2,FALSE),"Ranged")</f>
        <v>Melee</v>
      </c>
      <c r="Y195" s="56">
        <f>IFERROR(VLOOKUP($AM195,個性タイプマスタ!$A$5:$P$100,3,FALSE),1)</f>
        <v>1.2</v>
      </c>
      <c r="Z195" s="56">
        <f>IFERROR(VLOOKUP($AM195,個性タイプマスタ!$A$5:$P$100,4,FALSE),1)</f>
        <v>1.3</v>
      </c>
      <c r="AA195" s="56">
        <f>IFERROR(VLOOKUP($AM195,個性タイプマスタ!$A$5:$P$100,5,FALSE),1)</f>
        <v>0.85</v>
      </c>
      <c r="AB195" s="56">
        <f>IFERROR(VLOOKUP($AM195,個性タイプマスタ!$A$5:$P$100,6,FALSE),1)</f>
        <v>1</v>
      </c>
      <c r="AC195" s="56">
        <f>IFERROR(VLOOKUP($AM195,個性タイプマスタ!$A$5:$P$100,7,FALSE),1)</f>
        <v>0.8</v>
      </c>
      <c r="AD195" s="56">
        <f>IFERROR(VLOOKUP($AM195,個性タイプマスタ!$A$5:$P$100,8,FALSE),1)</f>
        <v>0.85</v>
      </c>
      <c r="AE195" s="60">
        <f>IFERROR(D195/設定!$B$5,1)</f>
        <v>19.194300000000002</v>
      </c>
      <c r="AF195" s="60">
        <f>1+設定!$B$13*((I195/設定!$B$8+J195/設定!$B$9)/(2*AE195))</f>
        <v>1.3233381785217486</v>
      </c>
      <c r="AG195" s="60">
        <f>MAX(0.7,1+設定!$B$14*(O195/IF(X195="Melee",1.5,2.5)-1))</f>
        <v>0.97599999999999998</v>
      </c>
      <c r="AH195" s="53">
        <f t="shared" si="9"/>
        <v>283.32889599999999</v>
      </c>
      <c r="AI195" s="53">
        <f>E195*AF195*(1+設定!$B$18*AVERAGE(P195:U195))</f>
        <v>3118.5056370699895</v>
      </c>
      <c r="AJ195" s="61">
        <f>設定!$B$5*SQRT((AH195/(設定!$B$7*設定!$B$10*(1+設定!$B$11*(設定!$B$12-1))))*(AI195/(設定!$B$6*(1+設定!$B$13))))</f>
        <v>1919.3264133142122</v>
      </c>
      <c r="AK195" s="62">
        <f t="shared" si="10"/>
        <v>-5.3967420425737878E-5</v>
      </c>
      <c r="AL195" s="63">
        <f t="shared" si="11"/>
        <v>1631.5155</v>
      </c>
      <c r="AM195" s="64" t="s">
        <v>885</v>
      </c>
      <c r="AN195" s="54">
        <f>MAX(1,ROUND((設定!$B$7*設定!$B$10*(1+設定!$B$11*(設定!$B$12-1)))*AE195^2*(設定!$B$6*(1+設定!$B$13))/(AI195*N195*(1+K195*(L195-1))*AG195),0))</f>
        <v>277</v>
      </c>
      <c r="AO195" s="65" t="str">
        <f>IF($A195="","",IF(COUNTIF(個性タイプマスタ!$A$5:$A$100,$AM195)&gt;0,"OK","未登録"))</f>
        <v>OK</v>
      </c>
      <c r="AP195" s="67" t="str">
        <f>IF($A195="","",IF(COUNTIF(属性耐性マスタ!$A$5:$A$11,$C195)&gt;0,"OK","未登録"))</f>
        <v>OK</v>
      </c>
    </row>
    <row r="196" spans="1:42">
      <c r="A196" s="66" t="s">
        <v>492</v>
      </c>
      <c r="B196" s="51" t="s">
        <v>493</v>
      </c>
      <c r="C196" s="109" t="s">
        <v>114</v>
      </c>
      <c r="D196" s="53">
        <f>ROUND(設定!$B$5*POWER($D$2,W196-1),2)</f>
        <v>1919.43</v>
      </c>
      <c r="E196" s="54">
        <f>MAX(1,ROUND(設定!$B$6*AE196*Y196,0))</f>
        <v>2111</v>
      </c>
      <c r="F196" s="54">
        <f>MAX(0,ROUND(設定!$B$7*AE196*設定!$B$15*IF(X196="Melee",0.6,1.35)*IFERROR(VLOOKUP($AM196,個性タイプマスタ!$A$5:$P$100,14,FALSE),1),0))</f>
        <v>294</v>
      </c>
      <c r="G196" s="54">
        <f>IF(X196="Melee",AN196,MAX(1,ROUND(AN196*設定!$B$16*IFERROR(VLOOKUP($AM196,個性タイプマスタ!$A$5:$P$100,15,FALSE),1),0)))</f>
        <v>134</v>
      </c>
      <c r="H196" s="54">
        <f>IF(X196="Ranged",AN196,MAX(1,ROUND(AN196*設定!$B$16*IFERROR(VLOOKUP($AM196,個性タイプマスタ!$A$5:$P$100,15,FALSE),1),0)))</f>
        <v>298</v>
      </c>
      <c r="I196" s="54">
        <f>MAX(0,ROUND(設定!$B$8*AE196*Z196,0))</f>
        <v>169</v>
      </c>
      <c r="J196" s="54">
        <f>MAX(0,ROUND(設定!$B$9*AE196*AA196,0))</f>
        <v>169</v>
      </c>
      <c r="K196" s="55">
        <f>IFERROR(VLOOKUP($AM196,個性タイプマスタ!$A$5:$P$100,9,FALSE),0.05)</f>
        <v>7.0000000000000007E-2</v>
      </c>
      <c r="L196" s="56">
        <f>IFERROR(VLOOKUP($AM196,個性タイプマスタ!$A$5:$P$100,10,FALSE),1.5)</f>
        <v>1.55</v>
      </c>
      <c r="M196" s="56">
        <f>IFERROR(VLOOKUP($AM196,個性タイプマスタ!$A$5:$P$100,11,FALSE),2)</f>
        <v>2.4</v>
      </c>
      <c r="N196" s="57">
        <f>MAX(0.1,ROUND(設定!$B$10*AB196,3))</f>
        <v>1</v>
      </c>
      <c r="O196" s="57">
        <f t="shared" si="8"/>
        <v>2.5</v>
      </c>
      <c r="P196" s="58">
        <f>MAX(-10,MIN(0.8,IFERROR(INDEX(属性耐性マスタ!$B$5:$G$11,MATCH($C196,属性耐性マスタ!$A$5:$A$11,0),1),0)+IFERROR(VLOOKUP($AM196,個性タイプマスタ!$A$5:$P$100,12,FALSE),0)))</f>
        <v>0.02</v>
      </c>
      <c r="Q196" s="58">
        <f>MAX(-10,MIN(0.8,IFERROR(INDEX(属性耐性マスタ!$B$5:$G$11,MATCH($C196,属性耐性マスタ!$A$5:$A$11,0),2),0)+IFERROR(VLOOKUP($AM196,個性タイプマスタ!$A$5:$P$100,12,FALSE),0)))</f>
        <v>0.02</v>
      </c>
      <c r="R196" s="58">
        <f>MAX(-10,MIN(0.8,IFERROR(INDEX(属性耐性マスタ!$B$5:$G$11,MATCH($C196,属性耐性マスタ!$A$5:$A$11,0),3),0)+IFERROR(VLOOKUP($AM196,個性タイプマスタ!$A$5:$P$100,12,FALSE),0)))</f>
        <v>0.22</v>
      </c>
      <c r="S196" s="58">
        <f>MAX(-10,MIN(0.8,IFERROR(INDEX(属性耐性マスタ!$B$5:$G$11,MATCH($C196,属性耐性マスタ!$A$5:$A$11,0),4),0)+IFERROR(VLOOKUP($AM196,個性タイプマスタ!$A$5:$P$100,12,FALSE),0)))</f>
        <v>-0.08</v>
      </c>
      <c r="T196" s="58">
        <f>MAX(-10,MIN(0.8,IFERROR(INDEX(属性耐性マスタ!$B$5:$G$11,MATCH($C196,属性耐性マスタ!$A$5:$A$11,0),5),0)+IFERROR(VLOOKUP($AM196,個性タイプマスタ!$A$5:$P$100,12,FALSE),0)))</f>
        <v>0.02</v>
      </c>
      <c r="U196" s="58">
        <f>MAX(-10,MIN(0.8,IFERROR(INDEX(属性耐性マスタ!$B$5:$G$11,MATCH($C196,属性耐性マスタ!$A$5:$A$11,0),6),0)+IFERROR(VLOOKUP($AM196,個性タイプマスタ!$A$5:$P$100,12,FALSE),0)))</f>
        <v>0.02</v>
      </c>
      <c r="V196" s="59">
        <f>ROUND(設定!$B$19*IFERROR(VLOOKUP($AM196,個性タイプマスタ!$A$5:$P$100,13,FALSE),1),2)</f>
        <v>4</v>
      </c>
      <c r="W196" s="59">
        <v>32</v>
      </c>
      <c r="X196" s="59" t="str">
        <f>IFERROR(VLOOKUP($AM196,個性タイプマスタ!$A$5:$P$100,2,FALSE),"Ranged")</f>
        <v>Ranged</v>
      </c>
      <c r="Y196" s="56">
        <f>IFERROR(VLOOKUP($AM196,個性タイプマスタ!$A$5:$P$100,3,FALSE),1)</f>
        <v>1.1000000000000001</v>
      </c>
      <c r="Z196" s="56">
        <f>IFERROR(VLOOKUP($AM196,個性タイプマスタ!$A$5:$P$100,4,FALSE),1)</f>
        <v>1.1000000000000001</v>
      </c>
      <c r="AA196" s="56">
        <f>IFERROR(VLOOKUP($AM196,個性タイプマスタ!$A$5:$P$100,5,FALSE),1)</f>
        <v>1.1000000000000001</v>
      </c>
      <c r="AB196" s="56">
        <f>IFERROR(VLOOKUP($AM196,個性タイプマスタ!$A$5:$P$100,6,FALSE),1)</f>
        <v>1</v>
      </c>
      <c r="AC196" s="56">
        <f>IFERROR(VLOOKUP($AM196,個性タイプマスタ!$A$5:$P$100,7,FALSE),1)</f>
        <v>1</v>
      </c>
      <c r="AD196" s="56">
        <f>IFERROR(VLOOKUP($AM196,個性タイプマスタ!$A$5:$P$100,8,FALSE),1)</f>
        <v>0.88</v>
      </c>
      <c r="AE196" s="60">
        <f>IFERROR(D196/設定!$B$5,1)</f>
        <v>19.194300000000002</v>
      </c>
      <c r="AF196" s="60">
        <f>1+設定!$B$13*((I196/設定!$B$8+J196/設定!$B$9)/(2*AE196))</f>
        <v>1.3301761460433565</v>
      </c>
      <c r="AG196" s="60">
        <f>MAX(0.7,1+設定!$B$14*(O196/IF(X196="Melee",1.5,2.5)-1))</f>
        <v>1</v>
      </c>
      <c r="AH196" s="53">
        <f t="shared" si="9"/>
        <v>309.47300000000001</v>
      </c>
      <c r="AI196" s="53">
        <f>E196*AF196*(1+設定!$B$18*AVERAGE(P196:U196))</f>
        <v>2854.3338747284347</v>
      </c>
      <c r="AJ196" s="61">
        <f>設定!$B$5*SQRT((AH196/(設定!$B$7*設定!$B$10*(1+設定!$B$11*(設定!$B$12-1))))*(AI196/(設定!$B$6*(1+設定!$B$13))))</f>
        <v>1919.0836566857854</v>
      </c>
      <c r="AK196" s="62">
        <f t="shared" si="10"/>
        <v>-1.8044071115630445E-4</v>
      </c>
      <c r="AL196" s="63">
        <f t="shared" si="11"/>
        <v>1689.0984000000001</v>
      </c>
      <c r="AM196" s="64" t="s">
        <v>906</v>
      </c>
      <c r="AN196" s="54">
        <f>MAX(1,ROUND((設定!$B$7*設定!$B$10*(1+設定!$B$11*(設定!$B$12-1)))*AE196^2*(設定!$B$6*(1+設定!$B$13))/(AI196*N196*(1+K196*(L196-1))*AG196),0))</f>
        <v>298</v>
      </c>
      <c r="AO196" s="65" t="str">
        <f>IF($A196="","",IF(COUNTIF(個性タイプマスタ!$A$5:$A$100,$AM196)&gt;0,"OK","未登録"))</f>
        <v>OK</v>
      </c>
      <c r="AP196" s="67" t="str">
        <f>IF($A196="","",IF(COUNTIF(属性耐性マスタ!$A$5:$A$11,$C196)&gt;0,"OK","未登録"))</f>
        <v>OK</v>
      </c>
    </row>
    <row r="197" spans="1:42">
      <c r="A197" s="66" t="s">
        <v>494</v>
      </c>
      <c r="B197" s="51" t="s">
        <v>495</v>
      </c>
      <c r="C197" s="109" t="s">
        <v>871</v>
      </c>
      <c r="D197" s="53">
        <f>ROUND(設定!$B$5*POWER($D$2,W197-1),2)</f>
        <v>2111.38</v>
      </c>
      <c r="E197" s="54">
        <f>MAX(1,ROUND(設定!$B$6*AE197*Y197,0))</f>
        <v>3167</v>
      </c>
      <c r="F197" s="54">
        <f>MAX(0,ROUND(設定!$B$7*AE197*設定!$B$15*IF(X197="Melee",0.6,1.35)*IFERROR(VLOOKUP($AM197,個性タイプマスタ!$A$5:$P$100,14,FALSE),1),0))</f>
        <v>385</v>
      </c>
      <c r="G197" s="54">
        <f>IF(X197="Melee",AN197,MAX(1,ROUND(AN197*設定!$B$16*IFERROR(VLOOKUP($AM197,個性タイプマスタ!$A$5:$P$100,15,FALSE),1),0)))</f>
        <v>77</v>
      </c>
      <c r="H197" s="54">
        <f>IF(X197="Ranged",AN197,MAX(1,ROUND(AN197*設定!$B$16*IFERROR(VLOOKUP($AM197,個性タイプマスタ!$A$5:$P$100,15,FALSE),1),0)))</f>
        <v>171</v>
      </c>
      <c r="I197" s="54">
        <f>MAX(0,ROUND(設定!$B$8*AE197*Z197,0))</f>
        <v>253</v>
      </c>
      <c r="J197" s="54">
        <f>MAX(0,ROUND(設定!$B$9*AE197*AA197,0))</f>
        <v>236</v>
      </c>
      <c r="K197" s="55">
        <f>IFERROR(VLOOKUP($AM197,個性タイプマスタ!$A$5:$P$100,9,FALSE),0.05)</f>
        <v>0.1</v>
      </c>
      <c r="L197" s="56">
        <f>IFERROR(VLOOKUP($AM197,個性タイプマスタ!$A$5:$P$100,10,FALSE),1.5)</f>
        <v>1.75</v>
      </c>
      <c r="M197" s="56">
        <f>IFERROR(VLOOKUP($AM197,個性タイプマスタ!$A$5:$P$100,11,FALSE),2)</f>
        <v>2.4</v>
      </c>
      <c r="N197" s="57">
        <f>MAX(0.1,ROUND(設定!$B$10*AB197,3))</f>
        <v>1.2</v>
      </c>
      <c r="O197" s="57">
        <f t="shared" ref="O197:O260" si="12">MAX(0.1,ROUND(IF(X197="Melee",1.5,2.5)*AC197,3))</f>
        <v>3</v>
      </c>
      <c r="P197" s="58">
        <f>MAX(-10,MIN(0.8,IFERROR(INDEX(属性耐性マスタ!$B$5:$G$11,MATCH($C197,属性耐性マスタ!$A$5:$A$11,0),1),0)+IFERROR(VLOOKUP($AM197,個性タイプマスタ!$A$5:$P$100,12,FALSE),0)))</f>
        <v>0.08</v>
      </c>
      <c r="Q197" s="58">
        <f>MAX(-10,MIN(0.8,IFERROR(INDEX(属性耐性マスタ!$B$5:$G$11,MATCH($C197,属性耐性マスタ!$A$5:$A$11,0),2),0)+IFERROR(VLOOKUP($AM197,個性タイプマスタ!$A$5:$P$100,12,FALSE),0)))</f>
        <v>0.08</v>
      </c>
      <c r="R197" s="58">
        <f>MAX(-10,MIN(0.8,IFERROR(INDEX(属性耐性マスタ!$B$5:$G$11,MATCH($C197,属性耐性マスタ!$A$5:$A$11,0),3),0)+IFERROR(VLOOKUP($AM197,個性タイプマスタ!$A$5:$P$100,12,FALSE),0)))</f>
        <v>-2.0000000000000004E-2</v>
      </c>
      <c r="S197" s="58">
        <f>MAX(-10,MIN(0.8,IFERROR(INDEX(属性耐性マスタ!$B$5:$G$11,MATCH($C197,属性耐性マスタ!$A$5:$A$11,0),4),0)+IFERROR(VLOOKUP($AM197,個性タイプマスタ!$A$5:$P$100,12,FALSE),0)))</f>
        <v>0.28000000000000003</v>
      </c>
      <c r="T197" s="58">
        <f>MAX(-10,MIN(0.8,IFERROR(INDEX(属性耐性マスタ!$B$5:$G$11,MATCH($C197,属性耐性マスタ!$A$5:$A$11,0),5),0)+IFERROR(VLOOKUP($AM197,個性タイプマスタ!$A$5:$P$100,12,FALSE),0)))</f>
        <v>0.08</v>
      </c>
      <c r="U197" s="58">
        <f>MAX(-10,MIN(0.8,IFERROR(INDEX(属性耐性マスタ!$B$5:$G$11,MATCH($C197,属性耐性マスタ!$A$5:$A$11,0),6),0)+IFERROR(VLOOKUP($AM197,個性タイプマスタ!$A$5:$P$100,12,FALSE),0)))</f>
        <v>0.08</v>
      </c>
      <c r="V197" s="59">
        <f>ROUND(設定!$B$19*IFERROR(VLOOKUP($AM197,個性タイプマスタ!$A$5:$P$100,13,FALSE),1),2)</f>
        <v>4</v>
      </c>
      <c r="W197" s="59">
        <v>33</v>
      </c>
      <c r="X197" s="59" t="str">
        <f>IFERROR(VLOOKUP($AM197,個性タイプマスタ!$A$5:$P$100,2,FALSE),"Ranged")</f>
        <v>Ranged</v>
      </c>
      <c r="Y197" s="56">
        <f>IFERROR(VLOOKUP($AM197,個性タイプマスタ!$A$5:$P$100,3,FALSE),1)</f>
        <v>1.5</v>
      </c>
      <c r="Z197" s="56">
        <f>IFERROR(VLOOKUP($AM197,個性タイプマスタ!$A$5:$P$100,4,FALSE),1)</f>
        <v>1.5</v>
      </c>
      <c r="AA197" s="56">
        <f>IFERROR(VLOOKUP($AM197,個性タイプマスタ!$A$5:$P$100,5,FALSE),1)</f>
        <v>1.4</v>
      </c>
      <c r="AB197" s="56">
        <f>IFERROR(VLOOKUP($AM197,個性タイプマスタ!$A$5:$P$100,6,FALSE),1)</f>
        <v>1.2</v>
      </c>
      <c r="AC197" s="56">
        <f>IFERROR(VLOOKUP($AM197,個性タイプマスタ!$A$5:$P$100,7,FALSE),1)</f>
        <v>1.2</v>
      </c>
      <c r="AD197" s="56">
        <f>IFERROR(VLOOKUP($AM197,個性タイプマスタ!$A$5:$P$100,8,FALSE),1)</f>
        <v>1</v>
      </c>
      <c r="AE197" s="60">
        <f>IFERROR(D197/設定!$B$5,1)</f>
        <v>21.113800000000001</v>
      </c>
      <c r="AF197" s="60">
        <f>1+設定!$B$13*((I197/設定!$B$8+J197/設定!$B$9)/(2*AE197))</f>
        <v>1.4342539002926995</v>
      </c>
      <c r="AG197" s="60">
        <f>MAX(0.7,1+設定!$B$14*(O197/IF(X197="Melee",1.5,2.5)-1))</f>
        <v>1.024</v>
      </c>
      <c r="AH197" s="53">
        <f t="shared" ref="AH197:AH260" si="13">IF(X197="Melee",G197,H197)*N197*(1+K197*(L197-1))*AG197</f>
        <v>225.88415999999998</v>
      </c>
      <c r="AI197" s="53">
        <f>E197*AF197*(1+設定!$B$18*AVERAGE(P197:U197))</f>
        <v>4739.8713736738528</v>
      </c>
      <c r="AJ197" s="61">
        <f>設定!$B$5*SQRT((AH197/(設定!$B$7*設定!$B$10*(1+設定!$B$11*(設定!$B$12-1))))*(AI197/(設定!$B$6*(1+設定!$B$13))))</f>
        <v>2112.7898675921906</v>
      </c>
      <c r="AK197" s="62">
        <f t="shared" ref="AK197:AK260" si="14">IF(D197=0,0,AJ197/D197-1)</f>
        <v>6.6774696747651241E-4</v>
      </c>
      <c r="AL197" s="63">
        <f t="shared" ref="AL197:AL260" si="15">D197*AD197</f>
        <v>2111.38</v>
      </c>
      <c r="AM197" s="64" t="s">
        <v>890</v>
      </c>
      <c r="AN197" s="54">
        <f>MAX(1,ROUND((設定!$B$7*設定!$B$10*(1+設定!$B$11*(設定!$B$12-1)))*AE197^2*(設定!$B$6*(1+設定!$B$13))/(AI197*N197*(1+K197*(L197-1))*AG197),0))</f>
        <v>171</v>
      </c>
      <c r="AO197" s="65" t="str">
        <f>IF($A197="","",IF(COUNTIF(個性タイプマスタ!$A$5:$A$100,$AM197)&gt;0,"OK","未登録"))</f>
        <v>OK</v>
      </c>
      <c r="AP197" s="67" t="str">
        <f>IF($A197="","",IF(COUNTIF(属性耐性マスタ!$A$5:$A$11,$C197)&gt;0,"OK","未登録"))</f>
        <v>OK</v>
      </c>
    </row>
    <row r="198" spans="1:42">
      <c r="A198" s="66" t="s">
        <v>496</v>
      </c>
      <c r="B198" s="51" t="s">
        <v>497</v>
      </c>
      <c r="C198" s="109" t="s">
        <v>871</v>
      </c>
      <c r="D198" s="53">
        <f>ROUND(設定!$B$5*POWER($D$2,W198-1),2)</f>
        <v>2111.38</v>
      </c>
      <c r="E198" s="54">
        <f>MAX(1,ROUND(設定!$B$6*AE198*Y198,0))</f>
        <v>1921</v>
      </c>
      <c r="F198" s="54">
        <f>MAX(0,ROUND(設定!$B$7*AE198*設定!$B$15*IF(X198="Melee",0.6,1.35)*IFERROR(VLOOKUP($AM198,個性タイプマスタ!$A$5:$P$100,14,FALSE),1),0))</f>
        <v>493</v>
      </c>
      <c r="G198" s="54">
        <f>IF(X198="Melee",AN198,MAX(1,ROUND(AN198*設定!$B$16*IFERROR(VLOOKUP($AM198,個性タイプマスタ!$A$5:$P$100,15,FALSE),1),0)))</f>
        <v>209</v>
      </c>
      <c r="H198" s="54">
        <f>IF(X198="Ranged",AN198,MAX(1,ROUND(AN198*設定!$B$16*IFERROR(VLOOKUP($AM198,個性タイプマスタ!$A$5:$P$100,15,FALSE),1),0)))</f>
        <v>618</v>
      </c>
      <c r="I198" s="54">
        <f>MAX(0,ROUND(設定!$B$8*AE198*Z198,0))</f>
        <v>149</v>
      </c>
      <c r="J198" s="54">
        <f>MAX(0,ROUND(設定!$B$9*AE198*AA198,0))</f>
        <v>160</v>
      </c>
      <c r="K198" s="55">
        <f>IFERROR(VLOOKUP($AM198,個性タイプマスタ!$A$5:$P$100,9,FALSE),0.05)</f>
        <v>0.04</v>
      </c>
      <c r="L198" s="56">
        <f>IFERROR(VLOOKUP($AM198,個性タイプマスタ!$A$5:$P$100,10,FALSE),1.5)</f>
        <v>2.2000000000000002</v>
      </c>
      <c r="M198" s="56">
        <f>IFERROR(VLOOKUP($AM198,個性タイプマスタ!$A$5:$P$100,11,FALSE),2)</f>
        <v>1.65</v>
      </c>
      <c r="N198" s="57">
        <f>MAX(0.1,ROUND(設定!$B$10*AB198,3))</f>
        <v>0.64</v>
      </c>
      <c r="O198" s="57">
        <f t="shared" si="12"/>
        <v>3.7</v>
      </c>
      <c r="P198" s="58">
        <f>MAX(-10,MIN(0.8,IFERROR(INDEX(属性耐性マスタ!$B$5:$G$11,MATCH($C198,属性耐性マスタ!$A$5:$A$11,0),1),0)+IFERROR(VLOOKUP($AM198,個性タイプマスタ!$A$5:$P$100,12,FALSE),0)))</f>
        <v>-2.5000000000000001E-2</v>
      </c>
      <c r="Q198" s="58">
        <f>MAX(-10,MIN(0.8,IFERROR(INDEX(属性耐性マスタ!$B$5:$G$11,MATCH($C198,属性耐性マスタ!$A$5:$A$11,0),2),0)+IFERROR(VLOOKUP($AM198,個性タイプマスタ!$A$5:$P$100,12,FALSE),0)))</f>
        <v>-2.5000000000000001E-2</v>
      </c>
      <c r="R198" s="58">
        <f>MAX(-10,MIN(0.8,IFERROR(INDEX(属性耐性マスタ!$B$5:$G$11,MATCH($C198,属性耐性マスタ!$A$5:$A$11,0),3),0)+IFERROR(VLOOKUP($AM198,個性タイプマスタ!$A$5:$P$100,12,FALSE),0)))</f>
        <v>-0.125</v>
      </c>
      <c r="S198" s="58">
        <f>MAX(-10,MIN(0.8,IFERROR(INDEX(属性耐性マスタ!$B$5:$G$11,MATCH($C198,属性耐性マスタ!$A$5:$A$11,0),4),0)+IFERROR(VLOOKUP($AM198,個性タイプマスタ!$A$5:$P$100,12,FALSE),0)))</f>
        <v>0.17500000000000002</v>
      </c>
      <c r="T198" s="58">
        <f>MAX(-10,MIN(0.8,IFERROR(INDEX(属性耐性マスタ!$B$5:$G$11,MATCH($C198,属性耐性マスタ!$A$5:$A$11,0),5),0)+IFERROR(VLOOKUP($AM198,個性タイプマスタ!$A$5:$P$100,12,FALSE),0)))</f>
        <v>-2.5000000000000001E-2</v>
      </c>
      <c r="U198" s="58">
        <f>MAX(-10,MIN(0.8,IFERROR(INDEX(属性耐性マスタ!$B$5:$G$11,MATCH($C198,属性耐性マスタ!$A$5:$A$11,0),6),0)+IFERROR(VLOOKUP($AM198,個性タイプマスタ!$A$5:$P$100,12,FALSE),0)))</f>
        <v>-2.5000000000000001E-2</v>
      </c>
      <c r="V198" s="59">
        <f>ROUND(設定!$B$19*IFERROR(VLOOKUP($AM198,個性タイプマスタ!$A$5:$P$100,13,FALSE),1),2)</f>
        <v>5</v>
      </c>
      <c r="W198" s="59">
        <v>33</v>
      </c>
      <c r="X198" s="59" t="str">
        <f>IFERROR(VLOOKUP($AM198,個性タイプマスタ!$A$5:$P$100,2,FALSE),"Ranged")</f>
        <v>Ranged</v>
      </c>
      <c r="Y198" s="56">
        <f>IFERROR(VLOOKUP($AM198,個性タイプマスタ!$A$5:$P$100,3,FALSE),1)</f>
        <v>0.91</v>
      </c>
      <c r="Z198" s="56">
        <f>IFERROR(VLOOKUP($AM198,個性タイプマスタ!$A$5:$P$100,4,FALSE),1)</f>
        <v>0.88</v>
      </c>
      <c r="AA198" s="56">
        <f>IFERROR(VLOOKUP($AM198,個性タイプマスタ!$A$5:$P$100,5,FALSE),1)</f>
        <v>0.95</v>
      </c>
      <c r="AB198" s="56">
        <f>IFERROR(VLOOKUP($AM198,個性タイプマスタ!$A$5:$P$100,6,FALSE),1)</f>
        <v>0.64</v>
      </c>
      <c r="AC198" s="56">
        <f>IFERROR(VLOOKUP($AM198,個性タイプマスタ!$A$5:$P$100,7,FALSE),1)</f>
        <v>1.48</v>
      </c>
      <c r="AD198" s="56">
        <f>IFERROR(VLOOKUP($AM198,個性タイプマスタ!$A$5:$P$100,8,FALSE),1)</f>
        <v>0.75</v>
      </c>
      <c r="AE198" s="60">
        <f>IFERROR(D198/設定!$B$5,1)</f>
        <v>21.113800000000001</v>
      </c>
      <c r="AF198" s="60">
        <f>1+設定!$B$13*((I198/設定!$B$8+J198/設定!$B$9)/(2*AE198))</f>
        <v>1.2744058388352641</v>
      </c>
      <c r="AG198" s="60">
        <f>MAX(0.7,1+設定!$B$14*(O198/IF(X198="Melee",1.5,2.5)-1))</f>
        <v>1.0576000000000001</v>
      </c>
      <c r="AH198" s="53">
        <f t="shared" si="13"/>
        <v>438.38044569600004</v>
      </c>
      <c r="AI198" s="53">
        <f>E198*AF198*(1+設定!$B$18*AVERAGE(P198:U198))</f>
        <v>2438.953115341033</v>
      </c>
      <c r="AJ198" s="61">
        <f>設定!$B$5*SQRT((AH198/(設定!$B$7*設定!$B$10*(1+設定!$B$11*(設定!$B$12-1))))*(AI198/(設定!$B$6*(1+設定!$B$13))))</f>
        <v>2111.3364793757032</v>
      </c>
      <c r="AK198" s="62">
        <f t="shared" si="14"/>
        <v>-2.0612407191977766E-5</v>
      </c>
      <c r="AL198" s="63">
        <f t="shared" si="15"/>
        <v>1583.5350000000001</v>
      </c>
      <c r="AM198" s="64" t="s">
        <v>912</v>
      </c>
      <c r="AN198" s="54">
        <f>MAX(1,ROUND((設定!$B$7*設定!$B$10*(1+設定!$B$11*(設定!$B$12-1)))*AE198^2*(設定!$B$6*(1+設定!$B$13))/(AI198*N198*(1+K198*(L198-1))*AG198),0))</f>
        <v>618</v>
      </c>
      <c r="AO198" s="65" t="str">
        <f>IF($A198="","",IF(COUNTIF(個性タイプマスタ!$A$5:$A$100,$AM198)&gt;0,"OK","未登録"))</f>
        <v>OK</v>
      </c>
      <c r="AP198" s="67" t="str">
        <f>IF($A198="","",IF(COUNTIF(属性耐性マスタ!$A$5:$A$11,$C198)&gt;0,"OK","未登録"))</f>
        <v>OK</v>
      </c>
    </row>
    <row r="199" spans="1:42">
      <c r="A199" s="66" t="s">
        <v>498</v>
      </c>
      <c r="B199" s="51" t="s">
        <v>499</v>
      </c>
      <c r="C199" s="109" t="s">
        <v>871</v>
      </c>
      <c r="D199" s="53">
        <f>ROUND(設定!$B$5*POWER($D$2,W199-1),2)</f>
        <v>2111.38</v>
      </c>
      <c r="E199" s="54">
        <f>MAX(1,ROUND(設定!$B$6*AE199*Y199,0))</f>
        <v>2238</v>
      </c>
      <c r="F199" s="54">
        <f>MAX(0,ROUND(設定!$B$7*AE199*設定!$B$15*IF(X199="Melee",0.6,1.35)*IFERROR(VLOOKUP($AM199,個性タイプマスタ!$A$5:$P$100,14,FALSE),1),0))</f>
        <v>539</v>
      </c>
      <c r="G199" s="54">
        <f>IF(X199="Melee",AN199,MAX(1,ROUND(AN199*設定!$B$16*IFERROR(VLOOKUP($AM199,個性タイプマスタ!$A$5:$P$100,15,FALSE),1),0)))</f>
        <v>109</v>
      </c>
      <c r="H199" s="54">
        <f>IF(X199="Ranged",AN199,MAX(1,ROUND(AN199*設定!$B$16*IFERROR(VLOOKUP($AM199,個性タイプマスタ!$A$5:$P$100,15,FALSE),1),0)))</f>
        <v>371</v>
      </c>
      <c r="I199" s="54">
        <f>MAX(0,ROUND(設定!$B$8*AE199*Z199,0))</f>
        <v>130</v>
      </c>
      <c r="J199" s="54">
        <f>MAX(0,ROUND(設定!$B$9*AE199*AA199,0))</f>
        <v>346</v>
      </c>
      <c r="K199" s="55">
        <f>IFERROR(VLOOKUP($AM199,個性タイプマスタ!$A$5:$P$100,9,FALSE),0.05)</f>
        <v>4.4999999999999998E-2</v>
      </c>
      <c r="L199" s="56">
        <f>IFERROR(VLOOKUP($AM199,個性タイプマスタ!$A$5:$P$100,10,FALSE),1.5)</f>
        <v>1.45</v>
      </c>
      <c r="M199" s="56">
        <f>IFERROR(VLOOKUP($AM199,個性タイプマスタ!$A$5:$P$100,11,FALSE),2)</f>
        <v>1.9</v>
      </c>
      <c r="N199" s="57">
        <f>MAX(0.1,ROUND(設定!$B$10*AB199,3))</f>
        <v>0.84</v>
      </c>
      <c r="O199" s="57">
        <f t="shared" si="12"/>
        <v>2.65</v>
      </c>
      <c r="P199" s="58">
        <f>MAX(-10,MIN(0.8,IFERROR(INDEX(属性耐性マスタ!$B$5:$G$11,MATCH($C199,属性耐性マスタ!$A$5:$A$11,0),1),0)+IFERROR(VLOOKUP($AM199,個性タイプマスタ!$A$5:$P$100,12,FALSE),0)))</f>
        <v>0.09</v>
      </c>
      <c r="Q199" s="58">
        <f>MAX(-10,MIN(0.8,IFERROR(INDEX(属性耐性マスタ!$B$5:$G$11,MATCH($C199,属性耐性マスタ!$A$5:$A$11,0),2),0)+IFERROR(VLOOKUP($AM199,個性タイプマスタ!$A$5:$P$100,12,FALSE),0)))</f>
        <v>0.09</v>
      </c>
      <c r="R199" s="58">
        <f>MAX(-10,MIN(0.8,IFERROR(INDEX(属性耐性マスタ!$B$5:$G$11,MATCH($C199,属性耐性マスタ!$A$5:$A$11,0),3),0)+IFERROR(VLOOKUP($AM199,個性タイプマスタ!$A$5:$P$100,12,FALSE),0)))</f>
        <v>-1.0000000000000009E-2</v>
      </c>
      <c r="S199" s="58">
        <f>MAX(-10,MIN(0.8,IFERROR(INDEX(属性耐性マスタ!$B$5:$G$11,MATCH($C199,属性耐性マスタ!$A$5:$A$11,0),4),0)+IFERROR(VLOOKUP($AM199,個性タイプマスタ!$A$5:$P$100,12,FALSE),0)))</f>
        <v>0.29000000000000004</v>
      </c>
      <c r="T199" s="58">
        <f>MAX(-10,MIN(0.8,IFERROR(INDEX(属性耐性マスタ!$B$5:$G$11,MATCH($C199,属性耐性マスタ!$A$5:$A$11,0),5),0)+IFERROR(VLOOKUP($AM199,個性タイプマスタ!$A$5:$P$100,12,FALSE),0)))</f>
        <v>0.09</v>
      </c>
      <c r="U199" s="58">
        <f>MAX(-10,MIN(0.8,IFERROR(INDEX(属性耐性マスタ!$B$5:$G$11,MATCH($C199,属性耐性マスタ!$A$5:$A$11,0),6),0)+IFERROR(VLOOKUP($AM199,個性タイプマスタ!$A$5:$P$100,12,FALSE),0)))</f>
        <v>0.09</v>
      </c>
      <c r="V199" s="59">
        <f>ROUND(設定!$B$19*IFERROR(VLOOKUP($AM199,個性タイプマスタ!$A$5:$P$100,13,FALSE),1),2)</f>
        <v>4.4000000000000004</v>
      </c>
      <c r="W199" s="59">
        <v>33</v>
      </c>
      <c r="X199" s="59" t="str">
        <f>IFERROR(VLOOKUP($AM199,個性タイプマスタ!$A$5:$P$100,2,FALSE),"Ranged")</f>
        <v>Ranged</v>
      </c>
      <c r="Y199" s="56">
        <f>IFERROR(VLOOKUP($AM199,個性タイプマスタ!$A$5:$P$100,3,FALSE),1)</f>
        <v>1.06</v>
      </c>
      <c r="Z199" s="56">
        <f>IFERROR(VLOOKUP($AM199,個性タイプマスタ!$A$5:$P$100,4,FALSE),1)</f>
        <v>0.77</v>
      </c>
      <c r="AA199" s="56">
        <f>IFERROR(VLOOKUP($AM199,個性タイプマスタ!$A$5:$P$100,5,FALSE),1)</f>
        <v>2.0499999999999998</v>
      </c>
      <c r="AB199" s="56">
        <f>IFERROR(VLOOKUP($AM199,個性タイプマスタ!$A$5:$P$100,6,FALSE),1)</f>
        <v>0.84</v>
      </c>
      <c r="AC199" s="56">
        <f>IFERROR(VLOOKUP($AM199,個性タイプマスタ!$A$5:$P$100,7,FALSE),1)</f>
        <v>1.06</v>
      </c>
      <c r="AD199" s="56">
        <f>IFERROR(VLOOKUP($AM199,個性タイプマスタ!$A$5:$P$100,8,FALSE),1)</f>
        <v>0.82</v>
      </c>
      <c r="AE199" s="60">
        <f>IFERROR(D199/設定!$B$5,1)</f>
        <v>21.113800000000001</v>
      </c>
      <c r="AF199" s="60">
        <f>1+設定!$B$13*((I199/設定!$B$8+J199/設定!$B$9)/(2*AE199))</f>
        <v>1.4227093180763293</v>
      </c>
      <c r="AG199" s="60">
        <f>MAX(0.7,1+設定!$B$14*(O199/IF(X199="Melee",1.5,2.5)-1))</f>
        <v>1.0072000000000001</v>
      </c>
      <c r="AH199" s="53">
        <f t="shared" si="13"/>
        <v>320.23995511200002</v>
      </c>
      <c r="AI199" s="53">
        <f>E199*AF199*(1+設定!$B$18*AVERAGE(P199:U199))</f>
        <v>3336.8565796398566</v>
      </c>
      <c r="AJ199" s="61">
        <f>設定!$B$5*SQRT((AH199/(設定!$B$7*設定!$B$10*(1+設定!$B$11*(設定!$B$12-1))))*(AI199/(設定!$B$6*(1+設定!$B$13))))</f>
        <v>2110.7493640793623</v>
      </c>
      <c r="AK199" s="62">
        <f t="shared" si="14"/>
        <v>-2.9868423525747367E-4</v>
      </c>
      <c r="AL199" s="63">
        <f t="shared" si="15"/>
        <v>1731.3316</v>
      </c>
      <c r="AM199" s="64" t="s">
        <v>926</v>
      </c>
      <c r="AN199" s="54">
        <f>MAX(1,ROUND((設定!$B$7*設定!$B$10*(1+設定!$B$11*(設定!$B$12-1)))*AE199^2*(設定!$B$6*(1+設定!$B$13))/(AI199*N199*(1+K199*(L199-1))*AG199),0))</f>
        <v>371</v>
      </c>
      <c r="AO199" s="65" t="str">
        <f>IF($A199="","",IF(COUNTIF(個性タイプマスタ!$A$5:$A$100,$AM199)&gt;0,"OK","未登録"))</f>
        <v>OK</v>
      </c>
      <c r="AP199" s="67" t="str">
        <f>IF($A199="","",IF(COUNTIF(属性耐性マスタ!$A$5:$A$11,$C199)&gt;0,"OK","未登録"))</f>
        <v>OK</v>
      </c>
    </row>
    <row r="200" spans="1:42">
      <c r="A200" s="66" t="s">
        <v>500</v>
      </c>
      <c r="B200" s="51" t="s">
        <v>501</v>
      </c>
      <c r="C200" s="109" t="s">
        <v>871</v>
      </c>
      <c r="D200" s="53">
        <f>ROUND(設定!$B$5*POWER($D$2,W200-1),2)</f>
        <v>2111.38</v>
      </c>
      <c r="E200" s="54">
        <f>MAX(1,ROUND(設定!$B$6*AE200*Y200,0))</f>
        <v>1605</v>
      </c>
      <c r="F200" s="54">
        <f>MAX(0,ROUND(設定!$B$7*AE200*設定!$B$15*IF(X200="Melee",0.6,1.35)*IFERROR(VLOOKUP($AM200,個性タイプマスタ!$A$5:$P$100,14,FALSE),1),0))</f>
        <v>85</v>
      </c>
      <c r="G200" s="54">
        <f>IF(X200="Melee",AN200,MAX(1,ROUND(AN200*設定!$B$16*IFERROR(VLOOKUP($AM200,個性タイプマスタ!$A$5:$P$100,15,FALSE),1),0)))</f>
        <v>553</v>
      </c>
      <c r="H200" s="54">
        <f>IF(X200="Ranged",AN200,MAX(1,ROUND(AN200*設定!$B$16*IFERROR(VLOOKUP($AM200,個性タイプマスタ!$A$5:$P$100,15,FALSE),1),0)))</f>
        <v>154</v>
      </c>
      <c r="I200" s="54">
        <f>MAX(0,ROUND(設定!$B$8*AE200*Z200,0))</f>
        <v>128</v>
      </c>
      <c r="J200" s="54">
        <f>MAX(0,ROUND(設定!$B$9*AE200*AA200,0))</f>
        <v>118</v>
      </c>
      <c r="K200" s="55">
        <f>IFERROR(VLOOKUP($AM200,個性タイプマスタ!$A$5:$P$100,9,FALSE),0.05)</f>
        <v>9.5000000000000001E-2</v>
      </c>
      <c r="L200" s="56">
        <f>IFERROR(VLOOKUP($AM200,個性タイプマスタ!$A$5:$P$100,10,FALSE),1.5)</f>
        <v>2.4</v>
      </c>
      <c r="M200" s="56">
        <f>IFERROR(VLOOKUP($AM200,個性タイプマスタ!$A$5:$P$100,11,FALSE),2)</f>
        <v>3.35</v>
      </c>
      <c r="N200" s="57">
        <f>MAX(0.1,ROUND(設定!$B$10*AB200,3))</f>
        <v>0.86</v>
      </c>
      <c r="O200" s="57">
        <f t="shared" si="12"/>
        <v>1.9950000000000001</v>
      </c>
      <c r="P200" s="58">
        <f>MAX(-10,MIN(0.8,IFERROR(INDEX(属性耐性マスタ!$B$5:$G$11,MATCH($C200,属性耐性マスタ!$A$5:$A$11,0),1),0)+IFERROR(VLOOKUP($AM200,個性タイプマスタ!$A$5:$P$100,12,FALSE),0)))</f>
        <v>-7.0000000000000007E-2</v>
      </c>
      <c r="Q200" s="58">
        <f>MAX(-10,MIN(0.8,IFERROR(INDEX(属性耐性マスタ!$B$5:$G$11,MATCH($C200,属性耐性マスタ!$A$5:$A$11,0),2),0)+IFERROR(VLOOKUP($AM200,個性タイプマスタ!$A$5:$P$100,12,FALSE),0)))</f>
        <v>-7.0000000000000007E-2</v>
      </c>
      <c r="R200" s="58">
        <f>MAX(-10,MIN(0.8,IFERROR(INDEX(属性耐性マスタ!$B$5:$G$11,MATCH($C200,属性耐性マスタ!$A$5:$A$11,0),3),0)+IFERROR(VLOOKUP($AM200,個性タイプマスタ!$A$5:$P$100,12,FALSE),0)))</f>
        <v>-0.17</v>
      </c>
      <c r="S200" s="58">
        <f>MAX(-10,MIN(0.8,IFERROR(INDEX(属性耐性マスタ!$B$5:$G$11,MATCH($C200,属性耐性マスタ!$A$5:$A$11,0),4),0)+IFERROR(VLOOKUP($AM200,個性タイプマスタ!$A$5:$P$100,12,FALSE),0)))</f>
        <v>0.13</v>
      </c>
      <c r="T200" s="58">
        <f>MAX(-10,MIN(0.8,IFERROR(INDEX(属性耐性マスタ!$B$5:$G$11,MATCH($C200,属性耐性マスタ!$A$5:$A$11,0),5),0)+IFERROR(VLOOKUP($AM200,個性タイプマスタ!$A$5:$P$100,12,FALSE),0)))</f>
        <v>-7.0000000000000007E-2</v>
      </c>
      <c r="U200" s="58">
        <f>MAX(-10,MIN(0.8,IFERROR(INDEX(属性耐性マスタ!$B$5:$G$11,MATCH($C200,属性耐性マスタ!$A$5:$A$11,0),6),0)+IFERROR(VLOOKUP($AM200,個性タイプマスタ!$A$5:$P$100,12,FALSE),0)))</f>
        <v>-7.0000000000000007E-2</v>
      </c>
      <c r="V200" s="59">
        <f>ROUND(設定!$B$19*IFERROR(VLOOKUP($AM200,個性タイプマスタ!$A$5:$P$100,13,FALSE),1),2)</f>
        <v>4.5999999999999996</v>
      </c>
      <c r="W200" s="59">
        <v>33</v>
      </c>
      <c r="X200" s="59" t="str">
        <f>IFERROR(VLOOKUP($AM200,個性タイプマスタ!$A$5:$P$100,2,FALSE),"Ranged")</f>
        <v>Melee</v>
      </c>
      <c r="Y200" s="56">
        <f>IFERROR(VLOOKUP($AM200,個性タイプマスタ!$A$5:$P$100,3,FALSE),1)</f>
        <v>0.76</v>
      </c>
      <c r="Z200" s="56">
        <f>IFERROR(VLOOKUP($AM200,個性タイプマスタ!$A$5:$P$100,4,FALSE),1)</f>
        <v>0.76</v>
      </c>
      <c r="AA200" s="56">
        <f>IFERROR(VLOOKUP($AM200,個性タイプマスタ!$A$5:$P$100,5,FALSE),1)</f>
        <v>0.7</v>
      </c>
      <c r="AB200" s="56">
        <f>IFERROR(VLOOKUP($AM200,個性タイプマスタ!$A$5:$P$100,6,FALSE),1)</f>
        <v>0.86</v>
      </c>
      <c r="AC200" s="56">
        <f>IFERROR(VLOOKUP($AM200,個性タイプマスタ!$A$5:$P$100,7,FALSE),1)</f>
        <v>1.33</v>
      </c>
      <c r="AD200" s="56">
        <f>IFERROR(VLOOKUP($AM200,個性タイプマスタ!$A$5:$P$100,8,FALSE),1)</f>
        <v>0.64</v>
      </c>
      <c r="AE200" s="60">
        <f>IFERROR(D200/設定!$B$5,1)</f>
        <v>21.113800000000001</v>
      </c>
      <c r="AF200" s="60">
        <f>1+設定!$B$13*((I200/設定!$B$8+J200/設定!$B$9)/(2*AE200))</f>
        <v>1.2184590173251617</v>
      </c>
      <c r="AG200" s="60">
        <f>MAX(0.7,1+設定!$B$14*(O200/IF(X200="Melee",1.5,2.5)-1))</f>
        <v>1.0396000000000001</v>
      </c>
      <c r="AH200" s="53">
        <f t="shared" si="13"/>
        <v>560.16989274399998</v>
      </c>
      <c r="AI200" s="53">
        <f>E200*AF200*(1+設定!$B$18*AVERAGE(P200:U200))</f>
        <v>1908.6916814595193</v>
      </c>
      <c r="AJ200" s="61">
        <f>設定!$B$5*SQRT((AH200/(設定!$B$7*設定!$B$10*(1+設定!$B$11*(設定!$B$12-1))))*(AI200/(設定!$B$6*(1+設定!$B$13))))</f>
        <v>2111.338711534469</v>
      </c>
      <c r="AK200" s="62">
        <f t="shared" si="14"/>
        <v>-1.9555203483512251E-5</v>
      </c>
      <c r="AL200" s="63">
        <f t="shared" si="15"/>
        <v>1351.2832000000001</v>
      </c>
      <c r="AM200" s="64" t="s">
        <v>978</v>
      </c>
      <c r="AN200" s="54">
        <f>MAX(1,ROUND((設定!$B$7*設定!$B$10*(1+設定!$B$11*(設定!$B$12-1)))*AE200^2*(設定!$B$6*(1+設定!$B$13))/(AI200*N200*(1+K200*(L200-1))*AG200),0))</f>
        <v>553</v>
      </c>
      <c r="AO200" s="65" t="str">
        <f>IF($A200="","",IF(COUNTIF(個性タイプマスタ!$A$5:$A$100,$AM200)&gt;0,"OK","未登録"))</f>
        <v>OK</v>
      </c>
      <c r="AP200" s="67" t="str">
        <f>IF($A200="","",IF(COUNTIF(属性耐性マスタ!$A$5:$A$11,$C200)&gt;0,"OK","未登録"))</f>
        <v>OK</v>
      </c>
    </row>
    <row r="201" spans="1:42">
      <c r="A201" s="66" t="s">
        <v>502</v>
      </c>
      <c r="B201" s="51" t="s">
        <v>503</v>
      </c>
      <c r="C201" s="109" t="s">
        <v>871</v>
      </c>
      <c r="D201" s="53">
        <f>ROUND(設定!$B$5*POWER($D$2,W201-1),2)</f>
        <v>2111.38</v>
      </c>
      <c r="E201" s="54">
        <f>MAX(1,ROUND(設定!$B$6*AE201*Y201,0))</f>
        <v>1372</v>
      </c>
      <c r="F201" s="54">
        <f>MAX(0,ROUND(設定!$B$7*AE201*設定!$B$15*IF(X201="Melee",0.6,1.35)*IFERROR(VLOOKUP($AM201,個性タイプマスタ!$A$5:$P$100,14,FALSE),1),0))</f>
        <v>66</v>
      </c>
      <c r="G201" s="54">
        <f>IF(X201="Melee",AN201,MAX(1,ROUND(AN201*設定!$B$16*IFERROR(VLOOKUP($AM201,個性タイプマスタ!$A$5:$P$100,15,FALSE),1),0)))</f>
        <v>422</v>
      </c>
      <c r="H201" s="54">
        <f>IF(X201="Ranged",AN201,MAX(1,ROUND(AN201*設定!$B$16*IFERROR(VLOOKUP($AM201,個性タイプマスタ!$A$5:$P$100,15,FALSE),1),0)))</f>
        <v>123</v>
      </c>
      <c r="I201" s="54">
        <f>MAX(0,ROUND(設定!$B$8*AE201*Z201,0))</f>
        <v>105</v>
      </c>
      <c r="J201" s="54">
        <f>MAX(0,ROUND(設定!$B$9*AE201*AA201,0))</f>
        <v>115</v>
      </c>
      <c r="K201" s="55">
        <f>IFERROR(VLOOKUP($AM201,個性タイプマスタ!$A$5:$P$100,9,FALSE),0.05)</f>
        <v>0.18</v>
      </c>
      <c r="L201" s="56">
        <f>IFERROR(VLOOKUP($AM201,個性タイプマスタ!$A$5:$P$100,10,FALSE),1.5)</f>
        <v>2.1</v>
      </c>
      <c r="M201" s="56">
        <f>IFERROR(VLOOKUP($AM201,個性タイプマスタ!$A$5:$P$100,11,FALSE),2)</f>
        <v>3.15</v>
      </c>
      <c r="N201" s="57">
        <f>MAX(0.1,ROUND(設定!$B$10*AB201,3))</f>
        <v>1.35</v>
      </c>
      <c r="O201" s="57">
        <f t="shared" si="12"/>
        <v>1.29</v>
      </c>
      <c r="P201" s="58">
        <f>MAX(-10,MIN(0.8,IFERROR(INDEX(属性耐性マスタ!$B$5:$G$11,MATCH($C201,属性耐性マスタ!$A$5:$A$11,0),1),0)+IFERROR(VLOOKUP($AM201,個性タイプマスタ!$A$5:$P$100,12,FALSE),0)))</f>
        <v>-0.08</v>
      </c>
      <c r="Q201" s="58">
        <f>MAX(-10,MIN(0.8,IFERROR(INDEX(属性耐性マスタ!$B$5:$G$11,MATCH($C201,属性耐性マスタ!$A$5:$A$11,0),2),0)+IFERROR(VLOOKUP($AM201,個性タイプマスタ!$A$5:$P$100,12,FALSE),0)))</f>
        <v>-0.08</v>
      </c>
      <c r="R201" s="58">
        <f>MAX(-10,MIN(0.8,IFERROR(INDEX(属性耐性マスタ!$B$5:$G$11,MATCH($C201,属性耐性マスタ!$A$5:$A$11,0),3),0)+IFERROR(VLOOKUP($AM201,個性タイプマスタ!$A$5:$P$100,12,FALSE),0)))</f>
        <v>-0.18</v>
      </c>
      <c r="S201" s="58">
        <f>MAX(-10,MIN(0.8,IFERROR(INDEX(属性耐性マスタ!$B$5:$G$11,MATCH($C201,属性耐性マスタ!$A$5:$A$11,0),4),0)+IFERROR(VLOOKUP($AM201,個性タイプマスタ!$A$5:$P$100,12,FALSE),0)))</f>
        <v>0.12000000000000001</v>
      </c>
      <c r="T201" s="58">
        <f>MAX(-10,MIN(0.8,IFERROR(INDEX(属性耐性マスタ!$B$5:$G$11,MATCH($C201,属性耐性マスタ!$A$5:$A$11,0),5),0)+IFERROR(VLOOKUP($AM201,個性タイプマスタ!$A$5:$P$100,12,FALSE),0)))</f>
        <v>-0.08</v>
      </c>
      <c r="U201" s="58">
        <f>MAX(-10,MIN(0.8,IFERROR(INDEX(属性耐性マスタ!$B$5:$G$11,MATCH($C201,属性耐性マスタ!$A$5:$A$11,0),6),0)+IFERROR(VLOOKUP($AM201,個性タイプマスタ!$A$5:$P$100,12,FALSE),0)))</f>
        <v>-0.08</v>
      </c>
      <c r="V201" s="59">
        <f>ROUND(設定!$B$19*IFERROR(VLOOKUP($AM201,個性タイプマスタ!$A$5:$P$100,13,FALSE),1),2)</f>
        <v>4.8</v>
      </c>
      <c r="W201" s="59">
        <v>33</v>
      </c>
      <c r="X201" s="59" t="str">
        <f>IFERROR(VLOOKUP($AM201,個性タイプマスタ!$A$5:$P$100,2,FALSE),"Ranged")</f>
        <v>Melee</v>
      </c>
      <c r="Y201" s="56">
        <f>IFERROR(VLOOKUP($AM201,個性タイプマスタ!$A$5:$P$100,3,FALSE),1)</f>
        <v>0.65</v>
      </c>
      <c r="Z201" s="56">
        <f>IFERROR(VLOOKUP($AM201,個性タイプマスタ!$A$5:$P$100,4,FALSE),1)</f>
        <v>0.62</v>
      </c>
      <c r="AA201" s="56">
        <f>IFERROR(VLOOKUP($AM201,個性タイプマスタ!$A$5:$P$100,5,FALSE),1)</f>
        <v>0.68</v>
      </c>
      <c r="AB201" s="56">
        <f>IFERROR(VLOOKUP($AM201,個性タイプマスタ!$A$5:$P$100,6,FALSE),1)</f>
        <v>1.35</v>
      </c>
      <c r="AC201" s="56">
        <f>IFERROR(VLOOKUP($AM201,個性タイプマスタ!$A$5:$P$100,7,FALSE),1)</f>
        <v>0.86</v>
      </c>
      <c r="AD201" s="56">
        <f>IFERROR(VLOOKUP($AM201,個性タイプマスタ!$A$5:$P$100,8,FALSE),1)</f>
        <v>0.56999999999999995</v>
      </c>
      <c r="AE201" s="60">
        <f>IFERROR(D201/設定!$B$5,1)</f>
        <v>21.113800000000001</v>
      </c>
      <c r="AF201" s="60">
        <f>1+設定!$B$13*((I201/設定!$B$8+J201/設定!$B$9)/(2*AE201))</f>
        <v>1.195369852892421</v>
      </c>
      <c r="AG201" s="60">
        <f>MAX(0.7,1+設定!$B$14*(O201/IF(X201="Melee",1.5,2.5)-1))</f>
        <v>0.98319999999999996</v>
      </c>
      <c r="AH201" s="53">
        <f t="shared" si="13"/>
        <v>671.03458992000003</v>
      </c>
      <c r="AI201" s="53">
        <f>E201*AF201*(1+設定!$B$18*AVERAGE(P201:U201))</f>
        <v>1593.3060861806023</v>
      </c>
      <c r="AJ201" s="61">
        <f>設定!$B$5*SQRT((AH201/(設定!$B$7*設定!$B$10*(1+設定!$B$11*(設定!$B$12-1))))*(AI201/(設定!$B$6*(1+設定!$B$13))))</f>
        <v>2111.3109486421772</v>
      </c>
      <c r="AK201" s="62">
        <f t="shared" si="14"/>
        <v>-3.2704372411873628E-5</v>
      </c>
      <c r="AL201" s="63">
        <f t="shared" si="15"/>
        <v>1203.4866</v>
      </c>
      <c r="AM201" s="64" t="s">
        <v>942</v>
      </c>
      <c r="AN201" s="54">
        <f>MAX(1,ROUND((設定!$B$7*設定!$B$10*(1+設定!$B$11*(設定!$B$12-1)))*AE201^2*(設定!$B$6*(1+設定!$B$13))/(AI201*N201*(1+K201*(L201-1))*AG201),0))</f>
        <v>422</v>
      </c>
      <c r="AO201" s="65" t="str">
        <f>IF($A201="","",IF(COUNTIF(個性タイプマスタ!$A$5:$A$100,$AM201)&gt;0,"OK","未登録"))</f>
        <v>OK</v>
      </c>
      <c r="AP201" s="67" t="str">
        <f>IF($A201="","",IF(COUNTIF(属性耐性マスタ!$A$5:$A$11,$C201)&gt;0,"OK","未登録"))</f>
        <v>OK</v>
      </c>
    </row>
    <row r="202" spans="1:42">
      <c r="A202" s="66" t="s">
        <v>504</v>
      </c>
      <c r="B202" s="51" t="s">
        <v>505</v>
      </c>
      <c r="C202" s="109" t="s">
        <v>871</v>
      </c>
      <c r="D202" s="53">
        <f>ROUND(設定!$B$5*POWER($D$2,W202-1),2)</f>
        <v>2111.38</v>
      </c>
      <c r="E202" s="54">
        <f>MAX(1,ROUND(設定!$B$6*AE202*Y202,0))</f>
        <v>2027</v>
      </c>
      <c r="F202" s="54">
        <f>MAX(0,ROUND(設定!$B$7*AE202*設定!$B$15*IF(X202="Melee",0.6,1.35)*IFERROR(VLOOKUP($AM202,個性タイプマスタ!$A$5:$P$100,14,FALSE),1),0))</f>
        <v>339</v>
      </c>
      <c r="G202" s="54">
        <f>IF(X202="Melee",AN202,MAX(1,ROUND(AN202*設定!$B$16*IFERROR(VLOOKUP($AM202,個性タイプマスタ!$A$5:$P$100,15,FALSE),1),0)))</f>
        <v>112</v>
      </c>
      <c r="H202" s="54">
        <f>IF(X202="Ranged",AN202,MAX(1,ROUND(AN202*設定!$B$16*IFERROR(VLOOKUP($AM202,個性タイプマスタ!$A$5:$P$100,15,FALSE),1),0)))</f>
        <v>401</v>
      </c>
      <c r="I202" s="54">
        <f>MAX(0,ROUND(設定!$B$8*AE202*Z202,0))</f>
        <v>139</v>
      </c>
      <c r="J202" s="54">
        <f>MAX(0,ROUND(設定!$B$9*AE202*AA202,0))</f>
        <v>154</v>
      </c>
      <c r="K202" s="55">
        <f>IFERROR(VLOOKUP($AM202,個性タイプマスタ!$A$5:$P$100,9,FALSE),0.05)</f>
        <v>0.06</v>
      </c>
      <c r="L202" s="56">
        <f>IFERROR(VLOOKUP($AM202,個性タイプマスタ!$A$5:$P$100,10,FALSE),1.5)</f>
        <v>1.6</v>
      </c>
      <c r="M202" s="56">
        <f>IFERROR(VLOOKUP($AM202,個性タイプマスタ!$A$5:$P$100,11,FALSE),2)</f>
        <v>2.25</v>
      </c>
      <c r="N202" s="57">
        <f>MAX(0.1,ROUND(設定!$B$10*AB202,3))</f>
        <v>0.91</v>
      </c>
      <c r="O202" s="57">
        <f t="shared" si="12"/>
        <v>4.75</v>
      </c>
      <c r="P202" s="58">
        <f>MAX(-10,MIN(0.8,IFERROR(INDEX(属性耐性マスタ!$B$5:$G$11,MATCH($C202,属性耐性マスタ!$A$5:$A$11,0),1),0)+IFERROR(VLOOKUP($AM202,個性タイプマスタ!$A$5:$P$100,12,FALSE),0)))</f>
        <v>-0.02</v>
      </c>
      <c r="Q202" s="58">
        <f>MAX(-10,MIN(0.8,IFERROR(INDEX(属性耐性マスタ!$B$5:$G$11,MATCH($C202,属性耐性マスタ!$A$5:$A$11,0),2),0)+IFERROR(VLOOKUP($AM202,個性タイプマスタ!$A$5:$P$100,12,FALSE),0)))</f>
        <v>-0.02</v>
      </c>
      <c r="R202" s="58">
        <f>MAX(-10,MIN(0.8,IFERROR(INDEX(属性耐性マスタ!$B$5:$G$11,MATCH($C202,属性耐性マスタ!$A$5:$A$11,0),3),0)+IFERROR(VLOOKUP($AM202,個性タイプマスタ!$A$5:$P$100,12,FALSE),0)))</f>
        <v>-0.12000000000000001</v>
      </c>
      <c r="S202" s="58">
        <f>MAX(-10,MIN(0.8,IFERROR(INDEX(属性耐性マスタ!$B$5:$G$11,MATCH($C202,属性耐性マスタ!$A$5:$A$11,0),4),0)+IFERROR(VLOOKUP($AM202,個性タイプマスタ!$A$5:$P$100,12,FALSE),0)))</f>
        <v>0.18000000000000002</v>
      </c>
      <c r="T202" s="58">
        <f>MAX(-10,MIN(0.8,IFERROR(INDEX(属性耐性マスタ!$B$5:$G$11,MATCH($C202,属性耐性マスタ!$A$5:$A$11,0),5),0)+IFERROR(VLOOKUP($AM202,個性タイプマスタ!$A$5:$P$100,12,FALSE),0)))</f>
        <v>-0.02</v>
      </c>
      <c r="U202" s="58">
        <f>MAX(-10,MIN(0.8,IFERROR(INDEX(属性耐性マスタ!$B$5:$G$11,MATCH($C202,属性耐性マスタ!$A$5:$A$11,0),6),0)+IFERROR(VLOOKUP($AM202,個性タイプマスタ!$A$5:$P$100,12,FALSE),0)))</f>
        <v>-0.02</v>
      </c>
      <c r="V202" s="59">
        <f>ROUND(設定!$B$19*IFERROR(VLOOKUP($AM202,個性タイプマスタ!$A$5:$P$100,13,FALSE),1),2)</f>
        <v>6.6</v>
      </c>
      <c r="W202" s="59">
        <v>33</v>
      </c>
      <c r="X202" s="59" t="str">
        <f>IFERROR(VLOOKUP($AM202,個性タイプマスタ!$A$5:$P$100,2,FALSE),"Ranged")</f>
        <v>Ranged</v>
      </c>
      <c r="Y202" s="56">
        <f>IFERROR(VLOOKUP($AM202,個性タイプマスタ!$A$5:$P$100,3,FALSE),1)</f>
        <v>0.96</v>
      </c>
      <c r="Z202" s="56">
        <f>IFERROR(VLOOKUP($AM202,個性タイプマスタ!$A$5:$P$100,4,FALSE),1)</f>
        <v>0.82</v>
      </c>
      <c r="AA202" s="56">
        <f>IFERROR(VLOOKUP($AM202,個性タイプマスタ!$A$5:$P$100,5,FALSE),1)</f>
        <v>0.91</v>
      </c>
      <c r="AB202" s="56">
        <f>IFERROR(VLOOKUP($AM202,個性タイプマスタ!$A$5:$P$100,6,FALSE),1)</f>
        <v>0.91</v>
      </c>
      <c r="AC202" s="56">
        <f>IFERROR(VLOOKUP($AM202,個性タイプマスタ!$A$5:$P$100,7,FALSE),1)</f>
        <v>1.9</v>
      </c>
      <c r="AD202" s="56">
        <f>IFERROR(VLOOKUP($AM202,個性タイプマスタ!$A$5:$P$100,8,FALSE),1)</f>
        <v>0.75</v>
      </c>
      <c r="AE202" s="60">
        <f>IFERROR(D202/設定!$B$5,1)</f>
        <v>21.113800000000001</v>
      </c>
      <c r="AF202" s="60">
        <f>1+設定!$B$13*((I202/設定!$B$8+J202/設定!$B$9)/(2*AE202))</f>
        <v>1.2601971222612698</v>
      </c>
      <c r="AG202" s="60">
        <f>MAX(0.7,1+設定!$B$14*(O202/IF(X202="Melee",1.5,2.5)-1))</f>
        <v>1.1080000000000001</v>
      </c>
      <c r="AH202" s="53">
        <f t="shared" si="13"/>
        <v>418.87581008000012</v>
      </c>
      <c r="AI202" s="53">
        <f>E202*AF202*(1+設定!$B$18*AVERAGE(P202:U202))</f>
        <v>2550.5879374733586</v>
      </c>
      <c r="AJ202" s="61">
        <f>設定!$B$5*SQRT((AH202/(設定!$B$7*設定!$B$10*(1+設定!$B$11*(設定!$B$12-1))))*(AI202/(設定!$B$6*(1+設定!$B$13))))</f>
        <v>2110.5368030916234</v>
      </c>
      <c r="AK202" s="62">
        <f t="shared" si="14"/>
        <v>-3.993581962398185E-4</v>
      </c>
      <c r="AL202" s="63">
        <f t="shared" si="15"/>
        <v>1583.5350000000001</v>
      </c>
      <c r="AM202" s="64" t="s">
        <v>918</v>
      </c>
      <c r="AN202" s="54">
        <f>MAX(1,ROUND((設定!$B$7*設定!$B$10*(1+設定!$B$11*(設定!$B$12-1)))*AE202^2*(設定!$B$6*(1+設定!$B$13))/(AI202*N202*(1+K202*(L202-1))*AG202),0))</f>
        <v>401</v>
      </c>
      <c r="AO202" s="65" t="str">
        <f>IF($A202="","",IF(COUNTIF(個性タイプマスタ!$A$5:$A$100,$AM202)&gt;0,"OK","未登録"))</f>
        <v>OK</v>
      </c>
      <c r="AP202" s="67" t="str">
        <f>IF($A202="","",IF(COUNTIF(属性耐性マスタ!$A$5:$A$11,$C202)&gt;0,"OK","未登録"))</f>
        <v>OK</v>
      </c>
    </row>
    <row r="203" spans="1:42">
      <c r="A203" s="66" t="s">
        <v>506</v>
      </c>
      <c r="B203" s="51" t="s">
        <v>507</v>
      </c>
      <c r="C203" s="109" t="s">
        <v>114</v>
      </c>
      <c r="D203" s="53">
        <f>ROUND(設定!$B$5*POWER($D$2,W203-1),2)</f>
        <v>2322.52</v>
      </c>
      <c r="E203" s="54">
        <f>MAX(1,ROUND(設定!$B$6*AE203*Y203,0))</f>
        <v>1556</v>
      </c>
      <c r="F203" s="54">
        <f>MAX(0,ROUND(設定!$B$7*AE203*設定!$B$15*IF(X203="Melee",0.6,1.35)*IFERROR(VLOOKUP($AM203,個性タイプマスタ!$A$5:$P$100,14,FALSE),1),0))</f>
        <v>372</v>
      </c>
      <c r="G203" s="54">
        <f>IF(X203="Melee",AN203,MAX(1,ROUND(AN203*設定!$B$16*IFERROR(VLOOKUP($AM203,個性タイプマスタ!$A$5:$P$100,15,FALSE),1),0)))</f>
        <v>172</v>
      </c>
      <c r="H203" s="54">
        <f>IF(X203="Ranged",AN203,MAX(1,ROUND(AN203*設定!$B$16*IFERROR(VLOOKUP($AM203,個性タイプマスタ!$A$5:$P$100,15,FALSE),1),0)))</f>
        <v>736</v>
      </c>
      <c r="I203" s="54">
        <f>MAX(0,ROUND(設定!$B$8*AE203*Z203,0))</f>
        <v>121</v>
      </c>
      <c r="J203" s="54">
        <f>MAX(0,ROUND(設定!$B$9*AE203*AA203,0))</f>
        <v>149</v>
      </c>
      <c r="K203" s="55">
        <f>IFERROR(VLOOKUP($AM203,個性タイプマスタ!$A$5:$P$100,9,FALSE),0.05)</f>
        <v>0.18</v>
      </c>
      <c r="L203" s="56">
        <f>IFERROR(VLOOKUP($AM203,個性タイプマスタ!$A$5:$P$100,10,FALSE),1.5)</f>
        <v>1.85</v>
      </c>
      <c r="M203" s="56">
        <f>IFERROR(VLOOKUP($AM203,個性タイプマスタ!$A$5:$P$100,11,FALSE),2)</f>
        <v>2.0499999999999998</v>
      </c>
      <c r="N203" s="57">
        <f>MAX(0.1,ROUND(設定!$B$10*AB203,3))</f>
        <v>0.75</v>
      </c>
      <c r="O203" s="57">
        <f t="shared" si="12"/>
        <v>4.45</v>
      </c>
      <c r="P203" s="58">
        <f>MAX(-10,MIN(0.8,IFERROR(INDEX(属性耐性マスタ!$B$5:$G$11,MATCH($C203,属性耐性マスタ!$A$5:$A$11,0),1),0)+IFERROR(VLOOKUP($AM203,個性タイプマスタ!$A$5:$P$100,12,FALSE),0)))</f>
        <v>-0.06</v>
      </c>
      <c r="Q203" s="58">
        <f>MAX(-10,MIN(0.8,IFERROR(INDEX(属性耐性マスタ!$B$5:$G$11,MATCH($C203,属性耐性マスタ!$A$5:$A$11,0),2),0)+IFERROR(VLOOKUP($AM203,個性タイプマスタ!$A$5:$P$100,12,FALSE),0)))</f>
        <v>-0.06</v>
      </c>
      <c r="R203" s="58">
        <f>MAX(-10,MIN(0.8,IFERROR(INDEX(属性耐性マスタ!$B$5:$G$11,MATCH($C203,属性耐性マスタ!$A$5:$A$11,0),3),0)+IFERROR(VLOOKUP($AM203,個性タイプマスタ!$A$5:$P$100,12,FALSE),0)))</f>
        <v>0.14000000000000001</v>
      </c>
      <c r="S203" s="58">
        <f>MAX(-10,MIN(0.8,IFERROR(INDEX(属性耐性マスタ!$B$5:$G$11,MATCH($C203,属性耐性マスタ!$A$5:$A$11,0),4),0)+IFERROR(VLOOKUP($AM203,個性タイプマスタ!$A$5:$P$100,12,FALSE),0)))</f>
        <v>-0.16</v>
      </c>
      <c r="T203" s="58">
        <f>MAX(-10,MIN(0.8,IFERROR(INDEX(属性耐性マスタ!$B$5:$G$11,MATCH($C203,属性耐性マスタ!$A$5:$A$11,0),5),0)+IFERROR(VLOOKUP($AM203,個性タイプマスタ!$A$5:$P$100,12,FALSE),0)))</f>
        <v>-0.06</v>
      </c>
      <c r="U203" s="58">
        <f>MAX(-10,MIN(0.8,IFERROR(INDEX(属性耐性マスタ!$B$5:$G$11,MATCH($C203,属性耐性マスタ!$A$5:$A$11,0),6),0)+IFERROR(VLOOKUP($AM203,個性タイプマスタ!$A$5:$P$100,12,FALSE),0)))</f>
        <v>-0.06</v>
      </c>
      <c r="V203" s="59">
        <f>ROUND(設定!$B$19*IFERROR(VLOOKUP($AM203,個性タイプマスタ!$A$5:$P$100,13,FALSE),1),2)</f>
        <v>5.6</v>
      </c>
      <c r="W203" s="59">
        <v>34</v>
      </c>
      <c r="X203" s="59" t="str">
        <f>IFERROR(VLOOKUP($AM203,個性タイプマスタ!$A$5:$P$100,2,FALSE),"Ranged")</f>
        <v>Ranged</v>
      </c>
      <c r="Y203" s="56">
        <f>IFERROR(VLOOKUP($AM203,個性タイプマスタ!$A$5:$P$100,3,FALSE),1)</f>
        <v>0.67</v>
      </c>
      <c r="Z203" s="56">
        <f>IFERROR(VLOOKUP($AM203,個性タイプマスタ!$A$5:$P$100,4,FALSE),1)</f>
        <v>0.65</v>
      </c>
      <c r="AA203" s="56">
        <f>IFERROR(VLOOKUP($AM203,個性タイプマスタ!$A$5:$P$100,5,FALSE),1)</f>
        <v>0.8</v>
      </c>
      <c r="AB203" s="56">
        <f>IFERROR(VLOOKUP($AM203,個性タイプマスタ!$A$5:$P$100,6,FALSE),1)</f>
        <v>0.75</v>
      </c>
      <c r="AC203" s="56">
        <f>IFERROR(VLOOKUP($AM203,個性タイプマスタ!$A$5:$P$100,7,FALSE),1)</f>
        <v>1.78</v>
      </c>
      <c r="AD203" s="56">
        <f>IFERROR(VLOOKUP($AM203,個性タイプマスタ!$A$5:$P$100,8,FALSE),1)</f>
        <v>0.62</v>
      </c>
      <c r="AE203" s="60">
        <f>IFERROR(D203/設定!$B$5,1)</f>
        <v>23.225200000000001</v>
      </c>
      <c r="AF203" s="60">
        <f>1+設定!$B$13*((I203/設定!$B$8+J203/設定!$B$9)/(2*AE203))</f>
        <v>1.2179744415548628</v>
      </c>
      <c r="AG203" s="60">
        <f>MAX(0.7,1+設定!$B$14*(O203/IF(X203="Melee",1.5,2.5)-1))</f>
        <v>1.0935999999999999</v>
      </c>
      <c r="AH203" s="53">
        <f t="shared" si="13"/>
        <v>696.02828160000001</v>
      </c>
      <c r="AI203" s="53">
        <f>E203*AF203*(1+設定!$B$18*AVERAGE(P203:U203))</f>
        <v>1858.2124505537088</v>
      </c>
      <c r="AJ203" s="61">
        <f>設定!$B$5*SQRT((AH203/(設定!$B$7*設定!$B$10*(1+設定!$B$11*(設定!$B$12-1))))*(AI203/(設定!$B$6*(1+設定!$B$13))))</f>
        <v>2322.1553203205931</v>
      </c>
      <c r="AK203" s="62">
        <f t="shared" si="14"/>
        <v>-1.5701896190645215E-4</v>
      </c>
      <c r="AL203" s="63">
        <f t="shared" si="15"/>
        <v>1439.9623999999999</v>
      </c>
      <c r="AM203" s="64" t="s">
        <v>910</v>
      </c>
      <c r="AN203" s="54">
        <f>MAX(1,ROUND((設定!$B$7*設定!$B$10*(1+設定!$B$11*(設定!$B$12-1)))*AE203^2*(設定!$B$6*(1+設定!$B$13))/(AI203*N203*(1+K203*(L203-1))*AG203),0))</f>
        <v>736</v>
      </c>
      <c r="AO203" s="65" t="str">
        <f>IF($A203="","",IF(COUNTIF(個性タイプマスタ!$A$5:$A$100,$AM203)&gt;0,"OK","未登録"))</f>
        <v>OK</v>
      </c>
      <c r="AP203" s="67" t="str">
        <f>IF($A203="","",IF(COUNTIF(属性耐性マスタ!$A$5:$A$11,$C203)&gt;0,"OK","未登録"))</f>
        <v>OK</v>
      </c>
    </row>
    <row r="204" spans="1:42">
      <c r="A204" s="66" t="s">
        <v>508</v>
      </c>
      <c r="B204" s="51" t="s">
        <v>509</v>
      </c>
      <c r="C204" s="109" t="s">
        <v>871</v>
      </c>
      <c r="D204" s="53">
        <f>ROUND(設定!$B$5*POWER($D$2,W204-1),2)</f>
        <v>2322.52</v>
      </c>
      <c r="E204" s="54">
        <f>MAX(1,ROUND(設定!$B$6*AE204*Y204,0))</f>
        <v>1904</v>
      </c>
      <c r="F204" s="54">
        <f>MAX(0,ROUND(設定!$B$7*AE204*設定!$B$15*IF(X204="Melee",0.6,1.35)*IFERROR(VLOOKUP($AM204,個性タイプマスタ!$A$5:$P$100,14,FALSE),1),0))</f>
        <v>457</v>
      </c>
      <c r="G204" s="54">
        <f>IF(X204="Melee",AN204,MAX(1,ROUND(AN204*設定!$B$16*IFERROR(VLOOKUP($AM204,個性タイプマスタ!$A$5:$P$100,15,FALSE),1),0)))</f>
        <v>176</v>
      </c>
      <c r="H204" s="54">
        <f>IF(X204="Ranged",AN204,MAX(1,ROUND(AN204*設定!$B$16*IFERROR(VLOOKUP($AM204,個性タイプマスタ!$A$5:$P$100,15,FALSE),1),0)))</f>
        <v>652</v>
      </c>
      <c r="I204" s="54">
        <f>MAX(0,ROUND(設定!$B$8*AE204*Z204,0))</f>
        <v>150</v>
      </c>
      <c r="J204" s="54">
        <f>MAX(0,ROUND(設定!$B$9*AE204*AA204,0))</f>
        <v>162</v>
      </c>
      <c r="K204" s="55">
        <f>IFERROR(VLOOKUP($AM204,個性タイプマスタ!$A$5:$P$100,9,FALSE),0.05)</f>
        <v>0.12</v>
      </c>
      <c r="L204" s="56">
        <f>IFERROR(VLOOKUP($AM204,個性タイプマスタ!$A$5:$P$100,10,FALSE),1.5)</f>
        <v>2.5499999999999998</v>
      </c>
      <c r="M204" s="56">
        <f>IFERROR(VLOOKUP($AM204,個性タイプマスタ!$A$5:$P$100,11,FALSE),2)</f>
        <v>2.2999999999999998</v>
      </c>
      <c r="N204" s="57">
        <f>MAX(0.1,ROUND(設定!$B$10*AB204,3))</f>
        <v>0.68</v>
      </c>
      <c r="O204" s="57">
        <f t="shared" si="12"/>
        <v>3.55</v>
      </c>
      <c r="P204" s="58">
        <f>MAX(-10,MIN(0.8,IFERROR(INDEX(属性耐性マスタ!$B$5:$G$11,MATCH($C204,属性耐性マスタ!$A$5:$A$11,0),1),0)+IFERROR(VLOOKUP($AM204,個性タイプマスタ!$A$5:$P$100,12,FALSE),0)))</f>
        <v>-5.5E-2</v>
      </c>
      <c r="Q204" s="58">
        <f>MAX(-10,MIN(0.8,IFERROR(INDEX(属性耐性マスタ!$B$5:$G$11,MATCH($C204,属性耐性マスタ!$A$5:$A$11,0),2),0)+IFERROR(VLOOKUP($AM204,個性タイプマスタ!$A$5:$P$100,12,FALSE),0)))</f>
        <v>-5.5E-2</v>
      </c>
      <c r="R204" s="58">
        <f>MAX(-10,MIN(0.8,IFERROR(INDEX(属性耐性マスタ!$B$5:$G$11,MATCH($C204,属性耐性マスタ!$A$5:$A$11,0),3),0)+IFERROR(VLOOKUP($AM204,個性タイプマスタ!$A$5:$P$100,12,FALSE),0)))</f>
        <v>-0.155</v>
      </c>
      <c r="S204" s="58">
        <f>MAX(-10,MIN(0.8,IFERROR(INDEX(属性耐性マスタ!$B$5:$G$11,MATCH($C204,属性耐性マスタ!$A$5:$A$11,0),4),0)+IFERROR(VLOOKUP($AM204,個性タイプマスタ!$A$5:$P$100,12,FALSE),0)))</f>
        <v>0.14500000000000002</v>
      </c>
      <c r="T204" s="58">
        <f>MAX(-10,MIN(0.8,IFERROR(INDEX(属性耐性マスタ!$B$5:$G$11,MATCH($C204,属性耐性マスタ!$A$5:$A$11,0),5),0)+IFERROR(VLOOKUP($AM204,個性タイプマスタ!$A$5:$P$100,12,FALSE),0)))</f>
        <v>-5.5E-2</v>
      </c>
      <c r="U204" s="58">
        <f>MAX(-10,MIN(0.8,IFERROR(INDEX(属性耐性マスタ!$B$5:$G$11,MATCH($C204,属性耐性マスタ!$A$5:$A$11,0),6),0)+IFERROR(VLOOKUP($AM204,個性タイプマスタ!$A$5:$P$100,12,FALSE),0)))</f>
        <v>-5.5E-2</v>
      </c>
      <c r="V204" s="59">
        <f>ROUND(設定!$B$19*IFERROR(VLOOKUP($AM204,個性タイプマスタ!$A$5:$P$100,13,FALSE),1),2)</f>
        <v>4.8</v>
      </c>
      <c r="W204" s="59">
        <v>34</v>
      </c>
      <c r="X204" s="59" t="str">
        <f>IFERROR(VLOOKUP($AM204,個性タイプマスタ!$A$5:$P$100,2,FALSE),"Ranged")</f>
        <v>Ranged</v>
      </c>
      <c r="Y204" s="56">
        <f>IFERROR(VLOOKUP($AM204,個性タイプマスタ!$A$5:$P$100,3,FALSE),1)</f>
        <v>0.82</v>
      </c>
      <c r="Z204" s="56">
        <f>IFERROR(VLOOKUP($AM204,個性タイプマスタ!$A$5:$P$100,4,FALSE),1)</f>
        <v>0.81</v>
      </c>
      <c r="AA204" s="56">
        <f>IFERROR(VLOOKUP($AM204,個性タイプマスタ!$A$5:$P$100,5,FALSE),1)</f>
        <v>0.87</v>
      </c>
      <c r="AB204" s="56">
        <f>IFERROR(VLOOKUP($AM204,個性タイプマスタ!$A$5:$P$100,6,FALSE),1)</f>
        <v>0.68</v>
      </c>
      <c r="AC204" s="56">
        <f>IFERROR(VLOOKUP($AM204,個性タイプマスタ!$A$5:$P$100,7,FALSE),1)</f>
        <v>1.42</v>
      </c>
      <c r="AD204" s="56">
        <f>IFERROR(VLOOKUP($AM204,個性タイプマスタ!$A$5:$P$100,8,FALSE),1)</f>
        <v>0.67</v>
      </c>
      <c r="AE204" s="60">
        <f>IFERROR(D204/設定!$B$5,1)</f>
        <v>23.225200000000001</v>
      </c>
      <c r="AF204" s="60">
        <f>1+設定!$B$13*((I204/設定!$B$8+J204/設定!$B$9)/(2*AE204))</f>
        <v>1.2518815769078415</v>
      </c>
      <c r="AG204" s="60">
        <f>MAX(0.7,1+設定!$B$14*(O204/IF(X204="Melee",1.5,2.5)-1))</f>
        <v>1.0504</v>
      </c>
      <c r="AH204" s="53">
        <f t="shared" si="13"/>
        <v>552.32653798400008</v>
      </c>
      <c r="AI204" s="53">
        <f>E204*AF204*(1+設定!$B$18*AVERAGE(P204:U204))</f>
        <v>2342.4657239205694</v>
      </c>
      <c r="AJ204" s="61">
        <f>設定!$B$5*SQRT((AH204/(設定!$B$7*設定!$B$10*(1+設定!$B$11*(設定!$B$12-1))))*(AI204/(設定!$B$6*(1+設定!$B$13))))</f>
        <v>2322.5480961005214</v>
      </c>
      <c r="AK204" s="62">
        <f t="shared" si="14"/>
        <v>1.2097248041520459E-5</v>
      </c>
      <c r="AL204" s="63">
        <f t="shared" si="15"/>
        <v>1556.0884000000001</v>
      </c>
      <c r="AM204" s="64" t="s">
        <v>924</v>
      </c>
      <c r="AN204" s="54">
        <f>MAX(1,ROUND((設定!$B$7*設定!$B$10*(1+設定!$B$11*(設定!$B$12-1)))*AE204^2*(設定!$B$6*(1+設定!$B$13))/(AI204*N204*(1+K204*(L204-1))*AG204),0))</f>
        <v>652</v>
      </c>
      <c r="AO204" s="65" t="str">
        <f>IF($A204="","",IF(COUNTIF(個性タイプマスタ!$A$5:$A$100,$AM204)&gt;0,"OK","未登録"))</f>
        <v>OK</v>
      </c>
      <c r="AP204" s="67" t="str">
        <f>IF($A204="","",IF(COUNTIF(属性耐性マスタ!$A$5:$A$11,$C204)&gt;0,"OK","未登録"))</f>
        <v>OK</v>
      </c>
    </row>
    <row r="205" spans="1:42">
      <c r="A205" s="66" t="s">
        <v>510</v>
      </c>
      <c r="B205" s="51" t="s">
        <v>511</v>
      </c>
      <c r="C205" s="109" t="s">
        <v>114</v>
      </c>
      <c r="D205" s="53">
        <f>ROUND(設定!$B$5*POWER($D$2,W205-1),2)</f>
        <v>2322.52</v>
      </c>
      <c r="E205" s="54">
        <f>MAX(1,ROUND(設定!$B$6*AE205*Y205,0))</f>
        <v>3252</v>
      </c>
      <c r="F205" s="54">
        <f>MAX(0,ROUND(設定!$B$7*AE205*設定!$B$15*IF(X205="Melee",0.6,1.35)*IFERROR(VLOOKUP($AM205,個性タイプマスタ!$A$5:$P$100,14,FALSE),1),0))</f>
        <v>745</v>
      </c>
      <c r="G205" s="54">
        <f>IF(X205="Melee",AN205,MAX(1,ROUND(AN205*設定!$B$16*IFERROR(VLOOKUP($AM205,個性タイプマスタ!$A$5:$P$100,15,FALSE),1),0)))</f>
        <v>124</v>
      </c>
      <c r="H205" s="54">
        <f>IF(X205="Ranged",AN205,MAX(1,ROUND(AN205*設定!$B$16*IFERROR(VLOOKUP($AM205,個性タイプマスタ!$A$5:$P$100,15,FALSE),1),0)))</f>
        <v>329</v>
      </c>
      <c r="I205" s="54">
        <f>MAX(0,ROUND(設定!$B$8*AE205*Z205,0))</f>
        <v>177</v>
      </c>
      <c r="J205" s="54">
        <f>MAX(0,ROUND(設定!$B$9*AE205*AA205,0))</f>
        <v>312</v>
      </c>
      <c r="K205" s="55">
        <f>IFERROR(VLOOKUP($AM205,個性タイプマスタ!$A$5:$P$100,9,FALSE),0.05)</f>
        <v>0.115</v>
      </c>
      <c r="L205" s="56">
        <f>IFERROR(VLOOKUP($AM205,個性タイプマスタ!$A$5:$P$100,10,FALSE),1.5)</f>
        <v>1.95</v>
      </c>
      <c r="M205" s="56">
        <f>IFERROR(VLOOKUP($AM205,個性タイプマスタ!$A$5:$P$100,11,FALSE),2)</f>
        <v>1.2</v>
      </c>
      <c r="N205" s="57">
        <f>MAX(0.1,ROUND(設定!$B$10*AB205,3))</f>
        <v>0.72</v>
      </c>
      <c r="O205" s="57">
        <f t="shared" si="12"/>
        <v>3.3250000000000002</v>
      </c>
      <c r="P205" s="58">
        <f>MAX(-10,MIN(0.8,IFERROR(INDEX(属性耐性マスタ!$B$5:$G$11,MATCH($C205,属性耐性マスタ!$A$5:$A$11,0),1),0)+IFERROR(VLOOKUP($AM205,個性タイプマスタ!$A$5:$P$100,12,FALSE),0)))</f>
        <v>0.08</v>
      </c>
      <c r="Q205" s="58">
        <f>MAX(-10,MIN(0.8,IFERROR(INDEX(属性耐性マスタ!$B$5:$G$11,MATCH($C205,属性耐性マスタ!$A$5:$A$11,0),2),0)+IFERROR(VLOOKUP($AM205,個性タイプマスタ!$A$5:$P$100,12,FALSE),0)))</f>
        <v>0.08</v>
      </c>
      <c r="R205" s="58">
        <f>MAX(-10,MIN(0.8,IFERROR(INDEX(属性耐性マスタ!$B$5:$G$11,MATCH($C205,属性耐性マスタ!$A$5:$A$11,0),3),0)+IFERROR(VLOOKUP($AM205,個性タイプマスタ!$A$5:$P$100,12,FALSE),0)))</f>
        <v>0.28000000000000003</v>
      </c>
      <c r="S205" s="58">
        <f>MAX(-10,MIN(0.8,IFERROR(INDEX(属性耐性マスタ!$B$5:$G$11,MATCH($C205,属性耐性マスタ!$A$5:$A$11,0),4),0)+IFERROR(VLOOKUP($AM205,個性タイプマスタ!$A$5:$P$100,12,FALSE),0)))</f>
        <v>-2.0000000000000004E-2</v>
      </c>
      <c r="T205" s="58">
        <f>MAX(-10,MIN(0.8,IFERROR(INDEX(属性耐性マスタ!$B$5:$G$11,MATCH($C205,属性耐性マスタ!$A$5:$A$11,0),5),0)+IFERROR(VLOOKUP($AM205,個性タイプマスタ!$A$5:$P$100,12,FALSE),0)))</f>
        <v>0.08</v>
      </c>
      <c r="U205" s="58">
        <f>MAX(-10,MIN(0.8,IFERROR(INDEX(属性耐性マスタ!$B$5:$G$11,MATCH($C205,属性耐性マスタ!$A$5:$A$11,0),6),0)+IFERROR(VLOOKUP($AM205,個性タイプマスタ!$A$5:$P$100,12,FALSE),0)))</f>
        <v>0.08</v>
      </c>
      <c r="V205" s="59">
        <f>ROUND(設定!$B$19*IFERROR(VLOOKUP($AM205,個性タイプマスタ!$A$5:$P$100,13,FALSE),1),2)</f>
        <v>5</v>
      </c>
      <c r="W205" s="59">
        <v>34</v>
      </c>
      <c r="X205" s="59" t="str">
        <f>IFERROR(VLOOKUP($AM205,個性タイプマスタ!$A$5:$P$100,2,FALSE),"Ranged")</f>
        <v>Ranged</v>
      </c>
      <c r="Y205" s="56">
        <f>IFERROR(VLOOKUP($AM205,個性タイプマスタ!$A$5:$P$100,3,FALSE),1)</f>
        <v>1.4</v>
      </c>
      <c r="Z205" s="56">
        <f>IFERROR(VLOOKUP($AM205,個性タイプマスタ!$A$5:$P$100,4,FALSE),1)</f>
        <v>0.95</v>
      </c>
      <c r="AA205" s="56">
        <f>IFERROR(VLOOKUP($AM205,個性タイプマスタ!$A$5:$P$100,5,FALSE),1)</f>
        <v>1.68</v>
      </c>
      <c r="AB205" s="56">
        <f>IFERROR(VLOOKUP($AM205,個性タイプマスタ!$A$5:$P$100,6,FALSE),1)</f>
        <v>0.72</v>
      </c>
      <c r="AC205" s="56">
        <f>IFERROR(VLOOKUP($AM205,個性タイプマスタ!$A$5:$P$100,7,FALSE),1)</f>
        <v>1.33</v>
      </c>
      <c r="AD205" s="56">
        <f>IFERROR(VLOOKUP($AM205,個性タイプマスタ!$A$5:$P$100,8,FALSE),1)</f>
        <v>0.86</v>
      </c>
      <c r="AE205" s="60">
        <f>IFERROR(D205/設定!$B$5,1)</f>
        <v>23.225200000000001</v>
      </c>
      <c r="AF205" s="60">
        <f>1+設定!$B$13*((I205/設定!$B$8+J205/設定!$B$9)/(2*AE205))</f>
        <v>1.3947759330382514</v>
      </c>
      <c r="AG205" s="60">
        <f>MAX(0.7,1+設定!$B$14*(O205/IF(X205="Melee",1.5,2.5)-1))</f>
        <v>1.0396000000000001</v>
      </c>
      <c r="AH205" s="53">
        <f t="shared" si="13"/>
        <v>273.16440194400002</v>
      </c>
      <c r="AI205" s="53">
        <f>E205*AF205*(1+設定!$B$18*AVERAGE(P205:U205))</f>
        <v>4733.1191272798515</v>
      </c>
      <c r="AJ205" s="61">
        <f>設定!$B$5*SQRT((AH205/(設定!$B$7*設定!$B$10*(1+設定!$B$11*(設定!$B$12-1))))*(AI205/(設定!$B$6*(1+設定!$B$13))))</f>
        <v>2321.7524235303144</v>
      </c>
      <c r="AK205" s="62">
        <f t="shared" si="14"/>
        <v>-3.304929428747938E-4</v>
      </c>
      <c r="AL205" s="63">
        <f t="shared" si="15"/>
        <v>1997.3671999999999</v>
      </c>
      <c r="AM205" s="64" t="s">
        <v>938</v>
      </c>
      <c r="AN205" s="54">
        <f>MAX(1,ROUND((設定!$B$7*設定!$B$10*(1+設定!$B$11*(設定!$B$12-1)))*AE205^2*(設定!$B$6*(1+設定!$B$13))/(AI205*N205*(1+K205*(L205-1))*AG205),0))</f>
        <v>329</v>
      </c>
      <c r="AO205" s="65" t="str">
        <f>IF($A205="","",IF(COUNTIF(個性タイプマスタ!$A$5:$A$100,$AM205)&gt;0,"OK","未登録"))</f>
        <v>OK</v>
      </c>
      <c r="AP205" s="67" t="str">
        <f>IF($A205="","",IF(COUNTIF(属性耐性マスタ!$A$5:$A$11,$C205)&gt;0,"OK","未登録"))</f>
        <v>OK</v>
      </c>
    </row>
    <row r="206" spans="1:42">
      <c r="A206" s="66" t="s">
        <v>512</v>
      </c>
      <c r="B206" s="51" t="s">
        <v>513</v>
      </c>
      <c r="C206" s="109" t="s">
        <v>871</v>
      </c>
      <c r="D206" s="53">
        <f>ROUND(設定!$B$5*POWER($D$2,W206-1),2)</f>
        <v>2322.52</v>
      </c>
      <c r="E206" s="54">
        <f>MAX(1,ROUND(設定!$B$6*AE206*Y206,0))</f>
        <v>3716</v>
      </c>
      <c r="F206" s="54">
        <f>MAX(0,ROUND(設定!$B$7*AE206*設定!$B$15*IF(X206="Melee",0.6,1.35)*IFERROR(VLOOKUP($AM206,個性タイプマスタ!$A$5:$P$100,14,FALSE),1),0))</f>
        <v>128</v>
      </c>
      <c r="G206" s="54">
        <f>IF(X206="Melee",AN206,MAX(1,ROUND(AN206*設定!$B$16*IFERROR(VLOOKUP($AM206,個性タイプマスタ!$A$5:$P$100,15,FALSE),1),0)))</f>
        <v>282</v>
      </c>
      <c r="H206" s="54">
        <f>IF(X206="Ranged",AN206,MAX(1,ROUND(AN206*設定!$B$16*IFERROR(VLOOKUP($AM206,個性タイプマスタ!$A$5:$P$100,15,FALSE),1),0)))</f>
        <v>127</v>
      </c>
      <c r="I206" s="54">
        <f>MAX(0,ROUND(設定!$B$8*AE206*Z206,0))</f>
        <v>288</v>
      </c>
      <c r="J206" s="54">
        <f>MAX(0,ROUND(設定!$B$9*AE206*AA206,0))</f>
        <v>260</v>
      </c>
      <c r="K206" s="55">
        <f>IFERROR(VLOOKUP($AM206,個性タイプマスタ!$A$5:$P$100,9,FALSE),0.05)</f>
        <v>0.04</v>
      </c>
      <c r="L206" s="56">
        <f>IFERROR(VLOOKUP($AM206,個性タイプマスタ!$A$5:$P$100,10,FALSE),1.5)</f>
        <v>1.4</v>
      </c>
      <c r="M206" s="56">
        <f>IFERROR(VLOOKUP($AM206,個性タイプマスタ!$A$5:$P$100,11,FALSE),2)</f>
        <v>2.2000000000000002</v>
      </c>
      <c r="N206" s="57">
        <f>MAX(0.1,ROUND(設定!$B$10*AB206,3))</f>
        <v>0.82</v>
      </c>
      <c r="O206" s="57">
        <f t="shared" si="12"/>
        <v>1.2</v>
      </c>
      <c r="P206" s="58">
        <f>MAX(-10,MIN(0.8,IFERROR(INDEX(属性耐性マスタ!$B$5:$G$11,MATCH($C206,属性耐性マスタ!$A$5:$A$11,0),1),0)+IFERROR(VLOOKUP($AM206,個性タイプマスタ!$A$5:$P$100,12,FALSE),0)))</f>
        <v>0.1</v>
      </c>
      <c r="Q206" s="58">
        <f>MAX(-10,MIN(0.8,IFERROR(INDEX(属性耐性マスタ!$B$5:$G$11,MATCH($C206,属性耐性マスタ!$A$5:$A$11,0),2),0)+IFERROR(VLOOKUP($AM206,個性タイプマスタ!$A$5:$P$100,12,FALSE),0)))</f>
        <v>0.1</v>
      </c>
      <c r="R206" s="58">
        <f>MAX(-10,MIN(0.8,IFERROR(INDEX(属性耐性マスタ!$B$5:$G$11,MATCH($C206,属性耐性マスタ!$A$5:$A$11,0),3),0)+IFERROR(VLOOKUP($AM206,個性タイプマスタ!$A$5:$P$100,12,FALSE),0)))</f>
        <v>0</v>
      </c>
      <c r="S206" s="58">
        <f>MAX(-10,MIN(0.8,IFERROR(INDEX(属性耐性マスタ!$B$5:$G$11,MATCH($C206,属性耐性マスタ!$A$5:$A$11,0),4),0)+IFERROR(VLOOKUP($AM206,個性タイプマスタ!$A$5:$P$100,12,FALSE),0)))</f>
        <v>0.30000000000000004</v>
      </c>
      <c r="T206" s="58">
        <f>MAX(-10,MIN(0.8,IFERROR(INDEX(属性耐性マスタ!$B$5:$G$11,MATCH($C206,属性耐性マスタ!$A$5:$A$11,0),5),0)+IFERROR(VLOOKUP($AM206,個性タイプマスタ!$A$5:$P$100,12,FALSE),0)))</f>
        <v>0.1</v>
      </c>
      <c r="U206" s="58">
        <f>MAX(-10,MIN(0.8,IFERROR(INDEX(属性耐性マスタ!$B$5:$G$11,MATCH($C206,属性耐性マスタ!$A$5:$A$11,0),6),0)+IFERROR(VLOOKUP($AM206,個性タイプマスタ!$A$5:$P$100,12,FALSE),0)))</f>
        <v>0.1</v>
      </c>
      <c r="V206" s="59">
        <f>ROUND(設定!$B$19*IFERROR(VLOOKUP($AM206,個性タイプマスタ!$A$5:$P$100,13,FALSE),1),2)</f>
        <v>4</v>
      </c>
      <c r="W206" s="59">
        <v>34</v>
      </c>
      <c r="X206" s="59" t="str">
        <f>IFERROR(VLOOKUP($AM206,個性タイプマスタ!$A$5:$P$100,2,FALSE),"Ranged")</f>
        <v>Melee</v>
      </c>
      <c r="Y206" s="56">
        <f>IFERROR(VLOOKUP($AM206,個性タイプマスタ!$A$5:$P$100,3,FALSE),1)</f>
        <v>1.6</v>
      </c>
      <c r="Z206" s="56">
        <f>IFERROR(VLOOKUP($AM206,個性タイプマスタ!$A$5:$P$100,4,FALSE),1)</f>
        <v>1.55</v>
      </c>
      <c r="AA206" s="56">
        <f>IFERROR(VLOOKUP($AM206,個性タイプマスタ!$A$5:$P$100,5,FALSE),1)</f>
        <v>1.4</v>
      </c>
      <c r="AB206" s="56">
        <f>IFERROR(VLOOKUP($AM206,個性タイプマスタ!$A$5:$P$100,6,FALSE),1)</f>
        <v>0.82</v>
      </c>
      <c r="AC206" s="56">
        <f>IFERROR(VLOOKUP($AM206,個性タイプマスタ!$A$5:$P$100,7,FALSE),1)</f>
        <v>0.8</v>
      </c>
      <c r="AD206" s="56">
        <f>IFERROR(VLOOKUP($AM206,個性タイプマスタ!$A$5:$P$100,8,FALSE),1)</f>
        <v>0.88</v>
      </c>
      <c r="AE206" s="60">
        <f>IFERROR(D206/設定!$B$5,1)</f>
        <v>23.225200000000001</v>
      </c>
      <c r="AF206" s="60">
        <f>1+設定!$B$13*((I206/設定!$B$8+J206/設定!$B$9)/(2*AE206))</f>
        <v>1.4424073850817214</v>
      </c>
      <c r="AG206" s="60">
        <f>MAX(0.7,1+設定!$B$14*(O206/IF(X206="Melee",1.5,2.5)-1))</f>
        <v>0.97599999999999998</v>
      </c>
      <c r="AH206" s="53">
        <f t="shared" si="13"/>
        <v>229.30128383999997</v>
      </c>
      <c r="AI206" s="53">
        <f>E206*AF206*(1+設定!$B$18*AVERAGE(P206:U206))</f>
        <v>5641.3850997192703</v>
      </c>
      <c r="AJ206" s="61">
        <f>設定!$B$5*SQRT((AH206/(設定!$B$7*設定!$B$10*(1+設定!$B$11*(設定!$B$12-1))))*(AI206/(設定!$B$6*(1+設定!$B$13))))</f>
        <v>2322.3424212327209</v>
      </c>
      <c r="AK206" s="62">
        <f t="shared" si="14"/>
        <v>-7.6459521243799067E-5</v>
      </c>
      <c r="AL206" s="63">
        <f t="shared" si="15"/>
        <v>2043.8176000000001</v>
      </c>
      <c r="AM206" s="64" t="s">
        <v>904</v>
      </c>
      <c r="AN206" s="54">
        <f>MAX(1,ROUND((設定!$B$7*設定!$B$10*(1+設定!$B$11*(設定!$B$12-1)))*AE206^2*(設定!$B$6*(1+設定!$B$13))/(AI206*N206*(1+K206*(L206-1))*AG206),0))</f>
        <v>282</v>
      </c>
      <c r="AO206" s="65" t="str">
        <f>IF($A206="","",IF(COUNTIF(個性タイプマスタ!$A$5:$A$100,$AM206)&gt;0,"OK","未登録"))</f>
        <v>OK</v>
      </c>
      <c r="AP206" s="67" t="str">
        <f>IF($A206="","",IF(COUNTIF(属性耐性マスタ!$A$5:$A$11,$C206)&gt;0,"OK","未登録"))</f>
        <v>OK</v>
      </c>
    </row>
    <row r="207" spans="1:42">
      <c r="A207" s="66" t="s">
        <v>514</v>
      </c>
      <c r="B207" s="51" t="s">
        <v>515</v>
      </c>
      <c r="C207" s="109" t="s">
        <v>114</v>
      </c>
      <c r="D207" s="53">
        <f>ROUND(設定!$B$5*POWER($D$2,W207-1),2)</f>
        <v>2322.52</v>
      </c>
      <c r="E207" s="54">
        <f>MAX(1,ROUND(設定!$B$6*AE207*Y207,0))</f>
        <v>3414</v>
      </c>
      <c r="F207" s="54">
        <f>MAX(0,ROUND(設定!$B$7*AE207*設定!$B$15*IF(X207="Melee",0.6,1.35)*IFERROR(VLOOKUP($AM207,個性タイプマスタ!$A$5:$P$100,14,FALSE),1),0))</f>
        <v>150</v>
      </c>
      <c r="G207" s="54">
        <f>IF(X207="Melee",AN207,MAX(1,ROUND(AN207*設定!$B$16*IFERROR(VLOOKUP($AM207,個性タイプマスタ!$A$5:$P$100,15,FALSE),1),0)))</f>
        <v>313</v>
      </c>
      <c r="H207" s="54">
        <f>IF(X207="Ranged",AN207,MAX(1,ROUND(AN207*設定!$B$16*IFERROR(VLOOKUP($AM207,個性タイプマスタ!$A$5:$P$100,15,FALSE),1),0)))</f>
        <v>107</v>
      </c>
      <c r="I207" s="54">
        <f>MAX(0,ROUND(設定!$B$8*AE207*Z207,0))</f>
        <v>171</v>
      </c>
      <c r="J207" s="54">
        <f>MAX(0,ROUND(設定!$B$9*AE207*AA207,0))</f>
        <v>409</v>
      </c>
      <c r="K207" s="55">
        <f>IFERROR(VLOOKUP($AM207,個性タイプマスタ!$A$5:$P$100,9,FALSE),0.05)</f>
        <v>0.05</v>
      </c>
      <c r="L207" s="56">
        <f>IFERROR(VLOOKUP($AM207,個性タイプマスタ!$A$5:$P$100,10,FALSE),1.5)</f>
        <v>1.5</v>
      </c>
      <c r="M207" s="56">
        <f>IFERROR(VLOOKUP($AM207,個性タイプマスタ!$A$5:$P$100,11,FALSE),2)</f>
        <v>2.0499999999999998</v>
      </c>
      <c r="N207" s="57">
        <f>MAX(0.1,ROUND(設定!$B$10*AB207,3))</f>
        <v>0.79</v>
      </c>
      <c r="O207" s="57">
        <f t="shared" si="12"/>
        <v>1.26</v>
      </c>
      <c r="P207" s="58">
        <f>MAX(-10,MIN(0.8,IFERROR(INDEX(属性耐性マスタ!$B$5:$G$11,MATCH($C207,属性耐性マスタ!$A$5:$A$11,0),1),0)+IFERROR(VLOOKUP($AM207,個性タイプマスタ!$A$5:$P$100,12,FALSE),0)))</f>
        <v>7.0000000000000007E-2</v>
      </c>
      <c r="Q207" s="58">
        <f>MAX(-10,MIN(0.8,IFERROR(INDEX(属性耐性マスタ!$B$5:$G$11,MATCH($C207,属性耐性マスタ!$A$5:$A$11,0),2),0)+IFERROR(VLOOKUP($AM207,個性タイプマスタ!$A$5:$P$100,12,FALSE),0)))</f>
        <v>7.0000000000000007E-2</v>
      </c>
      <c r="R207" s="58">
        <f>MAX(-10,MIN(0.8,IFERROR(INDEX(属性耐性マスタ!$B$5:$G$11,MATCH($C207,属性耐性マスタ!$A$5:$A$11,0),3),0)+IFERROR(VLOOKUP($AM207,個性タイプマスタ!$A$5:$P$100,12,FALSE),0)))</f>
        <v>0.27</v>
      </c>
      <c r="S207" s="58">
        <f>MAX(-10,MIN(0.8,IFERROR(INDEX(属性耐性マスタ!$B$5:$G$11,MATCH($C207,属性耐性マスタ!$A$5:$A$11,0),4),0)+IFERROR(VLOOKUP($AM207,個性タイプマスタ!$A$5:$P$100,12,FALSE),0)))</f>
        <v>-0.03</v>
      </c>
      <c r="T207" s="58">
        <f>MAX(-10,MIN(0.8,IFERROR(INDEX(属性耐性マスタ!$B$5:$G$11,MATCH($C207,属性耐性マスタ!$A$5:$A$11,0),5),0)+IFERROR(VLOOKUP($AM207,個性タイプマスタ!$A$5:$P$100,12,FALSE),0)))</f>
        <v>7.0000000000000007E-2</v>
      </c>
      <c r="U207" s="58">
        <f>MAX(-10,MIN(0.8,IFERROR(INDEX(属性耐性マスタ!$B$5:$G$11,MATCH($C207,属性耐性マスタ!$A$5:$A$11,0),6),0)+IFERROR(VLOOKUP($AM207,個性タイプマスタ!$A$5:$P$100,12,FALSE),0)))</f>
        <v>7.0000000000000007E-2</v>
      </c>
      <c r="V207" s="59">
        <f>ROUND(設定!$B$19*IFERROR(VLOOKUP($AM207,個性タイプマスタ!$A$5:$P$100,13,FALSE),1),2)</f>
        <v>4</v>
      </c>
      <c r="W207" s="59">
        <v>34</v>
      </c>
      <c r="X207" s="59" t="str">
        <f>IFERROR(VLOOKUP($AM207,個性タイプマスタ!$A$5:$P$100,2,FALSE),"Ranged")</f>
        <v>Melee</v>
      </c>
      <c r="Y207" s="56">
        <f>IFERROR(VLOOKUP($AM207,個性タイプマスタ!$A$5:$P$100,3,FALSE),1)</f>
        <v>1.47</v>
      </c>
      <c r="Z207" s="56">
        <f>IFERROR(VLOOKUP($AM207,個性タイプマスタ!$A$5:$P$100,4,FALSE),1)</f>
        <v>0.92</v>
      </c>
      <c r="AA207" s="56">
        <f>IFERROR(VLOOKUP($AM207,個性タイプマスタ!$A$5:$P$100,5,FALSE),1)</f>
        <v>2.2000000000000002</v>
      </c>
      <c r="AB207" s="56">
        <f>IFERROR(VLOOKUP($AM207,個性タイプマスタ!$A$5:$P$100,6,FALSE),1)</f>
        <v>0.79</v>
      </c>
      <c r="AC207" s="56">
        <f>IFERROR(VLOOKUP($AM207,個性タイプマスタ!$A$5:$P$100,7,FALSE),1)</f>
        <v>0.84</v>
      </c>
      <c r="AD207" s="56">
        <f>IFERROR(VLOOKUP($AM207,個性タイプマスタ!$A$5:$P$100,8,FALSE),1)</f>
        <v>0.86</v>
      </c>
      <c r="AE207" s="60">
        <f>IFERROR(D207/設定!$B$5,1)</f>
        <v>23.225200000000001</v>
      </c>
      <c r="AF207" s="60">
        <f>1+設定!$B$13*((I207/設定!$B$8+J207/設定!$B$9)/(2*AE207))</f>
        <v>1.4682413929697054</v>
      </c>
      <c r="AG207" s="60">
        <f>MAX(0.7,1+設定!$B$14*(O207/IF(X207="Melee",1.5,2.5)-1))</f>
        <v>0.98080000000000001</v>
      </c>
      <c r="AH207" s="53">
        <f t="shared" si="13"/>
        <v>248.58547639999998</v>
      </c>
      <c r="AI207" s="53">
        <f>E207*AF207*(1+設定!$B$18*AVERAGE(P207:U207))</f>
        <v>5208.0665841069176</v>
      </c>
      <c r="AJ207" s="61">
        <f>設定!$B$5*SQRT((AH207/(設定!$B$7*設定!$B$10*(1+設定!$B$11*(設定!$B$12-1))))*(AI207/(設定!$B$6*(1+設定!$B$13))))</f>
        <v>2323.3052739600503</v>
      </c>
      <c r="AK207" s="62">
        <f t="shared" si="14"/>
        <v>3.3811289463603345E-4</v>
      </c>
      <c r="AL207" s="63">
        <f t="shared" si="15"/>
        <v>1997.3671999999999</v>
      </c>
      <c r="AM207" s="64" t="s">
        <v>954</v>
      </c>
      <c r="AN207" s="54">
        <f>MAX(1,ROUND((設定!$B$7*設定!$B$10*(1+設定!$B$11*(設定!$B$12-1)))*AE207^2*(設定!$B$6*(1+設定!$B$13))/(AI207*N207*(1+K207*(L207-1))*AG207),0))</f>
        <v>313</v>
      </c>
      <c r="AO207" s="65" t="str">
        <f>IF($A207="","",IF(COUNTIF(個性タイプマスタ!$A$5:$A$100,$AM207)&gt;0,"OK","未登録"))</f>
        <v>OK</v>
      </c>
      <c r="AP207" s="67" t="str">
        <f>IF($A207="","",IF(COUNTIF(属性耐性マスタ!$A$5:$A$11,$C207)&gt;0,"OK","未登録"))</f>
        <v>OK</v>
      </c>
    </row>
    <row r="208" spans="1:42">
      <c r="A208" s="66" t="s">
        <v>516</v>
      </c>
      <c r="B208" s="51" t="s">
        <v>517</v>
      </c>
      <c r="C208" s="109" t="s">
        <v>121</v>
      </c>
      <c r="D208" s="53">
        <f>ROUND(設定!$B$5*POWER($D$2,W208-1),2)</f>
        <v>2322.52</v>
      </c>
      <c r="E208" s="54">
        <f>MAX(1,ROUND(設定!$B$6*AE208*Y208,0))</f>
        <v>2323</v>
      </c>
      <c r="F208" s="54">
        <f>MAX(0,ROUND(設定!$B$7*AE208*設定!$B$15*IF(X208="Melee",0.6,1.35)*IFERROR(VLOOKUP($AM208,個性タイプマスタ!$A$5:$P$100,14,FALSE),1),0))</f>
        <v>406</v>
      </c>
      <c r="G208" s="54">
        <f>IF(X208="Melee",AN208,MAX(1,ROUND(AN208*設定!$B$16*IFERROR(VLOOKUP($AM208,個性タイプマスタ!$A$5:$P$100,15,FALSE),1),0)))</f>
        <v>131</v>
      </c>
      <c r="H208" s="54">
        <f>IF(X208="Ranged",AN208,MAX(1,ROUND(AN208*設定!$B$16*IFERROR(VLOOKUP($AM208,個性タイプマスタ!$A$5:$P$100,15,FALSE),1),0)))</f>
        <v>416</v>
      </c>
      <c r="I208" s="54">
        <f>MAX(0,ROUND(設定!$B$8*AE208*Z208,0))</f>
        <v>178</v>
      </c>
      <c r="J208" s="54">
        <f>MAX(0,ROUND(設定!$B$9*AE208*AA208,0))</f>
        <v>190</v>
      </c>
      <c r="K208" s="55">
        <f>IFERROR(VLOOKUP($AM208,個性タイプマスタ!$A$5:$P$100,9,FALSE),0.05)</f>
        <v>4.4999999999999998E-2</v>
      </c>
      <c r="L208" s="56">
        <f>IFERROR(VLOOKUP($AM208,個性タイプマスタ!$A$5:$P$100,10,FALSE),1.5)</f>
        <v>1.4</v>
      </c>
      <c r="M208" s="56">
        <f>IFERROR(VLOOKUP($AM208,個性タイプマスタ!$A$5:$P$100,11,FALSE),2)</f>
        <v>2.0499999999999998</v>
      </c>
      <c r="N208" s="57">
        <f>MAX(0.1,ROUND(設定!$B$10*AB208,3))</f>
        <v>0.92</v>
      </c>
      <c r="O208" s="57">
        <f t="shared" si="12"/>
        <v>2.6749999999999998</v>
      </c>
      <c r="P208" s="58">
        <f>MAX(-10,MIN(0.8,IFERROR(INDEX(属性耐性マスタ!$B$5:$G$11,MATCH($C208,属性耐性マスタ!$A$5:$A$11,0),1),0)+IFERROR(VLOOKUP($AM208,個性タイプマスタ!$A$5:$P$100,12,FALSE),0)))</f>
        <v>0.19</v>
      </c>
      <c r="Q208" s="58">
        <f>MAX(-10,MIN(0.8,IFERROR(INDEX(属性耐性マスタ!$B$5:$G$11,MATCH($C208,属性耐性マスタ!$A$5:$A$11,0),2),0)+IFERROR(VLOOKUP($AM208,個性タイプマスタ!$A$5:$P$100,12,FALSE),0)))</f>
        <v>0.19</v>
      </c>
      <c r="R208" s="58">
        <f>MAX(-10,MIN(0.8,IFERROR(INDEX(属性耐性マスタ!$B$5:$G$11,MATCH($C208,属性耐性マスタ!$A$5:$A$11,0),3),0)+IFERROR(VLOOKUP($AM208,個性タイプマスタ!$A$5:$P$100,12,FALSE),0)))</f>
        <v>0.19</v>
      </c>
      <c r="S208" s="58">
        <f>MAX(-10,MIN(0.8,IFERROR(INDEX(属性耐性マスタ!$B$5:$G$11,MATCH($C208,属性耐性マスタ!$A$5:$A$11,0),4),0)+IFERROR(VLOOKUP($AM208,個性タイプマスタ!$A$5:$P$100,12,FALSE),0)))</f>
        <v>0.19</v>
      </c>
      <c r="T208" s="58">
        <f>MAX(-10,MIN(0.8,IFERROR(INDEX(属性耐性マスタ!$B$5:$G$11,MATCH($C208,属性耐性マスタ!$A$5:$A$11,0),5),0)+IFERROR(VLOOKUP($AM208,個性タイプマスタ!$A$5:$P$100,12,FALSE),0)))</f>
        <v>0.39</v>
      </c>
      <c r="U208" s="58">
        <f>MAX(-10,MIN(0.8,IFERROR(INDEX(属性耐性マスタ!$B$5:$G$11,MATCH($C208,属性耐性マスタ!$A$5:$A$11,0),6),0)+IFERROR(VLOOKUP($AM208,個性タイプマスタ!$A$5:$P$100,12,FALSE),0)))</f>
        <v>0.09</v>
      </c>
      <c r="V208" s="59">
        <f>ROUND(設定!$B$19*IFERROR(VLOOKUP($AM208,個性タイプマスタ!$A$5:$P$100,13,FALSE),1),2)</f>
        <v>4</v>
      </c>
      <c r="W208" s="59">
        <v>34</v>
      </c>
      <c r="X208" s="59" t="str">
        <f>IFERROR(VLOOKUP($AM208,個性タイプマスタ!$A$5:$P$100,2,FALSE),"Ranged")</f>
        <v>Ranged</v>
      </c>
      <c r="Y208" s="56">
        <f>IFERROR(VLOOKUP($AM208,個性タイプマスタ!$A$5:$P$100,3,FALSE),1)</f>
        <v>1</v>
      </c>
      <c r="Z208" s="56">
        <f>IFERROR(VLOOKUP($AM208,個性タイプマスタ!$A$5:$P$100,4,FALSE),1)</f>
        <v>0.96</v>
      </c>
      <c r="AA208" s="56">
        <f>IFERROR(VLOOKUP($AM208,個性タイプマスタ!$A$5:$P$100,5,FALSE),1)</f>
        <v>1.02</v>
      </c>
      <c r="AB208" s="56">
        <f>IFERROR(VLOOKUP($AM208,個性タイプマスタ!$A$5:$P$100,6,FALSE),1)</f>
        <v>0.92</v>
      </c>
      <c r="AC208" s="56">
        <f>IFERROR(VLOOKUP($AM208,個性タイプマスタ!$A$5:$P$100,7,FALSE),1)</f>
        <v>1.07</v>
      </c>
      <c r="AD208" s="56">
        <f>IFERROR(VLOOKUP($AM208,個性タイプマスタ!$A$5:$P$100,8,FALSE),1)</f>
        <v>0.85</v>
      </c>
      <c r="AE208" s="60">
        <f>IFERROR(D208/設定!$B$5,1)</f>
        <v>23.225200000000001</v>
      </c>
      <c r="AF208" s="60">
        <f>1+設定!$B$13*((I208/設定!$B$8+J208/設定!$B$9)/(2*AE208))</f>
        <v>1.2970910907118129</v>
      </c>
      <c r="AG208" s="60">
        <f>MAX(0.7,1+設定!$B$14*(O208/IF(X208="Melee",1.5,2.5)-1))</f>
        <v>1.0084</v>
      </c>
      <c r="AH208" s="53">
        <f t="shared" si="13"/>
        <v>392.88167526400002</v>
      </c>
      <c r="AI208" s="53">
        <f>E208*AF208*(1+設定!$B$18*AVERAGE(P208:U208))</f>
        <v>3293.3648658698307</v>
      </c>
      <c r="AJ208" s="61">
        <f>設定!$B$5*SQRT((AH208/(設定!$B$7*設定!$B$10*(1+設定!$B$11*(設定!$B$12-1))))*(AI208/(設定!$B$6*(1+設定!$B$13))))</f>
        <v>2322.6349087983326</v>
      </c>
      <c r="AK208" s="62">
        <f t="shared" si="14"/>
        <v>4.9475913375340852E-5</v>
      </c>
      <c r="AL208" s="63">
        <f t="shared" si="15"/>
        <v>1974.1419999999998</v>
      </c>
      <c r="AM208" s="64" t="s">
        <v>930</v>
      </c>
      <c r="AN208" s="54">
        <f>MAX(1,ROUND((設定!$B$7*設定!$B$10*(1+設定!$B$11*(設定!$B$12-1)))*AE208^2*(設定!$B$6*(1+設定!$B$13))/(AI208*N208*(1+K208*(L208-1))*AG208),0))</f>
        <v>416</v>
      </c>
      <c r="AO208" s="65" t="str">
        <f>IF($A208="","",IF(COUNTIF(個性タイプマスタ!$A$5:$A$100,$AM208)&gt;0,"OK","未登録"))</f>
        <v>OK</v>
      </c>
      <c r="AP208" s="67" t="str">
        <f>IF($A208="","",IF(COUNTIF(属性耐性マスタ!$A$5:$A$11,$C208)&gt;0,"OK","未登録"))</f>
        <v>OK</v>
      </c>
    </row>
    <row r="209" spans="1:42">
      <c r="A209" s="66" t="s">
        <v>518</v>
      </c>
      <c r="B209" s="51" t="s">
        <v>519</v>
      </c>
      <c r="C209" s="109" t="s">
        <v>874</v>
      </c>
      <c r="D209" s="53">
        <f>ROUND(設定!$B$5*POWER($D$2,W209-1),2)</f>
        <v>2554.77</v>
      </c>
      <c r="E209" s="54">
        <f>MAX(1,ROUND(設定!$B$6*AE209*Y209,0))</f>
        <v>1865</v>
      </c>
      <c r="F209" s="54">
        <f>MAX(0,ROUND(設定!$B$7*AE209*設定!$B$15*IF(X209="Melee",0.6,1.35)*IFERROR(VLOOKUP($AM209,個性タイプマスタ!$A$5:$P$100,14,FALSE),1),0))</f>
        <v>440</v>
      </c>
      <c r="G209" s="54">
        <f>IF(X209="Melee",AN209,MAX(1,ROUND(AN209*設定!$B$16*IFERROR(VLOOKUP($AM209,個性タイプマスタ!$A$5:$P$100,15,FALSE),1),0)))</f>
        <v>144</v>
      </c>
      <c r="H209" s="54">
        <f>IF(X209="Ranged",AN209,MAX(1,ROUND(AN209*設定!$B$16*IFERROR(VLOOKUP($AM209,個性タイプマスタ!$A$5:$P$100,15,FALSE),1),0)))</f>
        <v>571</v>
      </c>
      <c r="I209" s="54">
        <f>MAX(0,ROUND(設定!$B$8*AE209*Z209,0))</f>
        <v>157</v>
      </c>
      <c r="J209" s="54">
        <f>MAX(0,ROUND(設定!$B$9*AE209*AA209,0))</f>
        <v>174</v>
      </c>
      <c r="K209" s="55">
        <f>IFERROR(VLOOKUP($AM209,個性タイプマスタ!$A$5:$P$100,9,FALSE),0.05)</f>
        <v>0.26</v>
      </c>
      <c r="L209" s="56">
        <f>IFERROR(VLOOKUP($AM209,個性タイプマスタ!$A$5:$P$100,10,FALSE),1.5)</f>
        <v>1.95</v>
      </c>
      <c r="M209" s="56">
        <f>IFERROR(VLOOKUP($AM209,個性タイプマスタ!$A$5:$P$100,11,FALSE),2)</f>
        <v>2.75</v>
      </c>
      <c r="N209" s="57">
        <f>MAX(0.1,ROUND(設定!$B$10*AB209,3))</f>
        <v>0.95</v>
      </c>
      <c r="O209" s="57">
        <f t="shared" si="12"/>
        <v>2.8</v>
      </c>
      <c r="P209" s="58">
        <f>MAX(-10,MIN(0.8,IFERROR(INDEX(属性耐性マスタ!$B$5:$G$11,MATCH($C209,属性耐性マスタ!$A$5:$A$11,0),1),0)+IFERROR(VLOOKUP($AM209,個性タイプマスタ!$A$5:$P$100,12,FALSE),0)))</f>
        <v>-0.05</v>
      </c>
      <c r="Q209" s="58">
        <f>MAX(-10,MIN(0.8,IFERROR(INDEX(属性耐性マスタ!$B$5:$G$11,MATCH($C209,属性耐性マスタ!$A$5:$A$11,0),2),0)+IFERROR(VLOOKUP($AM209,個性タイプマスタ!$A$5:$P$100,12,FALSE),0)))</f>
        <v>-0.05</v>
      </c>
      <c r="R209" s="58">
        <f>MAX(-10,MIN(0.8,IFERROR(INDEX(属性耐性マスタ!$B$5:$G$11,MATCH($C209,属性耐性マスタ!$A$5:$A$11,0),3),0)+IFERROR(VLOOKUP($AM209,個性タイプマスタ!$A$5:$P$100,12,FALSE),0)))</f>
        <v>-0.05</v>
      </c>
      <c r="S209" s="58">
        <f>MAX(-10,MIN(0.8,IFERROR(INDEX(属性耐性マスタ!$B$5:$G$11,MATCH($C209,属性耐性マスタ!$A$5:$A$11,0),4),0)+IFERROR(VLOOKUP($AM209,個性タイプマスタ!$A$5:$P$100,12,FALSE),0)))</f>
        <v>-0.05</v>
      </c>
      <c r="T209" s="58">
        <f>MAX(-10,MIN(0.8,IFERROR(INDEX(属性耐性マスタ!$B$5:$G$11,MATCH($C209,属性耐性マスタ!$A$5:$A$11,0),5),0)+IFERROR(VLOOKUP($AM209,個性タイプマスタ!$A$5:$P$100,12,FALSE),0)))</f>
        <v>-0.15000000000000002</v>
      </c>
      <c r="U209" s="58">
        <f>MAX(-10,MIN(0.8,IFERROR(INDEX(属性耐性マスタ!$B$5:$G$11,MATCH($C209,属性耐性マスタ!$A$5:$A$11,0),6),0)+IFERROR(VLOOKUP($AM209,個性タイプマスタ!$A$5:$P$100,12,FALSE),0)))</f>
        <v>0.15000000000000002</v>
      </c>
      <c r="V209" s="59">
        <f>ROUND(設定!$B$19*IFERROR(VLOOKUP($AM209,個性タイプマスタ!$A$5:$P$100,13,FALSE),1),2)</f>
        <v>4.4000000000000004</v>
      </c>
      <c r="W209" s="59">
        <v>35</v>
      </c>
      <c r="X209" s="59" t="str">
        <f>IFERROR(VLOOKUP($AM209,個性タイプマスタ!$A$5:$P$100,2,FALSE),"Ranged")</f>
        <v>Ranged</v>
      </c>
      <c r="Y209" s="56">
        <f>IFERROR(VLOOKUP($AM209,個性タイプマスタ!$A$5:$P$100,3,FALSE),1)</f>
        <v>0.73</v>
      </c>
      <c r="Z209" s="56">
        <f>IFERROR(VLOOKUP($AM209,個性タイプマスタ!$A$5:$P$100,4,FALSE),1)</f>
        <v>0.77</v>
      </c>
      <c r="AA209" s="56">
        <f>IFERROR(VLOOKUP($AM209,個性タイプマスタ!$A$5:$P$100,5,FALSE),1)</f>
        <v>0.85</v>
      </c>
      <c r="AB209" s="56">
        <f>IFERROR(VLOOKUP($AM209,個性タイプマスタ!$A$5:$P$100,6,FALSE),1)</f>
        <v>0.95</v>
      </c>
      <c r="AC209" s="56">
        <f>IFERROR(VLOOKUP($AM209,個性タイプマスタ!$A$5:$P$100,7,FALSE),1)</f>
        <v>1.1200000000000001</v>
      </c>
      <c r="AD209" s="56">
        <f>IFERROR(VLOOKUP($AM209,個性タイプマスタ!$A$5:$P$100,8,FALSE),1)</f>
        <v>0.66</v>
      </c>
      <c r="AE209" s="60">
        <f>IFERROR(D209/設定!$B$5,1)</f>
        <v>25.547699999999999</v>
      </c>
      <c r="AF209" s="60">
        <f>1+設定!$B$13*((I209/設定!$B$8+J209/設定!$B$9)/(2*AE209))</f>
        <v>1.2429279348043072</v>
      </c>
      <c r="AG209" s="60">
        <f>MAX(0.7,1+設定!$B$14*(O209/IF(X209="Melee",1.5,2.5)-1))</f>
        <v>1.0144</v>
      </c>
      <c r="AH209" s="53">
        <f t="shared" si="13"/>
        <v>686.17581615999984</v>
      </c>
      <c r="AI209" s="53">
        <f>E209*AF209*(1+設定!$B$18*AVERAGE(P209:U209))</f>
        <v>2283.2896894338824</v>
      </c>
      <c r="AJ209" s="61">
        <f>設定!$B$5*SQRT((AH209/(設定!$B$7*設定!$B$10*(1+設定!$B$11*(設定!$B$12-1))))*(AI209/(設定!$B$6*(1+設定!$B$13))))</f>
        <v>2555.8087352805333</v>
      </c>
      <c r="AK209" s="62">
        <f t="shared" si="14"/>
        <v>4.0658661270231988E-4</v>
      </c>
      <c r="AL209" s="63">
        <f t="shared" si="15"/>
        <v>1686.1482000000001</v>
      </c>
      <c r="AM209" s="64" t="s">
        <v>922</v>
      </c>
      <c r="AN209" s="54">
        <f>MAX(1,ROUND((設定!$B$7*設定!$B$10*(1+設定!$B$11*(設定!$B$12-1)))*AE209^2*(設定!$B$6*(1+設定!$B$13))/(AI209*N209*(1+K209*(L209-1))*AG209),0))</f>
        <v>571</v>
      </c>
      <c r="AO209" s="65" t="str">
        <f>IF($A209="","",IF(COUNTIF(個性タイプマスタ!$A$5:$A$100,$AM209)&gt;0,"OK","未登録"))</f>
        <v>OK</v>
      </c>
      <c r="AP209" s="67" t="str">
        <f>IF($A209="","",IF(COUNTIF(属性耐性マスタ!$A$5:$A$11,$C209)&gt;0,"OK","未登録"))</f>
        <v>OK</v>
      </c>
    </row>
    <row r="210" spans="1:42">
      <c r="A210" s="66" t="s">
        <v>520</v>
      </c>
      <c r="B210" s="51" t="s">
        <v>521</v>
      </c>
      <c r="C210" s="109" t="s">
        <v>874</v>
      </c>
      <c r="D210" s="53">
        <f>ROUND(設定!$B$5*POWER($D$2,W210-1),2)</f>
        <v>2554.77</v>
      </c>
      <c r="E210" s="54">
        <f>MAX(1,ROUND(設定!$B$6*AE210*Y210,0))</f>
        <v>2018</v>
      </c>
      <c r="F210" s="54">
        <f>MAX(0,ROUND(設定!$B$7*AE210*設定!$B$15*IF(X210="Melee",0.6,1.35)*IFERROR(VLOOKUP($AM210,個性タイプマスタ!$A$5:$P$100,14,FALSE),1),0))</f>
        <v>335</v>
      </c>
      <c r="G210" s="54">
        <f>IF(X210="Melee",AN210,MAX(1,ROUND(AN210*設定!$B$16*IFERROR(VLOOKUP($AM210,個性タイプマスタ!$A$5:$P$100,15,FALSE),1),0)))</f>
        <v>88</v>
      </c>
      <c r="H210" s="54">
        <f>IF(X210="Ranged",AN210,MAX(1,ROUND(AN210*設定!$B$16*IFERROR(VLOOKUP($AM210,個性タイプマスタ!$A$5:$P$100,15,FALSE),1),0)))</f>
        <v>370</v>
      </c>
      <c r="I210" s="54">
        <f>MAX(0,ROUND(設定!$B$8*AE210*Z210,0))</f>
        <v>174</v>
      </c>
      <c r="J210" s="54">
        <f>MAX(0,ROUND(設定!$B$9*AE210*AA210,0))</f>
        <v>166</v>
      </c>
      <c r="K210" s="55">
        <f>IFERROR(VLOOKUP($AM210,個性タイプマスタ!$A$5:$P$100,9,FALSE),0.05)</f>
        <v>6.5000000000000002E-2</v>
      </c>
      <c r="L210" s="56">
        <f>IFERROR(VLOOKUP($AM210,個性タイプマスタ!$A$5:$P$100,10,FALSE),1.5)</f>
        <v>1.45</v>
      </c>
      <c r="M210" s="56">
        <f>IFERROR(VLOOKUP($AM210,個性タイプマスタ!$A$5:$P$100,11,FALSE),2)</f>
        <v>4</v>
      </c>
      <c r="N210" s="57">
        <f>MAX(0.1,ROUND(設定!$B$10*AB210,3))</f>
        <v>1.72</v>
      </c>
      <c r="O210" s="57">
        <f t="shared" si="12"/>
        <v>1.9</v>
      </c>
      <c r="P210" s="58">
        <f>MAX(-10,MIN(0.8,IFERROR(INDEX(属性耐性マスタ!$B$5:$G$11,MATCH($C210,属性耐性マスタ!$A$5:$A$11,0),1),0)+IFERROR(VLOOKUP($AM210,個性タイプマスタ!$A$5:$P$100,12,FALSE),0)))</f>
        <v>-7.0000000000000007E-2</v>
      </c>
      <c r="Q210" s="58">
        <f>MAX(-10,MIN(0.8,IFERROR(INDEX(属性耐性マスタ!$B$5:$G$11,MATCH($C210,属性耐性マスタ!$A$5:$A$11,0),2),0)+IFERROR(VLOOKUP($AM210,個性タイプマスタ!$A$5:$P$100,12,FALSE),0)))</f>
        <v>-7.0000000000000007E-2</v>
      </c>
      <c r="R210" s="58">
        <f>MAX(-10,MIN(0.8,IFERROR(INDEX(属性耐性マスタ!$B$5:$G$11,MATCH($C210,属性耐性マスタ!$A$5:$A$11,0),3),0)+IFERROR(VLOOKUP($AM210,個性タイプマスタ!$A$5:$P$100,12,FALSE),0)))</f>
        <v>-7.0000000000000007E-2</v>
      </c>
      <c r="S210" s="58">
        <f>MAX(-10,MIN(0.8,IFERROR(INDEX(属性耐性マスタ!$B$5:$G$11,MATCH($C210,属性耐性マスタ!$A$5:$A$11,0),4),0)+IFERROR(VLOOKUP($AM210,個性タイプマスタ!$A$5:$P$100,12,FALSE),0)))</f>
        <v>-7.0000000000000007E-2</v>
      </c>
      <c r="T210" s="58">
        <f>MAX(-10,MIN(0.8,IFERROR(INDEX(属性耐性マスタ!$B$5:$G$11,MATCH($C210,属性耐性マスタ!$A$5:$A$11,0),5),0)+IFERROR(VLOOKUP($AM210,個性タイプマスタ!$A$5:$P$100,12,FALSE),0)))</f>
        <v>-0.17</v>
      </c>
      <c r="U210" s="58">
        <f>MAX(-10,MIN(0.8,IFERROR(INDEX(属性耐性マスタ!$B$5:$G$11,MATCH($C210,属性耐性マスタ!$A$5:$A$11,0),6),0)+IFERROR(VLOOKUP($AM210,個性タイプマスタ!$A$5:$P$100,12,FALSE),0)))</f>
        <v>0.13</v>
      </c>
      <c r="V210" s="59">
        <f>ROUND(設定!$B$19*IFERROR(VLOOKUP($AM210,個性タイプマスタ!$A$5:$P$100,13,FALSE),1),2)</f>
        <v>5.4</v>
      </c>
      <c r="W210" s="59">
        <v>35</v>
      </c>
      <c r="X210" s="59" t="str">
        <f>IFERROR(VLOOKUP($AM210,個性タイプマスタ!$A$5:$P$100,2,FALSE),"Ranged")</f>
        <v>Ranged</v>
      </c>
      <c r="Y210" s="56">
        <f>IFERROR(VLOOKUP($AM210,個性タイプマスタ!$A$5:$P$100,3,FALSE),1)</f>
        <v>0.79</v>
      </c>
      <c r="Z210" s="56">
        <f>IFERROR(VLOOKUP($AM210,個性タイプマスタ!$A$5:$P$100,4,FALSE),1)</f>
        <v>0.85</v>
      </c>
      <c r="AA210" s="56">
        <f>IFERROR(VLOOKUP($AM210,個性タイプマスタ!$A$5:$P$100,5,FALSE),1)</f>
        <v>0.81</v>
      </c>
      <c r="AB210" s="56">
        <f>IFERROR(VLOOKUP($AM210,個性タイプマスタ!$A$5:$P$100,6,FALSE),1)</f>
        <v>1.72</v>
      </c>
      <c r="AC210" s="56">
        <f>IFERROR(VLOOKUP($AM210,個性タイプマスタ!$A$5:$P$100,7,FALSE),1)</f>
        <v>0.76</v>
      </c>
      <c r="AD210" s="56">
        <f>IFERROR(VLOOKUP($AM210,個性タイプマスタ!$A$5:$P$100,8,FALSE),1)</f>
        <v>0.63</v>
      </c>
      <c r="AE210" s="60">
        <f>IFERROR(D210/設定!$B$5,1)</f>
        <v>25.547699999999999</v>
      </c>
      <c r="AF210" s="60">
        <f>1+設定!$B$13*((I210/設定!$B$8+J210/設定!$B$9)/(2*AE210))</f>
        <v>1.2495332260829741</v>
      </c>
      <c r="AG210" s="60">
        <f>MAX(0.7,1+設定!$B$14*(O210/IF(X210="Melee",1.5,2.5)-1))</f>
        <v>0.97119999999999995</v>
      </c>
      <c r="AH210" s="53">
        <f t="shared" si="13"/>
        <v>636.1502766399999</v>
      </c>
      <c r="AI210" s="53">
        <f>E210*AF210*(1+設定!$B$18*AVERAGE(P210:U210))</f>
        <v>2461.0406570297914</v>
      </c>
      <c r="AJ210" s="61">
        <f>設定!$B$5*SQRT((AH210/(設定!$B$7*設定!$B$10*(1+設定!$B$11*(設定!$B$12-1))))*(AI210/(設定!$B$6*(1+設定!$B$13))))</f>
        <v>2554.8734488740283</v>
      </c>
      <c r="AK210" s="62">
        <f t="shared" si="14"/>
        <v>4.0492441209405428E-5</v>
      </c>
      <c r="AL210" s="63">
        <f t="shared" si="15"/>
        <v>1609.5051000000001</v>
      </c>
      <c r="AM210" s="64" t="s">
        <v>936</v>
      </c>
      <c r="AN210" s="54">
        <f>MAX(1,ROUND((設定!$B$7*設定!$B$10*(1+設定!$B$11*(設定!$B$12-1)))*AE210^2*(設定!$B$6*(1+設定!$B$13))/(AI210*N210*(1+K210*(L210-1))*AG210),0))</f>
        <v>370</v>
      </c>
      <c r="AO210" s="65" t="str">
        <f>IF($A210="","",IF(COUNTIF(個性タイプマスタ!$A$5:$A$100,$AM210)&gt;0,"OK","未登録"))</f>
        <v>OK</v>
      </c>
      <c r="AP210" s="67" t="str">
        <f>IF($A210="","",IF(COUNTIF(属性耐性マスタ!$A$5:$A$11,$C210)&gt;0,"OK","未登録"))</f>
        <v>OK</v>
      </c>
    </row>
    <row r="211" spans="1:42">
      <c r="A211" s="66" t="s">
        <v>522</v>
      </c>
      <c r="B211" s="51" t="s">
        <v>523</v>
      </c>
      <c r="C211" s="109" t="s">
        <v>874</v>
      </c>
      <c r="D211" s="53">
        <f>ROUND(設定!$B$5*POWER($D$2,W211-1),2)</f>
        <v>2554.77</v>
      </c>
      <c r="E211" s="54">
        <f>MAX(1,ROUND(設定!$B$6*AE211*Y211,0))</f>
        <v>3066</v>
      </c>
      <c r="F211" s="54">
        <f>MAX(0,ROUND(設定!$B$7*AE211*設定!$B$15*IF(X211="Melee",0.6,1.35)*IFERROR(VLOOKUP($AM211,個性タイプマスタ!$A$5:$P$100,14,FALSE),1),0))</f>
        <v>372</v>
      </c>
      <c r="G211" s="54">
        <f>IF(X211="Melee",AN211,MAX(1,ROUND(AN211*設定!$B$16*IFERROR(VLOOKUP($AM211,個性タイプマスタ!$A$5:$P$100,15,FALSE),1),0)))</f>
        <v>163</v>
      </c>
      <c r="H211" s="54">
        <f>IF(X211="Ranged",AN211,MAX(1,ROUND(AN211*設定!$B$16*IFERROR(VLOOKUP($AM211,個性タイプマスタ!$A$5:$P$100,15,FALSE),1),0)))</f>
        <v>363</v>
      </c>
      <c r="I211" s="54">
        <f>MAX(0,ROUND(設定!$B$8*AE211*Z211,0))</f>
        <v>266</v>
      </c>
      <c r="J211" s="54">
        <f>MAX(0,ROUND(設定!$B$9*AE211*AA211,0))</f>
        <v>174</v>
      </c>
      <c r="K211" s="55">
        <f>IFERROR(VLOOKUP($AM211,個性タイプマスタ!$A$5:$P$100,9,FALSE),0.05)</f>
        <v>0.08</v>
      </c>
      <c r="L211" s="56">
        <f>IFERROR(VLOOKUP($AM211,個性タイプマスタ!$A$5:$P$100,10,FALSE),1.5)</f>
        <v>1.6</v>
      </c>
      <c r="M211" s="56">
        <f>IFERROR(VLOOKUP($AM211,個性タイプマスタ!$A$5:$P$100,11,FALSE),2)</f>
        <v>2.8</v>
      </c>
      <c r="N211" s="57">
        <f>MAX(0.1,ROUND(設定!$B$10*AB211,3))</f>
        <v>1</v>
      </c>
      <c r="O211" s="57">
        <f t="shared" si="12"/>
        <v>2.5</v>
      </c>
      <c r="P211" s="58">
        <f>MAX(-10,MIN(0.8,IFERROR(INDEX(属性耐性マスタ!$B$5:$G$11,MATCH($C211,属性耐性マスタ!$A$5:$A$11,0),1),0)+IFERROR(VLOOKUP($AM211,個性タイプマスタ!$A$5:$P$100,12,FALSE),0)))</f>
        <v>1.4999999999999999E-2</v>
      </c>
      <c r="Q211" s="58">
        <f>MAX(-10,MIN(0.8,IFERROR(INDEX(属性耐性マスタ!$B$5:$G$11,MATCH($C211,属性耐性マスタ!$A$5:$A$11,0),2),0)+IFERROR(VLOOKUP($AM211,個性タイプマスタ!$A$5:$P$100,12,FALSE),0)))</f>
        <v>1.4999999999999999E-2</v>
      </c>
      <c r="R211" s="58">
        <f>MAX(-10,MIN(0.8,IFERROR(INDEX(属性耐性マスタ!$B$5:$G$11,MATCH($C211,属性耐性マスタ!$A$5:$A$11,0),3),0)+IFERROR(VLOOKUP($AM211,個性タイプマスタ!$A$5:$P$100,12,FALSE),0)))</f>
        <v>1.4999999999999999E-2</v>
      </c>
      <c r="S211" s="58">
        <f>MAX(-10,MIN(0.8,IFERROR(INDEX(属性耐性マスタ!$B$5:$G$11,MATCH($C211,属性耐性マスタ!$A$5:$A$11,0),4),0)+IFERROR(VLOOKUP($AM211,個性タイプマスタ!$A$5:$P$100,12,FALSE),0)))</f>
        <v>1.4999999999999999E-2</v>
      </c>
      <c r="T211" s="58">
        <f>MAX(-10,MIN(0.8,IFERROR(INDEX(属性耐性マスタ!$B$5:$G$11,MATCH($C211,属性耐性マスタ!$A$5:$A$11,0),5),0)+IFERROR(VLOOKUP($AM211,個性タイプマスタ!$A$5:$P$100,12,FALSE),0)))</f>
        <v>-8.5000000000000006E-2</v>
      </c>
      <c r="U211" s="58">
        <f>MAX(-10,MIN(0.8,IFERROR(INDEX(属性耐性マスタ!$B$5:$G$11,MATCH($C211,属性耐性マスタ!$A$5:$A$11,0),6),0)+IFERROR(VLOOKUP($AM211,個性タイプマスタ!$A$5:$P$100,12,FALSE),0)))</f>
        <v>0.21500000000000002</v>
      </c>
      <c r="V211" s="59">
        <f>ROUND(設定!$B$19*IFERROR(VLOOKUP($AM211,個性タイプマスタ!$A$5:$P$100,13,FALSE),1),2)</f>
        <v>4</v>
      </c>
      <c r="W211" s="59">
        <v>35</v>
      </c>
      <c r="X211" s="59" t="str">
        <f>IFERROR(VLOOKUP($AM211,個性タイプマスタ!$A$5:$P$100,2,FALSE),"Ranged")</f>
        <v>Ranged</v>
      </c>
      <c r="Y211" s="56">
        <f>IFERROR(VLOOKUP($AM211,個性タイプマスタ!$A$5:$P$100,3,FALSE),1)</f>
        <v>1.2</v>
      </c>
      <c r="Z211" s="56">
        <f>IFERROR(VLOOKUP($AM211,個性タイプマスタ!$A$5:$P$100,4,FALSE),1)</f>
        <v>1.3</v>
      </c>
      <c r="AA211" s="56">
        <f>IFERROR(VLOOKUP($AM211,個性タイプマスタ!$A$5:$P$100,5,FALSE),1)</f>
        <v>0.85</v>
      </c>
      <c r="AB211" s="56">
        <f>IFERROR(VLOOKUP($AM211,個性タイプマスタ!$A$5:$P$100,6,FALSE),1)</f>
        <v>1</v>
      </c>
      <c r="AC211" s="56">
        <f>IFERROR(VLOOKUP($AM211,個性タイプマスタ!$A$5:$P$100,7,FALSE),1)</f>
        <v>1</v>
      </c>
      <c r="AD211" s="56">
        <f>IFERROR(VLOOKUP($AM211,個性タイプマスタ!$A$5:$P$100,8,FALSE),1)</f>
        <v>0.85</v>
      </c>
      <c r="AE211" s="60">
        <f>IFERROR(D211/設定!$B$5,1)</f>
        <v>25.547699999999999</v>
      </c>
      <c r="AF211" s="60">
        <f>1+設定!$B$13*((I211/設定!$B$8+J211/設定!$B$9)/(2*AE211))</f>
        <v>1.322925351401496</v>
      </c>
      <c r="AG211" s="60">
        <f>MAX(0.7,1+設定!$B$14*(O211/IF(X211="Melee",1.5,2.5)-1))</f>
        <v>1</v>
      </c>
      <c r="AH211" s="53">
        <f t="shared" si="13"/>
        <v>380.42400000000004</v>
      </c>
      <c r="AI211" s="53">
        <f>E211*AF211*(1+設定!$B$18*AVERAGE(P211:U211))</f>
        <v>4113.8883974623941</v>
      </c>
      <c r="AJ211" s="61">
        <f>設定!$B$5*SQRT((AH211/(設定!$B$7*設定!$B$10*(1+設定!$B$11*(設定!$B$12-1))))*(AI211/(設定!$B$6*(1+設定!$B$13))))</f>
        <v>2554.4084687963577</v>
      </c>
      <c r="AK211" s="62">
        <f t="shared" si="14"/>
        <v>-1.4151223148939351E-4</v>
      </c>
      <c r="AL211" s="63">
        <f t="shared" si="15"/>
        <v>2171.5544999999997</v>
      </c>
      <c r="AM211" s="64" t="s">
        <v>894</v>
      </c>
      <c r="AN211" s="54">
        <f>MAX(1,ROUND((設定!$B$7*設定!$B$10*(1+設定!$B$11*(設定!$B$12-1)))*AE211^2*(設定!$B$6*(1+設定!$B$13))/(AI211*N211*(1+K211*(L211-1))*AG211),0))</f>
        <v>363</v>
      </c>
      <c r="AO211" s="65" t="str">
        <f>IF($A211="","",IF(COUNTIF(個性タイプマスタ!$A$5:$A$100,$AM211)&gt;0,"OK","未登録"))</f>
        <v>OK</v>
      </c>
      <c r="AP211" s="67" t="str">
        <f>IF($A211="","",IF(COUNTIF(属性耐性マスタ!$A$5:$A$11,$C211)&gt;0,"OK","未登録"))</f>
        <v>OK</v>
      </c>
    </row>
    <row r="212" spans="1:42">
      <c r="A212" s="66" t="s">
        <v>524</v>
      </c>
      <c r="B212" s="51" t="s">
        <v>525</v>
      </c>
      <c r="C212" s="109" t="s">
        <v>874</v>
      </c>
      <c r="D212" s="53">
        <f>ROUND(設定!$B$5*POWER($D$2,W212-1),2)</f>
        <v>2554.77</v>
      </c>
      <c r="E212" s="54">
        <f>MAX(1,ROUND(設定!$B$6*AE212*Y212,0))</f>
        <v>4650</v>
      </c>
      <c r="F212" s="54">
        <f>MAX(0,ROUND(設定!$B$7*AE212*設定!$B$15*IF(X212="Melee",0.6,1.35)*IFERROR(VLOOKUP($AM212,個性タイプマスタ!$A$5:$P$100,14,FALSE),1),0))</f>
        <v>119</v>
      </c>
      <c r="G212" s="54">
        <f>IF(X212="Melee",AN212,MAX(1,ROUND(AN212*設定!$B$16*IFERROR(VLOOKUP($AM212,個性タイプマスタ!$A$5:$P$100,15,FALSE),1),0)))</f>
        <v>342</v>
      </c>
      <c r="H212" s="54">
        <f>IF(X212="Ranged",AN212,MAX(1,ROUND(AN212*設定!$B$16*IFERROR(VLOOKUP($AM212,個性タイプマスタ!$A$5:$P$100,15,FALSE),1),0)))</f>
        <v>129</v>
      </c>
      <c r="I212" s="54">
        <f>MAX(0,ROUND(設定!$B$8*AE212*Z212,0))</f>
        <v>439</v>
      </c>
      <c r="J212" s="54">
        <f>MAX(0,ROUND(設定!$B$9*AE212*AA212,0))</f>
        <v>217</v>
      </c>
      <c r="K212" s="55">
        <f>IFERROR(VLOOKUP($AM212,個性タイプマスタ!$A$5:$P$100,9,FALSE),0.05)</f>
        <v>0.03</v>
      </c>
      <c r="L212" s="56">
        <f>IFERROR(VLOOKUP($AM212,個性タイプマスタ!$A$5:$P$100,10,FALSE),1.5)</f>
        <v>1.35</v>
      </c>
      <c r="M212" s="56">
        <f>IFERROR(VLOOKUP($AM212,個性タイプマスタ!$A$5:$P$100,11,FALSE),2)</f>
        <v>1.5</v>
      </c>
      <c r="N212" s="57">
        <f>MAX(0.1,ROUND(設定!$B$10*AB212,3))</f>
        <v>0.65</v>
      </c>
      <c r="O212" s="57">
        <f t="shared" si="12"/>
        <v>1.02</v>
      </c>
      <c r="P212" s="58">
        <f>MAX(-10,MIN(0.8,IFERROR(INDEX(属性耐性マスタ!$B$5:$G$11,MATCH($C212,属性耐性マスタ!$A$5:$A$11,0),1),0)+IFERROR(VLOOKUP($AM212,個性タイプマスタ!$A$5:$P$100,12,FALSE),0)))</f>
        <v>0.1</v>
      </c>
      <c r="Q212" s="58">
        <f>MAX(-10,MIN(0.8,IFERROR(INDEX(属性耐性マスタ!$B$5:$G$11,MATCH($C212,属性耐性マスタ!$A$5:$A$11,0),2),0)+IFERROR(VLOOKUP($AM212,個性タイプマスタ!$A$5:$P$100,12,FALSE),0)))</f>
        <v>0.1</v>
      </c>
      <c r="R212" s="58">
        <f>MAX(-10,MIN(0.8,IFERROR(INDEX(属性耐性マスタ!$B$5:$G$11,MATCH($C212,属性耐性マスタ!$A$5:$A$11,0),3),0)+IFERROR(VLOOKUP($AM212,個性タイプマスタ!$A$5:$P$100,12,FALSE),0)))</f>
        <v>0.1</v>
      </c>
      <c r="S212" s="58">
        <f>MAX(-10,MIN(0.8,IFERROR(INDEX(属性耐性マスタ!$B$5:$G$11,MATCH($C212,属性耐性マスタ!$A$5:$A$11,0),4),0)+IFERROR(VLOOKUP($AM212,個性タイプマスタ!$A$5:$P$100,12,FALSE),0)))</f>
        <v>0.1</v>
      </c>
      <c r="T212" s="58">
        <f>MAX(-10,MIN(0.8,IFERROR(INDEX(属性耐性マスタ!$B$5:$G$11,MATCH($C212,属性耐性マスタ!$A$5:$A$11,0),5),0)+IFERROR(VLOOKUP($AM212,個性タイプマスタ!$A$5:$P$100,12,FALSE),0)))</f>
        <v>0</v>
      </c>
      <c r="U212" s="58">
        <f>MAX(-10,MIN(0.8,IFERROR(INDEX(属性耐性マスタ!$B$5:$G$11,MATCH($C212,属性耐性マスタ!$A$5:$A$11,0),6),0)+IFERROR(VLOOKUP($AM212,個性タイプマスタ!$A$5:$P$100,12,FALSE),0)))</f>
        <v>0.30000000000000004</v>
      </c>
      <c r="V212" s="59">
        <f>ROUND(設定!$B$19*IFERROR(VLOOKUP($AM212,個性タイプマスタ!$A$5:$P$100,13,FALSE),1),2)</f>
        <v>3.4</v>
      </c>
      <c r="W212" s="59">
        <v>35</v>
      </c>
      <c r="X212" s="59" t="str">
        <f>IFERROR(VLOOKUP($AM212,個性タイプマスタ!$A$5:$P$100,2,FALSE),"Ranged")</f>
        <v>Melee</v>
      </c>
      <c r="Y212" s="56">
        <f>IFERROR(VLOOKUP($AM212,個性タイプマスタ!$A$5:$P$100,3,FALSE),1)</f>
        <v>1.82</v>
      </c>
      <c r="Z212" s="56">
        <f>IFERROR(VLOOKUP($AM212,個性タイプマスタ!$A$5:$P$100,4,FALSE),1)</f>
        <v>2.15</v>
      </c>
      <c r="AA212" s="56">
        <f>IFERROR(VLOOKUP($AM212,個性タイプマスタ!$A$5:$P$100,5,FALSE),1)</f>
        <v>1.06</v>
      </c>
      <c r="AB212" s="56">
        <f>IFERROR(VLOOKUP($AM212,個性タイプマスタ!$A$5:$P$100,6,FALSE),1)</f>
        <v>0.65</v>
      </c>
      <c r="AC212" s="56">
        <f>IFERROR(VLOOKUP($AM212,個性タイプマスタ!$A$5:$P$100,7,FALSE),1)</f>
        <v>0.68</v>
      </c>
      <c r="AD212" s="56">
        <f>IFERROR(VLOOKUP($AM212,個性タイプマスタ!$A$5:$P$100,8,FALSE),1)</f>
        <v>0.92</v>
      </c>
      <c r="AE212" s="60">
        <f>IFERROR(D212/設定!$B$5,1)</f>
        <v>25.547699999999999</v>
      </c>
      <c r="AF212" s="60">
        <f>1+設定!$B$13*((I212/設定!$B$8+J212/設定!$B$9)/(2*AE212))</f>
        <v>1.4814523420895032</v>
      </c>
      <c r="AG212" s="60">
        <f>MAX(0.7,1+設定!$B$14*(O212/IF(X212="Melee",1.5,2.5)-1))</f>
        <v>0.96160000000000001</v>
      </c>
      <c r="AH212" s="53">
        <f t="shared" si="13"/>
        <v>216.00819864000002</v>
      </c>
      <c r="AI212" s="53">
        <f>E212*AF212*(1+設定!$B$18*AVERAGE(P212:U212))</f>
        <v>7250.4129437287893</v>
      </c>
      <c r="AJ212" s="61">
        <f>設定!$B$5*SQRT((AH212/(設定!$B$7*設定!$B$10*(1+設定!$B$11*(設定!$B$12-1))))*(AI212/(設定!$B$6*(1+設定!$B$13))))</f>
        <v>2555.3278446137574</v>
      </c>
      <c r="AK212" s="62">
        <f t="shared" si="14"/>
        <v>2.1835414293946975E-4</v>
      </c>
      <c r="AL212" s="63">
        <f t="shared" si="15"/>
        <v>2350.3884000000003</v>
      </c>
      <c r="AM212" s="64" t="s">
        <v>952</v>
      </c>
      <c r="AN212" s="54">
        <f>MAX(1,ROUND((設定!$B$7*設定!$B$10*(1+設定!$B$11*(設定!$B$12-1)))*AE212^2*(設定!$B$6*(1+設定!$B$13))/(AI212*N212*(1+K212*(L212-1))*AG212),0))</f>
        <v>342</v>
      </c>
      <c r="AO212" s="65" t="str">
        <f>IF($A212="","",IF(COUNTIF(個性タイプマスタ!$A$5:$A$100,$AM212)&gt;0,"OK","未登録"))</f>
        <v>OK</v>
      </c>
      <c r="AP212" s="67" t="str">
        <f>IF($A212="","",IF(COUNTIF(属性耐性マスタ!$A$5:$A$11,$C212)&gt;0,"OK","未登録"))</f>
        <v>OK</v>
      </c>
    </row>
    <row r="213" spans="1:42">
      <c r="A213" s="66" t="s">
        <v>526</v>
      </c>
      <c r="B213" s="51" t="s">
        <v>527</v>
      </c>
      <c r="C213" s="109" t="s">
        <v>874</v>
      </c>
      <c r="D213" s="53">
        <f>ROUND(設定!$B$5*POWER($D$2,W213-1),2)</f>
        <v>2554.77</v>
      </c>
      <c r="E213" s="54">
        <f>MAX(1,ROUND(設定!$B$6*AE213*Y213,0))</f>
        <v>2018</v>
      </c>
      <c r="F213" s="54">
        <f>MAX(0,ROUND(設定!$B$7*AE213*設定!$B$15*IF(X213="Melee",0.6,1.35)*IFERROR(VLOOKUP($AM213,個性タイプマスタ!$A$5:$P$100,14,FALSE),1),0))</f>
        <v>141</v>
      </c>
      <c r="G213" s="54">
        <f>IF(X213="Melee",AN213,MAX(1,ROUND(AN213*設定!$B$16*IFERROR(VLOOKUP($AM213,個性タイプマスタ!$A$5:$P$100,15,FALSE),1),0)))</f>
        <v>410</v>
      </c>
      <c r="H213" s="54">
        <f>IF(X213="Ranged",AN213,MAX(1,ROUND(AN213*設定!$B$16*IFERROR(VLOOKUP($AM213,個性タイプマスタ!$A$5:$P$100,15,FALSE),1),0)))</f>
        <v>129</v>
      </c>
      <c r="I213" s="54">
        <f>MAX(0,ROUND(設定!$B$8*AE213*Z213,0))</f>
        <v>161</v>
      </c>
      <c r="J213" s="54">
        <f>MAX(0,ROUND(設定!$B$9*AE213*AA213,0))</f>
        <v>149</v>
      </c>
      <c r="K213" s="55">
        <f>IFERROR(VLOOKUP($AM213,個性タイプマスタ!$A$5:$P$100,9,FALSE),0.05)</f>
        <v>0.1</v>
      </c>
      <c r="L213" s="56">
        <f>IFERROR(VLOOKUP($AM213,個性タイプマスタ!$A$5:$P$100,10,FALSE),1.5)</f>
        <v>1.85</v>
      </c>
      <c r="M213" s="56">
        <f>IFERROR(VLOOKUP($AM213,個性タイプマスタ!$A$5:$P$100,11,FALSE),2)</f>
        <v>4</v>
      </c>
      <c r="N213" s="57">
        <f>MAX(0.1,ROUND(設定!$B$10*AB213,3))</f>
        <v>1.41</v>
      </c>
      <c r="O213" s="57">
        <f t="shared" si="12"/>
        <v>1.8</v>
      </c>
      <c r="P213" s="58">
        <f>MAX(-10,MIN(0.8,IFERROR(INDEX(属性耐性マスタ!$B$5:$G$11,MATCH($C213,属性耐性マスタ!$A$5:$A$11,0),1),0)+IFERROR(VLOOKUP($AM213,個性タイプマスタ!$A$5:$P$100,12,FALSE),0)))</f>
        <v>-5.5E-2</v>
      </c>
      <c r="Q213" s="58">
        <f>MAX(-10,MIN(0.8,IFERROR(INDEX(属性耐性マスタ!$B$5:$G$11,MATCH($C213,属性耐性マスタ!$A$5:$A$11,0),2),0)+IFERROR(VLOOKUP($AM213,個性タイプマスタ!$A$5:$P$100,12,FALSE),0)))</f>
        <v>-5.5E-2</v>
      </c>
      <c r="R213" s="58">
        <f>MAX(-10,MIN(0.8,IFERROR(INDEX(属性耐性マスタ!$B$5:$G$11,MATCH($C213,属性耐性マスタ!$A$5:$A$11,0),3),0)+IFERROR(VLOOKUP($AM213,個性タイプマスタ!$A$5:$P$100,12,FALSE),0)))</f>
        <v>-5.5E-2</v>
      </c>
      <c r="S213" s="58">
        <f>MAX(-10,MIN(0.8,IFERROR(INDEX(属性耐性マスタ!$B$5:$G$11,MATCH($C213,属性耐性マスタ!$A$5:$A$11,0),4),0)+IFERROR(VLOOKUP($AM213,個性タイプマスタ!$A$5:$P$100,12,FALSE),0)))</f>
        <v>-5.5E-2</v>
      </c>
      <c r="T213" s="58">
        <f>MAX(-10,MIN(0.8,IFERROR(INDEX(属性耐性マスタ!$B$5:$G$11,MATCH($C213,属性耐性マスタ!$A$5:$A$11,0),5),0)+IFERROR(VLOOKUP($AM213,個性タイプマスタ!$A$5:$P$100,12,FALSE),0)))</f>
        <v>-0.155</v>
      </c>
      <c r="U213" s="58">
        <f>MAX(-10,MIN(0.8,IFERROR(INDEX(属性耐性マスタ!$B$5:$G$11,MATCH($C213,属性耐性マスタ!$A$5:$A$11,0),6),0)+IFERROR(VLOOKUP($AM213,個性タイプマスタ!$A$5:$P$100,12,FALSE),0)))</f>
        <v>0.14500000000000002</v>
      </c>
      <c r="V213" s="59">
        <f>ROUND(設定!$B$19*IFERROR(VLOOKUP($AM213,個性タイプマスタ!$A$5:$P$100,13,FALSE),1),2)</f>
        <v>6.4</v>
      </c>
      <c r="W213" s="59">
        <v>35</v>
      </c>
      <c r="X213" s="59" t="str">
        <f>IFERROR(VLOOKUP($AM213,個性タイプマスタ!$A$5:$P$100,2,FALSE),"Ranged")</f>
        <v>Melee</v>
      </c>
      <c r="Y213" s="56">
        <f>IFERROR(VLOOKUP($AM213,個性タイプマスタ!$A$5:$P$100,3,FALSE),1)</f>
        <v>0.79</v>
      </c>
      <c r="Z213" s="56">
        <f>IFERROR(VLOOKUP($AM213,個性タイプマスタ!$A$5:$P$100,4,FALSE),1)</f>
        <v>0.79</v>
      </c>
      <c r="AA213" s="56">
        <f>IFERROR(VLOOKUP($AM213,個性タイプマスタ!$A$5:$P$100,5,FALSE),1)</f>
        <v>0.73</v>
      </c>
      <c r="AB213" s="56">
        <f>IFERROR(VLOOKUP($AM213,個性タイプマスタ!$A$5:$P$100,6,FALSE),1)</f>
        <v>1.41</v>
      </c>
      <c r="AC213" s="56">
        <f>IFERROR(VLOOKUP($AM213,個性タイプマスタ!$A$5:$P$100,7,FALSE),1)</f>
        <v>1.2</v>
      </c>
      <c r="AD213" s="56">
        <f>IFERROR(VLOOKUP($AM213,個性タイプマスタ!$A$5:$P$100,8,FALSE),1)</f>
        <v>0.64</v>
      </c>
      <c r="AE213" s="60">
        <f>IFERROR(D213/設定!$B$5,1)</f>
        <v>25.547699999999999</v>
      </c>
      <c r="AF213" s="60">
        <f>1+設定!$B$13*((I213/設定!$B$8+J213/設定!$B$9)/(2*AE213))</f>
        <v>1.2275155884874176</v>
      </c>
      <c r="AG213" s="60">
        <f>MAX(0.7,1+設定!$B$14*(O213/IF(X213="Melee",1.5,2.5)-1))</f>
        <v>1.024</v>
      </c>
      <c r="AH213" s="53">
        <f t="shared" si="13"/>
        <v>642.29222400000003</v>
      </c>
      <c r="AI213" s="53">
        <f>E213*AF213*(1+設定!$B$18*AVERAGE(P213:U213))</f>
        <v>2434.3960261745674</v>
      </c>
      <c r="AJ213" s="61">
        <f>設定!$B$5*SQRT((AH213/(設定!$B$7*設定!$B$10*(1+設定!$B$11*(設定!$B$12-1))))*(AI213/(設定!$B$6*(1+設定!$B$13))))</f>
        <v>2553.2426237146283</v>
      </c>
      <c r="AK213" s="62">
        <f t="shared" si="14"/>
        <v>-5.9785275597090681E-4</v>
      </c>
      <c r="AL213" s="63">
        <f t="shared" si="15"/>
        <v>1635.0527999999999</v>
      </c>
      <c r="AM213" s="64" t="s">
        <v>966</v>
      </c>
      <c r="AN213" s="54">
        <f>MAX(1,ROUND((設定!$B$7*設定!$B$10*(1+設定!$B$11*(設定!$B$12-1)))*AE213^2*(設定!$B$6*(1+設定!$B$13))/(AI213*N213*(1+K213*(L213-1))*AG213),0))</f>
        <v>410</v>
      </c>
      <c r="AO213" s="65" t="str">
        <f>IF($A213="","",IF(COUNTIF(個性タイプマスタ!$A$5:$A$100,$AM213)&gt;0,"OK","未登録"))</f>
        <v>OK</v>
      </c>
      <c r="AP213" s="67" t="str">
        <f>IF($A213="","",IF(COUNTIF(属性耐性マスタ!$A$5:$A$11,$C213)&gt;0,"OK","未登録"))</f>
        <v>OK</v>
      </c>
    </row>
    <row r="214" spans="1:42">
      <c r="A214" s="66" t="s">
        <v>528</v>
      </c>
      <c r="B214" s="51" t="s">
        <v>529</v>
      </c>
      <c r="C214" s="109" t="s">
        <v>874</v>
      </c>
      <c r="D214" s="53">
        <f>ROUND(設定!$B$5*POWER($D$2,W214-1),2)</f>
        <v>2554.77</v>
      </c>
      <c r="E214" s="54">
        <f>MAX(1,ROUND(設定!$B$6*AE214*Y214,0))</f>
        <v>2095</v>
      </c>
      <c r="F214" s="54">
        <f>MAX(0,ROUND(設定!$B$7*AE214*設定!$B$15*IF(X214="Melee",0.6,1.35)*IFERROR(VLOOKUP($AM214,個性タイプマスタ!$A$5:$P$100,14,FALSE),1),0))</f>
        <v>335</v>
      </c>
      <c r="G214" s="54">
        <f>IF(X214="Melee",AN214,MAX(1,ROUND(AN214*設定!$B$16*IFERROR(VLOOKUP($AM214,個性タイプマスタ!$A$5:$P$100,15,FALSE),1),0)))</f>
        <v>257</v>
      </c>
      <c r="H214" s="54">
        <f>IF(X214="Ranged",AN214,MAX(1,ROUND(AN214*設定!$B$16*IFERROR(VLOOKUP($AM214,個性タイプマスタ!$A$5:$P$100,15,FALSE),1),0)))</f>
        <v>572</v>
      </c>
      <c r="I214" s="54">
        <f>MAX(0,ROUND(設定!$B$8*AE214*Z214,0))</f>
        <v>174</v>
      </c>
      <c r="J214" s="54">
        <f>MAX(0,ROUND(設定!$B$9*AE214*AA214,0))</f>
        <v>204</v>
      </c>
      <c r="K214" s="55">
        <f>IFERROR(VLOOKUP($AM214,個性タイプマスタ!$A$5:$P$100,9,FALSE),0.05)</f>
        <v>0.05</v>
      </c>
      <c r="L214" s="56">
        <f>IFERROR(VLOOKUP($AM214,個性タイプマスタ!$A$5:$P$100,10,FALSE),1.5)</f>
        <v>1.5</v>
      </c>
      <c r="M214" s="56">
        <f>IFERROR(VLOOKUP($AM214,個性タイプマスタ!$A$5:$P$100,11,FALSE),2)</f>
        <v>2</v>
      </c>
      <c r="N214" s="57">
        <f>MAX(0.1,ROUND(設定!$B$10*AB214,3))</f>
        <v>1</v>
      </c>
      <c r="O214" s="57">
        <f t="shared" si="12"/>
        <v>2.5</v>
      </c>
      <c r="P214" s="58">
        <f>MAX(-10,MIN(0.8,IFERROR(INDEX(属性耐性マスタ!$B$5:$G$11,MATCH($C214,属性耐性マスタ!$A$5:$A$11,0),1),0)+IFERROR(VLOOKUP($AM214,個性タイプマスタ!$A$5:$P$100,12,FALSE),0)))</f>
        <v>-0.02</v>
      </c>
      <c r="Q214" s="58">
        <f>MAX(-10,MIN(0.8,IFERROR(INDEX(属性耐性マスタ!$B$5:$G$11,MATCH($C214,属性耐性マスタ!$A$5:$A$11,0),2),0)+IFERROR(VLOOKUP($AM214,個性タイプマスタ!$A$5:$P$100,12,FALSE),0)))</f>
        <v>-0.02</v>
      </c>
      <c r="R214" s="58">
        <f>MAX(-10,MIN(0.8,IFERROR(INDEX(属性耐性マスタ!$B$5:$G$11,MATCH($C214,属性耐性マスタ!$A$5:$A$11,0),3),0)+IFERROR(VLOOKUP($AM214,個性タイプマスタ!$A$5:$P$100,12,FALSE),0)))</f>
        <v>-0.02</v>
      </c>
      <c r="S214" s="58">
        <f>MAX(-10,MIN(0.8,IFERROR(INDEX(属性耐性マスタ!$B$5:$G$11,MATCH($C214,属性耐性マスタ!$A$5:$A$11,0),4),0)+IFERROR(VLOOKUP($AM214,個性タイプマスタ!$A$5:$P$100,12,FALSE),0)))</f>
        <v>-0.02</v>
      </c>
      <c r="T214" s="58">
        <f>MAX(-10,MIN(0.8,IFERROR(INDEX(属性耐性マスタ!$B$5:$G$11,MATCH($C214,属性耐性マスタ!$A$5:$A$11,0),5),0)+IFERROR(VLOOKUP($AM214,個性タイプマスタ!$A$5:$P$100,12,FALSE),0)))</f>
        <v>-0.12000000000000001</v>
      </c>
      <c r="U214" s="58">
        <f>MAX(-10,MIN(0.8,IFERROR(INDEX(属性耐性マスタ!$B$5:$G$11,MATCH($C214,属性耐性マスタ!$A$5:$A$11,0),6),0)+IFERROR(VLOOKUP($AM214,個性タイプマスタ!$A$5:$P$100,12,FALSE),0)))</f>
        <v>0.18000000000000002</v>
      </c>
      <c r="V214" s="59">
        <f>ROUND(設定!$B$19*IFERROR(VLOOKUP($AM214,個性タイプマスタ!$A$5:$P$100,13,FALSE),1),2)</f>
        <v>4</v>
      </c>
      <c r="W214" s="59">
        <v>35</v>
      </c>
      <c r="X214" s="59" t="str">
        <f>IFERROR(VLOOKUP($AM214,個性タイプマスタ!$A$5:$P$100,2,FALSE),"Ranged")</f>
        <v>Ranged</v>
      </c>
      <c r="Y214" s="56">
        <f>IFERROR(VLOOKUP($AM214,個性タイプマスタ!$A$5:$P$100,3,FALSE),1)</f>
        <v>0.82</v>
      </c>
      <c r="Z214" s="56">
        <f>IFERROR(VLOOKUP($AM214,個性タイプマスタ!$A$5:$P$100,4,FALSE),1)</f>
        <v>0.85</v>
      </c>
      <c r="AA214" s="56">
        <f>IFERROR(VLOOKUP($AM214,個性タイプマスタ!$A$5:$P$100,5,FALSE),1)</f>
        <v>1</v>
      </c>
      <c r="AB214" s="56">
        <f>IFERROR(VLOOKUP($AM214,個性タイプマスタ!$A$5:$P$100,6,FALSE),1)</f>
        <v>1</v>
      </c>
      <c r="AC214" s="56">
        <f>IFERROR(VLOOKUP($AM214,個性タイプマスタ!$A$5:$P$100,7,FALSE),1)</f>
        <v>1</v>
      </c>
      <c r="AD214" s="56">
        <f>IFERROR(VLOOKUP($AM214,個性タイプマスタ!$A$5:$P$100,8,FALSE),1)</f>
        <v>0.68</v>
      </c>
      <c r="AE214" s="60">
        <f>IFERROR(D214/設定!$B$5,1)</f>
        <v>25.547699999999999</v>
      </c>
      <c r="AF214" s="60">
        <f>1+設定!$B$13*((I214/設定!$B$8+J214/設定!$B$9)/(2*AE214))</f>
        <v>1.2774222337040124</v>
      </c>
      <c r="AG214" s="60">
        <f>MAX(0.7,1+設定!$B$14*(O214/IF(X214="Melee",1.5,2.5)-1))</f>
        <v>1</v>
      </c>
      <c r="AH214" s="53">
        <f t="shared" si="13"/>
        <v>586.29999999999995</v>
      </c>
      <c r="AI214" s="53">
        <f>E214*AF214*(1+設定!$B$18*AVERAGE(P214:U214))</f>
        <v>2672.185280240491</v>
      </c>
      <c r="AJ214" s="61">
        <f>設定!$B$5*SQRT((AH214/(設定!$B$7*設定!$B$10*(1+設定!$B$11*(設定!$B$12-1))))*(AI214/(設定!$B$6*(1+設定!$B$13))))</f>
        <v>2555.779423739476</v>
      </c>
      <c r="AK214" s="62">
        <f t="shared" si="14"/>
        <v>3.9511335246467105E-4</v>
      </c>
      <c r="AL214" s="63">
        <f t="shared" si="15"/>
        <v>1737.2436</v>
      </c>
      <c r="AM214" s="64" t="s">
        <v>878</v>
      </c>
      <c r="AN214" s="54">
        <f>MAX(1,ROUND((設定!$B$7*設定!$B$10*(1+設定!$B$11*(設定!$B$12-1)))*AE214^2*(設定!$B$6*(1+設定!$B$13))/(AI214*N214*(1+K214*(L214-1))*AG214),0))</f>
        <v>572</v>
      </c>
      <c r="AO214" s="65" t="str">
        <f>IF($A214="","",IF(COUNTIF(個性タイプマスタ!$A$5:$A$100,$AM214)&gt;0,"OK","未登録"))</f>
        <v>OK</v>
      </c>
      <c r="AP214" s="67" t="str">
        <f>IF($A214="","",IF(COUNTIF(属性耐性マスタ!$A$5:$A$11,$C214)&gt;0,"OK","未登録"))</f>
        <v>OK</v>
      </c>
    </row>
    <row r="215" spans="1:42">
      <c r="A215" s="66" t="s">
        <v>530</v>
      </c>
      <c r="B215" s="51" t="s">
        <v>531</v>
      </c>
      <c r="C215" s="109" t="s">
        <v>874</v>
      </c>
      <c r="D215" s="53">
        <f>ROUND(設定!$B$5*POWER($D$2,W215-1),2)</f>
        <v>2810.24</v>
      </c>
      <c r="E215" s="54">
        <f>MAX(1,ROUND(設定!$B$6*AE215*Y215,0))</f>
        <v>2501</v>
      </c>
      <c r="F215" s="54">
        <f>MAX(0,ROUND(設定!$B$7*AE215*設定!$B$15*IF(X215="Melee",0.6,1.35)*IFERROR(VLOOKUP($AM215,個性タイプマスタ!$A$5:$P$100,14,FALSE),1),0))</f>
        <v>389</v>
      </c>
      <c r="G215" s="54">
        <f>IF(X215="Melee",AN215,MAX(1,ROUND(AN215*設定!$B$16*IFERROR(VLOOKUP($AM215,個性タイプマスタ!$A$5:$P$100,15,FALSE),1),0)))</f>
        <v>130</v>
      </c>
      <c r="H215" s="54">
        <f>IF(X215="Ranged",AN215,MAX(1,ROUND(AN215*設定!$B$16*IFERROR(VLOOKUP($AM215,個性タイプマスタ!$A$5:$P$100,15,FALSE),1),0)))</f>
        <v>483</v>
      </c>
      <c r="I215" s="54">
        <f>MAX(0,ROUND(設定!$B$8*AE215*Z215,0))</f>
        <v>207</v>
      </c>
      <c r="J215" s="54">
        <f>MAX(0,ROUND(設定!$B$9*AE215*AA215,0))</f>
        <v>205</v>
      </c>
      <c r="K215" s="55">
        <f>IFERROR(VLOOKUP($AM215,個性タイプマスタ!$A$5:$P$100,9,FALSE),0.05)</f>
        <v>7.4999999999999997E-2</v>
      </c>
      <c r="L215" s="56">
        <f>IFERROR(VLOOKUP($AM215,個性タイプマスタ!$A$5:$P$100,10,FALSE),1.5)</f>
        <v>1.5</v>
      </c>
      <c r="M215" s="56">
        <f>IFERROR(VLOOKUP($AM215,個性タイプマスタ!$A$5:$P$100,11,FALSE),2)</f>
        <v>3.1</v>
      </c>
      <c r="N215" s="57">
        <f>MAX(0.1,ROUND(設定!$B$10*AB215,3))</f>
        <v>1.1499999999999999</v>
      </c>
      <c r="O215" s="57">
        <f t="shared" si="12"/>
        <v>3.0750000000000002</v>
      </c>
      <c r="P215" s="58">
        <f>MAX(-10,MIN(0.8,IFERROR(INDEX(属性耐性マスタ!$B$5:$G$11,MATCH($C215,属性耐性マスタ!$A$5:$A$11,0),1),0)+IFERROR(VLOOKUP($AM215,個性タイプマスタ!$A$5:$P$100,12,FALSE),0)))</f>
        <v>-0.01</v>
      </c>
      <c r="Q215" s="58">
        <f>MAX(-10,MIN(0.8,IFERROR(INDEX(属性耐性マスタ!$B$5:$G$11,MATCH($C215,属性耐性マスタ!$A$5:$A$11,0),2),0)+IFERROR(VLOOKUP($AM215,個性タイプマスタ!$A$5:$P$100,12,FALSE),0)))</f>
        <v>-0.01</v>
      </c>
      <c r="R215" s="58">
        <f>MAX(-10,MIN(0.8,IFERROR(INDEX(属性耐性マスタ!$B$5:$G$11,MATCH($C215,属性耐性マスタ!$A$5:$A$11,0),3),0)+IFERROR(VLOOKUP($AM215,個性タイプマスタ!$A$5:$P$100,12,FALSE),0)))</f>
        <v>-0.01</v>
      </c>
      <c r="S215" s="58">
        <f>MAX(-10,MIN(0.8,IFERROR(INDEX(属性耐性マスタ!$B$5:$G$11,MATCH($C215,属性耐性マスタ!$A$5:$A$11,0),4),0)+IFERROR(VLOOKUP($AM215,個性タイプマスタ!$A$5:$P$100,12,FALSE),0)))</f>
        <v>-0.01</v>
      </c>
      <c r="T215" s="58">
        <f>MAX(-10,MIN(0.8,IFERROR(INDEX(属性耐性マスタ!$B$5:$G$11,MATCH($C215,属性耐性マスタ!$A$5:$A$11,0),5),0)+IFERROR(VLOOKUP($AM215,個性タイプマスタ!$A$5:$P$100,12,FALSE),0)))</f>
        <v>-0.11</v>
      </c>
      <c r="U215" s="58">
        <f>MAX(-10,MIN(0.8,IFERROR(INDEX(属性耐性マスタ!$B$5:$G$11,MATCH($C215,属性耐性マスタ!$A$5:$A$11,0),6),0)+IFERROR(VLOOKUP($AM215,個性タイプマスタ!$A$5:$P$100,12,FALSE),0)))</f>
        <v>0.19</v>
      </c>
      <c r="V215" s="59">
        <f>ROUND(設定!$B$19*IFERROR(VLOOKUP($AM215,個性タイプマスタ!$A$5:$P$100,13,FALSE),1),2)</f>
        <v>8.6</v>
      </c>
      <c r="W215" s="59">
        <v>36</v>
      </c>
      <c r="X215" s="59" t="str">
        <f>IFERROR(VLOOKUP($AM215,個性タイプマスタ!$A$5:$P$100,2,FALSE),"Ranged")</f>
        <v>Ranged</v>
      </c>
      <c r="Y215" s="56">
        <f>IFERROR(VLOOKUP($AM215,個性タイプマスタ!$A$5:$P$100,3,FALSE),1)</f>
        <v>0.89</v>
      </c>
      <c r="Z215" s="56">
        <f>IFERROR(VLOOKUP($AM215,個性タイプマスタ!$A$5:$P$100,4,FALSE),1)</f>
        <v>0.92</v>
      </c>
      <c r="AA215" s="56">
        <f>IFERROR(VLOOKUP($AM215,個性タイプマスタ!$A$5:$P$100,5,FALSE),1)</f>
        <v>0.91</v>
      </c>
      <c r="AB215" s="56">
        <f>IFERROR(VLOOKUP($AM215,個性タイプマスタ!$A$5:$P$100,6,FALSE),1)</f>
        <v>1.1499999999999999</v>
      </c>
      <c r="AC215" s="56">
        <f>IFERROR(VLOOKUP($AM215,個性タイプマスタ!$A$5:$P$100,7,FALSE),1)</f>
        <v>1.23</v>
      </c>
      <c r="AD215" s="56">
        <f>IFERROR(VLOOKUP($AM215,個性タイプマスタ!$A$5:$P$100,8,FALSE),1)</f>
        <v>0.74</v>
      </c>
      <c r="AE215" s="60">
        <f>IFERROR(D215/設定!$B$5,1)</f>
        <v>28.102399999999999</v>
      </c>
      <c r="AF215" s="60">
        <f>1+設定!$B$13*((I215/設定!$B$8+J215/設定!$B$9)/(2*AE215))</f>
        <v>1.2748875540879072</v>
      </c>
      <c r="AG215" s="60">
        <f>MAX(0.7,1+設定!$B$14*(O215/IF(X215="Melee",1.5,2.5)-1))</f>
        <v>1.0276000000000001</v>
      </c>
      <c r="AH215" s="53">
        <f t="shared" si="13"/>
        <v>592.18468574999997</v>
      </c>
      <c r="AI215" s="53">
        <f>E215*AF215*(1+設定!$B$18*AVERAGE(P215:U215))</f>
        <v>3198.0592540921775</v>
      </c>
      <c r="AJ215" s="61">
        <f>設定!$B$5*SQRT((AH215/(設定!$B$7*設定!$B$10*(1+設定!$B$11*(設定!$B$12-1))))*(AI215/(設定!$B$6*(1+設定!$B$13))))</f>
        <v>2809.9719050423237</v>
      </c>
      <c r="AK215" s="62">
        <f t="shared" si="14"/>
        <v>-9.5399310263921677E-5</v>
      </c>
      <c r="AL215" s="63">
        <f t="shared" si="15"/>
        <v>2079.5775999999996</v>
      </c>
      <c r="AM215" s="64" t="s">
        <v>934</v>
      </c>
      <c r="AN215" s="54">
        <f>MAX(1,ROUND((設定!$B$7*設定!$B$10*(1+設定!$B$11*(設定!$B$12-1)))*AE215^2*(設定!$B$6*(1+設定!$B$13))/(AI215*N215*(1+K215*(L215-1))*AG215),0))</f>
        <v>483</v>
      </c>
      <c r="AO215" s="65" t="str">
        <f>IF($A215="","",IF(COUNTIF(個性タイプマスタ!$A$5:$A$100,$AM215)&gt;0,"OK","未登録"))</f>
        <v>OK</v>
      </c>
      <c r="AP215" s="67" t="str">
        <f>IF($A215="","",IF(COUNTIF(属性耐性マスタ!$A$5:$A$11,$C215)&gt;0,"OK","未登録"))</f>
        <v>OK</v>
      </c>
    </row>
    <row r="216" spans="1:42">
      <c r="A216" s="66" t="s">
        <v>532</v>
      </c>
      <c r="B216" s="51" t="s">
        <v>533</v>
      </c>
      <c r="C216" s="109" t="s">
        <v>871</v>
      </c>
      <c r="D216" s="53">
        <f>ROUND(設定!$B$5*POWER($D$2,W216-1),2)</f>
        <v>2810.24</v>
      </c>
      <c r="E216" s="54">
        <f>MAX(1,ROUND(設定!$B$6*AE216*Y216,0))</f>
        <v>4215</v>
      </c>
      <c r="F216" s="54">
        <f>MAX(0,ROUND(設定!$B$7*AE216*設定!$B$15*IF(X216="Melee",0.6,1.35)*IFERROR(VLOOKUP($AM216,個性タイプマスタ!$A$5:$P$100,14,FALSE),1),0))</f>
        <v>512</v>
      </c>
      <c r="G216" s="54">
        <f>IF(X216="Melee",AN216,MAX(1,ROUND(AN216*設定!$B$16*IFERROR(VLOOKUP($AM216,個性タイプマスタ!$A$5:$P$100,15,FALSE),1),0)))</f>
        <v>102</v>
      </c>
      <c r="H216" s="54">
        <f>IF(X216="Ranged",AN216,MAX(1,ROUND(AN216*設定!$B$16*IFERROR(VLOOKUP($AM216,個性タイプマスタ!$A$5:$P$100,15,FALSE),1),0)))</f>
        <v>227</v>
      </c>
      <c r="I216" s="54">
        <f>MAX(0,ROUND(設定!$B$8*AE216*Z216,0))</f>
        <v>337</v>
      </c>
      <c r="J216" s="54">
        <f>MAX(0,ROUND(設定!$B$9*AE216*AA216,0))</f>
        <v>315</v>
      </c>
      <c r="K216" s="55">
        <f>IFERROR(VLOOKUP($AM216,個性タイプマスタ!$A$5:$P$100,9,FALSE),0.05)</f>
        <v>0.1</v>
      </c>
      <c r="L216" s="56">
        <f>IFERROR(VLOOKUP($AM216,個性タイプマスタ!$A$5:$P$100,10,FALSE),1.5)</f>
        <v>1.75</v>
      </c>
      <c r="M216" s="56">
        <f>IFERROR(VLOOKUP($AM216,個性タイプマスタ!$A$5:$P$100,11,FALSE),2)</f>
        <v>2.4</v>
      </c>
      <c r="N216" s="57">
        <f>MAX(0.1,ROUND(設定!$B$10*AB216,3))</f>
        <v>1.2</v>
      </c>
      <c r="O216" s="57">
        <f t="shared" si="12"/>
        <v>3</v>
      </c>
      <c r="P216" s="58">
        <f>MAX(-10,MIN(0.8,IFERROR(INDEX(属性耐性マスタ!$B$5:$G$11,MATCH($C216,属性耐性マスタ!$A$5:$A$11,0),1),0)+IFERROR(VLOOKUP($AM216,個性タイプマスタ!$A$5:$P$100,12,FALSE),0)))</f>
        <v>0.08</v>
      </c>
      <c r="Q216" s="58">
        <f>MAX(-10,MIN(0.8,IFERROR(INDEX(属性耐性マスタ!$B$5:$G$11,MATCH($C216,属性耐性マスタ!$A$5:$A$11,0),2),0)+IFERROR(VLOOKUP($AM216,個性タイプマスタ!$A$5:$P$100,12,FALSE),0)))</f>
        <v>0.08</v>
      </c>
      <c r="R216" s="58">
        <f>MAX(-10,MIN(0.8,IFERROR(INDEX(属性耐性マスタ!$B$5:$G$11,MATCH($C216,属性耐性マスタ!$A$5:$A$11,0),3),0)+IFERROR(VLOOKUP($AM216,個性タイプマスタ!$A$5:$P$100,12,FALSE),0)))</f>
        <v>-2.0000000000000004E-2</v>
      </c>
      <c r="S216" s="58">
        <f>MAX(-10,MIN(0.8,IFERROR(INDEX(属性耐性マスタ!$B$5:$G$11,MATCH($C216,属性耐性マスタ!$A$5:$A$11,0),4),0)+IFERROR(VLOOKUP($AM216,個性タイプマスタ!$A$5:$P$100,12,FALSE),0)))</f>
        <v>0.28000000000000003</v>
      </c>
      <c r="T216" s="58">
        <f>MAX(-10,MIN(0.8,IFERROR(INDEX(属性耐性マスタ!$B$5:$G$11,MATCH($C216,属性耐性マスタ!$A$5:$A$11,0),5),0)+IFERROR(VLOOKUP($AM216,個性タイプマスタ!$A$5:$P$100,12,FALSE),0)))</f>
        <v>0.08</v>
      </c>
      <c r="U216" s="58">
        <f>MAX(-10,MIN(0.8,IFERROR(INDEX(属性耐性マスタ!$B$5:$G$11,MATCH($C216,属性耐性マスタ!$A$5:$A$11,0),6),0)+IFERROR(VLOOKUP($AM216,個性タイプマスタ!$A$5:$P$100,12,FALSE),0)))</f>
        <v>0.08</v>
      </c>
      <c r="V216" s="59">
        <f>ROUND(設定!$B$19*IFERROR(VLOOKUP($AM216,個性タイプマスタ!$A$5:$P$100,13,FALSE),1),2)</f>
        <v>4</v>
      </c>
      <c r="W216" s="59">
        <v>36</v>
      </c>
      <c r="X216" s="59" t="str">
        <f>IFERROR(VLOOKUP($AM216,個性タイプマスタ!$A$5:$P$100,2,FALSE),"Ranged")</f>
        <v>Ranged</v>
      </c>
      <c r="Y216" s="56">
        <f>IFERROR(VLOOKUP($AM216,個性タイプマスタ!$A$5:$P$100,3,FALSE),1)</f>
        <v>1.5</v>
      </c>
      <c r="Z216" s="56">
        <f>IFERROR(VLOOKUP($AM216,個性タイプマスタ!$A$5:$P$100,4,FALSE),1)</f>
        <v>1.5</v>
      </c>
      <c r="AA216" s="56">
        <f>IFERROR(VLOOKUP($AM216,個性タイプマスタ!$A$5:$P$100,5,FALSE),1)</f>
        <v>1.4</v>
      </c>
      <c r="AB216" s="56">
        <f>IFERROR(VLOOKUP($AM216,個性タイプマスタ!$A$5:$P$100,6,FALSE),1)</f>
        <v>1.2</v>
      </c>
      <c r="AC216" s="56">
        <f>IFERROR(VLOOKUP($AM216,個性タイプマスタ!$A$5:$P$100,7,FALSE),1)</f>
        <v>1.2</v>
      </c>
      <c r="AD216" s="56">
        <f>IFERROR(VLOOKUP($AM216,個性タイプマスタ!$A$5:$P$100,8,FALSE),1)</f>
        <v>1</v>
      </c>
      <c r="AE216" s="60">
        <f>IFERROR(D216/設定!$B$5,1)</f>
        <v>28.102399999999999</v>
      </c>
      <c r="AF216" s="60">
        <f>1+設定!$B$13*((I216/設定!$B$8+J216/設定!$B$9)/(2*AE216))</f>
        <v>1.4350162263721247</v>
      </c>
      <c r="AG216" s="60">
        <f>MAX(0.7,1+設定!$B$14*(O216/IF(X216="Melee",1.5,2.5)-1))</f>
        <v>1.024</v>
      </c>
      <c r="AH216" s="53">
        <f t="shared" si="13"/>
        <v>299.85791999999998</v>
      </c>
      <c r="AI216" s="53">
        <f>E216*AF216*(1+設定!$B$18*AVERAGE(P216:U216))</f>
        <v>6311.7072068044008</v>
      </c>
      <c r="AJ216" s="61">
        <f>設定!$B$5*SQRT((AH216/(設定!$B$7*設定!$B$10*(1+設定!$B$11*(設定!$B$12-1))))*(AI216/(設定!$B$6*(1+設定!$B$13))))</f>
        <v>2809.0619868770959</v>
      </c>
      <c r="AK216" s="62">
        <f t="shared" si="14"/>
        <v>-4.1918594956436017E-4</v>
      </c>
      <c r="AL216" s="63">
        <f t="shared" si="15"/>
        <v>2810.24</v>
      </c>
      <c r="AM216" s="64" t="s">
        <v>890</v>
      </c>
      <c r="AN216" s="54">
        <f>MAX(1,ROUND((設定!$B$7*設定!$B$10*(1+設定!$B$11*(設定!$B$12-1)))*AE216^2*(設定!$B$6*(1+設定!$B$13))/(AI216*N216*(1+K216*(L216-1))*AG216),0))</f>
        <v>227</v>
      </c>
      <c r="AO216" s="65" t="str">
        <f>IF($A216="","",IF(COUNTIF(個性タイプマスタ!$A$5:$A$100,$AM216)&gt;0,"OK","未登録"))</f>
        <v>OK</v>
      </c>
      <c r="AP216" s="67" t="str">
        <f>IF($A216="","",IF(COUNTIF(属性耐性マスタ!$A$5:$A$11,$C216)&gt;0,"OK","未登録"))</f>
        <v>OK</v>
      </c>
    </row>
    <row r="217" spans="1:42">
      <c r="A217" s="66" t="s">
        <v>534</v>
      </c>
      <c r="B217" s="51" t="s">
        <v>535</v>
      </c>
      <c r="C217" s="109" t="s">
        <v>874</v>
      </c>
      <c r="D217" s="53">
        <f>ROUND(設定!$B$5*POWER($D$2,W217-1),2)</f>
        <v>2810.24</v>
      </c>
      <c r="E217" s="54">
        <f>MAX(1,ROUND(設定!$B$6*AE217*Y217,0))</f>
        <v>2557</v>
      </c>
      <c r="F217" s="54">
        <f>MAX(0,ROUND(設定!$B$7*AE217*設定!$B$15*IF(X217="Melee",0.6,1.35)*IFERROR(VLOOKUP($AM217,個性タイプマスタ!$A$5:$P$100,14,FALSE),1),0))</f>
        <v>656</v>
      </c>
      <c r="G217" s="54">
        <f>IF(X217="Melee",AN217,MAX(1,ROUND(AN217*設定!$B$16*IFERROR(VLOOKUP($AM217,個性タイプマスタ!$A$5:$P$100,15,FALSE),1),0)))</f>
        <v>277</v>
      </c>
      <c r="H217" s="54">
        <f>IF(X217="Ranged",AN217,MAX(1,ROUND(AN217*設定!$B$16*IFERROR(VLOOKUP($AM217,個性タイプマスタ!$A$5:$P$100,15,FALSE),1),0)))</f>
        <v>822</v>
      </c>
      <c r="I217" s="54">
        <f>MAX(0,ROUND(設定!$B$8*AE217*Z217,0))</f>
        <v>198</v>
      </c>
      <c r="J217" s="54">
        <f>MAX(0,ROUND(設定!$B$9*AE217*AA217,0))</f>
        <v>214</v>
      </c>
      <c r="K217" s="55">
        <f>IFERROR(VLOOKUP($AM217,個性タイプマスタ!$A$5:$P$100,9,FALSE),0.05)</f>
        <v>0.04</v>
      </c>
      <c r="L217" s="56">
        <f>IFERROR(VLOOKUP($AM217,個性タイプマスタ!$A$5:$P$100,10,FALSE),1.5)</f>
        <v>2.2000000000000002</v>
      </c>
      <c r="M217" s="56">
        <f>IFERROR(VLOOKUP($AM217,個性タイプマスタ!$A$5:$P$100,11,FALSE),2)</f>
        <v>1.65</v>
      </c>
      <c r="N217" s="57">
        <f>MAX(0.1,ROUND(設定!$B$10*AB217,3))</f>
        <v>0.64</v>
      </c>
      <c r="O217" s="57">
        <f t="shared" si="12"/>
        <v>3.7</v>
      </c>
      <c r="P217" s="58">
        <f>MAX(-10,MIN(0.8,IFERROR(INDEX(属性耐性マスタ!$B$5:$G$11,MATCH($C217,属性耐性マスタ!$A$5:$A$11,0),1),0)+IFERROR(VLOOKUP($AM217,個性タイプマスタ!$A$5:$P$100,12,FALSE),0)))</f>
        <v>-2.5000000000000001E-2</v>
      </c>
      <c r="Q217" s="58">
        <f>MAX(-10,MIN(0.8,IFERROR(INDEX(属性耐性マスタ!$B$5:$G$11,MATCH($C217,属性耐性マスタ!$A$5:$A$11,0),2),0)+IFERROR(VLOOKUP($AM217,個性タイプマスタ!$A$5:$P$100,12,FALSE),0)))</f>
        <v>-2.5000000000000001E-2</v>
      </c>
      <c r="R217" s="58">
        <f>MAX(-10,MIN(0.8,IFERROR(INDEX(属性耐性マスタ!$B$5:$G$11,MATCH($C217,属性耐性マスタ!$A$5:$A$11,0),3),0)+IFERROR(VLOOKUP($AM217,個性タイプマスタ!$A$5:$P$100,12,FALSE),0)))</f>
        <v>-2.5000000000000001E-2</v>
      </c>
      <c r="S217" s="58">
        <f>MAX(-10,MIN(0.8,IFERROR(INDEX(属性耐性マスタ!$B$5:$G$11,MATCH($C217,属性耐性マスタ!$A$5:$A$11,0),4),0)+IFERROR(VLOOKUP($AM217,個性タイプマスタ!$A$5:$P$100,12,FALSE),0)))</f>
        <v>-2.5000000000000001E-2</v>
      </c>
      <c r="T217" s="58">
        <f>MAX(-10,MIN(0.8,IFERROR(INDEX(属性耐性マスタ!$B$5:$G$11,MATCH($C217,属性耐性マスタ!$A$5:$A$11,0),5),0)+IFERROR(VLOOKUP($AM217,個性タイプマスタ!$A$5:$P$100,12,FALSE),0)))</f>
        <v>-0.125</v>
      </c>
      <c r="U217" s="58">
        <f>MAX(-10,MIN(0.8,IFERROR(INDEX(属性耐性マスタ!$B$5:$G$11,MATCH($C217,属性耐性マスタ!$A$5:$A$11,0),6),0)+IFERROR(VLOOKUP($AM217,個性タイプマスタ!$A$5:$P$100,12,FALSE),0)))</f>
        <v>0.17500000000000002</v>
      </c>
      <c r="V217" s="59">
        <f>ROUND(設定!$B$19*IFERROR(VLOOKUP($AM217,個性タイプマスタ!$A$5:$P$100,13,FALSE),1),2)</f>
        <v>5</v>
      </c>
      <c r="W217" s="59">
        <v>36</v>
      </c>
      <c r="X217" s="59" t="str">
        <f>IFERROR(VLOOKUP($AM217,個性タイプマスタ!$A$5:$P$100,2,FALSE),"Ranged")</f>
        <v>Ranged</v>
      </c>
      <c r="Y217" s="56">
        <f>IFERROR(VLOOKUP($AM217,個性タイプマスタ!$A$5:$P$100,3,FALSE),1)</f>
        <v>0.91</v>
      </c>
      <c r="Z217" s="56">
        <f>IFERROR(VLOOKUP($AM217,個性タイプマスタ!$A$5:$P$100,4,FALSE),1)</f>
        <v>0.88</v>
      </c>
      <c r="AA217" s="56">
        <f>IFERROR(VLOOKUP($AM217,個性タイプマスタ!$A$5:$P$100,5,FALSE),1)</f>
        <v>0.95</v>
      </c>
      <c r="AB217" s="56">
        <f>IFERROR(VLOOKUP($AM217,個性タイプマスタ!$A$5:$P$100,6,FALSE),1)</f>
        <v>0.64</v>
      </c>
      <c r="AC217" s="56">
        <f>IFERROR(VLOOKUP($AM217,個性タイプマスタ!$A$5:$P$100,7,FALSE),1)</f>
        <v>1.48</v>
      </c>
      <c r="AD217" s="56">
        <f>IFERROR(VLOOKUP($AM217,個性タイプマスタ!$A$5:$P$100,8,FALSE),1)</f>
        <v>0.75</v>
      </c>
      <c r="AE217" s="60">
        <f>IFERROR(D217/設定!$B$5,1)</f>
        <v>28.102399999999999</v>
      </c>
      <c r="AF217" s="60">
        <f>1+設定!$B$13*((I217/設定!$B$8+J217/設定!$B$9)/(2*AE217))</f>
        <v>1.2748875540879072</v>
      </c>
      <c r="AG217" s="60">
        <f>MAX(0.7,1+設定!$B$14*(O217/IF(X217="Melee",1.5,2.5)-1))</f>
        <v>1.0576000000000001</v>
      </c>
      <c r="AH217" s="53">
        <f t="shared" si="13"/>
        <v>583.0885539840001</v>
      </c>
      <c r="AI217" s="53">
        <f>E217*AF217*(1+設定!$B$18*AVERAGE(P217:U217))</f>
        <v>3247.6628977685182</v>
      </c>
      <c r="AJ217" s="61">
        <f>設定!$B$5*SQRT((AH217/(設定!$B$7*設定!$B$10*(1+設定!$B$11*(設定!$B$12-1))))*(AI217/(設定!$B$6*(1+設定!$B$13))))</f>
        <v>2809.8482684279938</v>
      </c>
      <c r="AK217" s="62">
        <f t="shared" si="14"/>
        <v>-1.3939434781584659E-4</v>
      </c>
      <c r="AL217" s="63">
        <f t="shared" si="15"/>
        <v>2107.6799999999998</v>
      </c>
      <c r="AM217" s="64" t="s">
        <v>912</v>
      </c>
      <c r="AN217" s="54">
        <f>MAX(1,ROUND((設定!$B$7*設定!$B$10*(1+設定!$B$11*(設定!$B$12-1)))*AE217^2*(設定!$B$6*(1+設定!$B$13))/(AI217*N217*(1+K217*(L217-1))*AG217),0))</f>
        <v>822</v>
      </c>
      <c r="AO217" s="65" t="str">
        <f>IF($A217="","",IF(COUNTIF(個性タイプマスタ!$A$5:$A$100,$AM217)&gt;0,"OK","未登録"))</f>
        <v>OK</v>
      </c>
      <c r="AP217" s="67" t="str">
        <f>IF($A217="","",IF(COUNTIF(属性耐性マスタ!$A$5:$A$11,$C217)&gt;0,"OK","未登録"))</f>
        <v>OK</v>
      </c>
    </row>
    <row r="218" spans="1:42">
      <c r="A218" s="66" t="s">
        <v>536</v>
      </c>
      <c r="B218" s="51" t="s">
        <v>537</v>
      </c>
      <c r="C218" s="109" t="s">
        <v>871</v>
      </c>
      <c r="D218" s="53">
        <f>ROUND(設定!$B$5*POWER($D$2,W218-1),2)</f>
        <v>2810.24</v>
      </c>
      <c r="E218" s="54">
        <f>MAX(1,ROUND(設定!$B$6*AE218*Y218,0))</f>
        <v>3147</v>
      </c>
      <c r="F218" s="54">
        <f>MAX(0,ROUND(設定!$B$7*AE218*設定!$B$15*IF(X218="Melee",0.6,1.35)*IFERROR(VLOOKUP($AM218,個性タイプマスタ!$A$5:$P$100,14,FALSE),1),0))</f>
        <v>173</v>
      </c>
      <c r="G218" s="54">
        <f>IF(X218="Melee",AN218,MAX(1,ROUND(AN218*設定!$B$16*IFERROR(VLOOKUP($AM218,個性タイプマスタ!$A$5:$P$100,15,FALSE),1),0)))</f>
        <v>409</v>
      </c>
      <c r="H218" s="54">
        <f>IF(X218="Ranged",AN218,MAX(1,ROUND(AN218*設定!$B$16*IFERROR(VLOOKUP($AM218,個性タイプマスタ!$A$5:$P$100,15,FALSE),1),0)))</f>
        <v>144</v>
      </c>
      <c r="I218" s="54">
        <f>MAX(0,ROUND(設定!$B$8*AE218*Z218,0))</f>
        <v>283</v>
      </c>
      <c r="J218" s="54">
        <f>MAX(0,ROUND(設定!$B$9*AE218*AA218,0))</f>
        <v>279</v>
      </c>
      <c r="K218" s="55">
        <f>IFERROR(VLOOKUP($AM218,個性タイプマスタ!$A$5:$P$100,9,FALSE),0.05)</f>
        <v>0.04</v>
      </c>
      <c r="L218" s="56">
        <f>IFERROR(VLOOKUP($AM218,個性タイプマスタ!$A$5:$P$100,10,FALSE),1.5)</f>
        <v>1.4</v>
      </c>
      <c r="M218" s="56">
        <f>IFERROR(VLOOKUP($AM218,個性タイプマスタ!$A$5:$P$100,11,FALSE),2)</f>
        <v>2.4500000000000002</v>
      </c>
      <c r="N218" s="57">
        <f>MAX(0.1,ROUND(設定!$B$10*AB218,3))</f>
        <v>1.03</v>
      </c>
      <c r="O218" s="57">
        <f t="shared" si="12"/>
        <v>1.47</v>
      </c>
      <c r="P218" s="58">
        <f>MAX(-10,MIN(0.8,IFERROR(INDEX(属性耐性マスタ!$B$5:$G$11,MATCH($C218,属性耐性マスタ!$A$5:$A$11,0),1),0)+IFERROR(VLOOKUP($AM218,個性タイプマスタ!$A$5:$P$100,12,FALSE),0)))</f>
        <v>0.04</v>
      </c>
      <c r="Q218" s="58">
        <f>MAX(-10,MIN(0.8,IFERROR(INDEX(属性耐性マスタ!$B$5:$G$11,MATCH($C218,属性耐性マスタ!$A$5:$A$11,0),2),0)+IFERROR(VLOOKUP($AM218,個性タイプマスタ!$A$5:$P$100,12,FALSE),0)))</f>
        <v>0.04</v>
      </c>
      <c r="R218" s="58">
        <f>MAX(-10,MIN(0.8,IFERROR(INDEX(属性耐性マスタ!$B$5:$G$11,MATCH($C218,属性耐性マスタ!$A$5:$A$11,0),3),0)+IFERROR(VLOOKUP($AM218,個性タイプマスタ!$A$5:$P$100,12,FALSE),0)))</f>
        <v>-6.0000000000000005E-2</v>
      </c>
      <c r="S218" s="58">
        <f>MAX(-10,MIN(0.8,IFERROR(INDEX(属性耐性マスタ!$B$5:$G$11,MATCH($C218,属性耐性マスタ!$A$5:$A$11,0),4),0)+IFERROR(VLOOKUP($AM218,個性タイプマスタ!$A$5:$P$100,12,FALSE),0)))</f>
        <v>0.24000000000000002</v>
      </c>
      <c r="T218" s="58">
        <f>MAX(-10,MIN(0.8,IFERROR(INDEX(属性耐性マスタ!$B$5:$G$11,MATCH($C218,属性耐性マスタ!$A$5:$A$11,0),5),0)+IFERROR(VLOOKUP($AM218,個性タイプマスタ!$A$5:$P$100,12,FALSE),0)))</f>
        <v>0.04</v>
      </c>
      <c r="U218" s="58">
        <f>MAX(-10,MIN(0.8,IFERROR(INDEX(属性耐性マスタ!$B$5:$G$11,MATCH($C218,属性耐性マスタ!$A$5:$A$11,0),6),0)+IFERROR(VLOOKUP($AM218,個性タイプマスタ!$A$5:$P$100,12,FALSE),0)))</f>
        <v>0.04</v>
      </c>
      <c r="V218" s="59">
        <f>ROUND(設定!$B$19*IFERROR(VLOOKUP($AM218,個性タイプマスタ!$A$5:$P$100,13,FALSE),1),2)</f>
        <v>4</v>
      </c>
      <c r="W218" s="59">
        <v>36</v>
      </c>
      <c r="X218" s="59" t="str">
        <f>IFERROR(VLOOKUP($AM218,個性タイプマスタ!$A$5:$P$100,2,FALSE),"Ranged")</f>
        <v>Melee</v>
      </c>
      <c r="Y218" s="56">
        <f>IFERROR(VLOOKUP($AM218,個性タイプマスタ!$A$5:$P$100,3,FALSE),1)</f>
        <v>1.1200000000000001</v>
      </c>
      <c r="Z218" s="56">
        <f>IFERROR(VLOOKUP($AM218,個性タイプマスタ!$A$5:$P$100,4,FALSE),1)</f>
        <v>1.26</v>
      </c>
      <c r="AA218" s="56">
        <f>IFERROR(VLOOKUP($AM218,個性タイプマスタ!$A$5:$P$100,5,FALSE),1)</f>
        <v>1.24</v>
      </c>
      <c r="AB218" s="56">
        <f>IFERROR(VLOOKUP($AM218,個性タイプマスタ!$A$5:$P$100,6,FALSE),1)</f>
        <v>1.03</v>
      </c>
      <c r="AC218" s="56">
        <f>IFERROR(VLOOKUP($AM218,個性タイプマスタ!$A$5:$P$100,7,FALSE),1)</f>
        <v>0.98</v>
      </c>
      <c r="AD218" s="56">
        <f>IFERROR(VLOOKUP($AM218,個性タイプマスタ!$A$5:$P$100,8,FALSE),1)</f>
        <v>0.82</v>
      </c>
      <c r="AE218" s="60">
        <f>IFERROR(D218/設定!$B$5,1)</f>
        <v>28.102399999999999</v>
      </c>
      <c r="AF218" s="60">
        <f>1+設定!$B$13*((I218/設定!$B$8+J218/設定!$B$9)/(2*AE218))</f>
        <v>1.3749679742655432</v>
      </c>
      <c r="AG218" s="60">
        <f>MAX(0.7,1+設定!$B$14*(O218/IF(X218="Melee",1.5,2.5)-1))</f>
        <v>0.99760000000000004</v>
      </c>
      <c r="AH218" s="53">
        <f t="shared" si="13"/>
        <v>426.98309523200004</v>
      </c>
      <c r="AI218" s="53">
        <f>E218*AF218*(1+設定!$B$18*AVERAGE(P218:U218))</f>
        <v>4437.3633324965131</v>
      </c>
      <c r="AJ218" s="61">
        <f>設定!$B$5*SQRT((AH218/(設定!$B$7*設定!$B$10*(1+設定!$B$11*(設定!$B$12-1))))*(AI218/(設定!$B$6*(1+設定!$B$13))))</f>
        <v>2810.593090884558</v>
      </c>
      <c r="AK218" s="62">
        <f t="shared" si="14"/>
        <v>1.2564438786655252E-4</v>
      </c>
      <c r="AL218" s="63">
        <f t="shared" si="15"/>
        <v>2304.3967999999995</v>
      </c>
      <c r="AM218" s="64" t="s">
        <v>964</v>
      </c>
      <c r="AN218" s="54">
        <f>MAX(1,ROUND((設定!$B$7*設定!$B$10*(1+設定!$B$11*(設定!$B$12-1)))*AE218^2*(設定!$B$6*(1+設定!$B$13))/(AI218*N218*(1+K218*(L218-1))*AG218),0))</f>
        <v>409</v>
      </c>
      <c r="AO218" s="65" t="str">
        <f>IF($A218="","",IF(COUNTIF(個性タイプマスタ!$A$5:$A$100,$AM218)&gt;0,"OK","未登録"))</f>
        <v>OK</v>
      </c>
      <c r="AP218" s="67" t="str">
        <f>IF($A218="","",IF(COUNTIF(属性耐性マスタ!$A$5:$A$11,$C218)&gt;0,"OK","未登録"))</f>
        <v>OK</v>
      </c>
    </row>
    <row r="219" spans="1:42">
      <c r="A219" s="66" t="s">
        <v>538</v>
      </c>
      <c r="B219" s="51" t="s">
        <v>539</v>
      </c>
      <c r="C219" s="109" t="s">
        <v>121</v>
      </c>
      <c r="D219" s="53">
        <f>ROUND(設定!$B$5*POWER($D$2,W219-1),2)</f>
        <v>2810.24</v>
      </c>
      <c r="E219" s="54">
        <f>MAX(1,ROUND(設定!$B$6*AE219*Y219,0))</f>
        <v>2136</v>
      </c>
      <c r="F219" s="54">
        <f>MAX(0,ROUND(設定!$B$7*AE219*設定!$B$15*IF(X219="Melee",0.6,1.35)*IFERROR(VLOOKUP($AM219,個性タイプマスタ!$A$5:$P$100,14,FALSE),1),0))</f>
        <v>113</v>
      </c>
      <c r="G219" s="54">
        <f>IF(X219="Melee",AN219,MAX(1,ROUND(AN219*設定!$B$16*IFERROR(VLOOKUP($AM219,個性タイプマスタ!$A$5:$P$100,15,FALSE),1),0)))</f>
        <v>736</v>
      </c>
      <c r="H219" s="54">
        <f>IF(X219="Ranged",AN219,MAX(1,ROUND(AN219*設定!$B$16*IFERROR(VLOOKUP($AM219,個性タイプマスタ!$A$5:$P$100,15,FALSE),1),0)))</f>
        <v>205</v>
      </c>
      <c r="I219" s="54">
        <f>MAX(0,ROUND(設定!$B$8*AE219*Z219,0))</f>
        <v>171</v>
      </c>
      <c r="J219" s="54">
        <f>MAX(0,ROUND(設定!$B$9*AE219*AA219,0))</f>
        <v>157</v>
      </c>
      <c r="K219" s="55">
        <f>IFERROR(VLOOKUP($AM219,個性タイプマスタ!$A$5:$P$100,9,FALSE),0.05)</f>
        <v>9.5000000000000001E-2</v>
      </c>
      <c r="L219" s="56">
        <f>IFERROR(VLOOKUP($AM219,個性タイプマスタ!$A$5:$P$100,10,FALSE),1.5)</f>
        <v>2.4</v>
      </c>
      <c r="M219" s="56">
        <f>IFERROR(VLOOKUP($AM219,個性タイプマスタ!$A$5:$P$100,11,FALSE),2)</f>
        <v>3.35</v>
      </c>
      <c r="N219" s="57">
        <f>MAX(0.1,ROUND(設定!$B$10*AB219,3))</f>
        <v>0.86</v>
      </c>
      <c r="O219" s="57">
        <f t="shared" si="12"/>
        <v>1.9950000000000001</v>
      </c>
      <c r="P219" s="58">
        <f>MAX(-10,MIN(0.8,IFERROR(INDEX(属性耐性マスタ!$B$5:$G$11,MATCH($C219,属性耐性マスタ!$A$5:$A$11,0),1),0)+IFERROR(VLOOKUP($AM219,個性タイプマスタ!$A$5:$P$100,12,FALSE),0)))</f>
        <v>-7.0000000000000007E-2</v>
      </c>
      <c r="Q219" s="58">
        <f>MAX(-10,MIN(0.8,IFERROR(INDEX(属性耐性マスタ!$B$5:$G$11,MATCH($C219,属性耐性マスタ!$A$5:$A$11,0),2),0)+IFERROR(VLOOKUP($AM219,個性タイプマスタ!$A$5:$P$100,12,FALSE),0)))</f>
        <v>-7.0000000000000007E-2</v>
      </c>
      <c r="R219" s="58">
        <f>MAX(-10,MIN(0.8,IFERROR(INDEX(属性耐性マスタ!$B$5:$G$11,MATCH($C219,属性耐性マスタ!$A$5:$A$11,0),3),0)+IFERROR(VLOOKUP($AM219,個性タイプマスタ!$A$5:$P$100,12,FALSE),0)))</f>
        <v>-7.0000000000000007E-2</v>
      </c>
      <c r="S219" s="58">
        <f>MAX(-10,MIN(0.8,IFERROR(INDEX(属性耐性マスタ!$B$5:$G$11,MATCH($C219,属性耐性マスタ!$A$5:$A$11,0),4),0)+IFERROR(VLOOKUP($AM219,個性タイプマスタ!$A$5:$P$100,12,FALSE),0)))</f>
        <v>-7.0000000000000007E-2</v>
      </c>
      <c r="T219" s="58">
        <f>MAX(-10,MIN(0.8,IFERROR(INDEX(属性耐性マスタ!$B$5:$G$11,MATCH($C219,属性耐性マスタ!$A$5:$A$11,0),5),0)+IFERROR(VLOOKUP($AM219,個性タイプマスタ!$A$5:$P$100,12,FALSE),0)))</f>
        <v>0.13</v>
      </c>
      <c r="U219" s="58">
        <f>MAX(-10,MIN(0.8,IFERROR(INDEX(属性耐性マスタ!$B$5:$G$11,MATCH($C219,属性耐性マスタ!$A$5:$A$11,0),6),0)+IFERROR(VLOOKUP($AM219,個性タイプマスタ!$A$5:$P$100,12,FALSE),0)))</f>
        <v>-0.17</v>
      </c>
      <c r="V219" s="59">
        <f>ROUND(設定!$B$19*IFERROR(VLOOKUP($AM219,個性タイプマスタ!$A$5:$P$100,13,FALSE),1),2)</f>
        <v>4.5999999999999996</v>
      </c>
      <c r="W219" s="59">
        <v>36</v>
      </c>
      <c r="X219" s="59" t="str">
        <f>IFERROR(VLOOKUP($AM219,個性タイプマスタ!$A$5:$P$100,2,FALSE),"Ranged")</f>
        <v>Melee</v>
      </c>
      <c r="Y219" s="56">
        <f>IFERROR(VLOOKUP($AM219,個性タイプマスタ!$A$5:$P$100,3,FALSE),1)</f>
        <v>0.76</v>
      </c>
      <c r="Z219" s="56">
        <f>IFERROR(VLOOKUP($AM219,個性タイプマスタ!$A$5:$P$100,4,FALSE),1)</f>
        <v>0.76</v>
      </c>
      <c r="AA219" s="56">
        <f>IFERROR(VLOOKUP($AM219,個性タイプマスタ!$A$5:$P$100,5,FALSE),1)</f>
        <v>0.7</v>
      </c>
      <c r="AB219" s="56">
        <f>IFERROR(VLOOKUP($AM219,個性タイプマスタ!$A$5:$P$100,6,FALSE),1)</f>
        <v>0.86</v>
      </c>
      <c r="AC219" s="56">
        <f>IFERROR(VLOOKUP($AM219,個性タイプマスタ!$A$5:$P$100,7,FALSE),1)</f>
        <v>1.33</v>
      </c>
      <c r="AD219" s="56">
        <f>IFERROR(VLOOKUP($AM219,個性タイプマスタ!$A$5:$P$100,8,FALSE),1)</f>
        <v>0.64</v>
      </c>
      <c r="AE219" s="60">
        <f>IFERROR(D219/設定!$B$5,1)</f>
        <v>28.102399999999999</v>
      </c>
      <c r="AF219" s="60">
        <f>1+設定!$B$13*((I219/設定!$B$8+J219/設定!$B$9)/(2*AE219))</f>
        <v>1.2188425187884309</v>
      </c>
      <c r="AG219" s="60">
        <f>MAX(0.7,1+設定!$B$14*(O219/IF(X219="Melee",1.5,2.5)-1))</f>
        <v>1.0396000000000001</v>
      </c>
      <c r="AH219" s="53">
        <f t="shared" si="13"/>
        <v>745.5425697280001</v>
      </c>
      <c r="AI219" s="53">
        <f>E219*AF219*(1+設定!$B$18*AVERAGE(P219:U219))</f>
        <v>2540.9648772489181</v>
      </c>
      <c r="AJ219" s="61">
        <f>設定!$B$5*SQRT((AH219/(設定!$B$7*設定!$B$10*(1+設定!$B$11*(設定!$B$12-1))))*(AI219/(設定!$B$6*(1+設定!$B$13))))</f>
        <v>2810.3841841924423</v>
      </c>
      <c r="AK219" s="62">
        <f t="shared" si="14"/>
        <v>5.1306718444887878E-5</v>
      </c>
      <c r="AL219" s="63">
        <f t="shared" si="15"/>
        <v>1798.5536</v>
      </c>
      <c r="AM219" s="64" t="s">
        <v>978</v>
      </c>
      <c r="AN219" s="54">
        <f>MAX(1,ROUND((設定!$B$7*設定!$B$10*(1+設定!$B$11*(設定!$B$12-1)))*AE219^2*(設定!$B$6*(1+設定!$B$13))/(AI219*N219*(1+K219*(L219-1))*AG219),0))</f>
        <v>736</v>
      </c>
      <c r="AO219" s="65" t="str">
        <f>IF($A219="","",IF(COUNTIF(個性タイプマスタ!$A$5:$A$100,$AM219)&gt;0,"OK","未登録"))</f>
        <v>OK</v>
      </c>
      <c r="AP219" s="67" t="str">
        <f>IF($A219="","",IF(COUNTIF(属性耐性マスタ!$A$5:$A$11,$C219)&gt;0,"OK","未登録"))</f>
        <v>OK</v>
      </c>
    </row>
    <row r="220" spans="1:42">
      <c r="A220" s="66" t="s">
        <v>540</v>
      </c>
      <c r="B220" s="51" t="s">
        <v>541</v>
      </c>
      <c r="C220" s="109" t="s">
        <v>121</v>
      </c>
      <c r="D220" s="53">
        <f>ROUND(設定!$B$5*POWER($D$2,W220-1),2)</f>
        <v>2810.24</v>
      </c>
      <c r="E220" s="54">
        <f>MAX(1,ROUND(設定!$B$6*AE220*Y220,0))</f>
        <v>2810</v>
      </c>
      <c r="F220" s="54">
        <f>MAX(0,ROUND(設定!$B$7*AE220*設定!$B$15*IF(X220="Melee",0.6,1.35)*IFERROR(VLOOKUP($AM220,個性タイプマスタ!$A$5:$P$100,14,FALSE),1),0))</f>
        <v>594</v>
      </c>
      <c r="G220" s="54">
        <f>IF(X220="Melee",AN220,MAX(1,ROUND(AN220*設定!$B$16*IFERROR(VLOOKUP($AM220,個性タイプマスタ!$A$5:$P$100,15,FALSE),1),0)))</f>
        <v>225</v>
      </c>
      <c r="H220" s="54">
        <f>IF(X220="Ranged",AN220,MAX(1,ROUND(AN220*設定!$B$16*IFERROR(VLOOKUP($AM220,個性タイプマスタ!$A$5:$P$100,15,FALSE),1),0)))</f>
        <v>501</v>
      </c>
      <c r="I220" s="54">
        <f>MAX(0,ROUND(設定!$B$8*AE220*Z220,0))</f>
        <v>225</v>
      </c>
      <c r="J220" s="54">
        <f>MAX(0,ROUND(設定!$B$9*AE220*AA220,0))</f>
        <v>270</v>
      </c>
      <c r="K220" s="55">
        <f>IFERROR(VLOOKUP($AM220,個性タイプマスタ!$A$5:$P$100,9,FALSE),0.05)</f>
        <v>0.06</v>
      </c>
      <c r="L220" s="56">
        <f>IFERROR(VLOOKUP($AM220,個性タイプマスタ!$A$5:$P$100,10,FALSE),1.5)</f>
        <v>1.4</v>
      </c>
      <c r="M220" s="56">
        <f>IFERROR(VLOOKUP($AM220,個性タイプマスタ!$A$5:$P$100,11,FALSE),2)</f>
        <v>2.1</v>
      </c>
      <c r="N220" s="57">
        <f>MAX(0.1,ROUND(設定!$B$10*AB220,3))</f>
        <v>0.95</v>
      </c>
      <c r="O220" s="57">
        <f t="shared" si="12"/>
        <v>2.875</v>
      </c>
      <c r="P220" s="58">
        <f>MAX(-10,MIN(0.8,IFERROR(INDEX(属性耐性マスタ!$B$5:$G$11,MATCH($C220,属性耐性マスタ!$A$5:$A$11,0),1),0)+IFERROR(VLOOKUP($AM220,個性タイプマスタ!$A$5:$P$100,12,FALSE),0)))</f>
        <v>0.03</v>
      </c>
      <c r="Q220" s="58">
        <f>MAX(-10,MIN(0.8,IFERROR(INDEX(属性耐性マスタ!$B$5:$G$11,MATCH($C220,属性耐性マスタ!$A$5:$A$11,0),2),0)+IFERROR(VLOOKUP($AM220,個性タイプマスタ!$A$5:$P$100,12,FALSE),0)))</f>
        <v>0.03</v>
      </c>
      <c r="R220" s="58">
        <f>MAX(-10,MIN(0.8,IFERROR(INDEX(属性耐性マスタ!$B$5:$G$11,MATCH($C220,属性耐性マスタ!$A$5:$A$11,0),3),0)+IFERROR(VLOOKUP($AM220,個性タイプマスタ!$A$5:$P$100,12,FALSE),0)))</f>
        <v>0.03</v>
      </c>
      <c r="S220" s="58">
        <f>MAX(-10,MIN(0.8,IFERROR(INDEX(属性耐性マスタ!$B$5:$G$11,MATCH($C220,属性耐性マスタ!$A$5:$A$11,0),4),0)+IFERROR(VLOOKUP($AM220,個性タイプマスタ!$A$5:$P$100,12,FALSE),0)))</f>
        <v>0.03</v>
      </c>
      <c r="T220" s="58">
        <f>MAX(-10,MIN(0.8,IFERROR(INDEX(属性耐性マスタ!$B$5:$G$11,MATCH($C220,属性耐性マスタ!$A$5:$A$11,0),5),0)+IFERROR(VLOOKUP($AM220,個性タイプマスタ!$A$5:$P$100,12,FALSE),0)))</f>
        <v>0.23</v>
      </c>
      <c r="U220" s="58">
        <f>MAX(-10,MIN(0.8,IFERROR(INDEX(属性耐性マスタ!$B$5:$G$11,MATCH($C220,属性耐性マスタ!$A$5:$A$11,0),6),0)+IFERROR(VLOOKUP($AM220,個性タイプマスタ!$A$5:$P$100,12,FALSE),0)))</f>
        <v>-7.0000000000000007E-2</v>
      </c>
      <c r="V220" s="59">
        <f>ROUND(設定!$B$19*IFERROR(VLOOKUP($AM220,個性タイプマスタ!$A$5:$P$100,13,FALSE),1),2)</f>
        <v>4.8</v>
      </c>
      <c r="W220" s="59">
        <v>36</v>
      </c>
      <c r="X220" s="59" t="str">
        <f>IFERROR(VLOOKUP($AM220,個性タイプマスタ!$A$5:$P$100,2,FALSE),"Ranged")</f>
        <v>Ranged</v>
      </c>
      <c r="Y220" s="56">
        <f>IFERROR(VLOOKUP($AM220,個性タイプマスタ!$A$5:$P$100,3,FALSE),1)</f>
        <v>1</v>
      </c>
      <c r="Z220" s="56">
        <f>IFERROR(VLOOKUP($AM220,個性タイプマスタ!$A$5:$P$100,4,FALSE),1)</f>
        <v>1</v>
      </c>
      <c r="AA220" s="56">
        <f>IFERROR(VLOOKUP($AM220,個性タイプマスタ!$A$5:$P$100,5,FALSE),1)</f>
        <v>1.2</v>
      </c>
      <c r="AB220" s="56">
        <f>IFERROR(VLOOKUP($AM220,個性タイプマスタ!$A$5:$P$100,6,FALSE),1)</f>
        <v>0.95</v>
      </c>
      <c r="AC220" s="56">
        <f>IFERROR(VLOOKUP($AM220,個性タイプマスタ!$A$5:$P$100,7,FALSE),1)</f>
        <v>1.1499999999999999</v>
      </c>
      <c r="AD220" s="56">
        <f>IFERROR(VLOOKUP($AM220,個性タイプマスタ!$A$5:$P$100,8,FALSE),1)</f>
        <v>0.84</v>
      </c>
      <c r="AE220" s="60">
        <f>IFERROR(D220/設定!$B$5,1)</f>
        <v>28.102399999999999</v>
      </c>
      <c r="AF220" s="60">
        <f>1+設定!$B$13*((I220/設定!$B$8+J220/設定!$B$9)/(2*AE220))</f>
        <v>1.3302653865861991</v>
      </c>
      <c r="AG220" s="60">
        <f>MAX(0.7,1+設定!$B$14*(O220/IF(X220="Melee",1.5,2.5)-1))</f>
        <v>1.018</v>
      </c>
      <c r="AH220" s="53">
        <f t="shared" si="13"/>
        <v>496.14551039999998</v>
      </c>
      <c r="AI220" s="53">
        <f>E220*AF220*(1+設定!$B$18*AVERAGE(P220:U220))</f>
        <v>3816.5446967696707</v>
      </c>
      <c r="AJ220" s="61">
        <f>設定!$B$5*SQRT((AH220/(設定!$B$7*設定!$B$10*(1+設定!$B$11*(設定!$B$12-1))))*(AI220/(設定!$B$6*(1+設定!$B$13))))</f>
        <v>2809.7640267364186</v>
      </c>
      <c r="AK220" s="62">
        <f t="shared" si="14"/>
        <v>-1.6937103720005009E-4</v>
      </c>
      <c r="AL220" s="63">
        <f t="shared" si="15"/>
        <v>2360.6015999999995</v>
      </c>
      <c r="AM220" s="64" t="s">
        <v>898</v>
      </c>
      <c r="AN220" s="54">
        <f>MAX(1,ROUND((設定!$B$7*設定!$B$10*(1+設定!$B$11*(設定!$B$12-1)))*AE220^2*(設定!$B$6*(1+設定!$B$13))/(AI220*N220*(1+K220*(L220-1))*AG220),0))</f>
        <v>501</v>
      </c>
      <c r="AO220" s="65" t="str">
        <f>IF($A220="","",IF(COUNTIF(個性タイプマスタ!$A$5:$A$100,$AM220)&gt;0,"OK","未登録"))</f>
        <v>OK</v>
      </c>
      <c r="AP220" s="67" t="str">
        <f>IF($A220="","",IF(COUNTIF(属性耐性マスタ!$A$5:$A$11,$C220)&gt;0,"OK","未登録"))</f>
        <v>OK</v>
      </c>
    </row>
    <row r="221" spans="1:42">
      <c r="A221" s="66" t="s">
        <v>542</v>
      </c>
      <c r="B221" s="51" t="s">
        <v>543</v>
      </c>
      <c r="C221" s="109" t="s">
        <v>874</v>
      </c>
      <c r="D221" s="53">
        <f>ROUND(設定!$B$5*POWER($D$2,W221-1),2)</f>
        <v>3091.27</v>
      </c>
      <c r="E221" s="54">
        <f>MAX(1,ROUND(設定!$B$6*AE221*Y221,0))</f>
        <v>3091</v>
      </c>
      <c r="F221" s="54">
        <f>MAX(0,ROUND(設定!$B$7*AE221*設定!$B$15*IF(X221="Melee",0.6,1.35)*IFERROR(VLOOKUP($AM221,個性タイプマスタ!$A$5:$P$100,14,FALSE),1),0))</f>
        <v>496</v>
      </c>
      <c r="G221" s="54">
        <f>IF(X221="Melee",AN221,MAX(1,ROUND(AN221*設定!$B$16*IFERROR(VLOOKUP($AM221,個性タイプマスタ!$A$5:$P$100,15,FALSE),1),0)))</f>
        <v>223</v>
      </c>
      <c r="H221" s="54">
        <f>IF(X221="Ranged",AN221,MAX(1,ROUND(AN221*設定!$B$16*IFERROR(VLOOKUP($AM221,個性タイプマスタ!$A$5:$P$100,15,FALSE),1),0)))</f>
        <v>495</v>
      </c>
      <c r="I221" s="54">
        <f>MAX(0,ROUND(設定!$B$8*AE221*Z221,0))</f>
        <v>235</v>
      </c>
      <c r="J221" s="54">
        <f>MAX(0,ROUND(設定!$B$9*AE221*AA221,0))</f>
        <v>272</v>
      </c>
      <c r="K221" s="55">
        <f>IFERROR(VLOOKUP($AM221,個性タイプマスタ!$A$5:$P$100,9,FALSE),0.05)</f>
        <v>7.0000000000000007E-2</v>
      </c>
      <c r="L221" s="56">
        <f>IFERROR(VLOOKUP($AM221,個性タイプマスタ!$A$5:$P$100,10,FALSE),1.5)</f>
        <v>1.55</v>
      </c>
      <c r="M221" s="56">
        <f>IFERROR(VLOOKUP($AM221,個性タイプマスタ!$A$5:$P$100,11,FALSE),2)</f>
        <v>2.2999999999999998</v>
      </c>
      <c r="N221" s="57">
        <f>MAX(0.1,ROUND(設定!$B$10*AB221,3))</f>
        <v>1.1000000000000001</v>
      </c>
      <c r="O221" s="57">
        <f t="shared" si="12"/>
        <v>2.7</v>
      </c>
      <c r="P221" s="58">
        <f>MAX(-10,MIN(0.8,IFERROR(INDEX(属性耐性マスタ!$B$5:$G$11,MATCH($C221,属性耐性マスタ!$A$5:$A$11,0),1),0)+IFERROR(VLOOKUP($AM221,個性タイプマスタ!$A$5:$P$100,12,FALSE),0)))</f>
        <v>-0.03</v>
      </c>
      <c r="Q221" s="58">
        <f>MAX(-10,MIN(0.8,IFERROR(INDEX(属性耐性マスタ!$B$5:$G$11,MATCH($C221,属性耐性マスタ!$A$5:$A$11,0),2),0)+IFERROR(VLOOKUP($AM221,個性タイプマスタ!$A$5:$P$100,12,FALSE),0)))</f>
        <v>-0.03</v>
      </c>
      <c r="R221" s="58">
        <f>MAX(-10,MIN(0.8,IFERROR(INDEX(属性耐性マスタ!$B$5:$G$11,MATCH($C221,属性耐性マスタ!$A$5:$A$11,0),3),0)+IFERROR(VLOOKUP($AM221,個性タイプマスタ!$A$5:$P$100,12,FALSE),0)))</f>
        <v>-0.03</v>
      </c>
      <c r="S221" s="58">
        <f>MAX(-10,MIN(0.8,IFERROR(INDEX(属性耐性マスタ!$B$5:$G$11,MATCH($C221,属性耐性マスタ!$A$5:$A$11,0),4),0)+IFERROR(VLOOKUP($AM221,個性タイプマスタ!$A$5:$P$100,12,FALSE),0)))</f>
        <v>-0.03</v>
      </c>
      <c r="T221" s="58">
        <f>MAX(-10,MIN(0.8,IFERROR(INDEX(属性耐性マスタ!$B$5:$G$11,MATCH($C221,属性耐性マスタ!$A$5:$A$11,0),5),0)+IFERROR(VLOOKUP($AM221,個性タイプマスタ!$A$5:$P$100,12,FALSE),0)))</f>
        <v>-0.13</v>
      </c>
      <c r="U221" s="58">
        <f>MAX(-10,MIN(0.8,IFERROR(INDEX(属性耐性マスタ!$B$5:$G$11,MATCH($C221,属性耐性マスタ!$A$5:$A$11,0),6),0)+IFERROR(VLOOKUP($AM221,個性タイプマスタ!$A$5:$P$100,12,FALSE),0)))</f>
        <v>0.17</v>
      </c>
      <c r="V221" s="59">
        <f>ROUND(設定!$B$19*IFERROR(VLOOKUP($AM221,個性タイプマスタ!$A$5:$P$100,13,FALSE),1),2)</f>
        <v>4</v>
      </c>
      <c r="W221" s="59">
        <v>37</v>
      </c>
      <c r="X221" s="59" t="str">
        <f>IFERROR(VLOOKUP($AM221,個性タイプマスタ!$A$5:$P$100,2,FALSE),"Ranged")</f>
        <v>Ranged</v>
      </c>
      <c r="Y221" s="56">
        <f>IFERROR(VLOOKUP($AM221,個性タイプマスタ!$A$5:$P$100,3,FALSE),1)</f>
        <v>1</v>
      </c>
      <c r="Z221" s="56">
        <f>IFERROR(VLOOKUP($AM221,個性タイプマスタ!$A$5:$P$100,4,FALSE),1)</f>
        <v>0.95</v>
      </c>
      <c r="AA221" s="56">
        <f>IFERROR(VLOOKUP($AM221,個性タイプマスタ!$A$5:$P$100,5,FALSE),1)</f>
        <v>1.1000000000000001</v>
      </c>
      <c r="AB221" s="56">
        <f>IFERROR(VLOOKUP($AM221,個性タイプマスタ!$A$5:$P$100,6,FALSE),1)</f>
        <v>1.1000000000000001</v>
      </c>
      <c r="AC221" s="56">
        <f>IFERROR(VLOOKUP($AM221,個性タイプマスタ!$A$5:$P$100,7,FALSE),1)</f>
        <v>1.08</v>
      </c>
      <c r="AD221" s="56">
        <f>IFERROR(VLOOKUP($AM221,個性タイプマスタ!$A$5:$P$100,8,FALSE),1)</f>
        <v>0.8</v>
      </c>
      <c r="AE221" s="60">
        <f>IFERROR(D221/設定!$B$5,1)</f>
        <v>30.912700000000001</v>
      </c>
      <c r="AF221" s="60">
        <f>1+設定!$B$13*((I221/設定!$B$8+J221/設定!$B$9)/(2*AE221))</f>
        <v>1.3075192396652509</v>
      </c>
      <c r="AG221" s="60">
        <f>MAX(0.7,1+設定!$B$14*(O221/IF(X221="Melee",1.5,2.5)-1))</f>
        <v>1.0096000000000001</v>
      </c>
      <c r="AH221" s="53">
        <f t="shared" si="13"/>
        <v>570.89169720000007</v>
      </c>
      <c r="AI221" s="53">
        <f>E221*AF221*(1+設定!$B$18*AVERAGE(P221:U221))</f>
        <v>4017.2927179864587</v>
      </c>
      <c r="AJ221" s="61">
        <f>設定!$B$5*SQRT((AH221/(設定!$B$7*設定!$B$10*(1+設定!$B$11*(設定!$B$12-1))))*(AI221/(設定!$B$6*(1+設定!$B$13))))</f>
        <v>3092.2438951933937</v>
      </c>
      <c r="AK221" s="62">
        <f t="shared" si="14"/>
        <v>3.1504695267425831E-4</v>
      </c>
      <c r="AL221" s="63">
        <f t="shared" si="15"/>
        <v>2473.0160000000001</v>
      </c>
      <c r="AM221" s="64" t="s">
        <v>883</v>
      </c>
      <c r="AN221" s="54">
        <f>MAX(1,ROUND((設定!$B$7*設定!$B$10*(1+設定!$B$11*(設定!$B$12-1)))*AE221^2*(設定!$B$6*(1+設定!$B$13))/(AI221*N221*(1+K221*(L221-1))*AG221),0))</f>
        <v>495</v>
      </c>
      <c r="AO221" s="65" t="str">
        <f>IF($A221="","",IF(COUNTIF(個性タイプマスタ!$A$5:$A$100,$AM221)&gt;0,"OK","未登録"))</f>
        <v>OK</v>
      </c>
      <c r="AP221" s="67" t="str">
        <f>IF($A221="","",IF(COUNTIF(属性耐性マスタ!$A$5:$A$11,$C221)&gt;0,"OK","未登録"))</f>
        <v>OK</v>
      </c>
    </row>
    <row r="222" spans="1:42">
      <c r="A222" s="66" t="s">
        <v>544</v>
      </c>
      <c r="B222" s="51" t="s">
        <v>545</v>
      </c>
      <c r="C222" s="109" t="s">
        <v>874</v>
      </c>
      <c r="D222" s="53">
        <f>ROUND(設定!$B$5*POWER($D$2,W222-1),2)</f>
        <v>3091.27</v>
      </c>
      <c r="E222" s="54">
        <f>MAX(1,ROUND(設定!$B$6*AE222*Y222,0))</f>
        <v>2071</v>
      </c>
      <c r="F222" s="54">
        <f>MAX(0,ROUND(設定!$B$7*AE222*設定!$B$15*IF(X222="Melee",0.6,1.35)*IFERROR(VLOOKUP($AM222,個性タイプマスタ!$A$5:$P$100,14,FALSE),1),0))</f>
        <v>496</v>
      </c>
      <c r="G222" s="54">
        <f>IF(X222="Melee",AN222,MAX(1,ROUND(AN222*設定!$B$16*IFERROR(VLOOKUP($AM222,個性タイプマスタ!$A$5:$P$100,15,FALSE),1),0)))</f>
        <v>229</v>
      </c>
      <c r="H222" s="54">
        <f>IF(X222="Ranged",AN222,MAX(1,ROUND(AN222*設定!$B$16*IFERROR(VLOOKUP($AM222,個性タイプマスタ!$A$5:$P$100,15,FALSE),1),0)))</f>
        <v>980</v>
      </c>
      <c r="I222" s="54">
        <f>MAX(0,ROUND(設定!$B$8*AE222*Z222,0))</f>
        <v>161</v>
      </c>
      <c r="J222" s="54">
        <f>MAX(0,ROUND(設定!$B$9*AE222*AA222,0))</f>
        <v>198</v>
      </c>
      <c r="K222" s="55">
        <f>IFERROR(VLOOKUP($AM222,個性タイプマスタ!$A$5:$P$100,9,FALSE),0.05)</f>
        <v>0.18</v>
      </c>
      <c r="L222" s="56">
        <f>IFERROR(VLOOKUP($AM222,個性タイプマスタ!$A$5:$P$100,10,FALSE),1.5)</f>
        <v>1.85</v>
      </c>
      <c r="M222" s="56">
        <f>IFERROR(VLOOKUP($AM222,個性タイプマスタ!$A$5:$P$100,11,FALSE),2)</f>
        <v>2.0499999999999998</v>
      </c>
      <c r="N222" s="57">
        <f>MAX(0.1,ROUND(設定!$B$10*AB222,3))</f>
        <v>0.75</v>
      </c>
      <c r="O222" s="57">
        <f t="shared" si="12"/>
        <v>4.45</v>
      </c>
      <c r="P222" s="58">
        <f>MAX(-10,MIN(0.8,IFERROR(INDEX(属性耐性マスタ!$B$5:$G$11,MATCH($C222,属性耐性マスタ!$A$5:$A$11,0),1),0)+IFERROR(VLOOKUP($AM222,個性タイプマスタ!$A$5:$P$100,12,FALSE),0)))</f>
        <v>-0.06</v>
      </c>
      <c r="Q222" s="58">
        <f>MAX(-10,MIN(0.8,IFERROR(INDEX(属性耐性マスタ!$B$5:$G$11,MATCH($C222,属性耐性マスタ!$A$5:$A$11,0),2),0)+IFERROR(VLOOKUP($AM222,個性タイプマスタ!$A$5:$P$100,12,FALSE),0)))</f>
        <v>-0.06</v>
      </c>
      <c r="R222" s="58">
        <f>MAX(-10,MIN(0.8,IFERROR(INDEX(属性耐性マスタ!$B$5:$G$11,MATCH($C222,属性耐性マスタ!$A$5:$A$11,0),3),0)+IFERROR(VLOOKUP($AM222,個性タイプマスタ!$A$5:$P$100,12,FALSE),0)))</f>
        <v>-0.06</v>
      </c>
      <c r="S222" s="58">
        <f>MAX(-10,MIN(0.8,IFERROR(INDEX(属性耐性マスタ!$B$5:$G$11,MATCH($C222,属性耐性マスタ!$A$5:$A$11,0),4),0)+IFERROR(VLOOKUP($AM222,個性タイプマスタ!$A$5:$P$100,12,FALSE),0)))</f>
        <v>-0.06</v>
      </c>
      <c r="T222" s="58">
        <f>MAX(-10,MIN(0.8,IFERROR(INDEX(属性耐性マスタ!$B$5:$G$11,MATCH($C222,属性耐性マスタ!$A$5:$A$11,0),5),0)+IFERROR(VLOOKUP($AM222,個性タイプマスタ!$A$5:$P$100,12,FALSE),0)))</f>
        <v>-0.16</v>
      </c>
      <c r="U222" s="58">
        <f>MAX(-10,MIN(0.8,IFERROR(INDEX(属性耐性マスタ!$B$5:$G$11,MATCH($C222,属性耐性マスタ!$A$5:$A$11,0),6),0)+IFERROR(VLOOKUP($AM222,個性タイプマスタ!$A$5:$P$100,12,FALSE),0)))</f>
        <v>0.14000000000000001</v>
      </c>
      <c r="V222" s="59">
        <f>ROUND(設定!$B$19*IFERROR(VLOOKUP($AM222,個性タイプマスタ!$A$5:$P$100,13,FALSE),1),2)</f>
        <v>5.6</v>
      </c>
      <c r="W222" s="59">
        <v>37</v>
      </c>
      <c r="X222" s="59" t="str">
        <f>IFERROR(VLOOKUP($AM222,個性タイプマスタ!$A$5:$P$100,2,FALSE),"Ranged")</f>
        <v>Ranged</v>
      </c>
      <c r="Y222" s="56">
        <f>IFERROR(VLOOKUP($AM222,個性タイプマスタ!$A$5:$P$100,3,FALSE),1)</f>
        <v>0.67</v>
      </c>
      <c r="Z222" s="56">
        <f>IFERROR(VLOOKUP($AM222,個性タイプマスタ!$A$5:$P$100,4,FALSE),1)</f>
        <v>0.65</v>
      </c>
      <c r="AA222" s="56">
        <f>IFERROR(VLOOKUP($AM222,個性タイプマスタ!$A$5:$P$100,5,FALSE),1)</f>
        <v>0.8</v>
      </c>
      <c r="AB222" s="56">
        <f>IFERROR(VLOOKUP($AM222,個性タイプマスタ!$A$5:$P$100,6,FALSE),1)</f>
        <v>0.75</v>
      </c>
      <c r="AC222" s="56">
        <f>IFERROR(VLOOKUP($AM222,個性タイプマスタ!$A$5:$P$100,7,FALSE),1)</f>
        <v>1.78</v>
      </c>
      <c r="AD222" s="56">
        <f>IFERROR(VLOOKUP($AM222,個性タイプマスタ!$A$5:$P$100,8,FALSE),1)</f>
        <v>0.62</v>
      </c>
      <c r="AE222" s="60">
        <f>IFERROR(D222/設定!$B$5,1)</f>
        <v>30.912700000000001</v>
      </c>
      <c r="AF222" s="60">
        <f>1+設定!$B$13*((I222/設定!$B$8+J222/設定!$B$9)/(2*AE222))</f>
        <v>1.2177503097432447</v>
      </c>
      <c r="AG222" s="60">
        <f>MAX(0.7,1+設定!$B$14*(O222/IF(X222="Melee",1.5,2.5)-1))</f>
        <v>1.0935999999999999</v>
      </c>
      <c r="AH222" s="53">
        <f t="shared" si="13"/>
        <v>926.77678800000001</v>
      </c>
      <c r="AI222" s="53">
        <f>E222*AF222*(1+設定!$B$18*AVERAGE(P222:U222))</f>
        <v>2472.7826540944338</v>
      </c>
      <c r="AJ222" s="61">
        <f>設定!$B$5*SQRT((AH222/(設定!$B$7*設定!$B$10*(1+設定!$B$11*(設定!$B$12-1))))*(AI222/(設定!$B$6*(1+設定!$B$13))))</f>
        <v>3091.0831332670091</v>
      </c>
      <c r="AK222" s="62">
        <f t="shared" si="14"/>
        <v>-6.0449825796782264E-5</v>
      </c>
      <c r="AL222" s="63">
        <f t="shared" si="15"/>
        <v>1916.5873999999999</v>
      </c>
      <c r="AM222" s="64" t="s">
        <v>910</v>
      </c>
      <c r="AN222" s="54">
        <f>MAX(1,ROUND((設定!$B$7*設定!$B$10*(1+設定!$B$11*(設定!$B$12-1)))*AE222^2*(設定!$B$6*(1+設定!$B$13))/(AI222*N222*(1+K222*(L222-1))*AG222),0))</f>
        <v>980</v>
      </c>
      <c r="AO222" s="65" t="str">
        <f>IF($A222="","",IF(COUNTIF(個性タイプマスタ!$A$5:$A$100,$AM222)&gt;0,"OK","未登録"))</f>
        <v>OK</v>
      </c>
      <c r="AP222" s="67" t="str">
        <f>IF($A222="","",IF(COUNTIF(属性耐性マスタ!$A$5:$A$11,$C222)&gt;0,"OK","未登録"))</f>
        <v>OK</v>
      </c>
    </row>
    <row r="223" spans="1:42">
      <c r="A223" s="66" t="s">
        <v>546</v>
      </c>
      <c r="B223" s="51" t="s">
        <v>547</v>
      </c>
      <c r="C223" s="109" t="s">
        <v>874</v>
      </c>
      <c r="D223" s="53">
        <f>ROUND(設定!$B$5*POWER($D$2,W223-1),2)</f>
        <v>3091.27</v>
      </c>
      <c r="E223" s="54">
        <f>MAX(1,ROUND(設定!$B$6*AE223*Y223,0))</f>
        <v>2535</v>
      </c>
      <c r="F223" s="54">
        <f>MAX(0,ROUND(設定!$B$7*AE223*設定!$B$15*IF(X223="Melee",0.6,1.35)*IFERROR(VLOOKUP($AM223,個性タイプマスタ!$A$5:$P$100,14,FALSE),1),0))</f>
        <v>608</v>
      </c>
      <c r="G223" s="54">
        <f>IF(X223="Melee",AN223,MAX(1,ROUND(AN223*設定!$B$16*IFERROR(VLOOKUP($AM223,個性タイプマスタ!$A$5:$P$100,15,FALSE),1),0)))</f>
        <v>234</v>
      </c>
      <c r="H223" s="54">
        <f>IF(X223="Ranged",AN223,MAX(1,ROUND(AN223*設定!$B$16*IFERROR(VLOOKUP($AM223,個性タイプマスタ!$A$5:$P$100,15,FALSE),1),0)))</f>
        <v>868</v>
      </c>
      <c r="I223" s="54">
        <f>MAX(0,ROUND(設定!$B$8*AE223*Z223,0))</f>
        <v>200</v>
      </c>
      <c r="J223" s="54">
        <f>MAX(0,ROUND(設定!$B$9*AE223*AA223,0))</f>
        <v>215</v>
      </c>
      <c r="K223" s="55">
        <f>IFERROR(VLOOKUP($AM223,個性タイプマスタ!$A$5:$P$100,9,FALSE),0.05)</f>
        <v>0.12</v>
      </c>
      <c r="L223" s="56">
        <f>IFERROR(VLOOKUP($AM223,個性タイプマスタ!$A$5:$P$100,10,FALSE),1.5)</f>
        <v>2.5499999999999998</v>
      </c>
      <c r="M223" s="56">
        <f>IFERROR(VLOOKUP($AM223,個性タイプマスタ!$A$5:$P$100,11,FALSE),2)</f>
        <v>2.2999999999999998</v>
      </c>
      <c r="N223" s="57">
        <f>MAX(0.1,ROUND(設定!$B$10*AB223,3))</f>
        <v>0.68</v>
      </c>
      <c r="O223" s="57">
        <f t="shared" si="12"/>
        <v>3.55</v>
      </c>
      <c r="P223" s="58">
        <f>MAX(-10,MIN(0.8,IFERROR(INDEX(属性耐性マスタ!$B$5:$G$11,MATCH($C223,属性耐性マスタ!$A$5:$A$11,0),1),0)+IFERROR(VLOOKUP($AM223,個性タイプマスタ!$A$5:$P$100,12,FALSE),0)))</f>
        <v>-5.5E-2</v>
      </c>
      <c r="Q223" s="58">
        <f>MAX(-10,MIN(0.8,IFERROR(INDEX(属性耐性マスタ!$B$5:$G$11,MATCH($C223,属性耐性マスタ!$A$5:$A$11,0),2),0)+IFERROR(VLOOKUP($AM223,個性タイプマスタ!$A$5:$P$100,12,FALSE),0)))</f>
        <v>-5.5E-2</v>
      </c>
      <c r="R223" s="58">
        <f>MAX(-10,MIN(0.8,IFERROR(INDEX(属性耐性マスタ!$B$5:$G$11,MATCH($C223,属性耐性マスタ!$A$5:$A$11,0),3),0)+IFERROR(VLOOKUP($AM223,個性タイプマスタ!$A$5:$P$100,12,FALSE),0)))</f>
        <v>-5.5E-2</v>
      </c>
      <c r="S223" s="58">
        <f>MAX(-10,MIN(0.8,IFERROR(INDEX(属性耐性マスタ!$B$5:$G$11,MATCH($C223,属性耐性マスタ!$A$5:$A$11,0),4),0)+IFERROR(VLOOKUP($AM223,個性タイプマスタ!$A$5:$P$100,12,FALSE),0)))</f>
        <v>-5.5E-2</v>
      </c>
      <c r="T223" s="58">
        <f>MAX(-10,MIN(0.8,IFERROR(INDEX(属性耐性マスタ!$B$5:$G$11,MATCH($C223,属性耐性マスタ!$A$5:$A$11,0),5),0)+IFERROR(VLOOKUP($AM223,個性タイプマスタ!$A$5:$P$100,12,FALSE),0)))</f>
        <v>-0.155</v>
      </c>
      <c r="U223" s="58">
        <f>MAX(-10,MIN(0.8,IFERROR(INDEX(属性耐性マスタ!$B$5:$G$11,MATCH($C223,属性耐性マスタ!$A$5:$A$11,0),6),0)+IFERROR(VLOOKUP($AM223,個性タイプマスタ!$A$5:$P$100,12,FALSE),0)))</f>
        <v>0.14500000000000002</v>
      </c>
      <c r="V223" s="59">
        <f>ROUND(設定!$B$19*IFERROR(VLOOKUP($AM223,個性タイプマスタ!$A$5:$P$100,13,FALSE),1),2)</f>
        <v>4.8</v>
      </c>
      <c r="W223" s="59">
        <v>37</v>
      </c>
      <c r="X223" s="59" t="str">
        <f>IFERROR(VLOOKUP($AM223,個性タイプマスタ!$A$5:$P$100,2,FALSE),"Ranged")</f>
        <v>Ranged</v>
      </c>
      <c r="Y223" s="56">
        <f>IFERROR(VLOOKUP($AM223,個性タイプマスタ!$A$5:$P$100,3,FALSE),1)</f>
        <v>0.82</v>
      </c>
      <c r="Z223" s="56">
        <f>IFERROR(VLOOKUP($AM223,個性タイプマスタ!$A$5:$P$100,4,FALSE),1)</f>
        <v>0.81</v>
      </c>
      <c r="AA223" s="56">
        <f>IFERROR(VLOOKUP($AM223,個性タイプマスタ!$A$5:$P$100,5,FALSE),1)</f>
        <v>0.87</v>
      </c>
      <c r="AB223" s="56">
        <f>IFERROR(VLOOKUP($AM223,個性タイプマスタ!$A$5:$P$100,6,FALSE),1)</f>
        <v>0.68</v>
      </c>
      <c r="AC223" s="56">
        <f>IFERROR(VLOOKUP($AM223,個性タイプマスタ!$A$5:$P$100,7,FALSE),1)</f>
        <v>1.42</v>
      </c>
      <c r="AD223" s="56">
        <f>IFERROR(VLOOKUP($AM223,個性タイプマスタ!$A$5:$P$100,8,FALSE),1)</f>
        <v>0.67</v>
      </c>
      <c r="AE223" s="60">
        <f>IFERROR(D223/設定!$B$5,1)</f>
        <v>30.912700000000001</v>
      </c>
      <c r="AF223" s="60">
        <f>1+設定!$B$13*((I223/設定!$B$8+J223/設定!$B$9)/(2*AE223))</f>
        <v>1.2517169318758956</v>
      </c>
      <c r="AG223" s="60">
        <f>MAX(0.7,1+設定!$B$14*(O223/IF(X223="Melee",1.5,2.5)-1))</f>
        <v>1.0504</v>
      </c>
      <c r="AH223" s="53">
        <f t="shared" si="13"/>
        <v>735.30588185599993</v>
      </c>
      <c r="AI223" s="53">
        <f>E223*AF223*(1+設定!$B$18*AVERAGE(P223:U223))</f>
        <v>3118.3664055206273</v>
      </c>
      <c r="AJ223" s="61">
        <f>設定!$B$5*SQRT((AH223/(設定!$B$7*設定!$B$10*(1+設定!$B$11*(設定!$B$12-1))))*(AI223/(設定!$B$6*(1+設定!$B$13))))</f>
        <v>3091.9163095962167</v>
      </c>
      <c r="AK223" s="62">
        <f t="shared" si="14"/>
        <v>2.0907575081330343E-4</v>
      </c>
      <c r="AL223" s="63">
        <f t="shared" si="15"/>
        <v>2071.1509000000001</v>
      </c>
      <c r="AM223" s="64" t="s">
        <v>924</v>
      </c>
      <c r="AN223" s="54">
        <f>MAX(1,ROUND((設定!$B$7*設定!$B$10*(1+設定!$B$11*(設定!$B$12-1)))*AE223^2*(設定!$B$6*(1+設定!$B$13))/(AI223*N223*(1+K223*(L223-1))*AG223),0))</f>
        <v>868</v>
      </c>
      <c r="AO223" s="65" t="str">
        <f>IF($A223="","",IF(COUNTIF(個性タイプマスタ!$A$5:$A$100,$AM223)&gt;0,"OK","未登録"))</f>
        <v>OK</v>
      </c>
      <c r="AP223" s="67" t="str">
        <f>IF($A223="","",IF(COUNTIF(属性耐性マスタ!$A$5:$A$11,$C223)&gt;0,"OK","未登録"))</f>
        <v>OK</v>
      </c>
    </row>
    <row r="224" spans="1:42">
      <c r="A224" s="66" t="s">
        <v>548</v>
      </c>
      <c r="B224" s="51" t="s">
        <v>549</v>
      </c>
      <c r="C224" s="109" t="s">
        <v>874</v>
      </c>
      <c r="D224" s="53">
        <f>ROUND(設定!$B$5*POWER($D$2,W224-1),2)</f>
        <v>3091.27</v>
      </c>
      <c r="E224" s="54">
        <f>MAX(1,ROUND(設定!$B$6*AE224*Y224,0))</f>
        <v>4668</v>
      </c>
      <c r="F224" s="54">
        <f>MAX(0,ROUND(設定!$B$7*AE224*設定!$B$15*IF(X224="Melee",0.6,1.35)*IFERROR(VLOOKUP($AM224,個性タイプマスタ!$A$5:$P$100,14,FALSE),1),0))</f>
        <v>168</v>
      </c>
      <c r="G224" s="54">
        <f>IF(X224="Melee",AN224,MAX(1,ROUND(AN224*設定!$B$16*IFERROR(VLOOKUP($AM224,個性タイプマスタ!$A$5:$P$100,15,FALSE),1),0)))</f>
        <v>425</v>
      </c>
      <c r="H224" s="54">
        <f>IF(X224="Ranged",AN224,MAX(1,ROUND(AN224*設定!$B$16*IFERROR(VLOOKUP($AM224,個性タイプマスタ!$A$5:$P$100,15,FALSE),1),0)))</f>
        <v>149</v>
      </c>
      <c r="I224" s="54">
        <f>MAX(0,ROUND(設定!$B$8*AE224*Z224,0))</f>
        <v>418</v>
      </c>
      <c r="J224" s="54">
        <f>MAX(0,ROUND(設定!$B$9*AE224*AA224,0))</f>
        <v>232</v>
      </c>
      <c r="K224" s="55">
        <f>IFERROR(VLOOKUP($AM224,個性タイプマスタ!$A$5:$P$100,9,FALSE),0.05)</f>
        <v>3.5000000000000003E-2</v>
      </c>
      <c r="L224" s="56">
        <f>IFERROR(VLOOKUP($AM224,個性タイプマスタ!$A$5:$P$100,10,FALSE),1.5)</f>
        <v>1.43</v>
      </c>
      <c r="M224" s="56">
        <f>IFERROR(VLOOKUP($AM224,個性タイプマスタ!$A$5:$P$100,11,FALSE),2)</f>
        <v>1.75</v>
      </c>
      <c r="N224" s="57">
        <f>MAX(0.1,ROUND(設定!$B$10*AB224,3))</f>
        <v>0.73</v>
      </c>
      <c r="O224" s="57">
        <f t="shared" si="12"/>
        <v>2.3250000000000002</v>
      </c>
      <c r="P224" s="58">
        <f>MAX(-10,MIN(0.8,IFERROR(INDEX(属性耐性マスタ!$B$5:$G$11,MATCH($C224,属性耐性マスタ!$A$5:$A$11,0),1),0)+IFERROR(VLOOKUP($AM224,個性タイプマスタ!$A$5:$P$100,12,FALSE),0)))</f>
        <v>0.09</v>
      </c>
      <c r="Q224" s="58">
        <f>MAX(-10,MIN(0.8,IFERROR(INDEX(属性耐性マスタ!$B$5:$G$11,MATCH($C224,属性耐性マスタ!$A$5:$A$11,0),2),0)+IFERROR(VLOOKUP($AM224,個性タイプマスタ!$A$5:$P$100,12,FALSE),0)))</f>
        <v>0.09</v>
      </c>
      <c r="R224" s="58">
        <f>MAX(-10,MIN(0.8,IFERROR(INDEX(属性耐性マスタ!$B$5:$G$11,MATCH($C224,属性耐性マスタ!$A$5:$A$11,0),3),0)+IFERROR(VLOOKUP($AM224,個性タイプマスタ!$A$5:$P$100,12,FALSE),0)))</f>
        <v>0.09</v>
      </c>
      <c r="S224" s="58">
        <f>MAX(-10,MIN(0.8,IFERROR(INDEX(属性耐性マスタ!$B$5:$G$11,MATCH($C224,属性耐性マスタ!$A$5:$A$11,0),4),0)+IFERROR(VLOOKUP($AM224,個性タイプマスタ!$A$5:$P$100,12,FALSE),0)))</f>
        <v>0.09</v>
      </c>
      <c r="T224" s="58">
        <f>MAX(-10,MIN(0.8,IFERROR(INDEX(属性耐性マスタ!$B$5:$G$11,MATCH($C224,属性耐性マスタ!$A$5:$A$11,0),5),0)+IFERROR(VLOOKUP($AM224,個性タイプマスタ!$A$5:$P$100,12,FALSE),0)))</f>
        <v>-1.0000000000000009E-2</v>
      </c>
      <c r="U224" s="58">
        <f>MAX(-10,MIN(0.8,IFERROR(INDEX(属性耐性マスタ!$B$5:$G$11,MATCH($C224,属性耐性マスタ!$A$5:$A$11,0),6),0)+IFERROR(VLOOKUP($AM224,個性タイプマスタ!$A$5:$P$100,12,FALSE),0)))</f>
        <v>0.29000000000000004</v>
      </c>
      <c r="V224" s="59">
        <f>ROUND(設定!$B$19*IFERROR(VLOOKUP($AM224,個性タイプマスタ!$A$5:$P$100,13,FALSE),1),2)</f>
        <v>4.4000000000000004</v>
      </c>
      <c r="W224" s="59">
        <v>37</v>
      </c>
      <c r="X224" s="59" t="str">
        <f>IFERROR(VLOOKUP($AM224,個性タイプマスタ!$A$5:$P$100,2,FALSE),"Ranged")</f>
        <v>Melee</v>
      </c>
      <c r="Y224" s="56">
        <f>IFERROR(VLOOKUP($AM224,個性タイプマスタ!$A$5:$P$100,3,FALSE),1)</f>
        <v>1.51</v>
      </c>
      <c r="Z224" s="56">
        <f>IFERROR(VLOOKUP($AM224,個性タイプマスタ!$A$5:$P$100,4,FALSE),1)</f>
        <v>1.69</v>
      </c>
      <c r="AA224" s="56">
        <f>IFERROR(VLOOKUP($AM224,個性タイプマスタ!$A$5:$P$100,5,FALSE),1)</f>
        <v>0.94</v>
      </c>
      <c r="AB224" s="56">
        <f>IFERROR(VLOOKUP($AM224,個性タイプマスタ!$A$5:$P$100,6,FALSE),1)</f>
        <v>0.73</v>
      </c>
      <c r="AC224" s="56">
        <f>IFERROR(VLOOKUP($AM224,個性タイプマスタ!$A$5:$P$100,7,FALSE),1)</f>
        <v>1.55</v>
      </c>
      <c r="AD224" s="56">
        <f>IFERROR(VLOOKUP($AM224,個性タイプマスタ!$A$5:$P$100,8,FALSE),1)</f>
        <v>0.9</v>
      </c>
      <c r="AE224" s="60">
        <f>IFERROR(D224/設定!$B$5,1)</f>
        <v>30.912700000000001</v>
      </c>
      <c r="AF224" s="60">
        <f>1+設定!$B$13*((I224/設定!$B$8+J224/設定!$B$9)/(2*AE224))</f>
        <v>1.3942554354682704</v>
      </c>
      <c r="AG224" s="60">
        <f>MAX(0.7,1+設定!$B$14*(O224/IF(X224="Melee",1.5,2.5)-1))</f>
        <v>1.0660000000000001</v>
      </c>
      <c r="AH224" s="53">
        <f t="shared" si="13"/>
        <v>335.70393382500004</v>
      </c>
      <c r="AI224" s="53">
        <f>E224*AF224*(1+設定!$B$18*AVERAGE(P224:U224))</f>
        <v>6820.7868226586488</v>
      </c>
      <c r="AJ224" s="61">
        <f>設定!$B$5*SQRT((AH224/(設定!$B$7*設定!$B$10*(1+設定!$B$11*(設定!$B$12-1))))*(AI224/(設定!$B$6*(1+設定!$B$13))))</f>
        <v>3089.7660147737042</v>
      </c>
      <c r="AK224" s="62">
        <f t="shared" si="14"/>
        <v>-4.8652664642545584E-4</v>
      </c>
      <c r="AL224" s="63">
        <f t="shared" si="15"/>
        <v>2782.143</v>
      </c>
      <c r="AM224" s="64" t="s">
        <v>976</v>
      </c>
      <c r="AN224" s="54">
        <f>MAX(1,ROUND((設定!$B$7*設定!$B$10*(1+設定!$B$11*(設定!$B$12-1)))*AE224^2*(設定!$B$6*(1+設定!$B$13))/(AI224*N224*(1+K224*(L224-1))*AG224),0))</f>
        <v>425</v>
      </c>
      <c r="AO224" s="65" t="str">
        <f>IF($A224="","",IF(COUNTIF(個性タイプマスタ!$A$5:$A$100,$AM224)&gt;0,"OK","未登録"))</f>
        <v>OK</v>
      </c>
      <c r="AP224" s="67" t="str">
        <f>IF($A224="","",IF(COUNTIF(属性耐性マスタ!$A$5:$A$11,$C224)&gt;0,"OK","未登録"))</f>
        <v>OK</v>
      </c>
    </row>
    <row r="225" spans="1:42">
      <c r="A225" s="66" t="s">
        <v>550</v>
      </c>
      <c r="B225" s="51" t="s">
        <v>551</v>
      </c>
      <c r="C225" s="109" t="s">
        <v>874</v>
      </c>
      <c r="D225" s="53">
        <f>ROUND(設定!$B$5*POWER($D$2,W225-1),2)</f>
        <v>3091.27</v>
      </c>
      <c r="E225" s="54">
        <f>MAX(1,ROUND(設定!$B$6*AE225*Y225,0))</f>
        <v>4946</v>
      </c>
      <c r="F225" s="54">
        <f>MAX(0,ROUND(設定!$B$7*AE225*設定!$B$15*IF(X225="Melee",0.6,1.35)*IFERROR(VLOOKUP($AM225,個性タイプマスタ!$A$5:$P$100,14,FALSE),1),0))</f>
        <v>170</v>
      </c>
      <c r="G225" s="54">
        <f>IF(X225="Melee",AN225,MAX(1,ROUND(AN225*設定!$B$16*IFERROR(VLOOKUP($AM225,個性タイプマスタ!$A$5:$P$100,15,FALSE),1),0)))</f>
        <v>375</v>
      </c>
      <c r="H225" s="54">
        <f>IF(X225="Ranged",AN225,MAX(1,ROUND(AN225*設定!$B$16*IFERROR(VLOOKUP($AM225,個性タイプマスタ!$A$5:$P$100,15,FALSE),1),0)))</f>
        <v>169</v>
      </c>
      <c r="I225" s="54">
        <f>MAX(0,ROUND(設定!$B$8*AE225*Z225,0))</f>
        <v>383</v>
      </c>
      <c r="J225" s="54">
        <f>MAX(0,ROUND(設定!$B$9*AE225*AA225,0))</f>
        <v>346</v>
      </c>
      <c r="K225" s="55">
        <f>IFERROR(VLOOKUP($AM225,個性タイプマスタ!$A$5:$P$100,9,FALSE),0.05)</f>
        <v>0.04</v>
      </c>
      <c r="L225" s="56">
        <f>IFERROR(VLOOKUP($AM225,個性タイプマスタ!$A$5:$P$100,10,FALSE),1.5)</f>
        <v>1.4</v>
      </c>
      <c r="M225" s="56">
        <f>IFERROR(VLOOKUP($AM225,個性タイプマスタ!$A$5:$P$100,11,FALSE),2)</f>
        <v>2.2000000000000002</v>
      </c>
      <c r="N225" s="57">
        <f>MAX(0.1,ROUND(設定!$B$10*AB225,3))</f>
        <v>0.82</v>
      </c>
      <c r="O225" s="57">
        <f t="shared" si="12"/>
        <v>1.2</v>
      </c>
      <c r="P225" s="58">
        <f>MAX(-10,MIN(0.8,IFERROR(INDEX(属性耐性マスタ!$B$5:$G$11,MATCH($C225,属性耐性マスタ!$A$5:$A$11,0),1),0)+IFERROR(VLOOKUP($AM225,個性タイプマスタ!$A$5:$P$100,12,FALSE),0)))</f>
        <v>0.1</v>
      </c>
      <c r="Q225" s="58">
        <f>MAX(-10,MIN(0.8,IFERROR(INDEX(属性耐性マスタ!$B$5:$G$11,MATCH($C225,属性耐性マスタ!$A$5:$A$11,0),2),0)+IFERROR(VLOOKUP($AM225,個性タイプマスタ!$A$5:$P$100,12,FALSE),0)))</f>
        <v>0.1</v>
      </c>
      <c r="R225" s="58">
        <f>MAX(-10,MIN(0.8,IFERROR(INDEX(属性耐性マスタ!$B$5:$G$11,MATCH($C225,属性耐性マスタ!$A$5:$A$11,0),3),0)+IFERROR(VLOOKUP($AM225,個性タイプマスタ!$A$5:$P$100,12,FALSE),0)))</f>
        <v>0.1</v>
      </c>
      <c r="S225" s="58">
        <f>MAX(-10,MIN(0.8,IFERROR(INDEX(属性耐性マスタ!$B$5:$G$11,MATCH($C225,属性耐性マスタ!$A$5:$A$11,0),4),0)+IFERROR(VLOOKUP($AM225,個性タイプマスタ!$A$5:$P$100,12,FALSE),0)))</f>
        <v>0.1</v>
      </c>
      <c r="T225" s="58">
        <f>MAX(-10,MIN(0.8,IFERROR(INDEX(属性耐性マスタ!$B$5:$G$11,MATCH($C225,属性耐性マスタ!$A$5:$A$11,0),5),0)+IFERROR(VLOOKUP($AM225,個性タイプマスタ!$A$5:$P$100,12,FALSE),0)))</f>
        <v>0</v>
      </c>
      <c r="U225" s="58">
        <f>MAX(-10,MIN(0.8,IFERROR(INDEX(属性耐性マスタ!$B$5:$G$11,MATCH($C225,属性耐性マスタ!$A$5:$A$11,0),6),0)+IFERROR(VLOOKUP($AM225,個性タイプマスタ!$A$5:$P$100,12,FALSE),0)))</f>
        <v>0.30000000000000004</v>
      </c>
      <c r="V225" s="59">
        <f>ROUND(設定!$B$19*IFERROR(VLOOKUP($AM225,個性タイプマスタ!$A$5:$P$100,13,FALSE),1),2)</f>
        <v>4</v>
      </c>
      <c r="W225" s="59">
        <v>37</v>
      </c>
      <c r="X225" s="59" t="str">
        <f>IFERROR(VLOOKUP($AM225,個性タイプマスタ!$A$5:$P$100,2,FALSE),"Ranged")</f>
        <v>Melee</v>
      </c>
      <c r="Y225" s="56">
        <f>IFERROR(VLOOKUP($AM225,個性タイプマスタ!$A$5:$P$100,3,FALSE),1)</f>
        <v>1.6</v>
      </c>
      <c r="Z225" s="56">
        <f>IFERROR(VLOOKUP($AM225,個性タイプマスタ!$A$5:$P$100,4,FALSE),1)</f>
        <v>1.55</v>
      </c>
      <c r="AA225" s="56">
        <f>IFERROR(VLOOKUP($AM225,個性タイプマスタ!$A$5:$P$100,5,FALSE),1)</f>
        <v>1.4</v>
      </c>
      <c r="AB225" s="56">
        <f>IFERROR(VLOOKUP($AM225,個性タイプマスタ!$A$5:$P$100,6,FALSE),1)</f>
        <v>0.82</v>
      </c>
      <c r="AC225" s="56">
        <f>IFERROR(VLOOKUP($AM225,個性タイプマスタ!$A$5:$P$100,7,FALSE),1)</f>
        <v>0.8</v>
      </c>
      <c r="AD225" s="56">
        <f>IFERROR(VLOOKUP($AM225,個性タイプマスタ!$A$5:$P$100,8,FALSE),1)</f>
        <v>0.88</v>
      </c>
      <c r="AE225" s="60">
        <f>IFERROR(D225/設定!$B$5,1)</f>
        <v>30.912700000000001</v>
      </c>
      <c r="AF225" s="60">
        <f>1+設定!$B$13*((I225/設定!$B$8+J225/設定!$B$9)/(2*AE225))</f>
        <v>1.4421726345482599</v>
      </c>
      <c r="AG225" s="60">
        <f>MAX(0.7,1+設定!$B$14*(O225/IF(X225="Melee",1.5,2.5)-1))</f>
        <v>0.97599999999999998</v>
      </c>
      <c r="AH225" s="53">
        <f t="shared" si="13"/>
        <v>304.92192</v>
      </c>
      <c r="AI225" s="53">
        <f>E225*AF225*(1+設定!$B$18*AVERAGE(P225:U225))</f>
        <v>7507.4676076256674</v>
      </c>
      <c r="AJ225" s="61">
        <f>設定!$B$5*SQRT((AH225/(設定!$B$7*設定!$B$10*(1+設定!$B$11*(設定!$B$12-1))))*(AI225/(設定!$B$6*(1+設定!$B$13))))</f>
        <v>3089.3790346105893</v>
      </c>
      <c r="AK225" s="62">
        <f t="shared" si="14"/>
        <v>-6.1171149379080081E-4</v>
      </c>
      <c r="AL225" s="63">
        <f t="shared" si="15"/>
        <v>2720.3175999999999</v>
      </c>
      <c r="AM225" s="64" t="s">
        <v>904</v>
      </c>
      <c r="AN225" s="54">
        <f>MAX(1,ROUND((設定!$B$7*設定!$B$10*(1+設定!$B$11*(設定!$B$12-1)))*AE225^2*(設定!$B$6*(1+設定!$B$13))/(AI225*N225*(1+K225*(L225-1))*AG225),0))</f>
        <v>375</v>
      </c>
      <c r="AO225" s="65" t="str">
        <f>IF($A225="","",IF(COUNTIF(個性タイプマスタ!$A$5:$A$100,$AM225)&gt;0,"OK","未登録"))</f>
        <v>OK</v>
      </c>
      <c r="AP225" s="67" t="str">
        <f>IF($A225="","",IF(COUNTIF(属性耐性マスタ!$A$5:$A$11,$C225)&gt;0,"OK","未登録"))</f>
        <v>OK</v>
      </c>
    </row>
    <row r="226" spans="1:42">
      <c r="A226" s="66" t="s">
        <v>552</v>
      </c>
      <c r="B226" s="51" t="s">
        <v>553</v>
      </c>
      <c r="C226" s="109" t="s">
        <v>874</v>
      </c>
      <c r="D226" s="53">
        <f>ROUND(設定!$B$5*POWER($D$2,W226-1),2)</f>
        <v>3091.27</v>
      </c>
      <c r="E226" s="54">
        <f>MAX(1,ROUND(設定!$B$6*AE226*Y226,0))</f>
        <v>5317</v>
      </c>
      <c r="F226" s="54">
        <f>MAX(0,ROUND(設定!$B$7*AE226*設定!$B$15*IF(X226="Melee",0.6,1.35)*IFERROR(VLOOKUP($AM226,個性タイプマスタ!$A$5:$P$100,14,FALSE),1),0))</f>
        <v>608</v>
      </c>
      <c r="G226" s="54">
        <f>IF(X226="Melee",AN226,MAX(1,ROUND(AN226*設定!$B$16*IFERROR(VLOOKUP($AM226,個性タイプマスタ!$A$5:$P$100,15,FALSE),1),0)))</f>
        <v>128</v>
      </c>
      <c r="H226" s="54">
        <f>IF(X226="Ranged",AN226,MAX(1,ROUND(AN226*設定!$B$16*IFERROR(VLOOKUP($AM226,個性タイプマスタ!$A$5:$P$100,15,FALSE),1),0)))</f>
        <v>439</v>
      </c>
      <c r="I226" s="54">
        <f>MAX(0,ROUND(設定!$B$8*AE226*Z226,0))</f>
        <v>406</v>
      </c>
      <c r="J226" s="54">
        <f>MAX(0,ROUND(設定!$B$9*AE226*AA226,0))</f>
        <v>383</v>
      </c>
      <c r="K226" s="55">
        <f>IFERROR(VLOOKUP($AM226,個性タイプマスタ!$A$5:$P$100,9,FALSE),0.05)</f>
        <v>3.5000000000000003E-2</v>
      </c>
      <c r="L226" s="56">
        <f>IFERROR(VLOOKUP($AM226,個性タイプマスタ!$A$5:$P$100,10,FALSE),1.5)</f>
        <v>1.4</v>
      </c>
      <c r="M226" s="56">
        <f>IFERROR(VLOOKUP($AM226,個性タイプマスタ!$A$5:$P$100,11,FALSE),2)</f>
        <v>1.5</v>
      </c>
      <c r="N226" s="57">
        <f>MAX(0.1,ROUND(設定!$B$10*AB226,3))</f>
        <v>0.6</v>
      </c>
      <c r="O226" s="57">
        <f t="shared" si="12"/>
        <v>3.1</v>
      </c>
      <c r="P226" s="58">
        <f>MAX(-10,MIN(0.8,IFERROR(INDEX(属性耐性マスタ!$B$5:$G$11,MATCH($C226,属性耐性マスタ!$A$5:$A$11,0),1),0)+IFERROR(VLOOKUP($AM226,個性タイプマスタ!$A$5:$P$100,12,FALSE),0)))</f>
        <v>0.12</v>
      </c>
      <c r="Q226" s="58">
        <f>MAX(-10,MIN(0.8,IFERROR(INDEX(属性耐性マスタ!$B$5:$G$11,MATCH($C226,属性耐性マスタ!$A$5:$A$11,0),2),0)+IFERROR(VLOOKUP($AM226,個性タイプマスタ!$A$5:$P$100,12,FALSE),0)))</f>
        <v>0.12</v>
      </c>
      <c r="R226" s="58">
        <f>MAX(-10,MIN(0.8,IFERROR(INDEX(属性耐性マスタ!$B$5:$G$11,MATCH($C226,属性耐性マスタ!$A$5:$A$11,0),3),0)+IFERROR(VLOOKUP($AM226,個性タイプマスタ!$A$5:$P$100,12,FALSE),0)))</f>
        <v>0.12</v>
      </c>
      <c r="S226" s="58">
        <f>MAX(-10,MIN(0.8,IFERROR(INDEX(属性耐性マスタ!$B$5:$G$11,MATCH($C226,属性耐性マスタ!$A$5:$A$11,0),4),0)+IFERROR(VLOOKUP($AM226,個性タイプマスタ!$A$5:$P$100,12,FALSE),0)))</f>
        <v>0.12</v>
      </c>
      <c r="T226" s="58">
        <f>MAX(-10,MIN(0.8,IFERROR(INDEX(属性耐性マスタ!$B$5:$G$11,MATCH($C226,属性耐性マスタ!$A$5:$A$11,0),5),0)+IFERROR(VLOOKUP($AM226,個性タイプマスタ!$A$5:$P$100,12,FALSE),0)))</f>
        <v>1.999999999999999E-2</v>
      </c>
      <c r="U226" s="58">
        <f>MAX(-10,MIN(0.8,IFERROR(INDEX(属性耐性マスタ!$B$5:$G$11,MATCH($C226,属性耐性マスタ!$A$5:$A$11,0),6),0)+IFERROR(VLOOKUP($AM226,個性タイプマスタ!$A$5:$P$100,12,FALSE),0)))</f>
        <v>0.32</v>
      </c>
      <c r="V226" s="59">
        <f>ROUND(設定!$B$19*IFERROR(VLOOKUP($AM226,個性タイプマスタ!$A$5:$P$100,13,FALSE),1),2)</f>
        <v>4.12</v>
      </c>
      <c r="W226" s="59">
        <v>37</v>
      </c>
      <c r="X226" s="59" t="str">
        <f>IFERROR(VLOOKUP($AM226,個性タイプマスタ!$A$5:$P$100,2,FALSE),"Ranged")</f>
        <v>Ranged</v>
      </c>
      <c r="Y226" s="56">
        <f>IFERROR(VLOOKUP($AM226,個性タイプマスタ!$A$5:$P$100,3,FALSE),1)</f>
        <v>1.72</v>
      </c>
      <c r="Z226" s="56">
        <f>IFERROR(VLOOKUP($AM226,個性タイプマスタ!$A$5:$P$100,4,FALSE),1)</f>
        <v>1.64</v>
      </c>
      <c r="AA226" s="56">
        <f>IFERROR(VLOOKUP($AM226,個性タイプマスタ!$A$5:$P$100,5,FALSE),1)</f>
        <v>1.55</v>
      </c>
      <c r="AB226" s="56">
        <f>IFERROR(VLOOKUP($AM226,個性タイプマスタ!$A$5:$P$100,6,FALSE),1)</f>
        <v>0.6</v>
      </c>
      <c r="AC226" s="56">
        <f>IFERROR(VLOOKUP($AM226,個性タイプマスタ!$A$5:$P$100,7,FALSE),1)</f>
        <v>1.24</v>
      </c>
      <c r="AD226" s="56">
        <f>IFERROR(VLOOKUP($AM226,個性タイプマスタ!$A$5:$P$100,8,FALSE),1)</f>
        <v>0.91</v>
      </c>
      <c r="AE226" s="60">
        <f>IFERROR(D226/設定!$B$5,1)</f>
        <v>30.912700000000001</v>
      </c>
      <c r="AF226" s="60">
        <f>1+設定!$B$13*((I226/設定!$B$8+J226/設定!$B$9)/(2*AE226))</f>
        <v>1.4785654439761005</v>
      </c>
      <c r="AG226" s="60">
        <f>MAX(0.7,1+設定!$B$14*(O226/IF(X226="Melee",1.5,2.5)-1))</f>
        <v>1.0287999999999999</v>
      </c>
      <c r="AH226" s="53">
        <f t="shared" si="13"/>
        <v>274.77972287999995</v>
      </c>
      <c r="AI226" s="53">
        <f>E226*AF226*(1+設定!$B$18*AVERAGE(P226:U226))</f>
        <v>8345.0167122566145</v>
      </c>
      <c r="AJ226" s="61">
        <f>設定!$B$5*SQRT((AH226/(設定!$B$7*設定!$B$10*(1+設定!$B$11*(設定!$B$12-1))))*(AI226/(設定!$B$6*(1+設定!$B$13))))</f>
        <v>3091.975788745071</v>
      </c>
      <c r="AK226" s="62">
        <f t="shared" si="14"/>
        <v>2.2831675818379971E-4</v>
      </c>
      <c r="AL226" s="63">
        <f t="shared" si="15"/>
        <v>2813.0556999999999</v>
      </c>
      <c r="AM226" s="64" t="s">
        <v>916</v>
      </c>
      <c r="AN226" s="54">
        <f>MAX(1,ROUND((設定!$B$7*設定!$B$10*(1+設定!$B$11*(設定!$B$12-1)))*AE226^2*(設定!$B$6*(1+設定!$B$13))/(AI226*N226*(1+K226*(L226-1))*AG226),0))</f>
        <v>439</v>
      </c>
      <c r="AO226" s="65" t="str">
        <f>IF($A226="","",IF(COUNTIF(個性タイプマスタ!$A$5:$A$100,$AM226)&gt;0,"OK","未登録"))</f>
        <v>OK</v>
      </c>
      <c r="AP226" s="67" t="str">
        <f>IF($A226="","",IF(COUNTIF(属性耐性マスタ!$A$5:$A$11,$C226)&gt;0,"OK","未登録"))</f>
        <v>OK</v>
      </c>
    </row>
    <row r="227" spans="1:42">
      <c r="A227" s="66" t="s">
        <v>554</v>
      </c>
      <c r="B227" s="51" t="s">
        <v>555</v>
      </c>
      <c r="C227" s="109" t="s">
        <v>121</v>
      </c>
      <c r="D227" s="53">
        <f>ROUND(設定!$B$5*POWER($D$2,W227-1),2)</f>
        <v>3400.39</v>
      </c>
      <c r="E227" s="54">
        <f>MAX(1,ROUND(設定!$B$6*AE227*Y227,0))</f>
        <v>2516</v>
      </c>
      <c r="F227" s="54">
        <f>MAX(0,ROUND(設定!$B$7*AE227*設定!$B$15*IF(X227="Melee",0.6,1.35)*IFERROR(VLOOKUP($AM227,個性タイプマスタ!$A$5:$P$100,14,FALSE),1),0))</f>
        <v>471</v>
      </c>
      <c r="G227" s="54">
        <f>IF(X227="Melee",AN227,MAX(1,ROUND(AN227*設定!$B$16*IFERROR(VLOOKUP($AM227,個性タイプマスタ!$A$5:$P$100,15,FALSE),1),0)))</f>
        <v>171</v>
      </c>
      <c r="H227" s="54">
        <f>IF(X227="Ranged",AN227,MAX(1,ROUND(AN227*設定!$B$16*IFERROR(VLOOKUP($AM227,個性タイプマスタ!$A$5:$P$100,15,FALSE),1),0)))</f>
        <v>584</v>
      </c>
      <c r="I227" s="54">
        <f>MAX(0,ROUND(設定!$B$8*AE227*Z227,0))</f>
        <v>196</v>
      </c>
      <c r="J227" s="54">
        <f>MAX(0,ROUND(設定!$B$9*AE227*AA227,0))</f>
        <v>229</v>
      </c>
      <c r="K227" s="55">
        <f>IFERROR(VLOOKUP($AM227,個性タイプマスタ!$A$5:$P$100,9,FALSE),0.05)</f>
        <v>0.05</v>
      </c>
      <c r="L227" s="56">
        <f>IFERROR(VLOOKUP($AM227,個性タイプマスタ!$A$5:$P$100,10,FALSE),1.5)</f>
        <v>1.4</v>
      </c>
      <c r="M227" s="56">
        <f>IFERROR(VLOOKUP($AM227,個性タイプマスタ!$A$5:$P$100,11,FALSE),2)</f>
        <v>3.35</v>
      </c>
      <c r="N227" s="57">
        <f>MAX(0.1,ROUND(設定!$B$10*AB227,3))</f>
        <v>1.55</v>
      </c>
      <c r="O227" s="57">
        <f t="shared" si="12"/>
        <v>2.2999999999999998</v>
      </c>
      <c r="P227" s="58">
        <f>MAX(-10,MIN(0.8,IFERROR(INDEX(属性耐性マスタ!$B$5:$G$11,MATCH($C227,属性耐性マスタ!$A$5:$A$11,0),1),0)+IFERROR(VLOOKUP($AM227,個性タイプマスタ!$A$5:$P$100,12,FALSE),0)))</f>
        <v>-7.0000000000000007E-2</v>
      </c>
      <c r="Q227" s="58">
        <f>MAX(-10,MIN(0.8,IFERROR(INDEX(属性耐性マスタ!$B$5:$G$11,MATCH($C227,属性耐性マスタ!$A$5:$A$11,0),2),0)+IFERROR(VLOOKUP($AM227,個性タイプマスタ!$A$5:$P$100,12,FALSE),0)))</f>
        <v>-7.0000000000000007E-2</v>
      </c>
      <c r="R227" s="58">
        <f>MAX(-10,MIN(0.8,IFERROR(INDEX(属性耐性マスタ!$B$5:$G$11,MATCH($C227,属性耐性マスタ!$A$5:$A$11,0),3),0)+IFERROR(VLOOKUP($AM227,個性タイプマスタ!$A$5:$P$100,12,FALSE),0)))</f>
        <v>-7.0000000000000007E-2</v>
      </c>
      <c r="S227" s="58">
        <f>MAX(-10,MIN(0.8,IFERROR(INDEX(属性耐性マスタ!$B$5:$G$11,MATCH($C227,属性耐性マスタ!$A$5:$A$11,0),4),0)+IFERROR(VLOOKUP($AM227,個性タイプマスタ!$A$5:$P$100,12,FALSE),0)))</f>
        <v>-7.0000000000000007E-2</v>
      </c>
      <c r="T227" s="58">
        <f>MAX(-10,MIN(0.8,IFERROR(INDEX(属性耐性マスタ!$B$5:$G$11,MATCH($C227,属性耐性マスタ!$A$5:$A$11,0),5),0)+IFERROR(VLOOKUP($AM227,個性タイプマスタ!$A$5:$P$100,12,FALSE),0)))</f>
        <v>0.13</v>
      </c>
      <c r="U227" s="58">
        <f>MAX(-10,MIN(0.8,IFERROR(INDEX(属性耐性マスタ!$B$5:$G$11,MATCH($C227,属性耐性マスタ!$A$5:$A$11,0),6),0)+IFERROR(VLOOKUP($AM227,個性タイプマスタ!$A$5:$P$100,12,FALSE),0)))</f>
        <v>-0.17</v>
      </c>
      <c r="V227" s="59">
        <f>ROUND(設定!$B$19*IFERROR(VLOOKUP($AM227,個性タイプマスタ!$A$5:$P$100,13,FALSE),1),2)</f>
        <v>4</v>
      </c>
      <c r="W227" s="59">
        <v>38</v>
      </c>
      <c r="X227" s="59" t="str">
        <f>IFERROR(VLOOKUP($AM227,個性タイプマスタ!$A$5:$P$100,2,FALSE),"Ranged")</f>
        <v>Ranged</v>
      </c>
      <c r="Y227" s="56">
        <f>IFERROR(VLOOKUP($AM227,個性タイプマスタ!$A$5:$P$100,3,FALSE),1)</f>
        <v>0.74</v>
      </c>
      <c r="Z227" s="56">
        <f>IFERROR(VLOOKUP($AM227,個性タイプマスタ!$A$5:$P$100,4,FALSE),1)</f>
        <v>0.72</v>
      </c>
      <c r="AA227" s="56">
        <f>IFERROR(VLOOKUP($AM227,個性タイプマスタ!$A$5:$P$100,5,FALSE),1)</f>
        <v>0.84</v>
      </c>
      <c r="AB227" s="56">
        <f>IFERROR(VLOOKUP($AM227,個性タイプマスタ!$A$5:$P$100,6,FALSE),1)</f>
        <v>1.55</v>
      </c>
      <c r="AC227" s="56">
        <f>IFERROR(VLOOKUP($AM227,個性タイプマスタ!$A$5:$P$100,7,FALSE),1)</f>
        <v>0.92</v>
      </c>
      <c r="AD227" s="56">
        <f>IFERROR(VLOOKUP($AM227,個性タイプマスタ!$A$5:$P$100,8,FALSE),1)</f>
        <v>0.61</v>
      </c>
      <c r="AE227" s="60">
        <f>IFERROR(D227/設定!$B$5,1)</f>
        <v>34.003900000000002</v>
      </c>
      <c r="AF227" s="60">
        <f>1+設定!$B$13*((I227/設定!$B$8+J227/設定!$B$9)/(2*AE227))</f>
        <v>1.2343481188922447</v>
      </c>
      <c r="AG227" s="60">
        <f>MAX(0.7,1+設定!$B$14*(O227/IF(X227="Melee",1.5,2.5)-1))</f>
        <v>0.99039999999999995</v>
      </c>
      <c r="AH227" s="53">
        <f t="shared" si="13"/>
        <v>914.44028160000005</v>
      </c>
      <c r="AI227" s="53">
        <f>E227*AF227*(1+設定!$B$18*AVERAGE(P227:U227))</f>
        <v>3031.0849903216981</v>
      </c>
      <c r="AJ227" s="61">
        <f>設定!$B$5*SQRT((AH227/(設定!$B$7*設定!$B$10*(1+設定!$B$11*(設定!$B$12-1))))*(AI227/(設定!$B$6*(1+設定!$B$13))))</f>
        <v>3399.4360052296142</v>
      </c>
      <c r="AK227" s="62">
        <f t="shared" si="14"/>
        <v>-2.8055451591890712E-4</v>
      </c>
      <c r="AL227" s="63">
        <f t="shared" si="15"/>
        <v>2074.2379000000001</v>
      </c>
      <c r="AM227" s="64" t="s">
        <v>908</v>
      </c>
      <c r="AN227" s="54">
        <f>MAX(1,ROUND((設定!$B$7*設定!$B$10*(1+設定!$B$11*(設定!$B$12-1)))*AE227^2*(設定!$B$6*(1+設定!$B$13))/(AI227*N227*(1+K227*(L227-1))*AG227),0))</f>
        <v>584</v>
      </c>
      <c r="AO227" s="65" t="str">
        <f>IF($A227="","",IF(COUNTIF(個性タイプマスタ!$A$5:$A$100,$AM227)&gt;0,"OK","未登録"))</f>
        <v>OK</v>
      </c>
      <c r="AP227" s="67" t="str">
        <f>IF($A227="","",IF(COUNTIF(属性耐性マスタ!$A$5:$A$11,$C227)&gt;0,"OK","未登録"))</f>
        <v>OK</v>
      </c>
    </row>
    <row r="228" spans="1:42">
      <c r="A228" s="66" t="s">
        <v>556</v>
      </c>
      <c r="B228" s="51" t="s">
        <v>557</v>
      </c>
      <c r="C228" s="109" t="s">
        <v>108</v>
      </c>
      <c r="D228" s="53">
        <f>ROUND(設定!$B$5*POWER($D$2,W228-1),2)</f>
        <v>3400.39</v>
      </c>
      <c r="E228" s="54">
        <f>MAX(1,ROUND(設定!$B$6*AE228*Y228,0))</f>
        <v>2482</v>
      </c>
      <c r="F228" s="54">
        <f>MAX(0,ROUND(設定!$B$7*AE228*設定!$B$15*IF(X228="Melee",0.6,1.35)*IFERROR(VLOOKUP($AM228,個性タイプマスタ!$A$5:$P$100,14,FALSE),1),0))</f>
        <v>585</v>
      </c>
      <c r="G228" s="54">
        <f>IF(X228="Melee",AN228,MAX(1,ROUND(AN228*設定!$B$16*IFERROR(VLOOKUP($AM228,個性タイプマスタ!$A$5:$P$100,15,FALSE),1),0)))</f>
        <v>192</v>
      </c>
      <c r="H228" s="54">
        <f>IF(X228="Ranged",AN228,MAX(1,ROUND(AN228*設定!$B$16*IFERROR(VLOOKUP($AM228,個性タイプマスタ!$A$5:$P$100,15,FALSE),1),0)))</f>
        <v>760</v>
      </c>
      <c r="I228" s="54">
        <f>MAX(0,ROUND(設定!$B$8*AE228*Z228,0))</f>
        <v>209</v>
      </c>
      <c r="J228" s="54">
        <f>MAX(0,ROUND(設定!$B$9*AE228*AA228,0))</f>
        <v>231</v>
      </c>
      <c r="K228" s="55">
        <f>IFERROR(VLOOKUP($AM228,個性タイプマスタ!$A$5:$P$100,9,FALSE),0.05)</f>
        <v>0.26</v>
      </c>
      <c r="L228" s="56">
        <f>IFERROR(VLOOKUP($AM228,個性タイプマスタ!$A$5:$P$100,10,FALSE),1.5)</f>
        <v>1.95</v>
      </c>
      <c r="M228" s="56">
        <f>IFERROR(VLOOKUP($AM228,個性タイプマスタ!$A$5:$P$100,11,FALSE),2)</f>
        <v>2.75</v>
      </c>
      <c r="N228" s="57">
        <f>MAX(0.1,ROUND(設定!$B$10*AB228,3))</f>
        <v>0.95</v>
      </c>
      <c r="O228" s="57">
        <f t="shared" si="12"/>
        <v>2.8</v>
      </c>
      <c r="P228" s="58">
        <f>MAX(-10,MIN(0.8,IFERROR(INDEX(属性耐性マスタ!$B$5:$G$11,MATCH($C228,属性耐性マスタ!$A$5:$A$11,0),1),0)+IFERROR(VLOOKUP($AM228,個性タイプマスタ!$A$5:$P$100,12,FALSE),0)))</f>
        <v>-0.15000000000000002</v>
      </c>
      <c r="Q228" s="58">
        <f>MAX(-10,MIN(0.8,IFERROR(INDEX(属性耐性マスタ!$B$5:$G$11,MATCH($C228,属性耐性マスタ!$A$5:$A$11,0),2),0)+IFERROR(VLOOKUP($AM228,個性タイプマスタ!$A$5:$P$100,12,FALSE),0)))</f>
        <v>0.15000000000000002</v>
      </c>
      <c r="R228" s="58">
        <f>MAX(-10,MIN(0.8,IFERROR(INDEX(属性耐性マスタ!$B$5:$G$11,MATCH($C228,属性耐性マスタ!$A$5:$A$11,0),3),0)+IFERROR(VLOOKUP($AM228,個性タイプマスタ!$A$5:$P$100,12,FALSE),0)))</f>
        <v>-0.05</v>
      </c>
      <c r="S228" s="58">
        <f>MAX(-10,MIN(0.8,IFERROR(INDEX(属性耐性マスタ!$B$5:$G$11,MATCH($C228,属性耐性マスタ!$A$5:$A$11,0),4),0)+IFERROR(VLOOKUP($AM228,個性タイプマスタ!$A$5:$P$100,12,FALSE),0)))</f>
        <v>-0.05</v>
      </c>
      <c r="T228" s="58">
        <f>MAX(-10,MIN(0.8,IFERROR(INDEX(属性耐性マスタ!$B$5:$G$11,MATCH($C228,属性耐性マスタ!$A$5:$A$11,0),5),0)+IFERROR(VLOOKUP($AM228,個性タイプマスタ!$A$5:$P$100,12,FALSE),0)))</f>
        <v>-0.05</v>
      </c>
      <c r="U228" s="58">
        <f>MAX(-10,MIN(0.8,IFERROR(INDEX(属性耐性マスタ!$B$5:$G$11,MATCH($C228,属性耐性マスタ!$A$5:$A$11,0),6),0)+IFERROR(VLOOKUP($AM228,個性タイプマスタ!$A$5:$P$100,12,FALSE),0)))</f>
        <v>-0.05</v>
      </c>
      <c r="V228" s="59">
        <f>ROUND(設定!$B$19*IFERROR(VLOOKUP($AM228,個性タイプマスタ!$A$5:$P$100,13,FALSE),1),2)</f>
        <v>4.4000000000000004</v>
      </c>
      <c r="W228" s="59">
        <v>38</v>
      </c>
      <c r="X228" s="59" t="str">
        <f>IFERROR(VLOOKUP($AM228,個性タイプマスタ!$A$5:$P$100,2,FALSE),"Ranged")</f>
        <v>Ranged</v>
      </c>
      <c r="Y228" s="56">
        <f>IFERROR(VLOOKUP($AM228,個性タイプマスタ!$A$5:$P$100,3,FALSE),1)</f>
        <v>0.73</v>
      </c>
      <c r="Z228" s="56">
        <f>IFERROR(VLOOKUP($AM228,個性タイプマスタ!$A$5:$P$100,4,FALSE),1)</f>
        <v>0.77</v>
      </c>
      <c r="AA228" s="56">
        <f>IFERROR(VLOOKUP($AM228,個性タイプマスタ!$A$5:$P$100,5,FALSE),1)</f>
        <v>0.85</v>
      </c>
      <c r="AB228" s="56">
        <f>IFERROR(VLOOKUP($AM228,個性タイプマスタ!$A$5:$P$100,6,FALSE),1)</f>
        <v>0.95</v>
      </c>
      <c r="AC228" s="56">
        <f>IFERROR(VLOOKUP($AM228,個性タイプマスタ!$A$5:$P$100,7,FALSE),1)</f>
        <v>1.1200000000000001</v>
      </c>
      <c r="AD228" s="56">
        <f>IFERROR(VLOOKUP($AM228,個性タイプマスタ!$A$5:$P$100,8,FALSE),1)</f>
        <v>0.66</v>
      </c>
      <c r="AE228" s="60">
        <f>IFERROR(D228/設定!$B$5,1)</f>
        <v>34.003900000000002</v>
      </c>
      <c r="AF228" s="60">
        <f>1+設定!$B$13*((I228/設定!$B$8+J228/設定!$B$9)/(2*AE228))</f>
        <v>1.2426192289707945</v>
      </c>
      <c r="AG228" s="60">
        <f>MAX(0.7,1+設定!$B$14*(O228/IF(X228="Melee",1.5,2.5)-1))</f>
        <v>1.0144</v>
      </c>
      <c r="AH228" s="53">
        <f t="shared" si="13"/>
        <v>913.29880959999991</v>
      </c>
      <c r="AI228" s="53">
        <f>E228*AF228*(1+設定!$B$18*AVERAGE(P228:U228))</f>
        <v>3037.9182124109293</v>
      </c>
      <c r="AJ228" s="61">
        <f>設定!$B$5*SQRT((AH228/(設定!$B$7*設定!$B$10*(1+設定!$B$11*(設定!$B$12-1))))*(AI228/(設定!$B$6*(1+設定!$B$13))))</f>
        <v>3401.1408937320298</v>
      </c>
      <c r="AK228" s="62">
        <f t="shared" si="14"/>
        <v>2.2082576764126394E-4</v>
      </c>
      <c r="AL228" s="63">
        <f t="shared" si="15"/>
        <v>2244.2574</v>
      </c>
      <c r="AM228" s="64" t="s">
        <v>922</v>
      </c>
      <c r="AN228" s="54">
        <f>MAX(1,ROUND((設定!$B$7*設定!$B$10*(1+設定!$B$11*(設定!$B$12-1)))*AE228^2*(設定!$B$6*(1+設定!$B$13))/(AI228*N228*(1+K228*(L228-1))*AG228),0))</f>
        <v>760</v>
      </c>
      <c r="AO228" s="65" t="str">
        <f>IF($A228="","",IF(COUNTIF(個性タイプマスタ!$A$5:$A$100,$AM228)&gt;0,"OK","未登録"))</f>
        <v>OK</v>
      </c>
      <c r="AP228" s="67" t="str">
        <f>IF($A228="","",IF(COUNTIF(属性耐性マスタ!$A$5:$A$11,$C228)&gt;0,"OK","未登録"))</f>
        <v>OK</v>
      </c>
    </row>
    <row r="229" spans="1:42">
      <c r="A229" s="66" t="s">
        <v>558</v>
      </c>
      <c r="B229" s="51" t="s">
        <v>559</v>
      </c>
      <c r="C229" s="109" t="s">
        <v>121</v>
      </c>
      <c r="D229" s="53">
        <f>ROUND(設定!$B$5*POWER($D$2,W229-1),2)</f>
        <v>3400.39</v>
      </c>
      <c r="E229" s="54">
        <f>MAX(1,ROUND(設定!$B$6*AE229*Y229,0))</f>
        <v>2686</v>
      </c>
      <c r="F229" s="54">
        <f>MAX(0,ROUND(設定!$B$7*AE229*設定!$B$15*IF(X229="Melee",0.6,1.35)*IFERROR(VLOOKUP($AM229,個性タイプマスタ!$A$5:$P$100,14,FALSE),1),0))</f>
        <v>446</v>
      </c>
      <c r="G229" s="54">
        <f>IF(X229="Melee",AN229,MAX(1,ROUND(AN229*設定!$B$16*IFERROR(VLOOKUP($AM229,個性タイプマスタ!$A$5:$P$100,15,FALSE),1),0)))</f>
        <v>118</v>
      </c>
      <c r="H229" s="54">
        <f>IF(X229="Ranged",AN229,MAX(1,ROUND(AN229*設定!$B$16*IFERROR(VLOOKUP($AM229,個性タイプマスタ!$A$5:$P$100,15,FALSE),1),0)))</f>
        <v>493</v>
      </c>
      <c r="I229" s="54">
        <f>MAX(0,ROUND(設定!$B$8*AE229*Z229,0))</f>
        <v>231</v>
      </c>
      <c r="J229" s="54">
        <f>MAX(0,ROUND(設定!$B$9*AE229*AA229,0))</f>
        <v>220</v>
      </c>
      <c r="K229" s="55">
        <f>IFERROR(VLOOKUP($AM229,個性タイプマスタ!$A$5:$P$100,9,FALSE),0.05)</f>
        <v>6.5000000000000002E-2</v>
      </c>
      <c r="L229" s="56">
        <f>IFERROR(VLOOKUP($AM229,個性タイプマスタ!$A$5:$P$100,10,FALSE),1.5)</f>
        <v>1.45</v>
      </c>
      <c r="M229" s="56">
        <f>IFERROR(VLOOKUP($AM229,個性タイプマスタ!$A$5:$P$100,11,FALSE),2)</f>
        <v>4</v>
      </c>
      <c r="N229" s="57">
        <f>MAX(0.1,ROUND(設定!$B$10*AB229,3))</f>
        <v>1.72</v>
      </c>
      <c r="O229" s="57">
        <f t="shared" si="12"/>
        <v>1.9</v>
      </c>
      <c r="P229" s="58">
        <f>MAX(-10,MIN(0.8,IFERROR(INDEX(属性耐性マスタ!$B$5:$G$11,MATCH($C229,属性耐性マスタ!$A$5:$A$11,0),1),0)+IFERROR(VLOOKUP($AM229,個性タイプマスタ!$A$5:$P$100,12,FALSE),0)))</f>
        <v>-7.0000000000000007E-2</v>
      </c>
      <c r="Q229" s="58">
        <f>MAX(-10,MIN(0.8,IFERROR(INDEX(属性耐性マスタ!$B$5:$G$11,MATCH($C229,属性耐性マスタ!$A$5:$A$11,0),2),0)+IFERROR(VLOOKUP($AM229,個性タイプマスタ!$A$5:$P$100,12,FALSE),0)))</f>
        <v>-7.0000000000000007E-2</v>
      </c>
      <c r="R229" s="58">
        <f>MAX(-10,MIN(0.8,IFERROR(INDEX(属性耐性マスタ!$B$5:$G$11,MATCH($C229,属性耐性マスタ!$A$5:$A$11,0),3),0)+IFERROR(VLOOKUP($AM229,個性タイプマスタ!$A$5:$P$100,12,FALSE),0)))</f>
        <v>-7.0000000000000007E-2</v>
      </c>
      <c r="S229" s="58">
        <f>MAX(-10,MIN(0.8,IFERROR(INDEX(属性耐性マスタ!$B$5:$G$11,MATCH($C229,属性耐性マスタ!$A$5:$A$11,0),4),0)+IFERROR(VLOOKUP($AM229,個性タイプマスタ!$A$5:$P$100,12,FALSE),0)))</f>
        <v>-7.0000000000000007E-2</v>
      </c>
      <c r="T229" s="58">
        <f>MAX(-10,MIN(0.8,IFERROR(INDEX(属性耐性マスタ!$B$5:$G$11,MATCH($C229,属性耐性マスタ!$A$5:$A$11,0),5),0)+IFERROR(VLOOKUP($AM229,個性タイプマスタ!$A$5:$P$100,12,FALSE),0)))</f>
        <v>0.13</v>
      </c>
      <c r="U229" s="58">
        <f>MAX(-10,MIN(0.8,IFERROR(INDEX(属性耐性マスタ!$B$5:$G$11,MATCH($C229,属性耐性マスタ!$A$5:$A$11,0),6),0)+IFERROR(VLOOKUP($AM229,個性タイプマスタ!$A$5:$P$100,12,FALSE),0)))</f>
        <v>-0.17</v>
      </c>
      <c r="V229" s="59">
        <f>ROUND(設定!$B$19*IFERROR(VLOOKUP($AM229,個性タイプマスタ!$A$5:$P$100,13,FALSE),1),2)</f>
        <v>5.4</v>
      </c>
      <c r="W229" s="59">
        <v>38</v>
      </c>
      <c r="X229" s="59" t="str">
        <f>IFERROR(VLOOKUP($AM229,個性タイプマスタ!$A$5:$P$100,2,FALSE),"Ranged")</f>
        <v>Ranged</v>
      </c>
      <c r="Y229" s="56">
        <f>IFERROR(VLOOKUP($AM229,個性タイプマスタ!$A$5:$P$100,3,FALSE),1)</f>
        <v>0.79</v>
      </c>
      <c r="Z229" s="56">
        <f>IFERROR(VLOOKUP($AM229,個性タイプマスタ!$A$5:$P$100,4,FALSE),1)</f>
        <v>0.85</v>
      </c>
      <c r="AA229" s="56">
        <f>IFERROR(VLOOKUP($AM229,個性タイプマスタ!$A$5:$P$100,5,FALSE),1)</f>
        <v>0.81</v>
      </c>
      <c r="AB229" s="56">
        <f>IFERROR(VLOOKUP($AM229,個性タイプマスタ!$A$5:$P$100,6,FALSE),1)</f>
        <v>1.72</v>
      </c>
      <c r="AC229" s="56">
        <f>IFERROR(VLOOKUP($AM229,個性タイプマスタ!$A$5:$P$100,7,FALSE),1)</f>
        <v>0.76</v>
      </c>
      <c r="AD229" s="56">
        <f>IFERROR(VLOOKUP($AM229,個性タイプマスタ!$A$5:$P$100,8,FALSE),1)</f>
        <v>0.63</v>
      </c>
      <c r="AE229" s="60">
        <f>IFERROR(D229/設定!$B$5,1)</f>
        <v>34.003900000000002</v>
      </c>
      <c r="AF229" s="60">
        <f>1+設定!$B$13*((I229/設定!$B$8+J229/設定!$B$9)/(2*AE229))</f>
        <v>1.2486847096950644</v>
      </c>
      <c r="AG229" s="60">
        <f>MAX(0.7,1+設定!$B$14*(O229/IF(X229="Melee",1.5,2.5)-1))</f>
        <v>0.97119999999999995</v>
      </c>
      <c r="AH229" s="53">
        <f t="shared" si="13"/>
        <v>847.62726049599996</v>
      </c>
      <c r="AI229" s="53">
        <f>E229*AF229*(1+設定!$B$18*AVERAGE(P229:U229))</f>
        <v>3273.4719191151603</v>
      </c>
      <c r="AJ229" s="61">
        <f>設定!$B$5*SQRT((AH229/(設定!$B$7*設定!$B$10*(1+設定!$B$11*(設定!$B$12-1))))*(AI229/(設定!$B$6*(1+設定!$B$13))))</f>
        <v>3401.2370893855782</v>
      </c>
      <c r="AK229" s="62">
        <f t="shared" si="14"/>
        <v>2.4911536193750194E-4</v>
      </c>
      <c r="AL229" s="63">
        <f t="shared" si="15"/>
        <v>2142.2456999999999</v>
      </c>
      <c r="AM229" s="64" t="s">
        <v>936</v>
      </c>
      <c r="AN229" s="54">
        <f>MAX(1,ROUND((設定!$B$7*設定!$B$10*(1+設定!$B$11*(設定!$B$12-1)))*AE229^2*(設定!$B$6*(1+設定!$B$13))/(AI229*N229*(1+K229*(L229-1))*AG229),0))</f>
        <v>493</v>
      </c>
      <c r="AO229" s="65" t="str">
        <f>IF($A229="","",IF(COUNTIF(個性タイプマスタ!$A$5:$A$100,$AM229)&gt;0,"OK","未登録"))</f>
        <v>OK</v>
      </c>
      <c r="AP229" s="67" t="str">
        <f>IF($A229="","",IF(COUNTIF(属性耐性マスタ!$A$5:$A$11,$C229)&gt;0,"OK","未登録"))</f>
        <v>OK</v>
      </c>
    </row>
    <row r="230" spans="1:42">
      <c r="A230" s="66" t="s">
        <v>560</v>
      </c>
      <c r="B230" s="51" t="s">
        <v>561</v>
      </c>
      <c r="C230" s="109" t="s">
        <v>874</v>
      </c>
      <c r="D230" s="53">
        <f>ROUND(設定!$B$5*POWER($D$2,W230-1),2)</f>
        <v>3400.39</v>
      </c>
      <c r="E230" s="54">
        <f>MAX(1,ROUND(設定!$B$6*AE230*Y230,0))</f>
        <v>2720</v>
      </c>
      <c r="F230" s="54">
        <f>MAX(0,ROUND(設定!$B$7*AE230*設定!$B$15*IF(X230="Melee",0.6,1.35)*IFERROR(VLOOKUP($AM230,個性タイプマスタ!$A$5:$P$100,14,FALSE),1),0))</f>
        <v>187</v>
      </c>
      <c r="G230" s="54">
        <f>IF(X230="Melee",AN230,MAX(1,ROUND(AN230*設定!$B$16*IFERROR(VLOOKUP($AM230,個性タイプマスタ!$A$5:$P$100,15,FALSE),1),0)))</f>
        <v>603</v>
      </c>
      <c r="H230" s="54">
        <f>IF(X230="Ranged",AN230,MAX(1,ROUND(AN230*設定!$B$16*IFERROR(VLOOKUP($AM230,個性タイプマスタ!$A$5:$P$100,15,FALSE),1),0)))</f>
        <v>271</v>
      </c>
      <c r="I230" s="54">
        <f>MAX(0,ROUND(設定!$B$8*AE230*Z230,0))</f>
        <v>218</v>
      </c>
      <c r="J230" s="54">
        <f>MAX(0,ROUND(設定!$B$9*AE230*AA230,0))</f>
        <v>218</v>
      </c>
      <c r="K230" s="55">
        <f>IFERROR(VLOOKUP($AM230,個性タイプマスタ!$A$5:$P$100,9,FALSE),0.05)</f>
        <v>0.08</v>
      </c>
      <c r="L230" s="56">
        <f>IFERROR(VLOOKUP($AM230,個性タイプマスタ!$A$5:$P$100,10,FALSE),1.5)</f>
        <v>1.55</v>
      </c>
      <c r="M230" s="56">
        <f>IFERROR(VLOOKUP($AM230,個性タイプマスタ!$A$5:$P$100,11,FALSE),2)</f>
        <v>3.3</v>
      </c>
      <c r="N230" s="57">
        <f>MAX(0.1,ROUND(設定!$B$10*AB230,3))</f>
        <v>1.32</v>
      </c>
      <c r="O230" s="57">
        <f t="shared" si="12"/>
        <v>1.5</v>
      </c>
      <c r="P230" s="58">
        <f>MAX(-10,MIN(0.8,IFERROR(INDEX(属性耐性マスタ!$B$5:$G$11,MATCH($C230,属性耐性マスタ!$A$5:$A$11,0),1),0)+IFERROR(VLOOKUP($AM230,個性タイプマスタ!$A$5:$P$100,12,FALSE),0)))</f>
        <v>-0.04</v>
      </c>
      <c r="Q230" s="58">
        <f>MAX(-10,MIN(0.8,IFERROR(INDEX(属性耐性マスタ!$B$5:$G$11,MATCH($C230,属性耐性マスタ!$A$5:$A$11,0),2),0)+IFERROR(VLOOKUP($AM230,個性タイプマスタ!$A$5:$P$100,12,FALSE),0)))</f>
        <v>-0.04</v>
      </c>
      <c r="R230" s="58">
        <f>MAX(-10,MIN(0.8,IFERROR(INDEX(属性耐性マスタ!$B$5:$G$11,MATCH($C230,属性耐性マスタ!$A$5:$A$11,0),3),0)+IFERROR(VLOOKUP($AM230,個性タイプマスタ!$A$5:$P$100,12,FALSE),0)))</f>
        <v>-0.04</v>
      </c>
      <c r="S230" s="58">
        <f>MAX(-10,MIN(0.8,IFERROR(INDEX(属性耐性マスタ!$B$5:$G$11,MATCH($C230,属性耐性マスタ!$A$5:$A$11,0),4),0)+IFERROR(VLOOKUP($AM230,個性タイプマスタ!$A$5:$P$100,12,FALSE),0)))</f>
        <v>-0.04</v>
      </c>
      <c r="T230" s="58">
        <f>MAX(-10,MIN(0.8,IFERROR(INDEX(属性耐性マスタ!$B$5:$G$11,MATCH($C230,属性耐性マスタ!$A$5:$A$11,0),5),0)+IFERROR(VLOOKUP($AM230,個性タイプマスタ!$A$5:$P$100,12,FALSE),0)))</f>
        <v>-0.14000000000000001</v>
      </c>
      <c r="U230" s="58">
        <f>MAX(-10,MIN(0.8,IFERROR(INDEX(属性耐性マスタ!$B$5:$G$11,MATCH($C230,属性耐性マスタ!$A$5:$A$11,0),6),0)+IFERROR(VLOOKUP($AM230,個性タイプマスタ!$A$5:$P$100,12,FALSE),0)))</f>
        <v>0.16</v>
      </c>
      <c r="V230" s="59">
        <f>ROUND(設定!$B$19*IFERROR(VLOOKUP($AM230,個性タイプマスタ!$A$5:$P$100,13,FALSE),1),2)</f>
        <v>4.8</v>
      </c>
      <c r="W230" s="59">
        <v>38</v>
      </c>
      <c r="X230" s="59" t="str">
        <f>IFERROR(VLOOKUP($AM230,個性タイプマスタ!$A$5:$P$100,2,FALSE),"Ranged")</f>
        <v>Melee</v>
      </c>
      <c r="Y230" s="56">
        <f>IFERROR(VLOOKUP($AM230,個性タイプマスタ!$A$5:$P$100,3,FALSE),1)</f>
        <v>0.8</v>
      </c>
      <c r="Z230" s="56">
        <f>IFERROR(VLOOKUP($AM230,個性タイプマスタ!$A$5:$P$100,4,FALSE),1)</f>
        <v>0.8</v>
      </c>
      <c r="AA230" s="56">
        <f>IFERROR(VLOOKUP($AM230,個性タイプマスタ!$A$5:$P$100,5,FALSE),1)</f>
        <v>0.8</v>
      </c>
      <c r="AB230" s="56">
        <f>IFERROR(VLOOKUP($AM230,個性タイプマスタ!$A$5:$P$100,6,FALSE),1)</f>
        <v>1.32</v>
      </c>
      <c r="AC230" s="56">
        <f>IFERROR(VLOOKUP($AM230,個性タイプマスタ!$A$5:$P$100,7,FALSE),1)</f>
        <v>1</v>
      </c>
      <c r="AD230" s="56">
        <f>IFERROR(VLOOKUP($AM230,個性タイプマスタ!$A$5:$P$100,8,FALSE),1)</f>
        <v>0.68</v>
      </c>
      <c r="AE230" s="60">
        <f>IFERROR(D230/設定!$B$5,1)</f>
        <v>34.003900000000002</v>
      </c>
      <c r="AF230" s="60">
        <f>1+設定!$B$13*((I230/設定!$B$8+J230/設定!$B$9)/(2*AE230))</f>
        <v>1.2404135996165144</v>
      </c>
      <c r="AG230" s="60">
        <f>MAX(0.7,1+設定!$B$14*(O230/IF(X230="Melee",1.5,2.5)-1))</f>
        <v>1</v>
      </c>
      <c r="AH230" s="53">
        <f t="shared" si="13"/>
        <v>830.98224000000005</v>
      </c>
      <c r="AI230" s="53">
        <f>E230*AF230*(1+設定!$B$18*AVERAGE(P230:U230))</f>
        <v>3338.498778551872</v>
      </c>
      <c r="AJ230" s="61">
        <f>設定!$B$5*SQRT((AH230/(設定!$B$7*設定!$B$10*(1+設定!$B$11*(設定!$B$12-1))))*(AI230/(設定!$B$6*(1+設定!$B$13))))</f>
        <v>3400.960754788417</v>
      </c>
      <c r="AK230" s="62">
        <f t="shared" si="14"/>
        <v>1.6784980205719613E-4</v>
      </c>
      <c r="AL230" s="63">
        <f t="shared" si="15"/>
        <v>2312.2652000000003</v>
      </c>
      <c r="AM230" s="64" t="s">
        <v>902</v>
      </c>
      <c r="AN230" s="54">
        <f>MAX(1,ROUND((設定!$B$7*設定!$B$10*(1+設定!$B$11*(設定!$B$12-1)))*AE230^2*(設定!$B$6*(1+設定!$B$13))/(AI230*N230*(1+K230*(L230-1))*AG230),0))</f>
        <v>603</v>
      </c>
      <c r="AO230" s="65" t="str">
        <f>IF($A230="","",IF(COUNTIF(個性タイプマスタ!$A$5:$A$100,$AM230)&gt;0,"OK","未登録"))</f>
        <v>OK</v>
      </c>
      <c r="AP230" s="67" t="str">
        <f>IF($A230="","",IF(COUNTIF(属性耐性マスタ!$A$5:$A$11,$C230)&gt;0,"OK","未登録"))</f>
        <v>OK</v>
      </c>
    </row>
    <row r="231" spans="1:42">
      <c r="A231" s="66" t="s">
        <v>562</v>
      </c>
      <c r="B231" s="51" t="s">
        <v>563</v>
      </c>
      <c r="C231" s="109" t="s">
        <v>121</v>
      </c>
      <c r="D231" s="53">
        <f>ROUND(設定!$B$5*POWER($D$2,W231-1),2)</f>
        <v>3400.39</v>
      </c>
      <c r="E231" s="54">
        <f>MAX(1,ROUND(設定!$B$6*AE231*Y231,0))</f>
        <v>6189</v>
      </c>
      <c r="F231" s="54">
        <f>MAX(0,ROUND(設定!$B$7*AE231*設定!$B$15*IF(X231="Melee",0.6,1.35)*IFERROR(VLOOKUP($AM231,個性タイプマスタ!$A$5:$P$100,14,FALSE),1),0))</f>
        <v>159</v>
      </c>
      <c r="G231" s="54">
        <f>IF(X231="Melee",AN231,MAX(1,ROUND(AN231*設定!$B$16*IFERROR(VLOOKUP($AM231,個性タイプマスタ!$A$5:$P$100,15,FALSE),1),0)))</f>
        <v>455</v>
      </c>
      <c r="H231" s="54">
        <f>IF(X231="Ranged",AN231,MAX(1,ROUND(AN231*設定!$B$16*IFERROR(VLOOKUP($AM231,個性タイプマスタ!$A$5:$P$100,15,FALSE),1),0)))</f>
        <v>172</v>
      </c>
      <c r="I231" s="54">
        <f>MAX(0,ROUND(設定!$B$8*AE231*Z231,0))</f>
        <v>585</v>
      </c>
      <c r="J231" s="54">
        <f>MAX(0,ROUND(設定!$B$9*AE231*AA231,0))</f>
        <v>288</v>
      </c>
      <c r="K231" s="55">
        <f>IFERROR(VLOOKUP($AM231,個性タイプマスタ!$A$5:$P$100,9,FALSE),0.05)</f>
        <v>0.03</v>
      </c>
      <c r="L231" s="56">
        <f>IFERROR(VLOOKUP($AM231,個性タイプマスタ!$A$5:$P$100,10,FALSE),1.5)</f>
        <v>1.35</v>
      </c>
      <c r="M231" s="56">
        <f>IFERROR(VLOOKUP($AM231,個性タイプマスタ!$A$5:$P$100,11,FALSE),2)</f>
        <v>1.5</v>
      </c>
      <c r="N231" s="57">
        <f>MAX(0.1,ROUND(設定!$B$10*AB231,3))</f>
        <v>0.65</v>
      </c>
      <c r="O231" s="57">
        <f t="shared" si="12"/>
        <v>1.02</v>
      </c>
      <c r="P231" s="58">
        <f>MAX(-10,MIN(0.8,IFERROR(INDEX(属性耐性マスタ!$B$5:$G$11,MATCH($C231,属性耐性マスタ!$A$5:$A$11,0),1),0)+IFERROR(VLOOKUP($AM231,個性タイプマスタ!$A$5:$P$100,12,FALSE),0)))</f>
        <v>0.1</v>
      </c>
      <c r="Q231" s="58">
        <f>MAX(-10,MIN(0.8,IFERROR(INDEX(属性耐性マスタ!$B$5:$G$11,MATCH($C231,属性耐性マスタ!$A$5:$A$11,0),2),0)+IFERROR(VLOOKUP($AM231,個性タイプマスタ!$A$5:$P$100,12,FALSE),0)))</f>
        <v>0.1</v>
      </c>
      <c r="R231" s="58">
        <f>MAX(-10,MIN(0.8,IFERROR(INDEX(属性耐性マスタ!$B$5:$G$11,MATCH($C231,属性耐性マスタ!$A$5:$A$11,0),3),0)+IFERROR(VLOOKUP($AM231,個性タイプマスタ!$A$5:$P$100,12,FALSE),0)))</f>
        <v>0.1</v>
      </c>
      <c r="S231" s="58">
        <f>MAX(-10,MIN(0.8,IFERROR(INDEX(属性耐性マスタ!$B$5:$G$11,MATCH($C231,属性耐性マスタ!$A$5:$A$11,0),4),0)+IFERROR(VLOOKUP($AM231,個性タイプマスタ!$A$5:$P$100,12,FALSE),0)))</f>
        <v>0.1</v>
      </c>
      <c r="T231" s="58">
        <f>MAX(-10,MIN(0.8,IFERROR(INDEX(属性耐性マスタ!$B$5:$G$11,MATCH($C231,属性耐性マスタ!$A$5:$A$11,0),5),0)+IFERROR(VLOOKUP($AM231,個性タイプマスタ!$A$5:$P$100,12,FALSE),0)))</f>
        <v>0.30000000000000004</v>
      </c>
      <c r="U231" s="58">
        <f>MAX(-10,MIN(0.8,IFERROR(INDEX(属性耐性マスタ!$B$5:$G$11,MATCH($C231,属性耐性マスタ!$A$5:$A$11,0),6),0)+IFERROR(VLOOKUP($AM231,個性タイプマスタ!$A$5:$P$100,12,FALSE),0)))</f>
        <v>0</v>
      </c>
      <c r="V231" s="59">
        <f>ROUND(設定!$B$19*IFERROR(VLOOKUP($AM231,個性タイプマスタ!$A$5:$P$100,13,FALSE),1),2)</f>
        <v>3.4</v>
      </c>
      <c r="W231" s="59">
        <v>38</v>
      </c>
      <c r="X231" s="59" t="str">
        <f>IFERROR(VLOOKUP($AM231,個性タイプマスタ!$A$5:$P$100,2,FALSE),"Ranged")</f>
        <v>Melee</v>
      </c>
      <c r="Y231" s="56">
        <f>IFERROR(VLOOKUP($AM231,個性タイプマスタ!$A$5:$P$100,3,FALSE),1)</f>
        <v>1.82</v>
      </c>
      <c r="Z231" s="56">
        <f>IFERROR(VLOOKUP($AM231,個性タイプマスタ!$A$5:$P$100,4,FALSE),1)</f>
        <v>2.15</v>
      </c>
      <c r="AA231" s="56">
        <f>IFERROR(VLOOKUP($AM231,個性タイプマスタ!$A$5:$P$100,5,FALSE),1)</f>
        <v>1.06</v>
      </c>
      <c r="AB231" s="56">
        <f>IFERROR(VLOOKUP($AM231,個性タイプマスタ!$A$5:$P$100,6,FALSE),1)</f>
        <v>0.65</v>
      </c>
      <c r="AC231" s="56">
        <f>IFERROR(VLOOKUP($AM231,個性タイプマスタ!$A$5:$P$100,7,FALSE),1)</f>
        <v>0.68</v>
      </c>
      <c r="AD231" s="56">
        <f>IFERROR(VLOOKUP($AM231,個性タイプマスタ!$A$5:$P$100,8,FALSE),1)</f>
        <v>0.92</v>
      </c>
      <c r="AE231" s="60">
        <f>IFERROR(D231/設定!$B$5,1)</f>
        <v>34.003900000000002</v>
      </c>
      <c r="AF231" s="60">
        <f>1+設定!$B$13*((I231/設定!$B$8+J231/設定!$B$9)/(2*AE231))</f>
        <v>1.481378606571599</v>
      </c>
      <c r="AG231" s="60">
        <f>MAX(0.7,1+設定!$B$14*(O231/IF(X231="Melee",1.5,2.5)-1))</f>
        <v>0.96160000000000001</v>
      </c>
      <c r="AH231" s="53">
        <f t="shared" si="13"/>
        <v>287.37932860000001</v>
      </c>
      <c r="AI231" s="53">
        <f>E231*AF231*(1+設定!$B$18*AVERAGE(P231:U231))</f>
        <v>9649.5854363653852</v>
      </c>
      <c r="AJ231" s="61">
        <f>設定!$B$5*SQRT((AH231/(設定!$B$7*設定!$B$10*(1+設定!$B$11*(設定!$B$12-1))))*(AI231/(設定!$B$6*(1+設定!$B$13))))</f>
        <v>3400.260804949547</v>
      </c>
      <c r="AK231" s="62">
        <f t="shared" si="14"/>
        <v>-3.7994186094181259E-5</v>
      </c>
      <c r="AL231" s="63">
        <f t="shared" si="15"/>
        <v>3128.3588</v>
      </c>
      <c r="AM231" s="64" t="s">
        <v>952</v>
      </c>
      <c r="AN231" s="54">
        <f>MAX(1,ROUND((設定!$B$7*設定!$B$10*(1+設定!$B$11*(設定!$B$12-1)))*AE231^2*(設定!$B$6*(1+設定!$B$13))/(AI231*N231*(1+K231*(L231-1))*AG231),0))</f>
        <v>455</v>
      </c>
      <c r="AO231" s="65" t="str">
        <f>IF($A231="","",IF(COUNTIF(個性タイプマスタ!$A$5:$A$100,$AM231)&gt;0,"OK","未登録"))</f>
        <v>OK</v>
      </c>
      <c r="AP231" s="67" t="str">
        <f>IF($A231="","",IF(COUNTIF(属性耐性マスタ!$A$5:$A$11,$C231)&gt;0,"OK","未登録"))</f>
        <v>OK</v>
      </c>
    </row>
    <row r="232" spans="1:42">
      <c r="A232" s="66" t="s">
        <v>564</v>
      </c>
      <c r="B232" s="51" t="s">
        <v>565</v>
      </c>
      <c r="C232" s="109" t="s">
        <v>121</v>
      </c>
      <c r="D232" s="53">
        <f>ROUND(設定!$B$5*POWER($D$2,W232-1),2)</f>
        <v>3400.39</v>
      </c>
      <c r="E232" s="54">
        <f>MAX(1,ROUND(設定!$B$6*AE232*Y232,0))</f>
        <v>3808</v>
      </c>
      <c r="F232" s="54">
        <f>MAX(0,ROUND(設定!$B$7*AE232*設定!$B$15*IF(X232="Melee",0.6,1.35)*IFERROR(VLOOKUP($AM232,個性タイプマスタ!$A$5:$P$100,14,FALSE),1),0))</f>
        <v>669</v>
      </c>
      <c r="G232" s="54">
        <f>IF(X232="Melee",AN232,MAX(1,ROUND(AN232*設定!$B$16*IFERROR(VLOOKUP($AM232,個性タイプマスタ!$A$5:$P$100,15,FALSE),1),0)))</f>
        <v>168</v>
      </c>
      <c r="H232" s="54">
        <f>IF(X232="Ranged",AN232,MAX(1,ROUND(AN232*設定!$B$16*IFERROR(VLOOKUP($AM232,個性タイプマスタ!$A$5:$P$100,15,FALSE),1),0)))</f>
        <v>565</v>
      </c>
      <c r="I232" s="54">
        <f>MAX(0,ROUND(設定!$B$8*AE232*Z232,0))</f>
        <v>530</v>
      </c>
      <c r="J232" s="54">
        <f>MAX(0,ROUND(設定!$B$9*AE232*AA232,0))</f>
        <v>196</v>
      </c>
      <c r="K232" s="55">
        <f>IFERROR(VLOOKUP($AM232,個性タイプマスタ!$A$5:$P$100,9,FALSE),0.05)</f>
        <v>5.5E-2</v>
      </c>
      <c r="L232" s="56">
        <f>IFERROR(VLOOKUP($AM232,個性タイプマスタ!$A$5:$P$100,10,FALSE),1.5)</f>
        <v>1.5</v>
      </c>
      <c r="M232" s="56">
        <f>IFERROR(VLOOKUP($AM232,個性タイプマスタ!$A$5:$P$100,11,FALSE),2)</f>
        <v>1.85</v>
      </c>
      <c r="N232" s="57">
        <f>MAX(0.1,ROUND(設定!$B$10*AB232,3))</f>
        <v>0.87</v>
      </c>
      <c r="O232" s="57">
        <f t="shared" si="12"/>
        <v>2.35</v>
      </c>
      <c r="P232" s="58">
        <f>MAX(-10,MIN(0.8,IFERROR(INDEX(属性耐性マスタ!$B$5:$G$11,MATCH($C232,属性耐性マスタ!$A$5:$A$11,0),1),0)+IFERROR(VLOOKUP($AM232,個性タイプマスタ!$A$5:$P$100,12,FALSE),0)))</f>
        <v>6.5000000000000002E-2</v>
      </c>
      <c r="Q232" s="58">
        <f>MAX(-10,MIN(0.8,IFERROR(INDEX(属性耐性マスタ!$B$5:$G$11,MATCH($C232,属性耐性マスタ!$A$5:$A$11,0),2),0)+IFERROR(VLOOKUP($AM232,個性タイプマスタ!$A$5:$P$100,12,FALSE),0)))</f>
        <v>6.5000000000000002E-2</v>
      </c>
      <c r="R232" s="58">
        <f>MAX(-10,MIN(0.8,IFERROR(INDEX(属性耐性マスタ!$B$5:$G$11,MATCH($C232,属性耐性マスタ!$A$5:$A$11,0),3),0)+IFERROR(VLOOKUP($AM232,個性タイプマスタ!$A$5:$P$100,12,FALSE),0)))</f>
        <v>6.5000000000000002E-2</v>
      </c>
      <c r="S232" s="58">
        <f>MAX(-10,MIN(0.8,IFERROR(INDEX(属性耐性マスタ!$B$5:$G$11,MATCH($C232,属性耐性マスタ!$A$5:$A$11,0),4),0)+IFERROR(VLOOKUP($AM232,個性タイプマスタ!$A$5:$P$100,12,FALSE),0)))</f>
        <v>6.5000000000000002E-2</v>
      </c>
      <c r="T232" s="58">
        <f>MAX(-10,MIN(0.8,IFERROR(INDEX(属性耐性マスタ!$B$5:$G$11,MATCH($C232,属性耐性マスタ!$A$5:$A$11,0),5),0)+IFERROR(VLOOKUP($AM232,個性タイプマスタ!$A$5:$P$100,12,FALSE),0)))</f>
        <v>0.26500000000000001</v>
      </c>
      <c r="U232" s="58">
        <f>MAX(-10,MIN(0.8,IFERROR(INDEX(属性耐性マスタ!$B$5:$G$11,MATCH($C232,属性耐性マスタ!$A$5:$A$11,0),6),0)+IFERROR(VLOOKUP($AM232,個性タイプマスタ!$A$5:$P$100,12,FALSE),0)))</f>
        <v>-3.5000000000000003E-2</v>
      </c>
      <c r="V232" s="59">
        <f>ROUND(設定!$B$19*IFERROR(VLOOKUP($AM232,個性タイプマスタ!$A$5:$P$100,13,FALSE),1),2)</f>
        <v>4.2</v>
      </c>
      <c r="W232" s="59">
        <v>38</v>
      </c>
      <c r="X232" s="59" t="str">
        <f>IFERROR(VLOOKUP($AM232,個性タイプマスタ!$A$5:$P$100,2,FALSE),"Ranged")</f>
        <v>Ranged</v>
      </c>
      <c r="Y232" s="56">
        <f>IFERROR(VLOOKUP($AM232,個性タイプマスタ!$A$5:$P$100,3,FALSE),1)</f>
        <v>1.1200000000000001</v>
      </c>
      <c r="Z232" s="56">
        <f>IFERROR(VLOOKUP($AM232,個性タイプマスタ!$A$5:$P$100,4,FALSE),1)</f>
        <v>1.95</v>
      </c>
      <c r="AA232" s="56">
        <f>IFERROR(VLOOKUP($AM232,個性タイプマスタ!$A$5:$P$100,5,FALSE),1)</f>
        <v>0.72</v>
      </c>
      <c r="AB232" s="56">
        <f>IFERROR(VLOOKUP($AM232,個性タイプマスタ!$A$5:$P$100,6,FALSE),1)</f>
        <v>0.87</v>
      </c>
      <c r="AC232" s="56">
        <f>IFERROR(VLOOKUP($AM232,個性タイプマスタ!$A$5:$P$100,7,FALSE),1)</f>
        <v>0.94</v>
      </c>
      <c r="AD232" s="56">
        <f>IFERROR(VLOOKUP($AM232,個性タイプマスタ!$A$5:$P$100,8,FALSE),1)</f>
        <v>0.82</v>
      </c>
      <c r="AE232" s="60">
        <f>IFERROR(D232/設定!$B$5,1)</f>
        <v>34.003900000000002</v>
      </c>
      <c r="AF232" s="60">
        <f>1+設定!$B$13*((I232/設定!$B$8+J232/設定!$B$9)/(2*AE232))</f>
        <v>1.400321727801811</v>
      </c>
      <c r="AG232" s="60">
        <f>MAX(0.7,1+設定!$B$14*(O232/IF(X232="Melee",1.5,2.5)-1))</f>
        <v>0.99280000000000002</v>
      </c>
      <c r="AH232" s="53">
        <f t="shared" si="13"/>
        <v>501.43113810000011</v>
      </c>
      <c r="AI232" s="53">
        <f>E232*AF232*(1+設定!$B$18*AVERAGE(P232:U232))</f>
        <v>5528.3917633447936</v>
      </c>
      <c r="AJ232" s="61">
        <f>設定!$B$5*SQRT((AH232/(設定!$B$7*設定!$B$10*(1+設定!$B$11*(設定!$B$12-1))))*(AI232/(設定!$B$6*(1+設定!$B$13))))</f>
        <v>3399.6577184616754</v>
      </c>
      <c r="AK232" s="62">
        <f t="shared" si="14"/>
        <v>-2.1535222087010197E-4</v>
      </c>
      <c r="AL232" s="63">
        <f t="shared" si="15"/>
        <v>2788.3197999999998</v>
      </c>
      <c r="AM232" s="64" t="s">
        <v>928</v>
      </c>
      <c r="AN232" s="54">
        <f>MAX(1,ROUND((設定!$B$7*設定!$B$10*(1+設定!$B$11*(設定!$B$12-1)))*AE232^2*(設定!$B$6*(1+設定!$B$13))/(AI232*N232*(1+K232*(L232-1))*AG232),0))</f>
        <v>565</v>
      </c>
      <c r="AO232" s="65" t="str">
        <f>IF($A232="","",IF(COUNTIF(個性タイプマスタ!$A$5:$A$100,$AM232)&gt;0,"OK","未登録"))</f>
        <v>OK</v>
      </c>
      <c r="AP232" s="67" t="str">
        <f>IF($A232="","",IF(COUNTIF(属性耐性マスタ!$A$5:$A$11,$C232)&gt;0,"OK","未登録"))</f>
        <v>OK</v>
      </c>
    </row>
    <row r="233" spans="1:42">
      <c r="A233" s="66" t="s">
        <v>566</v>
      </c>
      <c r="B233" s="51" t="s">
        <v>567</v>
      </c>
      <c r="C233" s="109" t="s">
        <v>874</v>
      </c>
      <c r="D233" s="53">
        <f>ROUND(設定!$B$5*POWER($D$2,W233-1),2)</f>
        <v>3740.43</v>
      </c>
      <c r="E233" s="54">
        <f>MAX(1,ROUND(設定!$B$6*AE233*Y233,0))</f>
        <v>4788</v>
      </c>
      <c r="F233" s="54">
        <f>MAX(0,ROUND(設定!$B$7*AE233*設定!$B$15*IF(X233="Melee",0.6,1.35)*IFERROR(VLOOKUP($AM233,個性タイプマスタ!$A$5:$P$100,14,FALSE),1),0))</f>
        <v>518</v>
      </c>
      <c r="G233" s="54">
        <f>IF(X233="Melee",AN233,MAX(1,ROUND(AN233*設定!$B$16*IFERROR(VLOOKUP($AM233,個性タイプマスタ!$A$5:$P$100,15,FALSE),1),0)))</f>
        <v>135</v>
      </c>
      <c r="H233" s="54">
        <f>IF(X233="Ranged",AN233,MAX(1,ROUND(AN233*設定!$B$16*IFERROR(VLOOKUP($AM233,個性タイプマスタ!$A$5:$P$100,15,FALSE),1),0)))</f>
        <v>354</v>
      </c>
      <c r="I233" s="54">
        <f>MAX(0,ROUND(設定!$B$8*AE233*Z233,0))</f>
        <v>368</v>
      </c>
      <c r="J233" s="54">
        <f>MAX(0,ROUND(設定!$B$9*AE233*AA233,0))</f>
        <v>335</v>
      </c>
      <c r="K233" s="55">
        <f>IFERROR(VLOOKUP($AM233,個性タイプマスタ!$A$5:$P$100,9,FALSE),0.05)</f>
        <v>7.0000000000000007E-2</v>
      </c>
      <c r="L233" s="56">
        <f>IFERROR(VLOOKUP($AM233,個性タイプマスタ!$A$5:$P$100,10,FALSE),1.5)</f>
        <v>1.5</v>
      </c>
      <c r="M233" s="56">
        <f>IFERROR(VLOOKUP($AM233,個性タイプマスタ!$A$5:$P$100,11,FALSE),2)</f>
        <v>2.8</v>
      </c>
      <c r="N233" s="57">
        <f>MAX(0.1,ROUND(設定!$B$10*AB233,3))</f>
        <v>1.45</v>
      </c>
      <c r="O233" s="57">
        <f t="shared" si="12"/>
        <v>1.55</v>
      </c>
      <c r="P233" s="58">
        <f>MAX(-10,MIN(0.8,IFERROR(INDEX(属性耐性マスタ!$B$5:$G$11,MATCH($C233,属性耐性マスタ!$A$5:$A$11,0),1),0)+IFERROR(VLOOKUP($AM233,個性タイプマスタ!$A$5:$P$100,12,FALSE),0)))</f>
        <v>0.03</v>
      </c>
      <c r="Q233" s="58">
        <f>MAX(-10,MIN(0.8,IFERROR(INDEX(属性耐性マスタ!$B$5:$G$11,MATCH($C233,属性耐性マスタ!$A$5:$A$11,0),2),0)+IFERROR(VLOOKUP($AM233,個性タイプマスタ!$A$5:$P$100,12,FALSE),0)))</f>
        <v>0.03</v>
      </c>
      <c r="R233" s="58">
        <f>MAX(-10,MIN(0.8,IFERROR(INDEX(属性耐性マスタ!$B$5:$G$11,MATCH($C233,属性耐性マスタ!$A$5:$A$11,0),3),0)+IFERROR(VLOOKUP($AM233,個性タイプマスタ!$A$5:$P$100,12,FALSE),0)))</f>
        <v>0.03</v>
      </c>
      <c r="S233" s="58">
        <f>MAX(-10,MIN(0.8,IFERROR(INDEX(属性耐性マスタ!$B$5:$G$11,MATCH($C233,属性耐性マスタ!$A$5:$A$11,0),4),0)+IFERROR(VLOOKUP($AM233,個性タイプマスタ!$A$5:$P$100,12,FALSE),0)))</f>
        <v>0.03</v>
      </c>
      <c r="T233" s="58">
        <f>MAX(-10,MIN(0.8,IFERROR(INDEX(属性耐性マスタ!$B$5:$G$11,MATCH($C233,属性耐性マスタ!$A$5:$A$11,0),5),0)+IFERROR(VLOOKUP($AM233,個性タイプマスタ!$A$5:$P$100,12,FALSE),0)))</f>
        <v>-7.0000000000000007E-2</v>
      </c>
      <c r="U233" s="58">
        <f>MAX(-10,MIN(0.8,IFERROR(INDEX(属性耐性マスタ!$B$5:$G$11,MATCH($C233,属性耐性マスタ!$A$5:$A$11,0),6),0)+IFERROR(VLOOKUP($AM233,個性タイプマスタ!$A$5:$P$100,12,FALSE),0)))</f>
        <v>0.23</v>
      </c>
      <c r="V233" s="59">
        <f>ROUND(設定!$B$19*IFERROR(VLOOKUP($AM233,個性タイプマスタ!$A$5:$P$100,13,FALSE),1),2)</f>
        <v>3.6</v>
      </c>
      <c r="W233" s="59">
        <v>39</v>
      </c>
      <c r="X233" s="59" t="str">
        <f>IFERROR(VLOOKUP($AM233,個性タイプマスタ!$A$5:$P$100,2,FALSE),"Ranged")</f>
        <v>Ranged</v>
      </c>
      <c r="Y233" s="56">
        <f>IFERROR(VLOOKUP($AM233,個性タイプマスタ!$A$5:$P$100,3,FALSE),1)</f>
        <v>1.28</v>
      </c>
      <c r="Z233" s="56">
        <f>IFERROR(VLOOKUP($AM233,個性タイプマスタ!$A$5:$P$100,4,FALSE),1)</f>
        <v>1.23</v>
      </c>
      <c r="AA233" s="56">
        <f>IFERROR(VLOOKUP($AM233,個性タイプマスタ!$A$5:$P$100,5,FALSE),1)</f>
        <v>1.1200000000000001</v>
      </c>
      <c r="AB233" s="56">
        <f>IFERROR(VLOOKUP($AM233,個性タイプマスタ!$A$5:$P$100,6,FALSE),1)</f>
        <v>1.45</v>
      </c>
      <c r="AC233" s="56">
        <f>IFERROR(VLOOKUP($AM233,個性タイプマスタ!$A$5:$P$100,7,FALSE),1)</f>
        <v>0.62</v>
      </c>
      <c r="AD233" s="56">
        <f>IFERROR(VLOOKUP($AM233,個性タイプマスタ!$A$5:$P$100,8,FALSE),1)</f>
        <v>0.8</v>
      </c>
      <c r="AE233" s="60">
        <f>IFERROR(D233/設定!$B$5,1)</f>
        <v>37.404299999999999</v>
      </c>
      <c r="AF233" s="60">
        <f>1+設定!$B$13*((I233/設定!$B$8+J233/設定!$B$9)/(2*AE233))</f>
        <v>1.3523993230724809</v>
      </c>
      <c r="AG233" s="60">
        <f>MAX(0.7,1+設定!$B$14*(O233/IF(X233="Melee",1.5,2.5)-1))</f>
        <v>0.95440000000000003</v>
      </c>
      <c r="AH233" s="53">
        <f t="shared" si="13"/>
        <v>507.03979319999991</v>
      </c>
      <c r="AI233" s="53">
        <f>E233*AF233*(1+設定!$B$18*AVERAGE(P233:U233))</f>
        <v>6611.2690060073301</v>
      </c>
      <c r="AJ233" s="61">
        <f>設定!$B$5*SQRT((AH233/(設定!$B$7*設定!$B$10*(1+設定!$B$11*(設定!$B$12-1))))*(AI233/(設定!$B$6*(1+設定!$B$13))))</f>
        <v>3738.4672049249625</v>
      </c>
      <c r="AK233" s="62">
        <f t="shared" si="14"/>
        <v>-5.2475118503414464E-4</v>
      </c>
      <c r="AL233" s="63">
        <f t="shared" si="15"/>
        <v>2992.3440000000001</v>
      </c>
      <c r="AM233" s="64" t="s">
        <v>920</v>
      </c>
      <c r="AN233" s="54">
        <f>MAX(1,ROUND((設定!$B$7*設定!$B$10*(1+設定!$B$11*(設定!$B$12-1)))*AE233^2*(設定!$B$6*(1+設定!$B$13))/(AI233*N233*(1+K233*(L233-1))*AG233),0))</f>
        <v>354</v>
      </c>
      <c r="AO233" s="65" t="str">
        <f>IF($A233="","",IF(COUNTIF(個性タイプマスタ!$A$5:$A$100,$AM233)&gt;0,"OK","未登録"))</f>
        <v>OK</v>
      </c>
      <c r="AP233" s="67" t="str">
        <f>IF($A233="","",IF(COUNTIF(属性耐性マスタ!$A$5:$A$11,$C233)&gt;0,"OK","未登録"))</f>
        <v>OK</v>
      </c>
    </row>
    <row r="234" spans="1:42">
      <c r="A234" s="66" t="s">
        <v>568</v>
      </c>
      <c r="B234" s="51" t="s">
        <v>569</v>
      </c>
      <c r="C234" s="109" t="s">
        <v>874</v>
      </c>
      <c r="D234" s="53">
        <f>ROUND(設定!$B$5*POWER($D$2,W234-1),2)</f>
        <v>3740.43</v>
      </c>
      <c r="E234" s="54">
        <f>MAX(1,ROUND(設定!$B$6*AE234*Y234,0))</f>
        <v>3329</v>
      </c>
      <c r="F234" s="54">
        <f>MAX(0,ROUND(設定!$B$7*AE234*設定!$B$15*IF(X234="Melee",0.6,1.35)*IFERROR(VLOOKUP($AM234,個性タイプマスタ!$A$5:$P$100,14,FALSE),1),0))</f>
        <v>518</v>
      </c>
      <c r="G234" s="54">
        <f>IF(X234="Melee",AN234,MAX(1,ROUND(AN234*設定!$B$16*IFERROR(VLOOKUP($AM234,個性タイプマスタ!$A$5:$P$100,15,FALSE),1),0)))</f>
        <v>174</v>
      </c>
      <c r="H234" s="54">
        <f>IF(X234="Ranged",AN234,MAX(1,ROUND(AN234*設定!$B$16*IFERROR(VLOOKUP($AM234,個性タイプマスタ!$A$5:$P$100,15,FALSE),1),0)))</f>
        <v>643</v>
      </c>
      <c r="I234" s="54">
        <f>MAX(0,ROUND(設定!$B$8*AE234*Z234,0))</f>
        <v>275</v>
      </c>
      <c r="J234" s="54">
        <f>MAX(0,ROUND(設定!$B$9*AE234*AA234,0))</f>
        <v>272</v>
      </c>
      <c r="K234" s="55">
        <f>IFERROR(VLOOKUP($AM234,個性タイプマスタ!$A$5:$P$100,9,FALSE),0.05)</f>
        <v>7.4999999999999997E-2</v>
      </c>
      <c r="L234" s="56">
        <f>IFERROR(VLOOKUP($AM234,個性タイプマスタ!$A$5:$P$100,10,FALSE),1.5)</f>
        <v>1.5</v>
      </c>
      <c r="M234" s="56">
        <f>IFERROR(VLOOKUP($AM234,個性タイプマスタ!$A$5:$P$100,11,FALSE),2)</f>
        <v>3.1</v>
      </c>
      <c r="N234" s="57">
        <f>MAX(0.1,ROUND(設定!$B$10*AB234,3))</f>
        <v>1.1499999999999999</v>
      </c>
      <c r="O234" s="57">
        <f t="shared" si="12"/>
        <v>3.0750000000000002</v>
      </c>
      <c r="P234" s="58">
        <f>MAX(-10,MIN(0.8,IFERROR(INDEX(属性耐性マスタ!$B$5:$G$11,MATCH($C234,属性耐性マスタ!$A$5:$A$11,0),1),0)+IFERROR(VLOOKUP($AM234,個性タイプマスタ!$A$5:$P$100,12,FALSE),0)))</f>
        <v>-0.01</v>
      </c>
      <c r="Q234" s="58">
        <f>MAX(-10,MIN(0.8,IFERROR(INDEX(属性耐性マスタ!$B$5:$G$11,MATCH($C234,属性耐性マスタ!$A$5:$A$11,0),2),0)+IFERROR(VLOOKUP($AM234,個性タイプマスタ!$A$5:$P$100,12,FALSE),0)))</f>
        <v>-0.01</v>
      </c>
      <c r="R234" s="58">
        <f>MAX(-10,MIN(0.8,IFERROR(INDEX(属性耐性マスタ!$B$5:$G$11,MATCH($C234,属性耐性マスタ!$A$5:$A$11,0),3),0)+IFERROR(VLOOKUP($AM234,個性タイプマスタ!$A$5:$P$100,12,FALSE),0)))</f>
        <v>-0.01</v>
      </c>
      <c r="S234" s="58">
        <f>MAX(-10,MIN(0.8,IFERROR(INDEX(属性耐性マスタ!$B$5:$G$11,MATCH($C234,属性耐性マスタ!$A$5:$A$11,0),4),0)+IFERROR(VLOOKUP($AM234,個性タイプマスタ!$A$5:$P$100,12,FALSE),0)))</f>
        <v>-0.01</v>
      </c>
      <c r="T234" s="58">
        <f>MAX(-10,MIN(0.8,IFERROR(INDEX(属性耐性マスタ!$B$5:$G$11,MATCH($C234,属性耐性マスタ!$A$5:$A$11,0),5),0)+IFERROR(VLOOKUP($AM234,個性タイプマスタ!$A$5:$P$100,12,FALSE),0)))</f>
        <v>-0.11</v>
      </c>
      <c r="U234" s="58">
        <f>MAX(-10,MIN(0.8,IFERROR(INDEX(属性耐性マスタ!$B$5:$G$11,MATCH($C234,属性耐性マスタ!$A$5:$A$11,0),6),0)+IFERROR(VLOOKUP($AM234,個性タイプマスタ!$A$5:$P$100,12,FALSE),0)))</f>
        <v>0.19</v>
      </c>
      <c r="V234" s="59">
        <f>ROUND(設定!$B$19*IFERROR(VLOOKUP($AM234,個性タイプマスタ!$A$5:$P$100,13,FALSE),1),2)</f>
        <v>8.6</v>
      </c>
      <c r="W234" s="59">
        <v>39</v>
      </c>
      <c r="X234" s="59" t="str">
        <f>IFERROR(VLOOKUP($AM234,個性タイプマスタ!$A$5:$P$100,2,FALSE),"Ranged")</f>
        <v>Ranged</v>
      </c>
      <c r="Y234" s="56">
        <f>IFERROR(VLOOKUP($AM234,個性タイプマスタ!$A$5:$P$100,3,FALSE),1)</f>
        <v>0.89</v>
      </c>
      <c r="Z234" s="56">
        <f>IFERROR(VLOOKUP($AM234,個性タイプマスタ!$A$5:$P$100,4,FALSE),1)</f>
        <v>0.92</v>
      </c>
      <c r="AA234" s="56">
        <f>IFERROR(VLOOKUP($AM234,個性タイプマスタ!$A$5:$P$100,5,FALSE),1)</f>
        <v>0.91</v>
      </c>
      <c r="AB234" s="56">
        <f>IFERROR(VLOOKUP($AM234,個性タイプマスタ!$A$5:$P$100,6,FALSE),1)</f>
        <v>1.1499999999999999</v>
      </c>
      <c r="AC234" s="56">
        <f>IFERROR(VLOOKUP($AM234,個性タイプマスタ!$A$5:$P$100,7,FALSE),1)</f>
        <v>1.23</v>
      </c>
      <c r="AD234" s="56">
        <f>IFERROR(VLOOKUP($AM234,個性タイプマスタ!$A$5:$P$100,8,FALSE),1)</f>
        <v>0.74</v>
      </c>
      <c r="AE234" s="60">
        <f>IFERROR(D234/設定!$B$5,1)</f>
        <v>37.404299999999999</v>
      </c>
      <c r="AF234" s="60">
        <f>1+設定!$B$13*((I234/設定!$B$8+J234/設定!$B$9)/(2*AE234))</f>
        <v>1.2741997577818593</v>
      </c>
      <c r="AG234" s="60">
        <f>MAX(0.7,1+設定!$B$14*(O234/IF(X234="Melee",1.5,2.5)-1))</f>
        <v>1.0276000000000001</v>
      </c>
      <c r="AH234" s="53">
        <f t="shared" si="13"/>
        <v>788.35352575000013</v>
      </c>
      <c r="AI234" s="53">
        <f>E234*AF234*(1+設定!$B$18*AVERAGE(P234:U234))</f>
        <v>4254.536426636776</v>
      </c>
      <c r="AJ234" s="61">
        <f>設定!$B$5*SQRT((AH234/(設定!$B$7*設定!$B$10*(1+設定!$B$11*(設定!$B$12-1))))*(AI234/(設定!$B$6*(1+設定!$B$13))))</f>
        <v>3739.5278237045673</v>
      </c>
      <c r="AK234" s="62">
        <f t="shared" si="14"/>
        <v>-2.4119587732762682E-4</v>
      </c>
      <c r="AL234" s="63">
        <f t="shared" si="15"/>
        <v>2767.9182000000001</v>
      </c>
      <c r="AM234" s="64" t="s">
        <v>934</v>
      </c>
      <c r="AN234" s="54">
        <f>MAX(1,ROUND((設定!$B$7*設定!$B$10*(1+設定!$B$11*(設定!$B$12-1)))*AE234^2*(設定!$B$6*(1+設定!$B$13))/(AI234*N234*(1+K234*(L234-1))*AG234),0))</f>
        <v>643</v>
      </c>
      <c r="AO234" s="65" t="str">
        <f>IF($A234="","",IF(COUNTIF(個性タイプマスタ!$A$5:$A$100,$AM234)&gt;0,"OK","未登録"))</f>
        <v>OK</v>
      </c>
      <c r="AP234" s="67" t="str">
        <f>IF($A234="","",IF(COUNTIF(属性耐性マスタ!$A$5:$A$11,$C234)&gt;0,"OK","未登録"))</f>
        <v>OK</v>
      </c>
    </row>
    <row r="235" spans="1:42">
      <c r="A235" s="66" t="s">
        <v>570</v>
      </c>
      <c r="B235" s="51" t="s">
        <v>571</v>
      </c>
      <c r="C235" s="109" t="s">
        <v>874</v>
      </c>
      <c r="D235" s="53">
        <f>ROUND(設定!$B$5*POWER($D$2,W235-1),2)</f>
        <v>3740.43</v>
      </c>
      <c r="E235" s="54">
        <f>MAX(1,ROUND(設定!$B$6*AE235*Y235,0))</f>
        <v>5611</v>
      </c>
      <c r="F235" s="54">
        <f>MAX(0,ROUND(設定!$B$7*AE235*設定!$B$15*IF(X235="Melee",0.6,1.35)*IFERROR(VLOOKUP($AM235,個性タイプマスタ!$A$5:$P$100,14,FALSE),1),0))</f>
        <v>682</v>
      </c>
      <c r="G235" s="54">
        <f>IF(X235="Melee",AN235,MAX(1,ROUND(AN235*設定!$B$16*IFERROR(VLOOKUP($AM235,個性タイプマスタ!$A$5:$P$100,15,FALSE),1),0)))</f>
        <v>136</v>
      </c>
      <c r="H235" s="54">
        <f>IF(X235="Ranged",AN235,MAX(1,ROUND(AN235*設定!$B$16*IFERROR(VLOOKUP($AM235,個性タイプマスタ!$A$5:$P$100,15,FALSE),1),0)))</f>
        <v>302</v>
      </c>
      <c r="I235" s="54">
        <f>MAX(0,ROUND(設定!$B$8*AE235*Z235,0))</f>
        <v>449</v>
      </c>
      <c r="J235" s="54">
        <f>MAX(0,ROUND(設定!$B$9*AE235*AA235,0))</f>
        <v>419</v>
      </c>
      <c r="K235" s="55">
        <f>IFERROR(VLOOKUP($AM235,個性タイプマスタ!$A$5:$P$100,9,FALSE),0.05)</f>
        <v>0.1</v>
      </c>
      <c r="L235" s="56">
        <f>IFERROR(VLOOKUP($AM235,個性タイプマスタ!$A$5:$P$100,10,FALSE),1.5)</f>
        <v>1.75</v>
      </c>
      <c r="M235" s="56">
        <f>IFERROR(VLOOKUP($AM235,個性タイプマスタ!$A$5:$P$100,11,FALSE),2)</f>
        <v>2.4</v>
      </c>
      <c r="N235" s="57">
        <f>MAX(0.1,ROUND(設定!$B$10*AB235,3))</f>
        <v>1.2</v>
      </c>
      <c r="O235" s="57">
        <f t="shared" si="12"/>
        <v>3</v>
      </c>
      <c r="P235" s="58">
        <f>MAX(-10,MIN(0.8,IFERROR(INDEX(属性耐性マスタ!$B$5:$G$11,MATCH($C235,属性耐性マスタ!$A$5:$A$11,0),1),0)+IFERROR(VLOOKUP($AM235,個性タイプマスタ!$A$5:$P$100,12,FALSE),0)))</f>
        <v>0.08</v>
      </c>
      <c r="Q235" s="58">
        <f>MAX(-10,MIN(0.8,IFERROR(INDEX(属性耐性マスタ!$B$5:$G$11,MATCH($C235,属性耐性マスタ!$A$5:$A$11,0),2),0)+IFERROR(VLOOKUP($AM235,個性タイプマスタ!$A$5:$P$100,12,FALSE),0)))</f>
        <v>0.08</v>
      </c>
      <c r="R235" s="58">
        <f>MAX(-10,MIN(0.8,IFERROR(INDEX(属性耐性マスタ!$B$5:$G$11,MATCH($C235,属性耐性マスタ!$A$5:$A$11,0),3),0)+IFERROR(VLOOKUP($AM235,個性タイプマスタ!$A$5:$P$100,12,FALSE),0)))</f>
        <v>0.08</v>
      </c>
      <c r="S235" s="58">
        <f>MAX(-10,MIN(0.8,IFERROR(INDEX(属性耐性マスタ!$B$5:$G$11,MATCH($C235,属性耐性マスタ!$A$5:$A$11,0),4),0)+IFERROR(VLOOKUP($AM235,個性タイプマスタ!$A$5:$P$100,12,FALSE),0)))</f>
        <v>0.08</v>
      </c>
      <c r="T235" s="58">
        <f>MAX(-10,MIN(0.8,IFERROR(INDEX(属性耐性マスタ!$B$5:$G$11,MATCH($C235,属性耐性マスタ!$A$5:$A$11,0),5),0)+IFERROR(VLOOKUP($AM235,個性タイプマスタ!$A$5:$P$100,12,FALSE),0)))</f>
        <v>-2.0000000000000004E-2</v>
      </c>
      <c r="U235" s="58">
        <f>MAX(-10,MIN(0.8,IFERROR(INDEX(属性耐性マスタ!$B$5:$G$11,MATCH($C235,属性耐性マスタ!$A$5:$A$11,0),6),0)+IFERROR(VLOOKUP($AM235,個性タイプマスタ!$A$5:$P$100,12,FALSE),0)))</f>
        <v>0.28000000000000003</v>
      </c>
      <c r="V235" s="59">
        <f>ROUND(設定!$B$19*IFERROR(VLOOKUP($AM235,個性タイプマスタ!$A$5:$P$100,13,FALSE),1),2)</f>
        <v>4</v>
      </c>
      <c r="W235" s="59">
        <v>39</v>
      </c>
      <c r="X235" s="59" t="str">
        <f>IFERROR(VLOOKUP($AM235,個性タイプマスタ!$A$5:$P$100,2,FALSE),"Ranged")</f>
        <v>Ranged</v>
      </c>
      <c r="Y235" s="56">
        <f>IFERROR(VLOOKUP($AM235,個性タイプマスタ!$A$5:$P$100,3,FALSE),1)</f>
        <v>1.5</v>
      </c>
      <c r="Z235" s="56">
        <f>IFERROR(VLOOKUP($AM235,個性タイプマスタ!$A$5:$P$100,4,FALSE),1)</f>
        <v>1.5</v>
      </c>
      <c r="AA235" s="56">
        <f>IFERROR(VLOOKUP($AM235,個性タイプマスタ!$A$5:$P$100,5,FALSE),1)</f>
        <v>1.4</v>
      </c>
      <c r="AB235" s="56">
        <f>IFERROR(VLOOKUP($AM235,個性タイプマスタ!$A$5:$P$100,6,FALSE),1)</f>
        <v>1.2</v>
      </c>
      <c r="AC235" s="56">
        <f>IFERROR(VLOOKUP($AM235,個性タイプマスタ!$A$5:$P$100,7,FALSE),1)</f>
        <v>1.2</v>
      </c>
      <c r="AD235" s="56">
        <f>IFERROR(VLOOKUP($AM235,個性タイプマスタ!$A$5:$P$100,8,FALSE),1)</f>
        <v>1</v>
      </c>
      <c r="AE235" s="60">
        <f>IFERROR(D235/設定!$B$5,1)</f>
        <v>37.404299999999999</v>
      </c>
      <c r="AF235" s="60">
        <f>1+設定!$B$13*((I235/設定!$B$8+J235/設定!$B$9)/(2*AE235))</f>
        <v>1.4351104017452538</v>
      </c>
      <c r="AG235" s="60">
        <f>MAX(0.7,1+設定!$B$14*(O235/IF(X235="Melee",1.5,2.5)-1))</f>
        <v>1.024</v>
      </c>
      <c r="AH235" s="53">
        <f t="shared" si="13"/>
        <v>398.92991999999998</v>
      </c>
      <c r="AI235" s="53">
        <f>E235*AF235*(1+設定!$B$18*AVERAGE(P235:U235))</f>
        <v>8402.6840583849989</v>
      </c>
      <c r="AJ235" s="61">
        <f>設定!$B$5*SQRT((AH235/(設定!$B$7*設定!$B$10*(1+設定!$B$11*(設定!$B$12-1))))*(AI235/(設定!$B$6*(1+設定!$B$13))))</f>
        <v>3738.4145707785528</v>
      </c>
      <c r="AK235" s="62">
        <f t="shared" si="14"/>
        <v>-5.3882286834583404E-4</v>
      </c>
      <c r="AL235" s="63">
        <f t="shared" si="15"/>
        <v>3740.43</v>
      </c>
      <c r="AM235" s="64" t="s">
        <v>890</v>
      </c>
      <c r="AN235" s="54">
        <f>MAX(1,ROUND((設定!$B$7*設定!$B$10*(1+設定!$B$11*(設定!$B$12-1)))*AE235^2*(設定!$B$6*(1+設定!$B$13))/(AI235*N235*(1+K235*(L235-1))*AG235),0))</f>
        <v>302</v>
      </c>
      <c r="AO235" s="65" t="str">
        <f>IF($A235="","",IF(COUNTIF(個性タイプマスタ!$A$5:$A$100,$AM235)&gt;0,"OK","未登録"))</f>
        <v>OK</v>
      </c>
      <c r="AP235" s="67" t="str">
        <f>IF($A235="","",IF(COUNTIF(属性耐性マスタ!$A$5:$A$11,$C235)&gt;0,"OK","未登録"))</f>
        <v>OK</v>
      </c>
    </row>
    <row r="236" spans="1:42">
      <c r="A236" s="66" t="s">
        <v>572</v>
      </c>
      <c r="B236" s="51" t="s">
        <v>573</v>
      </c>
      <c r="C236" s="109" t="s">
        <v>111</v>
      </c>
      <c r="D236" s="53">
        <f>ROUND(設定!$B$5*POWER($D$2,W236-1),2)</f>
        <v>3740.43</v>
      </c>
      <c r="E236" s="54">
        <f>MAX(1,ROUND(設定!$B$6*AE236*Y236,0))</f>
        <v>2618</v>
      </c>
      <c r="F236" s="54">
        <f>MAX(0,ROUND(設定!$B$7*AE236*設定!$B$15*IF(X236="Melee",0.6,1.35)*IFERROR(VLOOKUP($AM236,個性タイプマスタ!$A$5:$P$100,14,FALSE),1),0))</f>
        <v>206</v>
      </c>
      <c r="G236" s="54">
        <f>IF(X236="Melee",AN236,MAX(1,ROUND(AN236*設定!$B$16*IFERROR(VLOOKUP($AM236,個性タイプマスタ!$A$5:$P$100,15,FALSE),1),0)))</f>
        <v>779</v>
      </c>
      <c r="H236" s="54">
        <f>IF(X236="Ranged",AN236,MAX(1,ROUND(AN236*設定!$B$16*IFERROR(VLOOKUP($AM236,個性タイプマスタ!$A$5:$P$100,15,FALSE),1),0)))</f>
        <v>263</v>
      </c>
      <c r="I236" s="54">
        <f>MAX(0,ROUND(設定!$B$8*AE236*Z236,0))</f>
        <v>227</v>
      </c>
      <c r="J236" s="54">
        <f>MAX(0,ROUND(設定!$B$9*AE236*AA236,0))</f>
        <v>233</v>
      </c>
      <c r="K236" s="55">
        <f>IFERROR(VLOOKUP($AM236,個性タイプマスタ!$A$5:$P$100,9,FALSE),0.05)</f>
        <v>0.11</v>
      </c>
      <c r="L236" s="56">
        <f>IFERROR(VLOOKUP($AM236,個性タイプマスタ!$A$5:$P$100,10,FALSE),1.5)</f>
        <v>1.58</v>
      </c>
      <c r="M236" s="56">
        <f>IFERROR(VLOOKUP($AM236,個性タイプマスタ!$A$5:$P$100,11,FALSE),2)</f>
        <v>4.45</v>
      </c>
      <c r="N236" s="57">
        <f>MAX(0.1,ROUND(設定!$B$10*AB236,3))</f>
        <v>1.3</v>
      </c>
      <c r="O236" s="57">
        <f t="shared" si="12"/>
        <v>1.32</v>
      </c>
      <c r="P236" s="58">
        <f>MAX(-10,MIN(0.8,IFERROR(INDEX(属性耐性マスタ!$B$5:$G$11,MATCH($C236,属性耐性マスタ!$A$5:$A$11,0),1),0)+IFERROR(VLOOKUP($AM236,個性タイプマスタ!$A$5:$P$100,12,FALSE),0)))</f>
        <v>0.14000000000000001</v>
      </c>
      <c r="Q236" s="58">
        <f>MAX(-10,MIN(0.8,IFERROR(INDEX(属性耐性マスタ!$B$5:$G$11,MATCH($C236,属性耐性マスタ!$A$5:$A$11,0),2),0)+IFERROR(VLOOKUP($AM236,個性タイプマスタ!$A$5:$P$100,12,FALSE),0)))</f>
        <v>-0.16</v>
      </c>
      <c r="R236" s="58">
        <f>MAX(-10,MIN(0.8,IFERROR(INDEX(属性耐性マスタ!$B$5:$G$11,MATCH($C236,属性耐性マスタ!$A$5:$A$11,0),3),0)+IFERROR(VLOOKUP($AM236,個性タイプマスタ!$A$5:$P$100,12,FALSE),0)))</f>
        <v>-0.06</v>
      </c>
      <c r="S236" s="58">
        <f>MAX(-10,MIN(0.8,IFERROR(INDEX(属性耐性マスタ!$B$5:$G$11,MATCH($C236,属性耐性マスタ!$A$5:$A$11,0),4),0)+IFERROR(VLOOKUP($AM236,個性タイプマスタ!$A$5:$P$100,12,FALSE),0)))</f>
        <v>-0.06</v>
      </c>
      <c r="T236" s="58">
        <f>MAX(-10,MIN(0.8,IFERROR(INDEX(属性耐性マスタ!$B$5:$G$11,MATCH($C236,属性耐性マスタ!$A$5:$A$11,0),5),0)+IFERROR(VLOOKUP($AM236,個性タイプマスタ!$A$5:$P$100,12,FALSE),0)))</f>
        <v>-0.06</v>
      </c>
      <c r="U236" s="58">
        <f>MAX(-10,MIN(0.8,IFERROR(INDEX(属性耐性マスタ!$B$5:$G$11,MATCH($C236,属性耐性マスタ!$A$5:$A$11,0),6),0)+IFERROR(VLOOKUP($AM236,個性タイプマスタ!$A$5:$P$100,12,FALSE),0)))</f>
        <v>-0.06</v>
      </c>
      <c r="V236" s="59">
        <f>ROUND(設定!$B$19*IFERROR(VLOOKUP($AM236,個性タイプマスタ!$A$5:$P$100,13,FALSE),1),2)</f>
        <v>5.6</v>
      </c>
      <c r="W236" s="59">
        <v>39</v>
      </c>
      <c r="X236" s="59" t="str">
        <f>IFERROR(VLOOKUP($AM236,個性タイプマスタ!$A$5:$P$100,2,FALSE),"Ranged")</f>
        <v>Melee</v>
      </c>
      <c r="Y236" s="56">
        <f>IFERROR(VLOOKUP($AM236,個性タイプマスタ!$A$5:$P$100,3,FALSE),1)</f>
        <v>0.7</v>
      </c>
      <c r="Z236" s="56">
        <f>IFERROR(VLOOKUP($AM236,個性タイプマスタ!$A$5:$P$100,4,FALSE),1)</f>
        <v>0.76</v>
      </c>
      <c r="AA236" s="56">
        <f>IFERROR(VLOOKUP($AM236,個性タイプマスタ!$A$5:$P$100,5,FALSE),1)</f>
        <v>0.78</v>
      </c>
      <c r="AB236" s="56">
        <f>IFERROR(VLOOKUP($AM236,個性タイプマスタ!$A$5:$P$100,6,FALSE),1)</f>
        <v>1.3</v>
      </c>
      <c r="AC236" s="56">
        <f>IFERROR(VLOOKUP($AM236,個性タイプマスタ!$A$5:$P$100,7,FALSE),1)</f>
        <v>0.88</v>
      </c>
      <c r="AD236" s="56">
        <f>IFERROR(VLOOKUP($AM236,個性タイプマスタ!$A$5:$P$100,8,FALSE),1)</f>
        <v>0.62</v>
      </c>
      <c r="AE236" s="60">
        <f>IFERROR(D236/設定!$B$5,1)</f>
        <v>37.404299999999999</v>
      </c>
      <c r="AF236" s="60">
        <f>1+設定!$B$13*((I236/設定!$B$8+J236/設定!$B$9)/(2*AE236))</f>
        <v>1.2305884617543972</v>
      </c>
      <c r="AG236" s="60">
        <f>MAX(0.7,1+設定!$B$14*(O236/IF(X236="Melee",1.5,2.5)-1))</f>
        <v>0.98560000000000003</v>
      </c>
      <c r="AH236" s="53">
        <f t="shared" si="13"/>
        <v>1061.7969922560003</v>
      </c>
      <c r="AI236" s="53">
        <f>E236*AF236*(1+設定!$B$18*AVERAGE(P236:U236))</f>
        <v>3158.8578213119881</v>
      </c>
      <c r="AJ236" s="61">
        <f>設定!$B$5*SQRT((AH236/(設定!$B$7*設定!$B$10*(1+設定!$B$11*(設定!$B$12-1))))*(AI236/(設定!$B$6*(1+設定!$B$13))))</f>
        <v>3739.5205439769916</v>
      </c>
      <c r="AK236" s="62">
        <f t="shared" si="14"/>
        <v>-2.4314210478693088E-4</v>
      </c>
      <c r="AL236" s="63">
        <f t="shared" si="15"/>
        <v>2319.0666000000001</v>
      </c>
      <c r="AM236" s="64" t="s">
        <v>950</v>
      </c>
      <c r="AN236" s="54">
        <f>MAX(1,ROUND((設定!$B$7*設定!$B$10*(1+設定!$B$11*(設定!$B$12-1)))*AE236^2*(設定!$B$6*(1+設定!$B$13))/(AI236*N236*(1+K236*(L236-1))*AG236),0))</f>
        <v>779</v>
      </c>
      <c r="AO236" s="65" t="str">
        <f>IF($A236="","",IF(COUNTIF(個性タイプマスタ!$A$5:$A$100,$AM236)&gt;0,"OK","未登録"))</f>
        <v>OK</v>
      </c>
      <c r="AP236" s="67" t="str">
        <f>IF($A236="","",IF(COUNTIF(属性耐性マスタ!$A$5:$A$11,$C236)&gt;0,"OK","未登録"))</f>
        <v>OK</v>
      </c>
    </row>
    <row r="237" spans="1:42">
      <c r="A237" s="66" t="s">
        <v>574</v>
      </c>
      <c r="B237" s="51" t="s">
        <v>575</v>
      </c>
      <c r="C237" s="109" t="s">
        <v>121</v>
      </c>
      <c r="D237" s="53">
        <f>ROUND(設定!$B$5*POWER($D$2,W237-1),2)</f>
        <v>3740.43</v>
      </c>
      <c r="E237" s="54">
        <f>MAX(1,ROUND(設定!$B$6*AE237*Y237,0))</f>
        <v>4189</v>
      </c>
      <c r="F237" s="54">
        <f>MAX(0,ROUND(設定!$B$7*AE237*設定!$B$15*IF(X237="Melee",0.6,1.35)*IFERROR(VLOOKUP($AM237,個性タイプマスタ!$A$5:$P$100,14,FALSE),1),0))</f>
        <v>230</v>
      </c>
      <c r="G237" s="54">
        <f>IF(X237="Melee",AN237,MAX(1,ROUND(AN237*設定!$B$16*IFERROR(VLOOKUP($AM237,個性タイプマスタ!$A$5:$P$100,15,FALSE),1),0)))</f>
        <v>544</v>
      </c>
      <c r="H237" s="54">
        <f>IF(X237="Ranged",AN237,MAX(1,ROUND(AN237*設定!$B$16*IFERROR(VLOOKUP($AM237,個性タイプマスタ!$A$5:$P$100,15,FALSE),1),0)))</f>
        <v>191</v>
      </c>
      <c r="I237" s="54">
        <f>MAX(0,ROUND(設定!$B$8*AE237*Z237,0))</f>
        <v>377</v>
      </c>
      <c r="J237" s="54">
        <f>MAX(0,ROUND(設定!$B$9*AE237*AA237,0))</f>
        <v>371</v>
      </c>
      <c r="K237" s="55">
        <f>IFERROR(VLOOKUP($AM237,個性タイプマスタ!$A$5:$P$100,9,FALSE),0.05)</f>
        <v>0.04</v>
      </c>
      <c r="L237" s="56">
        <f>IFERROR(VLOOKUP($AM237,個性タイプマスタ!$A$5:$P$100,10,FALSE),1.5)</f>
        <v>1.4</v>
      </c>
      <c r="M237" s="56">
        <f>IFERROR(VLOOKUP($AM237,個性タイプマスタ!$A$5:$P$100,11,FALSE),2)</f>
        <v>2.4500000000000002</v>
      </c>
      <c r="N237" s="57">
        <f>MAX(0.1,ROUND(設定!$B$10*AB237,3))</f>
        <v>1.03</v>
      </c>
      <c r="O237" s="57">
        <f t="shared" si="12"/>
        <v>1.47</v>
      </c>
      <c r="P237" s="58">
        <f>MAX(-10,MIN(0.8,IFERROR(INDEX(属性耐性マスタ!$B$5:$G$11,MATCH($C237,属性耐性マスタ!$A$5:$A$11,0),1),0)+IFERROR(VLOOKUP($AM237,個性タイプマスタ!$A$5:$P$100,12,FALSE),0)))</f>
        <v>0.04</v>
      </c>
      <c r="Q237" s="58">
        <f>MAX(-10,MIN(0.8,IFERROR(INDEX(属性耐性マスタ!$B$5:$G$11,MATCH($C237,属性耐性マスタ!$A$5:$A$11,0),2),0)+IFERROR(VLOOKUP($AM237,個性タイプマスタ!$A$5:$P$100,12,FALSE),0)))</f>
        <v>0.04</v>
      </c>
      <c r="R237" s="58">
        <f>MAX(-10,MIN(0.8,IFERROR(INDEX(属性耐性マスタ!$B$5:$G$11,MATCH($C237,属性耐性マスタ!$A$5:$A$11,0),3),0)+IFERROR(VLOOKUP($AM237,個性タイプマスタ!$A$5:$P$100,12,FALSE),0)))</f>
        <v>0.04</v>
      </c>
      <c r="S237" s="58">
        <f>MAX(-10,MIN(0.8,IFERROR(INDEX(属性耐性マスタ!$B$5:$G$11,MATCH($C237,属性耐性マスタ!$A$5:$A$11,0),4),0)+IFERROR(VLOOKUP($AM237,個性タイプマスタ!$A$5:$P$100,12,FALSE),0)))</f>
        <v>0.04</v>
      </c>
      <c r="T237" s="58">
        <f>MAX(-10,MIN(0.8,IFERROR(INDEX(属性耐性マスタ!$B$5:$G$11,MATCH($C237,属性耐性マスタ!$A$5:$A$11,0),5),0)+IFERROR(VLOOKUP($AM237,個性タイプマスタ!$A$5:$P$100,12,FALSE),0)))</f>
        <v>0.24000000000000002</v>
      </c>
      <c r="U237" s="58">
        <f>MAX(-10,MIN(0.8,IFERROR(INDEX(属性耐性マスタ!$B$5:$G$11,MATCH($C237,属性耐性マスタ!$A$5:$A$11,0),6),0)+IFERROR(VLOOKUP($AM237,個性タイプマスタ!$A$5:$P$100,12,FALSE),0)))</f>
        <v>-6.0000000000000005E-2</v>
      </c>
      <c r="V237" s="59">
        <f>ROUND(設定!$B$19*IFERROR(VLOOKUP($AM237,個性タイプマスタ!$A$5:$P$100,13,FALSE),1),2)</f>
        <v>4</v>
      </c>
      <c r="W237" s="59">
        <v>39</v>
      </c>
      <c r="X237" s="59" t="str">
        <f>IFERROR(VLOOKUP($AM237,個性タイプマスタ!$A$5:$P$100,2,FALSE),"Ranged")</f>
        <v>Melee</v>
      </c>
      <c r="Y237" s="56">
        <f>IFERROR(VLOOKUP($AM237,個性タイプマスタ!$A$5:$P$100,3,FALSE),1)</f>
        <v>1.1200000000000001</v>
      </c>
      <c r="Z237" s="56">
        <f>IFERROR(VLOOKUP($AM237,個性タイプマスタ!$A$5:$P$100,4,FALSE),1)</f>
        <v>1.26</v>
      </c>
      <c r="AA237" s="56">
        <f>IFERROR(VLOOKUP($AM237,個性タイプマスタ!$A$5:$P$100,5,FALSE),1)</f>
        <v>1.24</v>
      </c>
      <c r="AB237" s="56">
        <f>IFERROR(VLOOKUP($AM237,個性タイプマスタ!$A$5:$P$100,6,FALSE),1)</f>
        <v>1.03</v>
      </c>
      <c r="AC237" s="56">
        <f>IFERROR(VLOOKUP($AM237,個性タイプマスタ!$A$5:$P$100,7,FALSE),1)</f>
        <v>0.98</v>
      </c>
      <c r="AD237" s="56">
        <f>IFERROR(VLOOKUP($AM237,個性タイプマスタ!$A$5:$P$100,8,FALSE),1)</f>
        <v>0.82</v>
      </c>
      <c r="AE237" s="60">
        <f>IFERROR(D237/設定!$B$5,1)</f>
        <v>37.404299999999999</v>
      </c>
      <c r="AF237" s="60">
        <f>1+設定!$B$13*((I237/設定!$B$8+J237/設定!$B$9)/(2*AE237))</f>
        <v>1.3749568899832372</v>
      </c>
      <c r="AG237" s="60">
        <f>MAX(0.7,1+設定!$B$14*(O237/IF(X237="Melee",1.5,2.5)-1))</f>
        <v>0.99760000000000004</v>
      </c>
      <c r="AH237" s="53">
        <f t="shared" si="13"/>
        <v>567.91883571200003</v>
      </c>
      <c r="AI237" s="53">
        <f>E237*AF237*(1+設定!$B$18*AVERAGE(P237:U237))</f>
        <v>5906.5666196493448</v>
      </c>
      <c r="AJ237" s="61">
        <f>設定!$B$5*SQRT((AH237/(設定!$B$7*設定!$B$10*(1+設定!$B$11*(設定!$B$12-1))))*(AI237/(設定!$B$6*(1+設定!$B$13))))</f>
        <v>3739.734995269187</v>
      </c>
      <c r="AK237" s="62">
        <f t="shared" si="14"/>
        <v>-1.858087788871865E-4</v>
      </c>
      <c r="AL237" s="63">
        <f t="shared" si="15"/>
        <v>3067.1525999999999</v>
      </c>
      <c r="AM237" s="64" t="s">
        <v>964</v>
      </c>
      <c r="AN237" s="54">
        <f>MAX(1,ROUND((設定!$B$7*設定!$B$10*(1+設定!$B$11*(設定!$B$12-1)))*AE237^2*(設定!$B$6*(1+設定!$B$13))/(AI237*N237*(1+K237*(L237-1))*AG237),0))</f>
        <v>544</v>
      </c>
      <c r="AO237" s="65" t="str">
        <f>IF($A237="","",IF(COUNTIF(個性タイプマスタ!$A$5:$A$100,$AM237)&gt;0,"OK","未登録"))</f>
        <v>OK</v>
      </c>
      <c r="AP237" s="67" t="str">
        <f>IF($A237="","",IF(COUNTIF(属性耐性マスタ!$A$5:$A$11,$C237)&gt;0,"OK","未登録"))</f>
        <v>OK</v>
      </c>
    </row>
    <row r="238" spans="1:42">
      <c r="A238" s="66" t="s">
        <v>576</v>
      </c>
      <c r="B238" s="51" t="s">
        <v>577</v>
      </c>
      <c r="C238" s="109" t="s">
        <v>874</v>
      </c>
      <c r="D238" s="53">
        <f>ROUND(設定!$B$5*POWER($D$2,W238-1),2)</f>
        <v>3740.43</v>
      </c>
      <c r="E238" s="54">
        <f>MAX(1,ROUND(設定!$B$6*AE238*Y238,0))</f>
        <v>2057</v>
      </c>
      <c r="F238" s="54">
        <f>MAX(0,ROUND(設定!$B$7*AE238*設定!$B$15*IF(X238="Melee",0.6,1.35)*IFERROR(VLOOKUP($AM238,個性タイプマスタ!$A$5:$P$100,14,FALSE),1),0))</f>
        <v>818</v>
      </c>
      <c r="G238" s="54">
        <f>IF(X238="Melee",AN238,MAX(1,ROUND(AN238*設定!$B$16*IFERROR(VLOOKUP($AM238,個性タイプマスタ!$A$5:$P$100,15,FALSE),1),0)))</f>
        <v>384</v>
      </c>
      <c r="H238" s="54">
        <f>IF(X238="Ranged",AN238,MAX(1,ROUND(AN238*設定!$B$16*IFERROR(VLOOKUP($AM238,個性タイプマスタ!$A$5:$P$100,15,FALSE),1),0)))</f>
        <v>1068</v>
      </c>
      <c r="I238" s="54">
        <f>MAX(0,ROUND(設定!$B$8*AE238*Z238,0))</f>
        <v>434</v>
      </c>
      <c r="J238" s="54">
        <f>MAX(0,ROUND(設定!$B$9*AE238*AA238,0))</f>
        <v>673</v>
      </c>
      <c r="K238" s="55">
        <f>IFERROR(VLOOKUP($AM238,個性タイプマスタ!$A$5:$P$100,9,FALSE),0.05)</f>
        <v>0.04</v>
      </c>
      <c r="L238" s="56">
        <f>IFERROR(VLOOKUP($AM238,個性タイプマスタ!$A$5:$P$100,10,FALSE),1.5)</f>
        <v>1.38</v>
      </c>
      <c r="M238" s="56">
        <f>IFERROR(VLOOKUP($AM238,個性タイプマスタ!$A$5:$P$100,11,FALSE),2)</f>
        <v>2.2000000000000002</v>
      </c>
      <c r="N238" s="57">
        <f>MAX(0.1,ROUND(設定!$B$10*AB238,3))</f>
        <v>0.88</v>
      </c>
      <c r="O238" s="57">
        <f t="shared" si="12"/>
        <v>3.15</v>
      </c>
      <c r="P238" s="58">
        <f>MAX(-10,MIN(0.8,IFERROR(INDEX(属性耐性マスタ!$B$5:$G$11,MATCH($C238,属性耐性マスタ!$A$5:$A$11,0),1),0)+IFERROR(VLOOKUP($AM238,個性タイプマスタ!$A$5:$P$100,12,FALSE),0)))</f>
        <v>0.13</v>
      </c>
      <c r="Q238" s="58">
        <f>MAX(-10,MIN(0.8,IFERROR(INDEX(属性耐性マスタ!$B$5:$G$11,MATCH($C238,属性耐性マスタ!$A$5:$A$11,0),2),0)+IFERROR(VLOOKUP($AM238,個性タイプマスタ!$A$5:$P$100,12,FALSE),0)))</f>
        <v>0.13</v>
      </c>
      <c r="R238" s="58">
        <f>MAX(-10,MIN(0.8,IFERROR(INDEX(属性耐性マスタ!$B$5:$G$11,MATCH($C238,属性耐性マスタ!$A$5:$A$11,0),3),0)+IFERROR(VLOOKUP($AM238,個性タイプマスタ!$A$5:$P$100,12,FALSE),0)))</f>
        <v>0.13</v>
      </c>
      <c r="S238" s="58">
        <f>MAX(-10,MIN(0.8,IFERROR(INDEX(属性耐性マスタ!$B$5:$G$11,MATCH($C238,属性耐性マスタ!$A$5:$A$11,0),4),0)+IFERROR(VLOOKUP($AM238,個性タイプマスタ!$A$5:$P$100,12,FALSE),0)))</f>
        <v>0.13</v>
      </c>
      <c r="T238" s="58">
        <f>MAX(-10,MIN(0.8,IFERROR(INDEX(属性耐性マスタ!$B$5:$G$11,MATCH($C238,属性耐性マスタ!$A$5:$A$11,0),5),0)+IFERROR(VLOOKUP($AM238,個性タイプマスタ!$A$5:$P$100,12,FALSE),0)))</f>
        <v>0.03</v>
      </c>
      <c r="U238" s="58">
        <f>MAX(-10,MIN(0.8,IFERROR(INDEX(属性耐性マスタ!$B$5:$G$11,MATCH($C238,属性耐性マスタ!$A$5:$A$11,0),6),0)+IFERROR(VLOOKUP($AM238,個性タイプマスタ!$A$5:$P$100,12,FALSE),0)))</f>
        <v>0.33</v>
      </c>
      <c r="V238" s="59">
        <f>ROUND(設定!$B$19*IFERROR(VLOOKUP($AM238,個性タイプマスタ!$A$5:$P$100,13,FALSE),1),2)</f>
        <v>4.4800000000000004</v>
      </c>
      <c r="W238" s="59">
        <v>39</v>
      </c>
      <c r="X238" s="59" t="str">
        <f>IFERROR(VLOOKUP($AM238,個性タイプマスタ!$A$5:$P$100,2,FALSE),"Ranged")</f>
        <v>Ranged</v>
      </c>
      <c r="Y238" s="56">
        <f>IFERROR(VLOOKUP($AM238,個性タイプマスタ!$A$5:$P$100,3,FALSE),1)</f>
        <v>0.55000000000000004</v>
      </c>
      <c r="Z238" s="56">
        <f>IFERROR(VLOOKUP($AM238,個性タイプマスタ!$A$5:$P$100,4,FALSE),1)</f>
        <v>1.45</v>
      </c>
      <c r="AA238" s="56">
        <f>IFERROR(VLOOKUP($AM238,個性タイプマスタ!$A$5:$P$100,5,FALSE),1)</f>
        <v>2.25</v>
      </c>
      <c r="AB238" s="56">
        <f>IFERROR(VLOOKUP($AM238,個性タイプマスタ!$A$5:$P$100,6,FALSE),1)</f>
        <v>0.88</v>
      </c>
      <c r="AC238" s="56">
        <f>IFERROR(VLOOKUP($AM238,個性タイプマスタ!$A$5:$P$100,7,FALSE),1)</f>
        <v>1.26</v>
      </c>
      <c r="AD238" s="56">
        <f>IFERROR(VLOOKUP($AM238,個性タイプマスタ!$A$5:$P$100,8,FALSE),1)</f>
        <v>0.75</v>
      </c>
      <c r="AE238" s="60">
        <f>IFERROR(D238/設定!$B$5,1)</f>
        <v>37.404299999999999</v>
      </c>
      <c r="AF238" s="60">
        <f>1+設定!$B$13*((I238/設定!$B$8+J238/設定!$B$9)/(2*AE238))</f>
        <v>1.5549161460046037</v>
      </c>
      <c r="AG238" s="60">
        <f>MAX(0.7,1+設定!$B$14*(O238/IF(X238="Melee",1.5,2.5)-1))</f>
        <v>1.0311999999999999</v>
      </c>
      <c r="AH238" s="53">
        <f t="shared" si="13"/>
        <v>983.89428572160011</v>
      </c>
      <c r="AI238" s="53">
        <f>E238*AF238*(1+設定!$B$18*AVERAGE(P238:U238))</f>
        <v>3409.5610381453471</v>
      </c>
      <c r="AJ238" s="61">
        <f>設定!$B$5*SQRT((AH238/(設定!$B$7*設定!$B$10*(1+設定!$B$11*(設定!$B$12-1))))*(AI238/(設定!$B$6*(1+設定!$B$13))))</f>
        <v>3739.8449100212615</v>
      </c>
      <c r="AK238" s="62">
        <f t="shared" si="14"/>
        <v>-1.5642318630171292E-4</v>
      </c>
      <c r="AL238" s="63">
        <f t="shared" si="15"/>
        <v>2805.3224999999998</v>
      </c>
      <c r="AM238" s="64" t="s">
        <v>940</v>
      </c>
      <c r="AN238" s="54">
        <f>MAX(1,ROUND((設定!$B$7*設定!$B$10*(1+設定!$B$11*(設定!$B$12-1)))*AE238^2*(設定!$B$6*(1+設定!$B$13))/(AI238*N238*(1+K238*(L238-1))*AG238),0))</f>
        <v>1068</v>
      </c>
      <c r="AO238" s="65" t="str">
        <f>IF($A238="","",IF(COUNTIF(個性タイプマスタ!$A$5:$A$100,$AM238)&gt;0,"OK","未登録"))</f>
        <v>OK</v>
      </c>
      <c r="AP238" s="67" t="str">
        <f>IF($A238="","",IF(COUNTIF(属性耐性マスタ!$A$5:$A$11,$C238)&gt;0,"OK","未登録"))</f>
        <v>OK</v>
      </c>
    </row>
    <row r="239" spans="1:42">
      <c r="A239" s="66" t="s">
        <v>578</v>
      </c>
      <c r="B239" s="51" t="s">
        <v>579</v>
      </c>
      <c r="C239" s="109" t="s">
        <v>121</v>
      </c>
      <c r="D239" s="53">
        <f>ROUND(設定!$B$5*POWER($D$2,W239-1),2)</f>
        <v>4114.4799999999996</v>
      </c>
      <c r="E239" s="54">
        <f>MAX(1,ROUND(設定!$B$6*AE239*Y239,0))</f>
        <v>4238</v>
      </c>
      <c r="F239" s="54">
        <f>MAX(0,ROUND(設定!$B$7*AE239*設定!$B$15*IF(X239="Melee",0.6,1.35)*IFERROR(VLOOKUP($AM239,個性タイプマスタ!$A$5:$P$100,14,FALSE),1),0))</f>
        <v>1590</v>
      </c>
      <c r="G239" s="54">
        <f>IF(X239="Melee",AN239,MAX(1,ROUND(AN239*設定!$B$16*IFERROR(VLOOKUP($AM239,個性タイプマスタ!$A$5:$P$100,15,FALSE),1),0)))</f>
        <v>239</v>
      </c>
      <c r="H239" s="54">
        <f>IF(X239="Ranged",AN239,MAX(1,ROUND(AN239*設定!$B$16*IFERROR(VLOOKUP($AM239,個性タイプマスタ!$A$5:$P$100,15,FALSE),1),0)))</f>
        <v>759</v>
      </c>
      <c r="I239" s="54">
        <f>MAX(0,ROUND(設定!$B$8*AE239*Z239,0))</f>
        <v>316</v>
      </c>
      <c r="J239" s="54">
        <f>MAX(0,ROUND(設定!$B$9*AE239*AA239,0))</f>
        <v>388</v>
      </c>
      <c r="K239" s="55">
        <f>IFERROR(VLOOKUP($AM239,個性タイプマスタ!$A$5:$P$100,9,FALSE),0.05)</f>
        <v>6.5000000000000002E-2</v>
      </c>
      <c r="L239" s="56">
        <f>IFERROR(VLOOKUP($AM239,個性タイプマスタ!$A$5:$P$100,10,FALSE),1.5)</f>
        <v>1.45</v>
      </c>
      <c r="M239" s="56">
        <f>IFERROR(VLOOKUP($AM239,個性タイプマスタ!$A$5:$P$100,11,FALSE),2)</f>
        <v>2.1</v>
      </c>
      <c r="N239" s="57">
        <f>MAX(0.1,ROUND(設定!$B$10*AB239,3))</f>
        <v>0.9</v>
      </c>
      <c r="O239" s="57">
        <f t="shared" si="12"/>
        <v>2.8</v>
      </c>
      <c r="P239" s="58">
        <f>MAX(-10,MIN(0.8,IFERROR(INDEX(属性耐性マスタ!$B$5:$G$11,MATCH($C239,属性耐性マスタ!$A$5:$A$11,0),1),0)+IFERROR(VLOOKUP($AM239,個性タイプマスタ!$A$5:$P$100,12,FALSE),0)))</f>
        <v>0.02</v>
      </c>
      <c r="Q239" s="58">
        <f>MAX(-10,MIN(0.8,IFERROR(INDEX(属性耐性マスタ!$B$5:$G$11,MATCH($C239,属性耐性マスタ!$A$5:$A$11,0),2),0)+IFERROR(VLOOKUP($AM239,個性タイプマスタ!$A$5:$P$100,12,FALSE),0)))</f>
        <v>0.02</v>
      </c>
      <c r="R239" s="58">
        <f>MAX(-10,MIN(0.8,IFERROR(INDEX(属性耐性マスタ!$B$5:$G$11,MATCH($C239,属性耐性マスタ!$A$5:$A$11,0),3),0)+IFERROR(VLOOKUP($AM239,個性タイプマスタ!$A$5:$P$100,12,FALSE),0)))</f>
        <v>0.02</v>
      </c>
      <c r="S239" s="58">
        <f>MAX(-10,MIN(0.8,IFERROR(INDEX(属性耐性マスタ!$B$5:$G$11,MATCH($C239,属性耐性マスタ!$A$5:$A$11,0),4),0)+IFERROR(VLOOKUP($AM239,個性タイプマスタ!$A$5:$P$100,12,FALSE),0)))</f>
        <v>0.02</v>
      </c>
      <c r="T239" s="58">
        <f>MAX(-10,MIN(0.8,IFERROR(INDEX(属性耐性マスタ!$B$5:$G$11,MATCH($C239,属性耐性マスタ!$A$5:$A$11,0),5),0)+IFERROR(VLOOKUP($AM239,個性タイプマスタ!$A$5:$P$100,12,FALSE),0)))</f>
        <v>0.22</v>
      </c>
      <c r="U239" s="58">
        <f>MAX(-10,MIN(0.8,IFERROR(INDEX(属性耐性マスタ!$B$5:$G$11,MATCH($C239,属性耐性マスタ!$A$5:$A$11,0),6),0)+IFERROR(VLOOKUP($AM239,個性タイプマスタ!$A$5:$P$100,12,FALSE),0)))</f>
        <v>-0.08</v>
      </c>
      <c r="V239" s="59">
        <f>ROUND(設定!$B$19*IFERROR(VLOOKUP($AM239,個性タイプマスタ!$A$5:$P$100,13,FALSE),1),2)</f>
        <v>4.2</v>
      </c>
      <c r="W239" s="59">
        <v>40</v>
      </c>
      <c r="X239" s="59" t="str">
        <f>IFERROR(VLOOKUP($AM239,個性タイプマスタ!$A$5:$P$100,2,FALSE),"Ranged")</f>
        <v>Ranged</v>
      </c>
      <c r="Y239" s="56">
        <f>IFERROR(VLOOKUP($AM239,個性タイプマスタ!$A$5:$P$100,3,FALSE),1)</f>
        <v>1.03</v>
      </c>
      <c r="Z239" s="56">
        <f>IFERROR(VLOOKUP($AM239,個性タイプマスタ!$A$5:$P$100,4,FALSE),1)</f>
        <v>0.96</v>
      </c>
      <c r="AA239" s="56">
        <f>IFERROR(VLOOKUP($AM239,個性タイプマスタ!$A$5:$P$100,5,FALSE),1)</f>
        <v>1.18</v>
      </c>
      <c r="AB239" s="56">
        <f>IFERROR(VLOOKUP($AM239,個性タイプマスタ!$A$5:$P$100,6,FALSE),1)</f>
        <v>0.9</v>
      </c>
      <c r="AC239" s="56">
        <f>IFERROR(VLOOKUP($AM239,個性タイプマスタ!$A$5:$P$100,7,FALSE),1)</f>
        <v>1.1200000000000001</v>
      </c>
      <c r="AD239" s="56">
        <f>IFERROR(VLOOKUP($AM239,個性タイプマスタ!$A$5:$P$100,8,FALSE),1)</f>
        <v>0.79</v>
      </c>
      <c r="AE239" s="60">
        <f>IFERROR(D239/設定!$B$5,1)</f>
        <v>41.144799999999996</v>
      </c>
      <c r="AF239" s="60">
        <f>1+設定!$B$13*((I239/設定!$B$8+J239/設定!$B$9)/(2*AE239))</f>
        <v>1.3208181835857751</v>
      </c>
      <c r="AG239" s="60">
        <f>MAX(0.7,1+設定!$B$14*(O239/IF(X239="Melee",1.5,2.5)-1))</f>
        <v>1.0144</v>
      </c>
      <c r="AH239" s="53">
        <f t="shared" si="13"/>
        <v>713.20503672000007</v>
      </c>
      <c r="AI239" s="53">
        <f>E239*AF239*(1+設定!$B$18*AVERAGE(P239:U239))</f>
        <v>5689.9883151601171</v>
      </c>
      <c r="AJ239" s="61">
        <f>設定!$B$5*SQRT((AH239/(設定!$B$7*設定!$B$10*(1+設定!$B$11*(設定!$B$12-1))))*(AI239/(設定!$B$6*(1+設定!$B$13))))</f>
        <v>4113.325014334092</v>
      </c>
      <c r="AK239" s="62">
        <f t="shared" si="14"/>
        <v>-2.807124268212613E-4</v>
      </c>
      <c r="AL239" s="63">
        <f t="shared" si="15"/>
        <v>3250.4391999999998</v>
      </c>
      <c r="AM239" s="64" t="s">
        <v>932</v>
      </c>
      <c r="AN239" s="54">
        <f>MAX(1,ROUND((設定!$B$7*設定!$B$10*(1+設定!$B$11*(設定!$B$12-1)))*AE239^2*(設定!$B$6*(1+設定!$B$13))/(AI239*N239*(1+K239*(L239-1))*AG239),0))</f>
        <v>759</v>
      </c>
      <c r="AO239" s="65" t="str">
        <f>IF($A239="","",IF(COUNTIF(個性タイプマスタ!$A$5:$A$100,$AM239)&gt;0,"OK","未登録"))</f>
        <v>OK</v>
      </c>
      <c r="AP239" s="67" t="str">
        <f>IF($A239="","",IF(COUNTIF(属性耐性マスタ!$A$5:$A$11,$C239)&gt;0,"OK","未登録"))</f>
        <v>OK</v>
      </c>
    </row>
    <row r="240" spans="1:42">
      <c r="A240" s="66" t="s">
        <v>580</v>
      </c>
      <c r="B240" s="51" t="s">
        <v>581</v>
      </c>
      <c r="C240" s="109" t="s">
        <v>121</v>
      </c>
      <c r="D240" s="53">
        <f>ROUND(設定!$B$5*POWER($D$2,W240-1),2)</f>
        <v>4114.4799999999996</v>
      </c>
      <c r="E240" s="54">
        <f>MAX(1,ROUND(設定!$B$6*AE240*Y240,0))</f>
        <v>4114</v>
      </c>
      <c r="F240" s="54">
        <f>MAX(0,ROUND(設定!$B$7*AE240*設定!$B$15*IF(X240="Melee",0.6,1.35)*IFERROR(VLOOKUP($AM240,個性タイプマスタ!$A$5:$P$100,14,FALSE),1),0))</f>
        <v>660</v>
      </c>
      <c r="G240" s="54">
        <f>IF(X240="Melee",AN240,MAX(1,ROUND(AN240*設定!$B$16*IFERROR(VLOOKUP($AM240,個性タイプマスタ!$A$5:$P$100,15,FALSE),1),0)))</f>
        <v>296</v>
      </c>
      <c r="H240" s="54">
        <f>IF(X240="Ranged",AN240,MAX(1,ROUND(AN240*設定!$B$16*IFERROR(VLOOKUP($AM240,個性タイプマスタ!$A$5:$P$100,15,FALSE),1),0)))</f>
        <v>658</v>
      </c>
      <c r="I240" s="54">
        <f>MAX(0,ROUND(設定!$B$8*AE240*Z240,0))</f>
        <v>313</v>
      </c>
      <c r="J240" s="54">
        <f>MAX(0,ROUND(設定!$B$9*AE240*AA240,0))</f>
        <v>362</v>
      </c>
      <c r="K240" s="55">
        <f>IFERROR(VLOOKUP($AM240,個性タイプマスタ!$A$5:$P$100,9,FALSE),0.05)</f>
        <v>7.0000000000000007E-2</v>
      </c>
      <c r="L240" s="56">
        <f>IFERROR(VLOOKUP($AM240,個性タイプマスタ!$A$5:$P$100,10,FALSE),1.5)</f>
        <v>1.55</v>
      </c>
      <c r="M240" s="56">
        <f>IFERROR(VLOOKUP($AM240,個性タイプマスタ!$A$5:$P$100,11,FALSE),2)</f>
        <v>2.2999999999999998</v>
      </c>
      <c r="N240" s="57">
        <f>MAX(0.1,ROUND(設定!$B$10*AB240,3))</f>
        <v>1.1000000000000001</v>
      </c>
      <c r="O240" s="57">
        <f t="shared" si="12"/>
        <v>2.7</v>
      </c>
      <c r="P240" s="58">
        <f>MAX(-10,MIN(0.8,IFERROR(INDEX(属性耐性マスタ!$B$5:$G$11,MATCH($C240,属性耐性マスタ!$A$5:$A$11,0),1),0)+IFERROR(VLOOKUP($AM240,個性タイプマスタ!$A$5:$P$100,12,FALSE),0)))</f>
        <v>-0.03</v>
      </c>
      <c r="Q240" s="58">
        <f>MAX(-10,MIN(0.8,IFERROR(INDEX(属性耐性マスタ!$B$5:$G$11,MATCH($C240,属性耐性マスタ!$A$5:$A$11,0),2),0)+IFERROR(VLOOKUP($AM240,個性タイプマスタ!$A$5:$P$100,12,FALSE),0)))</f>
        <v>-0.03</v>
      </c>
      <c r="R240" s="58">
        <f>MAX(-10,MIN(0.8,IFERROR(INDEX(属性耐性マスタ!$B$5:$G$11,MATCH($C240,属性耐性マスタ!$A$5:$A$11,0),3),0)+IFERROR(VLOOKUP($AM240,個性タイプマスタ!$A$5:$P$100,12,FALSE),0)))</f>
        <v>-0.03</v>
      </c>
      <c r="S240" s="58">
        <f>MAX(-10,MIN(0.8,IFERROR(INDEX(属性耐性マスタ!$B$5:$G$11,MATCH($C240,属性耐性マスタ!$A$5:$A$11,0),4),0)+IFERROR(VLOOKUP($AM240,個性タイプマスタ!$A$5:$P$100,12,FALSE),0)))</f>
        <v>-0.03</v>
      </c>
      <c r="T240" s="58">
        <f>MAX(-10,MIN(0.8,IFERROR(INDEX(属性耐性マスタ!$B$5:$G$11,MATCH($C240,属性耐性マスタ!$A$5:$A$11,0),5),0)+IFERROR(VLOOKUP($AM240,個性タイプマスタ!$A$5:$P$100,12,FALSE),0)))</f>
        <v>0.17</v>
      </c>
      <c r="U240" s="58">
        <f>MAX(-10,MIN(0.8,IFERROR(INDEX(属性耐性マスタ!$B$5:$G$11,MATCH($C240,属性耐性マスタ!$A$5:$A$11,0),6),0)+IFERROR(VLOOKUP($AM240,個性タイプマスタ!$A$5:$P$100,12,FALSE),0)))</f>
        <v>-0.13</v>
      </c>
      <c r="V240" s="59">
        <f>ROUND(設定!$B$19*IFERROR(VLOOKUP($AM240,個性タイプマスタ!$A$5:$P$100,13,FALSE),1),2)</f>
        <v>4</v>
      </c>
      <c r="W240" s="59">
        <v>40</v>
      </c>
      <c r="X240" s="59" t="str">
        <f>IFERROR(VLOOKUP($AM240,個性タイプマスタ!$A$5:$P$100,2,FALSE),"Ranged")</f>
        <v>Ranged</v>
      </c>
      <c r="Y240" s="56">
        <f>IFERROR(VLOOKUP($AM240,個性タイプマスタ!$A$5:$P$100,3,FALSE),1)</f>
        <v>1</v>
      </c>
      <c r="Z240" s="56">
        <f>IFERROR(VLOOKUP($AM240,個性タイプマスタ!$A$5:$P$100,4,FALSE),1)</f>
        <v>0.95</v>
      </c>
      <c r="AA240" s="56">
        <f>IFERROR(VLOOKUP($AM240,個性タイプマスタ!$A$5:$P$100,5,FALSE),1)</f>
        <v>1.1000000000000001</v>
      </c>
      <c r="AB240" s="56">
        <f>IFERROR(VLOOKUP($AM240,個性タイプマスタ!$A$5:$P$100,6,FALSE),1)</f>
        <v>1.1000000000000001</v>
      </c>
      <c r="AC240" s="56">
        <f>IFERROR(VLOOKUP($AM240,個性タイプマスタ!$A$5:$P$100,7,FALSE),1)</f>
        <v>1.08</v>
      </c>
      <c r="AD240" s="56">
        <f>IFERROR(VLOOKUP($AM240,個性タイプマスタ!$A$5:$P$100,8,FALSE),1)</f>
        <v>0.8</v>
      </c>
      <c r="AE240" s="60">
        <f>IFERROR(D240/設定!$B$5,1)</f>
        <v>41.144799999999996</v>
      </c>
      <c r="AF240" s="60">
        <f>1+設定!$B$13*((I240/設定!$B$8+J240/設定!$B$9)/(2*AE240))</f>
        <v>1.3076026618187475</v>
      </c>
      <c r="AG240" s="60">
        <f>MAX(0.7,1+設定!$B$14*(O240/IF(X240="Melee",1.5,2.5)-1))</f>
        <v>1.0096000000000001</v>
      </c>
      <c r="AH240" s="53">
        <f t="shared" si="13"/>
        <v>758.88229648000015</v>
      </c>
      <c r="AI240" s="53">
        <f>E240*AF240*(1+設定!$B$18*AVERAGE(P240:U240))</f>
        <v>5347.2004866179932</v>
      </c>
      <c r="AJ240" s="61">
        <f>設定!$B$5*SQRT((AH240/(設定!$B$7*設定!$B$10*(1+設定!$B$11*(設定!$B$12-1))))*(AI240/(設定!$B$6*(1+設定!$B$13))))</f>
        <v>4113.2071610829289</v>
      </c>
      <c r="AK240" s="62">
        <f t="shared" si="14"/>
        <v>-3.0935596164538559E-4</v>
      </c>
      <c r="AL240" s="63">
        <f t="shared" si="15"/>
        <v>3291.5839999999998</v>
      </c>
      <c r="AM240" s="64" t="s">
        <v>883</v>
      </c>
      <c r="AN240" s="54">
        <f>MAX(1,ROUND((設定!$B$7*設定!$B$10*(1+設定!$B$11*(設定!$B$12-1)))*AE240^2*(設定!$B$6*(1+設定!$B$13))/(AI240*N240*(1+K240*(L240-1))*AG240),0))</f>
        <v>658</v>
      </c>
      <c r="AO240" s="65" t="str">
        <f>IF($A240="","",IF(COUNTIF(個性タイプマスタ!$A$5:$A$100,$AM240)&gt;0,"OK","未登録"))</f>
        <v>OK</v>
      </c>
      <c r="AP240" s="67" t="str">
        <f>IF($A240="","",IF(COUNTIF(属性耐性マスタ!$A$5:$A$11,$C240)&gt;0,"OK","未登録"))</f>
        <v>OK</v>
      </c>
    </row>
    <row r="241" spans="1:42">
      <c r="A241" s="66" t="s">
        <v>582</v>
      </c>
      <c r="B241" s="51" t="s">
        <v>583</v>
      </c>
      <c r="C241" s="109" t="s">
        <v>874</v>
      </c>
      <c r="D241" s="53">
        <f>ROUND(設定!$B$5*POWER($D$2,W241-1),2)</f>
        <v>4114.4799999999996</v>
      </c>
      <c r="E241" s="54">
        <f>MAX(1,ROUND(設定!$B$6*AE241*Y241,0))</f>
        <v>2757</v>
      </c>
      <c r="F241" s="54">
        <f>MAX(0,ROUND(設定!$B$7*AE241*設定!$B$15*IF(X241="Melee",0.6,1.35)*IFERROR(VLOOKUP($AM241,個性タイプマスタ!$A$5:$P$100,14,FALSE),1),0))</f>
        <v>660</v>
      </c>
      <c r="G241" s="54">
        <f>IF(X241="Melee",AN241,MAX(1,ROUND(AN241*設定!$B$16*IFERROR(VLOOKUP($AM241,個性タイプマスタ!$A$5:$P$100,15,FALSE),1),0)))</f>
        <v>305</v>
      </c>
      <c r="H241" s="54">
        <f>IF(X241="Ranged",AN241,MAX(1,ROUND(AN241*設定!$B$16*IFERROR(VLOOKUP($AM241,個性タイプマスタ!$A$5:$P$100,15,FALSE),1),0)))</f>
        <v>1305</v>
      </c>
      <c r="I241" s="54">
        <f>MAX(0,ROUND(設定!$B$8*AE241*Z241,0))</f>
        <v>214</v>
      </c>
      <c r="J241" s="54">
        <f>MAX(0,ROUND(設定!$B$9*AE241*AA241,0))</f>
        <v>263</v>
      </c>
      <c r="K241" s="55">
        <f>IFERROR(VLOOKUP($AM241,個性タイプマスタ!$A$5:$P$100,9,FALSE),0.05)</f>
        <v>0.18</v>
      </c>
      <c r="L241" s="56">
        <f>IFERROR(VLOOKUP($AM241,個性タイプマスタ!$A$5:$P$100,10,FALSE),1.5)</f>
        <v>1.85</v>
      </c>
      <c r="M241" s="56">
        <f>IFERROR(VLOOKUP($AM241,個性タイプマスタ!$A$5:$P$100,11,FALSE),2)</f>
        <v>2.0499999999999998</v>
      </c>
      <c r="N241" s="57">
        <f>MAX(0.1,ROUND(設定!$B$10*AB241,3))</f>
        <v>0.75</v>
      </c>
      <c r="O241" s="57">
        <f t="shared" si="12"/>
        <v>4.45</v>
      </c>
      <c r="P241" s="58">
        <f>MAX(-10,MIN(0.8,IFERROR(INDEX(属性耐性マスタ!$B$5:$G$11,MATCH($C241,属性耐性マスタ!$A$5:$A$11,0),1),0)+IFERROR(VLOOKUP($AM241,個性タイプマスタ!$A$5:$P$100,12,FALSE),0)))</f>
        <v>-0.06</v>
      </c>
      <c r="Q241" s="58">
        <f>MAX(-10,MIN(0.8,IFERROR(INDEX(属性耐性マスタ!$B$5:$G$11,MATCH($C241,属性耐性マスタ!$A$5:$A$11,0),2),0)+IFERROR(VLOOKUP($AM241,個性タイプマスタ!$A$5:$P$100,12,FALSE),0)))</f>
        <v>-0.06</v>
      </c>
      <c r="R241" s="58">
        <f>MAX(-10,MIN(0.8,IFERROR(INDEX(属性耐性マスタ!$B$5:$G$11,MATCH($C241,属性耐性マスタ!$A$5:$A$11,0),3),0)+IFERROR(VLOOKUP($AM241,個性タイプマスタ!$A$5:$P$100,12,FALSE),0)))</f>
        <v>-0.06</v>
      </c>
      <c r="S241" s="58">
        <f>MAX(-10,MIN(0.8,IFERROR(INDEX(属性耐性マスタ!$B$5:$G$11,MATCH($C241,属性耐性マスタ!$A$5:$A$11,0),4),0)+IFERROR(VLOOKUP($AM241,個性タイプマスタ!$A$5:$P$100,12,FALSE),0)))</f>
        <v>-0.06</v>
      </c>
      <c r="T241" s="58">
        <f>MAX(-10,MIN(0.8,IFERROR(INDEX(属性耐性マスタ!$B$5:$G$11,MATCH($C241,属性耐性マスタ!$A$5:$A$11,0),5),0)+IFERROR(VLOOKUP($AM241,個性タイプマスタ!$A$5:$P$100,12,FALSE),0)))</f>
        <v>-0.16</v>
      </c>
      <c r="U241" s="58">
        <f>MAX(-10,MIN(0.8,IFERROR(INDEX(属性耐性マスタ!$B$5:$G$11,MATCH($C241,属性耐性マスタ!$A$5:$A$11,0),6),0)+IFERROR(VLOOKUP($AM241,個性タイプマスタ!$A$5:$P$100,12,FALSE),0)))</f>
        <v>0.14000000000000001</v>
      </c>
      <c r="V241" s="59">
        <f>ROUND(設定!$B$19*IFERROR(VLOOKUP($AM241,個性タイプマスタ!$A$5:$P$100,13,FALSE),1),2)</f>
        <v>5.6</v>
      </c>
      <c r="W241" s="59">
        <v>40</v>
      </c>
      <c r="X241" s="59" t="str">
        <f>IFERROR(VLOOKUP($AM241,個性タイプマスタ!$A$5:$P$100,2,FALSE),"Ranged")</f>
        <v>Ranged</v>
      </c>
      <c r="Y241" s="56">
        <f>IFERROR(VLOOKUP($AM241,個性タイプマスタ!$A$5:$P$100,3,FALSE),1)</f>
        <v>0.67</v>
      </c>
      <c r="Z241" s="56">
        <f>IFERROR(VLOOKUP($AM241,個性タイプマスタ!$A$5:$P$100,4,FALSE),1)</f>
        <v>0.65</v>
      </c>
      <c r="AA241" s="56">
        <f>IFERROR(VLOOKUP($AM241,個性タイプマスタ!$A$5:$P$100,5,FALSE),1)</f>
        <v>0.8</v>
      </c>
      <c r="AB241" s="56">
        <f>IFERROR(VLOOKUP($AM241,個性タイプマスタ!$A$5:$P$100,6,FALSE),1)</f>
        <v>0.75</v>
      </c>
      <c r="AC241" s="56">
        <f>IFERROR(VLOOKUP($AM241,個性タイプマスタ!$A$5:$P$100,7,FALSE),1)</f>
        <v>1.78</v>
      </c>
      <c r="AD241" s="56">
        <f>IFERROR(VLOOKUP($AM241,個性タイプマスタ!$A$5:$P$100,8,FALSE),1)</f>
        <v>0.62</v>
      </c>
      <c r="AE241" s="60">
        <f>IFERROR(D241/設定!$B$5,1)</f>
        <v>41.144799999999996</v>
      </c>
      <c r="AF241" s="60">
        <f>1+設定!$B$13*((I241/設定!$B$8+J241/設定!$B$9)/(2*AE241))</f>
        <v>1.2173725476852482</v>
      </c>
      <c r="AG241" s="60">
        <f>MAX(0.7,1+設定!$B$14*(O241/IF(X241="Melee",1.5,2.5)-1))</f>
        <v>1.0935999999999999</v>
      </c>
      <c r="AH241" s="53">
        <f t="shared" si="13"/>
        <v>1234.126233</v>
      </c>
      <c r="AI241" s="53">
        <f>E241*AF241*(1+設定!$B$18*AVERAGE(P241:U241))</f>
        <v>3290.848339745849</v>
      </c>
      <c r="AJ241" s="61">
        <f>設定!$B$5*SQRT((AH241/(設定!$B$7*設定!$B$10*(1+設定!$B$11*(設定!$B$12-1))))*(AI241/(設定!$B$6*(1+設定!$B$13))))</f>
        <v>4114.9433869974537</v>
      </c>
      <c r="AK241" s="62">
        <f t="shared" si="14"/>
        <v>1.1262346577312066E-4</v>
      </c>
      <c r="AL241" s="63">
        <f t="shared" si="15"/>
        <v>2550.9775999999997</v>
      </c>
      <c r="AM241" s="64" t="s">
        <v>910</v>
      </c>
      <c r="AN241" s="54">
        <f>MAX(1,ROUND((設定!$B$7*設定!$B$10*(1+設定!$B$11*(設定!$B$12-1)))*AE241^2*(設定!$B$6*(1+設定!$B$13))/(AI241*N241*(1+K241*(L241-1))*AG241),0))</f>
        <v>1305</v>
      </c>
      <c r="AO241" s="65" t="str">
        <f>IF($A241="","",IF(COUNTIF(個性タイプマスタ!$A$5:$A$100,$AM241)&gt;0,"OK","未登録"))</f>
        <v>OK</v>
      </c>
      <c r="AP241" s="67" t="str">
        <f>IF($A241="","",IF(COUNTIF(属性耐性マスタ!$A$5:$A$11,$C241)&gt;0,"OK","未登録"))</f>
        <v>OK</v>
      </c>
    </row>
    <row r="242" spans="1:42">
      <c r="A242" s="66" t="s">
        <v>584</v>
      </c>
      <c r="B242" s="51" t="s">
        <v>585</v>
      </c>
      <c r="C242" s="109" t="s">
        <v>121</v>
      </c>
      <c r="D242" s="53">
        <f>ROUND(設定!$B$5*POWER($D$2,W242-1),2)</f>
        <v>4114.4799999999996</v>
      </c>
      <c r="E242" s="54">
        <f>MAX(1,ROUND(設定!$B$6*AE242*Y242,0))</f>
        <v>2386</v>
      </c>
      <c r="F242" s="54">
        <f>MAX(0,ROUND(設定!$B$7*AE242*設定!$B$15*IF(X242="Melee",0.6,1.35)*IFERROR(VLOOKUP($AM242,個性タイプマスタ!$A$5:$P$100,14,FALSE),1),0))</f>
        <v>133</v>
      </c>
      <c r="G242" s="54">
        <f>IF(X242="Melee",AN242,MAX(1,ROUND(AN242*設定!$B$16*IFERROR(VLOOKUP($AM242,個性タイプマスタ!$A$5:$P$100,15,FALSE),1),0)))</f>
        <v>1308</v>
      </c>
      <c r="H242" s="54">
        <f>IF(X242="Ranged",AN242,MAX(1,ROUND(AN242*設定!$B$16*IFERROR(VLOOKUP($AM242,個性タイプマスタ!$A$5:$P$100,15,FALSE),1),0)))</f>
        <v>294</v>
      </c>
      <c r="I242" s="54">
        <f>MAX(0,ROUND(設定!$B$8*AE242*Z242,0))</f>
        <v>181</v>
      </c>
      <c r="J242" s="54">
        <f>MAX(0,ROUND(設定!$B$9*AE242*AA242,0))</f>
        <v>184</v>
      </c>
      <c r="K242" s="55">
        <f>IFERROR(VLOOKUP($AM242,個性タイプマスタ!$A$5:$P$100,9,FALSE),0.05)</f>
        <v>0.08</v>
      </c>
      <c r="L242" s="56">
        <f>IFERROR(VLOOKUP($AM242,個性タイプマスタ!$A$5:$P$100,10,FALSE),1.5)</f>
        <v>1.95</v>
      </c>
      <c r="M242" s="56">
        <f>IFERROR(VLOOKUP($AM242,個性タイプマスタ!$A$5:$P$100,11,FALSE),2)</f>
        <v>2.85</v>
      </c>
      <c r="N242" s="57">
        <f>MAX(0.1,ROUND(設定!$B$10*AB242,3))</f>
        <v>1.0900000000000001</v>
      </c>
      <c r="O242" s="57">
        <f t="shared" si="12"/>
        <v>1.44</v>
      </c>
      <c r="P242" s="58">
        <f>MAX(-10,MIN(0.8,IFERROR(INDEX(属性耐性マスタ!$B$5:$G$11,MATCH($C242,属性耐性マスタ!$A$5:$A$11,0),1),0)+IFERROR(VLOOKUP($AM242,個性タイプマスタ!$A$5:$P$100,12,FALSE),0)))</f>
        <v>-0.115</v>
      </c>
      <c r="Q242" s="58">
        <f>MAX(-10,MIN(0.8,IFERROR(INDEX(属性耐性マスタ!$B$5:$G$11,MATCH($C242,属性耐性マスタ!$A$5:$A$11,0),2),0)+IFERROR(VLOOKUP($AM242,個性タイプマスタ!$A$5:$P$100,12,FALSE),0)))</f>
        <v>-0.115</v>
      </c>
      <c r="R242" s="58">
        <f>MAX(-10,MIN(0.8,IFERROR(INDEX(属性耐性マスタ!$B$5:$G$11,MATCH($C242,属性耐性マスタ!$A$5:$A$11,0),3),0)+IFERROR(VLOOKUP($AM242,個性タイプマスタ!$A$5:$P$100,12,FALSE),0)))</f>
        <v>-0.115</v>
      </c>
      <c r="S242" s="58">
        <f>MAX(-10,MIN(0.8,IFERROR(INDEX(属性耐性マスタ!$B$5:$G$11,MATCH($C242,属性耐性マスタ!$A$5:$A$11,0),4),0)+IFERROR(VLOOKUP($AM242,個性タイプマスタ!$A$5:$P$100,12,FALSE),0)))</f>
        <v>-0.115</v>
      </c>
      <c r="T242" s="58">
        <f>MAX(-10,MIN(0.8,IFERROR(INDEX(属性耐性マスタ!$B$5:$G$11,MATCH($C242,属性耐性マスタ!$A$5:$A$11,0),5),0)+IFERROR(VLOOKUP($AM242,個性タイプマスタ!$A$5:$P$100,12,FALSE),0)))</f>
        <v>8.5000000000000006E-2</v>
      </c>
      <c r="U242" s="58">
        <f>MAX(-10,MIN(0.8,IFERROR(INDEX(属性耐性マスタ!$B$5:$G$11,MATCH($C242,属性耐性マスタ!$A$5:$A$11,0),6),0)+IFERROR(VLOOKUP($AM242,個性タイプマスタ!$A$5:$P$100,12,FALSE),0)))</f>
        <v>-0.21500000000000002</v>
      </c>
      <c r="V242" s="59">
        <f>ROUND(設定!$B$19*IFERROR(VLOOKUP($AM242,個性タイプマスタ!$A$5:$P$100,13,FALSE),1),2)</f>
        <v>4.4000000000000004</v>
      </c>
      <c r="W242" s="59">
        <v>40</v>
      </c>
      <c r="X242" s="59" t="str">
        <f>IFERROR(VLOOKUP($AM242,個性タイプマスタ!$A$5:$P$100,2,FALSE),"Ranged")</f>
        <v>Melee</v>
      </c>
      <c r="Y242" s="56">
        <f>IFERROR(VLOOKUP($AM242,個性タイプマスタ!$A$5:$P$100,3,FALSE),1)</f>
        <v>0.57999999999999996</v>
      </c>
      <c r="Z242" s="56">
        <f>IFERROR(VLOOKUP($AM242,個性タイプマスタ!$A$5:$P$100,4,FALSE),1)</f>
        <v>0.55000000000000004</v>
      </c>
      <c r="AA242" s="56">
        <f>IFERROR(VLOOKUP($AM242,個性タイプマスタ!$A$5:$P$100,5,FALSE),1)</f>
        <v>0.56000000000000005</v>
      </c>
      <c r="AB242" s="56">
        <f>IFERROR(VLOOKUP($AM242,個性タイプマスタ!$A$5:$P$100,6,FALSE),1)</f>
        <v>1.0900000000000001</v>
      </c>
      <c r="AC242" s="56">
        <f>IFERROR(VLOOKUP($AM242,個性タイプマスタ!$A$5:$P$100,7,FALSE),1)</f>
        <v>0.96</v>
      </c>
      <c r="AD242" s="56">
        <f>IFERROR(VLOOKUP($AM242,個性タイプマスタ!$A$5:$P$100,8,FALSE),1)</f>
        <v>0.54</v>
      </c>
      <c r="AE242" s="60">
        <f>IFERROR(D242/設定!$B$5,1)</f>
        <v>41.144799999999996</v>
      </c>
      <c r="AF242" s="60">
        <f>1+設定!$B$13*((I242/設定!$B$8+J242/設定!$B$9)/(2*AE242))</f>
        <v>1.1663332912056932</v>
      </c>
      <c r="AG242" s="60">
        <f>MAX(0.7,1+設定!$B$14*(O242/IF(X242="Melee",1.5,2.5)-1))</f>
        <v>0.99519999999999997</v>
      </c>
      <c r="AH242" s="53">
        <f t="shared" si="13"/>
        <v>1526.7111613439999</v>
      </c>
      <c r="AI242" s="53">
        <f>E242*AF242*(1+設定!$B$18*AVERAGE(P242:U242))</f>
        <v>2659.7291807646411</v>
      </c>
      <c r="AJ242" s="61">
        <f>設定!$B$5*SQRT((AH242/(設定!$B$7*設定!$B$10*(1+設定!$B$11*(設定!$B$12-1))))*(AI242/(設定!$B$6*(1+設定!$B$13))))</f>
        <v>4114.5968375285674</v>
      </c>
      <c r="AK242" s="62">
        <f t="shared" si="14"/>
        <v>2.8396669461860924E-5</v>
      </c>
      <c r="AL242" s="63">
        <f t="shared" si="15"/>
        <v>2221.8191999999999</v>
      </c>
      <c r="AM242" s="64" t="s">
        <v>962</v>
      </c>
      <c r="AN242" s="54">
        <f>MAX(1,ROUND((設定!$B$7*設定!$B$10*(1+設定!$B$11*(設定!$B$12-1)))*AE242^2*(設定!$B$6*(1+設定!$B$13))/(AI242*N242*(1+K242*(L242-1))*AG242),0))</f>
        <v>1308</v>
      </c>
      <c r="AO242" s="65" t="str">
        <f>IF($A242="","",IF(COUNTIF(個性タイプマスタ!$A$5:$A$100,$AM242)&gt;0,"OK","未登録"))</f>
        <v>OK</v>
      </c>
      <c r="AP242" s="67" t="str">
        <f>IF($A242="","",IF(COUNTIF(属性耐性マスタ!$A$5:$A$11,$C242)&gt;0,"OK","未登録"))</f>
        <v>OK</v>
      </c>
    </row>
    <row r="243" spans="1:42">
      <c r="A243" s="66" t="s">
        <v>586</v>
      </c>
      <c r="B243" s="51" t="s">
        <v>587</v>
      </c>
      <c r="C243" s="109" t="s">
        <v>121</v>
      </c>
      <c r="D243" s="53">
        <f>ROUND(設定!$B$5*POWER($D$2,W243-1),2)</f>
        <v>4114.4799999999996</v>
      </c>
      <c r="E243" s="54">
        <f>MAX(1,ROUND(設定!$B$6*AE243*Y243,0))</f>
        <v>6213</v>
      </c>
      <c r="F243" s="54">
        <f>MAX(0,ROUND(設定!$B$7*AE243*設定!$B$15*IF(X243="Melee",0.6,1.35)*IFERROR(VLOOKUP($AM243,個性タイプマスタ!$A$5:$P$100,14,FALSE),1),0))</f>
        <v>224</v>
      </c>
      <c r="G243" s="54">
        <f>IF(X243="Melee",AN243,MAX(1,ROUND(AN243*設定!$B$16*IFERROR(VLOOKUP($AM243,個性タイプマスタ!$A$5:$P$100,15,FALSE),1),0)))</f>
        <v>566</v>
      </c>
      <c r="H243" s="54">
        <f>IF(X243="Ranged",AN243,MAX(1,ROUND(AN243*設定!$B$16*IFERROR(VLOOKUP($AM243,個性タイプマスタ!$A$5:$P$100,15,FALSE),1),0)))</f>
        <v>199</v>
      </c>
      <c r="I243" s="54">
        <f>MAX(0,ROUND(設定!$B$8*AE243*Z243,0))</f>
        <v>556</v>
      </c>
      <c r="J243" s="54">
        <f>MAX(0,ROUND(設定!$B$9*AE243*AA243,0))</f>
        <v>309</v>
      </c>
      <c r="K243" s="55">
        <f>IFERROR(VLOOKUP($AM243,個性タイプマスタ!$A$5:$P$100,9,FALSE),0.05)</f>
        <v>3.5000000000000003E-2</v>
      </c>
      <c r="L243" s="56">
        <f>IFERROR(VLOOKUP($AM243,個性タイプマスタ!$A$5:$P$100,10,FALSE),1.5)</f>
        <v>1.43</v>
      </c>
      <c r="M243" s="56">
        <f>IFERROR(VLOOKUP($AM243,個性タイプマスタ!$A$5:$P$100,11,FALSE),2)</f>
        <v>1.75</v>
      </c>
      <c r="N243" s="57">
        <f>MAX(0.1,ROUND(設定!$B$10*AB243,3))</f>
        <v>0.73</v>
      </c>
      <c r="O243" s="57">
        <f t="shared" si="12"/>
        <v>2.3250000000000002</v>
      </c>
      <c r="P243" s="58">
        <f>MAX(-10,MIN(0.8,IFERROR(INDEX(属性耐性マスタ!$B$5:$G$11,MATCH($C243,属性耐性マスタ!$A$5:$A$11,0),1),0)+IFERROR(VLOOKUP($AM243,個性タイプマスタ!$A$5:$P$100,12,FALSE),0)))</f>
        <v>0.09</v>
      </c>
      <c r="Q243" s="58">
        <f>MAX(-10,MIN(0.8,IFERROR(INDEX(属性耐性マスタ!$B$5:$G$11,MATCH($C243,属性耐性マスタ!$A$5:$A$11,0),2),0)+IFERROR(VLOOKUP($AM243,個性タイプマスタ!$A$5:$P$100,12,FALSE),0)))</f>
        <v>0.09</v>
      </c>
      <c r="R243" s="58">
        <f>MAX(-10,MIN(0.8,IFERROR(INDEX(属性耐性マスタ!$B$5:$G$11,MATCH($C243,属性耐性マスタ!$A$5:$A$11,0),3),0)+IFERROR(VLOOKUP($AM243,個性タイプマスタ!$A$5:$P$100,12,FALSE),0)))</f>
        <v>0.09</v>
      </c>
      <c r="S243" s="58">
        <f>MAX(-10,MIN(0.8,IFERROR(INDEX(属性耐性マスタ!$B$5:$G$11,MATCH($C243,属性耐性マスタ!$A$5:$A$11,0),4),0)+IFERROR(VLOOKUP($AM243,個性タイプマスタ!$A$5:$P$100,12,FALSE),0)))</f>
        <v>0.09</v>
      </c>
      <c r="T243" s="58">
        <f>MAX(-10,MIN(0.8,IFERROR(INDEX(属性耐性マスタ!$B$5:$G$11,MATCH($C243,属性耐性マスタ!$A$5:$A$11,0),5),0)+IFERROR(VLOOKUP($AM243,個性タイプマスタ!$A$5:$P$100,12,FALSE),0)))</f>
        <v>0.29000000000000004</v>
      </c>
      <c r="U243" s="58">
        <f>MAX(-10,MIN(0.8,IFERROR(INDEX(属性耐性マスタ!$B$5:$G$11,MATCH($C243,属性耐性マスタ!$A$5:$A$11,0),6),0)+IFERROR(VLOOKUP($AM243,個性タイプマスタ!$A$5:$P$100,12,FALSE),0)))</f>
        <v>-1.0000000000000009E-2</v>
      </c>
      <c r="V243" s="59">
        <f>ROUND(設定!$B$19*IFERROR(VLOOKUP($AM243,個性タイプマスタ!$A$5:$P$100,13,FALSE),1),2)</f>
        <v>4.4000000000000004</v>
      </c>
      <c r="W243" s="59">
        <v>40</v>
      </c>
      <c r="X243" s="59" t="str">
        <f>IFERROR(VLOOKUP($AM243,個性タイプマスタ!$A$5:$P$100,2,FALSE),"Ranged")</f>
        <v>Melee</v>
      </c>
      <c r="Y243" s="56">
        <f>IFERROR(VLOOKUP($AM243,個性タイプマスタ!$A$5:$P$100,3,FALSE),1)</f>
        <v>1.51</v>
      </c>
      <c r="Z243" s="56">
        <f>IFERROR(VLOOKUP($AM243,個性タイプマスタ!$A$5:$P$100,4,FALSE),1)</f>
        <v>1.69</v>
      </c>
      <c r="AA243" s="56">
        <f>IFERROR(VLOOKUP($AM243,個性タイプマスタ!$A$5:$P$100,5,FALSE),1)</f>
        <v>0.94</v>
      </c>
      <c r="AB243" s="56">
        <f>IFERROR(VLOOKUP($AM243,個性タイプマスタ!$A$5:$P$100,6,FALSE),1)</f>
        <v>0.73</v>
      </c>
      <c r="AC243" s="56">
        <f>IFERROR(VLOOKUP($AM243,個性タイプマスタ!$A$5:$P$100,7,FALSE),1)</f>
        <v>1.55</v>
      </c>
      <c r="AD243" s="56">
        <f>IFERROR(VLOOKUP($AM243,個性タイプマスタ!$A$5:$P$100,8,FALSE),1)</f>
        <v>0.9</v>
      </c>
      <c r="AE243" s="60">
        <f>IFERROR(D243/設定!$B$5,1)</f>
        <v>41.144799999999996</v>
      </c>
      <c r="AF243" s="60">
        <f>1+設定!$B$13*((I243/設定!$B$8+J243/設定!$B$9)/(2*AE243))</f>
        <v>1.3941871147751357</v>
      </c>
      <c r="AG243" s="60">
        <f>MAX(0.7,1+設定!$B$14*(O243/IF(X243="Melee",1.5,2.5)-1))</f>
        <v>1.0660000000000001</v>
      </c>
      <c r="AH243" s="53">
        <f t="shared" si="13"/>
        <v>447.07865069400003</v>
      </c>
      <c r="AI243" s="53">
        <f>E243*AF243*(1+設定!$B$18*AVERAGE(P243:U243))</f>
        <v>9077.8646022146186</v>
      </c>
      <c r="AJ243" s="61">
        <f>設定!$B$5*SQRT((AH243/(設定!$B$7*設定!$B$10*(1+設定!$B$11*(設定!$B$12-1))))*(AI243/(設定!$B$6*(1+設定!$B$13))))</f>
        <v>4113.5232356989973</v>
      </c>
      <c r="AK243" s="62">
        <f t="shared" si="14"/>
        <v>-2.3253589785399154E-4</v>
      </c>
      <c r="AL243" s="63">
        <f t="shared" si="15"/>
        <v>3703.0319999999997</v>
      </c>
      <c r="AM243" s="64" t="s">
        <v>976</v>
      </c>
      <c r="AN243" s="54">
        <f>MAX(1,ROUND((設定!$B$7*設定!$B$10*(1+設定!$B$11*(設定!$B$12-1)))*AE243^2*(設定!$B$6*(1+設定!$B$13))/(AI243*N243*(1+K243*(L243-1))*AG243),0))</f>
        <v>566</v>
      </c>
      <c r="AO243" s="65" t="str">
        <f>IF($A243="","",IF(COUNTIF(個性タイプマスタ!$A$5:$A$100,$AM243)&gt;0,"OK","未登録"))</f>
        <v>OK</v>
      </c>
      <c r="AP243" s="67" t="str">
        <f>IF($A243="","",IF(COUNTIF(属性耐性マスタ!$A$5:$A$11,$C243)&gt;0,"OK","未登録"))</f>
        <v>OK</v>
      </c>
    </row>
    <row r="244" spans="1:42">
      <c r="A244" s="66" t="s">
        <v>588</v>
      </c>
      <c r="B244" s="51" t="s">
        <v>589</v>
      </c>
      <c r="C244" s="109" t="s">
        <v>121</v>
      </c>
      <c r="D244" s="53">
        <f>ROUND(設定!$B$5*POWER($D$2,W244-1),2)</f>
        <v>4114.4799999999996</v>
      </c>
      <c r="E244" s="54">
        <f>MAX(1,ROUND(設定!$B$6*AE244*Y244,0))</f>
        <v>3209</v>
      </c>
      <c r="F244" s="54">
        <f>MAX(0,ROUND(設定!$B$7*AE244*設定!$B$15*IF(X244="Melee",0.6,1.35)*IFERROR(VLOOKUP($AM244,個性タイプマスタ!$A$5:$P$100,14,FALSE),1),0))</f>
        <v>690</v>
      </c>
      <c r="G244" s="54">
        <f>IF(X244="Melee",AN244,MAX(1,ROUND(AN244*設定!$B$16*IFERROR(VLOOKUP($AM244,個性タイプマスタ!$A$5:$P$100,15,FALSE),1),0)))</f>
        <v>392</v>
      </c>
      <c r="H244" s="54">
        <f>IF(X244="Ranged",AN244,MAX(1,ROUND(AN244*設定!$B$16*IFERROR(VLOOKUP($AM244,個性タイプマスタ!$A$5:$P$100,15,FALSE),1),0)))</f>
        <v>870</v>
      </c>
      <c r="I244" s="54">
        <f>MAX(0,ROUND(設定!$B$8*AE244*Z244,0))</f>
        <v>247</v>
      </c>
      <c r="J244" s="54">
        <f>MAX(0,ROUND(設定!$B$9*AE244*AA244,0))</f>
        <v>263</v>
      </c>
      <c r="K244" s="55">
        <f>IFERROR(VLOOKUP($AM244,個性タイプマスタ!$A$5:$P$100,9,FALSE),0.05)</f>
        <v>0.11</v>
      </c>
      <c r="L244" s="56">
        <f>IFERROR(VLOOKUP($AM244,個性タイプマスタ!$A$5:$P$100,10,FALSE),1.5)</f>
        <v>1.65</v>
      </c>
      <c r="M244" s="56">
        <f>IFERROR(VLOOKUP($AM244,個性タイプマスタ!$A$5:$P$100,11,FALSE),2)</f>
        <v>2.2000000000000002</v>
      </c>
      <c r="N244" s="57">
        <f>MAX(0.1,ROUND(設定!$B$10*AB244,3))</f>
        <v>1.1000000000000001</v>
      </c>
      <c r="O244" s="57">
        <f t="shared" si="12"/>
        <v>2.75</v>
      </c>
      <c r="P244" s="58">
        <f>MAX(-10,MIN(0.8,IFERROR(INDEX(属性耐性マスタ!$B$5:$G$11,MATCH($C244,属性耐性マスタ!$A$5:$A$11,0),1),0)+IFERROR(VLOOKUP($AM244,個性タイプマスタ!$A$5:$P$100,12,FALSE),0)))</f>
        <v>-0.04</v>
      </c>
      <c r="Q244" s="58">
        <f>MAX(-10,MIN(0.8,IFERROR(INDEX(属性耐性マスタ!$B$5:$G$11,MATCH($C244,属性耐性マスタ!$A$5:$A$11,0),2),0)+IFERROR(VLOOKUP($AM244,個性タイプマスタ!$A$5:$P$100,12,FALSE),0)))</f>
        <v>-0.04</v>
      </c>
      <c r="R244" s="58">
        <f>MAX(-10,MIN(0.8,IFERROR(INDEX(属性耐性マスタ!$B$5:$G$11,MATCH($C244,属性耐性マスタ!$A$5:$A$11,0),3),0)+IFERROR(VLOOKUP($AM244,個性タイプマスタ!$A$5:$P$100,12,FALSE),0)))</f>
        <v>-0.04</v>
      </c>
      <c r="S244" s="58">
        <f>MAX(-10,MIN(0.8,IFERROR(INDEX(属性耐性マスタ!$B$5:$G$11,MATCH($C244,属性耐性マスタ!$A$5:$A$11,0),4),0)+IFERROR(VLOOKUP($AM244,個性タイプマスタ!$A$5:$P$100,12,FALSE),0)))</f>
        <v>-0.04</v>
      </c>
      <c r="T244" s="58">
        <f>MAX(-10,MIN(0.8,IFERROR(INDEX(属性耐性マスタ!$B$5:$G$11,MATCH($C244,属性耐性マスタ!$A$5:$A$11,0),5),0)+IFERROR(VLOOKUP($AM244,個性タイプマスタ!$A$5:$P$100,12,FALSE),0)))</f>
        <v>0.16</v>
      </c>
      <c r="U244" s="58">
        <f>MAX(-10,MIN(0.8,IFERROR(INDEX(属性耐性マスタ!$B$5:$G$11,MATCH($C244,属性耐性マスタ!$A$5:$A$11,0),6),0)+IFERROR(VLOOKUP($AM244,個性タイプマスタ!$A$5:$P$100,12,FALSE),0)))</f>
        <v>-0.14000000000000001</v>
      </c>
      <c r="V244" s="59">
        <f>ROUND(設定!$B$19*IFERROR(VLOOKUP($AM244,個性タイプマスタ!$A$5:$P$100,13,FALSE),1),2)</f>
        <v>4.2</v>
      </c>
      <c r="W244" s="59">
        <v>40</v>
      </c>
      <c r="X244" s="59" t="str">
        <f>IFERROR(VLOOKUP($AM244,個性タイプマスタ!$A$5:$P$100,2,FALSE),"Ranged")</f>
        <v>Ranged</v>
      </c>
      <c r="Y244" s="56">
        <f>IFERROR(VLOOKUP($AM244,個性タイプマスタ!$A$5:$P$100,3,FALSE),1)</f>
        <v>0.78</v>
      </c>
      <c r="Z244" s="56">
        <f>IFERROR(VLOOKUP($AM244,個性タイプマスタ!$A$5:$P$100,4,FALSE),1)</f>
        <v>0.75</v>
      </c>
      <c r="AA244" s="56">
        <f>IFERROR(VLOOKUP($AM244,個性タイプマスタ!$A$5:$P$100,5,FALSE),1)</f>
        <v>0.8</v>
      </c>
      <c r="AB244" s="56">
        <f>IFERROR(VLOOKUP($AM244,個性タイプマスタ!$A$5:$P$100,6,FALSE),1)</f>
        <v>1.1000000000000001</v>
      </c>
      <c r="AC244" s="56">
        <f>IFERROR(VLOOKUP($AM244,個性タイプマスタ!$A$5:$P$100,7,FALSE),1)</f>
        <v>1.1000000000000001</v>
      </c>
      <c r="AD244" s="56">
        <f>IFERROR(VLOOKUP($AM244,個性タイプマスタ!$A$5:$P$100,8,FALSE),1)</f>
        <v>0.72</v>
      </c>
      <c r="AE244" s="60">
        <f>IFERROR(D244/設定!$B$5,1)</f>
        <v>41.144799999999996</v>
      </c>
      <c r="AF244" s="60">
        <f>1+設定!$B$13*((I244/設定!$B$8+J244/設定!$B$9)/(2*AE244))</f>
        <v>1.2324109000408314</v>
      </c>
      <c r="AG244" s="60">
        <f>MAX(0.7,1+設定!$B$14*(O244/IF(X244="Melee",1.5,2.5)-1))</f>
        <v>1.012</v>
      </c>
      <c r="AH244" s="53">
        <f t="shared" si="13"/>
        <v>1037.7306060000001</v>
      </c>
      <c r="AI244" s="53">
        <f>E244*AF244*(1+設定!$B$18*AVERAGE(P244:U244))</f>
        <v>3913.2811091596027</v>
      </c>
      <c r="AJ244" s="61">
        <f>設定!$B$5*SQRT((AH244/(設定!$B$7*設定!$B$10*(1+設定!$B$11*(設定!$B$12-1))))*(AI244/(設定!$B$6*(1+設定!$B$13))))</f>
        <v>4114.7454591108162</v>
      </c>
      <c r="AK244" s="62">
        <f t="shared" si="14"/>
        <v>6.4518264961010985E-5</v>
      </c>
      <c r="AL244" s="63">
        <f t="shared" si="15"/>
        <v>2962.4255999999996</v>
      </c>
      <c r="AM244" s="64" t="s">
        <v>896</v>
      </c>
      <c r="AN244" s="54">
        <f>MAX(1,ROUND((設定!$B$7*設定!$B$10*(1+設定!$B$11*(設定!$B$12-1)))*AE244^2*(設定!$B$6*(1+設定!$B$13))/(AI244*N244*(1+K244*(L244-1))*AG244),0))</f>
        <v>870</v>
      </c>
      <c r="AO244" s="65" t="str">
        <f>IF($A244="","",IF(COUNTIF(個性タイプマスタ!$A$5:$A$100,$AM244)&gt;0,"OK","未登録"))</f>
        <v>OK</v>
      </c>
      <c r="AP244" s="67" t="str">
        <f>IF($A244="","",IF(COUNTIF(属性耐性マスタ!$A$5:$A$11,$C244)&gt;0,"OK","未登録"))</f>
        <v>OK</v>
      </c>
    </row>
    <row r="245" spans="1:42">
      <c r="A245" s="66" t="s">
        <v>590</v>
      </c>
      <c r="B245" s="51" t="s">
        <v>591</v>
      </c>
      <c r="C245" s="109" t="s">
        <v>874</v>
      </c>
      <c r="D245" s="53">
        <f>ROUND(設定!$B$5*POWER($D$2,W245-1),2)</f>
        <v>4525.93</v>
      </c>
      <c r="E245" s="54">
        <f>MAX(1,ROUND(設定!$B$6*AE245*Y245,0))</f>
        <v>4164</v>
      </c>
      <c r="F245" s="54">
        <f>MAX(0,ROUND(設定!$B$7*AE245*設定!$B$15*IF(X245="Melee",0.6,1.35)*IFERROR(VLOOKUP($AM245,個性タイプマスタ!$A$5:$P$100,14,FALSE),1),0))</f>
        <v>660</v>
      </c>
      <c r="G245" s="54">
        <f>IF(X245="Melee",AN245,MAX(1,ROUND(AN245*設定!$B$16*IFERROR(VLOOKUP($AM245,個性タイプマスタ!$A$5:$P$100,15,FALSE),1),0)))</f>
        <v>377</v>
      </c>
      <c r="H245" s="54">
        <f>IF(X245="Ranged",AN245,MAX(1,ROUND(AN245*設定!$B$16*IFERROR(VLOOKUP($AM245,個性タイプマスタ!$A$5:$P$100,15,FALSE),1),0)))</f>
        <v>837</v>
      </c>
      <c r="I245" s="54">
        <f>MAX(0,ROUND(設定!$B$8*AE245*Z245,0))</f>
        <v>344</v>
      </c>
      <c r="J245" s="54">
        <f>MAX(0,ROUND(設定!$B$9*AE245*AA245,0))</f>
        <v>380</v>
      </c>
      <c r="K245" s="55">
        <f>IFERROR(VLOOKUP($AM245,個性タイプマスタ!$A$5:$P$100,9,FALSE),0.05)</f>
        <v>0.05</v>
      </c>
      <c r="L245" s="56">
        <f>IFERROR(VLOOKUP($AM245,個性タイプマスタ!$A$5:$P$100,10,FALSE),1.5)</f>
        <v>1.5</v>
      </c>
      <c r="M245" s="56">
        <f>IFERROR(VLOOKUP($AM245,個性タイプマスタ!$A$5:$P$100,11,FALSE),2)</f>
        <v>2</v>
      </c>
      <c r="N245" s="57">
        <f>MAX(0.1,ROUND(設定!$B$10*AB245,3))</f>
        <v>1.05</v>
      </c>
      <c r="O245" s="57">
        <f t="shared" si="12"/>
        <v>2.5</v>
      </c>
      <c r="P245" s="58">
        <f>MAX(-10,MIN(0.8,IFERROR(INDEX(属性耐性マスタ!$B$5:$G$11,MATCH($C245,属性耐性マスタ!$A$5:$A$11,0),1),0)+IFERROR(VLOOKUP($AM245,個性タイプマスタ!$A$5:$P$100,12,FALSE),0)))</f>
        <v>0</v>
      </c>
      <c r="Q245" s="58">
        <f>MAX(-10,MIN(0.8,IFERROR(INDEX(属性耐性マスタ!$B$5:$G$11,MATCH($C245,属性耐性マスタ!$A$5:$A$11,0),2),0)+IFERROR(VLOOKUP($AM245,個性タイプマスタ!$A$5:$P$100,12,FALSE),0)))</f>
        <v>0</v>
      </c>
      <c r="R245" s="58">
        <f>MAX(-10,MIN(0.8,IFERROR(INDEX(属性耐性マスタ!$B$5:$G$11,MATCH($C245,属性耐性マスタ!$A$5:$A$11,0),3),0)+IFERROR(VLOOKUP($AM245,個性タイプマスタ!$A$5:$P$100,12,FALSE),0)))</f>
        <v>0</v>
      </c>
      <c r="S245" s="58">
        <f>MAX(-10,MIN(0.8,IFERROR(INDEX(属性耐性マスタ!$B$5:$G$11,MATCH($C245,属性耐性マスタ!$A$5:$A$11,0),4),0)+IFERROR(VLOOKUP($AM245,個性タイプマスタ!$A$5:$P$100,12,FALSE),0)))</f>
        <v>0</v>
      </c>
      <c r="T245" s="58">
        <f>MAX(-10,MIN(0.8,IFERROR(INDEX(属性耐性マスタ!$B$5:$G$11,MATCH($C245,属性耐性マスタ!$A$5:$A$11,0),5),0)+IFERROR(VLOOKUP($AM245,個性タイプマスタ!$A$5:$P$100,12,FALSE),0)))</f>
        <v>-0.1</v>
      </c>
      <c r="U245" s="58">
        <f>MAX(-10,MIN(0.8,IFERROR(INDEX(属性耐性マスタ!$B$5:$G$11,MATCH($C245,属性耐性マスタ!$A$5:$A$11,0),6),0)+IFERROR(VLOOKUP($AM245,個性タイプマスタ!$A$5:$P$100,12,FALSE),0)))</f>
        <v>0.2</v>
      </c>
      <c r="V245" s="59">
        <f>ROUND(設定!$B$19*IFERROR(VLOOKUP($AM245,個性タイプマスタ!$A$5:$P$100,13,FALSE),1),2)</f>
        <v>4</v>
      </c>
      <c r="W245" s="59">
        <v>41</v>
      </c>
      <c r="X245" s="59" t="str">
        <f>IFERROR(VLOOKUP($AM245,個性タイプマスタ!$A$5:$P$100,2,FALSE),"Ranged")</f>
        <v>Ranged</v>
      </c>
      <c r="Y245" s="56">
        <f>IFERROR(VLOOKUP($AM245,個性タイプマスタ!$A$5:$P$100,3,FALSE),1)</f>
        <v>0.92</v>
      </c>
      <c r="Z245" s="56">
        <f>IFERROR(VLOOKUP($AM245,個性タイプマスタ!$A$5:$P$100,4,FALSE),1)</f>
        <v>0.95</v>
      </c>
      <c r="AA245" s="56">
        <f>IFERROR(VLOOKUP($AM245,個性タイプマスタ!$A$5:$P$100,5,FALSE),1)</f>
        <v>1.05</v>
      </c>
      <c r="AB245" s="56">
        <f>IFERROR(VLOOKUP($AM245,個性タイプマスタ!$A$5:$P$100,6,FALSE),1)</f>
        <v>1.05</v>
      </c>
      <c r="AC245" s="56">
        <f>IFERROR(VLOOKUP($AM245,個性タイプマスタ!$A$5:$P$100,7,FALSE),1)</f>
        <v>1</v>
      </c>
      <c r="AD245" s="56">
        <f>IFERROR(VLOOKUP($AM245,個性タイプマスタ!$A$5:$P$100,8,FALSE),1)</f>
        <v>0.74</v>
      </c>
      <c r="AE245" s="60">
        <f>IFERROR(D245/設定!$B$5,1)</f>
        <v>45.259300000000003</v>
      </c>
      <c r="AF245" s="60">
        <f>1+設定!$B$13*((I245/設定!$B$8+J245/設定!$B$9)/(2*AE245))</f>
        <v>1.2999383552109731</v>
      </c>
      <c r="AG245" s="60">
        <f>MAX(0.7,1+設定!$B$14*(O245/IF(X245="Melee",1.5,2.5)-1))</f>
        <v>1</v>
      </c>
      <c r="AH245" s="53">
        <f t="shared" si="13"/>
        <v>900.82124999999996</v>
      </c>
      <c r="AI245" s="53">
        <f>E245*AF245*(1+設定!$B$18*AVERAGE(P245:U245))</f>
        <v>5453.5403859317312</v>
      </c>
      <c r="AJ245" s="61">
        <f>設定!$B$5*SQRT((AH245/(設定!$B$7*設定!$B$10*(1+設定!$B$11*(設定!$B$12-1))))*(AI245/(設定!$B$6*(1+設定!$B$13))))</f>
        <v>4525.7307896338407</v>
      </c>
      <c r="AK245" s="62">
        <f t="shared" si="14"/>
        <v>-4.4015344063952355E-5</v>
      </c>
      <c r="AL245" s="63">
        <f t="shared" si="15"/>
        <v>3349.1882000000001</v>
      </c>
      <c r="AM245" s="64" t="s">
        <v>881</v>
      </c>
      <c r="AN245" s="54">
        <f>MAX(1,ROUND((設定!$B$7*設定!$B$10*(1+設定!$B$11*(設定!$B$12-1)))*AE245^2*(設定!$B$6*(1+設定!$B$13))/(AI245*N245*(1+K245*(L245-1))*AG245),0))</f>
        <v>837</v>
      </c>
      <c r="AO245" s="65" t="str">
        <f>IF($A245="","",IF(COUNTIF(個性タイプマスタ!$A$5:$A$100,$AM245)&gt;0,"OK","未登録"))</f>
        <v>OK</v>
      </c>
      <c r="AP245" s="67" t="str">
        <f>IF($A245="","",IF(COUNTIF(属性耐性マスタ!$A$5:$A$11,$C245)&gt;0,"OK","未登録"))</f>
        <v>OK</v>
      </c>
    </row>
    <row r="246" spans="1:42">
      <c r="A246" s="66" t="s">
        <v>592</v>
      </c>
      <c r="B246" s="51" t="s">
        <v>593</v>
      </c>
      <c r="C246" s="109" t="s">
        <v>871</v>
      </c>
      <c r="D246" s="53">
        <f>ROUND(設定!$B$5*POWER($D$2,W246-1),2)</f>
        <v>4525.93</v>
      </c>
      <c r="E246" s="54">
        <f>MAX(1,ROUND(設定!$B$6*AE246*Y246,0))</f>
        <v>3349</v>
      </c>
      <c r="F246" s="54">
        <f>MAX(0,ROUND(設定!$B$7*AE246*設定!$B$15*IF(X246="Melee",0.6,1.35)*IFERROR(VLOOKUP($AM246,個性タイプマスタ!$A$5:$P$100,14,FALSE),1),0))</f>
        <v>627</v>
      </c>
      <c r="G246" s="54">
        <f>IF(X246="Melee",AN246,MAX(1,ROUND(AN246*設定!$B$16*IFERROR(VLOOKUP($AM246,個性タイプマスタ!$A$5:$P$100,15,FALSE),1),0)))</f>
        <v>228</v>
      </c>
      <c r="H246" s="54">
        <f>IF(X246="Ranged",AN246,MAX(1,ROUND(AN246*設定!$B$16*IFERROR(VLOOKUP($AM246,個性タイプマスタ!$A$5:$P$100,15,FALSE),1),0)))</f>
        <v>778</v>
      </c>
      <c r="I246" s="54">
        <f>MAX(0,ROUND(設定!$B$8*AE246*Z246,0))</f>
        <v>261</v>
      </c>
      <c r="J246" s="54">
        <f>MAX(0,ROUND(設定!$B$9*AE246*AA246,0))</f>
        <v>304</v>
      </c>
      <c r="K246" s="55">
        <f>IFERROR(VLOOKUP($AM246,個性タイプマスタ!$A$5:$P$100,9,FALSE),0.05)</f>
        <v>0.05</v>
      </c>
      <c r="L246" s="56">
        <f>IFERROR(VLOOKUP($AM246,個性タイプマスタ!$A$5:$P$100,10,FALSE),1.5)</f>
        <v>1.4</v>
      </c>
      <c r="M246" s="56">
        <f>IFERROR(VLOOKUP($AM246,個性タイプマスタ!$A$5:$P$100,11,FALSE),2)</f>
        <v>3.35</v>
      </c>
      <c r="N246" s="57">
        <f>MAX(0.1,ROUND(設定!$B$10*AB246,3))</f>
        <v>1.55</v>
      </c>
      <c r="O246" s="57">
        <f t="shared" si="12"/>
        <v>2.2999999999999998</v>
      </c>
      <c r="P246" s="58">
        <f>MAX(-10,MIN(0.8,IFERROR(INDEX(属性耐性マスタ!$B$5:$G$11,MATCH($C246,属性耐性マスタ!$A$5:$A$11,0),1),0)+IFERROR(VLOOKUP($AM246,個性タイプマスタ!$A$5:$P$100,12,FALSE),0)))</f>
        <v>-7.0000000000000007E-2</v>
      </c>
      <c r="Q246" s="58">
        <f>MAX(-10,MIN(0.8,IFERROR(INDEX(属性耐性マスタ!$B$5:$G$11,MATCH($C246,属性耐性マスタ!$A$5:$A$11,0),2),0)+IFERROR(VLOOKUP($AM246,個性タイプマスタ!$A$5:$P$100,12,FALSE),0)))</f>
        <v>-7.0000000000000007E-2</v>
      </c>
      <c r="R246" s="58">
        <f>MAX(-10,MIN(0.8,IFERROR(INDEX(属性耐性マスタ!$B$5:$G$11,MATCH($C246,属性耐性マスタ!$A$5:$A$11,0),3),0)+IFERROR(VLOOKUP($AM246,個性タイプマスタ!$A$5:$P$100,12,FALSE),0)))</f>
        <v>-0.17</v>
      </c>
      <c r="S246" s="58">
        <f>MAX(-10,MIN(0.8,IFERROR(INDEX(属性耐性マスタ!$B$5:$G$11,MATCH($C246,属性耐性マスタ!$A$5:$A$11,0),4),0)+IFERROR(VLOOKUP($AM246,個性タイプマスタ!$A$5:$P$100,12,FALSE),0)))</f>
        <v>0.13</v>
      </c>
      <c r="T246" s="58">
        <f>MAX(-10,MIN(0.8,IFERROR(INDEX(属性耐性マスタ!$B$5:$G$11,MATCH($C246,属性耐性マスタ!$A$5:$A$11,0),5),0)+IFERROR(VLOOKUP($AM246,個性タイプマスタ!$A$5:$P$100,12,FALSE),0)))</f>
        <v>-7.0000000000000007E-2</v>
      </c>
      <c r="U246" s="58">
        <f>MAX(-10,MIN(0.8,IFERROR(INDEX(属性耐性マスタ!$B$5:$G$11,MATCH($C246,属性耐性マスタ!$A$5:$A$11,0),6),0)+IFERROR(VLOOKUP($AM246,個性タイプマスタ!$A$5:$P$100,12,FALSE),0)))</f>
        <v>-7.0000000000000007E-2</v>
      </c>
      <c r="V246" s="59">
        <f>ROUND(設定!$B$19*IFERROR(VLOOKUP($AM246,個性タイプマスタ!$A$5:$P$100,13,FALSE),1),2)</f>
        <v>4</v>
      </c>
      <c r="W246" s="59">
        <v>41</v>
      </c>
      <c r="X246" s="59" t="str">
        <f>IFERROR(VLOOKUP($AM246,個性タイプマスタ!$A$5:$P$100,2,FALSE),"Ranged")</f>
        <v>Ranged</v>
      </c>
      <c r="Y246" s="56">
        <f>IFERROR(VLOOKUP($AM246,個性タイプマスタ!$A$5:$P$100,3,FALSE),1)</f>
        <v>0.74</v>
      </c>
      <c r="Z246" s="56">
        <f>IFERROR(VLOOKUP($AM246,個性タイプマスタ!$A$5:$P$100,4,FALSE),1)</f>
        <v>0.72</v>
      </c>
      <c r="AA246" s="56">
        <f>IFERROR(VLOOKUP($AM246,個性タイプマスタ!$A$5:$P$100,5,FALSE),1)</f>
        <v>0.84</v>
      </c>
      <c r="AB246" s="56">
        <f>IFERROR(VLOOKUP($AM246,個性タイプマスタ!$A$5:$P$100,6,FALSE),1)</f>
        <v>1.55</v>
      </c>
      <c r="AC246" s="56">
        <f>IFERROR(VLOOKUP($AM246,個性タイプマスタ!$A$5:$P$100,7,FALSE),1)</f>
        <v>0.92</v>
      </c>
      <c r="AD246" s="56">
        <f>IFERROR(VLOOKUP($AM246,個性タイプマスタ!$A$5:$P$100,8,FALSE),1)</f>
        <v>0.61</v>
      </c>
      <c r="AE246" s="60">
        <f>IFERROR(D246/設定!$B$5,1)</f>
        <v>45.259300000000003</v>
      </c>
      <c r="AF246" s="60">
        <f>1+設定!$B$13*((I246/設定!$B$8+J246/設定!$B$9)/(2*AE246))</f>
        <v>1.2340679153234804</v>
      </c>
      <c r="AG246" s="60">
        <f>MAX(0.7,1+設定!$B$14*(O246/IF(X246="Melee",1.5,2.5)-1))</f>
        <v>0.99039999999999995</v>
      </c>
      <c r="AH246" s="53">
        <f t="shared" si="13"/>
        <v>1218.2098272000001</v>
      </c>
      <c r="AI246" s="53">
        <f>E246*AF246*(1+設定!$B$18*AVERAGE(P246:U246))</f>
        <v>4033.7040056562955</v>
      </c>
      <c r="AJ246" s="61">
        <f>設定!$B$5*SQRT((AH246/(設定!$B$7*設定!$B$10*(1+設定!$B$11*(設定!$B$12-1))))*(AI246/(設定!$B$6*(1+設定!$B$13))))</f>
        <v>4526.2986012122365</v>
      </c>
      <c r="AK246" s="62">
        <f t="shared" si="14"/>
        <v>8.144209305838146E-5</v>
      </c>
      <c r="AL246" s="63">
        <f t="shared" si="15"/>
        <v>2760.8173000000002</v>
      </c>
      <c r="AM246" s="64" t="s">
        <v>908</v>
      </c>
      <c r="AN246" s="54">
        <f>MAX(1,ROUND((設定!$B$7*設定!$B$10*(1+設定!$B$11*(設定!$B$12-1)))*AE246^2*(設定!$B$6*(1+設定!$B$13))/(AI246*N246*(1+K246*(L246-1))*AG246),0))</f>
        <v>778</v>
      </c>
      <c r="AO246" s="65" t="str">
        <f>IF($A246="","",IF(COUNTIF(個性タイプマスタ!$A$5:$A$100,$AM246)&gt;0,"OK","未登録"))</f>
        <v>OK</v>
      </c>
      <c r="AP246" s="67" t="str">
        <f>IF($A246="","",IF(COUNTIF(属性耐性マスタ!$A$5:$A$11,$C246)&gt;0,"OK","未登録"))</f>
        <v>OK</v>
      </c>
    </row>
    <row r="247" spans="1:42">
      <c r="A247" s="66" t="s">
        <v>594</v>
      </c>
      <c r="B247" s="51" t="s">
        <v>595</v>
      </c>
      <c r="C247" s="109" t="s">
        <v>108</v>
      </c>
      <c r="D247" s="53">
        <f>ROUND(設定!$B$5*POWER($D$2,W247-1),2)</f>
        <v>4525.93</v>
      </c>
      <c r="E247" s="54">
        <f>MAX(1,ROUND(設定!$B$6*AE247*Y247,0))</f>
        <v>3304</v>
      </c>
      <c r="F247" s="54">
        <f>MAX(0,ROUND(設定!$B$7*AE247*設定!$B$15*IF(X247="Melee",0.6,1.35)*IFERROR(VLOOKUP($AM247,個性タイプマスタ!$A$5:$P$100,14,FALSE),1),0))</f>
        <v>779</v>
      </c>
      <c r="G247" s="54">
        <f>IF(X247="Melee",AN247,MAX(1,ROUND(AN247*設定!$B$16*IFERROR(VLOOKUP($AM247,個性タイプマスタ!$A$5:$P$100,15,FALSE),1),0)))</f>
        <v>255</v>
      </c>
      <c r="H247" s="54">
        <f>IF(X247="Ranged",AN247,MAX(1,ROUND(AN247*設定!$B$16*IFERROR(VLOOKUP($AM247,個性タイプマスタ!$A$5:$P$100,15,FALSE),1),0)))</f>
        <v>1011</v>
      </c>
      <c r="I247" s="54">
        <f>MAX(0,ROUND(設定!$B$8*AE247*Z247,0))</f>
        <v>279</v>
      </c>
      <c r="J247" s="54">
        <f>MAX(0,ROUND(設定!$B$9*AE247*AA247,0))</f>
        <v>308</v>
      </c>
      <c r="K247" s="55">
        <f>IFERROR(VLOOKUP($AM247,個性タイプマスタ!$A$5:$P$100,9,FALSE),0.05)</f>
        <v>0.26</v>
      </c>
      <c r="L247" s="56">
        <f>IFERROR(VLOOKUP($AM247,個性タイプマスタ!$A$5:$P$100,10,FALSE),1.5)</f>
        <v>1.95</v>
      </c>
      <c r="M247" s="56">
        <f>IFERROR(VLOOKUP($AM247,個性タイプマスタ!$A$5:$P$100,11,FALSE),2)</f>
        <v>2.75</v>
      </c>
      <c r="N247" s="57">
        <f>MAX(0.1,ROUND(設定!$B$10*AB247,3))</f>
        <v>0.95</v>
      </c>
      <c r="O247" s="57">
        <f t="shared" si="12"/>
        <v>2.8</v>
      </c>
      <c r="P247" s="58">
        <f>MAX(-10,MIN(0.8,IFERROR(INDEX(属性耐性マスタ!$B$5:$G$11,MATCH($C247,属性耐性マスタ!$A$5:$A$11,0),1),0)+IFERROR(VLOOKUP($AM247,個性タイプマスタ!$A$5:$P$100,12,FALSE),0)))</f>
        <v>-0.15000000000000002</v>
      </c>
      <c r="Q247" s="58">
        <f>MAX(-10,MIN(0.8,IFERROR(INDEX(属性耐性マスタ!$B$5:$G$11,MATCH($C247,属性耐性マスタ!$A$5:$A$11,0),2),0)+IFERROR(VLOOKUP($AM247,個性タイプマスタ!$A$5:$P$100,12,FALSE),0)))</f>
        <v>0.15000000000000002</v>
      </c>
      <c r="R247" s="58">
        <f>MAX(-10,MIN(0.8,IFERROR(INDEX(属性耐性マスタ!$B$5:$G$11,MATCH($C247,属性耐性マスタ!$A$5:$A$11,0),3),0)+IFERROR(VLOOKUP($AM247,個性タイプマスタ!$A$5:$P$100,12,FALSE),0)))</f>
        <v>-0.05</v>
      </c>
      <c r="S247" s="58">
        <f>MAX(-10,MIN(0.8,IFERROR(INDEX(属性耐性マスタ!$B$5:$G$11,MATCH($C247,属性耐性マスタ!$A$5:$A$11,0),4),0)+IFERROR(VLOOKUP($AM247,個性タイプマスタ!$A$5:$P$100,12,FALSE),0)))</f>
        <v>-0.05</v>
      </c>
      <c r="T247" s="58">
        <f>MAX(-10,MIN(0.8,IFERROR(INDEX(属性耐性マスタ!$B$5:$G$11,MATCH($C247,属性耐性マスタ!$A$5:$A$11,0),5),0)+IFERROR(VLOOKUP($AM247,個性タイプマスタ!$A$5:$P$100,12,FALSE),0)))</f>
        <v>-0.05</v>
      </c>
      <c r="U247" s="58">
        <f>MAX(-10,MIN(0.8,IFERROR(INDEX(属性耐性マスタ!$B$5:$G$11,MATCH($C247,属性耐性マスタ!$A$5:$A$11,0),6),0)+IFERROR(VLOOKUP($AM247,個性タイプマスタ!$A$5:$P$100,12,FALSE),0)))</f>
        <v>-0.05</v>
      </c>
      <c r="V247" s="59">
        <f>ROUND(設定!$B$19*IFERROR(VLOOKUP($AM247,個性タイプマスタ!$A$5:$P$100,13,FALSE),1),2)</f>
        <v>4.4000000000000004</v>
      </c>
      <c r="W247" s="59">
        <v>41</v>
      </c>
      <c r="X247" s="59" t="str">
        <f>IFERROR(VLOOKUP($AM247,個性タイプマスタ!$A$5:$P$100,2,FALSE),"Ranged")</f>
        <v>Ranged</v>
      </c>
      <c r="Y247" s="56">
        <f>IFERROR(VLOOKUP($AM247,個性タイプマスタ!$A$5:$P$100,3,FALSE),1)</f>
        <v>0.73</v>
      </c>
      <c r="Z247" s="56">
        <f>IFERROR(VLOOKUP($AM247,個性タイプマスタ!$A$5:$P$100,4,FALSE),1)</f>
        <v>0.77</v>
      </c>
      <c r="AA247" s="56">
        <f>IFERROR(VLOOKUP($AM247,個性タイプマスタ!$A$5:$P$100,5,FALSE),1)</f>
        <v>0.85</v>
      </c>
      <c r="AB247" s="56">
        <f>IFERROR(VLOOKUP($AM247,個性タイプマスタ!$A$5:$P$100,6,FALSE),1)</f>
        <v>0.95</v>
      </c>
      <c r="AC247" s="56">
        <f>IFERROR(VLOOKUP($AM247,個性タイプマスタ!$A$5:$P$100,7,FALSE),1)</f>
        <v>1.1200000000000001</v>
      </c>
      <c r="AD247" s="56">
        <f>IFERROR(VLOOKUP($AM247,個性タイプマスタ!$A$5:$P$100,8,FALSE),1)</f>
        <v>0.66</v>
      </c>
      <c r="AE247" s="60">
        <f>IFERROR(D247/設定!$B$5,1)</f>
        <v>45.259300000000003</v>
      </c>
      <c r="AF247" s="60">
        <f>1+設定!$B$13*((I247/設定!$B$8+J247/設定!$B$9)/(2*AE247))</f>
        <v>1.243182064238731</v>
      </c>
      <c r="AG247" s="60">
        <f>MAX(0.7,1+設定!$B$14*(O247/IF(X247="Melee",1.5,2.5)-1))</f>
        <v>1.0144</v>
      </c>
      <c r="AH247" s="53">
        <f t="shared" si="13"/>
        <v>1214.9277585599998</v>
      </c>
      <c r="AI247" s="53">
        <f>E247*AF247*(1+設定!$B$18*AVERAGE(P247:U247))</f>
        <v>4045.8614371410954</v>
      </c>
      <c r="AJ247" s="61">
        <f>設定!$B$5*SQRT((AH247/(設定!$B$7*設定!$B$10*(1+設定!$B$11*(設定!$B$12-1))))*(AI247/(設定!$B$6*(1+設定!$B$13))))</f>
        <v>4527.0038987885046</v>
      </c>
      <c r="AK247" s="62">
        <f t="shared" si="14"/>
        <v>2.372769328080615E-4</v>
      </c>
      <c r="AL247" s="63">
        <f t="shared" si="15"/>
        <v>2987.1138000000005</v>
      </c>
      <c r="AM247" s="64" t="s">
        <v>922</v>
      </c>
      <c r="AN247" s="54">
        <f>MAX(1,ROUND((設定!$B$7*設定!$B$10*(1+設定!$B$11*(設定!$B$12-1)))*AE247^2*(設定!$B$6*(1+設定!$B$13))/(AI247*N247*(1+K247*(L247-1))*AG247),0))</f>
        <v>1011</v>
      </c>
      <c r="AO247" s="65" t="str">
        <f>IF($A247="","",IF(COUNTIF(個性タイプマスタ!$A$5:$A$100,$AM247)&gt;0,"OK","未登録"))</f>
        <v>OK</v>
      </c>
      <c r="AP247" s="67" t="str">
        <f>IF($A247="","",IF(COUNTIF(属性耐性マスタ!$A$5:$A$11,$C247)&gt;0,"OK","未登録"))</f>
        <v>OK</v>
      </c>
    </row>
    <row r="248" spans="1:42">
      <c r="A248" s="66" t="s">
        <v>596</v>
      </c>
      <c r="B248" s="51" t="s">
        <v>597</v>
      </c>
      <c r="C248" s="109" t="s">
        <v>874</v>
      </c>
      <c r="D248" s="53">
        <f>ROUND(設定!$B$5*POWER($D$2,W248-1),2)</f>
        <v>4525.93</v>
      </c>
      <c r="E248" s="54">
        <f>MAX(1,ROUND(設定!$B$6*AE248*Y248,0))</f>
        <v>3621</v>
      </c>
      <c r="F248" s="54">
        <f>MAX(0,ROUND(設定!$B$7*AE248*設定!$B$15*IF(X248="Melee",0.6,1.35)*IFERROR(VLOOKUP($AM248,個性タイプマスタ!$A$5:$P$100,14,FALSE),1),0))</f>
        <v>308</v>
      </c>
      <c r="G248" s="54">
        <f>IF(X248="Melee",AN248,MAX(1,ROUND(AN248*設定!$B$16*IFERROR(VLOOKUP($AM248,個性タイプマスタ!$A$5:$P$100,15,FALSE),1),0)))</f>
        <v>829</v>
      </c>
      <c r="H248" s="54">
        <f>IF(X248="Ranged",AN248,MAX(1,ROUND(AN248*設定!$B$16*IFERROR(VLOOKUP($AM248,個性タイプマスタ!$A$5:$P$100,15,FALSE),1),0)))</f>
        <v>261</v>
      </c>
      <c r="I248" s="54">
        <f>MAX(0,ROUND(設定!$B$8*AE248*Z248,0))</f>
        <v>279</v>
      </c>
      <c r="J248" s="54">
        <f>MAX(0,ROUND(設定!$B$9*AE248*AA248,0))</f>
        <v>301</v>
      </c>
      <c r="K248" s="55">
        <f>IFERROR(VLOOKUP($AM248,個性タイプマスタ!$A$5:$P$100,9,FALSE),0.05)</f>
        <v>6.5000000000000002E-2</v>
      </c>
      <c r="L248" s="56">
        <f>IFERROR(VLOOKUP($AM248,個性タイプマスタ!$A$5:$P$100,10,FALSE),1.5)</f>
        <v>1.46</v>
      </c>
      <c r="M248" s="56">
        <f>IFERROR(VLOOKUP($AM248,個性タイプマスタ!$A$5:$P$100,11,FALSE),2)</f>
        <v>3.88</v>
      </c>
      <c r="N248" s="57">
        <f>MAX(0.1,ROUND(設定!$B$10*AB248,3))</f>
        <v>1.29</v>
      </c>
      <c r="O248" s="57">
        <f t="shared" si="12"/>
        <v>1.5449999999999999</v>
      </c>
      <c r="P248" s="58">
        <f>MAX(-10,MIN(0.8,IFERROR(INDEX(属性耐性マスタ!$B$5:$G$11,MATCH($C248,属性耐性マスタ!$A$5:$A$11,0),1),0)+IFERROR(VLOOKUP($AM248,個性タイプマスタ!$A$5:$P$100,12,FALSE),0)))</f>
        <v>-0.04</v>
      </c>
      <c r="Q248" s="58">
        <f>MAX(-10,MIN(0.8,IFERROR(INDEX(属性耐性マスタ!$B$5:$G$11,MATCH($C248,属性耐性マスタ!$A$5:$A$11,0),2),0)+IFERROR(VLOOKUP($AM248,個性タイプマスタ!$A$5:$P$100,12,FALSE),0)))</f>
        <v>-0.04</v>
      </c>
      <c r="R248" s="58">
        <f>MAX(-10,MIN(0.8,IFERROR(INDEX(属性耐性マスタ!$B$5:$G$11,MATCH($C248,属性耐性マスタ!$A$5:$A$11,0),3),0)+IFERROR(VLOOKUP($AM248,個性タイプマスタ!$A$5:$P$100,12,FALSE),0)))</f>
        <v>-0.04</v>
      </c>
      <c r="S248" s="58">
        <f>MAX(-10,MIN(0.8,IFERROR(INDEX(属性耐性マスタ!$B$5:$G$11,MATCH($C248,属性耐性マスタ!$A$5:$A$11,0),4),0)+IFERROR(VLOOKUP($AM248,個性タイプマスタ!$A$5:$P$100,12,FALSE),0)))</f>
        <v>-0.04</v>
      </c>
      <c r="T248" s="58">
        <f>MAX(-10,MIN(0.8,IFERROR(INDEX(属性耐性マスタ!$B$5:$G$11,MATCH($C248,属性耐性マスタ!$A$5:$A$11,0),5),0)+IFERROR(VLOOKUP($AM248,個性タイプマスタ!$A$5:$P$100,12,FALSE),0)))</f>
        <v>-0.14000000000000001</v>
      </c>
      <c r="U248" s="58">
        <f>MAX(-10,MIN(0.8,IFERROR(INDEX(属性耐性マスタ!$B$5:$G$11,MATCH($C248,属性耐性マスタ!$A$5:$A$11,0),6),0)+IFERROR(VLOOKUP($AM248,個性タイプマスタ!$A$5:$P$100,12,FALSE),0)))</f>
        <v>0.16</v>
      </c>
      <c r="V248" s="59">
        <f>ROUND(設定!$B$19*IFERROR(VLOOKUP($AM248,個性タイプマスタ!$A$5:$P$100,13,FALSE),1),2)</f>
        <v>9.1999999999999993</v>
      </c>
      <c r="W248" s="59">
        <v>41</v>
      </c>
      <c r="X248" s="59" t="str">
        <f>IFERROR(VLOOKUP($AM248,個性タイプマスタ!$A$5:$P$100,2,FALSE),"Ranged")</f>
        <v>Melee</v>
      </c>
      <c r="Y248" s="56">
        <f>IFERROR(VLOOKUP($AM248,個性タイプマスタ!$A$5:$P$100,3,FALSE),1)</f>
        <v>0.8</v>
      </c>
      <c r="Z248" s="56">
        <f>IFERROR(VLOOKUP($AM248,個性タイプマスタ!$A$5:$P$100,4,FALSE),1)</f>
        <v>0.77</v>
      </c>
      <c r="AA248" s="56">
        <f>IFERROR(VLOOKUP($AM248,個性タイプマスタ!$A$5:$P$100,5,FALSE),1)</f>
        <v>0.83</v>
      </c>
      <c r="AB248" s="56">
        <f>IFERROR(VLOOKUP($AM248,個性タイプマスタ!$A$5:$P$100,6,FALSE),1)</f>
        <v>1.29</v>
      </c>
      <c r="AC248" s="56">
        <f>IFERROR(VLOOKUP($AM248,個性タイプマスタ!$A$5:$P$100,7,FALSE),1)</f>
        <v>1.03</v>
      </c>
      <c r="AD248" s="56">
        <f>IFERROR(VLOOKUP($AM248,個性タイプマスタ!$A$5:$P$100,8,FALSE),1)</f>
        <v>0.71</v>
      </c>
      <c r="AE248" s="60">
        <f>IFERROR(D248/設定!$B$5,1)</f>
        <v>45.259300000000003</v>
      </c>
      <c r="AF248" s="60">
        <f>1+設定!$B$13*((I248/設定!$B$8+J248/設定!$B$9)/(2*AE248))</f>
        <v>1.2402821077656967</v>
      </c>
      <c r="AG248" s="60">
        <f>MAX(0.7,1+設定!$B$14*(O248/IF(X248="Melee",1.5,2.5)-1))</f>
        <v>1.0036</v>
      </c>
      <c r="AH248" s="53">
        <f t="shared" si="13"/>
        <v>1105.3503462924002</v>
      </c>
      <c r="AI248" s="53">
        <f>E248*AF248*(1+設定!$B$18*AVERAGE(P248:U248))</f>
        <v>4443.9053663412824</v>
      </c>
      <c r="AJ248" s="61">
        <f>設定!$B$5*SQRT((AH248/(設定!$B$7*設定!$B$10*(1+設定!$B$11*(設定!$B$12-1))))*(AI248/(設定!$B$6*(1+設定!$B$13))))</f>
        <v>4525.4577580450214</v>
      </c>
      <c r="AK248" s="62">
        <f t="shared" si="14"/>
        <v>-1.0434141822324161E-4</v>
      </c>
      <c r="AL248" s="63">
        <f t="shared" si="15"/>
        <v>3213.4103</v>
      </c>
      <c r="AM248" s="64" t="s">
        <v>974</v>
      </c>
      <c r="AN248" s="54">
        <f>MAX(1,ROUND((設定!$B$7*設定!$B$10*(1+設定!$B$11*(設定!$B$12-1)))*AE248^2*(設定!$B$6*(1+設定!$B$13))/(AI248*N248*(1+K248*(L248-1))*AG248),0))</f>
        <v>829</v>
      </c>
      <c r="AO248" s="65" t="str">
        <f>IF($A248="","",IF(COUNTIF(個性タイプマスタ!$A$5:$A$100,$AM248)&gt;0,"OK","未登録"))</f>
        <v>OK</v>
      </c>
      <c r="AP248" s="67" t="str">
        <f>IF($A248="","",IF(COUNTIF(属性耐性マスタ!$A$5:$A$11,$C248)&gt;0,"OK","未登録"))</f>
        <v>OK</v>
      </c>
    </row>
    <row r="249" spans="1:42">
      <c r="A249" s="66" t="s">
        <v>598</v>
      </c>
      <c r="B249" s="51" t="s">
        <v>599</v>
      </c>
      <c r="C249" s="109" t="s">
        <v>874</v>
      </c>
      <c r="D249" s="53">
        <f>ROUND(設定!$B$5*POWER($D$2,W249-1),2)</f>
        <v>4525.93</v>
      </c>
      <c r="E249" s="54">
        <f>MAX(1,ROUND(設定!$B$6*AE249*Y249,0))</f>
        <v>3621</v>
      </c>
      <c r="F249" s="54">
        <f>MAX(0,ROUND(設定!$B$7*AE249*設定!$B$15*IF(X249="Melee",0.6,1.35)*IFERROR(VLOOKUP($AM249,個性タイプマスタ!$A$5:$P$100,14,FALSE),1),0))</f>
        <v>249</v>
      </c>
      <c r="G249" s="54">
        <f>IF(X249="Melee",AN249,MAX(1,ROUND(AN249*設定!$B$16*IFERROR(VLOOKUP($AM249,個性タイプマスタ!$A$5:$P$100,15,FALSE),1),0)))</f>
        <v>802</v>
      </c>
      <c r="H249" s="54">
        <f>IF(X249="Ranged",AN249,MAX(1,ROUND(AN249*設定!$B$16*IFERROR(VLOOKUP($AM249,個性タイプマスタ!$A$5:$P$100,15,FALSE),1),0)))</f>
        <v>361</v>
      </c>
      <c r="I249" s="54">
        <f>MAX(0,ROUND(設定!$B$8*AE249*Z249,0))</f>
        <v>290</v>
      </c>
      <c r="J249" s="54">
        <f>MAX(0,ROUND(設定!$B$9*AE249*AA249,0))</f>
        <v>290</v>
      </c>
      <c r="K249" s="55">
        <f>IFERROR(VLOOKUP($AM249,個性タイプマスタ!$A$5:$P$100,9,FALSE),0.05)</f>
        <v>0.08</v>
      </c>
      <c r="L249" s="56">
        <f>IFERROR(VLOOKUP($AM249,個性タイプマスタ!$A$5:$P$100,10,FALSE),1.5)</f>
        <v>1.55</v>
      </c>
      <c r="M249" s="56">
        <f>IFERROR(VLOOKUP($AM249,個性タイプマスタ!$A$5:$P$100,11,FALSE),2)</f>
        <v>3.3</v>
      </c>
      <c r="N249" s="57">
        <f>MAX(0.1,ROUND(設定!$B$10*AB249,3))</f>
        <v>1.32</v>
      </c>
      <c r="O249" s="57">
        <f t="shared" si="12"/>
        <v>1.5</v>
      </c>
      <c r="P249" s="58">
        <f>MAX(-10,MIN(0.8,IFERROR(INDEX(属性耐性マスタ!$B$5:$G$11,MATCH($C249,属性耐性マスタ!$A$5:$A$11,0),1),0)+IFERROR(VLOOKUP($AM249,個性タイプマスタ!$A$5:$P$100,12,FALSE),0)))</f>
        <v>-0.04</v>
      </c>
      <c r="Q249" s="58">
        <f>MAX(-10,MIN(0.8,IFERROR(INDEX(属性耐性マスタ!$B$5:$G$11,MATCH($C249,属性耐性マスタ!$A$5:$A$11,0),2),0)+IFERROR(VLOOKUP($AM249,個性タイプマスタ!$A$5:$P$100,12,FALSE),0)))</f>
        <v>-0.04</v>
      </c>
      <c r="R249" s="58">
        <f>MAX(-10,MIN(0.8,IFERROR(INDEX(属性耐性マスタ!$B$5:$G$11,MATCH($C249,属性耐性マスタ!$A$5:$A$11,0),3),0)+IFERROR(VLOOKUP($AM249,個性タイプマスタ!$A$5:$P$100,12,FALSE),0)))</f>
        <v>-0.04</v>
      </c>
      <c r="S249" s="58">
        <f>MAX(-10,MIN(0.8,IFERROR(INDEX(属性耐性マスタ!$B$5:$G$11,MATCH($C249,属性耐性マスタ!$A$5:$A$11,0),4),0)+IFERROR(VLOOKUP($AM249,個性タイプマスタ!$A$5:$P$100,12,FALSE),0)))</f>
        <v>-0.04</v>
      </c>
      <c r="T249" s="58">
        <f>MAX(-10,MIN(0.8,IFERROR(INDEX(属性耐性マスタ!$B$5:$G$11,MATCH($C249,属性耐性マスタ!$A$5:$A$11,0),5),0)+IFERROR(VLOOKUP($AM249,個性タイプマスタ!$A$5:$P$100,12,FALSE),0)))</f>
        <v>-0.14000000000000001</v>
      </c>
      <c r="U249" s="58">
        <f>MAX(-10,MIN(0.8,IFERROR(INDEX(属性耐性マスタ!$B$5:$G$11,MATCH($C249,属性耐性マスタ!$A$5:$A$11,0),6),0)+IFERROR(VLOOKUP($AM249,個性タイプマスタ!$A$5:$P$100,12,FALSE),0)))</f>
        <v>0.16</v>
      </c>
      <c r="V249" s="59">
        <f>ROUND(設定!$B$19*IFERROR(VLOOKUP($AM249,個性タイプマスタ!$A$5:$P$100,13,FALSE),1),2)</f>
        <v>4.8</v>
      </c>
      <c r="W249" s="59">
        <v>41</v>
      </c>
      <c r="X249" s="59" t="str">
        <f>IFERROR(VLOOKUP($AM249,個性タイプマスタ!$A$5:$P$100,2,FALSE),"Ranged")</f>
        <v>Melee</v>
      </c>
      <c r="Y249" s="56">
        <f>IFERROR(VLOOKUP($AM249,個性タイプマスタ!$A$5:$P$100,3,FALSE),1)</f>
        <v>0.8</v>
      </c>
      <c r="Z249" s="56">
        <f>IFERROR(VLOOKUP($AM249,個性タイプマスタ!$A$5:$P$100,4,FALSE),1)</f>
        <v>0.8</v>
      </c>
      <c r="AA249" s="56">
        <f>IFERROR(VLOOKUP($AM249,個性タイプマスタ!$A$5:$P$100,5,FALSE),1)</f>
        <v>0.8</v>
      </c>
      <c r="AB249" s="56">
        <f>IFERROR(VLOOKUP($AM249,個性タイプマスタ!$A$5:$P$100,6,FALSE),1)</f>
        <v>1.32</v>
      </c>
      <c r="AC249" s="56">
        <f>IFERROR(VLOOKUP($AM249,個性タイプマスタ!$A$5:$P$100,7,FALSE),1)</f>
        <v>1</v>
      </c>
      <c r="AD249" s="56">
        <f>IFERROR(VLOOKUP($AM249,個性タイプマスタ!$A$5:$P$100,8,FALSE),1)</f>
        <v>0.68</v>
      </c>
      <c r="AE249" s="60">
        <f>IFERROR(D249/設定!$B$5,1)</f>
        <v>45.259300000000003</v>
      </c>
      <c r="AF249" s="60">
        <f>1+設定!$B$13*((I249/設定!$B$8+J249/設定!$B$9)/(2*AE249))</f>
        <v>1.2402821077656967</v>
      </c>
      <c r="AG249" s="60">
        <f>MAX(0.7,1+設定!$B$14*(O249/IF(X249="Melee",1.5,2.5)-1))</f>
        <v>1</v>
      </c>
      <c r="AH249" s="53">
        <f t="shared" si="13"/>
        <v>1105.2201600000001</v>
      </c>
      <c r="AI249" s="53">
        <f>E249*AF249*(1+設定!$B$18*AVERAGE(P249:U249))</f>
        <v>4443.9053663412824</v>
      </c>
      <c r="AJ249" s="61">
        <f>設定!$B$5*SQRT((AH249/(設定!$B$7*設定!$B$10*(1+設定!$B$11*(設定!$B$12-1))))*(AI249/(設定!$B$6*(1+設定!$B$13))))</f>
        <v>4525.191249821055</v>
      </c>
      <c r="AK249" s="62">
        <f t="shared" si="14"/>
        <v>-1.6322616102004694E-4</v>
      </c>
      <c r="AL249" s="63">
        <f t="shared" si="15"/>
        <v>3077.6324000000004</v>
      </c>
      <c r="AM249" s="64" t="s">
        <v>902</v>
      </c>
      <c r="AN249" s="54">
        <f>MAX(1,ROUND((設定!$B$7*設定!$B$10*(1+設定!$B$11*(設定!$B$12-1)))*AE249^2*(設定!$B$6*(1+設定!$B$13))/(AI249*N249*(1+K249*(L249-1))*AG249),0))</f>
        <v>802</v>
      </c>
      <c r="AO249" s="65" t="str">
        <f>IF($A249="","",IF(COUNTIF(個性タイプマスタ!$A$5:$A$100,$AM249)&gt;0,"OK","未登録"))</f>
        <v>OK</v>
      </c>
      <c r="AP249" s="67" t="str">
        <f>IF($A249="","",IF(COUNTIF(属性耐性マスタ!$A$5:$A$11,$C249)&gt;0,"OK","未登録"))</f>
        <v>OK</v>
      </c>
    </row>
    <row r="250" spans="1:42">
      <c r="A250" s="66" t="s">
        <v>600</v>
      </c>
      <c r="B250" s="51" t="s">
        <v>601</v>
      </c>
      <c r="C250" s="109" t="s">
        <v>871</v>
      </c>
      <c r="D250" s="53">
        <f>ROUND(設定!$B$5*POWER($D$2,W250-1),2)</f>
        <v>4525.93</v>
      </c>
      <c r="E250" s="54">
        <f>MAX(1,ROUND(設定!$B$6*AE250*Y250,0))</f>
        <v>2625</v>
      </c>
      <c r="F250" s="54">
        <f>MAX(0,ROUND(設定!$B$7*AE250*設定!$B$15*IF(X250="Melee",0.6,1.35)*IFERROR(VLOOKUP($AM250,個性タイプマスタ!$A$5:$P$100,14,FALSE),1),0))</f>
        <v>515</v>
      </c>
      <c r="G250" s="54">
        <f>IF(X250="Melee",AN250,MAX(1,ROUND(AN250*設定!$B$16*IFERROR(VLOOKUP($AM250,個性タイプマスタ!$A$5:$P$100,15,FALSE),1),0)))</f>
        <v>258</v>
      </c>
      <c r="H250" s="54">
        <f>IF(X250="Ranged",AN250,MAX(1,ROUND(AN250*設定!$B$16*IFERROR(VLOOKUP($AM250,個性タイプマスタ!$A$5:$P$100,15,FALSE),1),0)))</f>
        <v>1195</v>
      </c>
      <c r="I250" s="54">
        <f>MAX(0,ROUND(設定!$B$8*AE250*Z250,0))</f>
        <v>232</v>
      </c>
      <c r="J250" s="54">
        <f>MAX(0,ROUND(設定!$B$9*AE250*AA250,0))</f>
        <v>235</v>
      </c>
      <c r="K250" s="55">
        <f>IFERROR(VLOOKUP($AM250,個性タイプマスタ!$A$5:$P$100,9,FALSE),0.05)</f>
        <v>0.08</v>
      </c>
      <c r="L250" s="56">
        <f>IFERROR(VLOOKUP($AM250,個性タイプマスタ!$A$5:$P$100,10,FALSE),1.5)</f>
        <v>1.55</v>
      </c>
      <c r="M250" s="56">
        <f>IFERROR(VLOOKUP($AM250,個性タイプマスタ!$A$5:$P$100,11,FALSE),2)</f>
        <v>4.2</v>
      </c>
      <c r="N250" s="57">
        <f>MAX(0.1,ROUND(設定!$B$10*AB250,3))</f>
        <v>1.3</v>
      </c>
      <c r="O250" s="57">
        <f t="shared" si="12"/>
        <v>2.5</v>
      </c>
      <c r="P250" s="58">
        <f>MAX(-10,MIN(0.8,IFERROR(INDEX(属性耐性マスタ!$B$5:$G$11,MATCH($C250,属性耐性マスタ!$A$5:$A$11,0),1),0)+IFERROR(VLOOKUP($AM250,個性タイプマスタ!$A$5:$P$100,12,FALSE),0)))</f>
        <v>-0.09</v>
      </c>
      <c r="Q250" s="58">
        <f>MAX(-10,MIN(0.8,IFERROR(INDEX(属性耐性マスタ!$B$5:$G$11,MATCH($C250,属性耐性マスタ!$A$5:$A$11,0),2),0)+IFERROR(VLOOKUP($AM250,個性タイプマスタ!$A$5:$P$100,12,FALSE),0)))</f>
        <v>-0.09</v>
      </c>
      <c r="R250" s="58">
        <f>MAX(-10,MIN(0.8,IFERROR(INDEX(属性耐性マスタ!$B$5:$G$11,MATCH($C250,属性耐性マスタ!$A$5:$A$11,0),3),0)+IFERROR(VLOOKUP($AM250,個性タイプマスタ!$A$5:$P$100,12,FALSE),0)))</f>
        <v>-0.19</v>
      </c>
      <c r="S250" s="58">
        <f>MAX(-10,MIN(0.8,IFERROR(INDEX(属性耐性マスタ!$B$5:$G$11,MATCH($C250,属性耐性マスタ!$A$5:$A$11,0),4),0)+IFERROR(VLOOKUP($AM250,個性タイプマスタ!$A$5:$P$100,12,FALSE),0)))</f>
        <v>0.11000000000000001</v>
      </c>
      <c r="T250" s="58">
        <f>MAX(-10,MIN(0.8,IFERROR(INDEX(属性耐性マスタ!$B$5:$G$11,MATCH($C250,属性耐性マスタ!$A$5:$A$11,0),5),0)+IFERROR(VLOOKUP($AM250,個性タイプマスタ!$A$5:$P$100,12,FALSE),0)))</f>
        <v>-0.09</v>
      </c>
      <c r="U250" s="58">
        <f>MAX(-10,MIN(0.8,IFERROR(INDEX(属性耐性マスタ!$B$5:$G$11,MATCH($C250,属性耐性マスタ!$A$5:$A$11,0),6),0)+IFERROR(VLOOKUP($AM250,個性タイプマスタ!$A$5:$P$100,12,FALSE),0)))</f>
        <v>-0.09</v>
      </c>
      <c r="V250" s="59">
        <f>ROUND(設定!$B$19*IFERROR(VLOOKUP($AM250,個性タイプマスタ!$A$5:$P$100,13,FALSE),1),2)</f>
        <v>4.2</v>
      </c>
      <c r="W250" s="59">
        <v>41</v>
      </c>
      <c r="X250" s="59" t="str">
        <f>IFERROR(VLOOKUP($AM250,個性タイプマスタ!$A$5:$P$100,2,FALSE),"Ranged")</f>
        <v>Ranged</v>
      </c>
      <c r="Y250" s="56">
        <f>IFERROR(VLOOKUP($AM250,個性タイプマスタ!$A$5:$P$100,3,FALSE),1)</f>
        <v>0.57999999999999996</v>
      </c>
      <c r="Z250" s="56">
        <f>IFERROR(VLOOKUP($AM250,個性タイプマスタ!$A$5:$P$100,4,FALSE),1)</f>
        <v>0.64</v>
      </c>
      <c r="AA250" s="56">
        <f>IFERROR(VLOOKUP($AM250,個性タイプマスタ!$A$5:$P$100,5,FALSE),1)</f>
        <v>0.65</v>
      </c>
      <c r="AB250" s="56">
        <f>IFERROR(VLOOKUP($AM250,個性タイプマスタ!$A$5:$P$100,6,FALSE),1)</f>
        <v>1.3</v>
      </c>
      <c r="AC250" s="56">
        <f>IFERROR(VLOOKUP($AM250,個性タイプマスタ!$A$5:$P$100,7,FALSE),1)</f>
        <v>1</v>
      </c>
      <c r="AD250" s="56">
        <f>IFERROR(VLOOKUP($AM250,個性タイプマスタ!$A$5:$P$100,8,FALSE),1)</f>
        <v>0.56999999999999995</v>
      </c>
      <c r="AE250" s="60">
        <f>IFERROR(D250/設定!$B$5,1)</f>
        <v>45.259300000000003</v>
      </c>
      <c r="AF250" s="60">
        <f>1+設定!$B$13*((I250/設定!$B$8+J250/設定!$B$9)/(2*AE250))</f>
        <v>1.1934685247010006</v>
      </c>
      <c r="AG250" s="60">
        <f>MAX(0.7,1+設定!$B$14*(O250/IF(X250="Melee",1.5,2.5)-1))</f>
        <v>1</v>
      </c>
      <c r="AH250" s="53">
        <f t="shared" si="13"/>
        <v>1621.854</v>
      </c>
      <c r="AI250" s="53">
        <f>E250*AF250*(1+設定!$B$18*AVERAGE(P250:U250))</f>
        <v>3029.4706663879024</v>
      </c>
      <c r="AJ250" s="61">
        <f>設定!$B$5*SQRT((AH250/(設定!$B$7*設定!$B$10*(1+設定!$B$11*(設定!$B$12-1))))*(AI250/(設定!$B$6*(1+設定!$B$13))))</f>
        <v>4526.0504711125468</v>
      </c>
      <c r="AK250" s="62">
        <f t="shared" si="14"/>
        <v>2.6617979629994792E-5</v>
      </c>
      <c r="AL250" s="63">
        <f t="shared" si="15"/>
        <v>2579.7800999999999</v>
      </c>
      <c r="AM250" s="64" t="s">
        <v>914</v>
      </c>
      <c r="AN250" s="54">
        <f>MAX(1,ROUND((設定!$B$7*設定!$B$10*(1+設定!$B$11*(設定!$B$12-1)))*AE250^2*(設定!$B$6*(1+設定!$B$13))/(AI250*N250*(1+K250*(L250-1))*AG250),0))</f>
        <v>1195</v>
      </c>
      <c r="AO250" s="65" t="str">
        <f>IF($A250="","",IF(COUNTIF(個性タイプマスタ!$A$5:$A$100,$AM250)&gt;0,"OK","未登録"))</f>
        <v>OK</v>
      </c>
      <c r="AP250" s="67" t="str">
        <f>IF($A250="","",IF(COUNTIF(属性耐性マスタ!$A$5:$A$11,$C250)&gt;0,"OK","未登録"))</f>
        <v>OK</v>
      </c>
    </row>
    <row r="251" spans="1:42">
      <c r="A251" s="66" t="s">
        <v>602</v>
      </c>
      <c r="B251" s="51" t="s">
        <v>603</v>
      </c>
      <c r="C251" s="109" t="s">
        <v>121</v>
      </c>
      <c r="D251" s="53">
        <f>ROUND(設定!$B$5*POWER($D$2,W251-1),2)</f>
        <v>4978.5200000000004</v>
      </c>
      <c r="E251" s="54">
        <f>MAX(1,ROUND(設定!$B$6*AE251*Y251,0))</f>
        <v>5476</v>
      </c>
      <c r="F251" s="54">
        <f>MAX(0,ROUND(設定!$B$7*AE251*設定!$B$15*IF(X251="Melee",0.6,1.35)*IFERROR(VLOOKUP($AM251,個性タイプマスタ!$A$5:$P$100,14,FALSE),1),0))</f>
        <v>762</v>
      </c>
      <c r="G251" s="54">
        <f>IF(X251="Melee",AN251,MAX(1,ROUND(AN251*設定!$B$16*IFERROR(VLOOKUP($AM251,個性タイプマスタ!$A$5:$P$100,15,FALSE),1),0)))</f>
        <v>348</v>
      </c>
      <c r="H251" s="54">
        <f>IF(X251="Ranged",AN251,MAX(1,ROUND(AN251*設定!$B$16*IFERROR(VLOOKUP($AM251,個性タイプマスタ!$A$5:$P$100,15,FALSE),1),0)))</f>
        <v>773</v>
      </c>
      <c r="I251" s="54">
        <f>MAX(0,ROUND(設定!$B$8*AE251*Z251,0))</f>
        <v>438</v>
      </c>
      <c r="J251" s="54">
        <f>MAX(0,ROUND(設定!$B$9*AE251*AA251,0))</f>
        <v>438</v>
      </c>
      <c r="K251" s="55">
        <f>IFERROR(VLOOKUP($AM251,個性タイプマスタ!$A$5:$P$100,9,FALSE),0.05)</f>
        <v>7.0000000000000007E-2</v>
      </c>
      <c r="L251" s="56">
        <f>IFERROR(VLOOKUP($AM251,個性タイプマスタ!$A$5:$P$100,10,FALSE),1.5)</f>
        <v>1.55</v>
      </c>
      <c r="M251" s="56">
        <f>IFERROR(VLOOKUP($AM251,個性タイプマスタ!$A$5:$P$100,11,FALSE),2)</f>
        <v>2.4</v>
      </c>
      <c r="N251" s="57">
        <f>MAX(0.1,ROUND(設定!$B$10*AB251,3))</f>
        <v>1</v>
      </c>
      <c r="O251" s="57">
        <f t="shared" si="12"/>
        <v>2.5</v>
      </c>
      <c r="P251" s="58">
        <f>MAX(-10,MIN(0.8,IFERROR(INDEX(属性耐性マスタ!$B$5:$G$11,MATCH($C251,属性耐性マスタ!$A$5:$A$11,0),1),0)+IFERROR(VLOOKUP($AM251,個性タイプマスタ!$A$5:$P$100,12,FALSE),0)))</f>
        <v>0.02</v>
      </c>
      <c r="Q251" s="58">
        <f>MAX(-10,MIN(0.8,IFERROR(INDEX(属性耐性マスタ!$B$5:$G$11,MATCH($C251,属性耐性マスタ!$A$5:$A$11,0),2),0)+IFERROR(VLOOKUP($AM251,個性タイプマスタ!$A$5:$P$100,12,FALSE),0)))</f>
        <v>0.02</v>
      </c>
      <c r="R251" s="58">
        <f>MAX(-10,MIN(0.8,IFERROR(INDEX(属性耐性マスタ!$B$5:$G$11,MATCH($C251,属性耐性マスタ!$A$5:$A$11,0),3),0)+IFERROR(VLOOKUP($AM251,個性タイプマスタ!$A$5:$P$100,12,FALSE),0)))</f>
        <v>0.02</v>
      </c>
      <c r="S251" s="58">
        <f>MAX(-10,MIN(0.8,IFERROR(INDEX(属性耐性マスタ!$B$5:$G$11,MATCH($C251,属性耐性マスタ!$A$5:$A$11,0),4),0)+IFERROR(VLOOKUP($AM251,個性タイプマスタ!$A$5:$P$100,12,FALSE),0)))</f>
        <v>0.02</v>
      </c>
      <c r="T251" s="58">
        <f>MAX(-10,MIN(0.8,IFERROR(INDEX(属性耐性マスタ!$B$5:$G$11,MATCH($C251,属性耐性マスタ!$A$5:$A$11,0),5),0)+IFERROR(VLOOKUP($AM251,個性タイプマスタ!$A$5:$P$100,12,FALSE),0)))</f>
        <v>0.22</v>
      </c>
      <c r="U251" s="58">
        <f>MAX(-10,MIN(0.8,IFERROR(INDEX(属性耐性マスタ!$B$5:$G$11,MATCH($C251,属性耐性マスタ!$A$5:$A$11,0),6),0)+IFERROR(VLOOKUP($AM251,個性タイプマスタ!$A$5:$P$100,12,FALSE),0)))</f>
        <v>-0.08</v>
      </c>
      <c r="V251" s="59">
        <f>ROUND(設定!$B$19*IFERROR(VLOOKUP($AM251,個性タイプマスタ!$A$5:$P$100,13,FALSE),1),2)</f>
        <v>4</v>
      </c>
      <c r="W251" s="59">
        <v>42</v>
      </c>
      <c r="X251" s="59" t="str">
        <f>IFERROR(VLOOKUP($AM251,個性タイプマスタ!$A$5:$P$100,2,FALSE),"Ranged")</f>
        <v>Ranged</v>
      </c>
      <c r="Y251" s="56">
        <f>IFERROR(VLOOKUP($AM251,個性タイプマスタ!$A$5:$P$100,3,FALSE),1)</f>
        <v>1.1000000000000001</v>
      </c>
      <c r="Z251" s="56">
        <f>IFERROR(VLOOKUP($AM251,個性タイプマスタ!$A$5:$P$100,4,FALSE),1)</f>
        <v>1.1000000000000001</v>
      </c>
      <c r="AA251" s="56">
        <f>IFERROR(VLOOKUP($AM251,個性タイプマスタ!$A$5:$P$100,5,FALSE),1)</f>
        <v>1.1000000000000001</v>
      </c>
      <c r="AB251" s="56">
        <f>IFERROR(VLOOKUP($AM251,個性タイプマスタ!$A$5:$P$100,6,FALSE),1)</f>
        <v>1</v>
      </c>
      <c r="AC251" s="56">
        <f>IFERROR(VLOOKUP($AM251,個性タイプマスタ!$A$5:$P$100,7,FALSE),1)</f>
        <v>1</v>
      </c>
      <c r="AD251" s="56">
        <f>IFERROR(VLOOKUP($AM251,個性タイプマスタ!$A$5:$P$100,8,FALSE),1)</f>
        <v>0.88</v>
      </c>
      <c r="AE251" s="60">
        <f>IFERROR(D251/設定!$B$5,1)</f>
        <v>49.785200000000003</v>
      </c>
      <c r="AF251" s="60">
        <f>1+設定!$B$13*((I251/設定!$B$8+J251/設定!$B$9)/(2*AE251))</f>
        <v>1.3299173248274587</v>
      </c>
      <c r="AG251" s="60">
        <f>MAX(0.7,1+設定!$B$14*(O251/IF(X251="Melee",1.5,2.5)-1))</f>
        <v>1</v>
      </c>
      <c r="AH251" s="53">
        <f t="shared" si="13"/>
        <v>802.76049999999998</v>
      </c>
      <c r="AI251" s="53">
        <f>E251*AF251*(1+設定!$B$18*AVERAGE(P251:U251))</f>
        <v>7402.7906207226242</v>
      </c>
      <c r="AJ251" s="61">
        <f>設定!$B$5*SQRT((AH251/(設定!$B$7*設定!$B$10*(1+設定!$B$11*(設定!$B$12-1))))*(AI251/(設定!$B$6*(1+設定!$B$13))))</f>
        <v>4977.6100315691001</v>
      </c>
      <c r="AK251" s="62">
        <f t="shared" si="14"/>
        <v>-1.8277890435314248E-4</v>
      </c>
      <c r="AL251" s="63">
        <f t="shared" si="15"/>
        <v>4381.0976000000001</v>
      </c>
      <c r="AM251" s="64" t="s">
        <v>906</v>
      </c>
      <c r="AN251" s="54">
        <f>MAX(1,ROUND((設定!$B$7*設定!$B$10*(1+設定!$B$11*(設定!$B$12-1)))*AE251^2*(設定!$B$6*(1+設定!$B$13))/(AI251*N251*(1+K251*(L251-1))*AG251),0))</f>
        <v>773</v>
      </c>
      <c r="AO251" s="65" t="str">
        <f>IF($A251="","",IF(COUNTIF(個性タイプマスタ!$A$5:$A$100,$AM251)&gt;0,"OK","未登録"))</f>
        <v>OK</v>
      </c>
      <c r="AP251" s="67" t="str">
        <f>IF($A251="","",IF(COUNTIF(属性耐性マスタ!$A$5:$A$11,$C251)&gt;0,"OK","未登録"))</f>
        <v>OK</v>
      </c>
    </row>
    <row r="252" spans="1:42">
      <c r="A252" s="66" t="s">
        <v>604</v>
      </c>
      <c r="B252" s="51" t="s">
        <v>605</v>
      </c>
      <c r="C252" s="109" t="s">
        <v>121</v>
      </c>
      <c r="D252" s="53">
        <f>ROUND(設定!$B$5*POWER($D$2,W252-1),2)</f>
        <v>4978.5200000000004</v>
      </c>
      <c r="E252" s="54">
        <f>MAX(1,ROUND(設定!$B$6*AE252*Y252,0))</f>
        <v>6373</v>
      </c>
      <c r="F252" s="54">
        <f>MAX(0,ROUND(設定!$B$7*AE252*設定!$B$15*IF(X252="Melee",0.6,1.35)*IFERROR(VLOOKUP($AM252,個性タイプマスタ!$A$5:$P$100,14,FALSE),1),0))</f>
        <v>690</v>
      </c>
      <c r="G252" s="54">
        <f>IF(X252="Melee",AN252,MAX(1,ROUND(AN252*設定!$B$16*IFERROR(VLOOKUP($AM252,個性タイプマスタ!$A$5:$P$100,15,FALSE),1),0)))</f>
        <v>181</v>
      </c>
      <c r="H252" s="54">
        <f>IF(X252="Ranged",AN252,MAX(1,ROUND(AN252*設定!$B$16*IFERROR(VLOOKUP($AM252,個性タイプマスタ!$A$5:$P$100,15,FALSE),1),0)))</f>
        <v>472</v>
      </c>
      <c r="I252" s="54">
        <f>MAX(0,ROUND(設定!$B$8*AE252*Z252,0))</f>
        <v>490</v>
      </c>
      <c r="J252" s="54">
        <f>MAX(0,ROUND(設定!$B$9*AE252*AA252,0))</f>
        <v>446</v>
      </c>
      <c r="K252" s="55">
        <f>IFERROR(VLOOKUP($AM252,個性タイプマスタ!$A$5:$P$100,9,FALSE),0.05)</f>
        <v>7.0000000000000007E-2</v>
      </c>
      <c r="L252" s="56">
        <f>IFERROR(VLOOKUP($AM252,個性タイプマスタ!$A$5:$P$100,10,FALSE),1.5)</f>
        <v>1.5</v>
      </c>
      <c r="M252" s="56">
        <f>IFERROR(VLOOKUP($AM252,個性タイプマスタ!$A$5:$P$100,11,FALSE),2)</f>
        <v>2.8</v>
      </c>
      <c r="N252" s="57">
        <f>MAX(0.1,ROUND(設定!$B$10*AB252,3))</f>
        <v>1.45</v>
      </c>
      <c r="O252" s="57">
        <f t="shared" si="12"/>
        <v>1.55</v>
      </c>
      <c r="P252" s="58">
        <f>MAX(-10,MIN(0.8,IFERROR(INDEX(属性耐性マスタ!$B$5:$G$11,MATCH($C252,属性耐性マスタ!$A$5:$A$11,0),1),0)+IFERROR(VLOOKUP($AM252,個性タイプマスタ!$A$5:$P$100,12,FALSE),0)))</f>
        <v>0.03</v>
      </c>
      <c r="Q252" s="58">
        <f>MAX(-10,MIN(0.8,IFERROR(INDEX(属性耐性マスタ!$B$5:$G$11,MATCH($C252,属性耐性マスタ!$A$5:$A$11,0),2),0)+IFERROR(VLOOKUP($AM252,個性タイプマスタ!$A$5:$P$100,12,FALSE),0)))</f>
        <v>0.03</v>
      </c>
      <c r="R252" s="58">
        <f>MAX(-10,MIN(0.8,IFERROR(INDEX(属性耐性マスタ!$B$5:$G$11,MATCH($C252,属性耐性マスタ!$A$5:$A$11,0),3),0)+IFERROR(VLOOKUP($AM252,個性タイプマスタ!$A$5:$P$100,12,FALSE),0)))</f>
        <v>0.03</v>
      </c>
      <c r="S252" s="58">
        <f>MAX(-10,MIN(0.8,IFERROR(INDEX(属性耐性マスタ!$B$5:$G$11,MATCH($C252,属性耐性マスタ!$A$5:$A$11,0),4),0)+IFERROR(VLOOKUP($AM252,個性タイプマスタ!$A$5:$P$100,12,FALSE),0)))</f>
        <v>0.03</v>
      </c>
      <c r="T252" s="58">
        <f>MAX(-10,MIN(0.8,IFERROR(INDEX(属性耐性マスタ!$B$5:$G$11,MATCH($C252,属性耐性マスタ!$A$5:$A$11,0),5),0)+IFERROR(VLOOKUP($AM252,個性タイプマスタ!$A$5:$P$100,12,FALSE),0)))</f>
        <v>0.23</v>
      </c>
      <c r="U252" s="58">
        <f>MAX(-10,MIN(0.8,IFERROR(INDEX(属性耐性マスタ!$B$5:$G$11,MATCH($C252,属性耐性マスタ!$A$5:$A$11,0),6),0)+IFERROR(VLOOKUP($AM252,個性タイプマスタ!$A$5:$P$100,12,FALSE),0)))</f>
        <v>-7.0000000000000007E-2</v>
      </c>
      <c r="V252" s="59">
        <f>ROUND(設定!$B$19*IFERROR(VLOOKUP($AM252,個性タイプマスタ!$A$5:$P$100,13,FALSE),1),2)</f>
        <v>3.6</v>
      </c>
      <c r="W252" s="59">
        <v>42</v>
      </c>
      <c r="X252" s="59" t="str">
        <f>IFERROR(VLOOKUP($AM252,個性タイプマスタ!$A$5:$P$100,2,FALSE),"Ranged")</f>
        <v>Ranged</v>
      </c>
      <c r="Y252" s="56">
        <f>IFERROR(VLOOKUP($AM252,個性タイプマスタ!$A$5:$P$100,3,FALSE),1)</f>
        <v>1.28</v>
      </c>
      <c r="Z252" s="56">
        <f>IFERROR(VLOOKUP($AM252,個性タイプマスタ!$A$5:$P$100,4,FALSE),1)</f>
        <v>1.23</v>
      </c>
      <c r="AA252" s="56">
        <f>IFERROR(VLOOKUP($AM252,個性タイプマスタ!$A$5:$P$100,5,FALSE),1)</f>
        <v>1.1200000000000001</v>
      </c>
      <c r="AB252" s="56">
        <f>IFERROR(VLOOKUP($AM252,個性タイプマスタ!$A$5:$P$100,6,FALSE),1)</f>
        <v>1.45</v>
      </c>
      <c r="AC252" s="56">
        <f>IFERROR(VLOOKUP($AM252,個性タイプマスタ!$A$5:$P$100,7,FALSE),1)</f>
        <v>0.62</v>
      </c>
      <c r="AD252" s="56">
        <f>IFERROR(VLOOKUP($AM252,個性タイプマスタ!$A$5:$P$100,8,FALSE),1)</f>
        <v>0.8</v>
      </c>
      <c r="AE252" s="60">
        <f>IFERROR(D252/設定!$B$5,1)</f>
        <v>49.785200000000003</v>
      </c>
      <c r="AF252" s="60">
        <f>1+設定!$B$13*((I252/設定!$B$8+J252/設定!$B$9)/(2*AE252))</f>
        <v>1.3525144018704354</v>
      </c>
      <c r="AG252" s="60">
        <f>MAX(0.7,1+設定!$B$14*(O252/IF(X252="Melee",1.5,2.5)-1))</f>
        <v>0.95440000000000003</v>
      </c>
      <c r="AH252" s="53">
        <f t="shared" si="13"/>
        <v>676.05305759999999</v>
      </c>
      <c r="AI252" s="53">
        <f>E252*AF252*(1+設定!$B$18*AVERAGE(P252:U252))</f>
        <v>8800.5853430658099</v>
      </c>
      <c r="AJ252" s="61">
        <f>設定!$B$5*SQRT((AH252/(設定!$B$7*設定!$B$10*(1+設定!$B$11*(設定!$B$12-1))))*(AI252/(設定!$B$6*(1+設定!$B$13))))</f>
        <v>4980.5385813741186</v>
      </c>
      <c r="AK252" s="62">
        <f t="shared" si="14"/>
        <v>4.0545812291981065E-4</v>
      </c>
      <c r="AL252" s="63">
        <f t="shared" si="15"/>
        <v>3982.8160000000007</v>
      </c>
      <c r="AM252" s="64" t="s">
        <v>920</v>
      </c>
      <c r="AN252" s="54">
        <f>MAX(1,ROUND((設定!$B$7*設定!$B$10*(1+設定!$B$11*(設定!$B$12-1)))*AE252^2*(設定!$B$6*(1+設定!$B$13))/(AI252*N252*(1+K252*(L252-1))*AG252),0))</f>
        <v>472</v>
      </c>
      <c r="AO252" s="65" t="str">
        <f>IF($A252="","",IF(COUNTIF(個性タイプマスタ!$A$5:$A$100,$AM252)&gt;0,"OK","未登録"))</f>
        <v>OK</v>
      </c>
      <c r="AP252" s="67" t="str">
        <f>IF($A252="","",IF(COUNTIF(属性耐性マスタ!$A$5:$A$11,$C252)&gt;0,"OK","未登録"))</f>
        <v>OK</v>
      </c>
    </row>
    <row r="253" spans="1:42">
      <c r="A253" s="66" t="s">
        <v>606</v>
      </c>
      <c r="B253" s="51" t="s">
        <v>607</v>
      </c>
      <c r="C253" s="109" t="s">
        <v>874</v>
      </c>
      <c r="D253" s="53">
        <f>ROUND(設定!$B$5*POWER($D$2,W253-1),2)</f>
        <v>4978.5200000000004</v>
      </c>
      <c r="E253" s="54">
        <f>MAX(1,ROUND(設定!$B$6*AE253*Y253,0))</f>
        <v>4431</v>
      </c>
      <c r="F253" s="54">
        <f>MAX(0,ROUND(設定!$B$7*AE253*設定!$B$15*IF(X253="Melee",0.6,1.35)*IFERROR(VLOOKUP($AM253,個性タイプマスタ!$A$5:$P$100,14,FALSE),1),0))</f>
        <v>690</v>
      </c>
      <c r="G253" s="54">
        <f>IF(X253="Melee",AN253,MAX(1,ROUND(AN253*設定!$B$16*IFERROR(VLOOKUP($AM253,個性タイプマスタ!$A$5:$P$100,15,FALSE),1),0)))</f>
        <v>231</v>
      </c>
      <c r="H253" s="54">
        <f>IF(X253="Ranged",AN253,MAX(1,ROUND(AN253*設定!$B$16*IFERROR(VLOOKUP($AM253,個性タイプマスタ!$A$5:$P$100,15,FALSE),1),0)))</f>
        <v>856</v>
      </c>
      <c r="I253" s="54">
        <f>MAX(0,ROUND(設定!$B$8*AE253*Z253,0))</f>
        <v>366</v>
      </c>
      <c r="J253" s="54">
        <f>MAX(0,ROUND(設定!$B$9*AE253*AA253,0))</f>
        <v>362</v>
      </c>
      <c r="K253" s="55">
        <f>IFERROR(VLOOKUP($AM253,個性タイプマスタ!$A$5:$P$100,9,FALSE),0.05)</f>
        <v>7.4999999999999997E-2</v>
      </c>
      <c r="L253" s="56">
        <f>IFERROR(VLOOKUP($AM253,個性タイプマスタ!$A$5:$P$100,10,FALSE),1.5)</f>
        <v>1.5</v>
      </c>
      <c r="M253" s="56">
        <f>IFERROR(VLOOKUP($AM253,個性タイプマスタ!$A$5:$P$100,11,FALSE),2)</f>
        <v>3.1</v>
      </c>
      <c r="N253" s="57">
        <f>MAX(0.1,ROUND(設定!$B$10*AB253,3))</f>
        <v>1.1499999999999999</v>
      </c>
      <c r="O253" s="57">
        <f t="shared" si="12"/>
        <v>3.0750000000000002</v>
      </c>
      <c r="P253" s="58">
        <f>MAX(-10,MIN(0.8,IFERROR(INDEX(属性耐性マスタ!$B$5:$G$11,MATCH($C253,属性耐性マスタ!$A$5:$A$11,0),1),0)+IFERROR(VLOOKUP($AM253,個性タイプマスタ!$A$5:$P$100,12,FALSE),0)))</f>
        <v>-0.01</v>
      </c>
      <c r="Q253" s="58">
        <f>MAX(-10,MIN(0.8,IFERROR(INDEX(属性耐性マスタ!$B$5:$G$11,MATCH($C253,属性耐性マスタ!$A$5:$A$11,0),2),0)+IFERROR(VLOOKUP($AM253,個性タイプマスタ!$A$5:$P$100,12,FALSE),0)))</f>
        <v>-0.01</v>
      </c>
      <c r="R253" s="58">
        <f>MAX(-10,MIN(0.8,IFERROR(INDEX(属性耐性マスタ!$B$5:$G$11,MATCH($C253,属性耐性マスタ!$A$5:$A$11,0),3),0)+IFERROR(VLOOKUP($AM253,個性タイプマスタ!$A$5:$P$100,12,FALSE),0)))</f>
        <v>-0.01</v>
      </c>
      <c r="S253" s="58">
        <f>MAX(-10,MIN(0.8,IFERROR(INDEX(属性耐性マスタ!$B$5:$G$11,MATCH($C253,属性耐性マスタ!$A$5:$A$11,0),4),0)+IFERROR(VLOOKUP($AM253,個性タイプマスタ!$A$5:$P$100,12,FALSE),0)))</f>
        <v>-0.01</v>
      </c>
      <c r="T253" s="58">
        <f>MAX(-10,MIN(0.8,IFERROR(INDEX(属性耐性マスタ!$B$5:$G$11,MATCH($C253,属性耐性マスタ!$A$5:$A$11,0),5),0)+IFERROR(VLOOKUP($AM253,個性タイプマスタ!$A$5:$P$100,12,FALSE),0)))</f>
        <v>-0.11</v>
      </c>
      <c r="U253" s="58">
        <f>MAX(-10,MIN(0.8,IFERROR(INDEX(属性耐性マスタ!$B$5:$G$11,MATCH($C253,属性耐性マスタ!$A$5:$A$11,0),6),0)+IFERROR(VLOOKUP($AM253,個性タイプマスタ!$A$5:$P$100,12,FALSE),0)))</f>
        <v>0.19</v>
      </c>
      <c r="V253" s="59">
        <f>ROUND(設定!$B$19*IFERROR(VLOOKUP($AM253,個性タイプマスタ!$A$5:$P$100,13,FALSE),1),2)</f>
        <v>8.6</v>
      </c>
      <c r="W253" s="59">
        <v>42</v>
      </c>
      <c r="X253" s="59" t="str">
        <f>IFERROR(VLOOKUP($AM253,個性タイプマスタ!$A$5:$P$100,2,FALSE),"Ranged")</f>
        <v>Ranged</v>
      </c>
      <c r="Y253" s="56">
        <f>IFERROR(VLOOKUP($AM253,個性タイプマスタ!$A$5:$P$100,3,FALSE),1)</f>
        <v>0.89</v>
      </c>
      <c r="Z253" s="56">
        <f>IFERROR(VLOOKUP($AM253,個性タイプマスタ!$A$5:$P$100,4,FALSE),1)</f>
        <v>0.92</v>
      </c>
      <c r="AA253" s="56">
        <f>IFERROR(VLOOKUP($AM253,個性タイプマスタ!$A$5:$P$100,5,FALSE),1)</f>
        <v>0.91</v>
      </c>
      <c r="AB253" s="56">
        <f>IFERROR(VLOOKUP($AM253,個性タイプマスタ!$A$5:$P$100,6,FALSE),1)</f>
        <v>1.1499999999999999</v>
      </c>
      <c r="AC253" s="56">
        <f>IFERROR(VLOOKUP($AM253,個性タイプマスタ!$A$5:$P$100,7,FALSE),1)</f>
        <v>1.23</v>
      </c>
      <c r="AD253" s="56">
        <f>IFERROR(VLOOKUP($AM253,個性タイプマスタ!$A$5:$P$100,8,FALSE),1)</f>
        <v>0.74</v>
      </c>
      <c r="AE253" s="60">
        <f>IFERROR(D253/設定!$B$5,1)</f>
        <v>49.785200000000003</v>
      </c>
      <c r="AF253" s="60">
        <f>1+設定!$B$13*((I253/設定!$B$8+J253/設定!$B$9)/(2*AE253))</f>
        <v>1.2741778681214497</v>
      </c>
      <c r="AG253" s="60">
        <f>MAX(0.7,1+設定!$B$14*(O253/IF(X253="Melee",1.5,2.5)-1))</f>
        <v>1.0276000000000001</v>
      </c>
      <c r="AH253" s="53">
        <f t="shared" si="13"/>
        <v>1049.5032940000001</v>
      </c>
      <c r="AI253" s="53">
        <f>E253*AF253*(1+設定!$B$18*AVERAGE(P253:U253))</f>
        <v>5662.8197800470807</v>
      </c>
      <c r="AJ253" s="61">
        <f>設定!$B$5*SQRT((AH253/(設定!$B$7*設定!$B$10*(1+設定!$B$11*(設定!$B$12-1))))*(AI253/(設定!$B$6*(1+設定!$B$13))))</f>
        <v>4977.8110998500279</v>
      </c>
      <c r="AK253" s="62">
        <f t="shared" si="14"/>
        <v>-1.4239174493069218E-4</v>
      </c>
      <c r="AL253" s="63">
        <f t="shared" si="15"/>
        <v>3684.1048000000001</v>
      </c>
      <c r="AM253" s="64" t="s">
        <v>934</v>
      </c>
      <c r="AN253" s="54">
        <f>MAX(1,ROUND((設定!$B$7*設定!$B$10*(1+設定!$B$11*(設定!$B$12-1)))*AE253^2*(設定!$B$6*(1+設定!$B$13))/(AI253*N253*(1+K253*(L253-1))*AG253),0))</f>
        <v>856</v>
      </c>
      <c r="AO253" s="65" t="str">
        <f>IF($A253="","",IF(COUNTIF(個性タイプマスタ!$A$5:$A$100,$AM253)&gt;0,"OK","未登録"))</f>
        <v>OK</v>
      </c>
      <c r="AP253" s="67" t="str">
        <f>IF($A253="","",IF(COUNTIF(属性耐性マスタ!$A$5:$A$11,$C253)&gt;0,"OK","未登録"))</f>
        <v>OK</v>
      </c>
    </row>
    <row r="254" spans="1:42">
      <c r="A254" s="66" t="s">
        <v>608</v>
      </c>
      <c r="B254" s="51" t="s">
        <v>609</v>
      </c>
      <c r="C254" s="109" t="s">
        <v>871</v>
      </c>
      <c r="D254" s="53">
        <f>ROUND(設定!$B$5*POWER($D$2,W254-1),2)</f>
        <v>4978.5200000000004</v>
      </c>
      <c r="E254" s="54">
        <f>MAX(1,ROUND(設定!$B$6*AE254*Y254,0))</f>
        <v>4481</v>
      </c>
      <c r="F254" s="54">
        <f>MAX(0,ROUND(設定!$B$7*AE254*設定!$B$15*IF(X254="Melee",0.6,1.35)*IFERROR(VLOOKUP($AM254,個性タイプマスタ!$A$5:$P$100,14,FALSE),1),0))</f>
        <v>258</v>
      </c>
      <c r="G254" s="54">
        <f>IF(X254="Melee",AN254,MAX(1,ROUND(AN254*設定!$B$16*IFERROR(VLOOKUP($AM254,個性タイプマスタ!$A$5:$P$100,15,FALSE),1),0)))</f>
        <v>833</v>
      </c>
      <c r="H254" s="54">
        <f>IF(X254="Ranged",AN254,MAX(1,ROUND(AN254*設定!$B$16*IFERROR(VLOOKUP($AM254,個性タイプマスタ!$A$5:$P$100,15,FALSE),1),0)))</f>
        <v>375</v>
      </c>
      <c r="I254" s="54">
        <f>MAX(0,ROUND(設定!$B$8*AE254*Z254,0))</f>
        <v>358</v>
      </c>
      <c r="J254" s="54">
        <f>MAX(0,ROUND(設定!$B$9*AE254*AA254,0))</f>
        <v>358</v>
      </c>
      <c r="K254" s="55">
        <f>IFERROR(VLOOKUP($AM254,個性タイプマスタ!$A$5:$P$100,9,FALSE),0.05)</f>
        <v>0.11</v>
      </c>
      <c r="L254" s="56">
        <f>IFERROR(VLOOKUP($AM254,個性タイプマスタ!$A$5:$P$100,10,FALSE),1.5)</f>
        <v>1.75</v>
      </c>
      <c r="M254" s="56">
        <f>IFERROR(VLOOKUP($AM254,個性タイプマスタ!$A$5:$P$100,11,FALSE),2)</f>
        <v>3</v>
      </c>
      <c r="N254" s="57">
        <f>MAX(0.1,ROUND(設定!$B$10*AB254,3))</f>
        <v>1.18</v>
      </c>
      <c r="O254" s="57">
        <f t="shared" si="12"/>
        <v>1.35</v>
      </c>
      <c r="P254" s="58">
        <f>MAX(-10,MIN(0.8,IFERROR(INDEX(属性耐性マスタ!$B$5:$G$11,MATCH($C254,属性耐性マスタ!$A$5:$A$11,0),1),0)+IFERROR(VLOOKUP($AM254,個性タイプマスタ!$A$5:$P$100,12,FALSE),0)))</f>
        <v>-0.03</v>
      </c>
      <c r="Q254" s="58">
        <f>MAX(-10,MIN(0.8,IFERROR(INDEX(属性耐性マスタ!$B$5:$G$11,MATCH($C254,属性耐性マスタ!$A$5:$A$11,0),2),0)+IFERROR(VLOOKUP($AM254,個性タイプマスタ!$A$5:$P$100,12,FALSE),0)))</f>
        <v>-0.03</v>
      </c>
      <c r="R254" s="58">
        <f>MAX(-10,MIN(0.8,IFERROR(INDEX(属性耐性マスタ!$B$5:$G$11,MATCH($C254,属性耐性マスタ!$A$5:$A$11,0),3),0)+IFERROR(VLOOKUP($AM254,個性タイプマスタ!$A$5:$P$100,12,FALSE),0)))</f>
        <v>-0.13</v>
      </c>
      <c r="S254" s="58">
        <f>MAX(-10,MIN(0.8,IFERROR(INDEX(属性耐性マスタ!$B$5:$G$11,MATCH($C254,属性耐性マスタ!$A$5:$A$11,0),4),0)+IFERROR(VLOOKUP($AM254,個性タイプマスタ!$A$5:$P$100,12,FALSE),0)))</f>
        <v>0.17</v>
      </c>
      <c r="T254" s="58">
        <f>MAX(-10,MIN(0.8,IFERROR(INDEX(属性耐性マスタ!$B$5:$G$11,MATCH($C254,属性耐性マスタ!$A$5:$A$11,0),5),0)+IFERROR(VLOOKUP($AM254,個性タイプマスタ!$A$5:$P$100,12,FALSE),0)))</f>
        <v>-0.03</v>
      </c>
      <c r="U254" s="58">
        <f>MAX(-10,MIN(0.8,IFERROR(INDEX(属性耐性マスタ!$B$5:$G$11,MATCH($C254,属性耐性マスタ!$A$5:$A$11,0),6),0)+IFERROR(VLOOKUP($AM254,個性タイプマスタ!$A$5:$P$100,12,FALSE),0)))</f>
        <v>-0.03</v>
      </c>
      <c r="V254" s="59">
        <f>ROUND(設定!$B$19*IFERROR(VLOOKUP($AM254,個性タイプマスタ!$A$5:$P$100,13,FALSE),1),2)</f>
        <v>4.2</v>
      </c>
      <c r="W254" s="59">
        <v>42</v>
      </c>
      <c r="X254" s="59" t="str">
        <f>IFERROR(VLOOKUP($AM254,個性タイプマスタ!$A$5:$P$100,2,FALSE),"Ranged")</f>
        <v>Melee</v>
      </c>
      <c r="Y254" s="56">
        <f>IFERROR(VLOOKUP($AM254,個性タイプマスタ!$A$5:$P$100,3,FALSE),1)</f>
        <v>0.9</v>
      </c>
      <c r="Z254" s="56">
        <f>IFERROR(VLOOKUP($AM254,個性タイプマスタ!$A$5:$P$100,4,FALSE),1)</f>
        <v>0.9</v>
      </c>
      <c r="AA254" s="56">
        <f>IFERROR(VLOOKUP($AM254,個性タイプマスタ!$A$5:$P$100,5,FALSE),1)</f>
        <v>0.9</v>
      </c>
      <c r="AB254" s="56">
        <f>IFERROR(VLOOKUP($AM254,個性タイプマスタ!$A$5:$P$100,6,FALSE),1)</f>
        <v>1.18</v>
      </c>
      <c r="AC254" s="56">
        <f>IFERROR(VLOOKUP($AM254,個性タイプマスタ!$A$5:$P$100,7,FALSE),1)</f>
        <v>0.9</v>
      </c>
      <c r="AD254" s="56">
        <f>IFERROR(VLOOKUP($AM254,個性タイプマスタ!$A$5:$P$100,8,FALSE),1)</f>
        <v>0.72</v>
      </c>
      <c r="AE254" s="60">
        <f>IFERROR(D254/設定!$B$5,1)</f>
        <v>49.785200000000003</v>
      </c>
      <c r="AF254" s="60">
        <f>1+設定!$B$13*((I254/設定!$B$8+J254/設定!$B$9)/(2*AE254))</f>
        <v>1.2696584527128545</v>
      </c>
      <c r="AG254" s="60">
        <f>MAX(0.7,1+設定!$B$14*(O254/IF(X254="Melee",1.5,2.5)-1))</f>
        <v>0.98799999999999999</v>
      </c>
      <c r="AH254" s="53">
        <f t="shared" si="13"/>
        <v>1051.2641593999999</v>
      </c>
      <c r="AI254" s="53">
        <f>E254*AF254*(1+設定!$B$18*AVERAGE(P254:U254))</f>
        <v>5655.2034894466633</v>
      </c>
      <c r="AJ254" s="61">
        <f>設定!$B$5*SQRT((AH254/(設定!$B$7*設定!$B$10*(1+設定!$B$11*(設定!$B$12-1))))*(AI254/(設定!$B$6*(1+設定!$B$13))))</f>
        <v>4978.6338327711337</v>
      </c>
      <c r="AK254" s="62">
        <f t="shared" si="14"/>
        <v>2.286478132718095E-5</v>
      </c>
      <c r="AL254" s="63">
        <f t="shared" si="15"/>
        <v>3584.5344</v>
      </c>
      <c r="AM254" s="64" t="s">
        <v>900</v>
      </c>
      <c r="AN254" s="54">
        <f>MAX(1,ROUND((設定!$B$7*設定!$B$10*(1+設定!$B$11*(設定!$B$12-1)))*AE254^2*(設定!$B$6*(1+設定!$B$13))/(AI254*N254*(1+K254*(L254-1))*AG254),0))</f>
        <v>833</v>
      </c>
      <c r="AO254" s="65" t="str">
        <f>IF($A254="","",IF(COUNTIF(個性タイプマスタ!$A$5:$A$100,$AM254)&gt;0,"OK","未登録"))</f>
        <v>OK</v>
      </c>
      <c r="AP254" s="67" t="str">
        <f>IF($A254="","",IF(COUNTIF(属性耐性マスタ!$A$5:$A$11,$C254)&gt;0,"OK","未登録"))</f>
        <v>OK</v>
      </c>
    </row>
    <row r="255" spans="1:42">
      <c r="A255" s="66" t="s">
        <v>610</v>
      </c>
      <c r="B255" s="51" t="s">
        <v>611</v>
      </c>
      <c r="C255" s="109" t="s">
        <v>121</v>
      </c>
      <c r="D255" s="53">
        <f>ROUND(設定!$B$5*POWER($D$2,W255-1),2)</f>
        <v>4978.5200000000004</v>
      </c>
      <c r="E255" s="54">
        <f>MAX(1,ROUND(設定!$B$6*AE255*Y255,0))</f>
        <v>3485</v>
      </c>
      <c r="F255" s="54">
        <f>MAX(0,ROUND(設定!$B$7*AE255*設定!$B$15*IF(X255="Melee",0.6,1.35)*IFERROR(VLOOKUP($AM255,個性タイプマスタ!$A$5:$P$100,14,FALSE),1),0))</f>
        <v>274</v>
      </c>
      <c r="G255" s="54">
        <f>IF(X255="Melee",AN255,MAX(1,ROUND(AN255*設定!$B$16*IFERROR(VLOOKUP($AM255,個性タイプマスタ!$A$5:$P$100,15,FALSE),1),0)))</f>
        <v>1037</v>
      </c>
      <c r="H255" s="54">
        <f>IF(X255="Ranged",AN255,MAX(1,ROUND(AN255*設定!$B$16*IFERROR(VLOOKUP($AM255,個性タイプマスタ!$A$5:$P$100,15,FALSE),1),0)))</f>
        <v>350</v>
      </c>
      <c r="I255" s="54">
        <f>MAX(0,ROUND(設定!$B$8*AE255*Z255,0))</f>
        <v>303</v>
      </c>
      <c r="J255" s="54">
        <f>MAX(0,ROUND(設定!$B$9*AE255*AA255,0))</f>
        <v>311</v>
      </c>
      <c r="K255" s="55">
        <f>IFERROR(VLOOKUP($AM255,個性タイプマスタ!$A$5:$P$100,9,FALSE),0.05)</f>
        <v>0.11</v>
      </c>
      <c r="L255" s="56">
        <f>IFERROR(VLOOKUP($AM255,個性タイプマスタ!$A$5:$P$100,10,FALSE),1.5)</f>
        <v>1.58</v>
      </c>
      <c r="M255" s="56">
        <f>IFERROR(VLOOKUP($AM255,個性タイプマスタ!$A$5:$P$100,11,FALSE),2)</f>
        <v>4.45</v>
      </c>
      <c r="N255" s="57">
        <f>MAX(0.1,ROUND(設定!$B$10*AB255,3))</f>
        <v>1.3</v>
      </c>
      <c r="O255" s="57">
        <f t="shared" si="12"/>
        <v>1.32</v>
      </c>
      <c r="P255" s="58">
        <f>MAX(-10,MIN(0.8,IFERROR(INDEX(属性耐性マスタ!$B$5:$G$11,MATCH($C255,属性耐性マスタ!$A$5:$A$11,0),1),0)+IFERROR(VLOOKUP($AM255,個性タイプマスタ!$A$5:$P$100,12,FALSE),0)))</f>
        <v>-0.06</v>
      </c>
      <c r="Q255" s="58">
        <f>MAX(-10,MIN(0.8,IFERROR(INDEX(属性耐性マスタ!$B$5:$G$11,MATCH($C255,属性耐性マスタ!$A$5:$A$11,0),2),0)+IFERROR(VLOOKUP($AM255,個性タイプマスタ!$A$5:$P$100,12,FALSE),0)))</f>
        <v>-0.06</v>
      </c>
      <c r="R255" s="58">
        <f>MAX(-10,MIN(0.8,IFERROR(INDEX(属性耐性マスタ!$B$5:$G$11,MATCH($C255,属性耐性マスタ!$A$5:$A$11,0),3),0)+IFERROR(VLOOKUP($AM255,個性タイプマスタ!$A$5:$P$100,12,FALSE),0)))</f>
        <v>-0.06</v>
      </c>
      <c r="S255" s="58">
        <f>MAX(-10,MIN(0.8,IFERROR(INDEX(属性耐性マスタ!$B$5:$G$11,MATCH($C255,属性耐性マスタ!$A$5:$A$11,0),4),0)+IFERROR(VLOOKUP($AM255,個性タイプマスタ!$A$5:$P$100,12,FALSE),0)))</f>
        <v>-0.06</v>
      </c>
      <c r="T255" s="58">
        <f>MAX(-10,MIN(0.8,IFERROR(INDEX(属性耐性マスタ!$B$5:$G$11,MATCH($C255,属性耐性マスタ!$A$5:$A$11,0),5),0)+IFERROR(VLOOKUP($AM255,個性タイプマスタ!$A$5:$P$100,12,FALSE),0)))</f>
        <v>0.14000000000000001</v>
      </c>
      <c r="U255" s="58">
        <f>MAX(-10,MIN(0.8,IFERROR(INDEX(属性耐性マスタ!$B$5:$G$11,MATCH($C255,属性耐性マスタ!$A$5:$A$11,0),6),0)+IFERROR(VLOOKUP($AM255,個性タイプマスタ!$A$5:$P$100,12,FALSE),0)))</f>
        <v>-0.16</v>
      </c>
      <c r="V255" s="59">
        <f>ROUND(設定!$B$19*IFERROR(VLOOKUP($AM255,個性タイプマスタ!$A$5:$P$100,13,FALSE),1),2)</f>
        <v>5.6</v>
      </c>
      <c r="W255" s="59">
        <v>42</v>
      </c>
      <c r="X255" s="59" t="str">
        <f>IFERROR(VLOOKUP($AM255,個性タイプマスタ!$A$5:$P$100,2,FALSE),"Ranged")</f>
        <v>Melee</v>
      </c>
      <c r="Y255" s="56">
        <f>IFERROR(VLOOKUP($AM255,個性タイプマスタ!$A$5:$P$100,3,FALSE),1)</f>
        <v>0.7</v>
      </c>
      <c r="Z255" s="56">
        <f>IFERROR(VLOOKUP($AM255,個性タイプマスタ!$A$5:$P$100,4,FALSE),1)</f>
        <v>0.76</v>
      </c>
      <c r="AA255" s="56">
        <f>IFERROR(VLOOKUP($AM255,個性タイプマスタ!$A$5:$P$100,5,FALSE),1)</f>
        <v>0.78</v>
      </c>
      <c r="AB255" s="56">
        <f>IFERROR(VLOOKUP($AM255,個性タイプマスタ!$A$5:$P$100,6,FALSE),1)</f>
        <v>1.3</v>
      </c>
      <c r="AC255" s="56">
        <f>IFERROR(VLOOKUP($AM255,個性タイプマスタ!$A$5:$P$100,7,FALSE),1)</f>
        <v>0.88</v>
      </c>
      <c r="AD255" s="56">
        <f>IFERROR(VLOOKUP($AM255,個性タイプマスタ!$A$5:$P$100,8,FALSE),1)</f>
        <v>0.62</v>
      </c>
      <c r="AE255" s="60">
        <f>IFERROR(D255/設定!$B$5,1)</f>
        <v>49.785200000000003</v>
      </c>
      <c r="AF255" s="60">
        <f>1+設定!$B$13*((I255/設定!$B$8+J255/設定!$B$9)/(2*AE255))</f>
        <v>1.2312434217397941</v>
      </c>
      <c r="AG255" s="60">
        <f>MAX(0.7,1+設定!$B$14*(O255/IF(X255="Melee",1.5,2.5)-1))</f>
        <v>0.98560000000000003</v>
      </c>
      <c r="AH255" s="53">
        <f t="shared" si="13"/>
        <v>1413.4576135680004</v>
      </c>
      <c r="AI255" s="53">
        <f>E255*AF255*(1+設定!$B$18*AVERAGE(P255:U255))</f>
        <v>4207.2110999303004</v>
      </c>
      <c r="AJ255" s="61">
        <f>設定!$B$5*SQRT((AH255/(設定!$B$7*設定!$B$10*(1+設定!$B$11*(設定!$B$12-1))))*(AI255/(設定!$B$6*(1+設定!$B$13))))</f>
        <v>4979.3044954730212</v>
      </c>
      <c r="AK255" s="62">
        <f t="shared" si="14"/>
        <v>1.5757604127752955E-4</v>
      </c>
      <c r="AL255" s="63">
        <f t="shared" si="15"/>
        <v>3086.6824000000001</v>
      </c>
      <c r="AM255" s="64" t="s">
        <v>950</v>
      </c>
      <c r="AN255" s="54">
        <f>MAX(1,ROUND((設定!$B$7*設定!$B$10*(1+設定!$B$11*(設定!$B$12-1)))*AE255^2*(設定!$B$6*(1+設定!$B$13))/(AI255*N255*(1+K255*(L255-1))*AG255),0))</f>
        <v>1037</v>
      </c>
      <c r="AO255" s="65" t="str">
        <f>IF($A255="","",IF(COUNTIF(個性タイプマスタ!$A$5:$A$100,$AM255)&gt;0,"OK","未登録"))</f>
        <v>OK</v>
      </c>
      <c r="AP255" s="67" t="str">
        <f>IF($A255="","",IF(COUNTIF(属性耐性マスタ!$A$5:$A$11,$C255)&gt;0,"OK","未登録"))</f>
        <v>OK</v>
      </c>
    </row>
    <row r="256" spans="1:42">
      <c r="A256" s="66" t="s">
        <v>612</v>
      </c>
      <c r="B256" s="51" t="s">
        <v>613</v>
      </c>
      <c r="C256" s="109" t="s">
        <v>874</v>
      </c>
      <c r="D256" s="53">
        <f>ROUND(設定!$B$5*POWER($D$2,W256-1),2)</f>
        <v>4978.5200000000004</v>
      </c>
      <c r="E256" s="54">
        <f>MAX(1,ROUND(設定!$B$6*AE256*Y256,0))</f>
        <v>5277</v>
      </c>
      <c r="F256" s="54">
        <f>MAX(0,ROUND(設定!$B$7*AE256*設定!$B$15*IF(X256="Melee",0.6,1.35)*IFERROR(VLOOKUP($AM256,個性タイプマスタ!$A$5:$P$100,14,FALSE),1),0))</f>
        <v>1270</v>
      </c>
      <c r="G256" s="54">
        <f>IF(X256="Melee",AN256,MAX(1,ROUND(AN256*設定!$B$16*IFERROR(VLOOKUP($AM256,個性タイプマスタ!$A$5:$P$100,15,FALSE),1),0)))</f>
        <v>256</v>
      </c>
      <c r="H256" s="54">
        <f>IF(X256="Ranged",AN256,MAX(1,ROUND(AN256*設定!$B$16*IFERROR(VLOOKUP($AM256,個性タイプマスタ!$A$5:$P$100,15,FALSE),1),0)))</f>
        <v>875</v>
      </c>
      <c r="I256" s="54">
        <f>MAX(0,ROUND(設定!$B$8*AE256*Z256,0))</f>
        <v>307</v>
      </c>
      <c r="J256" s="54">
        <f>MAX(0,ROUND(設定!$B$9*AE256*AA256,0))</f>
        <v>816</v>
      </c>
      <c r="K256" s="55">
        <f>IFERROR(VLOOKUP($AM256,個性タイプマスタ!$A$5:$P$100,9,FALSE),0.05)</f>
        <v>4.4999999999999998E-2</v>
      </c>
      <c r="L256" s="56">
        <f>IFERROR(VLOOKUP($AM256,個性タイプマスタ!$A$5:$P$100,10,FALSE),1.5)</f>
        <v>1.45</v>
      </c>
      <c r="M256" s="56">
        <f>IFERROR(VLOOKUP($AM256,個性タイプマスタ!$A$5:$P$100,11,FALSE),2)</f>
        <v>1.9</v>
      </c>
      <c r="N256" s="57">
        <f>MAX(0.1,ROUND(設定!$B$10*AB256,3))</f>
        <v>0.84</v>
      </c>
      <c r="O256" s="57">
        <f t="shared" si="12"/>
        <v>2.65</v>
      </c>
      <c r="P256" s="58">
        <f>MAX(-10,MIN(0.8,IFERROR(INDEX(属性耐性マスタ!$B$5:$G$11,MATCH($C256,属性耐性マスタ!$A$5:$A$11,0),1),0)+IFERROR(VLOOKUP($AM256,個性タイプマスタ!$A$5:$P$100,12,FALSE),0)))</f>
        <v>0.09</v>
      </c>
      <c r="Q256" s="58">
        <f>MAX(-10,MIN(0.8,IFERROR(INDEX(属性耐性マスタ!$B$5:$G$11,MATCH($C256,属性耐性マスタ!$A$5:$A$11,0),2),0)+IFERROR(VLOOKUP($AM256,個性タイプマスタ!$A$5:$P$100,12,FALSE),0)))</f>
        <v>0.09</v>
      </c>
      <c r="R256" s="58">
        <f>MAX(-10,MIN(0.8,IFERROR(INDEX(属性耐性マスタ!$B$5:$G$11,MATCH($C256,属性耐性マスタ!$A$5:$A$11,0),3),0)+IFERROR(VLOOKUP($AM256,個性タイプマスタ!$A$5:$P$100,12,FALSE),0)))</f>
        <v>0.09</v>
      </c>
      <c r="S256" s="58">
        <f>MAX(-10,MIN(0.8,IFERROR(INDEX(属性耐性マスタ!$B$5:$G$11,MATCH($C256,属性耐性マスタ!$A$5:$A$11,0),4),0)+IFERROR(VLOOKUP($AM256,個性タイプマスタ!$A$5:$P$100,12,FALSE),0)))</f>
        <v>0.09</v>
      </c>
      <c r="T256" s="58">
        <f>MAX(-10,MIN(0.8,IFERROR(INDEX(属性耐性マスタ!$B$5:$G$11,MATCH($C256,属性耐性マスタ!$A$5:$A$11,0),5),0)+IFERROR(VLOOKUP($AM256,個性タイプマスタ!$A$5:$P$100,12,FALSE),0)))</f>
        <v>-1.0000000000000009E-2</v>
      </c>
      <c r="U256" s="58">
        <f>MAX(-10,MIN(0.8,IFERROR(INDEX(属性耐性マスタ!$B$5:$G$11,MATCH($C256,属性耐性マスタ!$A$5:$A$11,0),6),0)+IFERROR(VLOOKUP($AM256,個性タイプマスタ!$A$5:$P$100,12,FALSE),0)))</f>
        <v>0.29000000000000004</v>
      </c>
      <c r="V256" s="59">
        <f>ROUND(設定!$B$19*IFERROR(VLOOKUP($AM256,個性タイプマスタ!$A$5:$P$100,13,FALSE),1),2)</f>
        <v>4.4000000000000004</v>
      </c>
      <c r="W256" s="59">
        <v>42</v>
      </c>
      <c r="X256" s="59" t="str">
        <f>IFERROR(VLOOKUP($AM256,個性タイプマスタ!$A$5:$P$100,2,FALSE),"Ranged")</f>
        <v>Ranged</v>
      </c>
      <c r="Y256" s="56">
        <f>IFERROR(VLOOKUP($AM256,個性タイプマスタ!$A$5:$P$100,3,FALSE),1)</f>
        <v>1.06</v>
      </c>
      <c r="Z256" s="56">
        <f>IFERROR(VLOOKUP($AM256,個性タイプマスタ!$A$5:$P$100,4,FALSE),1)</f>
        <v>0.77</v>
      </c>
      <c r="AA256" s="56">
        <f>IFERROR(VLOOKUP($AM256,個性タイプマスタ!$A$5:$P$100,5,FALSE),1)</f>
        <v>2.0499999999999998</v>
      </c>
      <c r="AB256" s="56">
        <f>IFERROR(VLOOKUP($AM256,個性タイプマスタ!$A$5:$P$100,6,FALSE),1)</f>
        <v>0.84</v>
      </c>
      <c r="AC256" s="56">
        <f>IFERROR(VLOOKUP($AM256,個性タイプマスタ!$A$5:$P$100,7,FALSE),1)</f>
        <v>1.06</v>
      </c>
      <c r="AD256" s="56">
        <f>IFERROR(VLOOKUP($AM256,個性タイプマスタ!$A$5:$P$100,8,FALSE),1)</f>
        <v>0.82</v>
      </c>
      <c r="AE256" s="60">
        <f>IFERROR(D256/設定!$B$5,1)</f>
        <v>49.785200000000003</v>
      </c>
      <c r="AF256" s="60">
        <f>1+設定!$B$13*((I256/設定!$B$8+J256/設定!$B$9)/(2*AE256))</f>
        <v>1.4229419586543792</v>
      </c>
      <c r="AG256" s="60">
        <f>MAX(0.7,1+設定!$B$14*(O256/IF(X256="Melee",1.5,2.5)-1))</f>
        <v>1.0072000000000001</v>
      </c>
      <c r="AH256" s="53">
        <f t="shared" si="13"/>
        <v>755.28291300000012</v>
      </c>
      <c r="AI256" s="53">
        <f>E256*AF256*(1+設定!$B$18*AVERAGE(P256:U256))</f>
        <v>7869.2902221784789</v>
      </c>
      <c r="AJ256" s="61">
        <f>設定!$B$5*SQRT((AH256/(設定!$B$7*設定!$B$10*(1+設定!$B$11*(設定!$B$12-1))))*(AI256/(設定!$B$6*(1+設定!$B$13))))</f>
        <v>4977.9754411194608</v>
      </c>
      <c r="AK256" s="62">
        <f t="shared" si="14"/>
        <v>-1.0938167980434343E-4</v>
      </c>
      <c r="AL256" s="63">
        <f t="shared" si="15"/>
        <v>4082.3864000000003</v>
      </c>
      <c r="AM256" s="64" t="s">
        <v>926</v>
      </c>
      <c r="AN256" s="54">
        <f>MAX(1,ROUND((設定!$B$7*設定!$B$10*(1+設定!$B$11*(設定!$B$12-1)))*AE256^2*(設定!$B$6*(1+設定!$B$13))/(AI256*N256*(1+K256*(L256-1))*AG256),0))</f>
        <v>875</v>
      </c>
      <c r="AO256" s="65" t="str">
        <f>IF($A256="","",IF(COUNTIF(個性タイプマスタ!$A$5:$A$100,$AM256)&gt;0,"OK","未登録"))</f>
        <v>OK</v>
      </c>
      <c r="AP256" s="67" t="str">
        <f>IF($A256="","",IF(COUNTIF(属性耐性マスタ!$A$5:$A$11,$C256)&gt;0,"OK","未登録"))</f>
        <v>OK</v>
      </c>
    </row>
    <row r="257" spans="1:42">
      <c r="A257" s="66" t="s">
        <v>614</v>
      </c>
      <c r="B257" s="51" t="s">
        <v>615</v>
      </c>
      <c r="C257" s="109" t="s">
        <v>874</v>
      </c>
      <c r="D257" s="53">
        <f>ROUND(設定!$B$5*POWER($D$2,W257-1),2)</f>
        <v>5476.37</v>
      </c>
      <c r="E257" s="54">
        <f>MAX(1,ROUND(設定!$B$6*AE257*Y257,0))</f>
        <v>5257</v>
      </c>
      <c r="F257" s="54">
        <f>MAX(0,ROUND(設定!$B$7*AE257*設定!$B$15*IF(X257="Melee",0.6,1.35)*IFERROR(VLOOKUP($AM257,個性タイプマスタ!$A$5:$P$100,14,FALSE),1),0))</f>
        <v>878</v>
      </c>
      <c r="G257" s="54">
        <f>IF(X257="Melee",AN257,MAX(1,ROUND(AN257*設定!$B$16*IFERROR(VLOOKUP($AM257,個性タイプマスタ!$A$5:$P$100,15,FALSE),1),0)))</f>
        <v>291</v>
      </c>
      <c r="H257" s="54">
        <f>IF(X257="Ranged",AN257,MAX(1,ROUND(AN257*設定!$B$16*IFERROR(VLOOKUP($AM257,個性タイプマスタ!$A$5:$P$100,15,FALSE),1),0)))</f>
        <v>1042</v>
      </c>
      <c r="I257" s="54">
        <f>MAX(0,ROUND(設定!$B$8*AE257*Z257,0))</f>
        <v>359</v>
      </c>
      <c r="J257" s="54">
        <f>MAX(0,ROUND(設定!$B$9*AE257*AA257,0))</f>
        <v>399</v>
      </c>
      <c r="K257" s="55">
        <f>IFERROR(VLOOKUP($AM257,個性タイプマスタ!$A$5:$P$100,9,FALSE),0.05)</f>
        <v>0.06</v>
      </c>
      <c r="L257" s="56">
        <f>IFERROR(VLOOKUP($AM257,個性タイプマスタ!$A$5:$P$100,10,FALSE),1.5)</f>
        <v>1.6</v>
      </c>
      <c r="M257" s="56">
        <f>IFERROR(VLOOKUP($AM257,個性タイプマスタ!$A$5:$P$100,11,FALSE),2)</f>
        <v>2.25</v>
      </c>
      <c r="N257" s="57">
        <f>MAX(0.1,ROUND(設定!$B$10*AB257,3))</f>
        <v>0.91</v>
      </c>
      <c r="O257" s="57">
        <f t="shared" si="12"/>
        <v>4.75</v>
      </c>
      <c r="P257" s="58">
        <f>MAX(-10,MIN(0.8,IFERROR(INDEX(属性耐性マスタ!$B$5:$G$11,MATCH($C257,属性耐性マスタ!$A$5:$A$11,0),1),0)+IFERROR(VLOOKUP($AM257,個性タイプマスタ!$A$5:$P$100,12,FALSE),0)))</f>
        <v>-0.02</v>
      </c>
      <c r="Q257" s="58">
        <f>MAX(-10,MIN(0.8,IFERROR(INDEX(属性耐性マスタ!$B$5:$G$11,MATCH($C257,属性耐性マスタ!$A$5:$A$11,0),2),0)+IFERROR(VLOOKUP($AM257,個性タイプマスタ!$A$5:$P$100,12,FALSE),0)))</f>
        <v>-0.02</v>
      </c>
      <c r="R257" s="58">
        <f>MAX(-10,MIN(0.8,IFERROR(INDEX(属性耐性マスタ!$B$5:$G$11,MATCH($C257,属性耐性マスタ!$A$5:$A$11,0),3),0)+IFERROR(VLOOKUP($AM257,個性タイプマスタ!$A$5:$P$100,12,FALSE),0)))</f>
        <v>-0.02</v>
      </c>
      <c r="S257" s="58">
        <f>MAX(-10,MIN(0.8,IFERROR(INDEX(属性耐性マスタ!$B$5:$G$11,MATCH($C257,属性耐性マスタ!$A$5:$A$11,0),4),0)+IFERROR(VLOOKUP($AM257,個性タイプマスタ!$A$5:$P$100,12,FALSE),0)))</f>
        <v>-0.02</v>
      </c>
      <c r="T257" s="58">
        <f>MAX(-10,MIN(0.8,IFERROR(INDEX(属性耐性マスタ!$B$5:$G$11,MATCH($C257,属性耐性マスタ!$A$5:$A$11,0),5),0)+IFERROR(VLOOKUP($AM257,個性タイプマスタ!$A$5:$P$100,12,FALSE),0)))</f>
        <v>-0.12000000000000001</v>
      </c>
      <c r="U257" s="58">
        <f>MAX(-10,MIN(0.8,IFERROR(INDEX(属性耐性マスタ!$B$5:$G$11,MATCH($C257,属性耐性マスタ!$A$5:$A$11,0),6),0)+IFERROR(VLOOKUP($AM257,個性タイプマスタ!$A$5:$P$100,12,FALSE),0)))</f>
        <v>0.18000000000000002</v>
      </c>
      <c r="V257" s="59">
        <f>ROUND(設定!$B$19*IFERROR(VLOOKUP($AM257,個性タイプマスタ!$A$5:$P$100,13,FALSE),1),2)</f>
        <v>6.6</v>
      </c>
      <c r="W257" s="59">
        <v>43</v>
      </c>
      <c r="X257" s="59" t="str">
        <f>IFERROR(VLOOKUP($AM257,個性タイプマスタ!$A$5:$P$100,2,FALSE),"Ranged")</f>
        <v>Ranged</v>
      </c>
      <c r="Y257" s="56">
        <f>IFERROR(VLOOKUP($AM257,個性タイプマスタ!$A$5:$P$100,3,FALSE),1)</f>
        <v>0.96</v>
      </c>
      <c r="Z257" s="56">
        <f>IFERROR(VLOOKUP($AM257,個性タイプマスタ!$A$5:$P$100,4,FALSE),1)</f>
        <v>0.82</v>
      </c>
      <c r="AA257" s="56">
        <f>IFERROR(VLOOKUP($AM257,個性タイプマスタ!$A$5:$P$100,5,FALSE),1)</f>
        <v>0.91</v>
      </c>
      <c r="AB257" s="56">
        <f>IFERROR(VLOOKUP($AM257,個性タイプマスタ!$A$5:$P$100,6,FALSE),1)</f>
        <v>0.91</v>
      </c>
      <c r="AC257" s="56">
        <f>IFERROR(VLOOKUP($AM257,個性タイプマスタ!$A$5:$P$100,7,FALSE),1)</f>
        <v>1.9</v>
      </c>
      <c r="AD257" s="56">
        <f>IFERROR(VLOOKUP($AM257,個性タイプマスタ!$A$5:$P$100,8,FALSE),1)</f>
        <v>0.75</v>
      </c>
      <c r="AE257" s="60">
        <f>IFERROR(D257/設定!$B$5,1)</f>
        <v>54.7637</v>
      </c>
      <c r="AF257" s="60">
        <f>1+設定!$B$13*((I257/設定!$B$8+J257/設定!$B$9)/(2*AE257))</f>
        <v>1.259524100818608</v>
      </c>
      <c r="AG257" s="60">
        <f>MAX(0.7,1+設定!$B$14*(O257/IF(X257="Melee",1.5,2.5)-1))</f>
        <v>1.1080000000000001</v>
      </c>
      <c r="AH257" s="53">
        <f t="shared" si="13"/>
        <v>1088.4503593600002</v>
      </c>
      <c r="AI257" s="53">
        <f>E257*AF257*(1+設定!$B$18*AVERAGE(P257:U257))</f>
        <v>6611.3862207064176</v>
      </c>
      <c r="AJ257" s="61">
        <f>設定!$B$5*SQRT((AH257/(設定!$B$7*設定!$B$10*(1+設定!$B$11*(設定!$B$12-1))))*(AI257/(設定!$B$6*(1+設定!$B$13))))</f>
        <v>5477.4789380864013</v>
      </c>
      <c r="AK257" s="62">
        <f t="shared" si="14"/>
        <v>2.0249509919922914E-4</v>
      </c>
      <c r="AL257" s="63">
        <f t="shared" si="15"/>
        <v>4107.2775000000001</v>
      </c>
      <c r="AM257" s="64" t="s">
        <v>918</v>
      </c>
      <c r="AN257" s="54">
        <f>MAX(1,ROUND((設定!$B$7*設定!$B$10*(1+設定!$B$11*(設定!$B$12-1)))*AE257^2*(設定!$B$6*(1+設定!$B$13))/(AI257*N257*(1+K257*(L257-1))*AG257),0))</f>
        <v>1042</v>
      </c>
      <c r="AO257" s="65" t="str">
        <f>IF($A257="","",IF(COUNTIF(個性タイプマスタ!$A$5:$A$100,$AM257)&gt;0,"OK","未登録"))</f>
        <v>OK</v>
      </c>
      <c r="AP257" s="67" t="str">
        <f>IF($A257="","",IF(COUNTIF(属性耐性マスタ!$A$5:$A$11,$C257)&gt;0,"OK","未登録"))</f>
        <v>OK</v>
      </c>
    </row>
    <row r="258" spans="1:42">
      <c r="A258" s="66" t="s">
        <v>616</v>
      </c>
      <c r="B258" s="51" t="s">
        <v>617</v>
      </c>
      <c r="C258" s="109" t="s">
        <v>874</v>
      </c>
      <c r="D258" s="53">
        <f>ROUND(設定!$B$5*POWER($D$2,W258-1),2)</f>
        <v>5476.37</v>
      </c>
      <c r="E258" s="54">
        <f>MAX(1,ROUND(設定!$B$6*AE258*Y258,0))</f>
        <v>5641</v>
      </c>
      <c r="F258" s="54">
        <f>MAX(0,ROUND(設定!$B$7*AE258*設定!$B$15*IF(X258="Melee",0.6,1.35)*IFERROR(VLOOKUP($AM258,個性タイプマスタ!$A$5:$P$100,14,FALSE),1),0))</f>
        <v>2116</v>
      </c>
      <c r="G258" s="54">
        <f>IF(X258="Melee",AN258,MAX(1,ROUND(AN258*設定!$B$16*IFERROR(VLOOKUP($AM258,個性タイプマスタ!$A$5:$P$100,15,FALSE),1),0)))</f>
        <v>318</v>
      </c>
      <c r="H258" s="54">
        <f>IF(X258="Ranged",AN258,MAX(1,ROUND(AN258*設定!$B$16*IFERROR(VLOOKUP($AM258,個性タイプマスタ!$A$5:$P$100,15,FALSE),1),0)))</f>
        <v>1010</v>
      </c>
      <c r="I258" s="54">
        <f>MAX(0,ROUND(設定!$B$8*AE258*Z258,0))</f>
        <v>421</v>
      </c>
      <c r="J258" s="54">
        <f>MAX(0,ROUND(設定!$B$9*AE258*AA258,0))</f>
        <v>517</v>
      </c>
      <c r="K258" s="55">
        <f>IFERROR(VLOOKUP($AM258,個性タイプマスタ!$A$5:$P$100,9,FALSE),0.05)</f>
        <v>6.5000000000000002E-2</v>
      </c>
      <c r="L258" s="56">
        <f>IFERROR(VLOOKUP($AM258,個性タイプマスタ!$A$5:$P$100,10,FALSE),1.5)</f>
        <v>1.45</v>
      </c>
      <c r="M258" s="56">
        <f>IFERROR(VLOOKUP($AM258,個性タイプマスタ!$A$5:$P$100,11,FALSE),2)</f>
        <v>2.1</v>
      </c>
      <c r="N258" s="57">
        <f>MAX(0.1,ROUND(設定!$B$10*AB258,3))</f>
        <v>0.9</v>
      </c>
      <c r="O258" s="57">
        <f t="shared" si="12"/>
        <v>2.8</v>
      </c>
      <c r="P258" s="58">
        <f>MAX(-10,MIN(0.8,IFERROR(INDEX(属性耐性マスタ!$B$5:$G$11,MATCH($C258,属性耐性マスタ!$A$5:$A$11,0),1),0)+IFERROR(VLOOKUP($AM258,個性タイプマスタ!$A$5:$P$100,12,FALSE),0)))</f>
        <v>0.02</v>
      </c>
      <c r="Q258" s="58">
        <f>MAX(-10,MIN(0.8,IFERROR(INDEX(属性耐性マスタ!$B$5:$G$11,MATCH($C258,属性耐性マスタ!$A$5:$A$11,0),2),0)+IFERROR(VLOOKUP($AM258,個性タイプマスタ!$A$5:$P$100,12,FALSE),0)))</f>
        <v>0.02</v>
      </c>
      <c r="R258" s="58">
        <f>MAX(-10,MIN(0.8,IFERROR(INDEX(属性耐性マスタ!$B$5:$G$11,MATCH($C258,属性耐性マスタ!$A$5:$A$11,0),3),0)+IFERROR(VLOOKUP($AM258,個性タイプマスタ!$A$5:$P$100,12,FALSE),0)))</f>
        <v>0.02</v>
      </c>
      <c r="S258" s="58">
        <f>MAX(-10,MIN(0.8,IFERROR(INDEX(属性耐性マスタ!$B$5:$G$11,MATCH($C258,属性耐性マスタ!$A$5:$A$11,0),4),0)+IFERROR(VLOOKUP($AM258,個性タイプマスタ!$A$5:$P$100,12,FALSE),0)))</f>
        <v>0.02</v>
      </c>
      <c r="T258" s="58">
        <f>MAX(-10,MIN(0.8,IFERROR(INDEX(属性耐性マスタ!$B$5:$G$11,MATCH($C258,属性耐性マスタ!$A$5:$A$11,0),5),0)+IFERROR(VLOOKUP($AM258,個性タイプマスタ!$A$5:$P$100,12,FALSE),0)))</f>
        <v>-0.08</v>
      </c>
      <c r="U258" s="58">
        <f>MAX(-10,MIN(0.8,IFERROR(INDEX(属性耐性マスタ!$B$5:$G$11,MATCH($C258,属性耐性マスタ!$A$5:$A$11,0),6),0)+IFERROR(VLOOKUP($AM258,個性タイプマスタ!$A$5:$P$100,12,FALSE),0)))</f>
        <v>0.22</v>
      </c>
      <c r="V258" s="59">
        <f>ROUND(設定!$B$19*IFERROR(VLOOKUP($AM258,個性タイプマスタ!$A$5:$P$100,13,FALSE),1),2)</f>
        <v>4.2</v>
      </c>
      <c r="W258" s="59">
        <v>43</v>
      </c>
      <c r="X258" s="59" t="str">
        <f>IFERROR(VLOOKUP($AM258,個性タイプマスタ!$A$5:$P$100,2,FALSE),"Ranged")</f>
        <v>Ranged</v>
      </c>
      <c r="Y258" s="56">
        <f>IFERROR(VLOOKUP($AM258,個性タイプマスタ!$A$5:$P$100,3,FALSE),1)</f>
        <v>1.03</v>
      </c>
      <c r="Z258" s="56">
        <f>IFERROR(VLOOKUP($AM258,個性タイプマスタ!$A$5:$P$100,4,FALSE),1)</f>
        <v>0.96</v>
      </c>
      <c r="AA258" s="56">
        <f>IFERROR(VLOOKUP($AM258,個性タイプマスタ!$A$5:$P$100,5,FALSE),1)</f>
        <v>1.18</v>
      </c>
      <c r="AB258" s="56">
        <f>IFERROR(VLOOKUP($AM258,個性タイプマスタ!$A$5:$P$100,6,FALSE),1)</f>
        <v>0.9</v>
      </c>
      <c r="AC258" s="56">
        <f>IFERROR(VLOOKUP($AM258,個性タイプマスタ!$A$5:$P$100,7,FALSE),1)</f>
        <v>1.1200000000000001</v>
      </c>
      <c r="AD258" s="56">
        <f>IFERROR(VLOOKUP($AM258,個性タイプマスタ!$A$5:$P$100,8,FALSE),1)</f>
        <v>0.79</v>
      </c>
      <c r="AE258" s="60">
        <f>IFERROR(D258/設定!$B$5,1)</f>
        <v>54.7637</v>
      </c>
      <c r="AF258" s="60">
        <f>1+設定!$B$13*((I258/設定!$B$8+J258/設定!$B$9)/(2*AE258))</f>
        <v>1.3211525152610215</v>
      </c>
      <c r="AG258" s="60">
        <f>MAX(0.7,1+設定!$B$14*(O258/IF(X258="Melee",1.5,2.5)-1))</f>
        <v>1.0144</v>
      </c>
      <c r="AH258" s="53">
        <f t="shared" si="13"/>
        <v>949.06072080000001</v>
      </c>
      <c r="AI258" s="53">
        <f>E258*AF258*(1+設定!$B$18*AVERAGE(P258:U258))</f>
        <v>7575.5895906741143</v>
      </c>
      <c r="AJ258" s="61">
        <f>設定!$B$5*SQRT((AH258/(設定!$B$7*設定!$B$10*(1+設定!$B$11*(設定!$B$12-1))))*(AI258/(設定!$B$6*(1+設定!$B$13))))</f>
        <v>5475.0155580883775</v>
      </c>
      <c r="AK258" s="62">
        <f t="shared" si="14"/>
        <v>-2.4732476286704053E-4</v>
      </c>
      <c r="AL258" s="63">
        <f t="shared" si="15"/>
        <v>4326.3323</v>
      </c>
      <c r="AM258" s="64" t="s">
        <v>932</v>
      </c>
      <c r="AN258" s="54">
        <f>MAX(1,ROUND((設定!$B$7*設定!$B$10*(1+設定!$B$11*(設定!$B$12-1)))*AE258^2*(設定!$B$6*(1+設定!$B$13))/(AI258*N258*(1+K258*(L258-1))*AG258),0))</f>
        <v>1010</v>
      </c>
      <c r="AO258" s="65" t="str">
        <f>IF($A258="","",IF(COUNTIF(個性タイプマスタ!$A$5:$A$100,$AM258)&gt;0,"OK","未登録"))</f>
        <v>OK</v>
      </c>
      <c r="AP258" s="67" t="str">
        <f>IF($A258="","",IF(COUNTIF(属性耐性マスタ!$A$5:$A$11,$C258)&gt;0,"OK","未登録"))</f>
        <v>OK</v>
      </c>
    </row>
    <row r="259" spans="1:42">
      <c r="A259" s="66" t="s">
        <v>618</v>
      </c>
      <c r="B259" s="51" t="s">
        <v>619</v>
      </c>
      <c r="C259" s="109" t="s">
        <v>121</v>
      </c>
      <c r="D259" s="53">
        <f>ROUND(設定!$B$5*POWER($D$2,W259-1),2)</f>
        <v>5476.37</v>
      </c>
      <c r="E259" s="54">
        <f>MAX(1,ROUND(設定!$B$6*AE259*Y259,0))</f>
        <v>5476</v>
      </c>
      <c r="F259" s="54">
        <f>MAX(0,ROUND(設定!$B$7*AE259*設定!$B$15*IF(X259="Melee",0.6,1.35)*IFERROR(VLOOKUP($AM259,個性タイプマスタ!$A$5:$P$100,14,FALSE),1),0))</f>
        <v>878</v>
      </c>
      <c r="G259" s="54">
        <f>IF(X259="Melee",AN259,MAX(1,ROUND(AN259*設定!$B$16*IFERROR(VLOOKUP($AM259,個性タイプマスタ!$A$5:$P$100,15,FALSE),1),0)))</f>
        <v>394</v>
      </c>
      <c r="H259" s="54">
        <f>IF(X259="Ranged",AN259,MAX(1,ROUND(AN259*設定!$B$16*IFERROR(VLOOKUP($AM259,個性タイプマスタ!$A$5:$P$100,15,FALSE),1),0)))</f>
        <v>876</v>
      </c>
      <c r="I259" s="54">
        <f>MAX(0,ROUND(設定!$B$8*AE259*Z259,0))</f>
        <v>416</v>
      </c>
      <c r="J259" s="54">
        <f>MAX(0,ROUND(設定!$B$9*AE259*AA259,0))</f>
        <v>482</v>
      </c>
      <c r="K259" s="55">
        <f>IFERROR(VLOOKUP($AM259,個性タイプマスタ!$A$5:$P$100,9,FALSE),0.05)</f>
        <v>7.0000000000000007E-2</v>
      </c>
      <c r="L259" s="56">
        <f>IFERROR(VLOOKUP($AM259,個性タイプマスタ!$A$5:$P$100,10,FALSE),1.5)</f>
        <v>1.55</v>
      </c>
      <c r="M259" s="56">
        <f>IFERROR(VLOOKUP($AM259,個性タイプマスタ!$A$5:$P$100,11,FALSE),2)</f>
        <v>2.2999999999999998</v>
      </c>
      <c r="N259" s="57">
        <f>MAX(0.1,ROUND(設定!$B$10*AB259,3))</f>
        <v>1.1000000000000001</v>
      </c>
      <c r="O259" s="57">
        <f t="shared" si="12"/>
        <v>2.7</v>
      </c>
      <c r="P259" s="58">
        <f>MAX(-10,MIN(0.8,IFERROR(INDEX(属性耐性マスタ!$B$5:$G$11,MATCH($C259,属性耐性マスタ!$A$5:$A$11,0),1),0)+IFERROR(VLOOKUP($AM259,個性タイプマスタ!$A$5:$P$100,12,FALSE),0)))</f>
        <v>-0.03</v>
      </c>
      <c r="Q259" s="58">
        <f>MAX(-10,MIN(0.8,IFERROR(INDEX(属性耐性マスタ!$B$5:$G$11,MATCH($C259,属性耐性マスタ!$A$5:$A$11,0),2),0)+IFERROR(VLOOKUP($AM259,個性タイプマスタ!$A$5:$P$100,12,FALSE),0)))</f>
        <v>-0.03</v>
      </c>
      <c r="R259" s="58">
        <f>MAX(-10,MIN(0.8,IFERROR(INDEX(属性耐性マスタ!$B$5:$G$11,MATCH($C259,属性耐性マスタ!$A$5:$A$11,0),3),0)+IFERROR(VLOOKUP($AM259,個性タイプマスタ!$A$5:$P$100,12,FALSE),0)))</f>
        <v>-0.03</v>
      </c>
      <c r="S259" s="58">
        <f>MAX(-10,MIN(0.8,IFERROR(INDEX(属性耐性マスタ!$B$5:$G$11,MATCH($C259,属性耐性マスタ!$A$5:$A$11,0),4),0)+IFERROR(VLOOKUP($AM259,個性タイプマスタ!$A$5:$P$100,12,FALSE),0)))</f>
        <v>-0.03</v>
      </c>
      <c r="T259" s="58">
        <f>MAX(-10,MIN(0.8,IFERROR(INDEX(属性耐性マスタ!$B$5:$G$11,MATCH($C259,属性耐性マスタ!$A$5:$A$11,0),5),0)+IFERROR(VLOOKUP($AM259,個性タイプマスタ!$A$5:$P$100,12,FALSE),0)))</f>
        <v>0.17</v>
      </c>
      <c r="U259" s="58">
        <f>MAX(-10,MIN(0.8,IFERROR(INDEX(属性耐性マスタ!$B$5:$G$11,MATCH($C259,属性耐性マスタ!$A$5:$A$11,0),6),0)+IFERROR(VLOOKUP($AM259,個性タイプマスタ!$A$5:$P$100,12,FALSE),0)))</f>
        <v>-0.13</v>
      </c>
      <c r="V259" s="59">
        <f>ROUND(設定!$B$19*IFERROR(VLOOKUP($AM259,個性タイプマスタ!$A$5:$P$100,13,FALSE),1),2)</f>
        <v>4</v>
      </c>
      <c r="W259" s="59">
        <v>43</v>
      </c>
      <c r="X259" s="59" t="str">
        <f>IFERROR(VLOOKUP($AM259,個性タイプマスタ!$A$5:$P$100,2,FALSE),"Ranged")</f>
        <v>Ranged</v>
      </c>
      <c r="Y259" s="56">
        <f>IFERROR(VLOOKUP($AM259,個性タイプマスタ!$A$5:$P$100,3,FALSE),1)</f>
        <v>1</v>
      </c>
      <c r="Z259" s="56">
        <f>IFERROR(VLOOKUP($AM259,個性タイプマスタ!$A$5:$P$100,4,FALSE),1)</f>
        <v>0.95</v>
      </c>
      <c r="AA259" s="56">
        <f>IFERROR(VLOOKUP($AM259,個性タイプマスタ!$A$5:$P$100,5,FALSE),1)</f>
        <v>1.1000000000000001</v>
      </c>
      <c r="AB259" s="56">
        <f>IFERROR(VLOOKUP($AM259,個性タイプマスタ!$A$5:$P$100,6,FALSE),1)</f>
        <v>1.1000000000000001</v>
      </c>
      <c r="AC259" s="56">
        <f>IFERROR(VLOOKUP($AM259,個性タイプマスタ!$A$5:$P$100,7,FALSE),1)</f>
        <v>1.08</v>
      </c>
      <c r="AD259" s="56">
        <f>IFERROR(VLOOKUP($AM259,個性タイプマスタ!$A$5:$P$100,8,FALSE),1)</f>
        <v>0.8</v>
      </c>
      <c r="AE259" s="60">
        <f>IFERROR(D259/設定!$B$5,1)</f>
        <v>54.7637</v>
      </c>
      <c r="AF259" s="60">
        <f>1+設定!$B$13*((I259/設定!$B$8+J259/設定!$B$9)/(2*AE259))</f>
        <v>1.3074573120515962</v>
      </c>
      <c r="AG259" s="60">
        <f>MAX(0.7,1+設定!$B$14*(O259/IF(X259="Melee",1.5,2.5)-1))</f>
        <v>1.0096000000000001</v>
      </c>
      <c r="AH259" s="53">
        <f t="shared" si="13"/>
        <v>1010.3053065600001</v>
      </c>
      <c r="AI259" s="53">
        <f>E259*AF259*(1+設定!$B$18*AVERAGE(P259:U259))</f>
        <v>7116.6784233497738</v>
      </c>
      <c r="AJ259" s="61">
        <f>設定!$B$5*SQRT((AH259/(設定!$B$7*設定!$B$10*(1+設定!$B$11*(設定!$B$12-1))))*(AI259/(設定!$B$6*(1+設定!$B$13))))</f>
        <v>5475.1387150554219</v>
      </c>
      <c r="AK259" s="62">
        <f t="shared" si="14"/>
        <v>-2.2483596699596209E-4</v>
      </c>
      <c r="AL259" s="63">
        <f t="shared" si="15"/>
        <v>4381.0960000000005</v>
      </c>
      <c r="AM259" s="64" t="s">
        <v>883</v>
      </c>
      <c r="AN259" s="54">
        <f>MAX(1,ROUND((設定!$B$7*設定!$B$10*(1+設定!$B$11*(設定!$B$12-1)))*AE259^2*(設定!$B$6*(1+設定!$B$13))/(AI259*N259*(1+K259*(L259-1))*AG259),0))</f>
        <v>876</v>
      </c>
      <c r="AO259" s="65" t="str">
        <f>IF($A259="","",IF(COUNTIF(個性タイプマスタ!$A$5:$A$100,$AM259)&gt;0,"OK","未登録"))</f>
        <v>OK</v>
      </c>
      <c r="AP259" s="67" t="str">
        <f>IF($A259="","",IF(COUNTIF(属性耐性マスタ!$A$5:$A$11,$C259)&gt;0,"OK","未登録"))</f>
        <v>OK</v>
      </c>
    </row>
    <row r="260" spans="1:42">
      <c r="A260" s="66" t="s">
        <v>620</v>
      </c>
      <c r="B260" s="51" t="s">
        <v>621</v>
      </c>
      <c r="C260" s="109" t="s">
        <v>121</v>
      </c>
      <c r="D260" s="53">
        <f>ROUND(設定!$B$5*POWER($D$2,W260-1),2)</f>
        <v>5476.37</v>
      </c>
      <c r="E260" s="54">
        <f>MAX(1,ROUND(設定!$B$6*AE260*Y260,0))</f>
        <v>4436</v>
      </c>
      <c r="F260" s="54">
        <f>MAX(0,ROUND(設定!$B$7*AE260*設定!$B$15*IF(X260="Melee",0.6,1.35)*IFERROR(VLOOKUP($AM260,個性タイプマスタ!$A$5:$P$100,14,FALSE),1),0))</f>
        <v>277</v>
      </c>
      <c r="G260" s="54">
        <f>IF(X260="Melee",AN260,MAX(1,ROUND(AN260*設定!$B$16*IFERROR(VLOOKUP($AM260,個性タイプマスタ!$A$5:$P$100,15,FALSE),1),0)))</f>
        <v>759</v>
      </c>
      <c r="H260" s="54">
        <f>IF(X260="Ranged",AN260,MAX(1,ROUND(AN260*設定!$B$16*IFERROR(VLOOKUP($AM260,個性タイプマスタ!$A$5:$P$100,15,FALSE),1),0)))</f>
        <v>239</v>
      </c>
      <c r="I260" s="54">
        <f>MAX(0,ROUND(設定!$B$8*AE260*Z260,0))</f>
        <v>329</v>
      </c>
      <c r="J260" s="54">
        <f>MAX(0,ROUND(設定!$B$9*AE260*AA260,0))</f>
        <v>346</v>
      </c>
      <c r="K260" s="55">
        <f>IFERROR(VLOOKUP($AM260,個性タイプマスタ!$A$5:$P$100,9,FALSE),0.05)</f>
        <v>7.0000000000000007E-2</v>
      </c>
      <c r="L260" s="56">
        <f>IFERROR(VLOOKUP($AM260,個性タイプマスタ!$A$5:$P$100,10,FALSE),1.5)</f>
        <v>1.45</v>
      </c>
      <c r="M260" s="56">
        <f>IFERROR(VLOOKUP($AM260,個性タイプマスタ!$A$5:$P$100,11,FALSE),2)</f>
        <v>3.35</v>
      </c>
      <c r="N260" s="57">
        <f>MAX(0.1,ROUND(設定!$B$10*AB260,3))</f>
        <v>1.77</v>
      </c>
      <c r="O260" s="57">
        <f t="shared" si="12"/>
        <v>1.1399999999999999</v>
      </c>
      <c r="P260" s="58">
        <f>MAX(-10,MIN(0.8,IFERROR(INDEX(属性耐性マスタ!$B$5:$G$11,MATCH($C260,属性耐性マスタ!$A$5:$A$11,0),1),0)+IFERROR(VLOOKUP($AM260,個性タイプマスタ!$A$5:$P$100,12,FALSE),0)))</f>
        <v>-6.5000000000000002E-2</v>
      </c>
      <c r="Q260" s="58">
        <f>MAX(-10,MIN(0.8,IFERROR(INDEX(属性耐性マスタ!$B$5:$G$11,MATCH($C260,属性耐性マスタ!$A$5:$A$11,0),2),0)+IFERROR(VLOOKUP($AM260,個性タイプマスタ!$A$5:$P$100,12,FALSE),0)))</f>
        <v>-6.5000000000000002E-2</v>
      </c>
      <c r="R260" s="58">
        <f>MAX(-10,MIN(0.8,IFERROR(INDEX(属性耐性マスタ!$B$5:$G$11,MATCH($C260,属性耐性マスタ!$A$5:$A$11,0),3),0)+IFERROR(VLOOKUP($AM260,個性タイプマスタ!$A$5:$P$100,12,FALSE),0)))</f>
        <v>-6.5000000000000002E-2</v>
      </c>
      <c r="S260" s="58">
        <f>MAX(-10,MIN(0.8,IFERROR(INDEX(属性耐性マスタ!$B$5:$G$11,MATCH($C260,属性耐性マスタ!$A$5:$A$11,0),4),0)+IFERROR(VLOOKUP($AM260,個性タイプマスタ!$A$5:$P$100,12,FALSE),0)))</f>
        <v>-6.5000000000000002E-2</v>
      </c>
      <c r="T260" s="58">
        <f>MAX(-10,MIN(0.8,IFERROR(INDEX(属性耐性マスタ!$B$5:$G$11,MATCH($C260,属性耐性マスタ!$A$5:$A$11,0),5),0)+IFERROR(VLOOKUP($AM260,個性タイプマスタ!$A$5:$P$100,12,FALSE),0)))</f>
        <v>0.13500000000000001</v>
      </c>
      <c r="U260" s="58">
        <f>MAX(-10,MIN(0.8,IFERROR(INDEX(属性耐性マスタ!$B$5:$G$11,MATCH($C260,属性耐性マスタ!$A$5:$A$11,0),6),0)+IFERROR(VLOOKUP($AM260,個性タイプマスタ!$A$5:$P$100,12,FALSE),0)))</f>
        <v>-0.16500000000000001</v>
      </c>
      <c r="V260" s="59">
        <f>ROUND(設定!$B$19*IFERROR(VLOOKUP($AM260,個性タイプマスタ!$A$5:$P$100,13,FALSE),1),2)</f>
        <v>5</v>
      </c>
      <c r="W260" s="59">
        <v>43</v>
      </c>
      <c r="X260" s="59" t="str">
        <f>IFERROR(VLOOKUP($AM260,個性タイプマスタ!$A$5:$P$100,2,FALSE),"Ranged")</f>
        <v>Melee</v>
      </c>
      <c r="Y260" s="56">
        <f>IFERROR(VLOOKUP($AM260,個性タイプマスタ!$A$5:$P$100,3,FALSE),1)</f>
        <v>0.81</v>
      </c>
      <c r="Z260" s="56">
        <f>IFERROR(VLOOKUP($AM260,個性タイプマスタ!$A$5:$P$100,4,FALSE),1)</f>
        <v>0.75</v>
      </c>
      <c r="AA260" s="56">
        <f>IFERROR(VLOOKUP($AM260,個性タイプマスタ!$A$5:$P$100,5,FALSE),1)</f>
        <v>0.79</v>
      </c>
      <c r="AB260" s="56">
        <f>IFERROR(VLOOKUP($AM260,個性タイプマスタ!$A$5:$P$100,6,FALSE),1)</f>
        <v>1.77</v>
      </c>
      <c r="AC260" s="56">
        <f>IFERROR(VLOOKUP($AM260,個性タイプマスタ!$A$5:$P$100,7,FALSE),1)</f>
        <v>0.76</v>
      </c>
      <c r="AD260" s="56">
        <f>IFERROR(VLOOKUP($AM260,個性タイプマスタ!$A$5:$P$100,8,FALSE),1)</f>
        <v>0.66</v>
      </c>
      <c r="AE260" s="60">
        <f>IFERROR(D260/設定!$B$5,1)</f>
        <v>54.7637</v>
      </c>
      <c r="AF260" s="60">
        <f>1+設定!$B$13*((I260/設定!$B$8+J260/設定!$B$9)/(2*AE260))</f>
        <v>1.2311065541590507</v>
      </c>
      <c r="AG260" s="60">
        <f>MAX(0.7,1+設定!$B$14*(O260/IF(X260="Melee",1.5,2.5)-1))</f>
        <v>0.97119999999999995</v>
      </c>
      <c r="AH260" s="53">
        <f t="shared" si="13"/>
        <v>1345.8385013040001</v>
      </c>
      <c r="AI260" s="53">
        <f>E260*AF260*(1+設定!$B$18*AVERAGE(P260:U260))</f>
        <v>5342.4078205846208</v>
      </c>
      <c r="AJ260" s="61">
        <f>設定!$B$5*SQRT((AH260/(設定!$B$7*設定!$B$10*(1+設定!$B$11*(設定!$B$12-1))))*(AI260/(設定!$B$6*(1+設定!$B$13))))</f>
        <v>5475.1387753728113</v>
      </c>
      <c r="AK260" s="62">
        <f t="shared" si="14"/>
        <v>-2.2482495287723392E-4</v>
      </c>
      <c r="AL260" s="63">
        <f t="shared" si="15"/>
        <v>3614.4041999999999</v>
      </c>
      <c r="AM260" s="64" t="s">
        <v>948</v>
      </c>
      <c r="AN260" s="54">
        <f>MAX(1,ROUND((設定!$B$7*設定!$B$10*(1+設定!$B$11*(設定!$B$12-1)))*AE260^2*(設定!$B$6*(1+設定!$B$13))/(AI260*N260*(1+K260*(L260-1))*AG260),0))</f>
        <v>759</v>
      </c>
      <c r="AO260" s="65" t="str">
        <f>IF($A260="","",IF(COUNTIF(個性タイプマスタ!$A$5:$A$100,$AM260)&gt;0,"OK","未登録"))</f>
        <v>OK</v>
      </c>
      <c r="AP260" s="67" t="str">
        <f>IF($A260="","",IF(COUNTIF(属性耐性マスタ!$A$5:$A$11,$C260)&gt;0,"OK","未登録"))</f>
        <v>OK</v>
      </c>
    </row>
    <row r="261" spans="1:42">
      <c r="A261" s="66" t="s">
        <v>622</v>
      </c>
      <c r="B261" s="51" t="s">
        <v>623</v>
      </c>
      <c r="C261" s="109" t="s">
        <v>874</v>
      </c>
      <c r="D261" s="53">
        <f>ROUND(設定!$B$5*POWER($D$2,W261-1),2)</f>
        <v>5476.37</v>
      </c>
      <c r="E261" s="54">
        <f>MAX(1,ROUND(設定!$B$6*AE261*Y261,0))</f>
        <v>3176</v>
      </c>
      <c r="F261" s="54">
        <f>MAX(0,ROUND(設定!$B$7*AE261*設定!$B$15*IF(X261="Melee",0.6,1.35)*IFERROR(VLOOKUP($AM261,個性タイプマスタ!$A$5:$P$100,14,FALSE),1),0))</f>
        <v>177</v>
      </c>
      <c r="G261" s="54">
        <f>IF(X261="Melee",AN261,MAX(1,ROUND(AN261*設定!$B$16*IFERROR(VLOOKUP($AM261,個性タイプマスタ!$A$5:$P$100,15,FALSE),1),0)))</f>
        <v>1741</v>
      </c>
      <c r="H261" s="54">
        <f>IF(X261="Ranged",AN261,MAX(1,ROUND(AN261*設定!$B$16*IFERROR(VLOOKUP($AM261,個性タイプマスタ!$A$5:$P$100,15,FALSE),1),0)))</f>
        <v>392</v>
      </c>
      <c r="I261" s="54">
        <f>MAX(0,ROUND(設定!$B$8*AE261*Z261,0))</f>
        <v>241</v>
      </c>
      <c r="J261" s="54">
        <f>MAX(0,ROUND(設定!$B$9*AE261*AA261,0))</f>
        <v>245</v>
      </c>
      <c r="K261" s="55">
        <f>IFERROR(VLOOKUP($AM261,個性タイプマスタ!$A$5:$P$100,9,FALSE),0.05)</f>
        <v>0.08</v>
      </c>
      <c r="L261" s="56">
        <f>IFERROR(VLOOKUP($AM261,個性タイプマスタ!$A$5:$P$100,10,FALSE),1.5)</f>
        <v>1.95</v>
      </c>
      <c r="M261" s="56">
        <f>IFERROR(VLOOKUP($AM261,個性タイプマスタ!$A$5:$P$100,11,FALSE),2)</f>
        <v>2.85</v>
      </c>
      <c r="N261" s="57">
        <f>MAX(0.1,ROUND(設定!$B$10*AB261,3))</f>
        <v>1.0900000000000001</v>
      </c>
      <c r="O261" s="57">
        <f t="shared" ref="O261:O324" si="16">MAX(0.1,ROUND(IF(X261="Melee",1.5,2.5)*AC261,3))</f>
        <v>1.44</v>
      </c>
      <c r="P261" s="58">
        <f>MAX(-10,MIN(0.8,IFERROR(INDEX(属性耐性マスタ!$B$5:$G$11,MATCH($C261,属性耐性マスタ!$A$5:$A$11,0),1),0)+IFERROR(VLOOKUP($AM261,個性タイプマスタ!$A$5:$P$100,12,FALSE),0)))</f>
        <v>-0.115</v>
      </c>
      <c r="Q261" s="58">
        <f>MAX(-10,MIN(0.8,IFERROR(INDEX(属性耐性マスタ!$B$5:$G$11,MATCH($C261,属性耐性マスタ!$A$5:$A$11,0),2),0)+IFERROR(VLOOKUP($AM261,個性タイプマスタ!$A$5:$P$100,12,FALSE),0)))</f>
        <v>-0.115</v>
      </c>
      <c r="R261" s="58">
        <f>MAX(-10,MIN(0.8,IFERROR(INDEX(属性耐性マスタ!$B$5:$G$11,MATCH($C261,属性耐性マスタ!$A$5:$A$11,0),3),0)+IFERROR(VLOOKUP($AM261,個性タイプマスタ!$A$5:$P$100,12,FALSE),0)))</f>
        <v>-0.115</v>
      </c>
      <c r="S261" s="58">
        <f>MAX(-10,MIN(0.8,IFERROR(INDEX(属性耐性マスタ!$B$5:$G$11,MATCH($C261,属性耐性マスタ!$A$5:$A$11,0),4),0)+IFERROR(VLOOKUP($AM261,個性タイプマスタ!$A$5:$P$100,12,FALSE),0)))</f>
        <v>-0.115</v>
      </c>
      <c r="T261" s="58">
        <f>MAX(-10,MIN(0.8,IFERROR(INDEX(属性耐性マスタ!$B$5:$G$11,MATCH($C261,属性耐性マスタ!$A$5:$A$11,0),5),0)+IFERROR(VLOOKUP($AM261,個性タイプマスタ!$A$5:$P$100,12,FALSE),0)))</f>
        <v>-0.21500000000000002</v>
      </c>
      <c r="U261" s="58">
        <f>MAX(-10,MIN(0.8,IFERROR(INDEX(属性耐性マスタ!$B$5:$G$11,MATCH($C261,属性耐性マスタ!$A$5:$A$11,0),6),0)+IFERROR(VLOOKUP($AM261,個性タイプマスタ!$A$5:$P$100,12,FALSE),0)))</f>
        <v>8.5000000000000006E-2</v>
      </c>
      <c r="V261" s="59">
        <f>ROUND(設定!$B$19*IFERROR(VLOOKUP($AM261,個性タイプマスタ!$A$5:$P$100,13,FALSE),1),2)</f>
        <v>4.4000000000000004</v>
      </c>
      <c r="W261" s="59">
        <v>43</v>
      </c>
      <c r="X261" s="59" t="str">
        <f>IFERROR(VLOOKUP($AM261,個性タイプマスタ!$A$5:$P$100,2,FALSE),"Ranged")</f>
        <v>Melee</v>
      </c>
      <c r="Y261" s="56">
        <f>IFERROR(VLOOKUP($AM261,個性タイプマスタ!$A$5:$P$100,3,FALSE),1)</f>
        <v>0.57999999999999996</v>
      </c>
      <c r="Z261" s="56">
        <f>IFERROR(VLOOKUP($AM261,個性タイプマスタ!$A$5:$P$100,4,FALSE),1)</f>
        <v>0.55000000000000004</v>
      </c>
      <c r="AA261" s="56">
        <f>IFERROR(VLOOKUP($AM261,個性タイプマスタ!$A$5:$P$100,5,FALSE),1)</f>
        <v>0.56000000000000005</v>
      </c>
      <c r="AB261" s="56">
        <f>IFERROR(VLOOKUP($AM261,個性タイプマスタ!$A$5:$P$100,6,FALSE),1)</f>
        <v>1.0900000000000001</v>
      </c>
      <c r="AC261" s="56">
        <f>IFERROR(VLOOKUP($AM261,個性タイプマスタ!$A$5:$P$100,7,FALSE),1)</f>
        <v>0.96</v>
      </c>
      <c r="AD261" s="56">
        <f>IFERROR(VLOOKUP($AM261,個性タイプマスタ!$A$5:$P$100,8,FALSE),1)</f>
        <v>0.54</v>
      </c>
      <c r="AE261" s="60">
        <f>IFERROR(D261/設定!$B$5,1)</f>
        <v>54.7637</v>
      </c>
      <c r="AF261" s="60">
        <f>1+設定!$B$13*((I261/設定!$B$8+J261/設定!$B$9)/(2*AE261))</f>
        <v>1.1663967189945164</v>
      </c>
      <c r="AG261" s="60">
        <f>MAX(0.7,1+設定!$B$14*(O261/IF(X261="Melee",1.5,2.5)-1))</f>
        <v>0.99519999999999997</v>
      </c>
      <c r="AH261" s="53">
        <f t="shared" ref="AH261:AH324" si="17">IF(X261="Melee",G261,H261)*N261*(1+K261*(L261-1))*AG261</f>
        <v>2032.1132506880001</v>
      </c>
      <c r="AI261" s="53">
        <f>E261*AF261*(1+設定!$B$18*AVERAGE(P261:U261))</f>
        <v>3540.5529174325325</v>
      </c>
      <c r="AJ261" s="61">
        <f>設定!$B$5*SQRT((AH261/(設定!$B$7*設定!$B$10*(1+設定!$B$11*(設定!$B$12-1))))*(AI261/(設定!$B$6*(1+設定!$B$13))))</f>
        <v>5476.960860168514</v>
      </c>
      <c r="AK261" s="62">
        <f t="shared" ref="AK261:AK324" si="18">IF(D261=0,0,AJ261/D261-1)</f>
        <v>1.0789266768207462E-4</v>
      </c>
      <c r="AL261" s="63">
        <f t="shared" ref="AL261:AL324" si="19">D261*AD261</f>
        <v>2957.2398000000003</v>
      </c>
      <c r="AM261" s="64" t="s">
        <v>962</v>
      </c>
      <c r="AN261" s="54">
        <f>MAX(1,ROUND((設定!$B$7*設定!$B$10*(1+設定!$B$11*(設定!$B$12-1)))*AE261^2*(設定!$B$6*(1+設定!$B$13))/(AI261*N261*(1+K261*(L261-1))*AG261),0))</f>
        <v>1741</v>
      </c>
      <c r="AO261" s="65" t="str">
        <f>IF($A261="","",IF(COUNTIF(個性タイプマスタ!$A$5:$A$100,$AM261)&gt;0,"OK","未登録"))</f>
        <v>OK</v>
      </c>
      <c r="AP261" s="67" t="str">
        <f>IF($A261="","",IF(COUNTIF(属性耐性マスタ!$A$5:$A$11,$C261)&gt;0,"OK","未登録"))</f>
        <v>OK</v>
      </c>
    </row>
    <row r="262" spans="1:42">
      <c r="A262" s="66" t="s">
        <v>624</v>
      </c>
      <c r="B262" s="51" t="s">
        <v>625</v>
      </c>
      <c r="C262" s="109" t="s">
        <v>121</v>
      </c>
      <c r="D262" s="53">
        <f>ROUND(設定!$B$5*POWER($D$2,W262-1),2)</f>
        <v>5476.37</v>
      </c>
      <c r="E262" s="54">
        <f>MAX(1,ROUND(設定!$B$6*AE262*Y262,0))</f>
        <v>7667</v>
      </c>
      <c r="F262" s="54">
        <f>MAX(0,ROUND(設定!$B$7*AE262*設定!$B$15*IF(X262="Melee",0.6,1.35)*IFERROR(VLOOKUP($AM262,個性タイプマスタ!$A$5:$P$100,14,FALSE),1),0))</f>
        <v>1757</v>
      </c>
      <c r="G262" s="54">
        <f>IF(X262="Melee",AN262,MAX(1,ROUND(AN262*設定!$B$16*IFERROR(VLOOKUP($AM262,個性タイプマスタ!$A$5:$P$100,15,FALSE),1),0)))</f>
        <v>294</v>
      </c>
      <c r="H262" s="54">
        <f>IF(X262="Ranged",AN262,MAX(1,ROUND(AN262*設定!$B$16*IFERROR(VLOOKUP($AM262,個性タイプマスタ!$A$5:$P$100,15,FALSE),1),0)))</f>
        <v>777</v>
      </c>
      <c r="I262" s="54">
        <f>MAX(0,ROUND(設定!$B$8*AE262*Z262,0))</f>
        <v>416</v>
      </c>
      <c r="J262" s="54">
        <f>MAX(0,ROUND(設定!$B$9*AE262*AA262,0))</f>
        <v>736</v>
      </c>
      <c r="K262" s="55">
        <f>IFERROR(VLOOKUP($AM262,個性タイプマスタ!$A$5:$P$100,9,FALSE),0.05)</f>
        <v>0.115</v>
      </c>
      <c r="L262" s="56">
        <f>IFERROR(VLOOKUP($AM262,個性タイプマスタ!$A$5:$P$100,10,FALSE),1.5)</f>
        <v>1.95</v>
      </c>
      <c r="M262" s="56">
        <f>IFERROR(VLOOKUP($AM262,個性タイプマスタ!$A$5:$P$100,11,FALSE),2)</f>
        <v>1.2</v>
      </c>
      <c r="N262" s="57">
        <f>MAX(0.1,ROUND(設定!$B$10*AB262,3))</f>
        <v>0.72</v>
      </c>
      <c r="O262" s="57">
        <f t="shared" si="16"/>
        <v>3.3250000000000002</v>
      </c>
      <c r="P262" s="58">
        <f>MAX(-10,MIN(0.8,IFERROR(INDEX(属性耐性マスタ!$B$5:$G$11,MATCH($C262,属性耐性マスタ!$A$5:$A$11,0),1),0)+IFERROR(VLOOKUP($AM262,個性タイプマスタ!$A$5:$P$100,12,FALSE),0)))</f>
        <v>0.08</v>
      </c>
      <c r="Q262" s="58">
        <f>MAX(-10,MIN(0.8,IFERROR(INDEX(属性耐性マスタ!$B$5:$G$11,MATCH($C262,属性耐性マスタ!$A$5:$A$11,0),2),0)+IFERROR(VLOOKUP($AM262,個性タイプマスタ!$A$5:$P$100,12,FALSE),0)))</f>
        <v>0.08</v>
      </c>
      <c r="R262" s="58">
        <f>MAX(-10,MIN(0.8,IFERROR(INDEX(属性耐性マスタ!$B$5:$G$11,MATCH($C262,属性耐性マスタ!$A$5:$A$11,0),3),0)+IFERROR(VLOOKUP($AM262,個性タイプマスタ!$A$5:$P$100,12,FALSE),0)))</f>
        <v>0.08</v>
      </c>
      <c r="S262" s="58">
        <f>MAX(-10,MIN(0.8,IFERROR(INDEX(属性耐性マスタ!$B$5:$G$11,MATCH($C262,属性耐性マスタ!$A$5:$A$11,0),4),0)+IFERROR(VLOOKUP($AM262,個性タイプマスタ!$A$5:$P$100,12,FALSE),0)))</f>
        <v>0.08</v>
      </c>
      <c r="T262" s="58">
        <f>MAX(-10,MIN(0.8,IFERROR(INDEX(属性耐性マスタ!$B$5:$G$11,MATCH($C262,属性耐性マスタ!$A$5:$A$11,0),5),0)+IFERROR(VLOOKUP($AM262,個性タイプマスタ!$A$5:$P$100,12,FALSE),0)))</f>
        <v>0.28000000000000003</v>
      </c>
      <c r="U262" s="58">
        <f>MAX(-10,MIN(0.8,IFERROR(INDEX(属性耐性マスタ!$B$5:$G$11,MATCH($C262,属性耐性マスタ!$A$5:$A$11,0),6),0)+IFERROR(VLOOKUP($AM262,個性タイプマスタ!$A$5:$P$100,12,FALSE),0)))</f>
        <v>-2.0000000000000004E-2</v>
      </c>
      <c r="V262" s="59">
        <f>ROUND(設定!$B$19*IFERROR(VLOOKUP($AM262,個性タイプマスタ!$A$5:$P$100,13,FALSE),1),2)</f>
        <v>5</v>
      </c>
      <c r="W262" s="59">
        <v>43</v>
      </c>
      <c r="X262" s="59" t="str">
        <f>IFERROR(VLOOKUP($AM262,個性タイプマスタ!$A$5:$P$100,2,FALSE),"Ranged")</f>
        <v>Ranged</v>
      </c>
      <c r="Y262" s="56">
        <f>IFERROR(VLOOKUP($AM262,個性タイプマスタ!$A$5:$P$100,3,FALSE),1)</f>
        <v>1.4</v>
      </c>
      <c r="Z262" s="56">
        <f>IFERROR(VLOOKUP($AM262,個性タイプマスタ!$A$5:$P$100,4,FALSE),1)</f>
        <v>0.95</v>
      </c>
      <c r="AA262" s="56">
        <f>IFERROR(VLOOKUP($AM262,個性タイプマスタ!$A$5:$P$100,5,FALSE),1)</f>
        <v>1.68</v>
      </c>
      <c r="AB262" s="56">
        <f>IFERROR(VLOOKUP($AM262,個性タイプマスタ!$A$5:$P$100,6,FALSE),1)</f>
        <v>0.72</v>
      </c>
      <c r="AC262" s="56">
        <f>IFERROR(VLOOKUP($AM262,個性タイプマスタ!$A$5:$P$100,7,FALSE),1)</f>
        <v>1.33</v>
      </c>
      <c r="AD262" s="56">
        <f>IFERROR(VLOOKUP($AM262,個性タイプマスタ!$A$5:$P$100,8,FALSE),1)</f>
        <v>0.86</v>
      </c>
      <c r="AE262" s="60">
        <f>IFERROR(D262/設定!$B$5,1)</f>
        <v>54.7637</v>
      </c>
      <c r="AF262" s="60">
        <f>1+設定!$B$13*((I262/設定!$B$8+J262/設定!$B$9)/(2*AE262))</f>
        <v>1.3944218524314462</v>
      </c>
      <c r="AG262" s="60">
        <f>MAX(0.7,1+設定!$B$14*(O262/IF(X262="Melee",1.5,2.5)-1))</f>
        <v>1.0396000000000001</v>
      </c>
      <c r="AH262" s="53">
        <f t="shared" si="17"/>
        <v>645.13294927200002</v>
      </c>
      <c r="AI262" s="53">
        <f>E262*AF262*(1+設定!$B$18*AVERAGE(P262:U262))</f>
        <v>11156.092249494646</v>
      </c>
      <c r="AJ262" s="61">
        <f>設定!$B$5*SQRT((AH262/(設定!$B$7*設定!$B$10*(1+設定!$B$11*(設定!$B$12-1))))*(AI262/(設定!$B$6*(1+設定!$B$13))))</f>
        <v>5477.8583615852331</v>
      </c>
      <c r="AK262" s="62">
        <f t="shared" si="18"/>
        <v>2.7177885811835445E-4</v>
      </c>
      <c r="AL262" s="63">
        <f t="shared" si="19"/>
        <v>4709.6782000000003</v>
      </c>
      <c r="AM262" s="64" t="s">
        <v>938</v>
      </c>
      <c r="AN262" s="54">
        <f>MAX(1,ROUND((設定!$B$7*設定!$B$10*(1+設定!$B$11*(設定!$B$12-1)))*AE262^2*(設定!$B$6*(1+設定!$B$13))/(AI262*N262*(1+K262*(L262-1))*AG262),0))</f>
        <v>777</v>
      </c>
      <c r="AO262" s="65" t="str">
        <f>IF($A262="","",IF(COUNTIF(個性タイプマスタ!$A$5:$A$100,$AM262)&gt;0,"OK","未登録"))</f>
        <v>OK</v>
      </c>
      <c r="AP262" s="67" t="str">
        <f>IF($A262="","",IF(COUNTIF(属性耐性マスタ!$A$5:$A$11,$C262)&gt;0,"OK","未登録"))</f>
        <v>OK</v>
      </c>
    </row>
    <row r="263" spans="1:42">
      <c r="A263" s="66" t="s">
        <v>626</v>
      </c>
      <c r="B263" s="51" t="s">
        <v>627</v>
      </c>
      <c r="C263" s="109" t="s">
        <v>874</v>
      </c>
      <c r="D263" s="53">
        <f>ROUND(設定!$B$5*POWER($D$2,W263-1),2)</f>
        <v>6024.01</v>
      </c>
      <c r="E263" s="54">
        <f>MAX(1,ROUND(設定!$B$6*AE263*Y263,0))</f>
        <v>6024</v>
      </c>
      <c r="F263" s="54">
        <f>MAX(0,ROUND(設定!$B$7*AE263*設定!$B$15*IF(X263="Melee",0.6,1.35)*IFERROR(VLOOKUP($AM263,個性タイプマスタ!$A$5:$P$100,14,FALSE),1),0))</f>
        <v>1054</v>
      </c>
      <c r="G263" s="54">
        <f>IF(X263="Melee",AN263,MAX(1,ROUND(AN263*設定!$B$16*IFERROR(VLOOKUP($AM263,個性タイプマスタ!$A$5:$P$100,15,FALSE),1),0)))</f>
        <v>340</v>
      </c>
      <c r="H263" s="54">
        <f>IF(X263="Ranged",AN263,MAX(1,ROUND(AN263*設定!$B$16*IFERROR(VLOOKUP($AM263,個性タイプマスタ!$A$5:$P$100,15,FALSE),1),0)))</f>
        <v>1079</v>
      </c>
      <c r="I263" s="54">
        <f>MAX(0,ROUND(設定!$B$8*AE263*Z263,0))</f>
        <v>463</v>
      </c>
      <c r="J263" s="54">
        <f>MAX(0,ROUND(設定!$B$9*AE263*AA263,0))</f>
        <v>492</v>
      </c>
      <c r="K263" s="55">
        <f>IFERROR(VLOOKUP($AM263,個性タイプマスタ!$A$5:$P$100,9,FALSE),0.05)</f>
        <v>4.4999999999999998E-2</v>
      </c>
      <c r="L263" s="56">
        <f>IFERROR(VLOOKUP($AM263,個性タイプマスタ!$A$5:$P$100,10,FALSE),1.5)</f>
        <v>1.4</v>
      </c>
      <c r="M263" s="56">
        <f>IFERROR(VLOOKUP($AM263,個性タイプマスタ!$A$5:$P$100,11,FALSE),2)</f>
        <v>2.0499999999999998</v>
      </c>
      <c r="N263" s="57">
        <f>MAX(0.1,ROUND(設定!$B$10*AB263,3))</f>
        <v>0.92</v>
      </c>
      <c r="O263" s="57">
        <f t="shared" si="16"/>
        <v>2.6749999999999998</v>
      </c>
      <c r="P263" s="58">
        <f>MAX(-10,MIN(0.8,IFERROR(INDEX(属性耐性マスタ!$B$5:$G$11,MATCH($C263,属性耐性マスタ!$A$5:$A$11,0),1),0)+IFERROR(VLOOKUP($AM263,個性タイプマスタ!$A$5:$P$100,12,FALSE),0)))</f>
        <v>0.19</v>
      </c>
      <c r="Q263" s="58">
        <f>MAX(-10,MIN(0.8,IFERROR(INDEX(属性耐性マスタ!$B$5:$G$11,MATCH($C263,属性耐性マスタ!$A$5:$A$11,0),2),0)+IFERROR(VLOOKUP($AM263,個性タイプマスタ!$A$5:$P$100,12,FALSE),0)))</f>
        <v>0.19</v>
      </c>
      <c r="R263" s="58">
        <f>MAX(-10,MIN(0.8,IFERROR(INDEX(属性耐性マスタ!$B$5:$G$11,MATCH($C263,属性耐性マスタ!$A$5:$A$11,0),3),0)+IFERROR(VLOOKUP($AM263,個性タイプマスタ!$A$5:$P$100,12,FALSE),0)))</f>
        <v>0.19</v>
      </c>
      <c r="S263" s="58">
        <f>MAX(-10,MIN(0.8,IFERROR(INDEX(属性耐性マスタ!$B$5:$G$11,MATCH($C263,属性耐性マスタ!$A$5:$A$11,0),4),0)+IFERROR(VLOOKUP($AM263,個性タイプマスタ!$A$5:$P$100,12,FALSE),0)))</f>
        <v>0.19</v>
      </c>
      <c r="T263" s="58">
        <f>MAX(-10,MIN(0.8,IFERROR(INDEX(属性耐性マスタ!$B$5:$G$11,MATCH($C263,属性耐性マスタ!$A$5:$A$11,0),5),0)+IFERROR(VLOOKUP($AM263,個性タイプマスタ!$A$5:$P$100,12,FALSE),0)))</f>
        <v>0.09</v>
      </c>
      <c r="U263" s="58">
        <f>MAX(-10,MIN(0.8,IFERROR(INDEX(属性耐性マスタ!$B$5:$G$11,MATCH($C263,属性耐性マスタ!$A$5:$A$11,0),6),0)+IFERROR(VLOOKUP($AM263,個性タイプマスタ!$A$5:$P$100,12,FALSE),0)))</f>
        <v>0.39</v>
      </c>
      <c r="V263" s="59">
        <f>ROUND(設定!$B$19*IFERROR(VLOOKUP($AM263,個性タイプマスタ!$A$5:$P$100,13,FALSE),1),2)</f>
        <v>4</v>
      </c>
      <c r="W263" s="59">
        <v>44</v>
      </c>
      <c r="X263" s="59" t="str">
        <f>IFERROR(VLOOKUP($AM263,個性タイプマスタ!$A$5:$P$100,2,FALSE),"Ranged")</f>
        <v>Ranged</v>
      </c>
      <c r="Y263" s="56">
        <f>IFERROR(VLOOKUP($AM263,個性タイプマスタ!$A$5:$P$100,3,FALSE),1)</f>
        <v>1</v>
      </c>
      <c r="Z263" s="56">
        <f>IFERROR(VLOOKUP($AM263,個性タイプマスタ!$A$5:$P$100,4,FALSE),1)</f>
        <v>0.96</v>
      </c>
      <c r="AA263" s="56">
        <f>IFERROR(VLOOKUP($AM263,個性タイプマスタ!$A$5:$P$100,5,FALSE),1)</f>
        <v>1.02</v>
      </c>
      <c r="AB263" s="56">
        <f>IFERROR(VLOOKUP($AM263,個性タイプマスタ!$A$5:$P$100,6,FALSE),1)</f>
        <v>0.92</v>
      </c>
      <c r="AC263" s="56">
        <f>IFERROR(VLOOKUP($AM263,個性タイプマスタ!$A$5:$P$100,7,FALSE),1)</f>
        <v>1.07</v>
      </c>
      <c r="AD263" s="56">
        <f>IFERROR(VLOOKUP($AM263,個性タイプマスタ!$A$5:$P$100,8,FALSE),1)</f>
        <v>0.85</v>
      </c>
      <c r="AE263" s="60">
        <f>IFERROR(D263/設定!$B$5,1)</f>
        <v>60.240100000000005</v>
      </c>
      <c r="AF263" s="60">
        <f>1+設定!$B$13*((I263/設定!$B$8+J263/設定!$B$9)/(2*AE263))</f>
        <v>1.2972480125364998</v>
      </c>
      <c r="AG263" s="60">
        <f>MAX(0.7,1+設定!$B$14*(O263/IF(X263="Melee",1.5,2.5)-1))</f>
        <v>1.0084</v>
      </c>
      <c r="AH263" s="53">
        <f t="shared" si="17"/>
        <v>1019.0368452160001</v>
      </c>
      <c r="AI263" s="53">
        <f>E263*AF263*(1+設定!$B$18*AVERAGE(P263:U263))</f>
        <v>8541.3818760792237</v>
      </c>
      <c r="AJ263" s="61">
        <f>設定!$B$5*SQRT((AH263/(設定!$B$7*設定!$B$10*(1+設定!$B$11*(設定!$B$12-1))))*(AI263/(設定!$B$6*(1+設定!$B$13))))</f>
        <v>6024.058097944996</v>
      </c>
      <c r="AK263" s="62">
        <f t="shared" si="18"/>
        <v>7.984373365133024E-6</v>
      </c>
      <c r="AL263" s="63">
        <f t="shared" si="19"/>
        <v>5120.4085000000005</v>
      </c>
      <c r="AM263" s="64" t="s">
        <v>930</v>
      </c>
      <c r="AN263" s="54">
        <f>MAX(1,ROUND((設定!$B$7*設定!$B$10*(1+設定!$B$11*(設定!$B$12-1)))*AE263^2*(設定!$B$6*(1+設定!$B$13))/(AI263*N263*(1+K263*(L263-1))*AG263),0))</f>
        <v>1079</v>
      </c>
      <c r="AO263" s="65" t="str">
        <f>IF($A263="","",IF(COUNTIF(個性タイプマスタ!$A$5:$A$100,$AM263)&gt;0,"OK","未登録"))</f>
        <v>OK</v>
      </c>
      <c r="AP263" s="67" t="str">
        <f>IF($A263="","",IF(COUNTIF(属性耐性マスタ!$A$5:$A$11,$C263)&gt;0,"OK","未登録"))</f>
        <v>OK</v>
      </c>
    </row>
    <row r="264" spans="1:42">
      <c r="A264" s="66" t="s">
        <v>628</v>
      </c>
      <c r="B264" s="51" t="s">
        <v>629</v>
      </c>
      <c r="C264" s="109" t="s">
        <v>121</v>
      </c>
      <c r="D264" s="53">
        <f>ROUND(設定!$B$5*POWER($D$2,W264-1),2)</f>
        <v>6024.01</v>
      </c>
      <c r="E264" s="54">
        <f>MAX(1,ROUND(設定!$B$6*AE264*Y264,0))</f>
        <v>5542</v>
      </c>
      <c r="F264" s="54">
        <f>MAX(0,ROUND(設定!$B$7*AE264*設定!$B$15*IF(X264="Melee",0.6,1.35)*IFERROR(VLOOKUP($AM264,個性タイプマスタ!$A$5:$P$100,14,FALSE),1),0))</f>
        <v>878</v>
      </c>
      <c r="G264" s="54">
        <f>IF(X264="Melee",AN264,MAX(1,ROUND(AN264*設定!$B$16*IFERROR(VLOOKUP($AM264,個性タイプマスタ!$A$5:$P$100,15,FALSE),1),0)))</f>
        <v>501</v>
      </c>
      <c r="H264" s="54">
        <f>IF(X264="Ranged",AN264,MAX(1,ROUND(AN264*設定!$B$16*IFERROR(VLOOKUP($AM264,個性タイプマスタ!$A$5:$P$100,15,FALSE),1),0)))</f>
        <v>1114</v>
      </c>
      <c r="I264" s="54">
        <f>MAX(0,ROUND(設定!$B$8*AE264*Z264,0))</f>
        <v>458</v>
      </c>
      <c r="J264" s="54">
        <f>MAX(0,ROUND(設定!$B$9*AE264*AA264,0))</f>
        <v>506</v>
      </c>
      <c r="K264" s="55">
        <f>IFERROR(VLOOKUP($AM264,個性タイプマスタ!$A$5:$P$100,9,FALSE),0.05)</f>
        <v>0.05</v>
      </c>
      <c r="L264" s="56">
        <f>IFERROR(VLOOKUP($AM264,個性タイプマスタ!$A$5:$P$100,10,FALSE),1.5)</f>
        <v>1.5</v>
      </c>
      <c r="M264" s="56">
        <f>IFERROR(VLOOKUP($AM264,個性タイプマスタ!$A$5:$P$100,11,FALSE),2)</f>
        <v>2</v>
      </c>
      <c r="N264" s="57">
        <f>MAX(0.1,ROUND(設定!$B$10*AB264,3))</f>
        <v>1.05</v>
      </c>
      <c r="O264" s="57">
        <f t="shared" si="16"/>
        <v>2.5</v>
      </c>
      <c r="P264" s="58">
        <f>MAX(-10,MIN(0.8,IFERROR(INDEX(属性耐性マスタ!$B$5:$G$11,MATCH($C264,属性耐性マスタ!$A$5:$A$11,0),1),0)+IFERROR(VLOOKUP($AM264,個性タイプマスタ!$A$5:$P$100,12,FALSE),0)))</f>
        <v>0</v>
      </c>
      <c r="Q264" s="58">
        <f>MAX(-10,MIN(0.8,IFERROR(INDEX(属性耐性マスタ!$B$5:$G$11,MATCH($C264,属性耐性マスタ!$A$5:$A$11,0),2),0)+IFERROR(VLOOKUP($AM264,個性タイプマスタ!$A$5:$P$100,12,FALSE),0)))</f>
        <v>0</v>
      </c>
      <c r="R264" s="58">
        <f>MAX(-10,MIN(0.8,IFERROR(INDEX(属性耐性マスタ!$B$5:$G$11,MATCH($C264,属性耐性マスタ!$A$5:$A$11,0),3),0)+IFERROR(VLOOKUP($AM264,個性タイプマスタ!$A$5:$P$100,12,FALSE),0)))</f>
        <v>0</v>
      </c>
      <c r="S264" s="58">
        <f>MAX(-10,MIN(0.8,IFERROR(INDEX(属性耐性マスタ!$B$5:$G$11,MATCH($C264,属性耐性マスタ!$A$5:$A$11,0),4),0)+IFERROR(VLOOKUP($AM264,個性タイプマスタ!$A$5:$P$100,12,FALSE),0)))</f>
        <v>0</v>
      </c>
      <c r="T264" s="58">
        <f>MAX(-10,MIN(0.8,IFERROR(INDEX(属性耐性マスタ!$B$5:$G$11,MATCH($C264,属性耐性マスタ!$A$5:$A$11,0),5),0)+IFERROR(VLOOKUP($AM264,個性タイプマスタ!$A$5:$P$100,12,FALSE),0)))</f>
        <v>0.2</v>
      </c>
      <c r="U264" s="58">
        <f>MAX(-10,MIN(0.8,IFERROR(INDEX(属性耐性マスタ!$B$5:$G$11,MATCH($C264,属性耐性マスタ!$A$5:$A$11,0),6),0)+IFERROR(VLOOKUP($AM264,個性タイプマスタ!$A$5:$P$100,12,FALSE),0)))</f>
        <v>-0.1</v>
      </c>
      <c r="V264" s="59">
        <f>ROUND(設定!$B$19*IFERROR(VLOOKUP($AM264,個性タイプマスタ!$A$5:$P$100,13,FALSE),1),2)</f>
        <v>4</v>
      </c>
      <c r="W264" s="59">
        <v>44</v>
      </c>
      <c r="X264" s="59" t="str">
        <f>IFERROR(VLOOKUP($AM264,個性タイプマスタ!$A$5:$P$100,2,FALSE),"Ranged")</f>
        <v>Ranged</v>
      </c>
      <c r="Y264" s="56">
        <f>IFERROR(VLOOKUP($AM264,個性タイプマスタ!$A$5:$P$100,3,FALSE),1)</f>
        <v>0.92</v>
      </c>
      <c r="Z264" s="56">
        <f>IFERROR(VLOOKUP($AM264,個性タイプマスタ!$A$5:$P$100,4,FALSE),1)</f>
        <v>0.95</v>
      </c>
      <c r="AA264" s="56">
        <f>IFERROR(VLOOKUP($AM264,個性タイプマスタ!$A$5:$P$100,5,FALSE),1)</f>
        <v>1.05</v>
      </c>
      <c r="AB264" s="56">
        <f>IFERROR(VLOOKUP($AM264,個性タイプマスタ!$A$5:$P$100,6,FALSE),1)</f>
        <v>1.05</v>
      </c>
      <c r="AC264" s="56">
        <f>IFERROR(VLOOKUP($AM264,個性タイプマスタ!$A$5:$P$100,7,FALSE),1)</f>
        <v>1</v>
      </c>
      <c r="AD264" s="56">
        <f>IFERROR(VLOOKUP($AM264,個性タイプマスタ!$A$5:$P$100,8,FALSE),1)</f>
        <v>0.74</v>
      </c>
      <c r="AE264" s="60">
        <f>IFERROR(D264/設定!$B$5,1)</f>
        <v>60.240100000000005</v>
      </c>
      <c r="AF264" s="60">
        <f>1+設定!$B$13*((I264/設定!$B$8+J264/設定!$B$9)/(2*AE264))</f>
        <v>1.3000493027070008</v>
      </c>
      <c r="AG264" s="60">
        <f>MAX(0.7,1+設定!$B$14*(O264/IF(X264="Melee",1.5,2.5)-1))</f>
        <v>1</v>
      </c>
      <c r="AH264" s="53">
        <f t="shared" si="17"/>
        <v>1198.9424999999999</v>
      </c>
      <c r="AI264" s="53">
        <f>E264*AF264*(1+設定!$B$18*AVERAGE(P264:U264))</f>
        <v>7258.9097848692154</v>
      </c>
      <c r="AJ264" s="61">
        <f>設定!$B$5*SQRT((AH264/(設定!$B$7*設定!$B$10*(1+設定!$B$11*(設定!$B$12-1))))*(AI264/(設定!$B$6*(1+設定!$B$13))))</f>
        <v>6023.7233194885448</v>
      </c>
      <c r="AK264" s="62">
        <f t="shared" si="18"/>
        <v>-4.7589647337087371E-5</v>
      </c>
      <c r="AL264" s="63">
        <f t="shared" si="19"/>
        <v>4457.7673999999997</v>
      </c>
      <c r="AM264" s="64" t="s">
        <v>881</v>
      </c>
      <c r="AN264" s="54">
        <f>MAX(1,ROUND((設定!$B$7*設定!$B$10*(1+設定!$B$11*(設定!$B$12-1)))*AE264^2*(設定!$B$6*(1+設定!$B$13))/(AI264*N264*(1+K264*(L264-1))*AG264),0))</f>
        <v>1114</v>
      </c>
      <c r="AO264" s="65" t="str">
        <f>IF($A264="","",IF(COUNTIF(個性タイプマスタ!$A$5:$A$100,$AM264)&gt;0,"OK","未登録"))</f>
        <v>OK</v>
      </c>
      <c r="AP264" s="67" t="str">
        <f>IF($A264="","",IF(COUNTIF(属性耐性マスタ!$A$5:$A$11,$C264)&gt;0,"OK","未登録"))</f>
        <v>OK</v>
      </c>
    </row>
    <row r="265" spans="1:42">
      <c r="A265" s="66" t="s">
        <v>630</v>
      </c>
      <c r="B265" s="51" t="s">
        <v>631</v>
      </c>
      <c r="C265" s="109" t="s">
        <v>871</v>
      </c>
      <c r="D265" s="53">
        <f>ROUND(設定!$B$5*POWER($D$2,W265-1),2)</f>
        <v>6024.01</v>
      </c>
      <c r="E265" s="54">
        <f>MAX(1,ROUND(設定!$B$6*AE265*Y265,0))</f>
        <v>4458</v>
      </c>
      <c r="F265" s="54">
        <f>MAX(0,ROUND(設定!$B$7*AE265*設定!$B$15*IF(X265="Melee",0.6,1.35)*IFERROR(VLOOKUP($AM265,個性タイプマスタ!$A$5:$P$100,14,FALSE),1),0))</f>
        <v>834</v>
      </c>
      <c r="G265" s="54">
        <f>IF(X265="Melee",AN265,MAX(1,ROUND(AN265*設定!$B$16*IFERROR(VLOOKUP($AM265,個性タイプマスタ!$A$5:$P$100,15,FALSE),1),0)))</f>
        <v>303</v>
      </c>
      <c r="H265" s="54">
        <f>IF(X265="Ranged",AN265,MAX(1,ROUND(AN265*設定!$B$16*IFERROR(VLOOKUP($AM265,個性タイプマスタ!$A$5:$P$100,15,FALSE),1),0)))</f>
        <v>1035</v>
      </c>
      <c r="I265" s="54">
        <f>MAX(0,ROUND(設定!$B$8*AE265*Z265,0))</f>
        <v>347</v>
      </c>
      <c r="J265" s="54">
        <f>MAX(0,ROUND(設定!$B$9*AE265*AA265,0))</f>
        <v>405</v>
      </c>
      <c r="K265" s="55">
        <f>IFERROR(VLOOKUP($AM265,個性タイプマスタ!$A$5:$P$100,9,FALSE),0.05)</f>
        <v>0.05</v>
      </c>
      <c r="L265" s="56">
        <f>IFERROR(VLOOKUP($AM265,個性タイプマスタ!$A$5:$P$100,10,FALSE),1.5)</f>
        <v>1.4</v>
      </c>
      <c r="M265" s="56">
        <f>IFERROR(VLOOKUP($AM265,個性タイプマスタ!$A$5:$P$100,11,FALSE),2)</f>
        <v>3.35</v>
      </c>
      <c r="N265" s="57">
        <f>MAX(0.1,ROUND(設定!$B$10*AB265,3))</f>
        <v>1.55</v>
      </c>
      <c r="O265" s="57">
        <f t="shared" si="16"/>
        <v>2.2999999999999998</v>
      </c>
      <c r="P265" s="58">
        <f>MAX(-10,MIN(0.8,IFERROR(INDEX(属性耐性マスタ!$B$5:$G$11,MATCH($C265,属性耐性マスタ!$A$5:$A$11,0),1),0)+IFERROR(VLOOKUP($AM265,個性タイプマスタ!$A$5:$P$100,12,FALSE),0)))</f>
        <v>-7.0000000000000007E-2</v>
      </c>
      <c r="Q265" s="58">
        <f>MAX(-10,MIN(0.8,IFERROR(INDEX(属性耐性マスタ!$B$5:$G$11,MATCH($C265,属性耐性マスタ!$A$5:$A$11,0),2),0)+IFERROR(VLOOKUP($AM265,個性タイプマスタ!$A$5:$P$100,12,FALSE),0)))</f>
        <v>-7.0000000000000007E-2</v>
      </c>
      <c r="R265" s="58">
        <f>MAX(-10,MIN(0.8,IFERROR(INDEX(属性耐性マスタ!$B$5:$G$11,MATCH($C265,属性耐性マスタ!$A$5:$A$11,0),3),0)+IFERROR(VLOOKUP($AM265,個性タイプマスタ!$A$5:$P$100,12,FALSE),0)))</f>
        <v>-0.17</v>
      </c>
      <c r="S265" s="58">
        <f>MAX(-10,MIN(0.8,IFERROR(INDEX(属性耐性マスタ!$B$5:$G$11,MATCH($C265,属性耐性マスタ!$A$5:$A$11,0),4),0)+IFERROR(VLOOKUP($AM265,個性タイプマスタ!$A$5:$P$100,12,FALSE),0)))</f>
        <v>0.13</v>
      </c>
      <c r="T265" s="58">
        <f>MAX(-10,MIN(0.8,IFERROR(INDEX(属性耐性マスタ!$B$5:$G$11,MATCH($C265,属性耐性マスタ!$A$5:$A$11,0),5),0)+IFERROR(VLOOKUP($AM265,個性タイプマスタ!$A$5:$P$100,12,FALSE),0)))</f>
        <v>-7.0000000000000007E-2</v>
      </c>
      <c r="U265" s="58">
        <f>MAX(-10,MIN(0.8,IFERROR(INDEX(属性耐性マスタ!$B$5:$G$11,MATCH($C265,属性耐性マスタ!$A$5:$A$11,0),6),0)+IFERROR(VLOOKUP($AM265,個性タイプマスタ!$A$5:$P$100,12,FALSE),0)))</f>
        <v>-7.0000000000000007E-2</v>
      </c>
      <c r="V265" s="59">
        <f>ROUND(設定!$B$19*IFERROR(VLOOKUP($AM265,個性タイプマスタ!$A$5:$P$100,13,FALSE),1),2)</f>
        <v>4</v>
      </c>
      <c r="W265" s="59">
        <v>44</v>
      </c>
      <c r="X265" s="59" t="str">
        <f>IFERROR(VLOOKUP($AM265,個性タイプマスタ!$A$5:$P$100,2,FALSE),"Ranged")</f>
        <v>Ranged</v>
      </c>
      <c r="Y265" s="56">
        <f>IFERROR(VLOOKUP($AM265,個性タイプマスタ!$A$5:$P$100,3,FALSE),1)</f>
        <v>0.74</v>
      </c>
      <c r="Z265" s="56">
        <f>IFERROR(VLOOKUP($AM265,個性タイプマスタ!$A$5:$P$100,4,FALSE),1)</f>
        <v>0.72</v>
      </c>
      <c r="AA265" s="56">
        <f>IFERROR(VLOOKUP($AM265,個性タイプマスタ!$A$5:$P$100,5,FALSE),1)</f>
        <v>0.84</v>
      </c>
      <c r="AB265" s="56">
        <f>IFERROR(VLOOKUP($AM265,個性タイプマスタ!$A$5:$P$100,6,FALSE),1)</f>
        <v>1.55</v>
      </c>
      <c r="AC265" s="56">
        <f>IFERROR(VLOOKUP($AM265,個性タイプマスタ!$A$5:$P$100,7,FALSE),1)</f>
        <v>0.92</v>
      </c>
      <c r="AD265" s="56">
        <f>IFERROR(VLOOKUP($AM265,個性タイプマスタ!$A$5:$P$100,8,FALSE),1)</f>
        <v>0.61</v>
      </c>
      <c r="AE265" s="60">
        <f>IFERROR(D265/設定!$B$5,1)</f>
        <v>60.240100000000005</v>
      </c>
      <c r="AF265" s="60">
        <f>1+設定!$B$13*((I265/設定!$B$8+J265/設定!$B$9)/(2*AE265))</f>
        <v>1.2340633564685317</v>
      </c>
      <c r="AG265" s="60">
        <f>MAX(0.7,1+設定!$B$14*(O265/IF(X265="Melee",1.5,2.5)-1))</f>
        <v>0.99039999999999995</v>
      </c>
      <c r="AH265" s="53">
        <f t="shared" si="17"/>
        <v>1620.626184</v>
      </c>
      <c r="AI265" s="53">
        <f>E265*AF265*(1+設定!$B$18*AVERAGE(P265:U265))</f>
        <v>5369.419536501433</v>
      </c>
      <c r="AJ265" s="61">
        <f>設定!$B$5*SQRT((AH265/(設定!$B$7*設定!$B$10*(1+設定!$B$11*(設定!$B$12-1))))*(AI265/(設定!$B$6*(1+設定!$B$13))))</f>
        <v>6023.3102518790574</v>
      </c>
      <c r="AK265" s="62">
        <f t="shared" si="18"/>
        <v>-1.1615985380886151E-4</v>
      </c>
      <c r="AL265" s="63">
        <f t="shared" si="19"/>
        <v>3674.6460999999999</v>
      </c>
      <c r="AM265" s="64" t="s">
        <v>908</v>
      </c>
      <c r="AN265" s="54">
        <f>MAX(1,ROUND((設定!$B$7*設定!$B$10*(1+設定!$B$11*(設定!$B$12-1)))*AE265^2*(設定!$B$6*(1+設定!$B$13))/(AI265*N265*(1+K265*(L265-1))*AG265),0))</f>
        <v>1035</v>
      </c>
      <c r="AO265" s="65" t="str">
        <f>IF($A265="","",IF(COUNTIF(個性タイプマスタ!$A$5:$A$100,$AM265)&gt;0,"OK","未登録"))</f>
        <v>OK</v>
      </c>
      <c r="AP265" s="67" t="str">
        <f>IF($A265="","",IF(COUNTIF(属性耐性マスタ!$A$5:$A$11,$C265)&gt;0,"OK","未登録"))</f>
        <v>OK</v>
      </c>
    </row>
    <row r="266" spans="1:42">
      <c r="A266" s="66" t="s">
        <v>632</v>
      </c>
      <c r="B266" s="51" t="s">
        <v>633</v>
      </c>
      <c r="C266" s="109" t="s">
        <v>871</v>
      </c>
      <c r="D266" s="53">
        <f>ROUND(設定!$B$5*POWER($D$2,W266-1),2)</f>
        <v>6024.01</v>
      </c>
      <c r="E266" s="54">
        <f>MAX(1,ROUND(設定!$B$6*AE266*Y266,0))</f>
        <v>3976</v>
      </c>
      <c r="F266" s="54">
        <f>MAX(0,ROUND(設定!$B$7*AE266*設定!$B$15*IF(X266="Melee",0.6,1.35)*IFERROR(VLOOKUP($AM266,個性タイプマスタ!$A$5:$P$100,14,FALSE),1),0))</f>
        <v>234</v>
      </c>
      <c r="G266" s="54">
        <f>IF(X266="Melee",AN266,MAX(1,ROUND(AN266*設定!$B$16*IFERROR(VLOOKUP($AM266,個性タイプマスタ!$A$5:$P$100,15,FALSE),1),0)))</f>
        <v>1076</v>
      </c>
      <c r="H266" s="54">
        <f>IF(X266="Ranged",AN266,MAX(1,ROUND(AN266*設定!$B$16*IFERROR(VLOOKUP($AM266,個性タイプマスタ!$A$5:$P$100,15,FALSE),1),0)))</f>
        <v>266</v>
      </c>
      <c r="I266" s="54">
        <f>MAX(0,ROUND(設定!$B$8*AE266*Z266,0))</f>
        <v>337</v>
      </c>
      <c r="J266" s="54">
        <f>MAX(0,ROUND(設定!$B$9*AE266*AA266,0))</f>
        <v>342</v>
      </c>
      <c r="K266" s="55">
        <f>IFERROR(VLOOKUP($AM266,個性タイプマスタ!$A$5:$P$100,9,FALSE),0.05)</f>
        <v>0.21</v>
      </c>
      <c r="L266" s="56">
        <f>IFERROR(VLOOKUP($AM266,個性タイプマスタ!$A$5:$P$100,10,FALSE),1.5)</f>
        <v>1.78</v>
      </c>
      <c r="M266" s="56">
        <f>IFERROR(VLOOKUP($AM266,個性タイプマスタ!$A$5:$P$100,11,FALSE),2)</f>
        <v>4.05</v>
      </c>
      <c r="N266" s="57">
        <f>MAX(0.1,ROUND(設定!$B$10*AB266,3))</f>
        <v>1.56</v>
      </c>
      <c r="O266" s="57">
        <f t="shared" si="16"/>
        <v>0.9</v>
      </c>
      <c r="P266" s="58">
        <f>MAX(-10,MIN(0.8,IFERROR(INDEX(属性耐性マスタ!$B$5:$G$11,MATCH($C266,属性耐性マスタ!$A$5:$A$11,0),1),0)+IFERROR(VLOOKUP($AM266,個性タイプマスタ!$A$5:$P$100,12,FALSE),0)))</f>
        <v>-0.08</v>
      </c>
      <c r="Q266" s="58">
        <f>MAX(-10,MIN(0.8,IFERROR(INDEX(属性耐性マスタ!$B$5:$G$11,MATCH($C266,属性耐性マスタ!$A$5:$A$11,0),2),0)+IFERROR(VLOOKUP($AM266,個性タイプマスタ!$A$5:$P$100,12,FALSE),0)))</f>
        <v>-0.08</v>
      </c>
      <c r="R266" s="58">
        <f>MAX(-10,MIN(0.8,IFERROR(INDEX(属性耐性マスタ!$B$5:$G$11,MATCH($C266,属性耐性マスタ!$A$5:$A$11,0),3),0)+IFERROR(VLOOKUP($AM266,個性タイプマスタ!$A$5:$P$100,12,FALSE),0)))</f>
        <v>-0.18</v>
      </c>
      <c r="S266" s="58">
        <f>MAX(-10,MIN(0.8,IFERROR(INDEX(属性耐性マスタ!$B$5:$G$11,MATCH($C266,属性耐性マスタ!$A$5:$A$11,0),4),0)+IFERROR(VLOOKUP($AM266,個性タイプマスタ!$A$5:$P$100,12,FALSE),0)))</f>
        <v>0.12000000000000001</v>
      </c>
      <c r="T266" s="58">
        <f>MAX(-10,MIN(0.8,IFERROR(INDEX(属性耐性マスタ!$B$5:$G$11,MATCH($C266,属性耐性マスタ!$A$5:$A$11,0),5),0)+IFERROR(VLOOKUP($AM266,個性タイプマスタ!$A$5:$P$100,12,FALSE),0)))</f>
        <v>-0.08</v>
      </c>
      <c r="U266" s="58">
        <f>MAX(-10,MIN(0.8,IFERROR(INDEX(属性耐性マスタ!$B$5:$G$11,MATCH($C266,属性耐性マスタ!$A$5:$A$11,0),6),0)+IFERROR(VLOOKUP($AM266,個性タイプマスタ!$A$5:$P$100,12,FALSE),0)))</f>
        <v>-0.08</v>
      </c>
      <c r="V266" s="59">
        <f>ROUND(設定!$B$19*IFERROR(VLOOKUP($AM266,個性タイプマスタ!$A$5:$P$100,13,FALSE),1),2)</f>
        <v>5</v>
      </c>
      <c r="W266" s="59">
        <v>44</v>
      </c>
      <c r="X266" s="59" t="str">
        <f>IFERROR(VLOOKUP($AM266,個性タイプマスタ!$A$5:$P$100,2,FALSE),"Ranged")</f>
        <v>Melee</v>
      </c>
      <c r="Y266" s="56">
        <f>IFERROR(VLOOKUP($AM266,個性タイプマスタ!$A$5:$P$100,3,FALSE),1)</f>
        <v>0.66</v>
      </c>
      <c r="Z266" s="56">
        <f>IFERROR(VLOOKUP($AM266,個性タイプマスタ!$A$5:$P$100,4,FALSE),1)</f>
        <v>0.7</v>
      </c>
      <c r="AA266" s="56">
        <f>IFERROR(VLOOKUP($AM266,個性タイプマスタ!$A$5:$P$100,5,FALSE),1)</f>
        <v>0.71</v>
      </c>
      <c r="AB266" s="56">
        <f>IFERROR(VLOOKUP($AM266,個性タイプマスタ!$A$5:$P$100,6,FALSE),1)</f>
        <v>1.56</v>
      </c>
      <c r="AC266" s="56">
        <f>IFERROR(VLOOKUP($AM266,個性タイプマスタ!$A$5:$P$100,7,FALSE),1)</f>
        <v>0.6</v>
      </c>
      <c r="AD266" s="56">
        <f>IFERROR(VLOOKUP($AM266,個性タイプマスタ!$A$5:$P$100,8,FALSE),1)</f>
        <v>0.6</v>
      </c>
      <c r="AE266" s="60">
        <f>IFERROR(D266/設定!$B$5,1)</f>
        <v>60.240100000000005</v>
      </c>
      <c r="AF266" s="60">
        <f>1+設定!$B$13*((I266/設定!$B$8+J266/設定!$B$9)/(2*AE266))</f>
        <v>1.2113417806411344</v>
      </c>
      <c r="AG266" s="60">
        <f>MAX(0.7,1+設定!$B$14*(O266/IF(X266="Melee",1.5,2.5)-1))</f>
        <v>0.95199999999999996</v>
      </c>
      <c r="AH266" s="53">
        <f t="shared" si="17"/>
        <v>1859.7397378559999</v>
      </c>
      <c r="AI266" s="53">
        <f>E266*AF266*(1+設定!$B$18*AVERAGE(P266:U266))</f>
        <v>4679.0305146140199</v>
      </c>
      <c r="AJ266" s="61">
        <f>設定!$B$5*SQRT((AH266/(設定!$B$7*設定!$B$10*(1+設定!$B$11*(設定!$B$12-1))))*(AI266/(設定!$B$6*(1+設定!$B$13))))</f>
        <v>6023.2954005645415</v>
      </c>
      <c r="AK266" s="62">
        <f t="shared" si="18"/>
        <v>-1.186252073716032E-4</v>
      </c>
      <c r="AL266" s="63">
        <f t="shared" si="19"/>
        <v>3614.4059999999999</v>
      </c>
      <c r="AM266" s="64" t="s">
        <v>960</v>
      </c>
      <c r="AN266" s="54">
        <f>MAX(1,ROUND((設定!$B$7*設定!$B$10*(1+設定!$B$11*(設定!$B$12-1)))*AE266^2*(設定!$B$6*(1+設定!$B$13))/(AI266*N266*(1+K266*(L266-1))*AG266),0))</f>
        <v>1076</v>
      </c>
      <c r="AO266" s="65" t="str">
        <f>IF($A266="","",IF(COUNTIF(個性タイプマスタ!$A$5:$A$100,$AM266)&gt;0,"OK","未登録"))</f>
        <v>OK</v>
      </c>
      <c r="AP266" s="67" t="str">
        <f>IF($A266="","",IF(COUNTIF(属性耐性マスタ!$A$5:$A$11,$C266)&gt;0,"OK","未登録"))</f>
        <v>OK</v>
      </c>
    </row>
    <row r="267" spans="1:42">
      <c r="A267" s="66" t="s">
        <v>634</v>
      </c>
      <c r="B267" s="51" t="s">
        <v>635</v>
      </c>
      <c r="C267" s="109" t="s">
        <v>121</v>
      </c>
      <c r="D267" s="53">
        <f>ROUND(設定!$B$5*POWER($D$2,W267-1),2)</f>
        <v>6024.01</v>
      </c>
      <c r="E267" s="54">
        <f>MAX(1,ROUND(設定!$B$6*AE267*Y267,0))</f>
        <v>4819</v>
      </c>
      <c r="F267" s="54">
        <f>MAX(0,ROUND(設定!$B$7*AE267*設定!$B$15*IF(X267="Melee",0.6,1.35)*IFERROR(VLOOKUP($AM267,個性タイプマスタ!$A$5:$P$100,14,FALSE),1),0))</f>
        <v>410</v>
      </c>
      <c r="G267" s="54">
        <f>IF(X267="Melee",AN267,MAX(1,ROUND(AN267*設定!$B$16*IFERROR(VLOOKUP($AM267,個性タイプマスタ!$A$5:$P$100,15,FALSE),1),0)))</f>
        <v>1104</v>
      </c>
      <c r="H267" s="54">
        <f>IF(X267="Ranged",AN267,MAX(1,ROUND(AN267*設定!$B$16*IFERROR(VLOOKUP($AM267,個性タイプマスタ!$A$5:$P$100,15,FALSE),1),0)))</f>
        <v>348</v>
      </c>
      <c r="I267" s="54">
        <f>MAX(0,ROUND(設定!$B$8*AE267*Z267,0))</f>
        <v>371</v>
      </c>
      <c r="J267" s="54">
        <f>MAX(0,ROUND(設定!$B$9*AE267*AA267,0))</f>
        <v>400</v>
      </c>
      <c r="K267" s="55">
        <f>IFERROR(VLOOKUP($AM267,個性タイプマスタ!$A$5:$P$100,9,FALSE),0.05)</f>
        <v>6.5000000000000002E-2</v>
      </c>
      <c r="L267" s="56">
        <f>IFERROR(VLOOKUP($AM267,個性タイプマスタ!$A$5:$P$100,10,FALSE),1.5)</f>
        <v>1.46</v>
      </c>
      <c r="M267" s="56">
        <f>IFERROR(VLOOKUP($AM267,個性タイプマスタ!$A$5:$P$100,11,FALSE),2)</f>
        <v>3.88</v>
      </c>
      <c r="N267" s="57">
        <f>MAX(0.1,ROUND(設定!$B$10*AB267,3))</f>
        <v>1.29</v>
      </c>
      <c r="O267" s="57">
        <f t="shared" si="16"/>
        <v>1.5449999999999999</v>
      </c>
      <c r="P267" s="58">
        <f>MAX(-10,MIN(0.8,IFERROR(INDEX(属性耐性マスタ!$B$5:$G$11,MATCH($C267,属性耐性マスタ!$A$5:$A$11,0),1),0)+IFERROR(VLOOKUP($AM267,個性タイプマスタ!$A$5:$P$100,12,FALSE),0)))</f>
        <v>-0.04</v>
      </c>
      <c r="Q267" s="58">
        <f>MAX(-10,MIN(0.8,IFERROR(INDEX(属性耐性マスタ!$B$5:$G$11,MATCH($C267,属性耐性マスタ!$A$5:$A$11,0),2),0)+IFERROR(VLOOKUP($AM267,個性タイプマスタ!$A$5:$P$100,12,FALSE),0)))</f>
        <v>-0.04</v>
      </c>
      <c r="R267" s="58">
        <f>MAX(-10,MIN(0.8,IFERROR(INDEX(属性耐性マスタ!$B$5:$G$11,MATCH($C267,属性耐性マスタ!$A$5:$A$11,0),3),0)+IFERROR(VLOOKUP($AM267,個性タイプマスタ!$A$5:$P$100,12,FALSE),0)))</f>
        <v>-0.04</v>
      </c>
      <c r="S267" s="58">
        <f>MAX(-10,MIN(0.8,IFERROR(INDEX(属性耐性マスタ!$B$5:$G$11,MATCH($C267,属性耐性マスタ!$A$5:$A$11,0),4),0)+IFERROR(VLOOKUP($AM267,個性タイプマスタ!$A$5:$P$100,12,FALSE),0)))</f>
        <v>-0.04</v>
      </c>
      <c r="T267" s="58">
        <f>MAX(-10,MIN(0.8,IFERROR(INDEX(属性耐性マスタ!$B$5:$G$11,MATCH($C267,属性耐性マスタ!$A$5:$A$11,0),5),0)+IFERROR(VLOOKUP($AM267,個性タイプマスタ!$A$5:$P$100,12,FALSE),0)))</f>
        <v>0.16</v>
      </c>
      <c r="U267" s="58">
        <f>MAX(-10,MIN(0.8,IFERROR(INDEX(属性耐性マスタ!$B$5:$G$11,MATCH($C267,属性耐性マスタ!$A$5:$A$11,0),6),0)+IFERROR(VLOOKUP($AM267,個性タイプマスタ!$A$5:$P$100,12,FALSE),0)))</f>
        <v>-0.14000000000000001</v>
      </c>
      <c r="V267" s="59">
        <f>ROUND(設定!$B$19*IFERROR(VLOOKUP($AM267,個性タイプマスタ!$A$5:$P$100,13,FALSE),1),2)</f>
        <v>9.1999999999999993</v>
      </c>
      <c r="W267" s="59">
        <v>44</v>
      </c>
      <c r="X267" s="59" t="str">
        <f>IFERROR(VLOOKUP($AM267,個性タイプマスタ!$A$5:$P$100,2,FALSE),"Ranged")</f>
        <v>Melee</v>
      </c>
      <c r="Y267" s="56">
        <f>IFERROR(VLOOKUP($AM267,個性タイプマスタ!$A$5:$P$100,3,FALSE),1)</f>
        <v>0.8</v>
      </c>
      <c r="Z267" s="56">
        <f>IFERROR(VLOOKUP($AM267,個性タイプマスタ!$A$5:$P$100,4,FALSE),1)</f>
        <v>0.77</v>
      </c>
      <c r="AA267" s="56">
        <f>IFERROR(VLOOKUP($AM267,個性タイプマスタ!$A$5:$P$100,5,FALSE),1)</f>
        <v>0.83</v>
      </c>
      <c r="AB267" s="56">
        <f>IFERROR(VLOOKUP($AM267,個性タイプマスタ!$A$5:$P$100,6,FALSE),1)</f>
        <v>1.29</v>
      </c>
      <c r="AC267" s="56">
        <f>IFERROR(VLOOKUP($AM267,個性タイプマスタ!$A$5:$P$100,7,FALSE),1)</f>
        <v>1.03</v>
      </c>
      <c r="AD267" s="56">
        <f>IFERROR(VLOOKUP($AM267,個性タイプマスタ!$A$5:$P$100,8,FALSE),1)</f>
        <v>0.71</v>
      </c>
      <c r="AE267" s="60">
        <f>IFERROR(D267/設定!$B$5,1)</f>
        <v>60.240100000000005</v>
      </c>
      <c r="AF267" s="60">
        <f>1+設定!$B$13*((I267/設定!$B$8+J267/設定!$B$9)/(2*AE267))</f>
        <v>1.2399771912729229</v>
      </c>
      <c r="AG267" s="60">
        <f>MAX(0.7,1+設定!$B$14*(O267/IF(X267="Melee",1.5,2.5)-1))</f>
        <v>1.0036</v>
      </c>
      <c r="AH267" s="53">
        <f t="shared" si="17"/>
        <v>1472.0226565824003</v>
      </c>
      <c r="AI267" s="53">
        <f>E267*AF267*(1+設定!$B$18*AVERAGE(P267:U267))</f>
        <v>5912.7078588544018</v>
      </c>
      <c r="AJ267" s="61">
        <f>設定!$B$5*SQRT((AH267/(設定!$B$7*設定!$B$10*(1+設定!$B$11*(設定!$B$12-1))))*(AI267/(設定!$B$6*(1+設定!$B$13))))</f>
        <v>6023.939431872469</v>
      </c>
      <c r="AK267" s="62">
        <f t="shared" si="18"/>
        <v>-1.1714477155755354E-5</v>
      </c>
      <c r="AL267" s="63">
        <f t="shared" si="19"/>
        <v>4277.0470999999998</v>
      </c>
      <c r="AM267" s="64" t="s">
        <v>974</v>
      </c>
      <c r="AN267" s="54">
        <f>MAX(1,ROUND((設定!$B$7*設定!$B$10*(1+設定!$B$11*(設定!$B$12-1)))*AE267^2*(設定!$B$6*(1+設定!$B$13))/(AI267*N267*(1+K267*(L267-1))*AG267),0))</f>
        <v>1104</v>
      </c>
      <c r="AO267" s="65" t="str">
        <f>IF($A267="","",IF(COUNTIF(個性タイプマスタ!$A$5:$A$100,$AM267)&gt;0,"OK","未登録"))</f>
        <v>OK</v>
      </c>
      <c r="AP267" s="67" t="str">
        <f>IF($A267="","",IF(COUNTIF(属性耐性マスタ!$A$5:$A$11,$C267)&gt;0,"OK","未登録"))</f>
        <v>OK</v>
      </c>
    </row>
    <row r="268" spans="1:42">
      <c r="A268" s="66" t="s">
        <v>636</v>
      </c>
      <c r="B268" s="51" t="s">
        <v>637</v>
      </c>
      <c r="C268" s="109" t="s">
        <v>121</v>
      </c>
      <c r="D268" s="53">
        <f>ROUND(設定!$B$5*POWER($D$2,W268-1),2)</f>
        <v>6024.01</v>
      </c>
      <c r="E268" s="54">
        <f>MAX(1,ROUND(設定!$B$6*AE268*Y268,0))</f>
        <v>7229</v>
      </c>
      <c r="F268" s="54">
        <f>MAX(0,ROUND(設定!$B$7*AE268*設定!$B$15*IF(X268="Melee",0.6,1.35)*IFERROR(VLOOKUP($AM268,個性タイプマスタ!$A$5:$P$100,14,FALSE),1),0))</f>
        <v>878</v>
      </c>
      <c r="G268" s="54">
        <f>IF(X268="Melee",AN268,MAX(1,ROUND(AN268*設定!$B$16*IFERROR(VLOOKUP($AM268,個性タイプマスタ!$A$5:$P$100,15,FALSE),1),0)))</f>
        <v>386</v>
      </c>
      <c r="H268" s="54">
        <f>IF(X268="Ranged",AN268,MAX(1,ROUND(AN268*設定!$B$16*IFERROR(VLOOKUP($AM268,個性タイプマスタ!$A$5:$P$100,15,FALSE),1),0)))</f>
        <v>857</v>
      </c>
      <c r="I268" s="54">
        <f>MAX(0,ROUND(設定!$B$8*AE268*Z268,0))</f>
        <v>626</v>
      </c>
      <c r="J268" s="54">
        <f>MAX(0,ROUND(設定!$B$9*AE268*AA268,0))</f>
        <v>410</v>
      </c>
      <c r="K268" s="55">
        <f>IFERROR(VLOOKUP($AM268,個性タイプマスタ!$A$5:$P$100,9,FALSE),0.05)</f>
        <v>0.08</v>
      </c>
      <c r="L268" s="56">
        <f>IFERROR(VLOOKUP($AM268,個性タイプマスタ!$A$5:$P$100,10,FALSE),1.5)</f>
        <v>1.6</v>
      </c>
      <c r="M268" s="56">
        <f>IFERROR(VLOOKUP($AM268,個性タイプマスタ!$A$5:$P$100,11,FALSE),2)</f>
        <v>2.8</v>
      </c>
      <c r="N268" s="57">
        <f>MAX(0.1,ROUND(設定!$B$10*AB268,3))</f>
        <v>1</v>
      </c>
      <c r="O268" s="57">
        <f t="shared" si="16"/>
        <v>2.5</v>
      </c>
      <c r="P268" s="58">
        <f>MAX(-10,MIN(0.8,IFERROR(INDEX(属性耐性マスタ!$B$5:$G$11,MATCH($C268,属性耐性マスタ!$A$5:$A$11,0),1),0)+IFERROR(VLOOKUP($AM268,個性タイプマスタ!$A$5:$P$100,12,FALSE),0)))</f>
        <v>1.4999999999999999E-2</v>
      </c>
      <c r="Q268" s="58">
        <f>MAX(-10,MIN(0.8,IFERROR(INDEX(属性耐性マスタ!$B$5:$G$11,MATCH($C268,属性耐性マスタ!$A$5:$A$11,0),2),0)+IFERROR(VLOOKUP($AM268,個性タイプマスタ!$A$5:$P$100,12,FALSE),0)))</f>
        <v>1.4999999999999999E-2</v>
      </c>
      <c r="R268" s="58">
        <f>MAX(-10,MIN(0.8,IFERROR(INDEX(属性耐性マスタ!$B$5:$G$11,MATCH($C268,属性耐性マスタ!$A$5:$A$11,0),3),0)+IFERROR(VLOOKUP($AM268,個性タイプマスタ!$A$5:$P$100,12,FALSE),0)))</f>
        <v>1.4999999999999999E-2</v>
      </c>
      <c r="S268" s="58">
        <f>MAX(-10,MIN(0.8,IFERROR(INDEX(属性耐性マスタ!$B$5:$G$11,MATCH($C268,属性耐性マスタ!$A$5:$A$11,0),4),0)+IFERROR(VLOOKUP($AM268,個性タイプマスタ!$A$5:$P$100,12,FALSE),0)))</f>
        <v>1.4999999999999999E-2</v>
      </c>
      <c r="T268" s="58">
        <f>MAX(-10,MIN(0.8,IFERROR(INDEX(属性耐性マスタ!$B$5:$G$11,MATCH($C268,属性耐性マスタ!$A$5:$A$11,0),5),0)+IFERROR(VLOOKUP($AM268,個性タイプマスタ!$A$5:$P$100,12,FALSE),0)))</f>
        <v>0.21500000000000002</v>
      </c>
      <c r="U268" s="58">
        <f>MAX(-10,MIN(0.8,IFERROR(INDEX(属性耐性マスタ!$B$5:$G$11,MATCH($C268,属性耐性マスタ!$A$5:$A$11,0),6),0)+IFERROR(VLOOKUP($AM268,個性タイプマスタ!$A$5:$P$100,12,FALSE),0)))</f>
        <v>-8.5000000000000006E-2</v>
      </c>
      <c r="V268" s="59">
        <f>ROUND(設定!$B$19*IFERROR(VLOOKUP($AM268,個性タイプマスタ!$A$5:$P$100,13,FALSE),1),2)</f>
        <v>4</v>
      </c>
      <c r="W268" s="59">
        <v>44</v>
      </c>
      <c r="X268" s="59" t="str">
        <f>IFERROR(VLOOKUP($AM268,個性タイプマスタ!$A$5:$P$100,2,FALSE),"Ranged")</f>
        <v>Ranged</v>
      </c>
      <c r="Y268" s="56">
        <f>IFERROR(VLOOKUP($AM268,個性タイプマスタ!$A$5:$P$100,3,FALSE),1)</f>
        <v>1.2</v>
      </c>
      <c r="Z268" s="56">
        <f>IFERROR(VLOOKUP($AM268,個性タイプマスタ!$A$5:$P$100,4,FALSE),1)</f>
        <v>1.3</v>
      </c>
      <c r="AA268" s="56">
        <f>IFERROR(VLOOKUP($AM268,個性タイプマスタ!$A$5:$P$100,5,FALSE),1)</f>
        <v>0.85</v>
      </c>
      <c r="AB268" s="56">
        <f>IFERROR(VLOOKUP($AM268,個性タイプマスタ!$A$5:$P$100,6,FALSE),1)</f>
        <v>1</v>
      </c>
      <c r="AC268" s="56">
        <f>IFERROR(VLOOKUP($AM268,個性タイプマスタ!$A$5:$P$100,7,FALSE),1)</f>
        <v>1</v>
      </c>
      <c r="AD268" s="56">
        <f>IFERROR(VLOOKUP($AM268,個性タイプマスタ!$A$5:$P$100,8,FALSE),1)</f>
        <v>0.85</v>
      </c>
      <c r="AE268" s="60">
        <f>IFERROR(D268/設定!$B$5,1)</f>
        <v>60.240100000000005</v>
      </c>
      <c r="AF268" s="60">
        <f>1+設定!$B$13*((I268/設定!$B$8+J268/設定!$B$9)/(2*AE268))</f>
        <v>1.3224596240710091</v>
      </c>
      <c r="AG268" s="60">
        <f>MAX(0.7,1+設定!$B$14*(O268/IF(X268="Melee",1.5,2.5)-1))</f>
        <v>1</v>
      </c>
      <c r="AH268" s="53">
        <f t="shared" si="17"/>
        <v>898.13600000000008</v>
      </c>
      <c r="AI268" s="53">
        <f>E268*AF268*(1+設定!$B$18*AVERAGE(P268:U268))</f>
        <v>9696.2914862786583</v>
      </c>
      <c r="AJ268" s="61">
        <f>設定!$B$5*SQRT((AH268/(設定!$B$7*設定!$B$10*(1+設定!$B$11*(設定!$B$12-1))))*(AI268/(設定!$B$6*(1+設定!$B$13))))</f>
        <v>6025.6516667015758</v>
      </c>
      <c r="AK268" s="62">
        <f t="shared" si="18"/>
        <v>2.7252058040660998E-4</v>
      </c>
      <c r="AL268" s="63">
        <f t="shared" si="19"/>
        <v>5120.4085000000005</v>
      </c>
      <c r="AM268" s="64" t="s">
        <v>894</v>
      </c>
      <c r="AN268" s="54">
        <f>MAX(1,ROUND((設定!$B$7*設定!$B$10*(1+設定!$B$11*(設定!$B$12-1)))*AE268^2*(設定!$B$6*(1+設定!$B$13))/(AI268*N268*(1+K268*(L268-1))*AG268),0))</f>
        <v>857</v>
      </c>
      <c r="AO268" s="65" t="str">
        <f>IF($A268="","",IF(COUNTIF(個性タイプマスタ!$A$5:$A$100,$AM268)&gt;0,"OK","未登録"))</f>
        <v>OK</v>
      </c>
      <c r="AP268" s="67" t="str">
        <f>IF($A268="","",IF(COUNTIF(属性耐性マスタ!$A$5:$A$11,$C268)&gt;0,"OK","未登録"))</f>
        <v>OK</v>
      </c>
    </row>
    <row r="269" spans="1:42">
      <c r="A269" s="66" t="s">
        <v>638</v>
      </c>
      <c r="B269" s="51" t="s">
        <v>639</v>
      </c>
      <c r="C269" s="109" t="s">
        <v>874</v>
      </c>
      <c r="D269" s="53">
        <f>ROUND(設定!$B$5*POWER($D$2,W269-1),2)</f>
        <v>6626.41</v>
      </c>
      <c r="E269" s="54">
        <f>MAX(1,ROUND(設定!$B$6*AE269*Y269,0))</f>
        <v>5434</v>
      </c>
      <c r="F269" s="54">
        <f>MAX(0,ROUND(設定!$B$7*AE269*設定!$B$15*IF(X269="Melee",0.6,1.35)*IFERROR(VLOOKUP($AM269,個性タイプマスタ!$A$5:$P$100,14,FALSE),1),0))</f>
        <v>870</v>
      </c>
      <c r="G269" s="54">
        <f>IF(X269="Melee",AN269,MAX(1,ROUND(AN269*設定!$B$16*IFERROR(VLOOKUP($AM269,個性タイプマスタ!$A$5:$P$100,15,FALSE),1),0)))</f>
        <v>667</v>
      </c>
      <c r="H269" s="54">
        <f>IF(X269="Ranged",AN269,MAX(1,ROUND(AN269*設定!$B$16*IFERROR(VLOOKUP($AM269,個性タイプマスタ!$A$5:$P$100,15,FALSE),1),0)))</f>
        <v>1482</v>
      </c>
      <c r="I269" s="54">
        <f>MAX(0,ROUND(設定!$B$8*AE269*Z269,0))</f>
        <v>451</v>
      </c>
      <c r="J269" s="54">
        <f>MAX(0,ROUND(設定!$B$9*AE269*AA269,0))</f>
        <v>530</v>
      </c>
      <c r="K269" s="55">
        <f>IFERROR(VLOOKUP($AM269,個性タイプマスタ!$A$5:$P$100,9,FALSE),0.05)</f>
        <v>0.05</v>
      </c>
      <c r="L269" s="56">
        <f>IFERROR(VLOOKUP($AM269,個性タイプマスタ!$A$5:$P$100,10,FALSE),1.5)</f>
        <v>1.5</v>
      </c>
      <c r="M269" s="56">
        <f>IFERROR(VLOOKUP($AM269,個性タイプマスタ!$A$5:$P$100,11,FALSE),2)</f>
        <v>2</v>
      </c>
      <c r="N269" s="57">
        <f>MAX(0.1,ROUND(設定!$B$10*AB269,3))</f>
        <v>1</v>
      </c>
      <c r="O269" s="57">
        <f t="shared" si="16"/>
        <v>2.5</v>
      </c>
      <c r="P269" s="58">
        <f>MAX(-10,MIN(0.8,IFERROR(INDEX(属性耐性マスタ!$B$5:$G$11,MATCH($C269,属性耐性マスタ!$A$5:$A$11,0),1),0)+IFERROR(VLOOKUP($AM269,個性タイプマスタ!$A$5:$P$100,12,FALSE),0)))</f>
        <v>-0.02</v>
      </c>
      <c r="Q269" s="58">
        <f>MAX(-10,MIN(0.8,IFERROR(INDEX(属性耐性マスタ!$B$5:$G$11,MATCH($C269,属性耐性マスタ!$A$5:$A$11,0),2),0)+IFERROR(VLOOKUP($AM269,個性タイプマスタ!$A$5:$P$100,12,FALSE),0)))</f>
        <v>-0.02</v>
      </c>
      <c r="R269" s="58">
        <f>MAX(-10,MIN(0.8,IFERROR(INDEX(属性耐性マスタ!$B$5:$G$11,MATCH($C269,属性耐性マスタ!$A$5:$A$11,0),3),0)+IFERROR(VLOOKUP($AM269,個性タイプマスタ!$A$5:$P$100,12,FALSE),0)))</f>
        <v>-0.02</v>
      </c>
      <c r="S269" s="58">
        <f>MAX(-10,MIN(0.8,IFERROR(INDEX(属性耐性マスタ!$B$5:$G$11,MATCH($C269,属性耐性マスタ!$A$5:$A$11,0),4),0)+IFERROR(VLOOKUP($AM269,個性タイプマスタ!$A$5:$P$100,12,FALSE),0)))</f>
        <v>-0.02</v>
      </c>
      <c r="T269" s="58">
        <f>MAX(-10,MIN(0.8,IFERROR(INDEX(属性耐性マスタ!$B$5:$G$11,MATCH($C269,属性耐性マスタ!$A$5:$A$11,0),5),0)+IFERROR(VLOOKUP($AM269,個性タイプマスタ!$A$5:$P$100,12,FALSE),0)))</f>
        <v>-0.12000000000000001</v>
      </c>
      <c r="U269" s="58">
        <f>MAX(-10,MIN(0.8,IFERROR(INDEX(属性耐性マスタ!$B$5:$G$11,MATCH($C269,属性耐性マスタ!$A$5:$A$11,0),6),0)+IFERROR(VLOOKUP($AM269,個性タイプマスタ!$A$5:$P$100,12,FALSE),0)))</f>
        <v>0.18000000000000002</v>
      </c>
      <c r="V269" s="59">
        <f>ROUND(設定!$B$19*IFERROR(VLOOKUP($AM269,個性タイプマスタ!$A$5:$P$100,13,FALSE),1),2)</f>
        <v>4</v>
      </c>
      <c r="W269" s="59">
        <v>45</v>
      </c>
      <c r="X269" s="59" t="str">
        <f>IFERROR(VLOOKUP($AM269,個性タイプマスタ!$A$5:$P$100,2,FALSE),"Ranged")</f>
        <v>Ranged</v>
      </c>
      <c r="Y269" s="56">
        <f>IFERROR(VLOOKUP($AM269,個性タイプマスタ!$A$5:$P$100,3,FALSE),1)</f>
        <v>0.82</v>
      </c>
      <c r="Z269" s="56">
        <f>IFERROR(VLOOKUP($AM269,個性タイプマスタ!$A$5:$P$100,4,FALSE),1)</f>
        <v>0.85</v>
      </c>
      <c r="AA269" s="56">
        <f>IFERROR(VLOOKUP($AM269,個性タイプマスタ!$A$5:$P$100,5,FALSE),1)</f>
        <v>1</v>
      </c>
      <c r="AB269" s="56">
        <f>IFERROR(VLOOKUP($AM269,個性タイプマスタ!$A$5:$P$100,6,FALSE),1)</f>
        <v>1</v>
      </c>
      <c r="AC269" s="56">
        <f>IFERROR(VLOOKUP($AM269,個性タイプマスタ!$A$5:$P$100,7,FALSE),1)</f>
        <v>1</v>
      </c>
      <c r="AD269" s="56">
        <f>IFERROR(VLOOKUP($AM269,個性タイプマスタ!$A$5:$P$100,8,FALSE),1)</f>
        <v>0.68</v>
      </c>
      <c r="AE269" s="60">
        <f>IFERROR(D269/設定!$B$5,1)</f>
        <v>66.264099999999999</v>
      </c>
      <c r="AF269" s="60">
        <f>1+設定!$B$13*((I269/設定!$B$8+J269/設定!$B$9)/(2*AE269))</f>
        <v>1.2775824315126894</v>
      </c>
      <c r="AG269" s="60">
        <f>MAX(0.7,1+設定!$B$14*(O269/IF(X269="Melee",1.5,2.5)-1))</f>
        <v>1</v>
      </c>
      <c r="AH269" s="53">
        <f t="shared" si="17"/>
        <v>1519.05</v>
      </c>
      <c r="AI269" s="53">
        <f>E269*AF269*(1+設定!$B$18*AVERAGE(P269:U269))</f>
        <v>6931.969358440695</v>
      </c>
      <c r="AJ269" s="61">
        <f>設定!$B$5*SQRT((AH269/(設定!$B$7*設定!$B$10*(1+設定!$B$11*(設定!$B$12-1))))*(AI269/(設定!$B$6*(1+設定!$B$13))))</f>
        <v>6625.8940984185474</v>
      </c>
      <c r="AK269" s="62">
        <f t="shared" si="18"/>
        <v>-7.7855366850565488E-5</v>
      </c>
      <c r="AL269" s="63">
        <f t="shared" si="19"/>
        <v>4505.9588000000003</v>
      </c>
      <c r="AM269" s="64" t="s">
        <v>878</v>
      </c>
      <c r="AN269" s="54">
        <f>MAX(1,ROUND((設定!$B$7*設定!$B$10*(1+設定!$B$11*(設定!$B$12-1)))*AE269^2*(設定!$B$6*(1+設定!$B$13))/(AI269*N269*(1+K269*(L269-1))*AG269),0))</f>
        <v>1482</v>
      </c>
      <c r="AO269" s="65" t="str">
        <f>IF($A269="","",IF(COUNTIF(個性タイプマスタ!$A$5:$A$100,$AM269)&gt;0,"OK","未登録"))</f>
        <v>OK</v>
      </c>
      <c r="AP269" s="67" t="str">
        <f>IF($A269="","",IF(COUNTIF(属性耐性マスタ!$A$5:$A$11,$C269)&gt;0,"OK","未登録"))</f>
        <v>OK</v>
      </c>
    </row>
    <row r="270" spans="1:42">
      <c r="A270" s="66" t="s">
        <v>640</v>
      </c>
      <c r="B270" s="51" t="s">
        <v>641</v>
      </c>
      <c r="C270" s="109" t="s">
        <v>111</v>
      </c>
      <c r="D270" s="53">
        <f>ROUND(設定!$B$5*POWER($D$2,W270-1),2)</f>
        <v>6626.41</v>
      </c>
      <c r="E270" s="54">
        <f>MAX(1,ROUND(設定!$B$6*AE270*Y270,0))</f>
        <v>7289</v>
      </c>
      <c r="F270" s="54">
        <f>MAX(0,ROUND(設定!$B$7*AE270*設定!$B$15*IF(X270="Melee",0.6,1.35)*IFERROR(VLOOKUP($AM270,個性タイプマスタ!$A$5:$P$100,14,FALSE),1),0))</f>
        <v>1014</v>
      </c>
      <c r="G270" s="54">
        <f>IF(X270="Melee",AN270,MAX(1,ROUND(AN270*設定!$B$16*IFERROR(VLOOKUP($AM270,個性タイプマスタ!$A$5:$P$100,15,FALSE),1),0)))</f>
        <v>463</v>
      </c>
      <c r="H270" s="54">
        <f>IF(X270="Ranged",AN270,MAX(1,ROUND(AN270*設定!$B$16*IFERROR(VLOOKUP($AM270,個性タイプマスタ!$A$5:$P$100,15,FALSE),1),0)))</f>
        <v>1029</v>
      </c>
      <c r="I270" s="54">
        <f>MAX(0,ROUND(設定!$B$8*AE270*Z270,0))</f>
        <v>583</v>
      </c>
      <c r="J270" s="54">
        <f>MAX(0,ROUND(設定!$B$9*AE270*AA270,0))</f>
        <v>583</v>
      </c>
      <c r="K270" s="55">
        <f>IFERROR(VLOOKUP($AM270,個性タイプマスタ!$A$5:$P$100,9,FALSE),0.05)</f>
        <v>7.0000000000000007E-2</v>
      </c>
      <c r="L270" s="56">
        <f>IFERROR(VLOOKUP($AM270,個性タイプマスタ!$A$5:$P$100,10,FALSE),1.5)</f>
        <v>1.55</v>
      </c>
      <c r="M270" s="56">
        <f>IFERROR(VLOOKUP($AM270,個性タイプマスタ!$A$5:$P$100,11,FALSE),2)</f>
        <v>2.4</v>
      </c>
      <c r="N270" s="57">
        <f>MAX(0.1,ROUND(設定!$B$10*AB270,3))</f>
        <v>1</v>
      </c>
      <c r="O270" s="57">
        <f t="shared" si="16"/>
        <v>2.5</v>
      </c>
      <c r="P270" s="58">
        <f>MAX(-10,MIN(0.8,IFERROR(INDEX(属性耐性マスタ!$B$5:$G$11,MATCH($C270,属性耐性マスタ!$A$5:$A$11,0),1),0)+IFERROR(VLOOKUP($AM270,個性タイプマスタ!$A$5:$P$100,12,FALSE),0)))</f>
        <v>0.22</v>
      </c>
      <c r="Q270" s="58">
        <f>MAX(-10,MIN(0.8,IFERROR(INDEX(属性耐性マスタ!$B$5:$G$11,MATCH($C270,属性耐性マスタ!$A$5:$A$11,0),2),0)+IFERROR(VLOOKUP($AM270,個性タイプマスタ!$A$5:$P$100,12,FALSE),0)))</f>
        <v>-0.08</v>
      </c>
      <c r="R270" s="58">
        <f>MAX(-10,MIN(0.8,IFERROR(INDEX(属性耐性マスタ!$B$5:$G$11,MATCH($C270,属性耐性マスタ!$A$5:$A$11,0),3),0)+IFERROR(VLOOKUP($AM270,個性タイプマスタ!$A$5:$P$100,12,FALSE),0)))</f>
        <v>0.02</v>
      </c>
      <c r="S270" s="58">
        <f>MAX(-10,MIN(0.8,IFERROR(INDEX(属性耐性マスタ!$B$5:$G$11,MATCH($C270,属性耐性マスタ!$A$5:$A$11,0),4),0)+IFERROR(VLOOKUP($AM270,個性タイプマスタ!$A$5:$P$100,12,FALSE),0)))</f>
        <v>0.02</v>
      </c>
      <c r="T270" s="58">
        <f>MAX(-10,MIN(0.8,IFERROR(INDEX(属性耐性マスタ!$B$5:$G$11,MATCH($C270,属性耐性マスタ!$A$5:$A$11,0),5),0)+IFERROR(VLOOKUP($AM270,個性タイプマスタ!$A$5:$P$100,12,FALSE),0)))</f>
        <v>0.02</v>
      </c>
      <c r="U270" s="58">
        <f>MAX(-10,MIN(0.8,IFERROR(INDEX(属性耐性マスタ!$B$5:$G$11,MATCH($C270,属性耐性マスタ!$A$5:$A$11,0),6),0)+IFERROR(VLOOKUP($AM270,個性タイプマスタ!$A$5:$P$100,12,FALSE),0)))</f>
        <v>0.02</v>
      </c>
      <c r="V270" s="59">
        <f>ROUND(設定!$B$19*IFERROR(VLOOKUP($AM270,個性タイプマスタ!$A$5:$P$100,13,FALSE),1),2)</f>
        <v>4</v>
      </c>
      <c r="W270" s="59">
        <v>45</v>
      </c>
      <c r="X270" s="59" t="str">
        <f>IFERROR(VLOOKUP($AM270,個性タイプマスタ!$A$5:$P$100,2,FALSE),"Ranged")</f>
        <v>Ranged</v>
      </c>
      <c r="Y270" s="56">
        <f>IFERROR(VLOOKUP($AM270,個性タイプマスタ!$A$5:$P$100,3,FALSE),1)</f>
        <v>1.1000000000000001</v>
      </c>
      <c r="Z270" s="56">
        <f>IFERROR(VLOOKUP($AM270,個性タイプマスタ!$A$5:$P$100,4,FALSE),1)</f>
        <v>1.1000000000000001</v>
      </c>
      <c r="AA270" s="56">
        <f>IFERROR(VLOOKUP($AM270,個性タイプマスタ!$A$5:$P$100,5,FALSE),1)</f>
        <v>1.1000000000000001</v>
      </c>
      <c r="AB270" s="56">
        <f>IFERROR(VLOOKUP($AM270,個性タイプマスタ!$A$5:$P$100,6,FALSE),1)</f>
        <v>1</v>
      </c>
      <c r="AC270" s="56">
        <f>IFERROR(VLOOKUP($AM270,個性タイプマスタ!$A$5:$P$100,7,FALSE),1)</f>
        <v>1</v>
      </c>
      <c r="AD270" s="56">
        <f>IFERROR(VLOOKUP($AM270,個性タイプマスタ!$A$5:$P$100,8,FALSE),1)</f>
        <v>0.88</v>
      </c>
      <c r="AE270" s="60">
        <f>IFERROR(D270/設定!$B$5,1)</f>
        <v>66.264099999999999</v>
      </c>
      <c r="AF270" s="60">
        <f>1+設定!$B$13*((I270/設定!$B$8+J270/設定!$B$9)/(2*AE270))</f>
        <v>1.3299297809824626</v>
      </c>
      <c r="AG270" s="60">
        <f>MAX(0.7,1+設定!$B$14*(O270/IF(X270="Melee",1.5,2.5)-1))</f>
        <v>1</v>
      </c>
      <c r="AH270" s="53">
        <f t="shared" si="17"/>
        <v>1068.6165000000001</v>
      </c>
      <c r="AI270" s="53">
        <f>E270*AF270*(1+設定!$B$18*AVERAGE(P270:U270))</f>
        <v>9853.8068334452582</v>
      </c>
      <c r="AJ270" s="61">
        <f>設定!$B$5*SQRT((AH270/(設定!$B$7*設定!$B$10*(1+設定!$B$11*(設定!$B$12-1))))*(AI270/(設定!$B$6*(1+設定!$B$13))))</f>
        <v>6625.872866623894</v>
      </c>
      <c r="AK270" s="62">
        <f t="shared" si="18"/>
        <v>-8.1059484110634905E-5</v>
      </c>
      <c r="AL270" s="63">
        <f t="shared" si="19"/>
        <v>5831.2407999999996</v>
      </c>
      <c r="AM270" s="64" t="s">
        <v>906</v>
      </c>
      <c r="AN270" s="54">
        <f>MAX(1,ROUND((設定!$B$7*設定!$B$10*(1+設定!$B$11*(設定!$B$12-1)))*AE270^2*(設定!$B$6*(1+設定!$B$13))/(AI270*N270*(1+K270*(L270-1))*AG270),0))</f>
        <v>1029</v>
      </c>
      <c r="AO270" s="65" t="str">
        <f>IF($A270="","",IF(COUNTIF(個性タイプマスタ!$A$5:$A$100,$AM270)&gt;0,"OK","未登録"))</f>
        <v>OK</v>
      </c>
      <c r="AP270" s="67" t="str">
        <f>IF($A270="","",IF(COUNTIF(属性耐性マスタ!$A$5:$A$11,$C270)&gt;0,"OK","未登録"))</f>
        <v>OK</v>
      </c>
    </row>
    <row r="271" spans="1:42">
      <c r="A271" s="66" t="s">
        <v>642</v>
      </c>
      <c r="B271" s="51" t="s">
        <v>643</v>
      </c>
      <c r="C271" s="109" t="s">
        <v>111</v>
      </c>
      <c r="D271" s="53">
        <f>ROUND(設定!$B$5*POWER($D$2,W271-1),2)</f>
        <v>6626.41</v>
      </c>
      <c r="E271" s="54">
        <f>MAX(1,ROUND(設定!$B$6*AE271*Y271,0))</f>
        <v>8482</v>
      </c>
      <c r="F271" s="54">
        <f>MAX(0,ROUND(設定!$B$7*AE271*設定!$B$15*IF(X271="Melee",0.6,1.35)*IFERROR(VLOOKUP($AM271,個性タイプマスタ!$A$5:$P$100,14,FALSE),1),0))</f>
        <v>918</v>
      </c>
      <c r="G271" s="54">
        <f>IF(X271="Melee",AN271,MAX(1,ROUND(AN271*設定!$B$16*IFERROR(VLOOKUP($AM271,個性タイプマスタ!$A$5:$P$100,15,FALSE),1),0)))</f>
        <v>240</v>
      </c>
      <c r="H271" s="54">
        <f>IF(X271="Ranged",AN271,MAX(1,ROUND(AN271*設定!$B$16*IFERROR(VLOOKUP($AM271,個性タイプマスタ!$A$5:$P$100,15,FALSE),1),0)))</f>
        <v>628</v>
      </c>
      <c r="I271" s="54">
        <f>MAX(0,ROUND(設定!$B$8*AE271*Z271,0))</f>
        <v>652</v>
      </c>
      <c r="J271" s="54">
        <f>MAX(0,ROUND(設定!$B$9*AE271*AA271,0))</f>
        <v>594</v>
      </c>
      <c r="K271" s="55">
        <f>IFERROR(VLOOKUP($AM271,個性タイプマスタ!$A$5:$P$100,9,FALSE),0.05)</f>
        <v>7.0000000000000007E-2</v>
      </c>
      <c r="L271" s="56">
        <f>IFERROR(VLOOKUP($AM271,個性タイプマスタ!$A$5:$P$100,10,FALSE),1.5)</f>
        <v>1.5</v>
      </c>
      <c r="M271" s="56">
        <f>IFERROR(VLOOKUP($AM271,個性タイプマスタ!$A$5:$P$100,11,FALSE),2)</f>
        <v>2.8</v>
      </c>
      <c r="N271" s="57">
        <f>MAX(0.1,ROUND(設定!$B$10*AB271,3))</f>
        <v>1.45</v>
      </c>
      <c r="O271" s="57">
        <f t="shared" si="16"/>
        <v>1.55</v>
      </c>
      <c r="P271" s="58">
        <f>MAX(-10,MIN(0.8,IFERROR(INDEX(属性耐性マスタ!$B$5:$G$11,MATCH($C271,属性耐性マスタ!$A$5:$A$11,0),1),0)+IFERROR(VLOOKUP($AM271,個性タイプマスタ!$A$5:$P$100,12,FALSE),0)))</f>
        <v>0.23</v>
      </c>
      <c r="Q271" s="58">
        <f>MAX(-10,MIN(0.8,IFERROR(INDEX(属性耐性マスタ!$B$5:$G$11,MATCH($C271,属性耐性マスタ!$A$5:$A$11,0),2),0)+IFERROR(VLOOKUP($AM271,個性タイプマスタ!$A$5:$P$100,12,FALSE),0)))</f>
        <v>-7.0000000000000007E-2</v>
      </c>
      <c r="R271" s="58">
        <f>MAX(-10,MIN(0.8,IFERROR(INDEX(属性耐性マスタ!$B$5:$G$11,MATCH($C271,属性耐性マスタ!$A$5:$A$11,0),3),0)+IFERROR(VLOOKUP($AM271,個性タイプマスタ!$A$5:$P$100,12,FALSE),0)))</f>
        <v>0.03</v>
      </c>
      <c r="S271" s="58">
        <f>MAX(-10,MIN(0.8,IFERROR(INDEX(属性耐性マスタ!$B$5:$G$11,MATCH($C271,属性耐性マスタ!$A$5:$A$11,0),4),0)+IFERROR(VLOOKUP($AM271,個性タイプマスタ!$A$5:$P$100,12,FALSE),0)))</f>
        <v>0.03</v>
      </c>
      <c r="T271" s="58">
        <f>MAX(-10,MIN(0.8,IFERROR(INDEX(属性耐性マスタ!$B$5:$G$11,MATCH($C271,属性耐性マスタ!$A$5:$A$11,0),5),0)+IFERROR(VLOOKUP($AM271,個性タイプマスタ!$A$5:$P$100,12,FALSE),0)))</f>
        <v>0.03</v>
      </c>
      <c r="U271" s="58">
        <f>MAX(-10,MIN(0.8,IFERROR(INDEX(属性耐性マスタ!$B$5:$G$11,MATCH($C271,属性耐性マスタ!$A$5:$A$11,0),6),0)+IFERROR(VLOOKUP($AM271,個性タイプマスタ!$A$5:$P$100,12,FALSE),0)))</f>
        <v>0.03</v>
      </c>
      <c r="V271" s="59">
        <f>ROUND(設定!$B$19*IFERROR(VLOOKUP($AM271,個性タイプマスタ!$A$5:$P$100,13,FALSE),1),2)</f>
        <v>3.6</v>
      </c>
      <c r="W271" s="59">
        <v>45</v>
      </c>
      <c r="X271" s="59" t="str">
        <f>IFERROR(VLOOKUP($AM271,個性タイプマスタ!$A$5:$P$100,2,FALSE),"Ranged")</f>
        <v>Ranged</v>
      </c>
      <c r="Y271" s="56">
        <f>IFERROR(VLOOKUP($AM271,個性タイプマスタ!$A$5:$P$100,3,FALSE),1)</f>
        <v>1.28</v>
      </c>
      <c r="Z271" s="56">
        <f>IFERROR(VLOOKUP($AM271,個性タイプマスタ!$A$5:$P$100,4,FALSE),1)</f>
        <v>1.23</v>
      </c>
      <c r="AA271" s="56">
        <f>IFERROR(VLOOKUP($AM271,個性タイプマスタ!$A$5:$P$100,5,FALSE),1)</f>
        <v>1.1200000000000001</v>
      </c>
      <c r="AB271" s="56">
        <f>IFERROR(VLOOKUP($AM271,個性タイプマスタ!$A$5:$P$100,6,FALSE),1)</f>
        <v>1.45</v>
      </c>
      <c r="AC271" s="56">
        <f>IFERROR(VLOOKUP($AM271,個性タイプマスタ!$A$5:$P$100,7,FALSE),1)</f>
        <v>0.62</v>
      </c>
      <c r="AD271" s="56">
        <f>IFERROR(VLOOKUP($AM271,個性タイプマスタ!$A$5:$P$100,8,FALSE),1)</f>
        <v>0.8</v>
      </c>
      <c r="AE271" s="60">
        <f>IFERROR(D271/設定!$B$5,1)</f>
        <v>66.264099999999999</v>
      </c>
      <c r="AF271" s="60">
        <f>1+設定!$B$13*((I271/設定!$B$8+J271/設定!$B$9)/(2*AE271))</f>
        <v>1.3525664726450672</v>
      </c>
      <c r="AG271" s="60">
        <f>MAX(0.7,1+設定!$B$14*(O271/IF(X271="Melee",1.5,2.5)-1))</f>
        <v>0.95440000000000003</v>
      </c>
      <c r="AH271" s="53">
        <f t="shared" si="17"/>
        <v>899.49432239999999</v>
      </c>
      <c r="AI271" s="53">
        <f>E271*AF271*(1+設定!$B$18*AVERAGE(P271:U271))</f>
        <v>11713.390666215944</v>
      </c>
      <c r="AJ271" s="61">
        <f>設定!$B$5*SQRT((AH271/(設定!$B$7*設定!$B$10*(1+設定!$B$11*(設定!$B$12-1))))*(AI271/(設定!$B$6*(1+設定!$B$13))))</f>
        <v>6627.8193997012995</v>
      </c>
      <c r="AK271" s="62">
        <f t="shared" si="18"/>
        <v>2.1269430978465564E-4</v>
      </c>
      <c r="AL271" s="63">
        <f t="shared" si="19"/>
        <v>5301.1280000000006</v>
      </c>
      <c r="AM271" s="64" t="s">
        <v>920</v>
      </c>
      <c r="AN271" s="54">
        <f>MAX(1,ROUND((設定!$B$7*設定!$B$10*(1+設定!$B$11*(設定!$B$12-1)))*AE271^2*(設定!$B$6*(1+設定!$B$13))/(AI271*N271*(1+K271*(L271-1))*AG271),0))</f>
        <v>628</v>
      </c>
      <c r="AO271" s="65" t="str">
        <f>IF($A271="","",IF(COUNTIF(個性タイプマスタ!$A$5:$A$100,$AM271)&gt;0,"OK","未登録"))</f>
        <v>OK</v>
      </c>
      <c r="AP271" s="67" t="str">
        <f>IF($A271="","",IF(COUNTIF(属性耐性マスタ!$A$5:$A$11,$C271)&gt;0,"OK","未登録"))</f>
        <v>OK</v>
      </c>
    </row>
    <row r="272" spans="1:42">
      <c r="A272" s="66" t="s">
        <v>644</v>
      </c>
      <c r="B272" s="51" t="s">
        <v>645</v>
      </c>
      <c r="C272" s="109" t="s">
        <v>871</v>
      </c>
      <c r="D272" s="53">
        <f>ROUND(設定!$B$5*POWER($D$2,W272-1),2)</f>
        <v>6626.41</v>
      </c>
      <c r="E272" s="54">
        <f>MAX(1,ROUND(設定!$B$6*AE272*Y272,0))</f>
        <v>7952</v>
      </c>
      <c r="F272" s="54">
        <f>MAX(0,ROUND(設定!$B$7*AE272*設定!$B$15*IF(X272="Melee",0.6,1.35)*IFERROR(VLOOKUP($AM272,個性タイプマスタ!$A$5:$P$100,14,FALSE),1),0))</f>
        <v>481</v>
      </c>
      <c r="G272" s="54">
        <f>IF(X272="Melee",AN272,MAX(1,ROUND(AN272*設定!$B$16*IFERROR(VLOOKUP($AM272,個性タイプマスタ!$A$5:$P$100,15,FALSE),1),0)))</f>
        <v>881</v>
      </c>
      <c r="H272" s="54">
        <f>IF(X272="Ranged",AN272,MAX(1,ROUND(AN272*設定!$B$16*IFERROR(VLOOKUP($AM272,個性タイプマスタ!$A$5:$P$100,15,FALSE),1),0)))</f>
        <v>329</v>
      </c>
      <c r="I272" s="54">
        <f>MAX(0,ROUND(設定!$B$8*AE272*Z272,0))</f>
        <v>403</v>
      </c>
      <c r="J272" s="54">
        <f>MAX(0,ROUND(設定!$B$9*AE272*AA272,0))</f>
        <v>1113</v>
      </c>
      <c r="K272" s="55">
        <f>IFERROR(VLOOKUP($AM272,個性タイプマスタ!$A$5:$P$100,9,FALSE),0.05)</f>
        <v>0.05</v>
      </c>
      <c r="L272" s="56">
        <f>IFERROR(VLOOKUP($AM272,個性タイプマスタ!$A$5:$P$100,10,FALSE),1.5)</f>
        <v>1.47</v>
      </c>
      <c r="M272" s="56">
        <f>IFERROR(VLOOKUP($AM272,個性タイプマスタ!$A$5:$P$100,11,FALSE),2)</f>
        <v>2.4500000000000002</v>
      </c>
      <c r="N272" s="57">
        <f>MAX(0.1,ROUND(設定!$B$10*AB272,3))</f>
        <v>1</v>
      </c>
      <c r="O272" s="57">
        <f t="shared" si="16"/>
        <v>1.395</v>
      </c>
      <c r="P272" s="58">
        <f>MAX(-10,MIN(0.8,IFERROR(INDEX(属性耐性マスタ!$B$5:$G$11,MATCH($C272,属性耐性マスタ!$A$5:$A$11,0),1),0)+IFERROR(VLOOKUP($AM272,個性タイプマスタ!$A$5:$P$100,12,FALSE),0)))</f>
        <v>6.5000000000000002E-2</v>
      </c>
      <c r="Q272" s="58">
        <f>MAX(-10,MIN(0.8,IFERROR(INDEX(属性耐性マスタ!$B$5:$G$11,MATCH($C272,属性耐性マスタ!$A$5:$A$11,0),2),0)+IFERROR(VLOOKUP($AM272,個性タイプマスタ!$A$5:$P$100,12,FALSE),0)))</f>
        <v>6.5000000000000002E-2</v>
      </c>
      <c r="R272" s="58">
        <f>MAX(-10,MIN(0.8,IFERROR(INDEX(属性耐性マスタ!$B$5:$G$11,MATCH($C272,属性耐性マスタ!$A$5:$A$11,0),3),0)+IFERROR(VLOOKUP($AM272,個性タイプマスタ!$A$5:$P$100,12,FALSE),0)))</f>
        <v>-3.5000000000000003E-2</v>
      </c>
      <c r="S272" s="58">
        <f>MAX(-10,MIN(0.8,IFERROR(INDEX(属性耐性マスタ!$B$5:$G$11,MATCH($C272,属性耐性マスタ!$A$5:$A$11,0),4),0)+IFERROR(VLOOKUP($AM272,個性タイプマスタ!$A$5:$P$100,12,FALSE),0)))</f>
        <v>0.26500000000000001</v>
      </c>
      <c r="T272" s="58">
        <f>MAX(-10,MIN(0.8,IFERROR(INDEX(属性耐性マスタ!$B$5:$G$11,MATCH($C272,属性耐性マスタ!$A$5:$A$11,0),5),0)+IFERROR(VLOOKUP($AM272,個性タイプマスタ!$A$5:$P$100,12,FALSE),0)))</f>
        <v>6.5000000000000002E-2</v>
      </c>
      <c r="U272" s="58">
        <f>MAX(-10,MIN(0.8,IFERROR(INDEX(属性耐性マスタ!$B$5:$G$11,MATCH($C272,属性耐性マスタ!$A$5:$A$11,0),6),0)+IFERROR(VLOOKUP($AM272,個性タイプマスタ!$A$5:$P$100,12,FALSE),0)))</f>
        <v>6.5000000000000002E-2</v>
      </c>
      <c r="V272" s="59">
        <f>ROUND(設定!$B$19*IFERROR(VLOOKUP($AM272,個性タイプマスタ!$A$5:$P$100,13,FALSE),1),2)</f>
        <v>4.2</v>
      </c>
      <c r="W272" s="59">
        <v>45</v>
      </c>
      <c r="X272" s="59" t="str">
        <f>IFERROR(VLOOKUP($AM272,個性タイプマスタ!$A$5:$P$100,2,FALSE),"Ranged")</f>
        <v>Melee</v>
      </c>
      <c r="Y272" s="56">
        <f>IFERROR(VLOOKUP($AM272,個性タイプマスタ!$A$5:$P$100,3,FALSE),1)</f>
        <v>1.2</v>
      </c>
      <c r="Z272" s="56">
        <f>IFERROR(VLOOKUP($AM272,個性タイプマスタ!$A$5:$P$100,4,FALSE),1)</f>
        <v>0.76</v>
      </c>
      <c r="AA272" s="56">
        <f>IFERROR(VLOOKUP($AM272,個性タイプマスタ!$A$5:$P$100,5,FALSE),1)</f>
        <v>2.1</v>
      </c>
      <c r="AB272" s="56">
        <f>IFERROR(VLOOKUP($AM272,個性タイプマスタ!$A$5:$P$100,6,FALSE),1)</f>
        <v>1</v>
      </c>
      <c r="AC272" s="56">
        <f>IFERROR(VLOOKUP($AM272,個性タイプマスタ!$A$5:$P$100,7,FALSE),1)</f>
        <v>0.93</v>
      </c>
      <c r="AD272" s="56">
        <f>IFERROR(VLOOKUP($AM272,個性タイプマスタ!$A$5:$P$100,8,FALSE),1)</f>
        <v>0.8</v>
      </c>
      <c r="AE272" s="60">
        <f>IFERROR(D272/設定!$B$5,1)</f>
        <v>66.264099999999999</v>
      </c>
      <c r="AF272" s="60">
        <f>1+設定!$B$13*((I272/設定!$B$8+J272/設定!$B$9)/(2*AE272))</f>
        <v>1.4289653070063579</v>
      </c>
      <c r="AG272" s="60">
        <f>MAX(0.7,1+設定!$B$14*(O272/IF(X272="Melee",1.5,2.5)-1))</f>
        <v>0.99160000000000004</v>
      </c>
      <c r="AH272" s="53">
        <f t="shared" si="17"/>
        <v>894.12919060000013</v>
      </c>
      <c r="AI272" s="53">
        <f>E272*AF272*(1+設定!$B$18*AVERAGE(P272:U272))</f>
        <v>11780.727226772869</v>
      </c>
      <c r="AJ272" s="61">
        <f>設定!$B$5*SQRT((AH272/(設定!$B$7*設定!$B$10*(1+設定!$B$11*(設定!$B$12-1))))*(AI272/(設定!$B$6*(1+設定!$B$13))))</f>
        <v>6626.9901569688527</v>
      </c>
      <c r="AK272" s="62">
        <f t="shared" si="18"/>
        <v>8.7552229465659437E-5</v>
      </c>
      <c r="AL272" s="63">
        <f t="shared" si="19"/>
        <v>5301.1280000000006</v>
      </c>
      <c r="AM272" s="64" t="s">
        <v>972</v>
      </c>
      <c r="AN272" s="54">
        <f>MAX(1,ROUND((設定!$B$7*設定!$B$10*(1+設定!$B$11*(設定!$B$12-1)))*AE272^2*(設定!$B$6*(1+設定!$B$13))/(AI272*N272*(1+K272*(L272-1))*AG272),0))</f>
        <v>881</v>
      </c>
      <c r="AO272" s="65" t="str">
        <f>IF($A272="","",IF(COUNTIF(個性タイプマスタ!$A$5:$A$100,$AM272)&gt;0,"OK","未登録"))</f>
        <v>OK</v>
      </c>
      <c r="AP272" s="67" t="str">
        <f>IF($A272="","",IF(COUNTIF(属性耐性マスタ!$A$5:$A$11,$C272)&gt;0,"OK","未登録"))</f>
        <v>OK</v>
      </c>
    </row>
    <row r="273" spans="1:42">
      <c r="A273" s="66" t="s">
        <v>646</v>
      </c>
      <c r="B273" s="51" t="s">
        <v>647</v>
      </c>
      <c r="C273" s="109" t="s">
        <v>874</v>
      </c>
      <c r="D273" s="53">
        <f>ROUND(設定!$B$5*POWER($D$2,W273-1),2)</f>
        <v>6626.41</v>
      </c>
      <c r="E273" s="54">
        <f>MAX(1,ROUND(設定!$B$6*AE273*Y273,0))</f>
        <v>5964</v>
      </c>
      <c r="F273" s="54">
        <f>MAX(0,ROUND(設定!$B$7*AE273*設定!$B$15*IF(X273="Melee",0.6,1.35)*IFERROR(VLOOKUP($AM273,個性タイプマスタ!$A$5:$P$100,14,FALSE),1),0))</f>
        <v>344</v>
      </c>
      <c r="G273" s="54">
        <f>IF(X273="Melee",AN273,MAX(1,ROUND(AN273*設定!$B$16*IFERROR(VLOOKUP($AM273,個性タイプマスタ!$A$5:$P$100,15,FALSE),1),0)))</f>
        <v>1108</v>
      </c>
      <c r="H273" s="54">
        <f>IF(X273="Ranged",AN273,MAX(1,ROUND(AN273*設定!$B$16*IFERROR(VLOOKUP($AM273,個性タイプマスタ!$A$5:$P$100,15,FALSE),1),0)))</f>
        <v>499</v>
      </c>
      <c r="I273" s="54">
        <f>MAX(0,ROUND(設定!$B$8*AE273*Z273,0))</f>
        <v>477</v>
      </c>
      <c r="J273" s="54">
        <f>MAX(0,ROUND(設定!$B$9*AE273*AA273,0))</f>
        <v>477</v>
      </c>
      <c r="K273" s="55">
        <f>IFERROR(VLOOKUP($AM273,個性タイプマスタ!$A$5:$P$100,9,FALSE),0.05)</f>
        <v>0.11</v>
      </c>
      <c r="L273" s="56">
        <f>IFERROR(VLOOKUP($AM273,個性タイプマスタ!$A$5:$P$100,10,FALSE),1.5)</f>
        <v>1.75</v>
      </c>
      <c r="M273" s="56">
        <f>IFERROR(VLOOKUP($AM273,個性タイプマスタ!$A$5:$P$100,11,FALSE),2)</f>
        <v>3</v>
      </c>
      <c r="N273" s="57">
        <f>MAX(0.1,ROUND(設定!$B$10*AB273,3))</f>
        <v>1.18</v>
      </c>
      <c r="O273" s="57">
        <f t="shared" si="16"/>
        <v>1.35</v>
      </c>
      <c r="P273" s="58">
        <f>MAX(-10,MIN(0.8,IFERROR(INDEX(属性耐性マスタ!$B$5:$G$11,MATCH($C273,属性耐性マスタ!$A$5:$A$11,0),1),0)+IFERROR(VLOOKUP($AM273,個性タイプマスタ!$A$5:$P$100,12,FALSE),0)))</f>
        <v>-0.03</v>
      </c>
      <c r="Q273" s="58">
        <f>MAX(-10,MIN(0.8,IFERROR(INDEX(属性耐性マスタ!$B$5:$G$11,MATCH($C273,属性耐性マスタ!$A$5:$A$11,0),2),0)+IFERROR(VLOOKUP($AM273,個性タイプマスタ!$A$5:$P$100,12,FALSE),0)))</f>
        <v>-0.03</v>
      </c>
      <c r="R273" s="58">
        <f>MAX(-10,MIN(0.8,IFERROR(INDEX(属性耐性マスタ!$B$5:$G$11,MATCH($C273,属性耐性マスタ!$A$5:$A$11,0),3),0)+IFERROR(VLOOKUP($AM273,個性タイプマスタ!$A$5:$P$100,12,FALSE),0)))</f>
        <v>-0.03</v>
      </c>
      <c r="S273" s="58">
        <f>MAX(-10,MIN(0.8,IFERROR(INDEX(属性耐性マスタ!$B$5:$G$11,MATCH($C273,属性耐性マスタ!$A$5:$A$11,0),4),0)+IFERROR(VLOOKUP($AM273,個性タイプマスタ!$A$5:$P$100,12,FALSE),0)))</f>
        <v>-0.03</v>
      </c>
      <c r="T273" s="58">
        <f>MAX(-10,MIN(0.8,IFERROR(INDEX(属性耐性マスタ!$B$5:$G$11,MATCH($C273,属性耐性マスタ!$A$5:$A$11,0),5),0)+IFERROR(VLOOKUP($AM273,個性タイプマスタ!$A$5:$P$100,12,FALSE),0)))</f>
        <v>-0.13</v>
      </c>
      <c r="U273" s="58">
        <f>MAX(-10,MIN(0.8,IFERROR(INDEX(属性耐性マスタ!$B$5:$G$11,MATCH($C273,属性耐性マスタ!$A$5:$A$11,0),6),0)+IFERROR(VLOOKUP($AM273,個性タイプマスタ!$A$5:$P$100,12,FALSE),0)))</f>
        <v>0.17</v>
      </c>
      <c r="V273" s="59">
        <f>ROUND(設定!$B$19*IFERROR(VLOOKUP($AM273,個性タイプマスタ!$A$5:$P$100,13,FALSE),1),2)</f>
        <v>4.2</v>
      </c>
      <c r="W273" s="59">
        <v>45</v>
      </c>
      <c r="X273" s="59" t="str">
        <f>IFERROR(VLOOKUP($AM273,個性タイプマスタ!$A$5:$P$100,2,FALSE),"Ranged")</f>
        <v>Melee</v>
      </c>
      <c r="Y273" s="56">
        <f>IFERROR(VLOOKUP($AM273,個性タイプマスタ!$A$5:$P$100,3,FALSE),1)</f>
        <v>0.9</v>
      </c>
      <c r="Z273" s="56">
        <f>IFERROR(VLOOKUP($AM273,個性タイプマスタ!$A$5:$P$100,4,FALSE),1)</f>
        <v>0.9</v>
      </c>
      <c r="AA273" s="56">
        <f>IFERROR(VLOOKUP($AM273,個性タイプマスタ!$A$5:$P$100,5,FALSE),1)</f>
        <v>0.9</v>
      </c>
      <c r="AB273" s="56">
        <f>IFERROR(VLOOKUP($AM273,個性タイプマスタ!$A$5:$P$100,6,FALSE),1)</f>
        <v>1.18</v>
      </c>
      <c r="AC273" s="56">
        <f>IFERROR(VLOOKUP($AM273,個性タイプマスタ!$A$5:$P$100,7,FALSE),1)</f>
        <v>0.9</v>
      </c>
      <c r="AD273" s="56">
        <f>IFERROR(VLOOKUP($AM273,個性タイプマスタ!$A$5:$P$100,8,FALSE),1)</f>
        <v>0.72</v>
      </c>
      <c r="AE273" s="60">
        <f>IFERROR(D273/設定!$B$5,1)</f>
        <v>66.264099999999999</v>
      </c>
      <c r="AF273" s="60">
        <f>1+設定!$B$13*((I273/設定!$B$8+J273/設定!$B$9)/(2*AE273))</f>
        <v>1.2699425480765603</v>
      </c>
      <c r="AG273" s="60">
        <f>MAX(0.7,1+設定!$B$14*(O273/IF(X273="Melee",1.5,2.5)-1))</f>
        <v>0.98799999999999999</v>
      </c>
      <c r="AH273" s="53">
        <f t="shared" si="17"/>
        <v>1398.3201543999999</v>
      </c>
      <c r="AI273" s="53">
        <f>E273*AF273*(1+設定!$B$18*AVERAGE(P273:U273))</f>
        <v>7528.4937325882338</v>
      </c>
      <c r="AJ273" s="61">
        <f>設定!$B$5*SQRT((AH273/(設定!$B$7*設定!$B$10*(1+設定!$B$11*(設定!$B$12-1))))*(AI273/(設定!$B$6*(1+設定!$B$13))))</f>
        <v>6625.0245789333148</v>
      </c>
      <c r="AK273" s="62">
        <f t="shared" si="18"/>
        <v>-2.0907566339611883E-4</v>
      </c>
      <c r="AL273" s="63">
        <f t="shared" si="19"/>
        <v>4771.0151999999998</v>
      </c>
      <c r="AM273" s="64" t="s">
        <v>900</v>
      </c>
      <c r="AN273" s="54">
        <f>MAX(1,ROUND((設定!$B$7*設定!$B$10*(1+設定!$B$11*(設定!$B$12-1)))*AE273^2*(設定!$B$6*(1+設定!$B$13))/(AI273*N273*(1+K273*(L273-1))*AG273),0))</f>
        <v>1108</v>
      </c>
      <c r="AO273" s="65" t="str">
        <f>IF($A273="","",IF(COUNTIF(個性タイプマスタ!$A$5:$A$100,$AM273)&gt;0,"OK","未登録"))</f>
        <v>OK</v>
      </c>
      <c r="AP273" s="67" t="str">
        <f>IF($A273="","",IF(COUNTIF(属性耐性マスタ!$A$5:$A$11,$C273)&gt;0,"OK","未登録"))</f>
        <v>OK</v>
      </c>
    </row>
    <row r="274" spans="1:42">
      <c r="A274" s="66" t="s">
        <v>648</v>
      </c>
      <c r="B274" s="51" t="s">
        <v>649</v>
      </c>
      <c r="C274" s="109" t="s">
        <v>874</v>
      </c>
      <c r="D274" s="53">
        <f>ROUND(設定!$B$5*POWER($D$2,W274-1),2)</f>
        <v>6626.41</v>
      </c>
      <c r="E274" s="54">
        <f>MAX(1,ROUND(設定!$B$6*AE274*Y274,0))</f>
        <v>6030</v>
      </c>
      <c r="F274" s="54">
        <f>MAX(0,ROUND(設定!$B$7*AE274*設定!$B$15*IF(X274="Melee",0.6,1.35)*IFERROR(VLOOKUP($AM274,個性タイプマスタ!$A$5:$P$100,14,FALSE),1),0))</f>
        <v>1546</v>
      </c>
      <c r="G274" s="54">
        <f>IF(X274="Melee",AN274,MAX(1,ROUND(AN274*設定!$B$16*IFERROR(VLOOKUP($AM274,個性タイプマスタ!$A$5:$P$100,15,FALSE),1),0)))</f>
        <v>654</v>
      </c>
      <c r="H274" s="54">
        <f>IF(X274="Ranged",AN274,MAX(1,ROUND(AN274*設定!$B$16*IFERROR(VLOOKUP($AM274,個性タイプマスタ!$A$5:$P$100,15,FALSE),1),0)))</f>
        <v>1939</v>
      </c>
      <c r="I274" s="54">
        <f>MAX(0,ROUND(設定!$B$8*AE274*Z274,0))</f>
        <v>466</v>
      </c>
      <c r="J274" s="54">
        <f>MAX(0,ROUND(設定!$B$9*AE274*AA274,0))</f>
        <v>504</v>
      </c>
      <c r="K274" s="55">
        <f>IFERROR(VLOOKUP($AM274,個性タイプマスタ!$A$5:$P$100,9,FALSE),0.05)</f>
        <v>0.04</v>
      </c>
      <c r="L274" s="56">
        <f>IFERROR(VLOOKUP($AM274,個性タイプマスタ!$A$5:$P$100,10,FALSE),1.5)</f>
        <v>2.2000000000000002</v>
      </c>
      <c r="M274" s="56">
        <f>IFERROR(VLOOKUP($AM274,個性タイプマスタ!$A$5:$P$100,11,FALSE),2)</f>
        <v>1.65</v>
      </c>
      <c r="N274" s="57">
        <f>MAX(0.1,ROUND(設定!$B$10*AB274,3))</f>
        <v>0.64</v>
      </c>
      <c r="O274" s="57">
        <f t="shared" si="16"/>
        <v>3.7</v>
      </c>
      <c r="P274" s="58">
        <f>MAX(-10,MIN(0.8,IFERROR(INDEX(属性耐性マスタ!$B$5:$G$11,MATCH($C274,属性耐性マスタ!$A$5:$A$11,0),1),0)+IFERROR(VLOOKUP($AM274,個性タイプマスタ!$A$5:$P$100,12,FALSE),0)))</f>
        <v>-2.5000000000000001E-2</v>
      </c>
      <c r="Q274" s="58">
        <f>MAX(-10,MIN(0.8,IFERROR(INDEX(属性耐性マスタ!$B$5:$G$11,MATCH($C274,属性耐性マスタ!$A$5:$A$11,0),2),0)+IFERROR(VLOOKUP($AM274,個性タイプマスタ!$A$5:$P$100,12,FALSE),0)))</f>
        <v>-2.5000000000000001E-2</v>
      </c>
      <c r="R274" s="58">
        <f>MAX(-10,MIN(0.8,IFERROR(INDEX(属性耐性マスタ!$B$5:$G$11,MATCH($C274,属性耐性マスタ!$A$5:$A$11,0),3),0)+IFERROR(VLOOKUP($AM274,個性タイプマスタ!$A$5:$P$100,12,FALSE),0)))</f>
        <v>-2.5000000000000001E-2</v>
      </c>
      <c r="S274" s="58">
        <f>MAX(-10,MIN(0.8,IFERROR(INDEX(属性耐性マスタ!$B$5:$G$11,MATCH($C274,属性耐性マスタ!$A$5:$A$11,0),4),0)+IFERROR(VLOOKUP($AM274,個性タイプマスタ!$A$5:$P$100,12,FALSE),0)))</f>
        <v>-2.5000000000000001E-2</v>
      </c>
      <c r="T274" s="58">
        <f>MAX(-10,MIN(0.8,IFERROR(INDEX(属性耐性マスタ!$B$5:$G$11,MATCH($C274,属性耐性マスタ!$A$5:$A$11,0),5),0)+IFERROR(VLOOKUP($AM274,個性タイプマスタ!$A$5:$P$100,12,FALSE),0)))</f>
        <v>-0.125</v>
      </c>
      <c r="U274" s="58">
        <f>MAX(-10,MIN(0.8,IFERROR(INDEX(属性耐性マスタ!$B$5:$G$11,MATCH($C274,属性耐性マスタ!$A$5:$A$11,0),6),0)+IFERROR(VLOOKUP($AM274,個性タイプマスタ!$A$5:$P$100,12,FALSE),0)))</f>
        <v>0.17500000000000002</v>
      </c>
      <c r="V274" s="59">
        <f>ROUND(設定!$B$19*IFERROR(VLOOKUP($AM274,個性タイプマスタ!$A$5:$P$100,13,FALSE),1),2)</f>
        <v>5</v>
      </c>
      <c r="W274" s="59">
        <v>45</v>
      </c>
      <c r="X274" s="59" t="str">
        <f>IFERROR(VLOOKUP($AM274,個性タイプマスタ!$A$5:$P$100,2,FALSE),"Ranged")</f>
        <v>Ranged</v>
      </c>
      <c r="Y274" s="56">
        <f>IFERROR(VLOOKUP($AM274,個性タイプマスタ!$A$5:$P$100,3,FALSE),1)</f>
        <v>0.91</v>
      </c>
      <c r="Z274" s="56">
        <f>IFERROR(VLOOKUP($AM274,個性タイプマスタ!$A$5:$P$100,4,FALSE),1)</f>
        <v>0.88</v>
      </c>
      <c r="AA274" s="56">
        <f>IFERROR(VLOOKUP($AM274,個性タイプマスタ!$A$5:$P$100,5,FALSE),1)</f>
        <v>0.95</v>
      </c>
      <c r="AB274" s="56">
        <f>IFERROR(VLOOKUP($AM274,個性タイプマスタ!$A$5:$P$100,6,FALSE),1)</f>
        <v>0.64</v>
      </c>
      <c r="AC274" s="56">
        <f>IFERROR(VLOOKUP($AM274,個性タイプマスタ!$A$5:$P$100,7,FALSE),1)</f>
        <v>1.48</v>
      </c>
      <c r="AD274" s="56">
        <f>IFERROR(VLOOKUP($AM274,個性タイプマスタ!$A$5:$P$100,8,FALSE),1)</f>
        <v>0.75</v>
      </c>
      <c r="AE274" s="60">
        <f>IFERROR(D274/設定!$B$5,1)</f>
        <v>66.264099999999999</v>
      </c>
      <c r="AF274" s="60">
        <f>1+設定!$B$13*((I274/設定!$B$8+J274/設定!$B$9)/(2*AE274))</f>
        <v>1.2744698864090811</v>
      </c>
      <c r="AG274" s="60">
        <f>MAX(0.7,1+設定!$B$14*(O274/IF(X274="Melee",1.5,2.5)-1))</f>
        <v>1.0576000000000001</v>
      </c>
      <c r="AH274" s="53">
        <f t="shared" si="17"/>
        <v>1375.4363822080002</v>
      </c>
      <c r="AI274" s="53">
        <f>E274*AF274*(1+設定!$B$18*AVERAGE(P274:U274))</f>
        <v>7656.2344647403334</v>
      </c>
      <c r="AJ274" s="61">
        <f>設定!$B$5*SQRT((AH274/(設定!$B$7*設定!$B$10*(1+設定!$B$11*(設定!$B$12-1))))*(AI274/(設定!$B$6*(1+設定!$B$13))))</f>
        <v>6626.1002904793013</v>
      </c>
      <c r="AK274" s="62">
        <f t="shared" si="18"/>
        <v>-4.6738659500222823E-5</v>
      </c>
      <c r="AL274" s="63">
        <f t="shared" si="19"/>
        <v>4969.8074999999999</v>
      </c>
      <c r="AM274" s="64" t="s">
        <v>912</v>
      </c>
      <c r="AN274" s="54">
        <f>MAX(1,ROUND((設定!$B$7*設定!$B$10*(1+設定!$B$11*(設定!$B$12-1)))*AE274^2*(設定!$B$6*(1+設定!$B$13))/(AI274*N274*(1+K274*(L274-1))*AG274),0))</f>
        <v>1939</v>
      </c>
      <c r="AO274" s="65" t="str">
        <f>IF($A274="","",IF(COUNTIF(個性タイプマスタ!$A$5:$A$100,$AM274)&gt;0,"OK","未登録"))</f>
        <v>OK</v>
      </c>
      <c r="AP274" s="67" t="str">
        <f>IF($A274="","",IF(COUNTIF(属性耐性マスタ!$A$5:$A$11,$C274)&gt;0,"OK","未登録"))</f>
        <v>OK</v>
      </c>
    </row>
    <row r="275" spans="1:42">
      <c r="A275" s="66" t="s">
        <v>650</v>
      </c>
      <c r="B275" s="51" t="s">
        <v>651</v>
      </c>
      <c r="C275" s="109" t="s">
        <v>874</v>
      </c>
      <c r="D275" s="53">
        <f>ROUND(設定!$B$5*POWER($D$2,W275-1),2)</f>
        <v>7289.05</v>
      </c>
      <c r="E275" s="54">
        <f>MAX(1,ROUND(設定!$B$6*AE275*Y275,0))</f>
        <v>7289</v>
      </c>
      <c r="F275" s="54">
        <f>MAX(0,ROUND(設定!$B$7*AE275*設定!$B$15*IF(X275="Melee",0.6,1.35)*IFERROR(VLOOKUP($AM275,個性タイプマスタ!$A$5:$P$100,14,FALSE),1),0))</f>
        <v>1541</v>
      </c>
      <c r="G275" s="54">
        <f>IF(X275="Melee",AN275,MAX(1,ROUND(AN275*設定!$B$16*IFERROR(VLOOKUP($AM275,個性タイプマスタ!$A$5:$P$100,15,FALSE),1),0)))</f>
        <v>585</v>
      </c>
      <c r="H275" s="54">
        <f>IF(X275="Ranged",AN275,MAX(1,ROUND(AN275*設定!$B$16*IFERROR(VLOOKUP($AM275,個性タイプマスタ!$A$5:$P$100,15,FALSE),1),0)))</f>
        <v>1300</v>
      </c>
      <c r="I275" s="54">
        <f>MAX(0,ROUND(設定!$B$8*AE275*Z275,0))</f>
        <v>583</v>
      </c>
      <c r="J275" s="54">
        <f>MAX(0,ROUND(設定!$B$9*AE275*AA275,0))</f>
        <v>700</v>
      </c>
      <c r="K275" s="55">
        <f>IFERROR(VLOOKUP($AM275,個性タイプマスタ!$A$5:$P$100,9,FALSE),0.05)</f>
        <v>0.06</v>
      </c>
      <c r="L275" s="56">
        <f>IFERROR(VLOOKUP($AM275,個性タイプマスタ!$A$5:$P$100,10,FALSE),1.5)</f>
        <v>1.4</v>
      </c>
      <c r="M275" s="56">
        <f>IFERROR(VLOOKUP($AM275,個性タイプマスタ!$A$5:$P$100,11,FALSE),2)</f>
        <v>2.1</v>
      </c>
      <c r="N275" s="57">
        <f>MAX(0.1,ROUND(設定!$B$10*AB275,3))</f>
        <v>0.95</v>
      </c>
      <c r="O275" s="57">
        <f t="shared" si="16"/>
        <v>2.875</v>
      </c>
      <c r="P275" s="58">
        <f>MAX(-10,MIN(0.8,IFERROR(INDEX(属性耐性マスタ!$B$5:$G$11,MATCH($C275,属性耐性マスタ!$A$5:$A$11,0),1),0)+IFERROR(VLOOKUP($AM275,個性タイプマスタ!$A$5:$P$100,12,FALSE),0)))</f>
        <v>0.03</v>
      </c>
      <c r="Q275" s="58">
        <f>MAX(-10,MIN(0.8,IFERROR(INDEX(属性耐性マスタ!$B$5:$G$11,MATCH($C275,属性耐性マスタ!$A$5:$A$11,0),2),0)+IFERROR(VLOOKUP($AM275,個性タイプマスタ!$A$5:$P$100,12,FALSE),0)))</f>
        <v>0.03</v>
      </c>
      <c r="R275" s="58">
        <f>MAX(-10,MIN(0.8,IFERROR(INDEX(属性耐性マスタ!$B$5:$G$11,MATCH($C275,属性耐性マスタ!$A$5:$A$11,0),3),0)+IFERROR(VLOOKUP($AM275,個性タイプマスタ!$A$5:$P$100,12,FALSE),0)))</f>
        <v>0.03</v>
      </c>
      <c r="S275" s="58">
        <f>MAX(-10,MIN(0.8,IFERROR(INDEX(属性耐性マスタ!$B$5:$G$11,MATCH($C275,属性耐性マスタ!$A$5:$A$11,0),4),0)+IFERROR(VLOOKUP($AM275,個性タイプマスタ!$A$5:$P$100,12,FALSE),0)))</f>
        <v>0.03</v>
      </c>
      <c r="T275" s="58">
        <f>MAX(-10,MIN(0.8,IFERROR(INDEX(属性耐性マスタ!$B$5:$G$11,MATCH($C275,属性耐性マスタ!$A$5:$A$11,0),5),0)+IFERROR(VLOOKUP($AM275,個性タイプマスタ!$A$5:$P$100,12,FALSE),0)))</f>
        <v>-7.0000000000000007E-2</v>
      </c>
      <c r="U275" s="58">
        <f>MAX(-10,MIN(0.8,IFERROR(INDEX(属性耐性マスタ!$B$5:$G$11,MATCH($C275,属性耐性マスタ!$A$5:$A$11,0),6),0)+IFERROR(VLOOKUP($AM275,個性タイプマスタ!$A$5:$P$100,12,FALSE),0)))</f>
        <v>0.23</v>
      </c>
      <c r="V275" s="59">
        <f>ROUND(設定!$B$19*IFERROR(VLOOKUP($AM275,個性タイプマスタ!$A$5:$P$100,13,FALSE),1),2)</f>
        <v>4.8</v>
      </c>
      <c r="W275" s="59">
        <v>46</v>
      </c>
      <c r="X275" s="59" t="str">
        <f>IFERROR(VLOOKUP($AM275,個性タイプマスタ!$A$5:$P$100,2,FALSE),"Ranged")</f>
        <v>Ranged</v>
      </c>
      <c r="Y275" s="56">
        <f>IFERROR(VLOOKUP($AM275,個性タイプマスタ!$A$5:$P$100,3,FALSE),1)</f>
        <v>1</v>
      </c>
      <c r="Z275" s="56">
        <f>IFERROR(VLOOKUP($AM275,個性タイプマスタ!$A$5:$P$100,4,FALSE),1)</f>
        <v>1</v>
      </c>
      <c r="AA275" s="56">
        <f>IFERROR(VLOOKUP($AM275,個性タイプマスタ!$A$5:$P$100,5,FALSE),1)</f>
        <v>1.2</v>
      </c>
      <c r="AB275" s="56">
        <f>IFERROR(VLOOKUP($AM275,個性タイプマスタ!$A$5:$P$100,6,FALSE),1)</f>
        <v>0.95</v>
      </c>
      <c r="AC275" s="56">
        <f>IFERROR(VLOOKUP($AM275,個性タイプマスタ!$A$5:$P$100,7,FALSE),1)</f>
        <v>1.1499999999999999</v>
      </c>
      <c r="AD275" s="56">
        <f>IFERROR(VLOOKUP($AM275,個性タイプマスタ!$A$5:$P$100,8,FALSE),1)</f>
        <v>0.84</v>
      </c>
      <c r="AE275" s="60">
        <f>IFERROR(D275/設定!$B$5,1)</f>
        <v>72.890500000000003</v>
      </c>
      <c r="AF275" s="60">
        <f>1+設定!$B$13*((I275/設定!$B$8+J275/設定!$B$9)/(2*AE275))</f>
        <v>1.3300327203133469</v>
      </c>
      <c r="AG275" s="60">
        <f>MAX(0.7,1+設定!$B$14*(O275/IF(X275="Melee",1.5,2.5)-1))</f>
        <v>1.018</v>
      </c>
      <c r="AH275" s="53">
        <f t="shared" si="17"/>
        <v>1287.4035200000001</v>
      </c>
      <c r="AI275" s="53">
        <f>E275*AF275*(1+設定!$B$18*AVERAGE(P275:U275))</f>
        <v>9898.1952768296269</v>
      </c>
      <c r="AJ275" s="61">
        <f>設定!$B$5*SQRT((AH275/(設定!$B$7*設定!$B$10*(1+設定!$B$11*(設定!$B$12-1))))*(AI275/(設定!$B$6*(1+設定!$B$13))))</f>
        <v>7288.9587673825572</v>
      </c>
      <c r="AK275" s="62">
        <f t="shared" si="18"/>
        <v>-1.2516393417927318E-5</v>
      </c>
      <c r="AL275" s="63">
        <f t="shared" si="19"/>
        <v>6122.8019999999997</v>
      </c>
      <c r="AM275" s="64" t="s">
        <v>898</v>
      </c>
      <c r="AN275" s="54">
        <f>MAX(1,ROUND((設定!$B$7*設定!$B$10*(1+設定!$B$11*(設定!$B$12-1)))*AE275^2*(設定!$B$6*(1+設定!$B$13))/(AI275*N275*(1+K275*(L275-1))*AG275),0))</f>
        <v>1300</v>
      </c>
      <c r="AO275" s="65" t="str">
        <f>IF($A275="","",IF(COUNTIF(個性タイプマスタ!$A$5:$A$100,$AM275)&gt;0,"OK","未登録"))</f>
        <v>OK</v>
      </c>
      <c r="AP275" s="67" t="str">
        <f>IF($A275="","",IF(COUNTIF(属性耐性マスタ!$A$5:$A$11,$C275)&gt;0,"OK","未登録"))</f>
        <v>OK</v>
      </c>
    </row>
    <row r="276" spans="1:42">
      <c r="A276" s="66" t="s">
        <v>652</v>
      </c>
      <c r="B276" s="51" t="s">
        <v>653</v>
      </c>
      <c r="C276" s="109" t="s">
        <v>874</v>
      </c>
      <c r="D276" s="53">
        <f>ROUND(設定!$B$5*POWER($D$2,W276-1),2)</f>
        <v>7289.05</v>
      </c>
      <c r="E276" s="54">
        <f>MAX(1,ROUND(設定!$B$6*AE276*Y276,0))</f>
        <v>6997</v>
      </c>
      <c r="F276" s="54">
        <f>MAX(0,ROUND(設定!$B$7*AE276*設定!$B$15*IF(X276="Melee",0.6,1.35)*IFERROR(VLOOKUP($AM276,個性タイプマスタ!$A$5:$P$100,14,FALSE),1),0))</f>
        <v>1169</v>
      </c>
      <c r="G276" s="54">
        <f>IF(X276="Melee",AN276,MAX(1,ROUND(AN276*設定!$B$16*IFERROR(VLOOKUP($AM276,個性タイプマスタ!$A$5:$P$100,15,FALSE),1),0)))</f>
        <v>387</v>
      </c>
      <c r="H276" s="54">
        <f>IF(X276="Ranged",AN276,MAX(1,ROUND(AN276*設定!$B$16*IFERROR(VLOOKUP($AM276,個性タイプマスタ!$A$5:$P$100,15,FALSE),1),0)))</f>
        <v>1386</v>
      </c>
      <c r="I276" s="54">
        <f>MAX(0,ROUND(設定!$B$8*AE276*Z276,0))</f>
        <v>478</v>
      </c>
      <c r="J276" s="54">
        <f>MAX(0,ROUND(設定!$B$9*AE276*AA276,0))</f>
        <v>531</v>
      </c>
      <c r="K276" s="55">
        <f>IFERROR(VLOOKUP($AM276,個性タイプマスタ!$A$5:$P$100,9,FALSE),0.05)</f>
        <v>0.06</v>
      </c>
      <c r="L276" s="56">
        <f>IFERROR(VLOOKUP($AM276,個性タイプマスタ!$A$5:$P$100,10,FALSE),1.5)</f>
        <v>1.6</v>
      </c>
      <c r="M276" s="56">
        <f>IFERROR(VLOOKUP($AM276,個性タイプマスタ!$A$5:$P$100,11,FALSE),2)</f>
        <v>2.25</v>
      </c>
      <c r="N276" s="57">
        <f>MAX(0.1,ROUND(設定!$B$10*AB276,3))</f>
        <v>0.91</v>
      </c>
      <c r="O276" s="57">
        <f t="shared" si="16"/>
        <v>4.75</v>
      </c>
      <c r="P276" s="58">
        <f>MAX(-10,MIN(0.8,IFERROR(INDEX(属性耐性マスタ!$B$5:$G$11,MATCH($C276,属性耐性マスタ!$A$5:$A$11,0),1),0)+IFERROR(VLOOKUP($AM276,個性タイプマスタ!$A$5:$P$100,12,FALSE),0)))</f>
        <v>-0.02</v>
      </c>
      <c r="Q276" s="58">
        <f>MAX(-10,MIN(0.8,IFERROR(INDEX(属性耐性マスタ!$B$5:$G$11,MATCH($C276,属性耐性マスタ!$A$5:$A$11,0),2),0)+IFERROR(VLOOKUP($AM276,個性タイプマスタ!$A$5:$P$100,12,FALSE),0)))</f>
        <v>-0.02</v>
      </c>
      <c r="R276" s="58">
        <f>MAX(-10,MIN(0.8,IFERROR(INDEX(属性耐性マスタ!$B$5:$G$11,MATCH($C276,属性耐性マスタ!$A$5:$A$11,0),3),0)+IFERROR(VLOOKUP($AM276,個性タイプマスタ!$A$5:$P$100,12,FALSE),0)))</f>
        <v>-0.02</v>
      </c>
      <c r="S276" s="58">
        <f>MAX(-10,MIN(0.8,IFERROR(INDEX(属性耐性マスタ!$B$5:$G$11,MATCH($C276,属性耐性マスタ!$A$5:$A$11,0),4),0)+IFERROR(VLOOKUP($AM276,個性タイプマスタ!$A$5:$P$100,12,FALSE),0)))</f>
        <v>-0.02</v>
      </c>
      <c r="T276" s="58">
        <f>MAX(-10,MIN(0.8,IFERROR(INDEX(属性耐性マスタ!$B$5:$G$11,MATCH($C276,属性耐性マスタ!$A$5:$A$11,0),5),0)+IFERROR(VLOOKUP($AM276,個性タイプマスタ!$A$5:$P$100,12,FALSE),0)))</f>
        <v>-0.12000000000000001</v>
      </c>
      <c r="U276" s="58">
        <f>MAX(-10,MIN(0.8,IFERROR(INDEX(属性耐性マスタ!$B$5:$G$11,MATCH($C276,属性耐性マスタ!$A$5:$A$11,0),6),0)+IFERROR(VLOOKUP($AM276,個性タイプマスタ!$A$5:$P$100,12,FALSE),0)))</f>
        <v>0.18000000000000002</v>
      </c>
      <c r="V276" s="59">
        <f>ROUND(設定!$B$19*IFERROR(VLOOKUP($AM276,個性タイプマスタ!$A$5:$P$100,13,FALSE),1),2)</f>
        <v>6.6</v>
      </c>
      <c r="W276" s="59">
        <v>46</v>
      </c>
      <c r="X276" s="59" t="str">
        <f>IFERROR(VLOOKUP($AM276,個性タイプマスタ!$A$5:$P$100,2,FALSE),"Ranged")</f>
        <v>Ranged</v>
      </c>
      <c r="Y276" s="56">
        <f>IFERROR(VLOOKUP($AM276,個性タイプマスタ!$A$5:$P$100,3,FALSE),1)</f>
        <v>0.96</v>
      </c>
      <c r="Z276" s="56">
        <f>IFERROR(VLOOKUP($AM276,個性タイプマスタ!$A$5:$P$100,4,FALSE),1)</f>
        <v>0.82</v>
      </c>
      <c r="AA276" s="56">
        <f>IFERROR(VLOOKUP($AM276,個性タイプマスタ!$A$5:$P$100,5,FALSE),1)</f>
        <v>0.91</v>
      </c>
      <c r="AB276" s="56">
        <f>IFERROR(VLOOKUP($AM276,個性タイプマスタ!$A$5:$P$100,6,FALSE),1)</f>
        <v>0.91</v>
      </c>
      <c r="AC276" s="56">
        <f>IFERROR(VLOOKUP($AM276,個性タイプマスタ!$A$5:$P$100,7,FALSE),1)</f>
        <v>1.9</v>
      </c>
      <c r="AD276" s="56">
        <f>IFERROR(VLOOKUP($AM276,個性タイプマスタ!$A$5:$P$100,8,FALSE),1)</f>
        <v>0.75</v>
      </c>
      <c r="AE276" s="60">
        <f>IFERROR(D276/設定!$B$5,1)</f>
        <v>72.890500000000003</v>
      </c>
      <c r="AF276" s="60">
        <f>1+設定!$B$13*((I276/設定!$B$8+J276/設定!$B$9)/(2*AE276))</f>
        <v>1.2595502843306055</v>
      </c>
      <c r="AG276" s="60">
        <f>MAX(0.7,1+設定!$B$14*(O276/IF(X276="Melee",1.5,2.5)-1))</f>
        <v>1.1080000000000001</v>
      </c>
      <c r="AH276" s="53">
        <f t="shared" si="17"/>
        <v>1447.78521888</v>
      </c>
      <c r="AI276" s="53">
        <f>E276*AF276*(1+設定!$B$18*AVERAGE(P276:U276))</f>
        <v>8799.8537294520556</v>
      </c>
      <c r="AJ276" s="61">
        <f>設定!$B$5*SQRT((AH276/(設定!$B$7*設定!$B$10*(1+設定!$B$11*(設定!$B$12-1))))*(AI276/(設定!$B$6*(1+設定!$B$13))))</f>
        <v>7288.1941704680576</v>
      </c>
      <c r="AK276" s="62">
        <f t="shared" si="18"/>
        <v>-1.174130417465058E-4</v>
      </c>
      <c r="AL276" s="63">
        <f t="shared" si="19"/>
        <v>5466.7875000000004</v>
      </c>
      <c r="AM276" s="64" t="s">
        <v>918</v>
      </c>
      <c r="AN276" s="54">
        <f>MAX(1,ROUND((設定!$B$7*設定!$B$10*(1+設定!$B$11*(設定!$B$12-1)))*AE276^2*(設定!$B$6*(1+設定!$B$13))/(AI276*N276*(1+K276*(L276-1))*AG276),0))</f>
        <v>1386</v>
      </c>
      <c r="AO276" s="65" t="str">
        <f>IF($A276="","",IF(COUNTIF(個性タイプマスタ!$A$5:$A$100,$AM276)&gt;0,"OK","未登録"))</f>
        <v>OK</v>
      </c>
      <c r="AP276" s="67" t="str">
        <f>IF($A276="","",IF(COUNTIF(属性耐性マスタ!$A$5:$A$11,$C276)&gt;0,"OK","未登録"))</f>
        <v>OK</v>
      </c>
    </row>
    <row r="277" spans="1:42">
      <c r="A277" s="66" t="s">
        <v>654</v>
      </c>
      <c r="B277" s="51" t="s">
        <v>655</v>
      </c>
      <c r="C277" s="109" t="s">
        <v>874</v>
      </c>
      <c r="D277" s="53">
        <f>ROUND(設定!$B$5*POWER($D$2,W277-1),2)</f>
        <v>7289.05</v>
      </c>
      <c r="E277" s="54">
        <f>MAX(1,ROUND(設定!$B$6*AE277*Y277,0))</f>
        <v>7508</v>
      </c>
      <c r="F277" s="54">
        <f>MAX(0,ROUND(設定!$B$7*AE277*設定!$B$15*IF(X277="Melee",0.6,1.35)*IFERROR(VLOOKUP($AM277,個性タイプマスタ!$A$5:$P$100,14,FALSE),1),0))</f>
        <v>2816</v>
      </c>
      <c r="G277" s="54">
        <f>IF(X277="Melee",AN277,MAX(1,ROUND(AN277*設定!$B$16*IFERROR(VLOOKUP($AM277,個性タイプマスタ!$A$5:$P$100,15,FALSE),1),0)))</f>
        <v>424</v>
      </c>
      <c r="H277" s="54">
        <f>IF(X277="Ranged",AN277,MAX(1,ROUND(AN277*設定!$B$16*IFERROR(VLOOKUP($AM277,個性タイプマスタ!$A$5:$P$100,15,FALSE),1),0)))</f>
        <v>1345</v>
      </c>
      <c r="I277" s="54">
        <f>MAX(0,ROUND(設定!$B$8*AE277*Z277,0))</f>
        <v>560</v>
      </c>
      <c r="J277" s="54">
        <f>MAX(0,ROUND(設定!$B$9*AE277*AA277,0))</f>
        <v>688</v>
      </c>
      <c r="K277" s="55">
        <f>IFERROR(VLOOKUP($AM277,個性タイプマスタ!$A$5:$P$100,9,FALSE),0.05)</f>
        <v>6.5000000000000002E-2</v>
      </c>
      <c r="L277" s="56">
        <f>IFERROR(VLOOKUP($AM277,個性タイプマスタ!$A$5:$P$100,10,FALSE),1.5)</f>
        <v>1.45</v>
      </c>
      <c r="M277" s="56">
        <f>IFERROR(VLOOKUP($AM277,個性タイプマスタ!$A$5:$P$100,11,FALSE),2)</f>
        <v>2.1</v>
      </c>
      <c r="N277" s="57">
        <f>MAX(0.1,ROUND(設定!$B$10*AB277,3))</f>
        <v>0.9</v>
      </c>
      <c r="O277" s="57">
        <f t="shared" si="16"/>
        <v>2.8</v>
      </c>
      <c r="P277" s="58">
        <f>MAX(-10,MIN(0.8,IFERROR(INDEX(属性耐性マスタ!$B$5:$G$11,MATCH($C277,属性耐性マスタ!$A$5:$A$11,0),1),0)+IFERROR(VLOOKUP($AM277,個性タイプマスタ!$A$5:$P$100,12,FALSE),0)))</f>
        <v>0.02</v>
      </c>
      <c r="Q277" s="58">
        <f>MAX(-10,MIN(0.8,IFERROR(INDEX(属性耐性マスタ!$B$5:$G$11,MATCH($C277,属性耐性マスタ!$A$5:$A$11,0),2),0)+IFERROR(VLOOKUP($AM277,個性タイプマスタ!$A$5:$P$100,12,FALSE),0)))</f>
        <v>0.02</v>
      </c>
      <c r="R277" s="58">
        <f>MAX(-10,MIN(0.8,IFERROR(INDEX(属性耐性マスタ!$B$5:$G$11,MATCH($C277,属性耐性マスタ!$A$5:$A$11,0),3),0)+IFERROR(VLOOKUP($AM277,個性タイプマスタ!$A$5:$P$100,12,FALSE),0)))</f>
        <v>0.02</v>
      </c>
      <c r="S277" s="58">
        <f>MAX(-10,MIN(0.8,IFERROR(INDEX(属性耐性マスタ!$B$5:$G$11,MATCH($C277,属性耐性マスタ!$A$5:$A$11,0),4),0)+IFERROR(VLOOKUP($AM277,個性タイプマスタ!$A$5:$P$100,12,FALSE),0)))</f>
        <v>0.02</v>
      </c>
      <c r="T277" s="58">
        <f>MAX(-10,MIN(0.8,IFERROR(INDEX(属性耐性マスタ!$B$5:$G$11,MATCH($C277,属性耐性マスタ!$A$5:$A$11,0),5),0)+IFERROR(VLOOKUP($AM277,個性タイプマスタ!$A$5:$P$100,12,FALSE),0)))</f>
        <v>-0.08</v>
      </c>
      <c r="U277" s="58">
        <f>MAX(-10,MIN(0.8,IFERROR(INDEX(属性耐性マスタ!$B$5:$G$11,MATCH($C277,属性耐性マスタ!$A$5:$A$11,0),6),0)+IFERROR(VLOOKUP($AM277,個性タイプマスタ!$A$5:$P$100,12,FALSE),0)))</f>
        <v>0.22</v>
      </c>
      <c r="V277" s="59">
        <f>ROUND(設定!$B$19*IFERROR(VLOOKUP($AM277,個性タイプマスタ!$A$5:$P$100,13,FALSE),1),2)</f>
        <v>4.2</v>
      </c>
      <c r="W277" s="59">
        <v>46</v>
      </c>
      <c r="X277" s="59" t="str">
        <f>IFERROR(VLOOKUP($AM277,個性タイプマスタ!$A$5:$P$100,2,FALSE),"Ranged")</f>
        <v>Ranged</v>
      </c>
      <c r="Y277" s="56">
        <f>IFERROR(VLOOKUP($AM277,個性タイプマスタ!$A$5:$P$100,3,FALSE),1)</f>
        <v>1.03</v>
      </c>
      <c r="Z277" s="56">
        <f>IFERROR(VLOOKUP($AM277,個性タイプマスタ!$A$5:$P$100,4,FALSE),1)</f>
        <v>0.96</v>
      </c>
      <c r="AA277" s="56">
        <f>IFERROR(VLOOKUP($AM277,個性タイプマスタ!$A$5:$P$100,5,FALSE),1)</f>
        <v>1.18</v>
      </c>
      <c r="AB277" s="56">
        <f>IFERROR(VLOOKUP($AM277,個性タイプマスタ!$A$5:$P$100,6,FALSE),1)</f>
        <v>0.9</v>
      </c>
      <c r="AC277" s="56">
        <f>IFERROR(VLOOKUP($AM277,個性タイプマスタ!$A$5:$P$100,7,FALSE),1)</f>
        <v>1.1200000000000001</v>
      </c>
      <c r="AD277" s="56">
        <f>IFERROR(VLOOKUP($AM277,個性タイプマスタ!$A$5:$P$100,8,FALSE),1)</f>
        <v>0.79</v>
      </c>
      <c r="AE277" s="60">
        <f>IFERROR(D277/設定!$B$5,1)</f>
        <v>72.890500000000003</v>
      </c>
      <c r="AF277" s="60">
        <f>1+設定!$B$13*((I277/設定!$B$8+J277/設定!$B$9)/(2*AE277))</f>
        <v>1.3210294894396388</v>
      </c>
      <c r="AG277" s="60">
        <f>MAX(0.7,1+設定!$B$14*(O277/IF(X277="Melee",1.5,2.5)-1))</f>
        <v>1.0144</v>
      </c>
      <c r="AH277" s="53">
        <f t="shared" si="17"/>
        <v>1263.8481875999998</v>
      </c>
      <c r="AI277" s="53">
        <f>E277*AF277*(1+設定!$B$18*AVERAGE(P277:U277))</f>
        <v>10081.94118192357</v>
      </c>
      <c r="AJ277" s="61">
        <f>設定!$B$5*SQRT((AH277/(設定!$B$7*設定!$B$10*(1+設定!$B$11*(設定!$B$12-1))))*(AI277/(設定!$B$6*(1+設定!$B$13))))</f>
        <v>7288.693254986536</v>
      </c>
      <c r="AK277" s="62">
        <f t="shared" si="18"/>
        <v>-4.894259381738042E-5</v>
      </c>
      <c r="AL277" s="63">
        <f t="shared" si="19"/>
        <v>5758.3495000000003</v>
      </c>
      <c r="AM277" s="64" t="s">
        <v>932</v>
      </c>
      <c r="AN277" s="54">
        <f>MAX(1,ROUND((設定!$B$7*設定!$B$10*(1+設定!$B$11*(設定!$B$12-1)))*AE277^2*(設定!$B$6*(1+設定!$B$13))/(AI277*N277*(1+K277*(L277-1))*AG277),0))</f>
        <v>1345</v>
      </c>
      <c r="AO277" s="65" t="str">
        <f>IF($A277="","",IF(COUNTIF(個性タイプマスタ!$A$5:$A$100,$AM277)&gt;0,"OK","未登録"))</f>
        <v>OK</v>
      </c>
      <c r="AP277" s="67" t="str">
        <f>IF($A277="","",IF(COUNTIF(属性耐性マスタ!$A$5:$A$11,$C277)&gt;0,"OK","未登録"))</f>
        <v>OK</v>
      </c>
    </row>
    <row r="278" spans="1:42">
      <c r="A278" s="66" t="s">
        <v>656</v>
      </c>
      <c r="B278" s="51" t="s">
        <v>657</v>
      </c>
      <c r="C278" s="109" t="s">
        <v>874</v>
      </c>
      <c r="D278" s="53">
        <f>ROUND(設定!$B$5*POWER($D$2,W278-1),2)</f>
        <v>7289.05</v>
      </c>
      <c r="E278" s="54">
        <f>MAX(1,ROUND(設定!$B$6*AE278*Y278,0))</f>
        <v>6706</v>
      </c>
      <c r="F278" s="54">
        <f>MAX(0,ROUND(設定!$B$7*AE278*設定!$B$15*IF(X278="Melee",0.6,1.35)*IFERROR(VLOOKUP($AM278,個性タイプマスタ!$A$5:$P$100,14,FALSE),1),0))</f>
        <v>472</v>
      </c>
      <c r="G278" s="54">
        <f>IF(X278="Melee",AN278,MAX(1,ROUND(AN278*設定!$B$16*IFERROR(VLOOKUP($AM278,個性タイプマスタ!$A$5:$P$100,15,FALSE),1),0)))</f>
        <v>1375</v>
      </c>
      <c r="H278" s="54">
        <f>IF(X278="Ranged",AN278,MAX(1,ROUND(AN278*設定!$B$16*IFERROR(VLOOKUP($AM278,個性タイプマスタ!$A$5:$P$100,15,FALSE),1),0)))</f>
        <v>619</v>
      </c>
      <c r="I278" s="54">
        <f>MAX(0,ROUND(設定!$B$8*AE278*Z278,0))</f>
        <v>554</v>
      </c>
      <c r="J278" s="54">
        <f>MAX(0,ROUND(設定!$B$9*AE278*AA278,0))</f>
        <v>612</v>
      </c>
      <c r="K278" s="55">
        <f>IFERROR(VLOOKUP($AM278,個性タイプマスタ!$A$5:$P$100,9,FALSE),0.05)</f>
        <v>0.05</v>
      </c>
      <c r="L278" s="56">
        <f>IFERROR(VLOOKUP($AM278,個性タイプマスタ!$A$5:$P$100,10,FALSE),1.5)</f>
        <v>1.5</v>
      </c>
      <c r="M278" s="56">
        <f>IFERROR(VLOOKUP($AM278,個性タイプマスタ!$A$5:$P$100,11,FALSE),2)</f>
        <v>2</v>
      </c>
      <c r="N278" s="57">
        <f>MAX(0.1,ROUND(設定!$B$10*AB278,3))</f>
        <v>1.05</v>
      </c>
      <c r="O278" s="57">
        <f t="shared" si="16"/>
        <v>1.2</v>
      </c>
      <c r="P278" s="58">
        <f>MAX(-10,MIN(0.8,IFERROR(INDEX(属性耐性マスタ!$B$5:$G$11,MATCH($C278,属性耐性マスタ!$A$5:$A$11,0),1),0)+IFERROR(VLOOKUP($AM278,個性タイプマスタ!$A$5:$P$100,12,FALSE),0)))</f>
        <v>0.01</v>
      </c>
      <c r="Q278" s="58">
        <f>MAX(-10,MIN(0.8,IFERROR(INDEX(属性耐性マスタ!$B$5:$G$11,MATCH($C278,属性耐性マスタ!$A$5:$A$11,0),2),0)+IFERROR(VLOOKUP($AM278,個性タイプマスタ!$A$5:$P$100,12,FALSE),0)))</f>
        <v>0.01</v>
      </c>
      <c r="R278" s="58">
        <f>MAX(-10,MIN(0.8,IFERROR(INDEX(属性耐性マスタ!$B$5:$G$11,MATCH($C278,属性耐性マスタ!$A$5:$A$11,0),3),0)+IFERROR(VLOOKUP($AM278,個性タイプマスタ!$A$5:$P$100,12,FALSE),0)))</f>
        <v>0.01</v>
      </c>
      <c r="S278" s="58">
        <f>MAX(-10,MIN(0.8,IFERROR(INDEX(属性耐性マスタ!$B$5:$G$11,MATCH($C278,属性耐性マスタ!$A$5:$A$11,0),4),0)+IFERROR(VLOOKUP($AM278,個性タイプマスタ!$A$5:$P$100,12,FALSE),0)))</f>
        <v>0.01</v>
      </c>
      <c r="T278" s="58">
        <f>MAX(-10,MIN(0.8,IFERROR(INDEX(属性耐性マスタ!$B$5:$G$11,MATCH($C278,属性耐性マスタ!$A$5:$A$11,0),5),0)+IFERROR(VLOOKUP($AM278,個性タイプマスタ!$A$5:$P$100,12,FALSE),0)))</f>
        <v>-9.0000000000000011E-2</v>
      </c>
      <c r="U278" s="58">
        <f>MAX(-10,MIN(0.8,IFERROR(INDEX(属性耐性マスタ!$B$5:$G$11,MATCH($C278,属性耐性マスタ!$A$5:$A$11,0),6),0)+IFERROR(VLOOKUP($AM278,個性タイプマスタ!$A$5:$P$100,12,FALSE),0)))</f>
        <v>0.21000000000000002</v>
      </c>
      <c r="V278" s="59">
        <f>ROUND(設定!$B$19*IFERROR(VLOOKUP($AM278,個性タイプマスタ!$A$5:$P$100,13,FALSE),1),2)</f>
        <v>4</v>
      </c>
      <c r="W278" s="59">
        <v>46</v>
      </c>
      <c r="X278" s="59" t="str">
        <f>IFERROR(VLOOKUP($AM278,個性タイプマスタ!$A$5:$P$100,2,FALSE),"Ranged")</f>
        <v>Melee</v>
      </c>
      <c r="Y278" s="56">
        <f>IFERROR(VLOOKUP($AM278,個性タイプマスタ!$A$5:$P$100,3,FALSE),1)</f>
        <v>0.92</v>
      </c>
      <c r="Z278" s="56">
        <f>IFERROR(VLOOKUP($AM278,個性タイプマスタ!$A$5:$P$100,4,FALSE),1)</f>
        <v>0.95</v>
      </c>
      <c r="AA278" s="56">
        <f>IFERROR(VLOOKUP($AM278,個性タイプマスタ!$A$5:$P$100,5,FALSE),1)</f>
        <v>1.05</v>
      </c>
      <c r="AB278" s="56">
        <f>IFERROR(VLOOKUP($AM278,個性タイプマスタ!$A$5:$P$100,6,FALSE),1)</f>
        <v>1.05</v>
      </c>
      <c r="AC278" s="56">
        <f>IFERROR(VLOOKUP($AM278,個性タイプマスタ!$A$5:$P$100,7,FALSE),1)</f>
        <v>0.8</v>
      </c>
      <c r="AD278" s="56">
        <f>IFERROR(VLOOKUP($AM278,個性タイプマスタ!$A$5:$P$100,8,FALSE),1)</f>
        <v>0.74</v>
      </c>
      <c r="AE278" s="60">
        <f>IFERROR(D278/設定!$B$5,1)</f>
        <v>72.890500000000003</v>
      </c>
      <c r="AF278" s="60">
        <f>1+設定!$B$13*((I278/設定!$B$8+J278/設定!$B$9)/(2*AE278))</f>
        <v>1.2999362056783805</v>
      </c>
      <c r="AG278" s="60">
        <f>MAX(0.7,1+設定!$B$14*(O278/IF(X278="Melee",1.5,2.5)-1))</f>
        <v>0.97599999999999998</v>
      </c>
      <c r="AH278" s="53">
        <f t="shared" si="17"/>
        <v>1444.3274999999996</v>
      </c>
      <c r="AI278" s="53">
        <f>E278*AF278*(1+設定!$B$18*AVERAGE(P278:U278))</f>
        <v>8821.9806616225706</v>
      </c>
      <c r="AJ278" s="61">
        <f>設定!$B$5*SQRT((AH278/(設定!$B$7*設定!$B$10*(1+設定!$B$11*(設定!$B$12-1))))*(AI278/(設定!$B$6*(1+設定!$B$13))))</f>
        <v>7288.6321012404178</v>
      </c>
      <c r="AK278" s="62">
        <f t="shared" si="18"/>
        <v>-5.7332404028276329E-5</v>
      </c>
      <c r="AL278" s="63">
        <f t="shared" si="19"/>
        <v>5393.8969999999999</v>
      </c>
      <c r="AM278" s="64" t="s">
        <v>892</v>
      </c>
      <c r="AN278" s="54">
        <f>MAX(1,ROUND((設定!$B$7*設定!$B$10*(1+設定!$B$11*(設定!$B$12-1)))*AE278^2*(設定!$B$6*(1+設定!$B$13))/(AI278*N278*(1+K278*(L278-1))*AG278),0))</f>
        <v>1375</v>
      </c>
      <c r="AO278" s="65" t="str">
        <f>IF($A278="","",IF(COUNTIF(個性タイプマスタ!$A$5:$A$100,$AM278)&gt;0,"OK","未登録"))</f>
        <v>OK</v>
      </c>
      <c r="AP278" s="67" t="str">
        <f>IF($A278="","",IF(COUNTIF(属性耐性マスタ!$A$5:$A$11,$C278)&gt;0,"OK","未登録"))</f>
        <v>OK</v>
      </c>
    </row>
    <row r="279" spans="1:42">
      <c r="A279" s="66" t="s">
        <v>658</v>
      </c>
      <c r="B279" s="51" t="s">
        <v>659</v>
      </c>
      <c r="C279" s="109" t="s">
        <v>874</v>
      </c>
      <c r="D279" s="53">
        <f>ROUND(設定!$B$5*POWER($D$2,W279-1),2)</f>
        <v>7289.05</v>
      </c>
      <c r="E279" s="54">
        <f>MAX(1,ROUND(設定!$B$6*AE279*Y279,0))</f>
        <v>5904</v>
      </c>
      <c r="F279" s="54">
        <f>MAX(0,ROUND(設定!$B$7*AE279*設定!$B$15*IF(X279="Melee",0.6,1.35)*IFERROR(VLOOKUP($AM279,個性タイプマスタ!$A$5:$P$100,14,FALSE),1),0))</f>
        <v>368</v>
      </c>
      <c r="G279" s="54">
        <f>IF(X279="Melee",AN279,MAX(1,ROUND(AN279*設定!$B$16*IFERROR(VLOOKUP($AM279,個性タイプマスタ!$A$5:$P$100,15,FALSE),1),0)))</f>
        <v>1011</v>
      </c>
      <c r="H279" s="54">
        <f>IF(X279="Ranged",AN279,MAX(1,ROUND(AN279*設定!$B$16*IFERROR(VLOOKUP($AM279,個性タイプマスタ!$A$5:$P$100,15,FALSE),1),0)))</f>
        <v>318</v>
      </c>
      <c r="I279" s="54">
        <f>MAX(0,ROUND(設定!$B$8*AE279*Z279,0))</f>
        <v>437</v>
      </c>
      <c r="J279" s="54">
        <f>MAX(0,ROUND(設定!$B$9*AE279*AA279,0))</f>
        <v>461</v>
      </c>
      <c r="K279" s="55">
        <f>IFERROR(VLOOKUP($AM279,個性タイプマスタ!$A$5:$P$100,9,FALSE),0.05)</f>
        <v>7.0000000000000007E-2</v>
      </c>
      <c r="L279" s="56">
        <f>IFERROR(VLOOKUP($AM279,個性タイプマスタ!$A$5:$P$100,10,FALSE),1.5)</f>
        <v>1.45</v>
      </c>
      <c r="M279" s="56">
        <f>IFERROR(VLOOKUP($AM279,個性タイプマスタ!$A$5:$P$100,11,FALSE),2)</f>
        <v>3.35</v>
      </c>
      <c r="N279" s="57">
        <f>MAX(0.1,ROUND(設定!$B$10*AB279,3))</f>
        <v>1.77</v>
      </c>
      <c r="O279" s="57">
        <f t="shared" si="16"/>
        <v>1.1399999999999999</v>
      </c>
      <c r="P279" s="58">
        <f>MAX(-10,MIN(0.8,IFERROR(INDEX(属性耐性マスタ!$B$5:$G$11,MATCH($C279,属性耐性マスタ!$A$5:$A$11,0),1),0)+IFERROR(VLOOKUP($AM279,個性タイプマスタ!$A$5:$P$100,12,FALSE),0)))</f>
        <v>-6.5000000000000002E-2</v>
      </c>
      <c r="Q279" s="58">
        <f>MAX(-10,MIN(0.8,IFERROR(INDEX(属性耐性マスタ!$B$5:$G$11,MATCH($C279,属性耐性マスタ!$A$5:$A$11,0),2),0)+IFERROR(VLOOKUP($AM279,個性タイプマスタ!$A$5:$P$100,12,FALSE),0)))</f>
        <v>-6.5000000000000002E-2</v>
      </c>
      <c r="R279" s="58">
        <f>MAX(-10,MIN(0.8,IFERROR(INDEX(属性耐性マスタ!$B$5:$G$11,MATCH($C279,属性耐性マスタ!$A$5:$A$11,0),3),0)+IFERROR(VLOOKUP($AM279,個性タイプマスタ!$A$5:$P$100,12,FALSE),0)))</f>
        <v>-6.5000000000000002E-2</v>
      </c>
      <c r="S279" s="58">
        <f>MAX(-10,MIN(0.8,IFERROR(INDEX(属性耐性マスタ!$B$5:$G$11,MATCH($C279,属性耐性マスタ!$A$5:$A$11,0),4),0)+IFERROR(VLOOKUP($AM279,個性タイプマスタ!$A$5:$P$100,12,FALSE),0)))</f>
        <v>-6.5000000000000002E-2</v>
      </c>
      <c r="T279" s="58">
        <f>MAX(-10,MIN(0.8,IFERROR(INDEX(属性耐性マスタ!$B$5:$G$11,MATCH($C279,属性耐性マスタ!$A$5:$A$11,0),5),0)+IFERROR(VLOOKUP($AM279,個性タイプマスタ!$A$5:$P$100,12,FALSE),0)))</f>
        <v>-0.16500000000000001</v>
      </c>
      <c r="U279" s="58">
        <f>MAX(-10,MIN(0.8,IFERROR(INDEX(属性耐性マスタ!$B$5:$G$11,MATCH($C279,属性耐性マスタ!$A$5:$A$11,0),6),0)+IFERROR(VLOOKUP($AM279,個性タイプマスタ!$A$5:$P$100,12,FALSE),0)))</f>
        <v>0.13500000000000001</v>
      </c>
      <c r="V279" s="59">
        <f>ROUND(設定!$B$19*IFERROR(VLOOKUP($AM279,個性タイプマスタ!$A$5:$P$100,13,FALSE),1),2)</f>
        <v>5</v>
      </c>
      <c r="W279" s="59">
        <v>46</v>
      </c>
      <c r="X279" s="59" t="str">
        <f>IFERROR(VLOOKUP($AM279,個性タイプマスタ!$A$5:$P$100,2,FALSE),"Ranged")</f>
        <v>Melee</v>
      </c>
      <c r="Y279" s="56">
        <f>IFERROR(VLOOKUP($AM279,個性タイプマスタ!$A$5:$P$100,3,FALSE),1)</f>
        <v>0.81</v>
      </c>
      <c r="Z279" s="56">
        <f>IFERROR(VLOOKUP($AM279,個性タイプマスタ!$A$5:$P$100,4,FALSE),1)</f>
        <v>0.75</v>
      </c>
      <c r="AA279" s="56">
        <f>IFERROR(VLOOKUP($AM279,個性タイプマスタ!$A$5:$P$100,5,FALSE),1)</f>
        <v>0.79</v>
      </c>
      <c r="AB279" s="56">
        <f>IFERROR(VLOOKUP($AM279,個性タイプマスタ!$A$5:$P$100,6,FALSE),1)</f>
        <v>1.77</v>
      </c>
      <c r="AC279" s="56">
        <f>IFERROR(VLOOKUP($AM279,個性タイプマスタ!$A$5:$P$100,7,FALSE),1)</f>
        <v>0.76</v>
      </c>
      <c r="AD279" s="56">
        <f>IFERROR(VLOOKUP($AM279,個性タイプマスタ!$A$5:$P$100,8,FALSE),1)</f>
        <v>0.66</v>
      </c>
      <c r="AE279" s="60">
        <f>IFERROR(D279/設定!$B$5,1)</f>
        <v>72.890500000000003</v>
      </c>
      <c r="AF279" s="60">
        <f>1+設定!$B$13*((I279/設定!$B$8+J279/設定!$B$9)/(2*AE279))</f>
        <v>1.2309971807025606</v>
      </c>
      <c r="AG279" s="60">
        <f>MAX(0.7,1+設定!$B$14*(O279/IF(X279="Melee",1.5,2.5)-1))</f>
        <v>0.97119999999999995</v>
      </c>
      <c r="AH279" s="53">
        <f t="shared" si="17"/>
        <v>1792.6781618160001</v>
      </c>
      <c r="AI279" s="53">
        <f>E279*AF279*(1+設定!$B$18*AVERAGE(P279:U279))</f>
        <v>7109.7325448995398</v>
      </c>
      <c r="AJ279" s="61">
        <f>設定!$B$5*SQRT((AH279/(設定!$B$7*設定!$B$10*(1+設定!$B$11*(設定!$B$12-1))))*(AI279/(設定!$B$6*(1+設定!$B$13))))</f>
        <v>7289.6711074992454</v>
      </c>
      <c r="AK279" s="62">
        <f t="shared" si="18"/>
        <v>8.5211035628196541E-5</v>
      </c>
      <c r="AL279" s="63">
        <f t="shared" si="19"/>
        <v>4810.7730000000001</v>
      </c>
      <c r="AM279" s="64" t="s">
        <v>948</v>
      </c>
      <c r="AN279" s="54">
        <f>MAX(1,ROUND((設定!$B$7*設定!$B$10*(1+設定!$B$11*(設定!$B$12-1)))*AE279^2*(設定!$B$6*(1+設定!$B$13))/(AI279*N279*(1+K279*(L279-1))*AG279),0))</f>
        <v>1011</v>
      </c>
      <c r="AO279" s="65" t="str">
        <f>IF($A279="","",IF(COUNTIF(個性タイプマスタ!$A$5:$A$100,$AM279)&gt;0,"OK","未登録"))</f>
        <v>OK</v>
      </c>
      <c r="AP279" s="67" t="str">
        <f>IF($A279="","",IF(COUNTIF(属性耐性マスタ!$A$5:$A$11,$C279)&gt;0,"OK","未登録"))</f>
        <v>OK</v>
      </c>
    </row>
    <row r="280" spans="1:42">
      <c r="A280" s="66" t="s">
        <v>660</v>
      </c>
      <c r="B280" s="51" t="s">
        <v>661</v>
      </c>
      <c r="C280" s="109" t="s">
        <v>874</v>
      </c>
      <c r="D280" s="53">
        <f>ROUND(設定!$B$5*POWER($D$2,W280-1),2)</f>
        <v>7289.05</v>
      </c>
      <c r="E280" s="54">
        <f>MAX(1,ROUND(設定!$B$6*AE280*Y280,0))</f>
        <v>5977</v>
      </c>
      <c r="F280" s="54">
        <f>MAX(0,ROUND(設定!$B$7*AE280*設定!$B$15*IF(X280="Melee",0.6,1.35)*IFERROR(VLOOKUP($AM280,個性タイプマスタ!$A$5:$P$100,14,FALSE),1),0))</f>
        <v>1435</v>
      </c>
      <c r="G280" s="54">
        <f>IF(X280="Melee",AN280,MAX(1,ROUND(AN280*設定!$B$16*IFERROR(VLOOKUP($AM280,個性タイプマスタ!$A$5:$P$100,15,FALSE),1),0)))</f>
        <v>552</v>
      </c>
      <c r="H280" s="54">
        <f>IF(X280="Ranged",AN280,MAX(1,ROUND(AN280*設定!$B$16*IFERROR(VLOOKUP($AM280,個性タイプマスタ!$A$5:$P$100,15,FALSE),1),0)))</f>
        <v>2046</v>
      </c>
      <c r="I280" s="54">
        <f>MAX(0,ROUND(設定!$B$8*AE280*Z280,0))</f>
        <v>472</v>
      </c>
      <c r="J280" s="54">
        <f>MAX(0,ROUND(設定!$B$9*AE280*AA280,0))</f>
        <v>507</v>
      </c>
      <c r="K280" s="55">
        <f>IFERROR(VLOOKUP($AM280,個性タイプマスタ!$A$5:$P$100,9,FALSE),0.05)</f>
        <v>0.12</v>
      </c>
      <c r="L280" s="56">
        <f>IFERROR(VLOOKUP($AM280,個性タイプマスタ!$A$5:$P$100,10,FALSE),1.5)</f>
        <v>2.5499999999999998</v>
      </c>
      <c r="M280" s="56">
        <f>IFERROR(VLOOKUP($AM280,個性タイプマスタ!$A$5:$P$100,11,FALSE),2)</f>
        <v>2.2999999999999998</v>
      </c>
      <c r="N280" s="57">
        <f>MAX(0.1,ROUND(設定!$B$10*AB280,3))</f>
        <v>0.68</v>
      </c>
      <c r="O280" s="57">
        <f t="shared" si="16"/>
        <v>3.55</v>
      </c>
      <c r="P280" s="58">
        <f>MAX(-10,MIN(0.8,IFERROR(INDEX(属性耐性マスタ!$B$5:$G$11,MATCH($C280,属性耐性マスタ!$A$5:$A$11,0),1),0)+IFERROR(VLOOKUP($AM280,個性タイプマスタ!$A$5:$P$100,12,FALSE),0)))</f>
        <v>-5.5E-2</v>
      </c>
      <c r="Q280" s="58">
        <f>MAX(-10,MIN(0.8,IFERROR(INDEX(属性耐性マスタ!$B$5:$G$11,MATCH($C280,属性耐性マスタ!$A$5:$A$11,0),2),0)+IFERROR(VLOOKUP($AM280,個性タイプマスタ!$A$5:$P$100,12,FALSE),0)))</f>
        <v>-5.5E-2</v>
      </c>
      <c r="R280" s="58">
        <f>MAX(-10,MIN(0.8,IFERROR(INDEX(属性耐性マスタ!$B$5:$G$11,MATCH($C280,属性耐性マスタ!$A$5:$A$11,0),3),0)+IFERROR(VLOOKUP($AM280,個性タイプマスタ!$A$5:$P$100,12,FALSE),0)))</f>
        <v>-5.5E-2</v>
      </c>
      <c r="S280" s="58">
        <f>MAX(-10,MIN(0.8,IFERROR(INDEX(属性耐性マスタ!$B$5:$G$11,MATCH($C280,属性耐性マスタ!$A$5:$A$11,0),4),0)+IFERROR(VLOOKUP($AM280,個性タイプマスタ!$A$5:$P$100,12,FALSE),0)))</f>
        <v>-5.5E-2</v>
      </c>
      <c r="T280" s="58">
        <f>MAX(-10,MIN(0.8,IFERROR(INDEX(属性耐性マスタ!$B$5:$G$11,MATCH($C280,属性耐性マスタ!$A$5:$A$11,0),5),0)+IFERROR(VLOOKUP($AM280,個性タイプマスタ!$A$5:$P$100,12,FALSE),0)))</f>
        <v>-0.155</v>
      </c>
      <c r="U280" s="58">
        <f>MAX(-10,MIN(0.8,IFERROR(INDEX(属性耐性マスタ!$B$5:$G$11,MATCH($C280,属性耐性マスタ!$A$5:$A$11,0),6),0)+IFERROR(VLOOKUP($AM280,個性タイプマスタ!$A$5:$P$100,12,FALSE),0)))</f>
        <v>0.14500000000000002</v>
      </c>
      <c r="V280" s="59">
        <f>ROUND(設定!$B$19*IFERROR(VLOOKUP($AM280,個性タイプマスタ!$A$5:$P$100,13,FALSE),1),2)</f>
        <v>4.8</v>
      </c>
      <c r="W280" s="59">
        <v>46</v>
      </c>
      <c r="X280" s="59" t="str">
        <f>IFERROR(VLOOKUP($AM280,個性タイプマスタ!$A$5:$P$100,2,FALSE),"Ranged")</f>
        <v>Ranged</v>
      </c>
      <c r="Y280" s="56">
        <f>IFERROR(VLOOKUP($AM280,個性タイプマスタ!$A$5:$P$100,3,FALSE),1)</f>
        <v>0.82</v>
      </c>
      <c r="Z280" s="56">
        <f>IFERROR(VLOOKUP($AM280,個性タイプマスタ!$A$5:$P$100,4,FALSE),1)</f>
        <v>0.81</v>
      </c>
      <c r="AA280" s="56">
        <f>IFERROR(VLOOKUP($AM280,個性タイプマスタ!$A$5:$P$100,5,FALSE),1)</f>
        <v>0.87</v>
      </c>
      <c r="AB280" s="56">
        <f>IFERROR(VLOOKUP($AM280,個性タイプマスタ!$A$5:$P$100,6,FALSE),1)</f>
        <v>0.68</v>
      </c>
      <c r="AC280" s="56">
        <f>IFERROR(VLOOKUP($AM280,個性タイプマスタ!$A$5:$P$100,7,FALSE),1)</f>
        <v>1.42</v>
      </c>
      <c r="AD280" s="56">
        <f>IFERROR(VLOOKUP($AM280,個性タイプマスタ!$A$5:$P$100,8,FALSE),1)</f>
        <v>0.67</v>
      </c>
      <c r="AE280" s="60">
        <f>IFERROR(D280/設定!$B$5,1)</f>
        <v>72.890500000000003</v>
      </c>
      <c r="AF280" s="60">
        <f>1+設定!$B$13*((I280/設定!$B$8+J280/設定!$B$9)/(2*AE280))</f>
        <v>1.2518332292959988</v>
      </c>
      <c r="AG280" s="60">
        <f>MAX(0.7,1+設定!$B$14*(O280/IF(X280="Melee",1.5,2.5)-1))</f>
        <v>1.0504</v>
      </c>
      <c r="AH280" s="53">
        <f t="shared" si="17"/>
        <v>1733.2210072320001</v>
      </c>
      <c r="AI280" s="53">
        <f>E280*AF280*(1+設定!$B$18*AVERAGE(P280:U280))</f>
        <v>7353.1391371037716</v>
      </c>
      <c r="AJ280" s="61">
        <f>設定!$B$5*SQRT((AH280/(設定!$B$7*設定!$B$10*(1+設定!$B$11*(設定!$B$12-1))))*(AI280/(設定!$B$6*(1+設定!$B$13))))</f>
        <v>7289.4288720951481</v>
      </c>
      <c r="AK280" s="62">
        <f t="shared" si="18"/>
        <v>5.1978254388185263E-5</v>
      </c>
      <c r="AL280" s="63">
        <f t="shared" si="19"/>
        <v>4883.6635000000006</v>
      </c>
      <c r="AM280" s="64" t="s">
        <v>924</v>
      </c>
      <c r="AN280" s="54">
        <f>MAX(1,ROUND((設定!$B$7*設定!$B$10*(1+設定!$B$11*(設定!$B$12-1)))*AE280^2*(設定!$B$6*(1+設定!$B$13))/(AI280*N280*(1+K280*(L280-1))*AG280),0))</f>
        <v>2046</v>
      </c>
      <c r="AO280" s="65" t="str">
        <f>IF($A280="","",IF(COUNTIF(個性タイプマスタ!$A$5:$A$100,$AM280)&gt;0,"OK","未登録"))</f>
        <v>OK</v>
      </c>
      <c r="AP280" s="67" t="str">
        <f>IF($A280="","",IF(COUNTIF(属性耐性マスタ!$A$5:$A$11,$C280)&gt;0,"OK","未登録"))</f>
        <v>OK</v>
      </c>
    </row>
    <row r="281" spans="1:42">
      <c r="A281" s="66" t="s">
        <v>662</v>
      </c>
      <c r="B281" s="51" t="s">
        <v>663</v>
      </c>
      <c r="C281" s="109" t="s">
        <v>874</v>
      </c>
      <c r="D281" s="53">
        <f>ROUND(設定!$B$5*POWER($D$2,W281-1),2)</f>
        <v>8017.95</v>
      </c>
      <c r="E281" s="54">
        <f>MAX(1,ROUND(設定!$B$6*AE281*Y281,0))</f>
        <v>13791</v>
      </c>
      <c r="F281" s="54">
        <f>MAX(0,ROUND(設定!$B$7*AE281*設定!$B$15*IF(X281="Melee",0.6,1.35)*IFERROR(VLOOKUP($AM281,個性タイプマスタ!$A$5:$P$100,14,FALSE),1),0))</f>
        <v>1578</v>
      </c>
      <c r="G281" s="54">
        <f>IF(X281="Melee",AN281,MAX(1,ROUND(AN281*設定!$B$16*IFERROR(VLOOKUP($AM281,個性タイプマスタ!$A$5:$P$100,15,FALSE),1),0)))</f>
        <v>333</v>
      </c>
      <c r="H281" s="54">
        <f>IF(X281="Ranged",AN281,MAX(1,ROUND(AN281*設定!$B$16*IFERROR(VLOOKUP($AM281,個性タイプマスタ!$A$5:$P$100,15,FALSE),1),0)))</f>
        <v>1138</v>
      </c>
      <c r="I281" s="54">
        <f>MAX(0,ROUND(設定!$B$8*AE281*Z281,0))</f>
        <v>1052</v>
      </c>
      <c r="J281" s="54">
        <f>MAX(0,ROUND(設定!$B$9*AE281*AA281,0))</f>
        <v>994</v>
      </c>
      <c r="K281" s="55">
        <f>IFERROR(VLOOKUP($AM281,個性タイプマスタ!$A$5:$P$100,9,FALSE),0.05)</f>
        <v>3.5000000000000003E-2</v>
      </c>
      <c r="L281" s="56">
        <f>IFERROR(VLOOKUP($AM281,個性タイプマスタ!$A$5:$P$100,10,FALSE),1.5)</f>
        <v>1.4</v>
      </c>
      <c r="M281" s="56">
        <f>IFERROR(VLOOKUP($AM281,個性タイプマスタ!$A$5:$P$100,11,FALSE),2)</f>
        <v>1.5</v>
      </c>
      <c r="N281" s="57">
        <f>MAX(0.1,ROUND(設定!$B$10*AB281,3))</f>
        <v>0.6</v>
      </c>
      <c r="O281" s="57">
        <f t="shared" si="16"/>
        <v>3.1</v>
      </c>
      <c r="P281" s="58">
        <f>MAX(-10,MIN(0.8,IFERROR(INDEX(属性耐性マスタ!$B$5:$G$11,MATCH($C281,属性耐性マスタ!$A$5:$A$11,0),1),0)+IFERROR(VLOOKUP($AM281,個性タイプマスタ!$A$5:$P$100,12,FALSE),0)))</f>
        <v>0.12</v>
      </c>
      <c r="Q281" s="58">
        <f>MAX(-10,MIN(0.8,IFERROR(INDEX(属性耐性マスタ!$B$5:$G$11,MATCH($C281,属性耐性マスタ!$A$5:$A$11,0),2),0)+IFERROR(VLOOKUP($AM281,個性タイプマスタ!$A$5:$P$100,12,FALSE),0)))</f>
        <v>0.12</v>
      </c>
      <c r="R281" s="58">
        <f>MAX(-10,MIN(0.8,IFERROR(INDEX(属性耐性マスタ!$B$5:$G$11,MATCH($C281,属性耐性マスタ!$A$5:$A$11,0),3),0)+IFERROR(VLOOKUP($AM281,個性タイプマスタ!$A$5:$P$100,12,FALSE),0)))</f>
        <v>0.12</v>
      </c>
      <c r="S281" s="58">
        <f>MAX(-10,MIN(0.8,IFERROR(INDEX(属性耐性マスタ!$B$5:$G$11,MATCH($C281,属性耐性マスタ!$A$5:$A$11,0),4),0)+IFERROR(VLOOKUP($AM281,個性タイプマスタ!$A$5:$P$100,12,FALSE),0)))</f>
        <v>0.12</v>
      </c>
      <c r="T281" s="58">
        <f>MAX(-10,MIN(0.8,IFERROR(INDEX(属性耐性マスタ!$B$5:$G$11,MATCH($C281,属性耐性マスタ!$A$5:$A$11,0),5),0)+IFERROR(VLOOKUP($AM281,個性タイプマスタ!$A$5:$P$100,12,FALSE),0)))</f>
        <v>1.999999999999999E-2</v>
      </c>
      <c r="U281" s="58">
        <f>MAX(-10,MIN(0.8,IFERROR(INDEX(属性耐性マスタ!$B$5:$G$11,MATCH($C281,属性耐性マスタ!$A$5:$A$11,0),6),0)+IFERROR(VLOOKUP($AM281,個性タイプマスタ!$A$5:$P$100,12,FALSE),0)))</f>
        <v>0.32</v>
      </c>
      <c r="V281" s="59">
        <f>ROUND(設定!$B$19*IFERROR(VLOOKUP($AM281,個性タイプマスタ!$A$5:$P$100,13,FALSE),1),2)</f>
        <v>4.12</v>
      </c>
      <c r="W281" s="59">
        <v>47</v>
      </c>
      <c r="X281" s="59" t="str">
        <f>IFERROR(VLOOKUP($AM281,個性タイプマスタ!$A$5:$P$100,2,FALSE),"Ranged")</f>
        <v>Ranged</v>
      </c>
      <c r="Y281" s="56">
        <f>IFERROR(VLOOKUP($AM281,個性タイプマスタ!$A$5:$P$100,3,FALSE),1)</f>
        <v>1.72</v>
      </c>
      <c r="Z281" s="56">
        <f>IFERROR(VLOOKUP($AM281,個性タイプマスタ!$A$5:$P$100,4,FALSE),1)</f>
        <v>1.64</v>
      </c>
      <c r="AA281" s="56">
        <f>IFERROR(VLOOKUP($AM281,個性タイプマスタ!$A$5:$P$100,5,FALSE),1)</f>
        <v>1.55</v>
      </c>
      <c r="AB281" s="56">
        <f>IFERROR(VLOOKUP($AM281,個性タイプマスタ!$A$5:$P$100,6,FALSE),1)</f>
        <v>0.6</v>
      </c>
      <c r="AC281" s="56">
        <f>IFERROR(VLOOKUP($AM281,個性タイプマスタ!$A$5:$P$100,7,FALSE),1)</f>
        <v>1.24</v>
      </c>
      <c r="AD281" s="56">
        <f>IFERROR(VLOOKUP($AM281,個性タイプマスタ!$A$5:$P$100,8,FALSE),1)</f>
        <v>0.91</v>
      </c>
      <c r="AE281" s="60">
        <f>IFERROR(D281/設定!$B$5,1)</f>
        <v>80.179500000000004</v>
      </c>
      <c r="AF281" s="60">
        <f>1+設定!$B$13*((I281/設定!$B$8+J281/設定!$B$9)/(2*AE281))</f>
        <v>1.4784577105120387</v>
      </c>
      <c r="AG281" s="60">
        <f>MAX(0.7,1+設定!$B$14*(O281/IF(X281="Melee",1.5,2.5)-1))</f>
        <v>1.0287999999999999</v>
      </c>
      <c r="AH281" s="53">
        <f t="shared" si="17"/>
        <v>712.29914495999992</v>
      </c>
      <c r="AI281" s="53">
        <f>E281*AF281*(1+設定!$B$18*AVERAGE(P281:U281))</f>
        <v>21643.359018240328</v>
      </c>
      <c r="AJ281" s="61">
        <f>設定!$B$5*SQRT((AH281/(設定!$B$7*設定!$B$10*(1+設定!$B$11*(設定!$B$12-1))))*(AI281/(設定!$B$6*(1+設定!$B$13))))</f>
        <v>8017.2177972203726</v>
      </c>
      <c r="AK281" s="62">
        <f t="shared" si="18"/>
        <v>-9.1320447199949584E-5</v>
      </c>
      <c r="AL281" s="63">
        <f t="shared" si="19"/>
        <v>7296.3344999999999</v>
      </c>
      <c r="AM281" s="64" t="s">
        <v>916</v>
      </c>
      <c r="AN281" s="54">
        <f>MAX(1,ROUND((設定!$B$7*設定!$B$10*(1+設定!$B$11*(設定!$B$12-1)))*AE281^2*(設定!$B$6*(1+設定!$B$13))/(AI281*N281*(1+K281*(L281-1))*AG281),0))</f>
        <v>1138</v>
      </c>
      <c r="AO281" s="65" t="str">
        <f>IF($A281="","",IF(COUNTIF(個性タイプマスタ!$A$5:$A$100,$AM281)&gt;0,"OK","未登録"))</f>
        <v>OK</v>
      </c>
      <c r="AP281" s="67" t="str">
        <f>IF($A281="","",IF(COUNTIF(属性耐性マスタ!$A$5:$A$11,$C281)&gt;0,"OK","未登録"))</f>
        <v>OK</v>
      </c>
    </row>
    <row r="282" spans="1:42">
      <c r="A282" s="66" t="s">
        <v>664</v>
      </c>
      <c r="B282" s="51" t="s">
        <v>665</v>
      </c>
      <c r="C282" s="109" t="s">
        <v>874</v>
      </c>
      <c r="D282" s="53">
        <f>ROUND(設定!$B$5*POWER($D$2,W282-1),2)</f>
        <v>8017.95</v>
      </c>
      <c r="E282" s="54">
        <f>MAX(1,ROUND(設定!$B$6*AE282*Y282,0))</f>
        <v>8018</v>
      </c>
      <c r="F282" s="54">
        <f>MAX(0,ROUND(設定!$B$7*AE282*設定!$B$15*IF(X282="Melee",0.6,1.35)*IFERROR(VLOOKUP($AM282,個性タイプマスタ!$A$5:$P$100,14,FALSE),1),0))</f>
        <v>1403</v>
      </c>
      <c r="G282" s="54">
        <f>IF(X282="Melee",AN282,MAX(1,ROUND(AN282*設定!$B$16*IFERROR(VLOOKUP($AM282,個性タイプマスタ!$A$5:$P$100,15,FALSE),1),0)))</f>
        <v>452</v>
      </c>
      <c r="H282" s="54">
        <f>IF(X282="Ranged",AN282,MAX(1,ROUND(AN282*設定!$B$16*IFERROR(VLOOKUP($AM282,個性タイプマスタ!$A$5:$P$100,15,FALSE),1),0)))</f>
        <v>1436</v>
      </c>
      <c r="I282" s="54">
        <f>MAX(0,ROUND(設定!$B$8*AE282*Z282,0))</f>
        <v>616</v>
      </c>
      <c r="J282" s="54">
        <f>MAX(0,ROUND(設定!$B$9*AE282*AA282,0))</f>
        <v>654</v>
      </c>
      <c r="K282" s="55">
        <f>IFERROR(VLOOKUP($AM282,個性タイプマスタ!$A$5:$P$100,9,FALSE),0.05)</f>
        <v>4.4999999999999998E-2</v>
      </c>
      <c r="L282" s="56">
        <f>IFERROR(VLOOKUP($AM282,個性タイプマスタ!$A$5:$P$100,10,FALSE),1.5)</f>
        <v>1.4</v>
      </c>
      <c r="M282" s="56">
        <f>IFERROR(VLOOKUP($AM282,個性タイプマスタ!$A$5:$P$100,11,FALSE),2)</f>
        <v>2.0499999999999998</v>
      </c>
      <c r="N282" s="57">
        <f>MAX(0.1,ROUND(設定!$B$10*AB282,3))</f>
        <v>0.92</v>
      </c>
      <c r="O282" s="57">
        <f t="shared" si="16"/>
        <v>2.6749999999999998</v>
      </c>
      <c r="P282" s="58">
        <f>MAX(-10,MIN(0.8,IFERROR(INDEX(属性耐性マスタ!$B$5:$G$11,MATCH($C282,属性耐性マスタ!$A$5:$A$11,0),1),0)+IFERROR(VLOOKUP($AM282,個性タイプマスタ!$A$5:$P$100,12,FALSE),0)))</f>
        <v>0.19</v>
      </c>
      <c r="Q282" s="58">
        <f>MAX(-10,MIN(0.8,IFERROR(INDEX(属性耐性マスタ!$B$5:$G$11,MATCH($C282,属性耐性マスタ!$A$5:$A$11,0),2),0)+IFERROR(VLOOKUP($AM282,個性タイプマスタ!$A$5:$P$100,12,FALSE),0)))</f>
        <v>0.19</v>
      </c>
      <c r="R282" s="58">
        <f>MAX(-10,MIN(0.8,IFERROR(INDEX(属性耐性マスタ!$B$5:$G$11,MATCH($C282,属性耐性マスタ!$A$5:$A$11,0),3),0)+IFERROR(VLOOKUP($AM282,個性タイプマスタ!$A$5:$P$100,12,FALSE),0)))</f>
        <v>0.19</v>
      </c>
      <c r="S282" s="58">
        <f>MAX(-10,MIN(0.8,IFERROR(INDEX(属性耐性マスタ!$B$5:$G$11,MATCH($C282,属性耐性マスタ!$A$5:$A$11,0),4),0)+IFERROR(VLOOKUP($AM282,個性タイプマスタ!$A$5:$P$100,12,FALSE),0)))</f>
        <v>0.19</v>
      </c>
      <c r="T282" s="58">
        <f>MAX(-10,MIN(0.8,IFERROR(INDEX(属性耐性マスタ!$B$5:$G$11,MATCH($C282,属性耐性マスタ!$A$5:$A$11,0),5),0)+IFERROR(VLOOKUP($AM282,個性タイプマスタ!$A$5:$P$100,12,FALSE),0)))</f>
        <v>0.09</v>
      </c>
      <c r="U282" s="58">
        <f>MAX(-10,MIN(0.8,IFERROR(INDEX(属性耐性マスタ!$B$5:$G$11,MATCH($C282,属性耐性マスタ!$A$5:$A$11,0),6),0)+IFERROR(VLOOKUP($AM282,個性タイプマスタ!$A$5:$P$100,12,FALSE),0)))</f>
        <v>0.39</v>
      </c>
      <c r="V282" s="59">
        <f>ROUND(設定!$B$19*IFERROR(VLOOKUP($AM282,個性タイプマスタ!$A$5:$P$100,13,FALSE),1),2)</f>
        <v>4</v>
      </c>
      <c r="W282" s="59">
        <v>47</v>
      </c>
      <c r="X282" s="59" t="str">
        <f>IFERROR(VLOOKUP($AM282,個性タイプマスタ!$A$5:$P$100,2,FALSE),"Ranged")</f>
        <v>Ranged</v>
      </c>
      <c r="Y282" s="56">
        <f>IFERROR(VLOOKUP($AM282,個性タイプマスタ!$A$5:$P$100,3,FALSE),1)</f>
        <v>1</v>
      </c>
      <c r="Z282" s="56">
        <f>IFERROR(VLOOKUP($AM282,個性タイプマスタ!$A$5:$P$100,4,FALSE),1)</f>
        <v>0.96</v>
      </c>
      <c r="AA282" s="56">
        <f>IFERROR(VLOOKUP($AM282,個性タイプマスタ!$A$5:$P$100,5,FALSE),1)</f>
        <v>1.02</v>
      </c>
      <c r="AB282" s="56">
        <f>IFERROR(VLOOKUP($AM282,個性タイプマスタ!$A$5:$P$100,6,FALSE),1)</f>
        <v>0.92</v>
      </c>
      <c r="AC282" s="56">
        <f>IFERROR(VLOOKUP($AM282,個性タイプマスタ!$A$5:$P$100,7,FALSE),1)</f>
        <v>1.07</v>
      </c>
      <c r="AD282" s="56">
        <f>IFERROR(VLOOKUP($AM282,個性タイプマスタ!$A$5:$P$100,8,FALSE),1)</f>
        <v>0.85</v>
      </c>
      <c r="AE282" s="60">
        <f>IFERROR(D282/設定!$B$5,1)</f>
        <v>80.179500000000004</v>
      </c>
      <c r="AF282" s="60">
        <f>1+設定!$B$13*((I282/設定!$B$8+J282/設定!$B$9)/(2*AE282))</f>
        <v>1.2969898789590855</v>
      </c>
      <c r="AG282" s="60">
        <f>MAX(0.7,1+設定!$B$14*(O282/IF(X282="Melee",1.5,2.5)-1))</f>
        <v>1.0084</v>
      </c>
      <c r="AH282" s="53">
        <f t="shared" si="17"/>
        <v>1356.1973213440001</v>
      </c>
      <c r="AI282" s="53">
        <f>E282*AF282*(1+設定!$B$18*AVERAGE(P282:U282))</f>
        <v>11366.396480496884</v>
      </c>
      <c r="AJ282" s="61">
        <f>設定!$B$5*SQRT((AH282/(設定!$B$7*設定!$B$10*(1+設定!$B$11*(設定!$B$12-1))))*(AI282/(設定!$B$6*(1+設定!$B$13))))</f>
        <v>8016.8356465865527</v>
      </c>
      <c r="AK282" s="62">
        <f t="shared" si="18"/>
        <v>-1.389823350665953E-4</v>
      </c>
      <c r="AL282" s="63">
        <f t="shared" si="19"/>
        <v>6815.2574999999997</v>
      </c>
      <c r="AM282" s="64" t="s">
        <v>930</v>
      </c>
      <c r="AN282" s="54">
        <f>MAX(1,ROUND((設定!$B$7*設定!$B$10*(1+設定!$B$11*(設定!$B$12-1)))*AE282^2*(設定!$B$6*(1+設定!$B$13))/(AI282*N282*(1+K282*(L282-1))*AG282),0))</f>
        <v>1436</v>
      </c>
      <c r="AO282" s="65" t="str">
        <f>IF($A282="","",IF(COUNTIF(個性タイプマスタ!$A$5:$A$100,$AM282)&gt;0,"OK","未登録"))</f>
        <v>OK</v>
      </c>
      <c r="AP282" s="67" t="str">
        <f>IF($A282="","",IF(COUNTIF(属性耐性マスタ!$A$5:$A$11,$C282)&gt;0,"OK","未登録"))</f>
        <v>OK</v>
      </c>
    </row>
    <row r="283" spans="1:42">
      <c r="A283" s="66" t="s">
        <v>666</v>
      </c>
      <c r="B283" s="51" t="s">
        <v>667</v>
      </c>
      <c r="C283" s="109" t="s">
        <v>874</v>
      </c>
      <c r="D283" s="53">
        <f>ROUND(設定!$B$5*POWER($D$2,W283-1),2)</f>
        <v>8017.95</v>
      </c>
      <c r="E283" s="54">
        <f>MAX(1,ROUND(設定!$B$6*AE283*Y283,0))</f>
        <v>7377</v>
      </c>
      <c r="F283" s="54">
        <f>MAX(0,ROUND(設定!$B$7*AE283*設定!$B$15*IF(X283="Melee",0.6,1.35)*IFERROR(VLOOKUP($AM283,個性タイプマスタ!$A$5:$P$100,14,FALSE),1),0))</f>
        <v>1169</v>
      </c>
      <c r="G283" s="54">
        <f>IF(X283="Melee",AN283,MAX(1,ROUND(AN283*設定!$B$16*IFERROR(VLOOKUP($AM283,個性タイプマスタ!$A$5:$P$100,15,FALSE),1),0)))</f>
        <v>667</v>
      </c>
      <c r="H283" s="54">
        <f>IF(X283="Ranged",AN283,MAX(1,ROUND(AN283*設定!$B$16*IFERROR(VLOOKUP($AM283,個性タイプマスタ!$A$5:$P$100,15,FALSE),1),0)))</f>
        <v>1483</v>
      </c>
      <c r="I283" s="54">
        <f>MAX(0,ROUND(設定!$B$8*AE283*Z283,0))</f>
        <v>609</v>
      </c>
      <c r="J283" s="54">
        <f>MAX(0,ROUND(設定!$B$9*AE283*AA283,0))</f>
        <v>674</v>
      </c>
      <c r="K283" s="55">
        <f>IFERROR(VLOOKUP($AM283,個性タイプマスタ!$A$5:$P$100,9,FALSE),0.05)</f>
        <v>0.05</v>
      </c>
      <c r="L283" s="56">
        <f>IFERROR(VLOOKUP($AM283,個性タイプマスタ!$A$5:$P$100,10,FALSE),1.5)</f>
        <v>1.5</v>
      </c>
      <c r="M283" s="56">
        <f>IFERROR(VLOOKUP($AM283,個性タイプマスタ!$A$5:$P$100,11,FALSE),2)</f>
        <v>2</v>
      </c>
      <c r="N283" s="57">
        <f>MAX(0.1,ROUND(設定!$B$10*AB283,3))</f>
        <v>1.05</v>
      </c>
      <c r="O283" s="57">
        <f t="shared" si="16"/>
        <v>2.5</v>
      </c>
      <c r="P283" s="58">
        <f>MAX(-10,MIN(0.8,IFERROR(INDEX(属性耐性マスタ!$B$5:$G$11,MATCH($C283,属性耐性マスタ!$A$5:$A$11,0),1),0)+IFERROR(VLOOKUP($AM283,個性タイプマスタ!$A$5:$P$100,12,FALSE),0)))</f>
        <v>0</v>
      </c>
      <c r="Q283" s="58">
        <f>MAX(-10,MIN(0.8,IFERROR(INDEX(属性耐性マスタ!$B$5:$G$11,MATCH($C283,属性耐性マスタ!$A$5:$A$11,0),2),0)+IFERROR(VLOOKUP($AM283,個性タイプマスタ!$A$5:$P$100,12,FALSE),0)))</f>
        <v>0</v>
      </c>
      <c r="R283" s="58">
        <f>MAX(-10,MIN(0.8,IFERROR(INDEX(属性耐性マスタ!$B$5:$G$11,MATCH($C283,属性耐性マスタ!$A$5:$A$11,0),3),0)+IFERROR(VLOOKUP($AM283,個性タイプマスタ!$A$5:$P$100,12,FALSE),0)))</f>
        <v>0</v>
      </c>
      <c r="S283" s="58">
        <f>MAX(-10,MIN(0.8,IFERROR(INDEX(属性耐性マスタ!$B$5:$G$11,MATCH($C283,属性耐性マスタ!$A$5:$A$11,0),4),0)+IFERROR(VLOOKUP($AM283,個性タイプマスタ!$A$5:$P$100,12,FALSE),0)))</f>
        <v>0</v>
      </c>
      <c r="T283" s="58">
        <f>MAX(-10,MIN(0.8,IFERROR(INDEX(属性耐性マスタ!$B$5:$G$11,MATCH($C283,属性耐性マスタ!$A$5:$A$11,0),5),0)+IFERROR(VLOOKUP($AM283,個性タイプマスタ!$A$5:$P$100,12,FALSE),0)))</f>
        <v>-0.1</v>
      </c>
      <c r="U283" s="58">
        <f>MAX(-10,MIN(0.8,IFERROR(INDEX(属性耐性マスタ!$B$5:$G$11,MATCH($C283,属性耐性マスタ!$A$5:$A$11,0),6),0)+IFERROR(VLOOKUP($AM283,個性タイプマスタ!$A$5:$P$100,12,FALSE),0)))</f>
        <v>0.2</v>
      </c>
      <c r="V283" s="59">
        <f>ROUND(設定!$B$19*IFERROR(VLOOKUP($AM283,個性タイプマスタ!$A$5:$P$100,13,FALSE),1),2)</f>
        <v>4</v>
      </c>
      <c r="W283" s="59">
        <v>47</v>
      </c>
      <c r="X283" s="59" t="str">
        <f>IFERROR(VLOOKUP($AM283,個性タイプマスタ!$A$5:$P$100,2,FALSE),"Ranged")</f>
        <v>Ranged</v>
      </c>
      <c r="Y283" s="56">
        <f>IFERROR(VLOOKUP($AM283,個性タイプマスタ!$A$5:$P$100,3,FALSE),1)</f>
        <v>0.92</v>
      </c>
      <c r="Z283" s="56">
        <f>IFERROR(VLOOKUP($AM283,個性タイプマスタ!$A$5:$P$100,4,FALSE),1)</f>
        <v>0.95</v>
      </c>
      <c r="AA283" s="56">
        <f>IFERROR(VLOOKUP($AM283,個性タイプマスタ!$A$5:$P$100,5,FALSE),1)</f>
        <v>1.05</v>
      </c>
      <c r="AB283" s="56">
        <f>IFERROR(VLOOKUP($AM283,個性タイプマスタ!$A$5:$P$100,6,FALSE),1)</f>
        <v>1.05</v>
      </c>
      <c r="AC283" s="56">
        <f>IFERROR(VLOOKUP($AM283,個性タイプマスタ!$A$5:$P$100,7,FALSE),1)</f>
        <v>1</v>
      </c>
      <c r="AD283" s="56">
        <f>IFERROR(VLOOKUP($AM283,個性タイプマスタ!$A$5:$P$100,8,FALSE),1)</f>
        <v>0.74</v>
      </c>
      <c r="AE283" s="60">
        <f>IFERROR(D283/設定!$B$5,1)</f>
        <v>80.179500000000004</v>
      </c>
      <c r="AF283" s="60">
        <f>1+設定!$B$13*((I283/設定!$B$8+J283/設定!$B$9)/(2*AE283))</f>
        <v>1.3000299328381943</v>
      </c>
      <c r="AG283" s="60">
        <f>MAX(0.7,1+設定!$B$14*(O283/IF(X283="Melee",1.5,2.5)-1))</f>
        <v>1</v>
      </c>
      <c r="AH283" s="53">
        <f t="shared" si="17"/>
        <v>1596.0787499999999</v>
      </c>
      <c r="AI283" s="53">
        <f>E283*AF283*(1+設定!$B$18*AVERAGE(P283:U283))</f>
        <v>9662.2482206564655</v>
      </c>
      <c r="AJ283" s="61">
        <f>設定!$B$5*SQRT((AH283/(設定!$B$7*設定!$B$10*(1+設定!$B$11*(設定!$B$12-1))))*(AI283/(設定!$B$6*(1+設定!$B$13))))</f>
        <v>8018.5601518839558</v>
      </c>
      <c r="AK283" s="62">
        <f t="shared" si="18"/>
        <v>7.6098240068267486E-5</v>
      </c>
      <c r="AL283" s="63">
        <f t="shared" si="19"/>
        <v>5933.2829999999994</v>
      </c>
      <c r="AM283" s="64" t="s">
        <v>881</v>
      </c>
      <c r="AN283" s="54">
        <f>MAX(1,ROUND((設定!$B$7*設定!$B$10*(1+設定!$B$11*(設定!$B$12-1)))*AE283^2*(設定!$B$6*(1+設定!$B$13))/(AI283*N283*(1+K283*(L283-1))*AG283),0))</f>
        <v>1483</v>
      </c>
      <c r="AO283" s="65" t="str">
        <f>IF($A283="","",IF(COUNTIF(個性タイプマスタ!$A$5:$A$100,$AM283)&gt;0,"OK","未登録"))</f>
        <v>OK</v>
      </c>
      <c r="AP283" s="67" t="str">
        <f>IF($A283="","",IF(COUNTIF(属性耐性マスタ!$A$5:$A$11,$C283)&gt;0,"OK","未登録"))</f>
        <v>OK</v>
      </c>
    </row>
    <row r="284" spans="1:42">
      <c r="A284" s="66" t="s">
        <v>668</v>
      </c>
      <c r="B284" s="51" t="s">
        <v>669</v>
      </c>
      <c r="C284" s="109" t="s">
        <v>874</v>
      </c>
      <c r="D284" s="53">
        <f>ROUND(設定!$B$5*POWER($D$2,W284-1),2)</f>
        <v>8017.95</v>
      </c>
      <c r="E284" s="54">
        <f>MAX(1,ROUND(設定!$B$6*AE284*Y284,0))</f>
        <v>6414</v>
      </c>
      <c r="F284" s="54">
        <f>MAX(0,ROUND(設定!$B$7*AE284*設定!$B$15*IF(X284="Melee",0.6,1.35)*IFERROR(VLOOKUP($AM284,個性タイプマスタ!$A$5:$P$100,14,FALSE),1),0))</f>
        <v>390</v>
      </c>
      <c r="G284" s="54">
        <f>IF(X284="Melee",AN284,MAX(1,ROUND(AN284*設定!$B$16*IFERROR(VLOOKUP($AM284,個性タイプマスタ!$A$5:$P$100,15,FALSE),1),0)))</f>
        <v>1584</v>
      </c>
      <c r="H284" s="54">
        <f>IF(X284="Ranged",AN284,MAX(1,ROUND(AN284*設定!$B$16*IFERROR(VLOOKUP($AM284,個性タイプマスタ!$A$5:$P$100,15,FALSE),1),0)))</f>
        <v>542</v>
      </c>
      <c r="I284" s="54">
        <f>MAX(0,ROUND(設定!$B$8*AE284*Z284,0))</f>
        <v>526</v>
      </c>
      <c r="J284" s="54">
        <f>MAX(0,ROUND(設定!$B$9*AE284*AA284,0))</f>
        <v>487</v>
      </c>
      <c r="K284" s="55">
        <f>IFERROR(VLOOKUP($AM284,個性タイプマスタ!$A$5:$P$100,9,FALSE),0.05)</f>
        <v>0.13</v>
      </c>
      <c r="L284" s="56">
        <f>IFERROR(VLOOKUP($AM284,個性タイプマスタ!$A$5:$P$100,10,FALSE),1.5)</f>
        <v>1.7</v>
      </c>
      <c r="M284" s="56">
        <f>IFERROR(VLOOKUP($AM284,個性タイプマスタ!$A$5:$P$100,11,FALSE),2)</f>
        <v>3</v>
      </c>
      <c r="N284" s="57">
        <f>MAX(0.1,ROUND(設定!$B$10*AB284,3))</f>
        <v>1.06</v>
      </c>
      <c r="O284" s="57">
        <f t="shared" si="16"/>
        <v>2.4300000000000002</v>
      </c>
      <c r="P284" s="58">
        <f>MAX(-10,MIN(0.8,IFERROR(INDEX(属性耐性マスタ!$B$5:$G$11,MATCH($C284,属性耐性マスタ!$A$5:$A$11,0),1),0)+IFERROR(VLOOKUP($AM284,個性タイプマスタ!$A$5:$P$100,12,FALSE),0)))</f>
        <v>-4.4999999999999998E-2</v>
      </c>
      <c r="Q284" s="58">
        <f>MAX(-10,MIN(0.8,IFERROR(INDEX(属性耐性マスタ!$B$5:$G$11,MATCH($C284,属性耐性マスタ!$A$5:$A$11,0),2),0)+IFERROR(VLOOKUP($AM284,個性タイプマスタ!$A$5:$P$100,12,FALSE),0)))</f>
        <v>-4.4999999999999998E-2</v>
      </c>
      <c r="R284" s="58">
        <f>MAX(-10,MIN(0.8,IFERROR(INDEX(属性耐性マスタ!$B$5:$G$11,MATCH($C284,属性耐性マスタ!$A$5:$A$11,0),3),0)+IFERROR(VLOOKUP($AM284,個性タイプマスタ!$A$5:$P$100,12,FALSE),0)))</f>
        <v>-4.4999999999999998E-2</v>
      </c>
      <c r="S284" s="58">
        <f>MAX(-10,MIN(0.8,IFERROR(INDEX(属性耐性マスタ!$B$5:$G$11,MATCH($C284,属性耐性マスタ!$A$5:$A$11,0),4),0)+IFERROR(VLOOKUP($AM284,個性タイプマスタ!$A$5:$P$100,12,FALSE),0)))</f>
        <v>-4.4999999999999998E-2</v>
      </c>
      <c r="T284" s="58">
        <f>MAX(-10,MIN(0.8,IFERROR(INDEX(属性耐性マスタ!$B$5:$G$11,MATCH($C284,属性耐性マスタ!$A$5:$A$11,0),5),0)+IFERROR(VLOOKUP($AM284,個性タイプマスタ!$A$5:$P$100,12,FALSE),0)))</f>
        <v>-0.14500000000000002</v>
      </c>
      <c r="U284" s="58">
        <f>MAX(-10,MIN(0.8,IFERROR(INDEX(属性耐性マスタ!$B$5:$G$11,MATCH($C284,属性耐性マスタ!$A$5:$A$11,0),6),0)+IFERROR(VLOOKUP($AM284,個性タイプマスタ!$A$5:$P$100,12,FALSE),0)))</f>
        <v>0.15500000000000003</v>
      </c>
      <c r="V284" s="59">
        <f>ROUND(設定!$B$19*IFERROR(VLOOKUP($AM284,個性タイプマスタ!$A$5:$P$100,13,FALSE),1),2)</f>
        <v>5.2</v>
      </c>
      <c r="W284" s="59">
        <v>47</v>
      </c>
      <c r="X284" s="59" t="str">
        <f>IFERROR(VLOOKUP($AM284,個性タイプマスタ!$A$5:$P$100,2,FALSE),"Ranged")</f>
        <v>Melee</v>
      </c>
      <c r="Y284" s="56">
        <f>IFERROR(VLOOKUP($AM284,個性タイプマスタ!$A$5:$P$100,3,FALSE),1)</f>
        <v>0.8</v>
      </c>
      <c r="Z284" s="56">
        <f>IFERROR(VLOOKUP($AM284,個性タイプマスタ!$A$5:$P$100,4,FALSE),1)</f>
        <v>0.82</v>
      </c>
      <c r="AA284" s="56">
        <f>IFERROR(VLOOKUP($AM284,個性タイプマスタ!$A$5:$P$100,5,FALSE),1)</f>
        <v>0.76</v>
      </c>
      <c r="AB284" s="56">
        <f>IFERROR(VLOOKUP($AM284,個性タイプマスタ!$A$5:$P$100,6,FALSE),1)</f>
        <v>1.06</v>
      </c>
      <c r="AC284" s="56">
        <f>IFERROR(VLOOKUP($AM284,個性タイプマスタ!$A$5:$P$100,7,FALSE),1)</f>
        <v>1.62</v>
      </c>
      <c r="AD284" s="56">
        <f>IFERROR(VLOOKUP($AM284,個性タイプマスタ!$A$5:$P$100,8,FALSE),1)</f>
        <v>0.71</v>
      </c>
      <c r="AE284" s="60">
        <f>IFERROR(D284/設定!$B$5,1)</f>
        <v>80.179500000000004</v>
      </c>
      <c r="AF284" s="60">
        <f>1+設定!$B$13*((I284/設定!$B$8+J284/設定!$B$9)/(2*AE284))</f>
        <v>1.2368903522720895</v>
      </c>
      <c r="AG284" s="60">
        <f>MAX(0.7,1+設定!$B$14*(O284/IF(X284="Melee",1.5,2.5)-1))</f>
        <v>1.0744</v>
      </c>
      <c r="AH284" s="53">
        <f t="shared" si="17"/>
        <v>1968.120988416</v>
      </c>
      <c r="AI284" s="53">
        <f>E284*AF284*(1+設定!$B$18*AVERAGE(P284:U284))</f>
        <v>7832.2636817998991</v>
      </c>
      <c r="AJ284" s="61">
        <f>設定!$B$5*SQRT((AH284/(設定!$B$7*設定!$B$10*(1+設定!$B$11*(設定!$B$12-1))))*(AI284/(設定!$B$6*(1+設定!$B$13))))</f>
        <v>8016.7748192810832</v>
      </c>
      <c r="AK284" s="62">
        <f t="shared" si="18"/>
        <v>-1.4656872628493467E-4</v>
      </c>
      <c r="AL284" s="63">
        <f t="shared" si="19"/>
        <v>5692.7444999999998</v>
      </c>
      <c r="AM284" s="64" t="s">
        <v>946</v>
      </c>
      <c r="AN284" s="54">
        <f>MAX(1,ROUND((設定!$B$7*設定!$B$10*(1+設定!$B$11*(設定!$B$12-1)))*AE284^2*(設定!$B$6*(1+設定!$B$13))/(AI284*N284*(1+K284*(L284-1))*AG284),0))</f>
        <v>1584</v>
      </c>
      <c r="AO284" s="65" t="str">
        <f>IF($A284="","",IF(COUNTIF(個性タイプマスタ!$A$5:$A$100,$AM284)&gt;0,"OK","未登録"))</f>
        <v>OK</v>
      </c>
      <c r="AP284" s="67" t="str">
        <f>IF($A284="","",IF(COUNTIF(属性耐性マスタ!$A$5:$A$11,$C284)&gt;0,"OK","未登録"))</f>
        <v>OK</v>
      </c>
    </row>
    <row r="285" spans="1:42">
      <c r="A285" s="66" t="s">
        <v>670</v>
      </c>
      <c r="B285" s="51" t="s">
        <v>671</v>
      </c>
      <c r="C285" s="109" t="s">
        <v>874</v>
      </c>
      <c r="D285" s="53">
        <f>ROUND(設定!$B$5*POWER($D$2,W285-1),2)</f>
        <v>8017.95</v>
      </c>
      <c r="E285" s="54">
        <f>MAX(1,ROUND(設定!$B$6*AE285*Y285,0))</f>
        <v>5292</v>
      </c>
      <c r="F285" s="54">
        <f>MAX(0,ROUND(設定!$B$7*AE285*設定!$B$15*IF(X285="Melee",0.6,1.35)*IFERROR(VLOOKUP($AM285,個性タイプマスタ!$A$5:$P$100,14,FALSE),1),0))</f>
        <v>312</v>
      </c>
      <c r="G285" s="54">
        <f>IF(X285="Melee",AN285,MAX(1,ROUND(AN285*設定!$B$16*IFERROR(VLOOKUP($AM285,個性タイプマスタ!$A$5:$P$100,15,FALSE),1),0)))</f>
        <v>1432</v>
      </c>
      <c r="H285" s="54">
        <f>IF(X285="Ranged",AN285,MAX(1,ROUND(AN285*設定!$B$16*IFERROR(VLOOKUP($AM285,個性タイプマスタ!$A$5:$P$100,15,FALSE),1),0)))</f>
        <v>354</v>
      </c>
      <c r="I285" s="54">
        <f>MAX(0,ROUND(設定!$B$8*AE285*Z285,0))</f>
        <v>449</v>
      </c>
      <c r="J285" s="54">
        <f>MAX(0,ROUND(設定!$B$9*AE285*AA285,0))</f>
        <v>455</v>
      </c>
      <c r="K285" s="55">
        <f>IFERROR(VLOOKUP($AM285,個性タイプマスタ!$A$5:$P$100,9,FALSE),0.05)</f>
        <v>0.21</v>
      </c>
      <c r="L285" s="56">
        <f>IFERROR(VLOOKUP($AM285,個性タイプマスタ!$A$5:$P$100,10,FALSE),1.5)</f>
        <v>1.78</v>
      </c>
      <c r="M285" s="56">
        <f>IFERROR(VLOOKUP($AM285,個性タイプマスタ!$A$5:$P$100,11,FALSE),2)</f>
        <v>4.05</v>
      </c>
      <c r="N285" s="57">
        <f>MAX(0.1,ROUND(設定!$B$10*AB285,3))</f>
        <v>1.56</v>
      </c>
      <c r="O285" s="57">
        <f t="shared" si="16"/>
        <v>0.9</v>
      </c>
      <c r="P285" s="58">
        <f>MAX(-10,MIN(0.8,IFERROR(INDEX(属性耐性マスタ!$B$5:$G$11,MATCH($C285,属性耐性マスタ!$A$5:$A$11,0),1),0)+IFERROR(VLOOKUP($AM285,個性タイプマスタ!$A$5:$P$100,12,FALSE),0)))</f>
        <v>-0.08</v>
      </c>
      <c r="Q285" s="58">
        <f>MAX(-10,MIN(0.8,IFERROR(INDEX(属性耐性マスタ!$B$5:$G$11,MATCH($C285,属性耐性マスタ!$A$5:$A$11,0),2),0)+IFERROR(VLOOKUP($AM285,個性タイプマスタ!$A$5:$P$100,12,FALSE),0)))</f>
        <v>-0.08</v>
      </c>
      <c r="R285" s="58">
        <f>MAX(-10,MIN(0.8,IFERROR(INDEX(属性耐性マスタ!$B$5:$G$11,MATCH($C285,属性耐性マスタ!$A$5:$A$11,0),3),0)+IFERROR(VLOOKUP($AM285,個性タイプマスタ!$A$5:$P$100,12,FALSE),0)))</f>
        <v>-0.08</v>
      </c>
      <c r="S285" s="58">
        <f>MAX(-10,MIN(0.8,IFERROR(INDEX(属性耐性マスタ!$B$5:$G$11,MATCH($C285,属性耐性マスタ!$A$5:$A$11,0),4),0)+IFERROR(VLOOKUP($AM285,個性タイプマスタ!$A$5:$P$100,12,FALSE),0)))</f>
        <v>-0.08</v>
      </c>
      <c r="T285" s="58">
        <f>MAX(-10,MIN(0.8,IFERROR(INDEX(属性耐性マスタ!$B$5:$G$11,MATCH($C285,属性耐性マスタ!$A$5:$A$11,0),5),0)+IFERROR(VLOOKUP($AM285,個性タイプマスタ!$A$5:$P$100,12,FALSE),0)))</f>
        <v>-0.18</v>
      </c>
      <c r="U285" s="58">
        <f>MAX(-10,MIN(0.8,IFERROR(INDEX(属性耐性マスタ!$B$5:$G$11,MATCH($C285,属性耐性マスタ!$A$5:$A$11,0),6),0)+IFERROR(VLOOKUP($AM285,個性タイプマスタ!$A$5:$P$100,12,FALSE),0)))</f>
        <v>0.12000000000000001</v>
      </c>
      <c r="V285" s="59">
        <f>ROUND(設定!$B$19*IFERROR(VLOOKUP($AM285,個性タイプマスタ!$A$5:$P$100,13,FALSE),1),2)</f>
        <v>5</v>
      </c>
      <c r="W285" s="59">
        <v>47</v>
      </c>
      <c r="X285" s="59" t="str">
        <f>IFERROR(VLOOKUP($AM285,個性タイプマスタ!$A$5:$P$100,2,FALSE),"Ranged")</f>
        <v>Melee</v>
      </c>
      <c r="Y285" s="56">
        <f>IFERROR(VLOOKUP($AM285,個性タイプマスタ!$A$5:$P$100,3,FALSE),1)</f>
        <v>0.66</v>
      </c>
      <c r="Z285" s="56">
        <f>IFERROR(VLOOKUP($AM285,個性タイプマスタ!$A$5:$P$100,4,FALSE),1)</f>
        <v>0.7</v>
      </c>
      <c r="AA285" s="56">
        <f>IFERROR(VLOOKUP($AM285,個性タイプマスタ!$A$5:$P$100,5,FALSE),1)</f>
        <v>0.71</v>
      </c>
      <c r="AB285" s="56">
        <f>IFERROR(VLOOKUP($AM285,個性タイプマスタ!$A$5:$P$100,6,FALSE),1)</f>
        <v>1.56</v>
      </c>
      <c r="AC285" s="56">
        <f>IFERROR(VLOOKUP($AM285,個性タイプマスタ!$A$5:$P$100,7,FALSE),1)</f>
        <v>0.6</v>
      </c>
      <c r="AD285" s="56">
        <f>IFERROR(VLOOKUP($AM285,個性タイプマスタ!$A$5:$P$100,8,FALSE),1)</f>
        <v>0.6</v>
      </c>
      <c r="AE285" s="60">
        <f>IFERROR(D285/設定!$B$5,1)</f>
        <v>80.179500000000004</v>
      </c>
      <c r="AF285" s="60">
        <f>1+設定!$B$13*((I285/設定!$B$8+J285/設定!$B$9)/(2*AE285))</f>
        <v>1.2114006697472546</v>
      </c>
      <c r="AG285" s="60">
        <f>MAX(0.7,1+設定!$B$14*(O285/IF(X285="Melee",1.5,2.5)-1))</f>
        <v>0.95199999999999996</v>
      </c>
      <c r="AH285" s="53">
        <f t="shared" si="17"/>
        <v>2475.043963392</v>
      </c>
      <c r="AI285" s="53">
        <f>E285*AF285*(1+設定!$B$18*AVERAGE(P285:U285))</f>
        <v>6228.0264724898516</v>
      </c>
      <c r="AJ285" s="61">
        <f>設定!$B$5*SQRT((AH285/(設定!$B$7*設定!$B$10*(1+設定!$B$11*(設定!$B$12-1))))*(AI285/(設定!$B$6*(1+設定!$B$13))))</f>
        <v>8016.7219764036108</v>
      </c>
      <c r="AK285" s="62">
        <f t="shared" si="18"/>
        <v>-1.5315929837289577E-4</v>
      </c>
      <c r="AL285" s="63">
        <f t="shared" si="19"/>
        <v>4810.7699999999995</v>
      </c>
      <c r="AM285" s="64" t="s">
        <v>960</v>
      </c>
      <c r="AN285" s="54">
        <f>MAX(1,ROUND((設定!$B$7*設定!$B$10*(1+設定!$B$11*(設定!$B$12-1)))*AE285^2*(設定!$B$6*(1+設定!$B$13))/(AI285*N285*(1+K285*(L285-1))*AG285),0))</f>
        <v>1432</v>
      </c>
      <c r="AO285" s="65" t="str">
        <f>IF($A285="","",IF(COUNTIF(個性タイプマスタ!$A$5:$A$100,$AM285)&gt;0,"OK","未登録"))</f>
        <v>OK</v>
      </c>
      <c r="AP285" s="67" t="str">
        <f>IF($A285="","",IF(COUNTIF(属性耐性マスタ!$A$5:$A$11,$C285)&gt;0,"OK","未登録"))</f>
        <v>OK</v>
      </c>
    </row>
    <row r="286" spans="1:42">
      <c r="A286" s="66" t="s">
        <v>672</v>
      </c>
      <c r="B286" s="51" t="s">
        <v>673</v>
      </c>
      <c r="C286" s="109" t="s">
        <v>874</v>
      </c>
      <c r="D286" s="53">
        <f>ROUND(設定!$B$5*POWER($D$2,W286-1),2)</f>
        <v>8017.95</v>
      </c>
      <c r="E286" s="54">
        <f>MAX(1,ROUND(設定!$B$6*AE286*Y286,0))</f>
        <v>6334</v>
      </c>
      <c r="F286" s="54">
        <f>MAX(0,ROUND(設定!$B$7*AE286*設定!$B$15*IF(X286="Melee",0.6,1.35)*IFERROR(VLOOKUP($AM286,個性タイプマスタ!$A$5:$P$100,14,FALSE),1),0))</f>
        <v>1052</v>
      </c>
      <c r="G286" s="54">
        <f>IF(X286="Melee",AN286,MAX(1,ROUND(AN286*設定!$B$16*IFERROR(VLOOKUP($AM286,個性タイプマスタ!$A$5:$P$100,15,FALSE),1),0)))</f>
        <v>277</v>
      </c>
      <c r="H286" s="54">
        <f>IF(X286="Ranged",AN286,MAX(1,ROUND(AN286*設定!$B$16*IFERROR(VLOOKUP($AM286,個性タイプマスタ!$A$5:$P$100,15,FALSE),1),0)))</f>
        <v>1161</v>
      </c>
      <c r="I286" s="54">
        <f>MAX(0,ROUND(設定!$B$8*AE286*Z286,0))</f>
        <v>545</v>
      </c>
      <c r="J286" s="54">
        <f>MAX(0,ROUND(設定!$B$9*AE286*AA286,0))</f>
        <v>520</v>
      </c>
      <c r="K286" s="55">
        <f>IFERROR(VLOOKUP($AM286,個性タイプマスタ!$A$5:$P$100,9,FALSE),0.05)</f>
        <v>6.5000000000000002E-2</v>
      </c>
      <c r="L286" s="56">
        <f>IFERROR(VLOOKUP($AM286,個性タイプマスタ!$A$5:$P$100,10,FALSE),1.5)</f>
        <v>1.45</v>
      </c>
      <c r="M286" s="56">
        <f>IFERROR(VLOOKUP($AM286,個性タイプマスタ!$A$5:$P$100,11,FALSE),2)</f>
        <v>4</v>
      </c>
      <c r="N286" s="57">
        <f>MAX(0.1,ROUND(設定!$B$10*AB286,3))</f>
        <v>1.72</v>
      </c>
      <c r="O286" s="57">
        <f t="shared" si="16"/>
        <v>1.9</v>
      </c>
      <c r="P286" s="58">
        <f>MAX(-10,MIN(0.8,IFERROR(INDEX(属性耐性マスタ!$B$5:$G$11,MATCH($C286,属性耐性マスタ!$A$5:$A$11,0),1),0)+IFERROR(VLOOKUP($AM286,個性タイプマスタ!$A$5:$P$100,12,FALSE),0)))</f>
        <v>-7.0000000000000007E-2</v>
      </c>
      <c r="Q286" s="58">
        <f>MAX(-10,MIN(0.8,IFERROR(INDEX(属性耐性マスタ!$B$5:$G$11,MATCH($C286,属性耐性マスタ!$A$5:$A$11,0),2),0)+IFERROR(VLOOKUP($AM286,個性タイプマスタ!$A$5:$P$100,12,FALSE),0)))</f>
        <v>-7.0000000000000007E-2</v>
      </c>
      <c r="R286" s="58">
        <f>MAX(-10,MIN(0.8,IFERROR(INDEX(属性耐性マスタ!$B$5:$G$11,MATCH($C286,属性耐性マスタ!$A$5:$A$11,0),3),0)+IFERROR(VLOOKUP($AM286,個性タイプマスタ!$A$5:$P$100,12,FALSE),0)))</f>
        <v>-7.0000000000000007E-2</v>
      </c>
      <c r="S286" s="58">
        <f>MAX(-10,MIN(0.8,IFERROR(INDEX(属性耐性マスタ!$B$5:$G$11,MATCH($C286,属性耐性マスタ!$A$5:$A$11,0),4),0)+IFERROR(VLOOKUP($AM286,個性タイプマスタ!$A$5:$P$100,12,FALSE),0)))</f>
        <v>-7.0000000000000007E-2</v>
      </c>
      <c r="T286" s="58">
        <f>MAX(-10,MIN(0.8,IFERROR(INDEX(属性耐性マスタ!$B$5:$G$11,MATCH($C286,属性耐性マスタ!$A$5:$A$11,0),5),0)+IFERROR(VLOOKUP($AM286,個性タイプマスタ!$A$5:$P$100,12,FALSE),0)))</f>
        <v>-0.17</v>
      </c>
      <c r="U286" s="58">
        <f>MAX(-10,MIN(0.8,IFERROR(INDEX(属性耐性マスタ!$B$5:$G$11,MATCH($C286,属性耐性マスタ!$A$5:$A$11,0),6),0)+IFERROR(VLOOKUP($AM286,個性タイプマスタ!$A$5:$P$100,12,FALSE),0)))</f>
        <v>0.13</v>
      </c>
      <c r="V286" s="59">
        <f>ROUND(設定!$B$19*IFERROR(VLOOKUP($AM286,個性タイプマスタ!$A$5:$P$100,13,FALSE),1),2)</f>
        <v>5.4</v>
      </c>
      <c r="W286" s="59">
        <v>47</v>
      </c>
      <c r="X286" s="59" t="str">
        <f>IFERROR(VLOOKUP($AM286,個性タイプマスタ!$A$5:$P$100,2,FALSE),"Ranged")</f>
        <v>Ranged</v>
      </c>
      <c r="Y286" s="56">
        <f>IFERROR(VLOOKUP($AM286,個性タイプマスタ!$A$5:$P$100,3,FALSE),1)</f>
        <v>0.79</v>
      </c>
      <c r="Z286" s="56">
        <f>IFERROR(VLOOKUP($AM286,個性タイプマスタ!$A$5:$P$100,4,FALSE),1)</f>
        <v>0.85</v>
      </c>
      <c r="AA286" s="56">
        <f>IFERROR(VLOOKUP($AM286,個性タイプマスタ!$A$5:$P$100,5,FALSE),1)</f>
        <v>0.81</v>
      </c>
      <c r="AB286" s="56">
        <f>IFERROR(VLOOKUP($AM286,個性タイプマスタ!$A$5:$P$100,6,FALSE),1)</f>
        <v>1.72</v>
      </c>
      <c r="AC286" s="56">
        <f>IFERROR(VLOOKUP($AM286,個性タイプマスタ!$A$5:$P$100,7,FALSE),1)</f>
        <v>0.76</v>
      </c>
      <c r="AD286" s="56">
        <f>IFERROR(VLOOKUP($AM286,個性タイプマスタ!$A$5:$P$100,8,FALSE),1)</f>
        <v>0.63</v>
      </c>
      <c r="AE286" s="60">
        <f>IFERROR(D286/設定!$B$5,1)</f>
        <v>80.179500000000004</v>
      </c>
      <c r="AF286" s="60">
        <f>1+設定!$B$13*((I286/設定!$B$8+J286/設定!$B$9)/(2*AE286))</f>
        <v>1.2490505677885244</v>
      </c>
      <c r="AG286" s="60">
        <f>MAX(0.7,1+設定!$B$14*(O286/IF(X286="Melee",1.5,2.5)-1))</f>
        <v>0.97119999999999995</v>
      </c>
      <c r="AH286" s="53">
        <f t="shared" si="17"/>
        <v>1996.1364085919997</v>
      </c>
      <c r="AI286" s="53">
        <f>E286*AF286*(1+設定!$B$18*AVERAGE(P286:U286))</f>
        <v>7721.6106252595728</v>
      </c>
      <c r="AJ286" s="61">
        <f>設定!$B$5*SQRT((AH286/(設定!$B$7*設定!$B$10*(1+設定!$B$11*(設定!$B$12-1))))*(AI286/(設定!$B$6*(1+設定!$B$13))))</f>
        <v>8016.396606912238</v>
      </c>
      <c r="AK286" s="62">
        <f t="shared" si="18"/>
        <v>-1.9373943311717934E-4</v>
      </c>
      <c r="AL286" s="63">
        <f t="shared" si="19"/>
        <v>5051.3085000000001</v>
      </c>
      <c r="AM286" s="64" t="s">
        <v>936</v>
      </c>
      <c r="AN286" s="54">
        <f>MAX(1,ROUND((設定!$B$7*設定!$B$10*(1+設定!$B$11*(設定!$B$12-1)))*AE286^2*(設定!$B$6*(1+設定!$B$13))/(AI286*N286*(1+K286*(L286-1))*AG286),0))</f>
        <v>1161</v>
      </c>
      <c r="AO286" s="65" t="str">
        <f>IF($A286="","",IF(COUNTIF(個性タイプマスタ!$A$5:$A$100,$AM286)&gt;0,"OK","未登録"))</f>
        <v>OK</v>
      </c>
      <c r="AP286" s="67" t="str">
        <f>IF($A286="","",IF(COUNTIF(属性耐性マスタ!$A$5:$A$11,$C286)&gt;0,"OK","未登録"))</f>
        <v>OK</v>
      </c>
    </row>
    <row r="287" spans="1:42">
      <c r="A287" s="66" t="s">
        <v>674</v>
      </c>
      <c r="B287" s="51" t="s">
        <v>675</v>
      </c>
      <c r="C287" s="109" t="s">
        <v>874</v>
      </c>
      <c r="D287" s="53">
        <f>ROUND(設定!$B$5*POWER($D$2,W287-1),2)</f>
        <v>8819.75</v>
      </c>
      <c r="E287" s="54">
        <f>MAX(1,ROUND(設定!$B$6*AE287*Y287,0))</f>
        <v>9878</v>
      </c>
      <c r="F287" s="54">
        <f>MAX(0,ROUND(設定!$B$7*AE287*設定!$B$15*IF(X287="Melee",0.6,1.35)*IFERROR(VLOOKUP($AM287,個性タイプマスタ!$A$5:$P$100,14,FALSE),1),0))</f>
        <v>1736</v>
      </c>
      <c r="G287" s="54">
        <f>IF(X287="Melee",AN287,MAX(1,ROUND(AN287*設定!$B$16*IFERROR(VLOOKUP($AM287,個性タイプマスタ!$A$5:$P$100,15,FALSE),1),0)))</f>
        <v>435</v>
      </c>
      <c r="H287" s="54">
        <f>IF(X287="Ranged",AN287,MAX(1,ROUND(AN287*設定!$B$16*IFERROR(VLOOKUP($AM287,個性タイプマスタ!$A$5:$P$100,15,FALSE),1),0)))</f>
        <v>1466</v>
      </c>
      <c r="I287" s="54">
        <f>MAX(0,ROUND(設定!$B$8*AE287*Z287,0))</f>
        <v>1376</v>
      </c>
      <c r="J287" s="54">
        <f>MAX(0,ROUND(設定!$B$9*AE287*AA287,0))</f>
        <v>508</v>
      </c>
      <c r="K287" s="55">
        <f>IFERROR(VLOOKUP($AM287,個性タイプマスタ!$A$5:$P$100,9,FALSE),0.05)</f>
        <v>5.5E-2</v>
      </c>
      <c r="L287" s="56">
        <f>IFERROR(VLOOKUP($AM287,個性タイプマスタ!$A$5:$P$100,10,FALSE),1.5)</f>
        <v>1.5</v>
      </c>
      <c r="M287" s="56">
        <f>IFERROR(VLOOKUP($AM287,個性タイプマスタ!$A$5:$P$100,11,FALSE),2)</f>
        <v>1.85</v>
      </c>
      <c r="N287" s="57">
        <f>MAX(0.1,ROUND(設定!$B$10*AB287,3))</f>
        <v>0.87</v>
      </c>
      <c r="O287" s="57">
        <f t="shared" si="16"/>
        <v>2.35</v>
      </c>
      <c r="P287" s="58">
        <f>MAX(-10,MIN(0.8,IFERROR(INDEX(属性耐性マスタ!$B$5:$G$11,MATCH($C287,属性耐性マスタ!$A$5:$A$11,0),1),0)+IFERROR(VLOOKUP($AM287,個性タイプマスタ!$A$5:$P$100,12,FALSE),0)))</f>
        <v>6.5000000000000002E-2</v>
      </c>
      <c r="Q287" s="58">
        <f>MAX(-10,MIN(0.8,IFERROR(INDEX(属性耐性マスタ!$B$5:$G$11,MATCH($C287,属性耐性マスタ!$A$5:$A$11,0),2),0)+IFERROR(VLOOKUP($AM287,個性タイプマスタ!$A$5:$P$100,12,FALSE),0)))</f>
        <v>6.5000000000000002E-2</v>
      </c>
      <c r="R287" s="58">
        <f>MAX(-10,MIN(0.8,IFERROR(INDEX(属性耐性マスタ!$B$5:$G$11,MATCH($C287,属性耐性マスタ!$A$5:$A$11,0),3),0)+IFERROR(VLOOKUP($AM287,個性タイプマスタ!$A$5:$P$100,12,FALSE),0)))</f>
        <v>6.5000000000000002E-2</v>
      </c>
      <c r="S287" s="58">
        <f>MAX(-10,MIN(0.8,IFERROR(INDEX(属性耐性マスタ!$B$5:$G$11,MATCH($C287,属性耐性マスタ!$A$5:$A$11,0),4),0)+IFERROR(VLOOKUP($AM287,個性タイプマスタ!$A$5:$P$100,12,FALSE),0)))</f>
        <v>6.5000000000000002E-2</v>
      </c>
      <c r="T287" s="58">
        <f>MAX(-10,MIN(0.8,IFERROR(INDEX(属性耐性マスタ!$B$5:$G$11,MATCH($C287,属性耐性マスタ!$A$5:$A$11,0),5),0)+IFERROR(VLOOKUP($AM287,個性タイプマスタ!$A$5:$P$100,12,FALSE),0)))</f>
        <v>-3.5000000000000003E-2</v>
      </c>
      <c r="U287" s="58">
        <f>MAX(-10,MIN(0.8,IFERROR(INDEX(属性耐性マスタ!$B$5:$G$11,MATCH($C287,属性耐性マスタ!$A$5:$A$11,0),6),0)+IFERROR(VLOOKUP($AM287,個性タイプマスタ!$A$5:$P$100,12,FALSE),0)))</f>
        <v>0.26500000000000001</v>
      </c>
      <c r="V287" s="59">
        <f>ROUND(設定!$B$19*IFERROR(VLOOKUP($AM287,個性タイプマスタ!$A$5:$P$100,13,FALSE),1),2)</f>
        <v>4.2</v>
      </c>
      <c r="W287" s="59">
        <v>48</v>
      </c>
      <c r="X287" s="59" t="str">
        <f>IFERROR(VLOOKUP($AM287,個性タイプマスタ!$A$5:$P$100,2,FALSE),"Ranged")</f>
        <v>Ranged</v>
      </c>
      <c r="Y287" s="56">
        <f>IFERROR(VLOOKUP($AM287,個性タイプマスタ!$A$5:$P$100,3,FALSE),1)</f>
        <v>1.1200000000000001</v>
      </c>
      <c r="Z287" s="56">
        <f>IFERROR(VLOOKUP($AM287,個性タイプマスタ!$A$5:$P$100,4,FALSE),1)</f>
        <v>1.95</v>
      </c>
      <c r="AA287" s="56">
        <f>IFERROR(VLOOKUP($AM287,個性タイプマスタ!$A$5:$P$100,5,FALSE),1)</f>
        <v>0.72</v>
      </c>
      <c r="AB287" s="56">
        <f>IFERROR(VLOOKUP($AM287,個性タイプマスタ!$A$5:$P$100,6,FALSE),1)</f>
        <v>0.87</v>
      </c>
      <c r="AC287" s="56">
        <f>IFERROR(VLOOKUP($AM287,個性タイプマスタ!$A$5:$P$100,7,FALSE),1)</f>
        <v>0.94</v>
      </c>
      <c r="AD287" s="56">
        <f>IFERROR(VLOOKUP($AM287,個性タイプマスタ!$A$5:$P$100,8,FALSE),1)</f>
        <v>0.82</v>
      </c>
      <c r="AE287" s="60">
        <f>IFERROR(D287/設定!$B$5,1)</f>
        <v>88.197500000000005</v>
      </c>
      <c r="AF287" s="60">
        <f>1+設定!$B$13*((I287/設定!$B$8+J287/設定!$B$9)/(2*AE287))</f>
        <v>1.4005215567334675</v>
      </c>
      <c r="AG287" s="60">
        <f>MAX(0.7,1+設定!$B$14*(O287/IF(X287="Melee",1.5,2.5)-1))</f>
        <v>0.99280000000000002</v>
      </c>
      <c r="AH287" s="53">
        <f t="shared" si="17"/>
        <v>1301.0584928400003</v>
      </c>
      <c r="AI287" s="53">
        <f>E287*AF287*(1+設定!$B$18*AVERAGE(P287:U287))</f>
        <v>14342.764371113128</v>
      </c>
      <c r="AJ287" s="61">
        <f>設定!$B$5*SQRT((AH287/(設定!$B$7*設定!$B$10*(1+設定!$B$11*(設定!$B$12-1))))*(AI287/(設定!$B$6*(1+設定!$B$13))))</f>
        <v>8820.5360934927958</v>
      </c>
      <c r="AK287" s="62">
        <f t="shared" si="18"/>
        <v>8.9128772674529344E-5</v>
      </c>
      <c r="AL287" s="63">
        <f t="shared" si="19"/>
        <v>7232.1949999999997</v>
      </c>
      <c r="AM287" s="64" t="s">
        <v>928</v>
      </c>
      <c r="AN287" s="54">
        <f>MAX(1,ROUND((設定!$B$7*設定!$B$10*(1+設定!$B$11*(設定!$B$12-1)))*AE287^2*(設定!$B$6*(1+設定!$B$13))/(AI287*N287*(1+K287*(L287-1))*AG287),0))</f>
        <v>1466</v>
      </c>
      <c r="AO287" s="65" t="str">
        <f>IF($A287="","",IF(COUNTIF(個性タイプマスタ!$A$5:$A$100,$AM287)&gt;0,"OK","未登録"))</f>
        <v>OK</v>
      </c>
      <c r="AP287" s="67" t="str">
        <f>IF($A287="","",IF(COUNTIF(属性耐性マスタ!$A$5:$A$11,$C287)&gt;0,"OK","未登録"))</f>
        <v>OK</v>
      </c>
    </row>
    <row r="288" spans="1:42">
      <c r="A288" s="66" t="s">
        <v>676</v>
      </c>
      <c r="B288" s="51" t="s">
        <v>677</v>
      </c>
      <c r="C288" s="109" t="s">
        <v>874</v>
      </c>
      <c r="D288" s="53">
        <f>ROUND(設定!$B$5*POWER($D$2,W288-1),2)</f>
        <v>8819.75</v>
      </c>
      <c r="E288" s="54">
        <f>MAX(1,ROUND(設定!$B$6*AE288*Y288,0))</f>
        <v>7232</v>
      </c>
      <c r="F288" s="54">
        <f>MAX(0,ROUND(設定!$B$7*AE288*設定!$B$15*IF(X288="Melee",0.6,1.35)*IFERROR(VLOOKUP($AM288,個性タイプマスタ!$A$5:$P$100,14,FALSE),1),0))</f>
        <v>1157</v>
      </c>
      <c r="G288" s="54">
        <f>IF(X288="Melee",AN288,MAX(1,ROUND(AN288*設定!$B$16*IFERROR(VLOOKUP($AM288,個性タイプマスタ!$A$5:$P$100,15,FALSE),1),0)))</f>
        <v>888</v>
      </c>
      <c r="H288" s="54">
        <f>IF(X288="Ranged",AN288,MAX(1,ROUND(AN288*設定!$B$16*IFERROR(VLOOKUP($AM288,個性タイプマスタ!$A$5:$P$100,15,FALSE),1),0)))</f>
        <v>1973</v>
      </c>
      <c r="I288" s="54">
        <f>MAX(0,ROUND(設定!$B$8*AE288*Z288,0))</f>
        <v>600</v>
      </c>
      <c r="J288" s="54">
        <f>MAX(0,ROUND(設定!$B$9*AE288*AA288,0))</f>
        <v>706</v>
      </c>
      <c r="K288" s="55">
        <f>IFERROR(VLOOKUP($AM288,個性タイプマスタ!$A$5:$P$100,9,FALSE),0.05)</f>
        <v>0.05</v>
      </c>
      <c r="L288" s="56">
        <f>IFERROR(VLOOKUP($AM288,個性タイプマスタ!$A$5:$P$100,10,FALSE),1.5)</f>
        <v>1.5</v>
      </c>
      <c r="M288" s="56">
        <f>IFERROR(VLOOKUP($AM288,個性タイプマスタ!$A$5:$P$100,11,FALSE),2)</f>
        <v>2</v>
      </c>
      <c r="N288" s="57">
        <f>MAX(0.1,ROUND(設定!$B$10*AB288,3))</f>
        <v>1</v>
      </c>
      <c r="O288" s="57">
        <f t="shared" si="16"/>
        <v>2.5</v>
      </c>
      <c r="P288" s="58">
        <f>MAX(-10,MIN(0.8,IFERROR(INDEX(属性耐性マスタ!$B$5:$G$11,MATCH($C288,属性耐性マスタ!$A$5:$A$11,0),1),0)+IFERROR(VLOOKUP($AM288,個性タイプマスタ!$A$5:$P$100,12,FALSE),0)))</f>
        <v>-0.02</v>
      </c>
      <c r="Q288" s="58">
        <f>MAX(-10,MIN(0.8,IFERROR(INDEX(属性耐性マスタ!$B$5:$G$11,MATCH($C288,属性耐性マスタ!$A$5:$A$11,0),2),0)+IFERROR(VLOOKUP($AM288,個性タイプマスタ!$A$5:$P$100,12,FALSE),0)))</f>
        <v>-0.02</v>
      </c>
      <c r="R288" s="58">
        <f>MAX(-10,MIN(0.8,IFERROR(INDEX(属性耐性マスタ!$B$5:$G$11,MATCH($C288,属性耐性マスタ!$A$5:$A$11,0),3),0)+IFERROR(VLOOKUP($AM288,個性タイプマスタ!$A$5:$P$100,12,FALSE),0)))</f>
        <v>-0.02</v>
      </c>
      <c r="S288" s="58">
        <f>MAX(-10,MIN(0.8,IFERROR(INDEX(属性耐性マスタ!$B$5:$G$11,MATCH($C288,属性耐性マスタ!$A$5:$A$11,0),4),0)+IFERROR(VLOOKUP($AM288,個性タイプマスタ!$A$5:$P$100,12,FALSE),0)))</f>
        <v>-0.02</v>
      </c>
      <c r="T288" s="58">
        <f>MAX(-10,MIN(0.8,IFERROR(INDEX(属性耐性マスタ!$B$5:$G$11,MATCH($C288,属性耐性マスタ!$A$5:$A$11,0),5),0)+IFERROR(VLOOKUP($AM288,個性タイプマスタ!$A$5:$P$100,12,FALSE),0)))</f>
        <v>-0.12000000000000001</v>
      </c>
      <c r="U288" s="58">
        <f>MAX(-10,MIN(0.8,IFERROR(INDEX(属性耐性マスタ!$B$5:$G$11,MATCH($C288,属性耐性マスタ!$A$5:$A$11,0),6),0)+IFERROR(VLOOKUP($AM288,個性タイプマスタ!$A$5:$P$100,12,FALSE),0)))</f>
        <v>0.18000000000000002</v>
      </c>
      <c r="V288" s="59">
        <f>ROUND(設定!$B$19*IFERROR(VLOOKUP($AM288,個性タイプマスタ!$A$5:$P$100,13,FALSE),1),2)</f>
        <v>4</v>
      </c>
      <c r="W288" s="59">
        <v>48</v>
      </c>
      <c r="X288" s="59" t="str">
        <f>IFERROR(VLOOKUP($AM288,個性タイプマスタ!$A$5:$P$100,2,FALSE),"Ranged")</f>
        <v>Ranged</v>
      </c>
      <c r="Y288" s="56">
        <f>IFERROR(VLOOKUP($AM288,個性タイプマスタ!$A$5:$P$100,3,FALSE),1)</f>
        <v>0.82</v>
      </c>
      <c r="Z288" s="56">
        <f>IFERROR(VLOOKUP($AM288,個性タイプマスタ!$A$5:$P$100,4,FALSE),1)</f>
        <v>0.85</v>
      </c>
      <c r="AA288" s="56">
        <f>IFERROR(VLOOKUP($AM288,個性タイプマスタ!$A$5:$P$100,5,FALSE),1)</f>
        <v>1</v>
      </c>
      <c r="AB288" s="56">
        <f>IFERROR(VLOOKUP($AM288,個性タイプマスタ!$A$5:$P$100,6,FALSE),1)</f>
        <v>1</v>
      </c>
      <c r="AC288" s="56">
        <f>IFERROR(VLOOKUP($AM288,個性タイプマスタ!$A$5:$P$100,7,FALSE),1)</f>
        <v>1</v>
      </c>
      <c r="AD288" s="56">
        <f>IFERROR(VLOOKUP($AM288,個性タイプマスタ!$A$5:$P$100,8,FALSE),1)</f>
        <v>0.68</v>
      </c>
      <c r="AE288" s="60">
        <f>IFERROR(D288/設定!$B$5,1)</f>
        <v>88.197500000000005</v>
      </c>
      <c r="AF288" s="60">
        <f>1+設定!$B$13*((I288/設定!$B$8+J288/設定!$B$9)/(2*AE288))</f>
        <v>1.2776439241475099</v>
      </c>
      <c r="AG288" s="60">
        <f>MAX(0.7,1+設定!$B$14*(O288/IF(X288="Melee",1.5,2.5)-1))</f>
        <v>1</v>
      </c>
      <c r="AH288" s="53">
        <f t="shared" si="17"/>
        <v>2022.3249999999998</v>
      </c>
      <c r="AI288" s="53">
        <f>E288*AF288*(1+設定!$B$18*AVERAGE(P288:U288))</f>
        <v>9226.0609781456387</v>
      </c>
      <c r="AJ288" s="61">
        <f>設定!$B$5*SQRT((AH288/(設定!$B$7*設定!$B$10*(1+設定!$B$11*(設定!$B$12-1))))*(AI288/(設定!$B$6*(1+設定!$B$13))))</f>
        <v>8819.9022975288372</v>
      </c>
      <c r="AK288" s="62">
        <f t="shared" si="18"/>
        <v>1.7267782968621859E-5</v>
      </c>
      <c r="AL288" s="63">
        <f t="shared" si="19"/>
        <v>5997.43</v>
      </c>
      <c r="AM288" s="64" t="s">
        <v>878</v>
      </c>
      <c r="AN288" s="54">
        <f>MAX(1,ROUND((設定!$B$7*設定!$B$10*(1+設定!$B$11*(設定!$B$12-1)))*AE288^2*(設定!$B$6*(1+設定!$B$13))/(AI288*N288*(1+K288*(L288-1))*AG288),0))</f>
        <v>1973</v>
      </c>
      <c r="AO288" s="65" t="str">
        <f>IF($A288="","",IF(COUNTIF(個性タイプマスタ!$A$5:$A$100,$AM288)&gt;0,"OK","未登録"))</f>
        <v>OK</v>
      </c>
      <c r="AP288" s="67" t="str">
        <f>IF($A288="","",IF(COUNTIF(属性耐性マスタ!$A$5:$A$11,$C288)&gt;0,"OK","未登録"))</f>
        <v>OK</v>
      </c>
    </row>
    <row r="289" spans="1:42">
      <c r="A289" s="66" t="s">
        <v>678</v>
      </c>
      <c r="B289" s="51" t="s">
        <v>679</v>
      </c>
      <c r="C289" s="109" t="s">
        <v>111</v>
      </c>
      <c r="D289" s="53">
        <f>ROUND(設定!$B$5*POWER($D$2,W289-1),2)</f>
        <v>8819.75</v>
      </c>
      <c r="E289" s="54">
        <f>MAX(1,ROUND(設定!$B$6*AE289*Y289,0))</f>
        <v>9702</v>
      </c>
      <c r="F289" s="54">
        <f>MAX(0,ROUND(設定!$B$7*AE289*設定!$B$15*IF(X289="Melee",0.6,1.35)*IFERROR(VLOOKUP($AM289,個性タイプマスタ!$A$5:$P$100,14,FALSE),1),0))</f>
        <v>1350</v>
      </c>
      <c r="G289" s="54">
        <f>IF(X289="Melee",AN289,MAX(1,ROUND(AN289*設定!$B$16*IFERROR(VLOOKUP($AM289,個性タイプマスタ!$A$5:$P$100,15,FALSE),1),0)))</f>
        <v>617</v>
      </c>
      <c r="H289" s="54">
        <f>IF(X289="Ranged",AN289,MAX(1,ROUND(AN289*設定!$B$16*IFERROR(VLOOKUP($AM289,個性タイプマスタ!$A$5:$P$100,15,FALSE),1),0)))</f>
        <v>1370</v>
      </c>
      <c r="I289" s="54">
        <f>MAX(0,ROUND(設定!$B$8*AE289*Z289,0))</f>
        <v>776</v>
      </c>
      <c r="J289" s="54">
        <f>MAX(0,ROUND(設定!$B$9*AE289*AA289,0))</f>
        <v>776</v>
      </c>
      <c r="K289" s="55">
        <f>IFERROR(VLOOKUP($AM289,個性タイプマスタ!$A$5:$P$100,9,FALSE),0.05)</f>
        <v>7.0000000000000007E-2</v>
      </c>
      <c r="L289" s="56">
        <f>IFERROR(VLOOKUP($AM289,個性タイプマスタ!$A$5:$P$100,10,FALSE),1.5)</f>
        <v>1.55</v>
      </c>
      <c r="M289" s="56">
        <f>IFERROR(VLOOKUP($AM289,個性タイプマスタ!$A$5:$P$100,11,FALSE),2)</f>
        <v>2.4</v>
      </c>
      <c r="N289" s="57">
        <f>MAX(0.1,ROUND(設定!$B$10*AB289,3))</f>
        <v>1</v>
      </c>
      <c r="O289" s="57">
        <f t="shared" si="16"/>
        <v>2.5</v>
      </c>
      <c r="P289" s="58">
        <f>MAX(-10,MIN(0.8,IFERROR(INDEX(属性耐性マスタ!$B$5:$G$11,MATCH($C289,属性耐性マスタ!$A$5:$A$11,0),1),0)+IFERROR(VLOOKUP($AM289,個性タイプマスタ!$A$5:$P$100,12,FALSE),0)))</f>
        <v>0.22</v>
      </c>
      <c r="Q289" s="58">
        <f>MAX(-10,MIN(0.8,IFERROR(INDEX(属性耐性マスタ!$B$5:$G$11,MATCH($C289,属性耐性マスタ!$A$5:$A$11,0),2),0)+IFERROR(VLOOKUP($AM289,個性タイプマスタ!$A$5:$P$100,12,FALSE),0)))</f>
        <v>-0.08</v>
      </c>
      <c r="R289" s="58">
        <f>MAX(-10,MIN(0.8,IFERROR(INDEX(属性耐性マスタ!$B$5:$G$11,MATCH($C289,属性耐性マスタ!$A$5:$A$11,0),3),0)+IFERROR(VLOOKUP($AM289,個性タイプマスタ!$A$5:$P$100,12,FALSE),0)))</f>
        <v>0.02</v>
      </c>
      <c r="S289" s="58">
        <f>MAX(-10,MIN(0.8,IFERROR(INDEX(属性耐性マスタ!$B$5:$G$11,MATCH($C289,属性耐性マスタ!$A$5:$A$11,0),4),0)+IFERROR(VLOOKUP($AM289,個性タイプマスタ!$A$5:$P$100,12,FALSE),0)))</f>
        <v>0.02</v>
      </c>
      <c r="T289" s="58">
        <f>MAX(-10,MIN(0.8,IFERROR(INDEX(属性耐性マスタ!$B$5:$G$11,MATCH($C289,属性耐性マスタ!$A$5:$A$11,0),5),0)+IFERROR(VLOOKUP($AM289,個性タイプマスタ!$A$5:$P$100,12,FALSE),0)))</f>
        <v>0.02</v>
      </c>
      <c r="U289" s="58">
        <f>MAX(-10,MIN(0.8,IFERROR(INDEX(属性耐性マスタ!$B$5:$G$11,MATCH($C289,属性耐性マスタ!$A$5:$A$11,0),6),0)+IFERROR(VLOOKUP($AM289,個性タイプマスタ!$A$5:$P$100,12,FALSE),0)))</f>
        <v>0.02</v>
      </c>
      <c r="V289" s="59">
        <f>ROUND(設定!$B$19*IFERROR(VLOOKUP($AM289,個性タイプマスタ!$A$5:$P$100,13,FALSE),1),2)</f>
        <v>4</v>
      </c>
      <c r="W289" s="59">
        <v>48</v>
      </c>
      <c r="X289" s="59" t="str">
        <f>IFERROR(VLOOKUP($AM289,個性タイプマスタ!$A$5:$P$100,2,FALSE),"Ranged")</f>
        <v>Ranged</v>
      </c>
      <c r="Y289" s="56">
        <f>IFERROR(VLOOKUP($AM289,個性タイプマスタ!$A$5:$P$100,3,FALSE),1)</f>
        <v>1.1000000000000001</v>
      </c>
      <c r="Z289" s="56">
        <f>IFERROR(VLOOKUP($AM289,個性タイプマスタ!$A$5:$P$100,4,FALSE),1)</f>
        <v>1.1000000000000001</v>
      </c>
      <c r="AA289" s="56">
        <f>IFERROR(VLOOKUP($AM289,個性タイプマスタ!$A$5:$P$100,5,FALSE),1)</f>
        <v>1.1000000000000001</v>
      </c>
      <c r="AB289" s="56">
        <f>IFERROR(VLOOKUP($AM289,個性タイプマスタ!$A$5:$P$100,6,FALSE),1)</f>
        <v>1</v>
      </c>
      <c r="AC289" s="56">
        <f>IFERROR(VLOOKUP($AM289,個性タイプマスタ!$A$5:$P$100,7,FALSE),1)</f>
        <v>1</v>
      </c>
      <c r="AD289" s="56">
        <f>IFERROR(VLOOKUP($AM289,個性タイプマスタ!$A$5:$P$100,8,FALSE),1)</f>
        <v>0.88</v>
      </c>
      <c r="AE289" s="60">
        <f>IFERROR(D289/設定!$B$5,1)</f>
        <v>88.197500000000005</v>
      </c>
      <c r="AF289" s="60">
        <f>1+設定!$B$13*((I289/設定!$B$8+J289/設定!$B$9)/(2*AE289))</f>
        <v>1.329941324867485</v>
      </c>
      <c r="AG289" s="60">
        <f>MAX(0.7,1+設定!$B$14*(O289/IF(X289="Melee",1.5,2.5)-1))</f>
        <v>1</v>
      </c>
      <c r="AH289" s="53">
        <f t="shared" si="17"/>
        <v>1422.7449999999999</v>
      </c>
      <c r="AI289" s="53">
        <f>E289*AF289*(1+設定!$B$18*AVERAGE(P289:U289))</f>
        <v>13115.991730973101</v>
      </c>
      <c r="AJ289" s="61">
        <f>設定!$B$5*SQRT((AH289/(設定!$B$7*設定!$B$10*(1+設定!$B$11*(設定!$B$12-1))))*(AI289/(設定!$B$6*(1+設定!$B$13))))</f>
        <v>8820.521029103822</v>
      </c>
      <c r="AK289" s="62">
        <f t="shared" si="18"/>
        <v>8.7420743651644983E-5</v>
      </c>
      <c r="AL289" s="63">
        <f t="shared" si="19"/>
        <v>7761.38</v>
      </c>
      <c r="AM289" s="64" t="s">
        <v>906</v>
      </c>
      <c r="AN289" s="54">
        <f>MAX(1,ROUND((設定!$B$7*設定!$B$10*(1+設定!$B$11*(設定!$B$12-1)))*AE289^2*(設定!$B$6*(1+設定!$B$13))/(AI289*N289*(1+K289*(L289-1))*AG289),0))</f>
        <v>1370</v>
      </c>
      <c r="AO289" s="65" t="str">
        <f>IF($A289="","",IF(COUNTIF(個性タイプマスタ!$A$5:$A$100,$AM289)&gt;0,"OK","未登録"))</f>
        <v>OK</v>
      </c>
      <c r="AP289" s="67" t="str">
        <f>IF($A289="","",IF(COUNTIF(属性耐性マスタ!$A$5:$A$11,$C289)&gt;0,"OK","未登録"))</f>
        <v>OK</v>
      </c>
    </row>
    <row r="290" spans="1:42">
      <c r="A290" s="66" t="s">
        <v>680</v>
      </c>
      <c r="B290" s="51" t="s">
        <v>681</v>
      </c>
      <c r="C290" s="109" t="s">
        <v>874</v>
      </c>
      <c r="D290" s="53">
        <f>ROUND(設定!$B$5*POWER($D$2,W290-1),2)</f>
        <v>8819.75</v>
      </c>
      <c r="E290" s="54">
        <f>MAX(1,ROUND(設定!$B$6*AE290*Y290,0))</f>
        <v>8114</v>
      </c>
      <c r="F290" s="54">
        <f>MAX(0,ROUND(設定!$B$7*AE290*設定!$B$15*IF(X290="Melee",0.6,1.35)*IFERROR(VLOOKUP($AM290,個性タイプマスタ!$A$5:$P$100,14,FALSE),1),0))</f>
        <v>514</v>
      </c>
      <c r="G290" s="54">
        <f>IF(X290="Melee",AN290,MAX(1,ROUND(AN290*設定!$B$16*IFERROR(VLOOKUP($AM290,個性タイプマスタ!$A$5:$P$100,15,FALSE),1),0)))</f>
        <v>1703</v>
      </c>
      <c r="H290" s="54">
        <f>IF(X290="Ranged",AN290,MAX(1,ROUND(AN290*設定!$B$16*IFERROR(VLOOKUP($AM290,個性タイプマスタ!$A$5:$P$100,15,FALSE),1),0)))</f>
        <v>613</v>
      </c>
      <c r="I290" s="54">
        <f>MAX(0,ROUND(設定!$B$8*AE290*Z290,0))</f>
        <v>649</v>
      </c>
      <c r="J290" s="54">
        <f>MAX(0,ROUND(設定!$B$9*AE290*AA290,0))</f>
        <v>600</v>
      </c>
      <c r="K290" s="55">
        <f>IFERROR(VLOOKUP($AM290,個性タイプマスタ!$A$5:$P$100,9,FALSE),0.05)</f>
        <v>7.0000000000000007E-2</v>
      </c>
      <c r="L290" s="56">
        <f>IFERROR(VLOOKUP($AM290,個性タイプマスタ!$A$5:$P$100,10,FALSE),1.5)</f>
        <v>1.6</v>
      </c>
      <c r="M290" s="56">
        <f>IFERROR(VLOOKUP($AM290,個性タイプマスタ!$A$5:$P$100,11,FALSE),2)</f>
        <v>2.4500000000000002</v>
      </c>
      <c r="N290" s="57">
        <f>MAX(0.1,ROUND(設定!$B$10*AB290,3))</f>
        <v>0.94</v>
      </c>
      <c r="O290" s="57">
        <f t="shared" si="16"/>
        <v>2.73</v>
      </c>
      <c r="P290" s="58">
        <f>MAX(-10,MIN(0.8,IFERROR(INDEX(属性耐性マスタ!$B$5:$G$11,MATCH($C290,属性耐性マスタ!$A$5:$A$11,0),1),0)+IFERROR(VLOOKUP($AM290,個性タイプマスタ!$A$5:$P$100,12,FALSE),0)))</f>
        <v>-3.5000000000000003E-2</v>
      </c>
      <c r="Q290" s="58">
        <f>MAX(-10,MIN(0.8,IFERROR(INDEX(属性耐性マスタ!$B$5:$G$11,MATCH($C290,属性耐性マスタ!$A$5:$A$11,0),2),0)+IFERROR(VLOOKUP($AM290,個性タイプマスタ!$A$5:$P$100,12,FALSE),0)))</f>
        <v>-3.5000000000000003E-2</v>
      </c>
      <c r="R290" s="58">
        <f>MAX(-10,MIN(0.8,IFERROR(INDEX(属性耐性マスタ!$B$5:$G$11,MATCH($C290,属性耐性マスタ!$A$5:$A$11,0),3),0)+IFERROR(VLOOKUP($AM290,個性タイプマスタ!$A$5:$P$100,12,FALSE),0)))</f>
        <v>-3.5000000000000003E-2</v>
      </c>
      <c r="S290" s="58">
        <f>MAX(-10,MIN(0.8,IFERROR(INDEX(属性耐性マスタ!$B$5:$G$11,MATCH($C290,属性耐性マスタ!$A$5:$A$11,0),4),0)+IFERROR(VLOOKUP($AM290,個性タイプマスタ!$A$5:$P$100,12,FALSE),0)))</f>
        <v>-3.5000000000000003E-2</v>
      </c>
      <c r="T290" s="58">
        <f>MAX(-10,MIN(0.8,IFERROR(INDEX(属性耐性マスタ!$B$5:$G$11,MATCH($C290,属性耐性マスタ!$A$5:$A$11,0),5),0)+IFERROR(VLOOKUP($AM290,個性タイプマスタ!$A$5:$P$100,12,FALSE),0)))</f>
        <v>-0.13500000000000001</v>
      </c>
      <c r="U290" s="58">
        <f>MAX(-10,MIN(0.8,IFERROR(INDEX(属性耐性マスタ!$B$5:$G$11,MATCH($C290,属性耐性マスタ!$A$5:$A$11,0),6),0)+IFERROR(VLOOKUP($AM290,個性タイプマスタ!$A$5:$P$100,12,FALSE),0)))</f>
        <v>0.16500000000000001</v>
      </c>
      <c r="V290" s="59">
        <f>ROUND(設定!$B$19*IFERROR(VLOOKUP($AM290,個性タイプマスタ!$A$5:$P$100,13,FALSE),1),2)</f>
        <v>5.6</v>
      </c>
      <c r="W290" s="59">
        <v>48</v>
      </c>
      <c r="X290" s="59" t="str">
        <f>IFERROR(VLOOKUP($AM290,個性タイプマスタ!$A$5:$P$100,2,FALSE),"Ranged")</f>
        <v>Melee</v>
      </c>
      <c r="Y290" s="56">
        <f>IFERROR(VLOOKUP($AM290,個性タイプマスタ!$A$5:$P$100,3,FALSE),1)</f>
        <v>0.92</v>
      </c>
      <c r="Z290" s="56">
        <f>IFERROR(VLOOKUP($AM290,個性タイプマスタ!$A$5:$P$100,4,FALSE),1)</f>
        <v>0.92</v>
      </c>
      <c r="AA290" s="56">
        <f>IFERROR(VLOOKUP($AM290,個性タイプマスタ!$A$5:$P$100,5,FALSE),1)</f>
        <v>0.85</v>
      </c>
      <c r="AB290" s="56">
        <f>IFERROR(VLOOKUP($AM290,個性タイプマスタ!$A$5:$P$100,6,FALSE),1)</f>
        <v>0.94</v>
      </c>
      <c r="AC290" s="56">
        <f>IFERROR(VLOOKUP($AM290,個性タイプマスタ!$A$5:$P$100,7,FALSE),1)</f>
        <v>1.82</v>
      </c>
      <c r="AD290" s="56">
        <f>IFERROR(VLOOKUP($AM290,個性タイプマスタ!$A$5:$P$100,8,FALSE),1)</f>
        <v>0.74</v>
      </c>
      <c r="AE290" s="60">
        <f>IFERROR(D290/設定!$B$5,1)</f>
        <v>88.197500000000005</v>
      </c>
      <c r="AF290" s="60">
        <f>1+設定!$B$13*((I290/設定!$B$8+J290/設定!$B$9)/(2*AE290))</f>
        <v>1.2655262337367839</v>
      </c>
      <c r="AG290" s="60">
        <f>MAX(0.7,1+設定!$B$14*(O290/IF(X290="Melee",1.5,2.5)-1))</f>
        <v>1.0984</v>
      </c>
      <c r="AH290" s="53">
        <f t="shared" si="17"/>
        <v>1832.1909968959999</v>
      </c>
      <c r="AI290" s="53">
        <f>E290*AF290*(1+設定!$B$18*AVERAGE(P290:U290))</f>
        <v>10183.764901690807</v>
      </c>
      <c r="AJ290" s="61">
        <f>設定!$B$5*SQRT((AH290/(設定!$B$7*設定!$B$10*(1+設定!$B$11*(設定!$B$12-1))))*(AI290/(設定!$B$6*(1+設定!$B$13))))</f>
        <v>8820.0225072789417</v>
      </c>
      <c r="AK290" s="62">
        <f t="shared" si="18"/>
        <v>3.0897392663264966E-5</v>
      </c>
      <c r="AL290" s="63">
        <f t="shared" si="19"/>
        <v>6526.6149999999998</v>
      </c>
      <c r="AM290" s="64" t="s">
        <v>958</v>
      </c>
      <c r="AN290" s="54">
        <f>MAX(1,ROUND((設定!$B$7*設定!$B$10*(1+設定!$B$11*(設定!$B$12-1)))*AE290^2*(設定!$B$6*(1+設定!$B$13))/(AI290*N290*(1+K290*(L290-1))*AG290),0))</f>
        <v>1703</v>
      </c>
      <c r="AO290" s="65" t="str">
        <f>IF($A290="","",IF(COUNTIF(個性タイプマスタ!$A$5:$A$100,$AM290)&gt;0,"OK","未登録"))</f>
        <v>OK</v>
      </c>
      <c r="AP290" s="67" t="str">
        <f>IF($A290="","",IF(COUNTIF(属性耐性マスタ!$A$5:$A$11,$C290)&gt;0,"OK","未登録"))</f>
        <v>OK</v>
      </c>
    </row>
    <row r="291" spans="1:42">
      <c r="A291" s="66" t="s">
        <v>682</v>
      </c>
      <c r="B291" s="51" t="s">
        <v>683</v>
      </c>
      <c r="C291" s="109" t="s">
        <v>874</v>
      </c>
      <c r="D291" s="53">
        <f>ROUND(設定!$B$5*POWER($D$2,W291-1),2)</f>
        <v>8819.75</v>
      </c>
      <c r="E291" s="54">
        <f>MAX(1,ROUND(設定!$B$6*AE291*Y291,0))</f>
        <v>10584</v>
      </c>
      <c r="F291" s="54">
        <f>MAX(0,ROUND(設定!$B$7*AE291*設定!$B$15*IF(X291="Melee",0.6,1.35)*IFERROR(VLOOKUP($AM291,個性タイプマスタ!$A$5:$P$100,14,FALSE),1),0))</f>
        <v>640</v>
      </c>
      <c r="G291" s="54">
        <f>IF(X291="Melee",AN291,MAX(1,ROUND(AN291*設定!$B$16*IFERROR(VLOOKUP($AM291,個性タイプマスタ!$A$5:$P$100,15,FALSE),1),0)))</f>
        <v>1172</v>
      </c>
      <c r="H291" s="54">
        <f>IF(X291="Ranged",AN291,MAX(1,ROUND(AN291*設定!$B$16*IFERROR(VLOOKUP($AM291,個性タイプマスタ!$A$5:$P$100,15,FALSE),1),0)))</f>
        <v>438</v>
      </c>
      <c r="I291" s="54">
        <f>MAX(0,ROUND(設定!$B$8*AE291*Z291,0))</f>
        <v>536</v>
      </c>
      <c r="J291" s="54">
        <f>MAX(0,ROUND(設定!$B$9*AE291*AA291,0))</f>
        <v>1482</v>
      </c>
      <c r="K291" s="55">
        <f>IFERROR(VLOOKUP($AM291,個性タイプマスタ!$A$5:$P$100,9,FALSE),0.05)</f>
        <v>0.05</v>
      </c>
      <c r="L291" s="56">
        <f>IFERROR(VLOOKUP($AM291,個性タイプマスタ!$A$5:$P$100,10,FALSE),1.5)</f>
        <v>1.47</v>
      </c>
      <c r="M291" s="56">
        <f>IFERROR(VLOOKUP($AM291,個性タイプマスタ!$A$5:$P$100,11,FALSE),2)</f>
        <v>2.4500000000000002</v>
      </c>
      <c r="N291" s="57">
        <f>MAX(0.1,ROUND(設定!$B$10*AB291,3))</f>
        <v>1</v>
      </c>
      <c r="O291" s="57">
        <f t="shared" si="16"/>
        <v>1.395</v>
      </c>
      <c r="P291" s="58">
        <f>MAX(-10,MIN(0.8,IFERROR(INDEX(属性耐性マスタ!$B$5:$G$11,MATCH($C291,属性耐性マスタ!$A$5:$A$11,0),1),0)+IFERROR(VLOOKUP($AM291,個性タイプマスタ!$A$5:$P$100,12,FALSE),0)))</f>
        <v>6.5000000000000002E-2</v>
      </c>
      <c r="Q291" s="58">
        <f>MAX(-10,MIN(0.8,IFERROR(INDEX(属性耐性マスタ!$B$5:$G$11,MATCH($C291,属性耐性マスタ!$A$5:$A$11,0),2),0)+IFERROR(VLOOKUP($AM291,個性タイプマスタ!$A$5:$P$100,12,FALSE),0)))</f>
        <v>6.5000000000000002E-2</v>
      </c>
      <c r="R291" s="58">
        <f>MAX(-10,MIN(0.8,IFERROR(INDEX(属性耐性マスタ!$B$5:$G$11,MATCH($C291,属性耐性マスタ!$A$5:$A$11,0),3),0)+IFERROR(VLOOKUP($AM291,個性タイプマスタ!$A$5:$P$100,12,FALSE),0)))</f>
        <v>6.5000000000000002E-2</v>
      </c>
      <c r="S291" s="58">
        <f>MAX(-10,MIN(0.8,IFERROR(INDEX(属性耐性マスタ!$B$5:$G$11,MATCH($C291,属性耐性マスタ!$A$5:$A$11,0),4),0)+IFERROR(VLOOKUP($AM291,個性タイプマスタ!$A$5:$P$100,12,FALSE),0)))</f>
        <v>6.5000000000000002E-2</v>
      </c>
      <c r="T291" s="58">
        <f>MAX(-10,MIN(0.8,IFERROR(INDEX(属性耐性マスタ!$B$5:$G$11,MATCH($C291,属性耐性マスタ!$A$5:$A$11,0),5),0)+IFERROR(VLOOKUP($AM291,個性タイプマスタ!$A$5:$P$100,12,FALSE),0)))</f>
        <v>-3.5000000000000003E-2</v>
      </c>
      <c r="U291" s="58">
        <f>MAX(-10,MIN(0.8,IFERROR(INDEX(属性耐性マスタ!$B$5:$G$11,MATCH($C291,属性耐性マスタ!$A$5:$A$11,0),6),0)+IFERROR(VLOOKUP($AM291,個性タイプマスタ!$A$5:$P$100,12,FALSE),0)))</f>
        <v>0.26500000000000001</v>
      </c>
      <c r="V291" s="59">
        <f>ROUND(設定!$B$19*IFERROR(VLOOKUP($AM291,個性タイプマスタ!$A$5:$P$100,13,FALSE),1),2)</f>
        <v>4.2</v>
      </c>
      <c r="W291" s="59">
        <v>48</v>
      </c>
      <c r="X291" s="59" t="str">
        <f>IFERROR(VLOOKUP($AM291,個性タイプマスタ!$A$5:$P$100,2,FALSE),"Ranged")</f>
        <v>Melee</v>
      </c>
      <c r="Y291" s="56">
        <f>IFERROR(VLOOKUP($AM291,個性タイプマスタ!$A$5:$P$100,3,FALSE),1)</f>
        <v>1.2</v>
      </c>
      <c r="Z291" s="56">
        <f>IFERROR(VLOOKUP($AM291,個性タイプマスタ!$A$5:$P$100,4,FALSE),1)</f>
        <v>0.76</v>
      </c>
      <c r="AA291" s="56">
        <f>IFERROR(VLOOKUP($AM291,個性タイプマスタ!$A$5:$P$100,5,FALSE),1)</f>
        <v>2.1</v>
      </c>
      <c r="AB291" s="56">
        <f>IFERROR(VLOOKUP($AM291,個性タイプマスタ!$A$5:$P$100,6,FALSE),1)</f>
        <v>1</v>
      </c>
      <c r="AC291" s="56">
        <f>IFERROR(VLOOKUP($AM291,個性タイプマスタ!$A$5:$P$100,7,FALSE),1)</f>
        <v>0.93</v>
      </c>
      <c r="AD291" s="56">
        <f>IFERROR(VLOOKUP($AM291,個性タイプマスタ!$A$5:$P$100,8,FALSE),1)</f>
        <v>0.8</v>
      </c>
      <c r="AE291" s="60">
        <f>IFERROR(D291/設定!$B$5,1)</f>
        <v>88.197500000000005</v>
      </c>
      <c r="AF291" s="60">
        <f>1+設定!$B$13*((I291/設定!$B$8+J291/設定!$B$9)/(2*AE291))</f>
        <v>1.4290087587516653</v>
      </c>
      <c r="AG291" s="60">
        <f>MAX(0.7,1+設定!$B$14*(O291/IF(X291="Melee",1.5,2.5)-1))</f>
        <v>0.99160000000000004</v>
      </c>
      <c r="AH291" s="53">
        <f t="shared" si="17"/>
        <v>1189.4658472000001</v>
      </c>
      <c r="AI291" s="53">
        <f>E291*AF291*(1+設定!$B$18*AVERAGE(P291:U291))</f>
        <v>15680.458807449191</v>
      </c>
      <c r="AJ291" s="61">
        <f>設定!$B$5*SQRT((AH291/(設定!$B$7*設定!$B$10*(1+設定!$B$11*(設定!$B$12-1))))*(AI291/(設定!$B$6*(1+設定!$B$13))))</f>
        <v>8818.3130039430307</v>
      </c>
      <c r="AK291" s="62">
        <f t="shared" si="18"/>
        <v>-1.6292934119099822E-4</v>
      </c>
      <c r="AL291" s="63">
        <f t="shared" si="19"/>
        <v>7055.8</v>
      </c>
      <c r="AM291" s="64" t="s">
        <v>972</v>
      </c>
      <c r="AN291" s="54">
        <f>MAX(1,ROUND((設定!$B$7*設定!$B$10*(1+設定!$B$11*(設定!$B$12-1)))*AE291^2*(設定!$B$6*(1+設定!$B$13))/(AI291*N291*(1+K291*(L291-1))*AG291),0))</f>
        <v>1172</v>
      </c>
      <c r="AO291" s="65" t="str">
        <f>IF($A291="","",IF(COUNTIF(個性タイプマスタ!$A$5:$A$100,$AM291)&gt;0,"OK","未登録"))</f>
        <v>OK</v>
      </c>
      <c r="AP291" s="67" t="str">
        <f>IF($A291="","",IF(COUNTIF(属性耐性マスタ!$A$5:$A$11,$C291)&gt;0,"OK","未登録"))</f>
        <v>OK</v>
      </c>
    </row>
    <row r="292" spans="1:42">
      <c r="A292" s="66" t="s">
        <v>684</v>
      </c>
      <c r="B292" s="51" t="s">
        <v>685</v>
      </c>
      <c r="C292" s="109" t="s">
        <v>874</v>
      </c>
      <c r="D292" s="53">
        <f>ROUND(設定!$B$5*POWER($D$2,W292-1),2)</f>
        <v>8819.75</v>
      </c>
      <c r="E292" s="54">
        <f>MAX(1,ROUND(設定!$B$6*AE292*Y292,0))</f>
        <v>13230</v>
      </c>
      <c r="F292" s="54">
        <f>MAX(0,ROUND(設定!$B$7*AE292*設定!$B$15*IF(X292="Melee",0.6,1.35)*IFERROR(VLOOKUP($AM292,個性タイプマスタ!$A$5:$P$100,14,FALSE),1),0))</f>
        <v>1607</v>
      </c>
      <c r="G292" s="54">
        <f>IF(X292="Melee",AN292,MAX(1,ROUND(AN292*設定!$B$16*IFERROR(VLOOKUP($AM292,個性タイプマスタ!$A$5:$P$100,15,FALSE),1),0)))</f>
        <v>321</v>
      </c>
      <c r="H292" s="54">
        <f>IF(X292="Ranged",AN292,MAX(1,ROUND(AN292*設定!$B$16*IFERROR(VLOOKUP($AM292,個性タイプマスタ!$A$5:$P$100,15,FALSE),1),0)))</f>
        <v>713</v>
      </c>
      <c r="I292" s="54">
        <f>MAX(0,ROUND(設定!$B$8*AE292*Z292,0))</f>
        <v>1058</v>
      </c>
      <c r="J292" s="54">
        <f>MAX(0,ROUND(設定!$B$9*AE292*AA292,0))</f>
        <v>988</v>
      </c>
      <c r="K292" s="55">
        <f>IFERROR(VLOOKUP($AM292,個性タイプマスタ!$A$5:$P$100,9,FALSE),0.05)</f>
        <v>0.1</v>
      </c>
      <c r="L292" s="56">
        <f>IFERROR(VLOOKUP($AM292,個性タイプマスタ!$A$5:$P$100,10,FALSE),1.5)</f>
        <v>1.75</v>
      </c>
      <c r="M292" s="56">
        <f>IFERROR(VLOOKUP($AM292,個性タイプマスタ!$A$5:$P$100,11,FALSE),2)</f>
        <v>2.4</v>
      </c>
      <c r="N292" s="57">
        <f>MAX(0.1,ROUND(設定!$B$10*AB292,3))</f>
        <v>1.2</v>
      </c>
      <c r="O292" s="57">
        <f t="shared" si="16"/>
        <v>3</v>
      </c>
      <c r="P292" s="58">
        <f>MAX(-10,MIN(0.8,IFERROR(INDEX(属性耐性マスタ!$B$5:$G$11,MATCH($C292,属性耐性マスタ!$A$5:$A$11,0),1),0)+IFERROR(VLOOKUP($AM292,個性タイプマスタ!$A$5:$P$100,12,FALSE),0)))</f>
        <v>0.08</v>
      </c>
      <c r="Q292" s="58">
        <f>MAX(-10,MIN(0.8,IFERROR(INDEX(属性耐性マスタ!$B$5:$G$11,MATCH($C292,属性耐性マスタ!$A$5:$A$11,0),2),0)+IFERROR(VLOOKUP($AM292,個性タイプマスタ!$A$5:$P$100,12,FALSE),0)))</f>
        <v>0.08</v>
      </c>
      <c r="R292" s="58">
        <f>MAX(-10,MIN(0.8,IFERROR(INDEX(属性耐性マスタ!$B$5:$G$11,MATCH($C292,属性耐性マスタ!$A$5:$A$11,0),3),0)+IFERROR(VLOOKUP($AM292,個性タイプマスタ!$A$5:$P$100,12,FALSE),0)))</f>
        <v>0.08</v>
      </c>
      <c r="S292" s="58">
        <f>MAX(-10,MIN(0.8,IFERROR(INDEX(属性耐性マスタ!$B$5:$G$11,MATCH($C292,属性耐性マスタ!$A$5:$A$11,0),4),0)+IFERROR(VLOOKUP($AM292,個性タイプマスタ!$A$5:$P$100,12,FALSE),0)))</f>
        <v>0.08</v>
      </c>
      <c r="T292" s="58">
        <f>MAX(-10,MIN(0.8,IFERROR(INDEX(属性耐性マスタ!$B$5:$G$11,MATCH($C292,属性耐性マスタ!$A$5:$A$11,0),5),0)+IFERROR(VLOOKUP($AM292,個性タイプマスタ!$A$5:$P$100,12,FALSE),0)))</f>
        <v>-2.0000000000000004E-2</v>
      </c>
      <c r="U292" s="58">
        <f>MAX(-10,MIN(0.8,IFERROR(INDEX(属性耐性マスタ!$B$5:$G$11,MATCH($C292,属性耐性マスタ!$A$5:$A$11,0),6),0)+IFERROR(VLOOKUP($AM292,個性タイプマスタ!$A$5:$P$100,12,FALSE),0)))</f>
        <v>0.28000000000000003</v>
      </c>
      <c r="V292" s="59">
        <f>ROUND(設定!$B$19*IFERROR(VLOOKUP($AM292,個性タイプマスタ!$A$5:$P$100,13,FALSE),1),2)</f>
        <v>4</v>
      </c>
      <c r="W292" s="59">
        <v>48</v>
      </c>
      <c r="X292" s="59" t="str">
        <f>IFERROR(VLOOKUP($AM292,個性タイプマスタ!$A$5:$P$100,2,FALSE),"Ranged")</f>
        <v>Ranged</v>
      </c>
      <c r="Y292" s="56">
        <f>IFERROR(VLOOKUP($AM292,個性タイプマスタ!$A$5:$P$100,3,FALSE),1)</f>
        <v>1.5</v>
      </c>
      <c r="Z292" s="56">
        <f>IFERROR(VLOOKUP($AM292,個性タイプマスタ!$A$5:$P$100,4,FALSE),1)</f>
        <v>1.5</v>
      </c>
      <c r="AA292" s="56">
        <f>IFERROR(VLOOKUP($AM292,個性タイプマスタ!$A$5:$P$100,5,FALSE),1)</f>
        <v>1.4</v>
      </c>
      <c r="AB292" s="56">
        <f>IFERROR(VLOOKUP($AM292,個性タイプマスタ!$A$5:$P$100,6,FALSE),1)</f>
        <v>1.2</v>
      </c>
      <c r="AC292" s="56">
        <f>IFERROR(VLOOKUP($AM292,個性タイプマスタ!$A$5:$P$100,7,FALSE),1)</f>
        <v>1.2</v>
      </c>
      <c r="AD292" s="56">
        <f>IFERROR(VLOOKUP($AM292,個性タイプマスタ!$A$5:$P$100,8,FALSE),1)</f>
        <v>1</v>
      </c>
      <c r="AE292" s="60">
        <f>IFERROR(D292/設定!$B$5,1)</f>
        <v>88.197500000000005</v>
      </c>
      <c r="AF292" s="60">
        <f>1+設定!$B$13*((I292/設定!$B$8+J292/設定!$B$9)/(2*AE292))</f>
        <v>1.4349613084271096</v>
      </c>
      <c r="AG292" s="60">
        <f>MAX(0.7,1+設定!$B$14*(O292/IF(X292="Melee",1.5,2.5)-1))</f>
        <v>1.024</v>
      </c>
      <c r="AH292" s="53">
        <f t="shared" si="17"/>
        <v>941.84447999999998</v>
      </c>
      <c r="AI292" s="53">
        <f>E292*AF292*(1+設定!$B$18*AVERAGE(P292:U292))</f>
        <v>19810.365518297003</v>
      </c>
      <c r="AJ292" s="61">
        <f>設定!$B$5*SQRT((AH292/(設定!$B$7*設定!$B$10*(1+設定!$B$11*(設定!$B$12-1))))*(AI292/(設定!$B$6*(1+設定!$B$13))))</f>
        <v>8819.9471205594982</v>
      </c>
      <c r="AK292" s="62">
        <f t="shared" si="18"/>
        <v>2.2349903284979433E-5</v>
      </c>
      <c r="AL292" s="63">
        <f t="shared" si="19"/>
        <v>8819.75</v>
      </c>
      <c r="AM292" s="64" t="s">
        <v>890</v>
      </c>
      <c r="AN292" s="54">
        <f>MAX(1,ROUND((設定!$B$7*設定!$B$10*(1+設定!$B$11*(設定!$B$12-1)))*AE292^2*(設定!$B$6*(1+設定!$B$13))/(AI292*N292*(1+K292*(L292-1))*AG292),0))</f>
        <v>713</v>
      </c>
      <c r="AO292" s="65" t="str">
        <f>IF($A292="","",IF(COUNTIF(個性タイプマスタ!$A$5:$A$100,$AM292)&gt;0,"OK","未登録"))</f>
        <v>OK</v>
      </c>
      <c r="AP292" s="67" t="str">
        <f>IF($A292="","",IF(COUNTIF(属性耐性マスタ!$A$5:$A$11,$C292)&gt;0,"OK","未登録"))</f>
        <v>OK</v>
      </c>
    </row>
    <row r="293" spans="1:42">
      <c r="A293" s="66" t="s">
        <v>686</v>
      </c>
      <c r="B293" s="51" t="s">
        <v>687</v>
      </c>
      <c r="C293" s="109" t="s">
        <v>874</v>
      </c>
      <c r="D293" s="53">
        <f>ROUND(設定!$B$5*POWER($D$2,W293-1),2)</f>
        <v>9701.7199999999993</v>
      </c>
      <c r="E293" s="54">
        <f>MAX(1,ROUND(設定!$B$6*AE293*Y293,0))</f>
        <v>5336</v>
      </c>
      <c r="F293" s="54">
        <f>MAX(0,ROUND(設定!$B$7*AE293*設定!$B$15*IF(X293="Melee",0.6,1.35)*IFERROR(VLOOKUP($AM293,個性タイプマスタ!$A$5:$P$100,14,FALSE),1),0))</f>
        <v>2122</v>
      </c>
      <c r="G293" s="54">
        <f>IF(X293="Melee",AN293,MAX(1,ROUND(AN293*設定!$B$16*IFERROR(VLOOKUP($AM293,個性タイプマスタ!$A$5:$P$100,15,FALSE),1),0)))</f>
        <v>998</v>
      </c>
      <c r="H293" s="54">
        <f>IF(X293="Ranged",AN293,MAX(1,ROUND(AN293*設定!$B$16*IFERROR(VLOOKUP($AM293,個性タイプマスタ!$A$5:$P$100,15,FALSE),1),0)))</f>
        <v>2771</v>
      </c>
      <c r="I293" s="54">
        <f>MAX(0,ROUND(設定!$B$8*AE293*Z293,0))</f>
        <v>1125</v>
      </c>
      <c r="J293" s="54">
        <f>MAX(0,ROUND(設定!$B$9*AE293*AA293,0))</f>
        <v>1746</v>
      </c>
      <c r="K293" s="55">
        <f>IFERROR(VLOOKUP($AM293,個性タイプマスタ!$A$5:$P$100,9,FALSE),0.05)</f>
        <v>0.04</v>
      </c>
      <c r="L293" s="56">
        <f>IFERROR(VLOOKUP($AM293,個性タイプマスタ!$A$5:$P$100,10,FALSE),1.5)</f>
        <v>1.38</v>
      </c>
      <c r="M293" s="56">
        <f>IFERROR(VLOOKUP($AM293,個性タイプマスタ!$A$5:$P$100,11,FALSE),2)</f>
        <v>2.2000000000000002</v>
      </c>
      <c r="N293" s="57">
        <f>MAX(0.1,ROUND(設定!$B$10*AB293,3))</f>
        <v>0.88</v>
      </c>
      <c r="O293" s="57">
        <f t="shared" si="16"/>
        <v>3.15</v>
      </c>
      <c r="P293" s="58">
        <f>MAX(-10,MIN(0.8,IFERROR(INDEX(属性耐性マスタ!$B$5:$G$11,MATCH($C293,属性耐性マスタ!$A$5:$A$11,0),1),0)+IFERROR(VLOOKUP($AM293,個性タイプマスタ!$A$5:$P$100,12,FALSE),0)))</f>
        <v>0.13</v>
      </c>
      <c r="Q293" s="58">
        <f>MAX(-10,MIN(0.8,IFERROR(INDEX(属性耐性マスタ!$B$5:$G$11,MATCH($C293,属性耐性マスタ!$A$5:$A$11,0),2),0)+IFERROR(VLOOKUP($AM293,個性タイプマスタ!$A$5:$P$100,12,FALSE),0)))</f>
        <v>0.13</v>
      </c>
      <c r="R293" s="58">
        <f>MAX(-10,MIN(0.8,IFERROR(INDEX(属性耐性マスタ!$B$5:$G$11,MATCH($C293,属性耐性マスタ!$A$5:$A$11,0),3),0)+IFERROR(VLOOKUP($AM293,個性タイプマスタ!$A$5:$P$100,12,FALSE),0)))</f>
        <v>0.13</v>
      </c>
      <c r="S293" s="58">
        <f>MAX(-10,MIN(0.8,IFERROR(INDEX(属性耐性マスタ!$B$5:$G$11,MATCH($C293,属性耐性マスタ!$A$5:$A$11,0),4),0)+IFERROR(VLOOKUP($AM293,個性タイプマスタ!$A$5:$P$100,12,FALSE),0)))</f>
        <v>0.13</v>
      </c>
      <c r="T293" s="58">
        <f>MAX(-10,MIN(0.8,IFERROR(INDEX(属性耐性マスタ!$B$5:$G$11,MATCH($C293,属性耐性マスタ!$A$5:$A$11,0),5),0)+IFERROR(VLOOKUP($AM293,個性タイプマスタ!$A$5:$P$100,12,FALSE),0)))</f>
        <v>0.03</v>
      </c>
      <c r="U293" s="58">
        <f>MAX(-10,MIN(0.8,IFERROR(INDEX(属性耐性マスタ!$B$5:$G$11,MATCH($C293,属性耐性マスタ!$A$5:$A$11,0),6),0)+IFERROR(VLOOKUP($AM293,個性タイプマスタ!$A$5:$P$100,12,FALSE),0)))</f>
        <v>0.33</v>
      </c>
      <c r="V293" s="59">
        <f>ROUND(設定!$B$19*IFERROR(VLOOKUP($AM293,個性タイプマスタ!$A$5:$P$100,13,FALSE),1),2)</f>
        <v>4.4800000000000004</v>
      </c>
      <c r="W293" s="59">
        <v>49</v>
      </c>
      <c r="X293" s="59" t="str">
        <f>IFERROR(VLOOKUP($AM293,個性タイプマスタ!$A$5:$P$100,2,FALSE),"Ranged")</f>
        <v>Ranged</v>
      </c>
      <c r="Y293" s="56">
        <f>IFERROR(VLOOKUP($AM293,個性タイプマスタ!$A$5:$P$100,3,FALSE),1)</f>
        <v>0.55000000000000004</v>
      </c>
      <c r="Z293" s="56">
        <f>IFERROR(VLOOKUP($AM293,個性タイプマスタ!$A$5:$P$100,4,FALSE),1)</f>
        <v>1.45</v>
      </c>
      <c r="AA293" s="56">
        <f>IFERROR(VLOOKUP($AM293,個性タイプマスタ!$A$5:$P$100,5,FALSE),1)</f>
        <v>2.25</v>
      </c>
      <c r="AB293" s="56">
        <f>IFERROR(VLOOKUP($AM293,個性タイプマスタ!$A$5:$P$100,6,FALSE),1)</f>
        <v>0.88</v>
      </c>
      <c r="AC293" s="56">
        <f>IFERROR(VLOOKUP($AM293,個性タイプマスタ!$A$5:$P$100,7,FALSE),1)</f>
        <v>1.26</v>
      </c>
      <c r="AD293" s="56">
        <f>IFERROR(VLOOKUP($AM293,個性タイプマスタ!$A$5:$P$100,8,FALSE),1)</f>
        <v>0.75</v>
      </c>
      <c r="AE293" s="60">
        <f>IFERROR(D293/設定!$B$5,1)</f>
        <v>97.017199999999988</v>
      </c>
      <c r="AF293" s="60">
        <f>1+設定!$B$13*((I293/設定!$B$8+J293/設定!$B$9)/(2*AE293))</f>
        <v>1.5548629521363222</v>
      </c>
      <c r="AG293" s="60">
        <f>MAX(0.7,1+設定!$B$14*(O293/IF(X293="Melee",1.5,2.5)-1))</f>
        <v>1.0311999999999999</v>
      </c>
      <c r="AH293" s="53">
        <f t="shared" si="17"/>
        <v>2552.7818967552003</v>
      </c>
      <c r="AI293" s="53">
        <f>E293*AF293*(1+設定!$B$18*AVERAGE(P293:U293))</f>
        <v>8844.3341276309784</v>
      </c>
      <c r="AJ293" s="61">
        <f>設定!$B$5*SQRT((AH293/(設定!$B$7*設定!$B$10*(1+設定!$B$11*(設定!$B$12-1))))*(AI293/(設定!$B$6*(1+設定!$B$13))))</f>
        <v>9702.1853014785174</v>
      </c>
      <c r="AK293" s="62">
        <f t="shared" si="18"/>
        <v>4.7960720214401675E-5</v>
      </c>
      <c r="AL293" s="63">
        <f t="shared" si="19"/>
        <v>7276.2899999999991</v>
      </c>
      <c r="AM293" s="64" t="s">
        <v>940</v>
      </c>
      <c r="AN293" s="54">
        <f>MAX(1,ROUND((設定!$B$7*設定!$B$10*(1+設定!$B$11*(設定!$B$12-1)))*AE293^2*(設定!$B$6*(1+設定!$B$13))/(AI293*N293*(1+K293*(L293-1))*AG293),0))</f>
        <v>2771</v>
      </c>
      <c r="AO293" s="65" t="str">
        <f>IF($A293="","",IF(COUNTIF(個性タイプマスタ!$A$5:$A$100,$AM293)&gt;0,"OK","未登録"))</f>
        <v>OK</v>
      </c>
      <c r="AP293" s="67" t="str">
        <f>IF($A293="","",IF(COUNTIF(属性耐性マスタ!$A$5:$A$11,$C293)&gt;0,"OK","未登録"))</f>
        <v>OK</v>
      </c>
    </row>
    <row r="294" spans="1:42">
      <c r="A294" s="66" t="s">
        <v>688</v>
      </c>
      <c r="B294" s="51" t="s">
        <v>689</v>
      </c>
      <c r="C294" s="109" t="s">
        <v>121</v>
      </c>
      <c r="D294" s="53">
        <f>ROUND(設定!$B$5*POWER($D$2,W294-1),2)</f>
        <v>9701.7199999999993</v>
      </c>
      <c r="E294" s="54">
        <f>MAX(1,ROUND(設定!$B$6*AE294*Y294,0))</f>
        <v>9702</v>
      </c>
      <c r="F294" s="54">
        <f>MAX(0,ROUND(設定!$B$7*AE294*設定!$B$15*IF(X294="Melee",0.6,1.35)*IFERROR(VLOOKUP($AM294,個性タイプマスタ!$A$5:$P$100,14,FALSE),1),0))</f>
        <v>2051</v>
      </c>
      <c r="G294" s="54">
        <f>IF(X294="Melee",AN294,MAX(1,ROUND(AN294*設定!$B$16*IFERROR(VLOOKUP($AM294,個性タイプマスタ!$A$5:$P$100,15,FALSE),1),0)))</f>
        <v>779</v>
      </c>
      <c r="H294" s="54">
        <f>IF(X294="Ranged",AN294,MAX(1,ROUND(AN294*設定!$B$16*IFERROR(VLOOKUP($AM294,個性タイプマスタ!$A$5:$P$100,15,FALSE),1),0)))</f>
        <v>1730</v>
      </c>
      <c r="I294" s="54">
        <f>MAX(0,ROUND(設定!$B$8*AE294*Z294,0))</f>
        <v>776</v>
      </c>
      <c r="J294" s="54">
        <f>MAX(0,ROUND(設定!$B$9*AE294*AA294,0))</f>
        <v>931</v>
      </c>
      <c r="K294" s="55">
        <f>IFERROR(VLOOKUP($AM294,個性タイプマスタ!$A$5:$P$100,9,FALSE),0.05)</f>
        <v>0.06</v>
      </c>
      <c r="L294" s="56">
        <f>IFERROR(VLOOKUP($AM294,個性タイプマスタ!$A$5:$P$100,10,FALSE),1.5)</f>
        <v>1.4</v>
      </c>
      <c r="M294" s="56">
        <f>IFERROR(VLOOKUP($AM294,個性タイプマスタ!$A$5:$P$100,11,FALSE),2)</f>
        <v>2.1</v>
      </c>
      <c r="N294" s="57">
        <f>MAX(0.1,ROUND(設定!$B$10*AB294,3))</f>
        <v>0.95</v>
      </c>
      <c r="O294" s="57">
        <f t="shared" si="16"/>
        <v>2.875</v>
      </c>
      <c r="P294" s="58">
        <f>MAX(-10,MIN(0.8,IFERROR(INDEX(属性耐性マスタ!$B$5:$G$11,MATCH($C294,属性耐性マスタ!$A$5:$A$11,0),1),0)+IFERROR(VLOOKUP($AM294,個性タイプマスタ!$A$5:$P$100,12,FALSE),0)))</f>
        <v>0.03</v>
      </c>
      <c r="Q294" s="58">
        <f>MAX(-10,MIN(0.8,IFERROR(INDEX(属性耐性マスタ!$B$5:$G$11,MATCH($C294,属性耐性マスタ!$A$5:$A$11,0),2),0)+IFERROR(VLOOKUP($AM294,個性タイプマスタ!$A$5:$P$100,12,FALSE),0)))</f>
        <v>0.03</v>
      </c>
      <c r="R294" s="58">
        <f>MAX(-10,MIN(0.8,IFERROR(INDEX(属性耐性マスタ!$B$5:$G$11,MATCH($C294,属性耐性マスタ!$A$5:$A$11,0),3),0)+IFERROR(VLOOKUP($AM294,個性タイプマスタ!$A$5:$P$100,12,FALSE),0)))</f>
        <v>0.03</v>
      </c>
      <c r="S294" s="58">
        <f>MAX(-10,MIN(0.8,IFERROR(INDEX(属性耐性マスタ!$B$5:$G$11,MATCH($C294,属性耐性マスタ!$A$5:$A$11,0),4),0)+IFERROR(VLOOKUP($AM294,個性タイプマスタ!$A$5:$P$100,12,FALSE),0)))</f>
        <v>0.03</v>
      </c>
      <c r="T294" s="58">
        <f>MAX(-10,MIN(0.8,IFERROR(INDEX(属性耐性マスタ!$B$5:$G$11,MATCH($C294,属性耐性マスタ!$A$5:$A$11,0),5),0)+IFERROR(VLOOKUP($AM294,個性タイプマスタ!$A$5:$P$100,12,FALSE),0)))</f>
        <v>0.23</v>
      </c>
      <c r="U294" s="58">
        <f>MAX(-10,MIN(0.8,IFERROR(INDEX(属性耐性マスタ!$B$5:$G$11,MATCH($C294,属性耐性マスタ!$A$5:$A$11,0),6),0)+IFERROR(VLOOKUP($AM294,個性タイプマスタ!$A$5:$P$100,12,FALSE),0)))</f>
        <v>-7.0000000000000007E-2</v>
      </c>
      <c r="V294" s="59">
        <f>ROUND(設定!$B$19*IFERROR(VLOOKUP($AM294,個性タイプマスタ!$A$5:$P$100,13,FALSE),1),2)</f>
        <v>4.8</v>
      </c>
      <c r="W294" s="59">
        <v>49</v>
      </c>
      <c r="X294" s="59" t="str">
        <f>IFERROR(VLOOKUP($AM294,個性タイプマスタ!$A$5:$P$100,2,FALSE),"Ranged")</f>
        <v>Ranged</v>
      </c>
      <c r="Y294" s="56">
        <f>IFERROR(VLOOKUP($AM294,個性タイプマスタ!$A$5:$P$100,3,FALSE),1)</f>
        <v>1</v>
      </c>
      <c r="Z294" s="56">
        <f>IFERROR(VLOOKUP($AM294,個性タイプマスタ!$A$5:$P$100,4,FALSE),1)</f>
        <v>1</v>
      </c>
      <c r="AA294" s="56">
        <f>IFERROR(VLOOKUP($AM294,個性タイプマスタ!$A$5:$P$100,5,FALSE),1)</f>
        <v>1.2</v>
      </c>
      <c r="AB294" s="56">
        <f>IFERROR(VLOOKUP($AM294,個性タイプマスタ!$A$5:$P$100,6,FALSE),1)</f>
        <v>0.95</v>
      </c>
      <c r="AC294" s="56">
        <f>IFERROR(VLOOKUP($AM294,個性タイプマスタ!$A$5:$P$100,7,FALSE),1)</f>
        <v>1.1499999999999999</v>
      </c>
      <c r="AD294" s="56">
        <f>IFERROR(VLOOKUP($AM294,個性タイプマスタ!$A$5:$P$100,8,FALSE),1)</f>
        <v>0.84</v>
      </c>
      <c r="AE294" s="60">
        <f>IFERROR(D294/設定!$B$5,1)</f>
        <v>97.017199999999988</v>
      </c>
      <c r="AF294" s="60">
        <f>1+設定!$B$13*((I294/設定!$B$8+J294/設定!$B$9)/(2*AE294))</f>
        <v>1.3299028419702899</v>
      </c>
      <c r="AG294" s="60">
        <f>MAX(0.7,1+設定!$B$14*(O294/IF(X294="Melee",1.5,2.5)-1))</f>
        <v>1.018</v>
      </c>
      <c r="AH294" s="53">
        <f t="shared" si="17"/>
        <v>1713.2369919999999</v>
      </c>
      <c r="AI294" s="53">
        <f>E294*AF294*(1+設定!$B$18*AVERAGE(P294:U294))</f>
        <v>13173.674437624462</v>
      </c>
      <c r="AJ294" s="61">
        <f>設定!$B$5*SQRT((AH294/(設定!$B$7*設定!$B$10*(1+設定!$B$11*(設定!$B$12-1))))*(AI294/(設定!$B$6*(1+設定!$B$13))))</f>
        <v>9700.4598699744583</v>
      </c>
      <c r="AK294" s="62">
        <f t="shared" si="18"/>
        <v>-1.2988728035245867E-4</v>
      </c>
      <c r="AL294" s="63">
        <f t="shared" si="19"/>
        <v>8149.4447999999993</v>
      </c>
      <c r="AM294" s="64" t="s">
        <v>898</v>
      </c>
      <c r="AN294" s="54">
        <f>MAX(1,ROUND((設定!$B$7*設定!$B$10*(1+設定!$B$11*(設定!$B$12-1)))*AE294^2*(設定!$B$6*(1+設定!$B$13))/(AI294*N294*(1+K294*(L294-1))*AG294),0))</f>
        <v>1730</v>
      </c>
      <c r="AO294" s="65" t="str">
        <f>IF($A294="","",IF(COUNTIF(個性タイプマスタ!$A$5:$A$100,$AM294)&gt;0,"OK","未登録"))</f>
        <v>OK</v>
      </c>
      <c r="AP294" s="67" t="str">
        <f>IF($A294="","",IF(COUNTIF(属性耐性マスタ!$A$5:$A$11,$C294)&gt;0,"OK","未登録"))</f>
        <v>OK</v>
      </c>
    </row>
    <row r="295" spans="1:42">
      <c r="A295" s="66" t="s">
        <v>690</v>
      </c>
      <c r="B295" s="51" t="s">
        <v>691</v>
      </c>
      <c r="C295" s="109" t="s">
        <v>874</v>
      </c>
      <c r="D295" s="53">
        <f>ROUND(設定!$B$5*POWER($D$2,W295-1),2)</f>
        <v>9701.7199999999993</v>
      </c>
      <c r="E295" s="54">
        <f>MAX(1,ROUND(設定!$B$6*AE295*Y295,0))</f>
        <v>9314</v>
      </c>
      <c r="F295" s="54">
        <f>MAX(0,ROUND(設定!$B$7*AE295*設定!$B$15*IF(X295="Melee",0.6,1.35)*IFERROR(VLOOKUP($AM295,個性タイプマスタ!$A$5:$P$100,14,FALSE),1),0))</f>
        <v>1556</v>
      </c>
      <c r="G295" s="54">
        <f>IF(X295="Melee",AN295,MAX(1,ROUND(AN295*設定!$B$16*IFERROR(VLOOKUP($AM295,個性タイプマスタ!$A$5:$P$100,15,FALSE),1),0)))</f>
        <v>515</v>
      </c>
      <c r="H295" s="54">
        <f>IF(X295="Ranged",AN295,MAX(1,ROUND(AN295*設定!$B$16*IFERROR(VLOOKUP($AM295,個性タイプマスタ!$A$5:$P$100,15,FALSE),1),0)))</f>
        <v>1845</v>
      </c>
      <c r="I295" s="54">
        <f>MAX(0,ROUND(設定!$B$8*AE295*Z295,0))</f>
        <v>636</v>
      </c>
      <c r="J295" s="54">
        <f>MAX(0,ROUND(設定!$B$9*AE295*AA295,0))</f>
        <v>706</v>
      </c>
      <c r="K295" s="55">
        <f>IFERROR(VLOOKUP($AM295,個性タイプマスタ!$A$5:$P$100,9,FALSE),0.05)</f>
        <v>0.06</v>
      </c>
      <c r="L295" s="56">
        <f>IFERROR(VLOOKUP($AM295,個性タイプマスタ!$A$5:$P$100,10,FALSE),1.5)</f>
        <v>1.6</v>
      </c>
      <c r="M295" s="56">
        <f>IFERROR(VLOOKUP($AM295,個性タイプマスタ!$A$5:$P$100,11,FALSE),2)</f>
        <v>2.25</v>
      </c>
      <c r="N295" s="57">
        <f>MAX(0.1,ROUND(設定!$B$10*AB295,3))</f>
        <v>0.91</v>
      </c>
      <c r="O295" s="57">
        <f t="shared" si="16"/>
        <v>4.75</v>
      </c>
      <c r="P295" s="58">
        <f>MAX(-10,MIN(0.8,IFERROR(INDEX(属性耐性マスタ!$B$5:$G$11,MATCH($C295,属性耐性マスタ!$A$5:$A$11,0),1),0)+IFERROR(VLOOKUP($AM295,個性タイプマスタ!$A$5:$P$100,12,FALSE),0)))</f>
        <v>-0.02</v>
      </c>
      <c r="Q295" s="58">
        <f>MAX(-10,MIN(0.8,IFERROR(INDEX(属性耐性マスタ!$B$5:$G$11,MATCH($C295,属性耐性マスタ!$A$5:$A$11,0),2),0)+IFERROR(VLOOKUP($AM295,個性タイプマスタ!$A$5:$P$100,12,FALSE),0)))</f>
        <v>-0.02</v>
      </c>
      <c r="R295" s="58">
        <f>MAX(-10,MIN(0.8,IFERROR(INDEX(属性耐性マスタ!$B$5:$G$11,MATCH($C295,属性耐性マスタ!$A$5:$A$11,0),3),0)+IFERROR(VLOOKUP($AM295,個性タイプマスタ!$A$5:$P$100,12,FALSE),0)))</f>
        <v>-0.02</v>
      </c>
      <c r="S295" s="58">
        <f>MAX(-10,MIN(0.8,IFERROR(INDEX(属性耐性マスタ!$B$5:$G$11,MATCH($C295,属性耐性マスタ!$A$5:$A$11,0),4),0)+IFERROR(VLOOKUP($AM295,個性タイプマスタ!$A$5:$P$100,12,FALSE),0)))</f>
        <v>-0.02</v>
      </c>
      <c r="T295" s="58">
        <f>MAX(-10,MIN(0.8,IFERROR(INDEX(属性耐性マスタ!$B$5:$G$11,MATCH($C295,属性耐性マスタ!$A$5:$A$11,0),5),0)+IFERROR(VLOOKUP($AM295,個性タイプマスタ!$A$5:$P$100,12,FALSE),0)))</f>
        <v>-0.12000000000000001</v>
      </c>
      <c r="U295" s="58">
        <f>MAX(-10,MIN(0.8,IFERROR(INDEX(属性耐性マスタ!$B$5:$G$11,MATCH($C295,属性耐性マスタ!$A$5:$A$11,0),6),0)+IFERROR(VLOOKUP($AM295,個性タイプマスタ!$A$5:$P$100,12,FALSE),0)))</f>
        <v>0.18000000000000002</v>
      </c>
      <c r="V295" s="59">
        <f>ROUND(設定!$B$19*IFERROR(VLOOKUP($AM295,個性タイプマスタ!$A$5:$P$100,13,FALSE),1),2)</f>
        <v>6.6</v>
      </c>
      <c r="W295" s="59">
        <v>49</v>
      </c>
      <c r="X295" s="59" t="str">
        <f>IFERROR(VLOOKUP($AM295,個性タイプマスタ!$A$5:$P$100,2,FALSE),"Ranged")</f>
        <v>Ranged</v>
      </c>
      <c r="Y295" s="56">
        <f>IFERROR(VLOOKUP($AM295,個性タイプマスタ!$A$5:$P$100,3,FALSE),1)</f>
        <v>0.96</v>
      </c>
      <c r="Z295" s="56">
        <f>IFERROR(VLOOKUP($AM295,個性タイプマスタ!$A$5:$P$100,4,FALSE),1)</f>
        <v>0.82</v>
      </c>
      <c r="AA295" s="56">
        <f>IFERROR(VLOOKUP($AM295,個性タイプマスタ!$A$5:$P$100,5,FALSE),1)</f>
        <v>0.91</v>
      </c>
      <c r="AB295" s="56">
        <f>IFERROR(VLOOKUP($AM295,個性タイプマスタ!$A$5:$P$100,6,FALSE),1)</f>
        <v>0.91</v>
      </c>
      <c r="AC295" s="56">
        <f>IFERROR(VLOOKUP($AM295,個性タイプマスタ!$A$5:$P$100,7,FALSE),1)</f>
        <v>1.9</v>
      </c>
      <c r="AD295" s="56">
        <f>IFERROR(VLOOKUP($AM295,個性タイプマスタ!$A$5:$P$100,8,FALSE),1)</f>
        <v>0.75</v>
      </c>
      <c r="AE295" s="60">
        <f>IFERROR(D295/設定!$B$5,1)</f>
        <v>97.017199999999988</v>
      </c>
      <c r="AF295" s="60">
        <f>1+設定!$B$13*((I295/設定!$B$8+J295/設定!$B$9)/(2*AE295))</f>
        <v>1.2593612266690855</v>
      </c>
      <c r="AG295" s="60">
        <f>MAX(0.7,1+設定!$B$14*(O295/IF(X295="Melee",1.5,2.5)-1))</f>
        <v>1.1080000000000001</v>
      </c>
      <c r="AH295" s="53">
        <f t="shared" si="17"/>
        <v>1927.2465576000002</v>
      </c>
      <c r="AI295" s="53">
        <f>E295*AF295*(1+設定!$B$18*AVERAGE(P295:U295))</f>
        <v>11712.095929498068</v>
      </c>
      <c r="AJ295" s="61">
        <f>設定!$B$5*SQRT((AH295/(設定!$B$7*設定!$B$10*(1+設定!$B$11*(設定!$B$12-1))))*(AI295/(設定!$B$6*(1+設定!$B$13))))</f>
        <v>9700.9907023065316</v>
      </c>
      <c r="AK295" s="62">
        <f t="shared" si="18"/>
        <v>-7.5171999755485608E-5</v>
      </c>
      <c r="AL295" s="63">
        <f t="shared" si="19"/>
        <v>7276.2899999999991</v>
      </c>
      <c r="AM295" s="64" t="s">
        <v>918</v>
      </c>
      <c r="AN295" s="54">
        <f>MAX(1,ROUND((設定!$B$7*設定!$B$10*(1+設定!$B$11*(設定!$B$12-1)))*AE295^2*(設定!$B$6*(1+設定!$B$13))/(AI295*N295*(1+K295*(L295-1))*AG295),0))</f>
        <v>1845</v>
      </c>
      <c r="AO295" s="65" t="str">
        <f>IF($A295="","",IF(COUNTIF(個性タイプマスタ!$A$5:$A$100,$AM295)&gt;0,"OK","未登録"))</f>
        <v>OK</v>
      </c>
      <c r="AP295" s="67" t="str">
        <f>IF($A295="","",IF(COUNTIF(属性耐性マスタ!$A$5:$A$11,$C295)&gt;0,"OK","未登録"))</f>
        <v>OK</v>
      </c>
    </row>
    <row r="296" spans="1:42">
      <c r="A296" s="66" t="s">
        <v>692</v>
      </c>
      <c r="B296" s="51" t="s">
        <v>693</v>
      </c>
      <c r="C296" s="109" t="s">
        <v>874</v>
      </c>
      <c r="D296" s="53">
        <f>ROUND(設定!$B$5*POWER($D$2,W296-1),2)</f>
        <v>9701.7199999999993</v>
      </c>
      <c r="E296" s="54">
        <f>MAX(1,ROUND(設定!$B$6*AE296*Y296,0))</f>
        <v>8440</v>
      </c>
      <c r="F296" s="54">
        <f>MAX(0,ROUND(設定!$B$7*AE296*設定!$B$15*IF(X296="Melee",0.6,1.35)*IFERROR(VLOOKUP($AM296,個性タイプマスタ!$A$5:$P$100,14,FALSE),1),0))</f>
        <v>453</v>
      </c>
      <c r="G296" s="54">
        <f>IF(X296="Melee",AN296,MAX(1,ROUND(AN296*設定!$B$16*IFERROR(VLOOKUP($AM296,個性タイプマスタ!$A$5:$P$100,15,FALSE),1),0)))</f>
        <v>1645</v>
      </c>
      <c r="H296" s="54">
        <f>IF(X296="Ranged",AN296,MAX(1,ROUND(AN296*設定!$B$16*IFERROR(VLOOKUP($AM296,個性タイプマスタ!$A$5:$P$100,15,FALSE),1),0)))</f>
        <v>481</v>
      </c>
      <c r="I296" s="54">
        <f>MAX(0,ROUND(設定!$B$8*AE296*Z296,0))</f>
        <v>667</v>
      </c>
      <c r="J296" s="54">
        <f>MAX(0,ROUND(設定!$B$9*AE296*AA296,0))</f>
        <v>598</v>
      </c>
      <c r="K296" s="55">
        <f>IFERROR(VLOOKUP($AM296,個性タイプマスタ!$A$5:$P$100,9,FALSE),0.05)</f>
        <v>0.27</v>
      </c>
      <c r="L296" s="56">
        <f>IFERROR(VLOOKUP($AM296,個性タイプマスタ!$A$5:$P$100,10,FALSE),1.5)</f>
        <v>2.0299999999999998</v>
      </c>
      <c r="M296" s="56">
        <f>IFERROR(VLOOKUP($AM296,個性タイプマスタ!$A$5:$P$100,11,FALSE),2)</f>
        <v>2.75</v>
      </c>
      <c r="N296" s="57">
        <f>MAX(0.1,ROUND(設定!$B$10*AB296,3))</f>
        <v>1.04</v>
      </c>
      <c r="O296" s="57">
        <f t="shared" si="16"/>
        <v>1.53</v>
      </c>
      <c r="P296" s="58">
        <f>MAX(-10,MIN(0.8,IFERROR(INDEX(属性耐性マスタ!$B$5:$G$11,MATCH($C296,属性耐性マスタ!$A$5:$A$11,0),1),0)+IFERROR(VLOOKUP($AM296,個性タイプマスタ!$A$5:$P$100,12,FALSE),0)))</f>
        <v>-0.06</v>
      </c>
      <c r="Q296" s="58">
        <f>MAX(-10,MIN(0.8,IFERROR(INDEX(属性耐性マスタ!$B$5:$G$11,MATCH($C296,属性耐性マスタ!$A$5:$A$11,0),2),0)+IFERROR(VLOOKUP($AM296,個性タイプマスタ!$A$5:$P$100,12,FALSE),0)))</f>
        <v>-0.06</v>
      </c>
      <c r="R296" s="58">
        <f>MAX(-10,MIN(0.8,IFERROR(INDEX(属性耐性マスタ!$B$5:$G$11,MATCH($C296,属性耐性マスタ!$A$5:$A$11,0),3),0)+IFERROR(VLOOKUP($AM296,個性タイプマスタ!$A$5:$P$100,12,FALSE),0)))</f>
        <v>-0.06</v>
      </c>
      <c r="S296" s="58">
        <f>MAX(-10,MIN(0.8,IFERROR(INDEX(属性耐性マスタ!$B$5:$G$11,MATCH($C296,属性耐性マスタ!$A$5:$A$11,0),4),0)+IFERROR(VLOOKUP($AM296,個性タイプマスタ!$A$5:$P$100,12,FALSE),0)))</f>
        <v>-0.06</v>
      </c>
      <c r="T296" s="58">
        <f>MAX(-10,MIN(0.8,IFERROR(INDEX(属性耐性マスタ!$B$5:$G$11,MATCH($C296,属性耐性マスタ!$A$5:$A$11,0),5),0)+IFERROR(VLOOKUP($AM296,個性タイプマスタ!$A$5:$P$100,12,FALSE),0)))</f>
        <v>-0.16</v>
      </c>
      <c r="U296" s="58">
        <f>MAX(-10,MIN(0.8,IFERROR(INDEX(属性耐性マスタ!$B$5:$G$11,MATCH($C296,属性耐性マスタ!$A$5:$A$11,0),6),0)+IFERROR(VLOOKUP($AM296,個性タイプマスタ!$A$5:$P$100,12,FALSE),0)))</f>
        <v>0.14000000000000001</v>
      </c>
      <c r="V296" s="59">
        <f>ROUND(設定!$B$19*IFERROR(VLOOKUP($AM296,個性タイプマスタ!$A$5:$P$100,13,FALSE),1),2)</f>
        <v>4.2</v>
      </c>
      <c r="W296" s="59">
        <v>49</v>
      </c>
      <c r="X296" s="59" t="str">
        <f>IFERROR(VLOOKUP($AM296,個性タイプマスタ!$A$5:$P$100,2,FALSE),"Ranged")</f>
        <v>Melee</v>
      </c>
      <c r="Y296" s="56">
        <f>IFERROR(VLOOKUP($AM296,個性タイプマスタ!$A$5:$P$100,3,FALSE),1)</f>
        <v>0.87</v>
      </c>
      <c r="Z296" s="56">
        <f>IFERROR(VLOOKUP($AM296,個性タイプマスタ!$A$5:$P$100,4,FALSE),1)</f>
        <v>0.86</v>
      </c>
      <c r="AA296" s="56">
        <f>IFERROR(VLOOKUP($AM296,個性タイプマスタ!$A$5:$P$100,5,FALSE),1)</f>
        <v>0.77</v>
      </c>
      <c r="AB296" s="56">
        <f>IFERROR(VLOOKUP($AM296,個性タイプマスタ!$A$5:$P$100,6,FALSE),1)</f>
        <v>1.04</v>
      </c>
      <c r="AC296" s="56">
        <f>IFERROR(VLOOKUP($AM296,個性タイプマスタ!$A$5:$P$100,7,FALSE),1)</f>
        <v>1.02</v>
      </c>
      <c r="AD296" s="56">
        <f>IFERROR(VLOOKUP($AM296,個性タイプマスタ!$A$5:$P$100,8,FALSE),1)</f>
        <v>0.7</v>
      </c>
      <c r="AE296" s="60">
        <f>IFERROR(D296/設定!$B$5,1)</f>
        <v>97.017199999999988</v>
      </c>
      <c r="AF296" s="60">
        <f>1+設定!$B$13*((I296/設定!$B$8+J296/設定!$B$9)/(2*AE296))</f>
        <v>1.2444798448110233</v>
      </c>
      <c r="AG296" s="60">
        <f>MAX(0.7,1+設定!$B$14*(O296/IF(X296="Melee",1.5,2.5)-1))</f>
        <v>1.0024</v>
      </c>
      <c r="AH296" s="53">
        <f t="shared" si="17"/>
        <v>2191.8212563520001</v>
      </c>
      <c r="AI296" s="53">
        <f>E296*AF296*(1+設定!$B$18*AVERAGE(P296:U296))</f>
        <v>10298.593397346038</v>
      </c>
      <c r="AJ296" s="61">
        <f>設定!$B$5*SQRT((AH296/(設定!$B$7*設定!$B$10*(1+設定!$B$11*(設定!$B$12-1))))*(AI296/(設定!$B$6*(1+設定!$B$13))))</f>
        <v>9701.1151988325018</v>
      </c>
      <c r="AK296" s="62">
        <f t="shared" si="18"/>
        <v>-6.2339581795578525E-5</v>
      </c>
      <c r="AL296" s="63">
        <f t="shared" si="19"/>
        <v>6791.2039999999988</v>
      </c>
      <c r="AM296" s="64" t="s">
        <v>970</v>
      </c>
      <c r="AN296" s="54">
        <f>MAX(1,ROUND((設定!$B$7*設定!$B$10*(1+設定!$B$11*(設定!$B$12-1)))*AE296^2*(設定!$B$6*(1+設定!$B$13))/(AI296*N296*(1+K296*(L296-1))*AG296),0))</f>
        <v>1645</v>
      </c>
      <c r="AO296" s="65" t="str">
        <f>IF($A296="","",IF(COUNTIF(個性タイプマスタ!$A$5:$A$100,$AM296)&gt;0,"OK","未登録"))</f>
        <v>OK</v>
      </c>
      <c r="AP296" s="67" t="str">
        <f>IF($A296="","",IF(COUNTIF(属性耐性マスタ!$A$5:$A$11,$C296)&gt;0,"OK","未登録"))</f>
        <v>OK</v>
      </c>
    </row>
    <row r="297" spans="1:42">
      <c r="A297" s="66" t="s">
        <v>694</v>
      </c>
      <c r="B297" s="51" t="s">
        <v>695</v>
      </c>
      <c r="C297" s="109" t="s">
        <v>121</v>
      </c>
      <c r="D297" s="53">
        <f>ROUND(設定!$B$5*POWER($D$2,W297-1),2)</f>
        <v>9701.7199999999993</v>
      </c>
      <c r="E297" s="54">
        <f>MAX(1,ROUND(設定!$B$6*AE297*Y297,0))</f>
        <v>8926</v>
      </c>
      <c r="F297" s="54">
        <f>MAX(0,ROUND(設定!$B$7*AE297*設定!$B$15*IF(X297="Melee",0.6,1.35)*IFERROR(VLOOKUP($AM297,個性タイプマスタ!$A$5:$P$100,14,FALSE),1),0))</f>
        <v>629</v>
      </c>
      <c r="G297" s="54">
        <f>IF(X297="Melee",AN297,MAX(1,ROUND(AN297*設定!$B$16*IFERROR(VLOOKUP($AM297,個性タイプマスタ!$A$5:$P$100,15,FALSE),1),0)))</f>
        <v>1830</v>
      </c>
      <c r="H297" s="54">
        <f>IF(X297="Ranged",AN297,MAX(1,ROUND(AN297*設定!$B$16*IFERROR(VLOOKUP($AM297,個性タイプマスタ!$A$5:$P$100,15,FALSE),1),0)))</f>
        <v>824</v>
      </c>
      <c r="I297" s="54">
        <f>MAX(0,ROUND(設定!$B$8*AE297*Z297,0))</f>
        <v>737</v>
      </c>
      <c r="J297" s="54">
        <f>MAX(0,ROUND(設定!$B$9*AE297*AA297,0))</f>
        <v>815</v>
      </c>
      <c r="K297" s="55">
        <f>IFERROR(VLOOKUP($AM297,個性タイプマスタ!$A$5:$P$100,9,FALSE),0.05)</f>
        <v>0.05</v>
      </c>
      <c r="L297" s="56">
        <f>IFERROR(VLOOKUP($AM297,個性タイプマスタ!$A$5:$P$100,10,FALSE),1.5)</f>
        <v>1.5</v>
      </c>
      <c r="M297" s="56">
        <f>IFERROR(VLOOKUP($AM297,個性タイプマスタ!$A$5:$P$100,11,FALSE),2)</f>
        <v>2</v>
      </c>
      <c r="N297" s="57">
        <f>MAX(0.1,ROUND(設定!$B$10*AB297,3))</f>
        <v>1.05</v>
      </c>
      <c r="O297" s="57">
        <f t="shared" si="16"/>
        <v>1.2</v>
      </c>
      <c r="P297" s="58">
        <f>MAX(-10,MIN(0.8,IFERROR(INDEX(属性耐性マスタ!$B$5:$G$11,MATCH($C297,属性耐性マスタ!$A$5:$A$11,0),1),0)+IFERROR(VLOOKUP($AM297,個性タイプマスタ!$A$5:$P$100,12,FALSE),0)))</f>
        <v>0.01</v>
      </c>
      <c r="Q297" s="58">
        <f>MAX(-10,MIN(0.8,IFERROR(INDEX(属性耐性マスタ!$B$5:$G$11,MATCH($C297,属性耐性マスタ!$A$5:$A$11,0),2),0)+IFERROR(VLOOKUP($AM297,個性タイプマスタ!$A$5:$P$100,12,FALSE),0)))</f>
        <v>0.01</v>
      </c>
      <c r="R297" s="58">
        <f>MAX(-10,MIN(0.8,IFERROR(INDEX(属性耐性マスタ!$B$5:$G$11,MATCH($C297,属性耐性マスタ!$A$5:$A$11,0),3),0)+IFERROR(VLOOKUP($AM297,個性タイプマスタ!$A$5:$P$100,12,FALSE),0)))</f>
        <v>0.01</v>
      </c>
      <c r="S297" s="58">
        <f>MAX(-10,MIN(0.8,IFERROR(INDEX(属性耐性マスタ!$B$5:$G$11,MATCH($C297,属性耐性マスタ!$A$5:$A$11,0),4),0)+IFERROR(VLOOKUP($AM297,個性タイプマスタ!$A$5:$P$100,12,FALSE),0)))</f>
        <v>0.01</v>
      </c>
      <c r="T297" s="58">
        <f>MAX(-10,MIN(0.8,IFERROR(INDEX(属性耐性マスタ!$B$5:$G$11,MATCH($C297,属性耐性マスタ!$A$5:$A$11,0),5),0)+IFERROR(VLOOKUP($AM297,個性タイプマスタ!$A$5:$P$100,12,FALSE),0)))</f>
        <v>0.21000000000000002</v>
      </c>
      <c r="U297" s="58">
        <f>MAX(-10,MIN(0.8,IFERROR(INDEX(属性耐性マスタ!$B$5:$G$11,MATCH($C297,属性耐性マスタ!$A$5:$A$11,0),6),0)+IFERROR(VLOOKUP($AM297,個性タイプマスタ!$A$5:$P$100,12,FALSE),0)))</f>
        <v>-9.0000000000000011E-2</v>
      </c>
      <c r="V297" s="59">
        <f>ROUND(設定!$B$19*IFERROR(VLOOKUP($AM297,個性タイプマスタ!$A$5:$P$100,13,FALSE),1),2)</f>
        <v>4</v>
      </c>
      <c r="W297" s="59">
        <v>49</v>
      </c>
      <c r="X297" s="59" t="str">
        <f>IFERROR(VLOOKUP($AM297,個性タイプマスタ!$A$5:$P$100,2,FALSE),"Ranged")</f>
        <v>Melee</v>
      </c>
      <c r="Y297" s="56">
        <f>IFERROR(VLOOKUP($AM297,個性タイプマスタ!$A$5:$P$100,3,FALSE),1)</f>
        <v>0.92</v>
      </c>
      <c r="Z297" s="56">
        <f>IFERROR(VLOOKUP($AM297,個性タイプマスタ!$A$5:$P$100,4,FALSE),1)</f>
        <v>0.95</v>
      </c>
      <c r="AA297" s="56">
        <f>IFERROR(VLOOKUP($AM297,個性タイプマスタ!$A$5:$P$100,5,FALSE),1)</f>
        <v>1.05</v>
      </c>
      <c r="AB297" s="56">
        <f>IFERROR(VLOOKUP($AM297,個性タイプマスタ!$A$5:$P$100,6,FALSE),1)</f>
        <v>1.05</v>
      </c>
      <c r="AC297" s="56">
        <f>IFERROR(VLOOKUP($AM297,個性タイプマスタ!$A$5:$P$100,7,FALSE),1)</f>
        <v>0.8</v>
      </c>
      <c r="AD297" s="56">
        <f>IFERROR(VLOOKUP($AM297,個性タイプマスタ!$A$5:$P$100,8,FALSE),1)</f>
        <v>0.74</v>
      </c>
      <c r="AE297" s="60">
        <f>IFERROR(D297/設定!$B$5,1)</f>
        <v>97.017199999999988</v>
      </c>
      <c r="AF297" s="60">
        <f>1+設定!$B$13*((I297/設定!$B$8+J297/設定!$B$9)/(2*AE297))</f>
        <v>1.2999468135547099</v>
      </c>
      <c r="AG297" s="60">
        <f>MAX(0.7,1+設定!$B$14*(O297/IF(X297="Melee",1.5,2.5)-1))</f>
        <v>0.97599999999999998</v>
      </c>
      <c r="AH297" s="53">
        <f t="shared" si="17"/>
        <v>1922.2685999999999</v>
      </c>
      <c r="AI297" s="53">
        <f>E297*AF297*(1+設定!$B$18*AVERAGE(P297:U297))</f>
        <v>11742.565160882812</v>
      </c>
      <c r="AJ297" s="61">
        <f>設定!$B$5*SQRT((AH297/(設定!$B$7*設定!$B$10*(1+設定!$B$11*(設定!$B$12-1))))*(AI297/(設定!$B$6*(1+設定!$B$13))))</f>
        <v>9701.0482343287895</v>
      </c>
      <c r="AK297" s="62">
        <f t="shared" si="18"/>
        <v>-6.92419149603829E-5</v>
      </c>
      <c r="AL297" s="63">
        <f t="shared" si="19"/>
        <v>7179.2727999999997</v>
      </c>
      <c r="AM297" s="64" t="s">
        <v>892</v>
      </c>
      <c r="AN297" s="54">
        <f>MAX(1,ROUND((設定!$B$7*設定!$B$10*(1+設定!$B$11*(設定!$B$12-1)))*AE297^2*(設定!$B$6*(1+設定!$B$13))/(AI297*N297*(1+K297*(L297-1))*AG297),0))</f>
        <v>1830</v>
      </c>
      <c r="AO297" s="65" t="str">
        <f>IF($A297="","",IF(COUNTIF(個性タイプマスタ!$A$5:$A$100,$AM297)&gt;0,"OK","未登録"))</f>
        <v>OK</v>
      </c>
      <c r="AP297" s="67" t="str">
        <f>IF($A297="","",IF(COUNTIF(属性耐性マスタ!$A$5:$A$11,$C297)&gt;0,"OK","未登録"))</f>
        <v>OK</v>
      </c>
    </row>
    <row r="298" spans="1:42">
      <c r="A298" s="66" t="s">
        <v>696</v>
      </c>
      <c r="B298" s="51" t="s">
        <v>697</v>
      </c>
      <c r="C298" s="109" t="s">
        <v>121</v>
      </c>
      <c r="D298" s="53">
        <f>ROUND(設定!$B$5*POWER($D$2,W298-1),2)</f>
        <v>9701.7199999999993</v>
      </c>
      <c r="E298" s="54">
        <f>MAX(1,ROUND(設定!$B$6*AE298*Y298,0))</f>
        <v>6500</v>
      </c>
      <c r="F298" s="54">
        <f>MAX(0,ROUND(設定!$B$7*AE298*設定!$B$15*IF(X298="Melee",0.6,1.35)*IFERROR(VLOOKUP($AM298,個性タイプマスタ!$A$5:$P$100,14,FALSE),1),0))</f>
        <v>1556</v>
      </c>
      <c r="G298" s="54">
        <f>IF(X298="Melee",AN298,MAX(1,ROUND(AN298*設定!$B$16*IFERROR(VLOOKUP($AM298,個性タイプマスタ!$A$5:$P$100,15,FALSE),1),0)))</f>
        <v>720</v>
      </c>
      <c r="H298" s="54">
        <f>IF(X298="Ranged",AN298,MAX(1,ROUND(AN298*設定!$B$16*IFERROR(VLOOKUP($AM298,個性タイプマスタ!$A$5:$P$100,15,FALSE),1),0)))</f>
        <v>3077</v>
      </c>
      <c r="I298" s="54">
        <f>MAX(0,ROUND(設定!$B$8*AE298*Z298,0))</f>
        <v>504</v>
      </c>
      <c r="J298" s="54">
        <f>MAX(0,ROUND(設定!$B$9*AE298*AA298,0))</f>
        <v>621</v>
      </c>
      <c r="K298" s="55">
        <f>IFERROR(VLOOKUP($AM298,個性タイプマスタ!$A$5:$P$100,9,FALSE),0.05)</f>
        <v>0.18</v>
      </c>
      <c r="L298" s="56">
        <f>IFERROR(VLOOKUP($AM298,個性タイプマスタ!$A$5:$P$100,10,FALSE),1.5)</f>
        <v>1.85</v>
      </c>
      <c r="M298" s="56">
        <f>IFERROR(VLOOKUP($AM298,個性タイプマスタ!$A$5:$P$100,11,FALSE),2)</f>
        <v>2.0499999999999998</v>
      </c>
      <c r="N298" s="57">
        <f>MAX(0.1,ROUND(設定!$B$10*AB298,3))</f>
        <v>0.75</v>
      </c>
      <c r="O298" s="57">
        <f t="shared" si="16"/>
        <v>4.45</v>
      </c>
      <c r="P298" s="58">
        <f>MAX(-10,MIN(0.8,IFERROR(INDEX(属性耐性マスタ!$B$5:$G$11,MATCH($C298,属性耐性マスタ!$A$5:$A$11,0),1),0)+IFERROR(VLOOKUP($AM298,個性タイプマスタ!$A$5:$P$100,12,FALSE),0)))</f>
        <v>-0.06</v>
      </c>
      <c r="Q298" s="58">
        <f>MAX(-10,MIN(0.8,IFERROR(INDEX(属性耐性マスタ!$B$5:$G$11,MATCH($C298,属性耐性マスタ!$A$5:$A$11,0),2),0)+IFERROR(VLOOKUP($AM298,個性タイプマスタ!$A$5:$P$100,12,FALSE),0)))</f>
        <v>-0.06</v>
      </c>
      <c r="R298" s="58">
        <f>MAX(-10,MIN(0.8,IFERROR(INDEX(属性耐性マスタ!$B$5:$G$11,MATCH($C298,属性耐性マスタ!$A$5:$A$11,0),3),0)+IFERROR(VLOOKUP($AM298,個性タイプマスタ!$A$5:$P$100,12,FALSE),0)))</f>
        <v>-0.06</v>
      </c>
      <c r="S298" s="58">
        <f>MAX(-10,MIN(0.8,IFERROR(INDEX(属性耐性マスタ!$B$5:$G$11,MATCH($C298,属性耐性マスタ!$A$5:$A$11,0),4),0)+IFERROR(VLOOKUP($AM298,個性タイプマスタ!$A$5:$P$100,12,FALSE),0)))</f>
        <v>-0.06</v>
      </c>
      <c r="T298" s="58">
        <f>MAX(-10,MIN(0.8,IFERROR(INDEX(属性耐性マスタ!$B$5:$G$11,MATCH($C298,属性耐性マスタ!$A$5:$A$11,0),5),0)+IFERROR(VLOOKUP($AM298,個性タイプマスタ!$A$5:$P$100,12,FALSE),0)))</f>
        <v>0.14000000000000001</v>
      </c>
      <c r="U298" s="58">
        <f>MAX(-10,MIN(0.8,IFERROR(INDEX(属性耐性マスタ!$B$5:$G$11,MATCH($C298,属性耐性マスタ!$A$5:$A$11,0),6),0)+IFERROR(VLOOKUP($AM298,個性タイプマスタ!$A$5:$P$100,12,FALSE),0)))</f>
        <v>-0.16</v>
      </c>
      <c r="V298" s="59">
        <f>ROUND(設定!$B$19*IFERROR(VLOOKUP($AM298,個性タイプマスタ!$A$5:$P$100,13,FALSE),1),2)</f>
        <v>5.6</v>
      </c>
      <c r="W298" s="59">
        <v>49</v>
      </c>
      <c r="X298" s="59" t="str">
        <f>IFERROR(VLOOKUP($AM298,個性タイプマスタ!$A$5:$P$100,2,FALSE),"Ranged")</f>
        <v>Ranged</v>
      </c>
      <c r="Y298" s="56">
        <f>IFERROR(VLOOKUP($AM298,個性タイプマスタ!$A$5:$P$100,3,FALSE),1)</f>
        <v>0.67</v>
      </c>
      <c r="Z298" s="56">
        <f>IFERROR(VLOOKUP($AM298,個性タイプマスタ!$A$5:$P$100,4,FALSE),1)</f>
        <v>0.65</v>
      </c>
      <c r="AA298" s="56">
        <f>IFERROR(VLOOKUP($AM298,個性タイプマスタ!$A$5:$P$100,5,FALSE),1)</f>
        <v>0.8</v>
      </c>
      <c r="AB298" s="56">
        <f>IFERROR(VLOOKUP($AM298,個性タイプマスタ!$A$5:$P$100,6,FALSE),1)</f>
        <v>0.75</v>
      </c>
      <c r="AC298" s="56">
        <f>IFERROR(VLOOKUP($AM298,個性タイプマスタ!$A$5:$P$100,7,FALSE),1)</f>
        <v>1.78</v>
      </c>
      <c r="AD298" s="56">
        <f>IFERROR(VLOOKUP($AM298,個性タイプマスタ!$A$5:$P$100,8,FALSE),1)</f>
        <v>0.62</v>
      </c>
      <c r="AE298" s="60">
        <f>IFERROR(D298/設定!$B$5,1)</f>
        <v>97.017199999999988</v>
      </c>
      <c r="AF298" s="60">
        <f>1+設定!$B$13*((I298/設定!$B$8+J298/設定!$B$9)/(2*AE298))</f>
        <v>1.2174227868872736</v>
      </c>
      <c r="AG298" s="60">
        <f>MAX(0.7,1+設定!$B$14*(O298/IF(X298="Melee",1.5,2.5)-1))</f>
        <v>1.0935999999999999</v>
      </c>
      <c r="AH298" s="53">
        <f t="shared" si="17"/>
        <v>2909.8899762000001</v>
      </c>
      <c r="AI298" s="53">
        <f>E298*AF298*(1+設定!$B$18*AVERAGE(P298:U298))</f>
        <v>7758.9397765293161</v>
      </c>
      <c r="AJ298" s="61">
        <f>設定!$B$5*SQRT((AH298/(設定!$B$7*設定!$B$10*(1+設定!$B$11*(設定!$B$12-1))))*(AI298/(設定!$B$6*(1+設定!$B$13))))</f>
        <v>9702.1863826220033</v>
      </c>
      <c r="AK298" s="62">
        <f t="shared" si="18"/>
        <v>4.8072158545409138E-5</v>
      </c>
      <c r="AL298" s="63">
        <f t="shared" si="19"/>
        <v>6015.0663999999997</v>
      </c>
      <c r="AM298" s="64" t="s">
        <v>910</v>
      </c>
      <c r="AN298" s="54">
        <f>MAX(1,ROUND((設定!$B$7*設定!$B$10*(1+設定!$B$11*(設定!$B$12-1)))*AE298^2*(設定!$B$6*(1+設定!$B$13))/(AI298*N298*(1+K298*(L298-1))*AG298),0))</f>
        <v>3077</v>
      </c>
      <c r="AO298" s="65" t="str">
        <f>IF($A298="","",IF(COUNTIF(個性タイプマスタ!$A$5:$A$100,$AM298)&gt;0,"OK","未登録"))</f>
        <v>OK</v>
      </c>
      <c r="AP298" s="67" t="str">
        <f>IF($A298="","",IF(COUNTIF(属性耐性マスタ!$A$5:$A$11,$C298)&gt;0,"OK","未登録"))</f>
        <v>OK</v>
      </c>
    </row>
    <row r="299" spans="1:42">
      <c r="A299" s="66" t="s">
        <v>698</v>
      </c>
      <c r="B299" s="51" t="s">
        <v>699</v>
      </c>
      <c r="C299" s="109" t="s">
        <v>121</v>
      </c>
      <c r="D299" s="53">
        <f>ROUND(設定!$B$5*POWER($D$2,W299-1),2)</f>
        <v>10671.9</v>
      </c>
      <c r="E299" s="54">
        <f>MAX(1,ROUND(設定!$B$6*AE299*Y299,0))</f>
        <v>8324</v>
      </c>
      <c r="F299" s="54">
        <f>MAX(0,ROUND(設定!$B$7*AE299*設定!$B$15*IF(X299="Melee",0.6,1.35)*IFERROR(VLOOKUP($AM299,個性タイプマスタ!$A$5:$P$100,14,FALSE),1),0))</f>
        <v>1789</v>
      </c>
      <c r="G299" s="54">
        <f>IF(X299="Melee",AN299,MAX(1,ROUND(AN299*設定!$B$16*IFERROR(VLOOKUP($AM299,個性タイプマスタ!$A$5:$P$100,15,FALSE),1),0)))</f>
        <v>1015</v>
      </c>
      <c r="H299" s="54">
        <f>IF(X299="Ranged",AN299,MAX(1,ROUND(AN299*設定!$B$16*IFERROR(VLOOKUP($AM299,個性タイプマスタ!$A$5:$P$100,15,FALSE),1),0)))</f>
        <v>2256</v>
      </c>
      <c r="I299" s="54">
        <f>MAX(0,ROUND(設定!$B$8*AE299*Z299,0))</f>
        <v>640</v>
      </c>
      <c r="J299" s="54">
        <f>MAX(0,ROUND(設定!$B$9*AE299*AA299,0))</f>
        <v>683</v>
      </c>
      <c r="K299" s="55">
        <f>IFERROR(VLOOKUP($AM299,個性タイプマスタ!$A$5:$P$100,9,FALSE),0.05)</f>
        <v>0.11</v>
      </c>
      <c r="L299" s="56">
        <f>IFERROR(VLOOKUP($AM299,個性タイプマスタ!$A$5:$P$100,10,FALSE),1.5)</f>
        <v>1.65</v>
      </c>
      <c r="M299" s="56">
        <f>IFERROR(VLOOKUP($AM299,個性タイプマスタ!$A$5:$P$100,11,FALSE),2)</f>
        <v>2.2000000000000002</v>
      </c>
      <c r="N299" s="57">
        <f>MAX(0.1,ROUND(設定!$B$10*AB299,3))</f>
        <v>1.1000000000000001</v>
      </c>
      <c r="O299" s="57">
        <f t="shared" si="16"/>
        <v>2.75</v>
      </c>
      <c r="P299" s="58">
        <f>MAX(-10,MIN(0.8,IFERROR(INDEX(属性耐性マスタ!$B$5:$G$11,MATCH($C299,属性耐性マスタ!$A$5:$A$11,0),1),0)+IFERROR(VLOOKUP($AM299,個性タイプマスタ!$A$5:$P$100,12,FALSE),0)))</f>
        <v>-0.04</v>
      </c>
      <c r="Q299" s="58">
        <f>MAX(-10,MIN(0.8,IFERROR(INDEX(属性耐性マスタ!$B$5:$G$11,MATCH($C299,属性耐性マスタ!$A$5:$A$11,0),2),0)+IFERROR(VLOOKUP($AM299,個性タイプマスタ!$A$5:$P$100,12,FALSE),0)))</f>
        <v>-0.04</v>
      </c>
      <c r="R299" s="58">
        <f>MAX(-10,MIN(0.8,IFERROR(INDEX(属性耐性マスタ!$B$5:$G$11,MATCH($C299,属性耐性マスタ!$A$5:$A$11,0),3),0)+IFERROR(VLOOKUP($AM299,個性タイプマスタ!$A$5:$P$100,12,FALSE),0)))</f>
        <v>-0.04</v>
      </c>
      <c r="S299" s="58">
        <f>MAX(-10,MIN(0.8,IFERROR(INDEX(属性耐性マスタ!$B$5:$G$11,MATCH($C299,属性耐性マスタ!$A$5:$A$11,0),4),0)+IFERROR(VLOOKUP($AM299,個性タイプマスタ!$A$5:$P$100,12,FALSE),0)))</f>
        <v>-0.04</v>
      </c>
      <c r="T299" s="58">
        <f>MAX(-10,MIN(0.8,IFERROR(INDEX(属性耐性マスタ!$B$5:$G$11,MATCH($C299,属性耐性マスタ!$A$5:$A$11,0),5),0)+IFERROR(VLOOKUP($AM299,個性タイプマスタ!$A$5:$P$100,12,FALSE),0)))</f>
        <v>0.16</v>
      </c>
      <c r="U299" s="58">
        <f>MAX(-10,MIN(0.8,IFERROR(INDEX(属性耐性マスタ!$B$5:$G$11,MATCH($C299,属性耐性マスタ!$A$5:$A$11,0),6),0)+IFERROR(VLOOKUP($AM299,個性タイプマスタ!$A$5:$P$100,12,FALSE),0)))</f>
        <v>-0.14000000000000001</v>
      </c>
      <c r="V299" s="59">
        <f>ROUND(設定!$B$19*IFERROR(VLOOKUP($AM299,個性タイプマスタ!$A$5:$P$100,13,FALSE),1),2)</f>
        <v>4.2</v>
      </c>
      <c r="W299" s="59">
        <v>50</v>
      </c>
      <c r="X299" s="59" t="str">
        <f>IFERROR(VLOOKUP($AM299,個性タイプマスタ!$A$5:$P$100,2,FALSE),"Ranged")</f>
        <v>Ranged</v>
      </c>
      <c r="Y299" s="56">
        <f>IFERROR(VLOOKUP($AM299,個性タイプマスタ!$A$5:$P$100,3,FALSE),1)</f>
        <v>0.78</v>
      </c>
      <c r="Z299" s="56">
        <f>IFERROR(VLOOKUP($AM299,個性タイプマスタ!$A$5:$P$100,4,FALSE),1)</f>
        <v>0.75</v>
      </c>
      <c r="AA299" s="56">
        <f>IFERROR(VLOOKUP($AM299,個性タイプマスタ!$A$5:$P$100,5,FALSE),1)</f>
        <v>0.8</v>
      </c>
      <c r="AB299" s="56">
        <f>IFERROR(VLOOKUP($AM299,個性タイプマスタ!$A$5:$P$100,6,FALSE),1)</f>
        <v>1.1000000000000001</v>
      </c>
      <c r="AC299" s="56">
        <f>IFERROR(VLOOKUP($AM299,個性タイプマスタ!$A$5:$P$100,7,FALSE),1)</f>
        <v>1.1000000000000001</v>
      </c>
      <c r="AD299" s="56">
        <f>IFERROR(VLOOKUP($AM299,個性タイプマスタ!$A$5:$P$100,8,FALSE),1)</f>
        <v>0.72</v>
      </c>
      <c r="AE299" s="60">
        <f>IFERROR(D299/設定!$B$5,1)</f>
        <v>106.71899999999999</v>
      </c>
      <c r="AF299" s="60">
        <f>1+設定!$B$13*((I299/設定!$B$8+J299/設定!$B$9)/(2*AE299))</f>
        <v>1.2324445506423412</v>
      </c>
      <c r="AG299" s="60">
        <f>MAX(0.7,1+設定!$B$14*(O299/IF(X299="Melee",1.5,2.5)-1))</f>
        <v>1.012</v>
      </c>
      <c r="AH299" s="53">
        <f t="shared" si="17"/>
        <v>2690.9428128</v>
      </c>
      <c r="AI299" s="53">
        <f>E299*AF299*(1+設定!$B$18*AVERAGE(P299:U299))</f>
        <v>10151.150320931607</v>
      </c>
      <c r="AJ299" s="61">
        <f>設定!$B$5*SQRT((AH299/(設定!$B$7*設定!$B$10*(1+設定!$B$11*(設定!$B$12-1))))*(AI299/(設定!$B$6*(1+設定!$B$13))))</f>
        <v>10671.857124765318</v>
      </c>
      <c r="AK299" s="62">
        <f t="shared" si="18"/>
        <v>-4.0175821252041999E-6</v>
      </c>
      <c r="AL299" s="63">
        <f t="shared" si="19"/>
        <v>7683.7679999999991</v>
      </c>
      <c r="AM299" s="64" t="s">
        <v>896</v>
      </c>
      <c r="AN299" s="54">
        <f>MAX(1,ROUND((設定!$B$7*設定!$B$10*(1+設定!$B$11*(設定!$B$12-1)))*AE299^2*(設定!$B$6*(1+設定!$B$13))/(AI299*N299*(1+K299*(L299-1))*AG299),0))</f>
        <v>2256</v>
      </c>
      <c r="AO299" s="65" t="str">
        <f>IF($A299="","",IF(COUNTIF(個性タイプマスタ!$A$5:$A$100,$AM299)&gt;0,"OK","未登録"))</f>
        <v>OK</v>
      </c>
      <c r="AP299" s="67" t="str">
        <f>IF($A299="","",IF(COUNTIF(属性耐性マスタ!$A$5:$A$11,$C299)&gt;0,"OK","未登録"))</f>
        <v>OK</v>
      </c>
    </row>
    <row r="300" spans="1:42">
      <c r="A300" s="66" t="s">
        <v>700</v>
      </c>
      <c r="B300" s="51" t="s">
        <v>701</v>
      </c>
      <c r="C300" s="109" t="s">
        <v>874</v>
      </c>
      <c r="D300" s="53">
        <f>ROUND(設定!$B$5*POWER($D$2,W300-1),2)</f>
        <v>10671.9</v>
      </c>
      <c r="E300" s="54">
        <f>MAX(1,ROUND(設定!$B$6*AE300*Y300,0))</f>
        <v>18356</v>
      </c>
      <c r="F300" s="54">
        <f>MAX(0,ROUND(設定!$B$7*AE300*設定!$B$15*IF(X300="Melee",0.6,1.35)*IFERROR(VLOOKUP($AM300,個性タイプマスタ!$A$5:$P$100,14,FALSE),1),0))</f>
        <v>2101</v>
      </c>
      <c r="G300" s="54">
        <f>IF(X300="Melee",AN300,MAX(1,ROUND(AN300*設定!$B$16*IFERROR(VLOOKUP($AM300,個性タイプマスタ!$A$5:$P$100,15,FALSE),1),0)))</f>
        <v>443</v>
      </c>
      <c r="H300" s="54">
        <f>IF(X300="Ranged",AN300,MAX(1,ROUND(AN300*設定!$B$16*IFERROR(VLOOKUP($AM300,個性タイプマスタ!$A$5:$P$100,15,FALSE),1),0)))</f>
        <v>1515</v>
      </c>
      <c r="I300" s="54">
        <f>MAX(0,ROUND(設定!$B$8*AE300*Z300,0))</f>
        <v>1400</v>
      </c>
      <c r="J300" s="54">
        <f>MAX(0,ROUND(設定!$B$9*AE300*AA300,0))</f>
        <v>1323</v>
      </c>
      <c r="K300" s="55">
        <f>IFERROR(VLOOKUP($AM300,個性タイプマスタ!$A$5:$P$100,9,FALSE),0.05)</f>
        <v>3.5000000000000003E-2</v>
      </c>
      <c r="L300" s="56">
        <f>IFERROR(VLOOKUP($AM300,個性タイプマスタ!$A$5:$P$100,10,FALSE),1.5)</f>
        <v>1.4</v>
      </c>
      <c r="M300" s="56">
        <f>IFERROR(VLOOKUP($AM300,個性タイプマスタ!$A$5:$P$100,11,FALSE),2)</f>
        <v>1.5</v>
      </c>
      <c r="N300" s="57">
        <f>MAX(0.1,ROUND(設定!$B$10*AB300,3))</f>
        <v>0.6</v>
      </c>
      <c r="O300" s="57">
        <f t="shared" si="16"/>
        <v>3.1</v>
      </c>
      <c r="P300" s="58">
        <f>MAX(-10,MIN(0.8,IFERROR(INDEX(属性耐性マスタ!$B$5:$G$11,MATCH($C300,属性耐性マスタ!$A$5:$A$11,0),1),0)+IFERROR(VLOOKUP($AM300,個性タイプマスタ!$A$5:$P$100,12,FALSE),0)))</f>
        <v>0.12</v>
      </c>
      <c r="Q300" s="58">
        <f>MAX(-10,MIN(0.8,IFERROR(INDEX(属性耐性マスタ!$B$5:$G$11,MATCH($C300,属性耐性マスタ!$A$5:$A$11,0),2),0)+IFERROR(VLOOKUP($AM300,個性タイプマスタ!$A$5:$P$100,12,FALSE),0)))</f>
        <v>0.12</v>
      </c>
      <c r="R300" s="58">
        <f>MAX(-10,MIN(0.8,IFERROR(INDEX(属性耐性マスタ!$B$5:$G$11,MATCH($C300,属性耐性マスタ!$A$5:$A$11,0),3),0)+IFERROR(VLOOKUP($AM300,個性タイプマスタ!$A$5:$P$100,12,FALSE),0)))</f>
        <v>0.12</v>
      </c>
      <c r="S300" s="58">
        <f>MAX(-10,MIN(0.8,IFERROR(INDEX(属性耐性マスタ!$B$5:$G$11,MATCH($C300,属性耐性マスタ!$A$5:$A$11,0),4),0)+IFERROR(VLOOKUP($AM300,個性タイプマスタ!$A$5:$P$100,12,FALSE),0)))</f>
        <v>0.12</v>
      </c>
      <c r="T300" s="58">
        <f>MAX(-10,MIN(0.8,IFERROR(INDEX(属性耐性マスタ!$B$5:$G$11,MATCH($C300,属性耐性マスタ!$A$5:$A$11,0),5),0)+IFERROR(VLOOKUP($AM300,個性タイプマスタ!$A$5:$P$100,12,FALSE),0)))</f>
        <v>1.999999999999999E-2</v>
      </c>
      <c r="U300" s="58">
        <f>MAX(-10,MIN(0.8,IFERROR(INDEX(属性耐性マスタ!$B$5:$G$11,MATCH($C300,属性耐性マスタ!$A$5:$A$11,0),6),0)+IFERROR(VLOOKUP($AM300,個性タイプマスタ!$A$5:$P$100,12,FALSE),0)))</f>
        <v>0.32</v>
      </c>
      <c r="V300" s="59">
        <f>ROUND(設定!$B$19*IFERROR(VLOOKUP($AM300,個性タイプマスタ!$A$5:$P$100,13,FALSE),1),2)</f>
        <v>4.12</v>
      </c>
      <c r="W300" s="59">
        <v>50</v>
      </c>
      <c r="X300" s="59" t="str">
        <f>IFERROR(VLOOKUP($AM300,個性タイプマスタ!$A$5:$P$100,2,FALSE),"Ranged")</f>
        <v>Ranged</v>
      </c>
      <c r="Y300" s="56">
        <f>IFERROR(VLOOKUP($AM300,個性タイプマスタ!$A$5:$P$100,3,FALSE),1)</f>
        <v>1.72</v>
      </c>
      <c r="Z300" s="56">
        <f>IFERROR(VLOOKUP($AM300,個性タイプマスタ!$A$5:$P$100,4,FALSE),1)</f>
        <v>1.64</v>
      </c>
      <c r="AA300" s="56">
        <f>IFERROR(VLOOKUP($AM300,個性タイプマスタ!$A$5:$P$100,5,FALSE),1)</f>
        <v>1.55</v>
      </c>
      <c r="AB300" s="56">
        <f>IFERROR(VLOOKUP($AM300,個性タイプマスタ!$A$5:$P$100,6,FALSE),1)</f>
        <v>0.6</v>
      </c>
      <c r="AC300" s="56">
        <f>IFERROR(VLOOKUP($AM300,個性タイプマスタ!$A$5:$P$100,7,FALSE),1)</f>
        <v>1.24</v>
      </c>
      <c r="AD300" s="56">
        <f>IFERROR(VLOOKUP($AM300,個性タイプマスタ!$A$5:$P$100,8,FALSE),1)</f>
        <v>0.91</v>
      </c>
      <c r="AE300" s="60">
        <f>IFERROR(D300/設定!$B$5,1)</f>
        <v>106.71899999999999</v>
      </c>
      <c r="AF300" s="60">
        <f>1+設定!$B$13*((I300/設定!$B$8+J300/設定!$B$9)/(2*AE300))</f>
        <v>1.478417620105136</v>
      </c>
      <c r="AG300" s="60">
        <f>MAX(0.7,1+設定!$B$14*(O300/IF(X300="Melee",1.5,2.5)-1))</f>
        <v>1.0287999999999999</v>
      </c>
      <c r="AH300" s="53">
        <f t="shared" si="17"/>
        <v>948.27170879999994</v>
      </c>
      <c r="AI300" s="53">
        <f>E300*AF300*(1+設定!$B$18*AVERAGE(P300:U300))</f>
        <v>28806.810615480845</v>
      </c>
      <c r="AJ300" s="61">
        <f>設定!$B$5*SQRT((AH300/(設定!$B$7*設定!$B$10*(1+設定!$B$11*(設定!$B$12-1))))*(AI300/(設定!$B$6*(1+設定!$B$13))))</f>
        <v>10671.958413656914</v>
      </c>
      <c r="AK300" s="62">
        <f t="shared" si="18"/>
        <v>5.4735948531448031E-6</v>
      </c>
      <c r="AL300" s="63">
        <f t="shared" si="19"/>
        <v>9711.4290000000001</v>
      </c>
      <c r="AM300" s="64" t="s">
        <v>916</v>
      </c>
      <c r="AN300" s="54">
        <f>MAX(1,ROUND((設定!$B$7*設定!$B$10*(1+設定!$B$11*(設定!$B$12-1)))*AE300^2*(設定!$B$6*(1+設定!$B$13))/(AI300*N300*(1+K300*(L300-1))*AG300),0))</f>
        <v>1515</v>
      </c>
      <c r="AO300" s="65" t="str">
        <f>IF($A300="","",IF(COUNTIF(個性タイプマスタ!$A$5:$A$100,$AM300)&gt;0,"OK","未登録"))</f>
        <v>OK</v>
      </c>
      <c r="AP300" s="67" t="str">
        <f>IF($A300="","",IF(COUNTIF(属性耐性マスタ!$A$5:$A$11,$C300)&gt;0,"OK","未登録"))</f>
        <v>OK</v>
      </c>
    </row>
    <row r="301" spans="1:42">
      <c r="A301" s="66" t="s">
        <v>702</v>
      </c>
      <c r="B301" s="51" t="s">
        <v>703</v>
      </c>
      <c r="C301" s="109" t="s">
        <v>874</v>
      </c>
      <c r="D301" s="53">
        <f>ROUND(設定!$B$5*POWER($D$2,W301-1),2)</f>
        <v>10671.9</v>
      </c>
      <c r="E301" s="54">
        <f>MAX(1,ROUND(設定!$B$6*AE301*Y301,0))</f>
        <v>10672</v>
      </c>
      <c r="F301" s="54">
        <f>MAX(0,ROUND(設定!$B$7*AE301*設定!$B$15*IF(X301="Melee",0.6,1.35)*IFERROR(VLOOKUP($AM301,個性タイプマスタ!$A$5:$P$100,14,FALSE),1),0))</f>
        <v>1867</v>
      </c>
      <c r="G301" s="54">
        <f>IF(X301="Melee",AN301,MAX(1,ROUND(AN301*設定!$B$16*IFERROR(VLOOKUP($AM301,個性タイプマスタ!$A$5:$P$100,15,FALSE),1),0)))</f>
        <v>602</v>
      </c>
      <c r="H301" s="54">
        <f>IF(X301="Ranged",AN301,MAX(1,ROUND(AN301*設定!$B$16*IFERROR(VLOOKUP($AM301,個性タイプマスタ!$A$5:$P$100,15,FALSE),1),0)))</f>
        <v>1912</v>
      </c>
      <c r="I301" s="54">
        <f>MAX(0,ROUND(設定!$B$8*AE301*Z301,0))</f>
        <v>820</v>
      </c>
      <c r="J301" s="54">
        <f>MAX(0,ROUND(設定!$B$9*AE301*AA301,0))</f>
        <v>871</v>
      </c>
      <c r="K301" s="55">
        <f>IFERROR(VLOOKUP($AM301,個性タイプマスタ!$A$5:$P$100,9,FALSE),0.05)</f>
        <v>4.4999999999999998E-2</v>
      </c>
      <c r="L301" s="56">
        <f>IFERROR(VLOOKUP($AM301,個性タイプマスタ!$A$5:$P$100,10,FALSE),1.5)</f>
        <v>1.4</v>
      </c>
      <c r="M301" s="56">
        <f>IFERROR(VLOOKUP($AM301,個性タイプマスタ!$A$5:$P$100,11,FALSE),2)</f>
        <v>2.0499999999999998</v>
      </c>
      <c r="N301" s="57">
        <f>MAX(0.1,ROUND(設定!$B$10*AB301,3))</f>
        <v>0.92</v>
      </c>
      <c r="O301" s="57">
        <f t="shared" si="16"/>
        <v>2.6749999999999998</v>
      </c>
      <c r="P301" s="58">
        <f>MAX(-10,MIN(0.8,IFERROR(INDEX(属性耐性マスタ!$B$5:$G$11,MATCH($C301,属性耐性マスタ!$A$5:$A$11,0),1),0)+IFERROR(VLOOKUP($AM301,個性タイプマスタ!$A$5:$P$100,12,FALSE),0)))</f>
        <v>0.19</v>
      </c>
      <c r="Q301" s="58">
        <f>MAX(-10,MIN(0.8,IFERROR(INDEX(属性耐性マスタ!$B$5:$G$11,MATCH($C301,属性耐性マスタ!$A$5:$A$11,0),2),0)+IFERROR(VLOOKUP($AM301,個性タイプマスタ!$A$5:$P$100,12,FALSE),0)))</f>
        <v>0.19</v>
      </c>
      <c r="R301" s="58">
        <f>MAX(-10,MIN(0.8,IFERROR(INDEX(属性耐性マスタ!$B$5:$G$11,MATCH($C301,属性耐性マスタ!$A$5:$A$11,0),3),0)+IFERROR(VLOOKUP($AM301,個性タイプマスタ!$A$5:$P$100,12,FALSE),0)))</f>
        <v>0.19</v>
      </c>
      <c r="S301" s="58">
        <f>MAX(-10,MIN(0.8,IFERROR(INDEX(属性耐性マスタ!$B$5:$G$11,MATCH($C301,属性耐性マスタ!$A$5:$A$11,0),4),0)+IFERROR(VLOOKUP($AM301,個性タイプマスタ!$A$5:$P$100,12,FALSE),0)))</f>
        <v>0.19</v>
      </c>
      <c r="T301" s="58">
        <f>MAX(-10,MIN(0.8,IFERROR(INDEX(属性耐性マスタ!$B$5:$G$11,MATCH($C301,属性耐性マスタ!$A$5:$A$11,0),5),0)+IFERROR(VLOOKUP($AM301,個性タイプマスタ!$A$5:$P$100,12,FALSE),0)))</f>
        <v>0.09</v>
      </c>
      <c r="U301" s="58">
        <f>MAX(-10,MIN(0.8,IFERROR(INDEX(属性耐性マスタ!$B$5:$G$11,MATCH($C301,属性耐性マスタ!$A$5:$A$11,0),6),0)+IFERROR(VLOOKUP($AM301,個性タイプマスタ!$A$5:$P$100,12,FALSE),0)))</f>
        <v>0.39</v>
      </c>
      <c r="V301" s="59">
        <f>ROUND(設定!$B$19*IFERROR(VLOOKUP($AM301,個性タイプマスタ!$A$5:$P$100,13,FALSE),1),2)</f>
        <v>4</v>
      </c>
      <c r="W301" s="59">
        <v>50</v>
      </c>
      <c r="X301" s="59" t="str">
        <f>IFERROR(VLOOKUP($AM301,個性タイプマスタ!$A$5:$P$100,2,FALSE),"Ranged")</f>
        <v>Ranged</v>
      </c>
      <c r="Y301" s="56">
        <f>IFERROR(VLOOKUP($AM301,個性タイプマスタ!$A$5:$P$100,3,FALSE),1)</f>
        <v>1</v>
      </c>
      <c r="Z301" s="56">
        <f>IFERROR(VLOOKUP($AM301,個性タイプマスタ!$A$5:$P$100,4,FALSE),1)</f>
        <v>0.96</v>
      </c>
      <c r="AA301" s="56">
        <f>IFERROR(VLOOKUP($AM301,個性タイプマスタ!$A$5:$P$100,5,FALSE),1)</f>
        <v>1.02</v>
      </c>
      <c r="AB301" s="56">
        <f>IFERROR(VLOOKUP($AM301,個性タイプマスタ!$A$5:$P$100,6,FALSE),1)</f>
        <v>0.92</v>
      </c>
      <c r="AC301" s="56">
        <f>IFERROR(VLOOKUP($AM301,個性タイプマスタ!$A$5:$P$100,7,FALSE),1)</f>
        <v>1.07</v>
      </c>
      <c r="AD301" s="56">
        <f>IFERROR(VLOOKUP($AM301,個性タイプマスタ!$A$5:$P$100,8,FALSE),1)</f>
        <v>0.85</v>
      </c>
      <c r="AE301" s="60">
        <f>IFERROR(D301/設定!$B$5,1)</f>
        <v>106.71899999999999</v>
      </c>
      <c r="AF301" s="60">
        <f>1+設定!$B$13*((I301/設定!$B$8+J301/設定!$B$9)/(2*AE301))</f>
        <v>1.2971003289011329</v>
      </c>
      <c r="AG301" s="60">
        <f>MAX(0.7,1+設定!$B$14*(O301/IF(X301="Melee",1.5,2.5)-1))</f>
        <v>1.0084</v>
      </c>
      <c r="AH301" s="53">
        <f t="shared" si="17"/>
        <v>1805.7446228479998</v>
      </c>
      <c r="AI301" s="53">
        <f>E301*AF301*(1+設定!$B$18*AVERAGE(P301:U301))</f>
        <v>15130.021598065949</v>
      </c>
      <c r="AJ301" s="61">
        <f>設定!$B$5*SQRT((AH301/(設定!$B$7*設定!$B$10*(1+設定!$B$11*(設定!$B$12-1))))*(AI301/(設定!$B$6*(1+設定!$B$13))))</f>
        <v>10672.792789020692</v>
      </c>
      <c r="AK301" s="62">
        <f t="shared" si="18"/>
        <v>8.3657926019942153E-5</v>
      </c>
      <c r="AL301" s="63">
        <f t="shared" si="19"/>
        <v>9071.1149999999998</v>
      </c>
      <c r="AM301" s="64" t="s">
        <v>930</v>
      </c>
      <c r="AN301" s="54">
        <f>MAX(1,ROUND((設定!$B$7*設定!$B$10*(1+設定!$B$11*(設定!$B$12-1)))*AE301^2*(設定!$B$6*(1+設定!$B$13))/(AI301*N301*(1+K301*(L301-1))*AG301),0))</f>
        <v>1912</v>
      </c>
      <c r="AO301" s="65" t="str">
        <f>IF($A301="","",IF(COUNTIF(個性タイプマスタ!$A$5:$A$100,$AM301)&gt;0,"OK","未登録"))</f>
        <v>OK</v>
      </c>
      <c r="AP301" s="67" t="str">
        <f>IF($A301="","",IF(COUNTIF(属性耐性マスタ!$A$5:$A$11,$C301)&gt;0,"OK","未登録"))</f>
        <v>OK</v>
      </c>
    </row>
    <row r="302" spans="1:42">
      <c r="A302" s="66" t="s">
        <v>704</v>
      </c>
      <c r="B302" s="51" t="s">
        <v>705</v>
      </c>
      <c r="C302" s="109" t="s">
        <v>111</v>
      </c>
      <c r="D302" s="53">
        <f>ROUND(設定!$B$5*POWER($D$2,W302-1),2)</f>
        <v>10671.9</v>
      </c>
      <c r="E302" s="54">
        <f>MAX(1,ROUND(設定!$B$6*AE302*Y302,0))</f>
        <v>14407</v>
      </c>
      <c r="F302" s="54">
        <f>MAX(0,ROUND(設定!$B$7*AE302*設定!$B$15*IF(X302="Melee",0.6,1.35)*IFERROR(VLOOKUP($AM302,個性タイプマスタ!$A$5:$P$100,14,FALSE),1),0))</f>
        <v>622</v>
      </c>
      <c r="G302" s="54">
        <f>IF(X302="Melee",AN302,MAX(1,ROUND(AN302*設定!$B$16*IFERROR(VLOOKUP($AM302,個性タイプマスタ!$A$5:$P$100,15,FALSE),1),0)))</f>
        <v>1252</v>
      </c>
      <c r="H302" s="54">
        <f>IF(X302="Ranged",AN302,MAX(1,ROUND(AN302*設定!$B$16*IFERROR(VLOOKUP($AM302,個性タイプマスタ!$A$5:$P$100,15,FALSE),1),0)))</f>
        <v>563</v>
      </c>
      <c r="I302" s="54">
        <f>MAX(0,ROUND(設定!$B$8*AE302*Z302,0))</f>
        <v>1195</v>
      </c>
      <c r="J302" s="54">
        <f>MAX(0,ROUND(設定!$B$9*AE302*AA302,0))</f>
        <v>854</v>
      </c>
      <c r="K302" s="55">
        <f>IFERROR(VLOOKUP($AM302,個性タイプマスタ!$A$5:$P$100,9,FALSE),0.05)</f>
        <v>0.08</v>
      </c>
      <c r="L302" s="56">
        <f>IFERROR(VLOOKUP($AM302,個性タイプマスタ!$A$5:$P$100,10,FALSE),1.5)</f>
        <v>1.6</v>
      </c>
      <c r="M302" s="56">
        <f>IFERROR(VLOOKUP($AM302,個性タイプマスタ!$A$5:$P$100,11,FALSE),2)</f>
        <v>2.7</v>
      </c>
      <c r="N302" s="57">
        <f>MAX(0.1,ROUND(設定!$B$10*AB302,3))</f>
        <v>1.05</v>
      </c>
      <c r="O302" s="57">
        <f t="shared" si="16"/>
        <v>1.2</v>
      </c>
      <c r="P302" s="58">
        <f>MAX(-10,MIN(0.8,IFERROR(INDEX(属性耐性マスタ!$B$5:$G$11,MATCH($C302,属性耐性マスタ!$A$5:$A$11,0),1),0)+IFERROR(VLOOKUP($AM302,個性タイプマスタ!$A$5:$P$100,12,FALSE),0)))</f>
        <v>0.26500000000000001</v>
      </c>
      <c r="Q302" s="58">
        <f>MAX(-10,MIN(0.8,IFERROR(INDEX(属性耐性マスタ!$B$5:$G$11,MATCH($C302,属性耐性マスタ!$A$5:$A$11,0),2),0)+IFERROR(VLOOKUP($AM302,個性タイプマスタ!$A$5:$P$100,12,FALSE),0)))</f>
        <v>-3.5000000000000003E-2</v>
      </c>
      <c r="R302" s="58">
        <f>MAX(-10,MIN(0.8,IFERROR(INDEX(属性耐性マスタ!$B$5:$G$11,MATCH($C302,属性耐性マスタ!$A$5:$A$11,0),3),0)+IFERROR(VLOOKUP($AM302,個性タイプマスタ!$A$5:$P$100,12,FALSE),0)))</f>
        <v>6.5000000000000002E-2</v>
      </c>
      <c r="S302" s="58">
        <f>MAX(-10,MIN(0.8,IFERROR(INDEX(属性耐性マスタ!$B$5:$G$11,MATCH($C302,属性耐性マスタ!$A$5:$A$11,0),4),0)+IFERROR(VLOOKUP($AM302,個性タイプマスタ!$A$5:$P$100,12,FALSE),0)))</f>
        <v>6.5000000000000002E-2</v>
      </c>
      <c r="T302" s="58">
        <f>MAX(-10,MIN(0.8,IFERROR(INDEX(属性耐性マスタ!$B$5:$G$11,MATCH($C302,属性耐性マスタ!$A$5:$A$11,0),5),0)+IFERROR(VLOOKUP($AM302,個性タイプマスタ!$A$5:$P$100,12,FALSE),0)))</f>
        <v>6.5000000000000002E-2</v>
      </c>
      <c r="U302" s="58">
        <f>MAX(-10,MIN(0.8,IFERROR(INDEX(属性耐性マスタ!$B$5:$G$11,MATCH($C302,属性耐性マスタ!$A$5:$A$11,0),6),0)+IFERROR(VLOOKUP($AM302,個性タイプマスタ!$A$5:$P$100,12,FALSE),0)))</f>
        <v>6.5000000000000002E-2</v>
      </c>
      <c r="V302" s="59">
        <f>ROUND(設定!$B$19*IFERROR(VLOOKUP($AM302,個性タイプマスタ!$A$5:$P$100,13,FALSE),1),2)</f>
        <v>4</v>
      </c>
      <c r="W302" s="59">
        <v>50</v>
      </c>
      <c r="X302" s="59" t="str">
        <f>IFERROR(VLOOKUP($AM302,個性タイプマスタ!$A$5:$P$100,2,FALSE),"Ranged")</f>
        <v>Melee</v>
      </c>
      <c r="Y302" s="56">
        <f>IFERROR(VLOOKUP($AM302,個性タイプマスタ!$A$5:$P$100,3,FALSE),1)</f>
        <v>1.35</v>
      </c>
      <c r="Z302" s="56">
        <f>IFERROR(VLOOKUP($AM302,個性タイプマスタ!$A$5:$P$100,4,FALSE),1)</f>
        <v>1.4</v>
      </c>
      <c r="AA302" s="56">
        <f>IFERROR(VLOOKUP($AM302,個性タイプマスタ!$A$5:$P$100,5,FALSE),1)</f>
        <v>1</v>
      </c>
      <c r="AB302" s="56">
        <f>IFERROR(VLOOKUP($AM302,個性タイプマスタ!$A$5:$P$100,6,FALSE),1)</f>
        <v>1.05</v>
      </c>
      <c r="AC302" s="56">
        <f>IFERROR(VLOOKUP($AM302,個性タイプマスタ!$A$5:$P$100,7,FALSE),1)</f>
        <v>0.8</v>
      </c>
      <c r="AD302" s="56">
        <f>IFERROR(VLOOKUP($AM302,個性タイプマスタ!$A$5:$P$100,8,FALSE),1)</f>
        <v>0.9</v>
      </c>
      <c r="AE302" s="60">
        <f>IFERROR(D302/設定!$B$5,1)</f>
        <v>106.71899999999999</v>
      </c>
      <c r="AF302" s="60">
        <f>1+設定!$B$13*((I302/設定!$B$8+J302/設定!$B$9)/(2*AE302))</f>
        <v>1.3599991566637619</v>
      </c>
      <c r="AG302" s="60">
        <f>MAX(0.7,1+設定!$B$14*(O302/IF(X302="Melee",1.5,2.5)-1))</f>
        <v>0.97599999999999998</v>
      </c>
      <c r="AH302" s="53">
        <f t="shared" si="17"/>
        <v>1344.6359808000002</v>
      </c>
      <c r="AI302" s="53">
        <f>E302*AF302*(1+設定!$B$18*AVERAGE(P302:U302))</f>
        <v>20313.569263544334</v>
      </c>
      <c r="AJ302" s="61">
        <f>設定!$B$5*SQRT((AH302/(設定!$B$7*設定!$B$10*(1+設定!$B$11*(設定!$B$12-1))))*(AI302/(設定!$B$6*(1+設定!$B$13))))</f>
        <v>10671.503775468094</v>
      </c>
      <c r="AK302" s="62">
        <f t="shared" si="18"/>
        <v>-3.7127834022543382E-5</v>
      </c>
      <c r="AL302" s="63">
        <f t="shared" si="19"/>
        <v>9604.7099999999991</v>
      </c>
      <c r="AM302" s="64" t="s">
        <v>888</v>
      </c>
      <c r="AN302" s="54">
        <f>MAX(1,ROUND((設定!$B$7*設定!$B$10*(1+設定!$B$11*(設定!$B$12-1)))*AE302^2*(設定!$B$6*(1+設定!$B$13))/(AI302*N302*(1+K302*(L302-1))*AG302),0))</f>
        <v>1252</v>
      </c>
      <c r="AO302" s="65" t="str">
        <f>IF($A302="","",IF(COUNTIF(個性タイプマスタ!$A$5:$A$100,$AM302)&gt;0,"OK","未登録"))</f>
        <v>OK</v>
      </c>
      <c r="AP302" s="67" t="str">
        <f>IF($A302="","",IF(COUNTIF(属性耐性マスタ!$A$5:$A$11,$C302)&gt;0,"OK","未登録"))</f>
        <v>OK</v>
      </c>
    </row>
    <row r="303" spans="1:42">
      <c r="A303" s="66" t="s">
        <v>706</v>
      </c>
      <c r="B303" s="51" t="s">
        <v>707</v>
      </c>
      <c r="C303" s="109" t="s">
        <v>871</v>
      </c>
      <c r="D303" s="53">
        <f>ROUND(設定!$B$5*POWER($D$2,W303-1),2)</f>
        <v>10671.9</v>
      </c>
      <c r="E303" s="54">
        <f>MAX(1,ROUND(設定!$B$6*AE303*Y303,0))</f>
        <v>8538</v>
      </c>
      <c r="F303" s="54">
        <f>MAX(0,ROUND(設定!$B$7*AE303*設定!$B$15*IF(X303="Melee",0.6,1.35)*IFERROR(VLOOKUP($AM303,個性タイプマスタ!$A$5:$P$100,14,FALSE),1),0))</f>
        <v>519</v>
      </c>
      <c r="G303" s="54">
        <f>IF(X303="Melee",AN303,MAX(1,ROUND(AN303*設定!$B$16*IFERROR(VLOOKUP($AM303,個性タイプマスタ!$A$5:$P$100,15,FALSE),1),0)))</f>
        <v>2108</v>
      </c>
      <c r="H303" s="54">
        <f>IF(X303="Ranged",AN303,MAX(1,ROUND(AN303*設定!$B$16*IFERROR(VLOOKUP($AM303,個性タイプマスタ!$A$5:$P$100,15,FALSE),1),0)))</f>
        <v>721</v>
      </c>
      <c r="I303" s="54">
        <f>MAX(0,ROUND(設定!$B$8*AE303*Z303,0))</f>
        <v>700</v>
      </c>
      <c r="J303" s="54">
        <f>MAX(0,ROUND(設定!$B$9*AE303*AA303,0))</f>
        <v>649</v>
      </c>
      <c r="K303" s="55">
        <f>IFERROR(VLOOKUP($AM303,個性タイプマスタ!$A$5:$P$100,9,FALSE),0.05)</f>
        <v>0.13</v>
      </c>
      <c r="L303" s="56">
        <f>IFERROR(VLOOKUP($AM303,個性タイプマスタ!$A$5:$P$100,10,FALSE),1.5)</f>
        <v>1.7</v>
      </c>
      <c r="M303" s="56">
        <f>IFERROR(VLOOKUP($AM303,個性タイプマスタ!$A$5:$P$100,11,FALSE),2)</f>
        <v>3</v>
      </c>
      <c r="N303" s="57">
        <f>MAX(0.1,ROUND(設定!$B$10*AB303,3))</f>
        <v>1.06</v>
      </c>
      <c r="O303" s="57">
        <f t="shared" si="16"/>
        <v>2.4300000000000002</v>
      </c>
      <c r="P303" s="58">
        <f>MAX(-10,MIN(0.8,IFERROR(INDEX(属性耐性マスタ!$B$5:$G$11,MATCH($C303,属性耐性マスタ!$A$5:$A$11,0),1),0)+IFERROR(VLOOKUP($AM303,個性タイプマスタ!$A$5:$P$100,12,FALSE),0)))</f>
        <v>-4.4999999999999998E-2</v>
      </c>
      <c r="Q303" s="58">
        <f>MAX(-10,MIN(0.8,IFERROR(INDEX(属性耐性マスタ!$B$5:$G$11,MATCH($C303,属性耐性マスタ!$A$5:$A$11,0),2),0)+IFERROR(VLOOKUP($AM303,個性タイプマスタ!$A$5:$P$100,12,FALSE),0)))</f>
        <v>-4.4999999999999998E-2</v>
      </c>
      <c r="R303" s="58">
        <f>MAX(-10,MIN(0.8,IFERROR(INDEX(属性耐性マスタ!$B$5:$G$11,MATCH($C303,属性耐性マスタ!$A$5:$A$11,0),3),0)+IFERROR(VLOOKUP($AM303,個性タイプマスタ!$A$5:$P$100,12,FALSE),0)))</f>
        <v>-0.14500000000000002</v>
      </c>
      <c r="S303" s="58">
        <f>MAX(-10,MIN(0.8,IFERROR(INDEX(属性耐性マスタ!$B$5:$G$11,MATCH($C303,属性耐性マスタ!$A$5:$A$11,0),4),0)+IFERROR(VLOOKUP($AM303,個性タイプマスタ!$A$5:$P$100,12,FALSE),0)))</f>
        <v>0.15500000000000003</v>
      </c>
      <c r="T303" s="58">
        <f>MAX(-10,MIN(0.8,IFERROR(INDEX(属性耐性マスタ!$B$5:$G$11,MATCH($C303,属性耐性マスタ!$A$5:$A$11,0),5),0)+IFERROR(VLOOKUP($AM303,個性タイプマスタ!$A$5:$P$100,12,FALSE),0)))</f>
        <v>-4.4999999999999998E-2</v>
      </c>
      <c r="U303" s="58">
        <f>MAX(-10,MIN(0.8,IFERROR(INDEX(属性耐性マスタ!$B$5:$G$11,MATCH($C303,属性耐性マスタ!$A$5:$A$11,0),6),0)+IFERROR(VLOOKUP($AM303,個性タイプマスタ!$A$5:$P$100,12,FALSE),0)))</f>
        <v>-4.4999999999999998E-2</v>
      </c>
      <c r="V303" s="59">
        <f>ROUND(設定!$B$19*IFERROR(VLOOKUP($AM303,個性タイプマスタ!$A$5:$P$100,13,FALSE),1),2)</f>
        <v>5.2</v>
      </c>
      <c r="W303" s="59">
        <v>50</v>
      </c>
      <c r="X303" s="59" t="str">
        <f>IFERROR(VLOOKUP($AM303,個性タイプマスタ!$A$5:$P$100,2,FALSE),"Ranged")</f>
        <v>Melee</v>
      </c>
      <c r="Y303" s="56">
        <f>IFERROR(VLOOKUP($AM303,個性タイプマスタ!$A$5:$P$100,3,FALSE),1)</f>
        <v>0.8</v>
      </c>
      <c r="Z303" s="56">
        <f>IFERROR(VLOOKUP($AM303,個性タイプマスタ!$A$5:$P$100,4,FALSE),1)</f>
        <v>0.82</v>
      </c>
      <c r="AA303" s="56">
        <f>IFERROR(VLOOKUP($AM303,個性タイプマスタ!$A$5:$P$100,5,FALSE),1)</f>
        <v>0.76</v>
      </c>
      <c r="AB303" s="56">
        <f>IFERROR(VLOOKUP($AM303,個性タイプマスタ!$A$5:$P$100,6,FALSE),1)</f>
        <v>1.06</v>
      </c>
      <c r="AC303" s="56">
        <f>IFERROR(VLOOKUP($AM303,個性タイプマスタ!$A$5:$P$100,7,FALSE),1)</f>
        <v>1.62</v>
      </c>
      <c r="AD303" s="56">
        <f>IFERROR(VLOOKUP($AM303,個性タイプマスタ!$A$5:$P$100,8,FALSE),1)</f>
        <v>0.71</v>
      </c>
      <c r="AE303" s="60">
        <f>IFERROR(D303/設定!$B$5,1)</f>
        <v>106.71899999999999</v>
      </c>
      <c r="AF303" s="60">
        <f>1+設定!$B$13*((I303/設定!$B$8+J303/設定!$B$9)/(2*AE303))</f>
        <v>1.2370126219323645</v>
      </c>
      <c r="AG303" s="60">
        <f>MAX(0.7,1+設定!$B$14*(O303/IF(X303="Melee",1.5,2.5)-1))</f>
        <v>1.0744</v>
      </c>
      <c r="AH303" s="53">
        <f t="shared" si="17"/>
        <v>2619.191315392</v>
      </c>
      <c r="AI303" s="53">
        <f>E303*AF303*(1+設定!$B$18*AVERAGE(P303:U303))</f>
        <v>10426.953190541282</v>
      </c>
      <c r="AJ303" s="61">
        <f>設定!$B$5*SQRT((AH303/(設定!$B$7*設定!$B$10*(1+設定!$B$11*(設定!$B$12-1))))*(AI303/(設定!$B$6*(1+設定!$B$13))))</f>
        <v>10670.68897790307</v>
      </c>
      <c r="AK303" s="62">
        <f t="shared" si="18"/>
        <v>-1.1347764661684412E-4</v>
      </c>
      <c r="AL303" s="63">
        <f t="shared" si="19"/>
        <v>7577.0489999999991</v>
      </c>
      <c r="AM303" s="64" t="s">
        <v>946</v>
      </c>
      <c r="AN303" s="54">
        <f>MAX(1,ROUND((設定!$B$7*設定!$B$10*(1+設定!$B$11*(設定!$B$12-1)))*AE303^2*(設定!$B$6*(1+設定!$B$13))/(AI303*N303*(1+K303*(L303-1))*AG303),0))</f>
        <v>2108</v>
      </c>
      <c r="AO303" s="65" t="str">
        <f>IF($A303="","",IF(COUNTIF(個性タイプマスタ!$A$5:$A$100,$AM303)&gt;0,"OK","未登録"))</f>
        <v>OK</v>
      </c>
      <c r="AP303" s="67" t="str">
        <f>IF($A303="","",IF(COUNTIF(属性耐性マスタ!$A$5:$A$11,$C303)&gt;0,"OK","未登録"))</f>
        <v>OK</v>
      </c>
    </row>
    <row r="304" spans="1:42">
      <c r="A304" s="66" t="s">
        <v>708</v>
      </c>
      <c r="B304" s="51" t="s">
        <v>709</v>
      </c>
      <c r="C304" s="109" t="s">
        <v>874</v>
      </c>
      <c r="D304" s="53">
        <f>ROUND(設定!$B$5*POWER($D$2,W304-1),2)</f>
        <v>10671.9</v>
      </c>
      <c r="E304" s="54">
        <f>MAX(1,ROUND(設定!$B$6*AE304*Y304,0))</f>
        <v>7790</v>
      </c>
      <c r="F304" s="54">
        <f>MAX(0,ROUND(設定!$B$7*AE304*設定!$B$15*IF(X304="Melee",0.6,1.35)*IFERROR(VLOOKUP($AM304,個性タイプマスタ!$A$5:$P$100,14,FALSE),1),0))</f>
        <v>1836</v>
      </c>
      <c r="G304" s="54">
        <f>IF(X304="Melee",AN304,MAX(1,ROUND(AN304*設定!$B$16*IFERROR(VLOOKUP($AM304,個性タイプマスタ!$A$5:$P$100,15,FALSE),1),0)))</f>
        <v>601</v>
      </c>
      <c r="H304" s="54">
        <f>IF(X304="Ranged",AN304,MAX(1,ROUND(AN304*設定!$B$16*IFERROR(VLOOKUP($AM304,個性タイプマスタ!$A$5:$P$100,15,FALSE),1),0)))</f>
        <v>2383</v>
      </c>
      <c r="I304" s="54">
        <f>MAX(0,ROUND(設定!$B$8*AE304*Z304,0))</f>
        <v>657</v>
      </c>
      <c r="J304" s="54">
        <f>MAX(0,ROUND(設定!$B$9*AE304*AA304,0))</f>
        <v>726</v>
      </c>
      <c r="K304" s="55">
        <f>IFERROR(VLOOKUP($AM304,個性タイプマスタ!$A$5:$P$100,9,FALSE),0.05)</f>
        <v>0.26</v>
      </c>
      <c r="L304" s="56">
        <f>IFERROR(VLOOKUP($AM304,個性タイプマスタ!$A$5:$P$100,10,FALSE),1.5)</f>
        <v>1.95</v>
      </c>
      <c r="M304" s="56">
        <f>IFERROR(VLOOKUP($AM304,個性タイプマスタ!$A$5:$P$100,11,FALSE),2)</f>
        <v>2.75</v>
      </c>
      <c r="N304" s="57">
        <f>MAX(0.1,ROUND(設定!$B$10*AB304,3))</f>
        <v>0.95</v>
      </c>
      <c r="O304" s="57">
        <f t="shared" si="16"/>
        <v>2.8</v>
      </c>
      <c r="P304" s="58">
        <f>MAX(-10,MIN(0.8,IFERROR(INDEX(属性耐性マスタ!$B$5:$G$11,MATCH($C304,属性耐性マスタ!$A$5:$A$11,0),1),0)+IFERROR(VLOOKUP($AM304,個性タイプマスタ!$A$5:$P$100,12,FALSE),0)))</f>
        <v>-0.05</v>
      </c>
      <c r="Q304" s="58">
        <f>MAX(-10,MIN(0.8,IFERROR(INDEX(属性耐性マスタ!$B$5:$G$11,MATCH($C304,属性耐性マスタ!$A$5:$A$11,0),2),0)+IFERROR(VLOOKUP($AM304,個性タイプマスタ!$A$5:$P$100,12,FALSE),0)))</f>
        <v>-0.05</v>
      </c>
      <c r="R304" s="58">
        <f>MAX(-10,MIN(0.8,IFERROR(INDEX(属性耐性マスタ!$B$5:$G$11,MATCH($C304,属性耐性マスタ!$A$5:$A$11,0),3),0)+IFERROR(VLOOKUP($AM304,個性タイプマスタ!$A$5:$P$100,12,FALSE),0)))</f>
        <v>-0.05</v>
      </c>
      <c r="S304" s="58">
        <f>MAX(-10,MIN(0.8,IFERROR(INDEX(属性耐性マスタ!$B$5:$G$11,MATCH($C304,属性耐性マスタ!$A$5:$A$11,0),4),0)+IFERROR(VLOOKUP($AM304,個性タイプマスタ!$A$5:$P$100,12,FALSE),0)))</f>
        <v>-0.05</v>
      </c>
      <c r="T304" s="58">
        <f>MAX(-10,MIN(0.8,IFERROR(INDEX(属性耐性マスタ!$B$5:$G$11,MATCH($C304,属性耐性マスタ!$A$5:$A$11,0),5),0)+IFERROR(VLOOKUP($AM304,個性タイプマスタ!$A$5:$P$100,12,FALSE),0)))</f>
        <v>-0.15000000000000002</v>
      </c>
      <c r="U304" s="58">
        <f>MAX(-10,MIN(0.8,IFERROR(INDEX(属性耐性マスタ!$B$5:$G$11,MATCH($C304,属性耐性マスタ!$A$5:$A$11,0),6),0)+IFERROR(VLOOKUP($AM304,個性タイプマスタ!$A$5:$P$100,12,FALSE),0)))</f>
        <v>0.15000000000000002</v>
      </c>
      <c r="V304" s="59">
        <f>ROUND(設定!$B$19*IFERROR(VLOOKUP($AM304,個性タイプマスタ!$A$5:$P$100,13,FALSE),1),2)</f>
        <v>4.4000000000000004</v>
      </c>
      <c r="W304" s="59">
        <v>50</v>
      </c>
      <c r="X304" s="59" t="str">
        <f>IFERROR(VLOOKUP($AM304,個性タイプマスタ!$A$5:$P$100,2,FALSE),"Ranged")</f>
        <v>Ranged</v>
      </c>
      <c r="Y304" s="56">
        <f>IFERROR(VLOOKUP($AM304,個性タイプマスタ!$A$5:$P$100,3,FALSE),1)</f>
        <v>0.73</v>
      </c>
      <c r="Z304" s="56">
        <f>IFERROR(VLOOKUP($AM304,個性タイプマスタ!$A$5:$P$100,4,FALSE),1)</f>
        <v>0.77</v>
      </c>
      <c r="AA304" s="56">
        <f>IFERROR(VLOOKUP($AM304,個性タイプマスタ!$A$5:$P$100,5,FALSE),1)</f>
        <v>0.85</v>
      </c>
      <c r="AB304" s="56">
        <f>IFERROR(VLOOKUP($AM304,個性タイプマスタ!$A$5:$P$100,6,FALSE),1)</f>
        <v>0.95</v>
      </c>
      <c r="AC304" s="56">
        <f>IFERROR(VLOOKUP($AM304,個性タイプマスタ!$A$5:$P$100,7,FALSE),1)</f>
        <v>1.1200000000000001</v>
      </c>
      <c r="AD304" s="56">
        <f>IFERROR(VLOOKUP($AM304,個性タイプマスタ!$A$5:$P$100,8,FALSE),1)</f>
        <v>0.66</v>
      </c>
      <c r="AE304" s="60">
        <f>IFERROR(D304/設定!$B$5,1)</f>
        <v>106.71899999999999</v>
      </c>
      <c r="AF304" s="60">
        <f>1+設定!$B$13*((I304/設定!$B$8+J304/設定!$B$9)/(2*AE304))</f>
        <v>1.2429862536193181</v>
      </c>
      <c r="AG304" s="60">
        <f>MAX(0.7,1+設定!$B$14*(O304/IF(X304="Melee",1.5,2.5)-1))</f>
        <v>1.0144</v>
      </c>
      <c r="AH304" s="53">
        <f t="shared" si="17"/>
        <v>2863.6724516799995</v>
      </c>
      <c r="AI304" s="53">
        <f>E304*AF304*(1+設定!$B$18*AVERAGE(P304:U304))</f>
        <v>9537.6199719590713</v>
      </c>
      <c r="AJ304" s="61">
        <f>設定!$B$5*SQRT((AH304/(設定!$B$7*設定!$B$10*(1+設定!$B$11*(設定!$B$12-1))))*(AI304/(設定!$B$6*(1+設定!$B$13))))</f>
        <v>10671.164539540396</v>
      </c>
      <c r="AK304" s="62">
        <f t="shared" si="18"/>
        <v>-6.8915606368458171E-5</v>
      </c>
      <c r="AL304" s="63">
        <f t="shared" si="19"/>
        <v>7043.4539999999997</v>
      </c>
      <c r="AM304" s="64" t="s">
        <v>922</v>
      </c>
      <c r="AN304" s="54">
        <f>MAX(1,ROUND((設定!$B$7*設定!$B$10*(1+設定!$B$11*(設定!$B$12-1)))*AE304^2*(設定!$B$6*(1+設定!$B$13))/(AI304*N304*(1+K304*(L304-1))*AG304),0))</f>
        <v>2383</v>
      </c>
      <c r="AO304" s="65" t="str">
        <f>IF($A304="","",IF(COUNTIF(個性タイプマスタ!$A$5:$A$100,$AM304)&gt;0,"OK","未登録"))</f>
        <v>OK</v>
      </c>
      <c r="AP304" s="67" t="str">
        <f>IF($A304="","",IF(COUNTIF(属性耐性マスタ!$A$5:$A$11,$C304)&gt;0,"OK","未登録"))</f>
        <v>OK</v>
      </c>
    </row>
    <row r="305" spans="1:42">
      <c r="A305" s="66" t="s">
        <v>710</v>
      </c>
      <c r="B305" s="51" t="s">
        <v>711</v>
      </c>
      <c r="C305" s="109" t="s">
        <v>874</v>
      </c>
      <c r="D305" s="53">
        <f>ROUND(設定!$B$5*POWER($D$2,W305-1),2)</f>
        <v>11739.09</v>
      </c>
      <c r="E305" s="54">
        <f>MAX(1,ROUND(設定!$B$6*AE305*Y305,0))</f>
        <v>6809</v>
      </c>
      <c r="F305" s="54">
        <f>MAX(0,ROUND(設定!$B$7*AE305*設定!$B$15*IF(X305="Melee",0.6,1.35)*IFERROR(VLOOKUP($AM305,個性タイプマスタ!$A$5:$P$100,14,FALSE),1),0))</f>
        <v>1335</v>
      </c>
      <c r="G305" s="54">
        <f>IF(X305="Melee",AN305,MAX(1,ROUND(AN305*設定!$B$16*IFERROR(VLOOKUP($AM305,個性タイプマスタ!$A$5:$P$100,15,FALSE),1),0)))</f>
        <v>669</v>
      </c>
      <c r="H305" s="54">
        <f>IF(X305="Ranged",AN305,MAX(1,ROUND(AN305*設定!$B$16*IFERROR(VLOOKUP($AM305,個性タイプマスタ!$A$5:$P$100,15,FALSE),1),0)))</f>
        <v>3099</v>
      </c>
      <c r="I305" s="54">
        <f>MAX(0,ROUND(設定!$B$8*AE305*Z305,0))</f>
        <v>601</v>
      </c>
      <c r="J305" s="54">
        <f>MAX(0,ROUND(設定!$B$9*AE305*AA305,0))</f>
        <v>610</v>
      </c>
      <c r="K305" s="55">
        <f>IFERROR(VLOOKUP($AM305,個性タイプマスタ!$A$5:$P$100,9,FALSE),0.05)</f>
        <v>0.08</v>
      </c>
      <c r="L305" s="56">
        <f>IFERROR(VLOOKUP($AM305,個性タイプマスタ!$A$5:$P$100,10,FALSE),1.5)</f>
        <v>1.55</v>
      </c>
      <c r="M305" s="56">
        <f>IFERROR(VLOOKUP($AM305,個性タイプマスタ!$A$5:$P$100,11,FALSE),2)</f>
        <v>4.2</v>
      </c>
      <c r="N305" s="57">
        <f>MAX(0.1,ROUND(設定!$B$10*AB305,3))</f>
        <v>1.3</v>
      </c>
      <c r="O305" s="57">
        <f t="shared" si="16"/>
        <v>2.5</v>
      </c>
      <c r="P305" s="58">
        <f>MAX(-10,MIN(0.8,IFERROR(INDEX(属性耐性マスタ!$B$5:$G$11,MATCH($C305,属性耐性マスタ!$A$5:$A$11,0),1),0)+IFERROR(VLOOKUP($AM305,個性タイプマスタ!$A$5:$P$100,12,FALSE),0)))</f>
        <v>-0.09</v>
      </c>
      <c r="Q305" s="58">
        <f>MAX(-10,MIN(0.8,IFERROR(INDEX(属性耐性マスタ!$B$5:$G$11,MATCH($C305,属性耐性マスタ!$A$5:$A$11,0),2),0)+IFERROR(VLOOKUP($AM305,個性タイプマスタ!$A$5:$P$100,12,FALSE),0)))</f>
        <v>-0.09</v>
      </c>
      <c r="R305" s="58">
        <f>MAX(-10,MIN(0.8,IFERROR(INDEX(属性耐性マスタ!$B$5:$G$11,MATCH($C305,属性耐性マスタ!$A$5:$A$11,0),3),0)+IFERROR(VLOOKUP($AM305,個性タイプマスタ!$A$5:$P$100,12,FALSE),0)))</f>
        <v>-0.09</v>
      </c>
      <c r="S305" s="58">
        <f>MAX(-10,MIN(0.8,IFERROR(INDEX(属性耐性マスタ!$B$5:$G$11,MATCH($C305,属性耐性マスタ!$A$5:$A$11,0),4),0)+IFERROR(VLOOKUP($AM305,個性タイプマスタ!$A$5:$P$100,12,FALSE),0)))</f>
        <v>-0.09</v>
      </c>
      <c r="T305" s="58">
        <f>MAX(-10,MIN(0.8,IFERROR(INDEX(属性耐性マスタ!$B$5:$G$11,MATCH($C305,属性耐性マスタ!$A$5:$A$11,0),5),0)+IFERROR(VLOOKUP($AM305,個性タイプマスタ!$A$5:$P$100,12,FALSE),0)))</f>
        <v>-0.19</v>
      </c>
      <c r="U305" s="58">
        <f>MAX(-10,MIN(0.8,IFERROR(INDEX(属性耐性マスタ!$B$5:$G$11,MATCH($C305,属性耐性マスタ!$A$5:$A$11,0),6),0)+IFERROR(VLOOKUP($AM305,個性タイプマスタ!$A$5:$P$100,12,FALSE),0)))</f>
        <v>0.11000000000000001</v>
      </c>
      <c r="V305" s="59">
        <f>ROUND(設定!$B$19*IFERROR(VLOOKUP($AM305,個性タイプマスタ!$A$5:$P$100,13,FALSE),1),2)</f>
        <v>4.2</v>
      </c>
      <c r="W305" s="59">
        <v>51</v>
      </c>
      <c r="X305" s="59" t="str">
        <f>IFERROR(VLOOKUP($AM305,個性タイプマスタ!$A$5:$P$100,2,FALSE),"Ranged")</f>
        <v>Ranged</v>
      </c>
      <c r="Y305" s="56">
        <f>IFERROR(VLOOKUP($AM305,個性タイプマスタ!$A$5:$P$100,3,FALSE),1)</f>
        <v>0.57999999999999996</v>
      </c>
      <c r="Z305" s="56">
        <f>IFERROR(VLOOKUP($AM305,個性タイプマスタ!$A$5:$P$100,4,FALSE),1)</f>
        <v>0.64</v>
      </c>
      <c r="AA305" s="56">
        <f>IFERROR(VLOOKUP($AM305,個性タイプマスタ!$A$5:$P$100,5,FALSE),1)</f>
        <v>0.65</v>
      </c>
      <c r="AB305" s="56">
        <f>IFERROR(VLOOKUP($AM305,個性タイプマスタ!$A$5:$P$100,6,FALSE),1)</f>
        <v>1.3</v>
      </c>
      <c r="AC305" s="56">
        <f>IFERROR(VLOOKUP($AM305,個性タイプマスタ!$A$5:$P$100,7,FALSE),1)</f>
        <v>1</v>
      </c>
      <c r="AD305" s="56">
        <f>IFERROR(VLOOKUP($AM305,個性タイプマスタ!$A$5:$P$100,8,FALSE),1)</f>
        <v>0.56999999999999995</v>
      </c>
      <c r="AE305" s="60">
        <f>IFERROR(D305/設定!$B$5,1)</f>
        <v>117.3909</v>
      </c>
      <c r="AF305" s="60">
        <f>1+設定!$B$13*((I305/設定!$B$8+J305/設定!$B$9)/(2*AE305))</f>
        <v>1.1934242773502886</v>
      </c>
      <c r="AG305" s="60">
        <f>MAX(0.7,1+設定!$B$14*(O305/IF(X305="Melee",1.5,2.5)-1))</f>
        <v>1</v>
      </c>
      <c r="AH305" s="53">
        <f t="shared" si="17"/>
        <v>4205.9628000000002</v>
      </c>
      <c r="AI305" s="53">
        <f>E305*AF305*(1+設定!$B$18*AVERAGE(P305:U305))</f>
        <v>7857.8670496303366</v>
      </c>
      <c r="AJ305" s="61">
        <f>設定!$B$5*SQRT((AH305/(設定!$B$7*設定!$B$10*(1+設定!$B$11*(設定!$B$12-1))))*(AI305/(設定!$B$6*(1+設定!$B$13))))</f>
        <v>11738.569901822217</v>
      </c>
      <c r="AK305" s="62">
        <f t="shared" si="18"/>
        <v>-4.4304812194417842E-5</v>
      </c>
      <c r="AL305" s="63">
        <f t="shared" si="19"/>
        <v>6691.2812999999996</v>
      </c>
      <c r="AM305" s="64" t="s">
        <v>914</v>
      </c>
      <c r="AN305" s="54">
        <f>MAX(1,ROUND((設定!$B$7*設定!$B$10*(1+設定!$B$11*(設定!$B$12-1)))*AE305^2*(設定!$B$6*(1+設定!$B$13))/(AI305*N305*(1+K305*(L305-1))*AG305),0))</f>
        <v>3099</v>
      </c>
      <c r="AO305" s="65" t="str">
        <f>IF($A305="","",IF(COUNTIF(個性タイプマスタ!$A$5:$A$100,$AM305)&gt;0,"OK","未登録"))</f>
        <v>OK</v>
      </c>
      <c r="AP305" s="67" t="str">
        <f>IF($A305="","",IF(COUNTIF(属性耐性マスタ!$A$5:$A$11,$C305)&gt;0,"OK","未登録"))</f>
        <v>OK</v>
      </c>
    </row>
    <row r="306" spans="1:42">
      <c r="A306" s="66" t="s">
        <v>712</v>
      </c>
      <c r="B306" s="51" t="s">
        <v>713</v>
      </c>
      <c r="C306" s="109" t="s">
        <v>121</v>
      </c>
      <c r="D306" s="53">
        <f>ROUND(設定!$B$5*POWER($D$2,W306-1),2)</f>
        <v>11739.09</v>
      </c>
      <c r="E306" s="54">
        <f>MAX(1,ROUND(設定!$B$6*AE306*Y306,0))</f>
        <v>13148</v>
      </c>
      <c r="F306" s="54">
        <f>MAX(0,ROUND(設定!$B$7*AE306*設定!$B$15*IF(X306="Melee",0.6,1.35)*IFERROR(VLOOKUP($AM306,個性タイプマスタ!$A$5:$P$100,14,FALSE),1),0))</f>
        <v>2311</v>
      </c>
      <c r="G306" s="54">
        <f>IF(X306="Melee",AN306,MAX(1,ROUND(AN306*設定!$B$16*IFERROR(VLOOKUP($AM306,個性タイプマスタ!$A$5:$P$100,15,FALSE),1),0)))</f>
        <v>579</v>
      </c>
      <c r="H306" s="54">
        <f>IF(X306="Ranged",AN306,MAX(1,ROUND(AN306*設定!$B$16*IFERROR(VLOOKUP($AM306,個性タイプマスタ!$A$5:$P$100,15,FALSE),1),0)))</f>
        <v>1951</v>
      </c>
      <c r="I306" s="54">
        <f>MAX(0,ROUND(設定!$B$8*AE306*Z306,0))</f>
        <v>1831</v>
      </c>
      <c r="J306" s="54">
        <f>MAX(0,ROUND(設定!$B$9*AE306*AA306,0))</f>
        <v>676</v>
      </c>
      <c r="K306" s="55">
        <f>IFERROR(VLOOKUP($AM306,個性タイプマスタ!$A$5:$P$100,9,FALSE),0.05)</f>
        <v>5.5E-2</v>
      </c>
      <c r="L306" s="56">
        <f>IFERROR(VLOOKUP($AM306,個性タイプマスタ!$A$5:$P$100,10,FALSE),1.5)</f>
        <v>1.5</v>
      </c>
      <c r="M306" s="56">
        <f>IFERROR(VLOOKUP($AM306,個性タイプマスタ!$A$5:$P$100,11,FALSE),2)</f>
        <v>1.85</v>
      </c>
      <c r="N306" s="57">
        <f>MAX(0.1,ROUND(設定!$B$10*AB306,3))</f>
        <v>0.87</v>
      </c>
      <c r="O306" s="57">
        <f t="shared" si="16"/>
        <v>2.35</v>
      </c>
      <c r="P306" s="58">
        <f>MAX(-10,MIN(0.8,IFERROR(INDEX(属性耐性マスタ!$B$5:$G$11,MATCH($C306,属性耐性マスタ!$A$5:$A$11,0),1),0)+IFERROR(VLOOKUP($AM306,個性タイプマスタ!$A$5:$P$100,12,FALSE),0)))</f>
        <v>6.5000000000000002E-2</v>
      </c>
      <c r="Q306" s="58">
        <f>MAX(-10,MIN(0.8,IFERROR(INDEX(属性耐性マスタ!$B$5:$G$11,MATCH($C306,属性耐性マスタ!$A$5:$A$11,0),2),0)+IFERROR(VLOOKUP($AM306,個性タイプマスタ!$A$5:$P$100,12,FALSE),0)))</f>
        <v>6.5000000000000002E-2</v>
      </c>
      <c r="R306" s="58">
        <f>MAX(-10,MIN(0.8,IFERROR(INDEX(属性耐性マスタ!$B$5:$G$11,MATCH($C306,属性耐性マスタ!$A$5:$A$11,0),3),0)+IFERROR(VLOOKUP($AM306,個性タイプマスタ!$A$5:$P$100,12,FALSE),0)))</f>
        <v>6.5000000000000002E-2</v>
      </c>
      <c r="S306" s="58">
        <f>MAX(-10,MIN(0.8,IFERROR(INDEX(属性耐性マスタ!$B$5:$G$11,MATCH($C306,属性耐性マスタ!$A$5:$A$11,0),4),0)+IFERROR(VLOOKUP($AM306,個性タイプマスタ!$A$5:$P$100,12,FALSE),0)))</f>
        <v>6.5000000000000002E-2</v>
      </c>
      <c r="T306" s="58">
        <f>MAX(-10,MIN(0.8,IFERROR(INDEX(属性耐性マスタ!$B$5:$G$11,MATCH($C306,属性耐性マスタ!$A$5:$A$11,0),5),0)+IFERROR(VLOOKUP($AM306,個性タイプマスタ!$A$5:$P$100,12,FALSE),0)))</f>
        <v>0.26500000000000001</v>
      </c>
      <c r="U306" s="58">
        <f>MAX(-10,MIN(0.8,IFERROR(INDEX(属性耐性マスタ!$B$5:$G$11,MATCH($C306,属性耐性マスタ!$A$5:$A$11,0),6),0)+IFERROR(VLOOKUP($AM306,個性タイプマスタ!$A$5:$P$100,12,FALSE),0)))</f>
        <v>-3.5000000000000003E-2</v>
      </c>
      <c r="V306" s="59">
        <f>ROUND(設定!$B$19*IFERROR(VLOOKUP($AM306,個性タイプマスタ!$A$5:$P$100,13,FALSE),1),2)</f>
        <v>4.2</v>
      </c>
      <c r="W306" s="59">
        <v>51</v>
      </c>
      <c r="X306" s="59" t="str">
        <f>IFERROR(VLOOKUP($AM306,個性タイプマスタ!$A$5:$P$100,2,FALSE),"Ranged")</f>
        <v>Ranged</v>
      </c>
      <c r="Y306" s="56">
        <f>IFERROR(VLOOKUP($AM306,個性タイプマスタ!$A$5:$P$100,3,FALSE),1)</f>
        <v>1.1200000000000001</v>
      </c>
      <c r="Z306" s="56">
        <f>IFERROR(VLOOKUP($AM306,個性タイプマスタ!$A$5:$P$100,4,FALSE),1)</f>
        <v>1.95</v>
      </c>
      <c r="AA306" s="56">
        <f>IFERROR(VLOOKUP($AM306,個性タイプマスタ!$A$5:$P$100,5,FALSE),1)</f>
        <v>0.72</v>
      </c>
      <c r="AB306" s="56">
        <f>IFERROR(VLOOKUP($AM306,個性タイプマスタ!$A$5:$P$100,6,FALSE),1)</f>
        <v>0.87</v>
      </c>
      <c r="AC306" s="56">
        <f>IFERROR(VLOOKUP($AM306,個性タイプマスタ!$A$5:$P$100,7,FALSE),1)</f>
        <v>0.94</v>
      </c>
      <c r="AD306" s="56">
        <f>IFERROR(VLOOKUP($AM306,個性タイプマスタ!$A$5:$P$100,8,FALSE),1)</f>
        <v>0.82</v>
      </c>
      <c r="AE306" s="60">
        <f>IFERROR(D306/設定!$B$5,1)</f>
        <v>117.3909</v>
      </c>
      <c r="AF306" s="60">
        <f>1+設定!$B$13*((I306/設定!$B$8+J306/設定!$B$9)/(2*AE306))</f>
        <v>1.4004249903527446</v>
      </c>
      <c r="AG306" s="60">
        <f>MAX(0.7,1+設定!$B$14*(O306/IF(X306="Melee",1.5,2.5)-1))</f>
        <v>0.99280000000000002</v>
      </c>
      <c r="AH306" s="53">
        <f t="shared" si="17"/>
        <v>1731.4905317400001</v>
      </c>
      <c r="AI306" s="53">
        <f>E306*AF306*(1+設定!$B$18*AVERAGE(P306:U306))</f>
        <v>19089.457723821437</v>
      </c>
      <c r="AJ306" s="61">
        <f>設定!$B$5*SQRT((AH306/(設定!$B$7*設定!$B$10*(1+設定!$B$11*(設定!$B$12-1))))*(AI306/(設定!$B$6*(1+設定!$B$13))))</f>
        <v>11739.159269282638</v>
      </c>
      <c r="AK306" s="62">
        <f t="shared" si="18"/>
        <v>5.9007369939134691E-6</v>
      </c>
      <c r="AL306" s="63">
        <f t="shared" si="19"/>
        <v>9626.0537999999997</v>
      </c>
      <c r="AM306" s="64" t="s">
        <v>928</v>
      </c>
      <c r="AN306" s="54">
        <f>MAX(1,ROUND((設定!$B$7*設定!$B$10*(1+設定!$B$11*(設定!$B$12-1)))*AE306^2*(設定!$B$6*(1+設定!$B$13))/(AI306*N306*(1+K306*(L306-1))*AG306),0))</f>
        <v>1951</v>
      </c>
      <c r="AO306" s="65" t="str">
        <f>IF($A306="","",IF(COUNTIF(個性タイプマスタ!$A$5:$A$100,$AM306)&gt;0,"OK","未登録"))</f>
        <v>OK</v>
      </c>
      <c r="AP306" s="67" t="str">
        <f>IF($A306="","",IF(COUNTIF(属性耐性マスタ!$A$5:$A$11,$C306)&gt;0,"OK","未登録"))</f>
        <v>OK</v>
      </c>
    </row>
    <row r="307" spans="1:42">
      <c r="A307" s="66" t="s">
        <v>714</v>
      </c>
      <c r="B307" s="51" t="s">
        <v>715</v>
      </c>
      <c r="C307" s="109" t="s">
        <v>114</v>
      </c>
      <c r="D307" s="53">
        <f>ROUND(設定!$B$5*POWER($D$2,W307-1),2)</f>
        <v>11739.09</v>
      </c>
      <c r="E307" s="54">
        <f>MAX(1,ROUND(設定!$B$6*AE307*Y307,0))</f>
        <v>9626</v>
      </c>
      <c r="F307" s="54">
        <f>MAX(0,ROUND(設定!$B$7*AE307*設定!$B$15*IF(X307="Melee",0.6,1.35)*IFERROR(VLOOKUP($AM307,個性タイプマスタ!$A$5:$P$100,14,FALSE),1),0))</f>
        <v>1540</v>
      </c>
      <c r="G307" s="54">
        <f>IF(X307="Melee",AN307,MAX(1,ROUND(AN307*設定!$B$16*IFERROR(VLOOKUP($AM307,個性タイプマスタ!$A$5:$P$100,15,FALSE),1),0)))</f>
        <v>1182</v>
      </c>
      <c r="H307" s="54">
        <f>IF(X307="Ranged",AN307,MAX(1,ROUND(AN307*設定!$B$16*IFERROR(VLOOKUP($AM307,個性タイプマスタ!$A$5:$P$100,15,FALSE),1),0)))</f>
        <v>2626</v>
      </c>
      <c r="I307" s="54">
        <f>MAX(0,ROUND(設定!$B$8*AE307*Z307,0))</f>
        <v>798</v>
      </c>
      <c r="J307" s="54">
        <f>MAX(0,ROUND(設定!$B$9*AE307*AA307,0))</f>
        <v>939</v>
      </c>
      <c r="K307" s="55">
        <f>IFERROR(VLOOKUP($AM307,個性タイプマスタ!$A$5:$P$100,9,FALSE),0.05)</f>
        <v>0.05</v>
      </c>
      <c r="L307" s="56">
        <f>IFERROR(VLOOKUP($AM307,個性タイプマスタ!$A$5:$P$100,10,FALSE),1.5)</f>
        <v>1.5</v>
      </c>
      <c r="M307" s="56">
        <f>IFERROR(VLOOKUP($AM307,個性タイプマスタ!$A$5:$P$100,11,FALSE),2)</f>
        <v>2</v>
      </c>
      <c r="N307" s="57">
        <f>MAX(0.1,ROUND(設定!$B$10*AB307,3))</f>
        <v>1</v>
      </c>
      <c r="O307" s="57">
        <f t="shared" si="16"/>
        <v>2.5</v>
      </c>
      <c r="P307" s="58">
        <f>MAX(-10,MIN(0.8,IFERROR(INDEX(属性耐性マスタ!$B$5:$G$11,MATCH($C307,属性耐性マスタ!$A$5:$A$11,0),1),0)+IFERROR(VLOOKUP($AM307,個性タイプマスタ!$A$5:$P$100,12,FALSE),0)))</f>
        <v>-0.02</v>
      </c>
      <c r="Q307" s="58">
        <f>MAX(-10,MIN(0.8,IFERROR(INDEX(属性耐性マスタ!$B$5:$G$11,MATCH($C307,属性耐性マスタ!$A$5:$A$11,0),2),0)+IFERROR(VLOOKUP($AM307,個性タイプマスタ!$A$5:$P$100,12,FALSE),0)))</f>
        <v>-0.02</v>
      </c>
      <c r="R307" s="58">
        <f>MAX(-10,MIN(0.8,IFERROR(INDEX(属性耐性マスタ!$B$5:$G$11,MATCH($C307,属性耐性マスタ!$A$5:$A$11,0),3),0)+IFERROR(VLOOKUP($AM307,個性タイプマスタ!$A$5:$P$100,12,FALSE),0)))</f>
        <v>0.18000000000000002</v>
      </c>
      <c r="S307" s="58">
        <f>MAX(-10,MIN(0.8,IFERROR(INDEX(属性耐性マスタ!$B$5:$G$11,MATCH($C307,属性耐性マスタ!$A$5:$A$11,0),4),0)+IFERROR(VLOOKUP($AM307,個性タイプマスタ!$A$5:$P$100,12,FALSE),0)))</f>
        <v>-0.12000000000000001</v>
      </c>
      <c r="T307" s="58">
        <f>MAX(-10,MIN(0.8,IFERROR(INDEX(属性耐性マスタ!$B$5:$G$11,MATCH($C307,属性耐性マスタ!$A$5:$A$11,0),5),0)+IFERROR(VLOOKUP($AM307,個性タイプマスタ!$A$5:$P$100,12,FALSE),0)))</f>
        <v>-0.02</v>
      </c>
      <c r="U307" s="58">
        <f>MAX(-10,MIN(0.8,IFERROR(INDEX(属性耐性マスタ!$B$5:$G$11,MATCH($C307,属性耐性マスタ!$A$5:$A$11,0),6),0)+IFERROR(VLOOKUP($AM307,個性タイプマスタ!$A$5:$P$100,12,FALSE),0)))</f>
        <v>-0.02</v>
      </c>
      <c r="V307" s="59">
        <f>ROUND(設定!$B$19*IFERROR(VLOOKUP($AM307,個性タイプマスタ!$A$5:$P$100,13,FALSE),1),2)</f>
        <v>4</v>
      </c>
      <c r="W307" s="59">
        <v>51</v>
      </c>
      <c r="X307" s="59" t="str">
        <f>IFERROR(VLOOKUP($AM307,個性タイプマスタ!$A$5:$P$100,2,FALSE),"Ranged")</f>
        <v>Ranged</v>
      </c>
      <c r="Y307" s="56">
        <f>IFERROR(VLOOKUP($AM307,個性タイプマスタ!$A$5:$P$100,3,FALSE),1)</f>
        <v>0.82</v>
      </c>
      <c r="Z307" s="56">
        <f>IFERROR(VLOOKUP($AM307,個性タイプマスタ!$A$5:$P$100,4,FALSE),1)</f>
        <v>0.85</v>
      </c>
      <c r="AA307" s="56">
        <f>IFERROR(VLOOKUP($AM307,個性タイプマスタ!$A$5:$P$100,5,FALSE),1)</f>
        <v>1</v>
      </c>
      <c r="AB307" s="56">
        <f>IFERROR(VLOOKUP($AM307,個性タイプマスタ!$A$5:$P$100,6,FALSE),1)</f>
        <v>1</v>
      </c>
      <c r="AC307" s="56">
        <f>IFERROR(VLOOKUP($AM307,個性タイプマスタ!$A$5:$P$100,7,FALSE),1)</f>
        <v>1</v>
      </c>
      <c r="AD307" s="56">
        <f>IFERROR(VLOOKUP($AM307,個性タイプマスタ!$A$5:$P$100,8,FALSE),1)</f>
        <v>0.68</v>
      </c>
      <c r="AE307" s="60">
        <f>IFERROR(D307/設定!$B$5,1)</f>
        <v>117.3909</v>
      </c>
      <c r="AF307" s="60">
        <f>1+設定!$B$13*((I307/設定!$B$8+J307/設定!$B$9)/(2*AE307))</f>
        <v>1.2774384556213472</v>
      </c>
      <c r="AG307" s="60">
        <f>MAX(0.7,1+設定!$B$14*(O307/IF(X307="Melee",1.5,2.5)-1))</f>
        <v>1</v>
      </c>
      <c r="AH307" s="53">
        <f t="shared" si="17"/>
        <v>2691.6499999999996</v>
      </c>
      <c r="AI307" s="53">
        <f>E307*AF307*(1+設定!$B$18*AVERAGE(P307:U307))</f>
        <v>12278.177639950372</v>
      </c>
      <c r="AJ307" s="61">
        <f>設定!$B$5*SQRT((AH307/(設定!$B$7*設定!$B$10*(1+設定!$B$11*(設定!$B$12-1))))*(AI307/(設定!$B$6*(1+設定!$B$13))))</f>
        <v>11738.331992214356</v>
      </c>
      <c r="AK307" s="62">
        <f t="shared" si="18"/>
        <v>-6.4571256004009037E-5</v>
      </c>
      <c r="AL307" s="63">
        <f t="shared" si="19"/>
        <v>7982.5812000000005</v>
      </c>
      <c r="AM307" s="64" t="s">
        <v>878</v>
      </c>
      <c r="AN307" s="54">
        <f>MAX(1,ROUND((設定!$B$7*設定!$B$10*(1+設定!$B$11*(設定!$B$12-1)))*AE307^2*(設定!$B$6*(1+設定!$B$13))/(AI307*N307*(1+K307*(L307-1))*AG307),0))</f>
        <v>2626</v>
      </c>
      <c r="AO307" s="65" t="str">
        <f>IF($A307="","",IF(COUNTIF(個性タイプマスタ!$A$5:$A$100,$AM307)&gt;0,"OK","未登録"))</f>
        <v>OK</v>
      </c>
      <c r="AP307" s="67" t="str">
        <f>IF($A307="","",IF(COUNTIF(属性耐性マスタ!$A$5:$A$11,$C307)&gt;0,"OK","未登録"))</f>
        <v>OK</v>
      </c>
    </row>
    <row r="308" spans="1:42">
      <c r="A308" s="66" t="s">
        <v>716</v>
      </c>
      <c r="B308" s="51" t="s">
        <v>717</v>
      </c>
      <c r="C308" s="109" t="s">
        <v>114</v>
      </c>
      <c r="D308" s="53">
        <f>ROUND(設定!$B$5*POWER($D$2,W308-1),2)</f>
        <v>11739.09</v>
      </c>
      <c r="E308" s="54">
        <f>MAX(1,ROUND(設定!$B$6*AE308*Y308,0))</f>
        <v>14909</v>
      </c>
      <c r="F308" s="54">
        <f>MAX(0,ROUND(設定!$B$7*AE308*設定!$B$15*IF(X308="Melee",0.6,1.35)*IFERROR(VLOOKUP($AM308,個性タイプマスタ!$A$5:$P$100,14,FALSE),1),0))</f>
        <v>532</v>
      </c>
      <c r="G308" s="54">
        <f>IF(X308="Melee",AN308,MAX(1,ROUND(AN308*設定!$B$16*IFERROR(VLOOKUP($AM308,個性タイプマスタ!$A$5:$P$100,15,FALSE),1),0)))</f>
        <v>2961</v>
      </c>
      <c r="H308" s="54">
        <f>IF(X308="Ranged",AN308,MAX(1,ROUND(AN308*設定!$B$16*IFERROR(VLOOKUP($AM308,個性タイプマスタ!$A$5:$P$100,15,FALSE),1),0)))</f>
        <v>866</v>
      </c>
      <c r="I308" s="54">
        <f>MAX(0,ROUND(設定!$B$8*AE308*Z308,0))</f>
        <v>986</v>
      </c>
      <c r="J308" s="54">
        <f>MAX(0,ROUND(設定!$B$9*AE308*AA308,0))</f>
        <v>826</v>
      </c>
      <c r="K308" s="55">
        <f>IFERROR(VLOOKUP($AM308,個性タイプマスタ!$A$5:$P$100,9,FALSE),0.05)</f>
        <v>0.06</v>
      </c>
      <c r="L308" s="56">
        <f>IFERROR(VLOOKUP($AM308,個性タイプマスタ!$A$5:$P$100,10,FALSE),1.5)</f>
        <v>2.15</v>
      </c>
      <c r="M308" s="56">
        <f>IFERROR(VLOOKUP($AM308,個性タイプマスタ!$A$5:$P$100,11,FALSE),2)</f>
        <v>1.65</v>
      </c>
      <c r="N308" s="57">
        <f>MAX(0.1,ROUND(設定!$B$10*AB308,3))</f>
        <v>0.53</v>
      </c>
      <c r="O308" s="57">
        <f t="shared" si="16"/>
        <v>1.86</v>
      </c>
      <c r="P308" s="58">
        <f>MAX(-10,MIN(0.8,IFERROR(INDEX(属性耐性マスタ!$B$5:$G$11,MATCH($C308,属性耐性マスタ!$A$5:$A$11,0),1),0)+IFERROR(VLOOKUP($AM308,個性タイプマスタ!$A$5:$P$100,12,FALSE),0)))</f>
        <v>-2.5000000000000001E-2</v>
      </c>
      <c r="Q308" s="58">
        <f>MAX(-10,MIN(0.8,IFERROR(INDEX(属性耐性マスタ!$B$5:$G$11,MATCH($C308,属性耐性マスタ!$A$5:$A$11,0),2),0)+IFERROR(VLOOKUP($AM308,個性タイプマスタ!$A$5:$P$100,12,FALSE),0)))</f>
        <v>-2.5000000000000001E-2</v>
      </c>
      <c r="R308" s="58">
        <f>MAX(-10,MIN(0.8,IFERROR(INDEX(属性耐性マスタ!$B$5:$G$11,MATCH($C308,属性耐性マスタ!$A$5:$A$11,0),3),0)+IFERROR(VLOOKUP($AM308,個性タイプマスタ!$A$5:$P$100,12,FALSE),0)))</f>
        <v>0.17500000000000002</v>
      </c>
      <c r="S308" s="58">
        <f>MAX(-10,MIN(0.8,IFERROR(INDEX(属性耐性マスタ!$B$5:$G$11,MATCH($C308,属性耐性マスタ!$A$5:$A$11,0),4),0)+IFERROR(VLOOKUP($AM308,個性タイプマスタ!$A$5:$P$100,12,FALSE),0)))</f>
        <v>-0.125</v>
      </c>
      <c r="T308" s="58">
        <f>MAX(-10,MIN(0.8,IFERROR(INDEX(属性耐性マスタ!$B$5:$G$11,MATCH($C308,属性耐性マスタ!$A$5:$A$11,0),5),0)+IFERROR(VLOOKUP($AM308,個性タイプマスタ!$A$5:$P$100,12,FALSE),0)))</f>
        <v>-2.5000000000000001E-2</v>
      </c>
      <c r="U308" s="58">
        <f>MAX(-10,MIN(0.8,IFERROR(INDEX(属性耐性マスタ!$B$5:$G$11,MATCH($C308,属性耐性マスタ!$A$5:$A$11,0),6),0)+IFERROR(VLOOKUP($AM308,個性タイプマスタ!$A$5:$P$100,12,FALSE),0)))</f>
        <v>-2.5000000000000001E-2</v>
      </c>
      <c r="V308" s="59">
        <f>ROUND(設定!$B$19*IFERROR(VLOOKUP($AM308,個性タイプマスタ!$A$5:$P$100,13,FALSE),1),2)</f>
        <v>4.4000000000000004</v>
      </c>
      <c r="W308" s="59">
        <v>51</v>
      </c>
      <c r="X308" s="59" t="str">
        <f>IFERROR(VLOOKUP($AM308,個性タイプマスタ!$A$5:$P$100,2,FALSE),"Ranged")</f>
        <v>Melee</v>
      </c>
      <c r="Y308" s="56">
        <f>IFERROR(VLOOKUP($AM308,個性タイプマスタ!$A$5:$P$100,3,FALSE),1)</f>
        <v>1.27</v>
      </c>
      <c r="Z308" s="56">
        <f>IFERROR(VLOOKUP($AM308,個性タイプマスタ!$A$5:$P$100,4,FALSE),1)</f>
        <v>1.05</v>
      </c>
      <c r="AA308" s="56">
        <f>IFERROR(VLOOKUP($AM308,個性タイプマスタ!$A$5:$P$100,5,FALSE),1)</f>
        <v>0.88</v>
      </c>
      <c r="AB308" s="56">
        <f>IFERROR(VLOOKUP($AM308,個性タイプマスタ!$A$5:$P$100,6,FALSE),1)</f>
        <v>0.53</v>
      </c>
      <c r="AC308" s="56">
        <f>IFERROR(VLOOKUP($AM308,個性タイプマスタ!$A$5:$P$100,7,FALSE),1)</f>
        <v>1.24</v>
      </c>
      <c r="AD308" s="56">
        <f>IFERROR(VLOOKUP($AM308,個性タイプマスタ!$A$5:$P$100,8,FALSE),1)</f>
        <v>0.8</v>
      </c>
      <c r="AE308" s="60">
        <f>IFERROR(D308/設定!$B$5,1)</f>
        <v>117.3909</v>
      </c>
      <c r="AF308" s="60">
        <f>1+設定!$B$13*((I308/設定!$B$8+J308/設定!$B$9)/(2*AE308))</f>
        <v>1.2894176635497301</v>
      </c>
      <c r="AG308" s="60">
        <f>MAX(0.7,1+設定!$B$14*(O308/IF(X308="Melee",1.5,2.5)-1))</f>
        <v>1.0287999999999999</v>
      </c>
      <c r="AH308" s="53">
        <f t="shared" si="17"/>
        <v>1725.929046576</v>
      </c>
      <c r="AI308" s="53">
        <f>E308*AF308*(1+設定!$B$18*AVERAGE(P308:U308))</f>
        <v>19151.838216065938</v>
      </c>
      <c r="AJ308" s="61">
        <f>設定!$B$5*SQRT((AH308/(設定!$B$7*設定!$B$10*(1+設定!$B$11*(設定!$B$12-1))))*(AI308/(設定!$B$6*(1+設定!$B$13))))</f>
        <v>11739.425381429346</v>
      </c>
      <c r="AK308" s="62">
        <f t="shared" si="18"/>
        <v>2.856962757302739E-5</v>
      </c>
      <c r="AL308" s="63">
        <f t="shared" si="19"/>
        <v>9391.2720000000008</v>
      </c>
      <c r="AM308" s="64" t="s">
        <v>944</v>
      </c>
      <c r="AN308" s="54">
        <f>MAX(1,ROUND((設定!$B$7*設定!$B$10*(1+設定!$B$11*(設定!$B$12-1)))*AE308^2*(設定!$B$6*(1+設定!$B$13))/(AI308*N308*(1+K308*(L308-1))*AG308),0))</f>
        <v>2961</v>
      </c>
      <c r="AO308" s="65" t="str">
        <f>IF($A308="","",IF(COUNTIF(個性タイプマスタ!$A$5:$A$100,$AM308)&gt;0,"OK","未登録"))</f>
        <v>OK</v>
      </c>
      <c r="AP308" s="67" t="str">
        <f>IF($A308="","",IF(COUNTIF(属性耐性マスタ!$A$5:$A$11,$C308)&gt;0,"OK","未登録"))</f>
        <v>OK</v>
      </c>
    </row>
    <row r="309" spans="1:42">
      <c r="A309" s="66" t="s">
        <v>718</v>
      </c>
      <c r="B309" s="51" t="s">
        <v>719</v>
      </c>
      <c r="C309" s="109" t="s">
        <v>874</v>
      </c>
      <c r="D309" s="53">
        <f>ROUND(設定!$B$5*POWER($D$2,W309-1),2)</f>
        <v>11739.09</v>
      </c>
      <c r="E309" s="54">
        <f>MAX(1,ROUND(設定!$B$6*AE309*Y309,0))</f>
        <v>10800</v>
      </c>
      <c r="F309" s="54">
        <f>MAX(0,ROUND(設定!$B$7*AE309*設定!$B$15*IF(X309="Melee",0.6,1.35)*IFERROR(VLOOKUP($AM309,個性タイプマスタ!$A$5:$P$100,14,FALSE),1),0))</f>
        <v>685</v>
      </c>
      <c r="G309" s="54">
        <f>IF(X309="Melee",AN309,MAX(1,ROUND(AN309*設定!$B$16*IFERROR(VLOOKUP($AM309,個性タイプマスタ!$A$5:$P$100,15,FALSE),1),0)))</f>
        <v>2267</v>
      </c>
      <c r="H309" s="54">
        <f>IF(X309="Ranged",AN309,MAX(1,ROUND(AN309*設定!$B$16*IFERROR(VLOOKUP($AM309,個性タイプマスタ!$A$5:$P$100,15,FALSE),1),0)))</f>
        <v>816</v>
      </c>
      <c r="I309" s="54">
        <f>MAX(0,ROUND(設定!$B$8*AE309*Z309,0))</f>
        <v>864</v>
      </c>
      <c r="J309" s="54">
        <f>MAX(0,ROUND(設定!$B$9*AE309*AA309,0))</f>
        <v>798</v>
      </c>
      <c r="K309" s="55">
        <f>IFERROR(VLOOKUP($AM309,個性タイプマスタ!$A$5:$P$100,9,FALSE),0.05)</f>
        <v>7.0000000000000007E-2</v>
      </c>
      <c r="L309" s="56">
        <f>IFERROR(VLOOKUP($AM309,個性タイプマスタ!$A$5:$P$100,10,FALSE),1.5)</f>
        <v>1.6</v>
      </c>
      <c r="M309" s="56">
        <f>IFERROR(VLOOKUP($AM309,個性タイプマスタ!$A$5:$P$100,11,FALSE),2)</f>
        <v>2.4500000000000002</v>
      </c>
      <c r="N309" s="57">
        <f>MAX(0.1,ROUND(設定!$B$10*AB309,3))</f>
        <v>0.94</v>
      </c>
      <c r="O309" s="57">
        <f t="shared" si="16"/>
        <v>2.73</v>
      </c>
      <c r="P309" s="58">
        <f>MAX(-10,MIN(0.8,IFERROR(INDEX(属性耐性マスタ!$B$5:$G$11,MATCH($C309,属性耐性マスタ!$A$5:$A$11,0),1),0)+IFERROR(VLOOKUP($AM309,個性タイプマスタ!$A$5:$P$100,12,FALSE),0)))</f>
        <v>-3.5000000000000003E-2</v>
      </c>
      <c r="Q309" s="58">
        <f>MAX(-10,MIN(0.8,IFERROR(INDEX(属性耐性マスタ!$B$5:$G$11,MATCH($C309,属性耐性マスタ!$A$5:$A$11,0),2),0)+IFERROR(VLOOKUP($AM309,個性タイプマスタ!$A$5:$P$100,12,FALSE),0)))</f>
        <v>-3.5000000000000003E-2</v>
      </c>
      <c r="R309" s="58">
        <f>MAX(-10,MIN(0.8,IFERROR(INDEX(属性耐性マスタ!$B$5:$G$11,MATCH($C309,属性耐性マスタ!$A$5:$A$11,0),3),0)+IFERROR(VLOOKUP($AM309,個性タイプマスタ!$A$5:$P$100,12,FALSE),0)))</f>
        <v>-3.5000000000000003E-2</v>
      </c>
      <c r="S309" s="58">
        <f>MAX(-10,MIN(0.8,IFERROR(INDEX(属性耐性マスタ!$B$5:$G$11,MATCH($C309,属性耐性マスタ!$A$5:$A$11,0),4),0)+IFERROR(VLOOKUP($AM309,個性タイプマスタ!$A$5:$P$100,12,FALSE),0)))</f>
        <v>-3.5000000000000003E-2</v>
      </c>
      <c r="T309" s="58">
        <f>MAX(-10,MIN(0.8,IFERROR(INDEX(属性耐性マスタ!$B$5:$G$11,MATCH($C309,属性耐性マスタ!$A$5:$A$11,0),5),0)+IFERROR(VLOOKUP($AM309,個性タイプマスタ!$A$5:$P$100,12,FALSE),0)))</f>
        <v>-0.13500000000000001</v>
      </c>
      <c r="U309" s="58">
        <f>MAX(-10,MIN(0.8,IFERROR(INDEX(属性耐性マスタ!$B$5:$G$11,MATCH($C309,属性耐性マスタ!$A$5:$A$11,0),6),0)+IFERROR(VLOOKUP($AM309,個性タイプマスタ!$A$5:$P$100,12,FALSE),0)))</f>
        <v>0.16500000000000001</v>
      </c>
      <c r="V309" s="59">
        <f>ROUND(設定!$B$19*IFERROR(VLOOKUP($AM309,個性タイプマスタ!$A$5:$P$100,13,FALSE),1),2)</f>
        <v>5.6</v>
      </c>
      <c r="W309" s="59">
        <v>51</v>
      </c>
      <c r="X309" s="59" t="str">
        <f>IFERROR(VLOOKUP($AM309,個性タイプマスタ!$A$5:$P$100,2,FALSE),"Ranged")</f>
        <v>Melee</v>
      </c>
      <c r="Y309" s="56">
        <f>IFERROR(VLOOKUP($AM309,個性タイプマスタ!$A$5:$P$100,3,FALSE),1)</f>
        <v>0.92</v>
      </c>
      <c r="Z309" s="56">
        <f>IFERROR(VLOOKUP($AM309,個性タイプマスタ!$A$5:$P$100,4,FALSE),1)</f>
        <v>0.92</v>
      </c>
      <c r="AA309" s="56">
        <f>IFERROR(VLOOKUP($AM309,個性タイプマスタ!$A$5:$P$100,5,FALSE),1)</f>
        <v>0.85</v>
      </c>
      <c r="AB309" s="56">
        <f>IFERROR(VLOOKUP($AM309,個性タイプマスタ!$A$5:$P$100,6,FALSE),1)</f>
        <v>0.94</v>
      </c>
      <c r="AC309" s="56">
        <f>IFERROR(VLOOKUP($AM309,個性タイプマスタ!$A$5:$P$100,7,FALSE),1)</f>
        <v>1.82</v>
      </c>
      <c r="AD309" s="56">
        <f>IFERROR(VLOOKUP($AM309,個性タイプマスタ!$A$5:$P$100,8,FALSE),1)</f>
        <v>0.74</v>
      </c>
      <c r="AE309" s="60">
        <f>IFERROR(D309/設定!$B$5,1)</f>
        <v>117.3909</v>
      </c>
      <c r="AF309" s="60">
        <f>1+設定!$B$13*((I309/設定!$B$8+J309/設定!$B$9)/(2*AE309))</f>
        <v>1.2654592476929643</v>
      </c>
      <c r="AG309" s="60">
        <f>MAX(0.7,1+設定!$B$14*(O309/IF(X309="Melee",1.5,2.5)-1))</f>
        <v>1.0984</v>
      </c>
      <c r="AH309" s="53">
        <f t="shared" si="17"/>
        <v>2438.9765061440003</v>
      </c>
      <c r="AI309" s="53">
        <f>E309*AF309*(1+設定!$B$18*AVERAGE(P309:U309))</f>
        <v>13554.207456114571</v>
      </c>
      <c r="AJ309" s="61">
        <f>設定!$B$5*SQRT((AH309/(設定!$B$7*設定!$B$10*(1+設定!$B$11*(設定!$B$12-1))))*(AI309/(設定!$B$6*(1+設定!$B$13))))</f>
        <v>11740.078783512938</v>
      </c>
      <c r="AK309" s="62">
        <f t="shared" si="18"/>
        <v>8.4229996783147243E-5</v>
      </c>
      <c r="AL309" s="63">
        <f t="shared" si="19"/>
        <v>8686.9266000000007</v>
      </c>
      <c r="AM309" s="64" t="s">
        <v>958</v>
      </c>
      <c r="AN309" s="54">
        <f>MAX(1,ROUND((設定!$B$7*設定!$B$10*(1+設定!$B$11*(設定!$B$12-1)))*AE309^2*(設定!$B$6*(1+設定!$B$13))/(AI309*N309*(1+K309*(L309-1))*AG309),0))</f>
        <v>2267</v>
      </c>
      <c r="AO309" s="65" t="str">
        <f>IF($A309="","",IF(COUNTIF(個性タイプマスタ!$A$5:$A$100,$AM309)&gt;0,"OK","未登録"))</f>
        <v>OK</v>
      </c>
      <c r="AP309" s="67" t="str">
        <f>IF($A309="","",IF(COUNTIF(属性耐性マスタ!$A$5:$A$11,$C309)&gt;0,"OK","未登録"))</f>
        <v>OK</v>
      </c>
    </row>
    <row r="310" spans="1:42">
      <c r="A310" s="66" t="s">
        <v>720</v>
      </c>
      <c r="B310" s="51" t="s">
        <v>721</v>
      </c>
      <c r="C310" s="109" t="s">
        <v>114</v>
      </c>
      <c r="D310" s="53">
        <f>ROUND(設定!$B$5*POWER($D$2,W310-1),2)</f>
        <v>11739.09</v>
      </c>
      <c r="E310" s="54">
        <f>MAX(1,ROUND(設定!$B$6*AE310*Y310,0))</f>
        <v>10448</v>
      </c>
      <c r="F310" s="54">
        <f>MAX(0,ROUND(設定!$B$7*AE310*設定!$B$15*IF(X310="Melee",0.6,1.35)*IFERROR(VLOOKUP($AM310,個性タイプマスタ!$A$5:$P$100,14,FALSE),1),0))</f>
        <v>1626</v>
      </c>
      <c r="G310" s="54">
        <f>IF(X310="Melee",AN310,MAX(1,ROUND(AN310*設定!$B$16*IFERROR(VLOOKUP($AM310,個性タイプマスタ!$A$5:$P$100,15,FALSE),1),0)))</f>
        <v>545</v>
      </c>
      <c r="H310" s="54">
        <f>IF(X310="Ranged",AN310,MAX(1,ROUND(AN310*設定!$B$16*IFERROR(VLOOKUP($AM310,個性タイプマスタ!$A$5:$P$100,15,FALSE),1),0)))</f>
        <v>2018</v>
      </c>
      <c r="I310" s="54">
        <f>MAX(0,ROUND(設定!$B$8*AE310*Z310,0))</f>
        <v>864</v>
      </c>
      <c r="J310" s="54">
        <f>MAX(0,ROUND(設定!$B$9*AE310*AA310,0))</f>
        <v>855</v>
      </c>
      <c r="K310" s="55">
        <f>IFERROR(VLOOKUP($AM310,個性タイプマスタ!$A$5:$P$100,9,FALSE),0.05)</f>
        <v>7.4999999999999997E-2</v>
      </c>
      <c r="L310" s="56">
        <f>IFERROR(VLOOKUP($AM310,個性タイプマスタ!$A$5:$P$100,10,FALSE),1.5)</f>
        <v>1.5</v>
      </c>
      <c r="M310" s="56">
        <f>IFERROR(VLOOKUP($AM310,個性タイプマスタ!$A$5:$P$100,11,FALSE),2)</f>
        <v>3.1</v>
      </c>
      <c r="N310" s="57">
        <f>MAX(0.1,ROUND(設定!$B$10*AB310,3))</f>
        <v>1.1499999999999999</v>
      </c>
      <c r="O310" s="57">
        <f t="shared" si="16"/>
        <v>3.0750000000000002</v>
      </c>
      <c r="P310" s="58">
        <f>MAX(-10,MIN(0.8,IFERROR(INDEX(属性耐性マスタ!$B$5:$G$11,MATCH($C310,属性耐性マスタ!$A$5:$A$11,0),1),0)+IFERROR(VLOOKUP($AM310,個性タイプマスタ!$A$5:$P$100,12,FALSE),0)))</f>
        <v>-0.01</v>
      </c>
      <c r="Q310" s="58">
        <f>MAX(-10,MIN(0.8,IFERROR(INDEX(属性耐性マスタ!$B$5:$G$11,MATCH($C310,属性耐性マスタ!$A$5:$A$11,0),2),0)+IFERROR(VLOOKUP($AM310,個性タイプマスタ!$A$5:$P$100,12,FALSE),0)))</f>
        <v>-0.01</v>
      </c>
      <c r="R310" s="58">
        <f>MAX(-10,MIN(0.8,IFERROR(INDEX(属性耐性マスタ!$B$5:$G$11,MATCH($C310,属性耐性マスタ!$A$5:$A$11,0),3),0)+IFERROR(VLOOKUP($AM310,個性タイプマスタ!$A$5:$P$100,12,FALSE),0)))</f>
        <v>0.19</v>
      </c>
      <c r="S310" s="58">
        <f>MAX(-10,MIN(0.8,IFERROR(INDEX(属性耐性マスタ!$B$5:$G$11,MATCH($C310,属性耐性マスタ!$A$5:$A$11,0),4),0)+IFERROR(VLOOKUP($AM310,個性タイプマスタ!$A$5:$P$100,12,FALSE),0)))</f>
        <v>-0.11</v>
      </c>
      <c r="T310" s="58">
        <f>MAX(-10,MIN(0.8,IFERROR(INDEX(属性耐性マスタ!$B$5:$G$11,MATCH($C310,属性耐性マスタ!$A$5:$A$11,0),5),0)+IFERROR(VLOOKUP($AM310,個性タイプマスタ!$A$5:$P$100,12,FALSE),0)))</f>
        <v>-0.01</v>
      </c>
      <c r="U310" s="58">
        <f>MAX(-10,MIN(0.8,IFERROR(INDEX(属性耐性マスタ!$B$5:$G$11,MATCH($C310,属性耐性マスタ!$A$5:$A$11,0),6),0)+IFERROR(VLOOKUP($AM310,個性タイプマスタ!$A$5:$P$100,12,FALSE),0)))</f>
        <v>-0.01</v>
      </c>
      <c r="V310" s="59">
        <f>ROUND(設定!$B$19*IFERROR(VLOOKUP($AM310,個性タイプマスタ!$A$5:$P$100,13,FALSE),1),2)</f>
        <v>8.6</v>
      </c>
      <c r="W310" s="59">
        <v>51</v>
      </c>
      <c r="X310" s="59" t="str">
        <f>IFERROR(VLOOKUP($AM310,個性タイプマスタ!$A$5:$P$100,2,FALSE),"Ranged")</f>
        <v>Ranged</v>
      </c>
      <c r="Y310" s="56">
        <f>IFERROR(VLOOKUP($AM310,個性タイプマスタ!$A$5:$P$100,3,FALSE),1)</f>
        <v>0.89</v>
      </c>
      <c r="Z310" s="56">
        <f>IFERROR(VLOOKUP($AM310,個性タイプマスタ!$A$5:$P$100,4,FALSE),1)</f>
        <v>0.92</v>
      </c>
      <c r="AA310" s="56">
        <f>IFERROR(VLOOKUP($AM310,個性タイプマスタ!$A$5:$P$100,5,FALSE),1)</f>
        <v>0.91</v>
      </c>
      <c r="AB310" s="56">
        <f>IFERROR(VLOOKUP($AM310,個性タイプマスタ!$A$5:$P$100,6,FALSE),1)</f>
        <v>1.1499999999999999</v>
      </c>
      <c r="AC310" s="56">
        <f>IFERROR(VLOOKUP($AM310,個性タイプマスタ!$A$5:$P$100,7,FALSE),1)</f>
        <v>1.23</v>
      </c>
      <c r="AD310" s="56">
        <f>IFERROR(VLOOKUP($AM310,個性タイプマスタ!$A$5:$P$100,8,FALSE),1)</f>
        <v>0.74</v>
      </c>
      <c r="AE310" s="60">
        <f>IFERROR(D310/設定!$B$5,1)</f>
        <v>117.3909</v>
      </c>
      <c r="AF310" s="60">
        <f>1+設定!$B$13*((I310/設定!$B$8+J310/設定!$B$9)/(2*AE310))</f>
        <v>1.2745634457185353</v>
      </c>
      <c r="AG310" s="60">
        <f>MAX(0.7,1+設定!$B$14*(O310/IF(X310="Melee",1.5,2.5)-1))</f>
        <v>1.0276000000000001</v>
      </c>
      <c r="AH310" s="53">
        <f t="shared" si="17"/>
        <v>2474.1794945000001</v>
      </c>
      <c r="AI310" s="53">
        <f>E310*AF310*(1+設定!$B$18*AVERAGE(P310:U310))</f>
        <v>13356.588797509856</v>
      </c>
      <c r="AJ310" s="61">
        <f>設定!$B$5*SQRT((AH310/(設定!$B$7*設定!$B$10*(1+設定!$B$11*(設定!$B$12-1))))*(AI310/(設定!$B$6*(1+設定!$B$13))))</f>
        <v>11737.98413271921</v>
      </c>
      <c r="AK310" s="62">
        <f t="shared" si="18"/>
        <v>-9.420383358427209E-5</v>
      </c>
      <c r="AL310" s="63">
        <f t="shared" si="19"/>
        <v>8686.9266000000007</v>
      </c>
      <c r="AM310" s="64" t="s">
        <v>934</v>
      </c>
      <c r="AN310" s="54">
        <f>MAX(1,ROUND((設定!$B$7*設定!$B$10*(1+設定!$B$11*(設定!$B$12-1)))*AE310^2*(設定!$B$6*(1+設定!$B$13))/(AI310*N310*(1+K310*(L310-1))*AG310),0))</f>
        <v>2018</v>
      </c>
      <c r="AO310" s="65" t="str">
        <f>IF($A310="","",IF(COUNTIF(個性タイプマスタ!$A$5:$A$100,$AM310)&gt;0,"OK","未登録"))</f>
        <v>OK</v>
      </c>
      <c r="AP310" s="67" t="str">
        <f>IF($A310="","",IF(COUNTIF(属性耐性マスタ!$A$5:$A$11,$C310)&gt;0,"OK","未登録"))</f>
        <v>OK</v>
      </c>
    </row>
    <row r="311" spans="1:42">
      <c r="A311" s="66" t="s">
        <v>722</v>
      </c>
      <c r="B311" s="51" t="s">
        <v>723</v>
      </c>
      <c r="C311" s="109" t="s">
        <v>114</v>
      </c>
      <c r="D311" s="53">
        <f>ROUND(設定!$B$5*POWER($D$2,W311-1),2)</f>
        <v>12912.99</v>
      </c>
      <c r="E311" s="54">
        <f>MAX(1,ROUND(設定!$B$6*AE311*Y311,0))</f>
        <v>13688</v>
      </c>
      <c r="F311" s="54">
        <f>MAX(0,ROUND(設定!$B$7*AE311*設定!$B$15*IF(X311="Melee",0.6,1.35)*IFERROR(VLOOKUP($AM311,個性タイプマスタ!$A$5:$P$100,14,FALSE),1),0))</f>
        <v>3295</v>
      </c>
      <c r="G311" s="54">
        <f>IF(X311="Melee",AN311,MAX(1,ROUND(AN311*設定!$B$16*IFERROR(VLOOKUP($AM311,個性タイプマスタ!$A$5:$P$100,15,FALSE),1),0)))</f>
        <v>664</v>
      </c>
      <c r="H311" s="54">
        <f>IF(X311="Ranged",AN311,MAX(1,ROUND(AN311*設定!$B$16*IFERROR(VLOOKUP($AM311,個性タイプマスタ!$A$5:$P$100,15,FALSE),1),0)))</f>
        <v>2270</v>
      </c>
      <c r="I311" s="54">
        <f>MAX(0,ROUND(設定!$B$8*AE311*Z311,0))</f>
        <v>795</v>
      </c>
      <c r="J311" s="54">
        <f>MAX(0,ROUND(設定!$B$9*AE311*AA311,0))</f>
        <v>2118</v>
      </c>
      <c r="K311" s="55">
        <f>IFERROR(VLOOKUP($AM311,個性タイプマスタ!$A$5:$P$100,9,FALSE),0.05)</f>
        <v>4.4999999999999998E-2</v>
      </c>
      <c r="L311" s="56">
        <f>IFERROR(VLOOKUP($AM311,個性タイプマスタ!$A$5:$P$100,10,FALSE),1.5)</f>
        <v>1.45</v>
      </c>
      <c r="M311" s="56">
        <f>IFERROR(VLOOKUP($AM311,個性タイプマスタ!$A$5:$P$100,11,FALSE),2)</f>
        <v>1.9</v>
      </c>
      <c r="N311" s="57">
        <f>MAX(0.1,ROUND(設定!$B$10*AB311,3))</f>
        <v>0.84</v>
      </c>
      <c r="O311" s="57">
        <f t="shared" si="16"/>
        <v>2.65</v>
      </c>
      <c r="P311" s="58">
        <f>MAX(-10,MIN(0.8,IFERROR(INDEX(属性耐性マスタ!$B$5:$G$11,MATCH($C311,属性耐性マスタ!$A$5:$A$11,0),1),0)+IFERROR(VLOOKUP($AM311,個性タイプマスタ!$A$5:$P$100,12,FALSE),0)))</f>
        <v>0.09</v>
      </c>
      <c r="Q311" s="58">
        <f>MAX(-10,MIN(0.8,IFERROR(INDEX(属性耐性マスタ!$B$5:$G$11,MATCH($C311,属性耐性マスタ!$A$5:$A$11,0),2),0)+IFERROR(VLOOKUP($AM311,個性タイプマスタ!$A$5:$P$100,12,FALSE),0)))</f>
        <v>0.09</v>
      </c>
      <c r="R311" s="58">
        <f>MAX(-10,MIN(0.8,IFERROR(INDEX(属性耐性マスタ!$B$5:$G$11,MATCH($C311,属性耐性マスタ!$A$5:$A$11,0),3),0)+IFERROR(VLOOKUP($AM311,個性タイプマスタ!$A$5:$P$100,12,FALSE),0)))</f>
        <v>0.29000000000000004</v>
      </c>
      <c r="S311" s="58">
        <f>MAX(-10,MIN(0.8,IFERROR(INDEX(属性耐性マスタ!$B$5:$G$11,MATCH($C311,属性耐性マスタ!$A$5:$A$11,0),4),0)+IFERROR(VLOOKUP($AM311,個性タイプマスタ!$A$5:$P$100,12,FALSE),0)))</f>
        <v>-1.0000000000000009E-2</v>
      </c>
      <c r="T311" s="58">
        <f>MAX(-10,MIN(0.8,IFERROR(INDEX(属性耐性マスタ!$B$5:$G$11,MATCH($C311,属性耐性マスタ!$A$5:$A$11,0),5),0)+IFERROR(VLOOKUP($AM311,個性タイプマスタ!$A$5:$P$100,12,FALSE),0)))</f>
        <v>0.09</v>
      </c>
      <c r="U311" s="58">
        <f>MAX(-10,MIN(0.8,IFERROR(INDEX(属性耐性マスタ!$B$5:$G$11,MATCH($C311,属性耐性マスタ!$A$5:$A$11,0),6),0)+IFERROR(VLOOKUP($AM311,個性タイプマスタ!$A$5:$P$100,12,FALSE),0)))</f>
        <v>0.09</v>
      </c>
      <c r="V311" s="59">
        <f>ROUND(設定!$B$19*IFERROR(VLOOKUP($AM311,個性タイプマスタ!$A$5:$P$100,13,FALSE),1),2)</f>
        <v>4.4000000000000004</v>
      </c>
      <c r="W311" s="59">
        <v>52</v>
      </c>
      <c r="X311" s="59" t="str">
        <f>IFERROR(VLOOKUP($AM311,個性タイプマスタ!$A$5:$P$100,2,FALSE),"Ranged")</f>
        <v>Ranged</v>
      </c>
      <c r="Y311" s="56">
        <f>IFERROR(VLOOKUP($AM311,個性タイプマスタ!$A$5:$P$100,3,FALSE),1)</f>
        <v>1.06</v>
      </c>
      <c r="Z311" s="56">
        <f>IFERROR(VLOOKUP($AM311,個性タイプマスタ!$A$5:$P$100,4,FALSE),1)</f>
        <v>0.77</v>
      </c>
      <c r="AA311" s="56">
        <f>IFERROR(VLOOKUP($AM311,個性タイプマスタ!$A$5:$P$100,5,FALSE),1)</f>
        <v>2.0499999999999998</v>
      </c>
      <c r="AB311" s="56">
        <f>IFERROR(VLOOKUP($AM311,個性タイプマスタ!$A$5:$P$100,6,FALSE),1)</f>
        <v>0.84</v>
      </c>
      <c r="AC311" s="56">
        <f>IFERROR(VLOOKUP($AM311,個性タイプマスタ!$A$5:$P$100,7,FALSE),1)</f>
        <v>1.06</v>
      </c>
      <c r="AD311" s="56">
        <f>IFERROR(VLOOKUP($AM311,個性タイプマスタ!$A$5:$P$100,8,FALSE),1)</f>
        <v>0.82</v>
      </c>
      <c r="AE311" s="60">
        <f>IFERROR(D311/設定!$B$5,1)</f>
        <v>129.12989999999999</v>
      </c>
      <c r="AF311" s="60">
        <f>1+設定!$B$13*((I311/設定!$B$8+J311/設定!$B$9)/(2*AE311))</f>
        <v>1.4229752365641111</v>
      </c>
      <c r="AG311" s="60">
        <f>MAX(0.7,1+設定!$B$14*(O311/IF(X311="Melee",1.5,2.5)-1))</f>
        <v>1.0072000000000001</v>
      </c>
      <c r="AH311" s="53">
        <f t="shared" si="17"/>
        <v>1959.4196714400002</v>
      </c>
      <c r="AI311" s="53">
        <f>E311*AF311*(1+設定!$B$18*AVERAGE(P311:U311))</f>
        <v>20412.613919917851</v>
      </c>
      <c r="AJ311" s="61">
        <f>設定!$B$5*SQRT((AH311/(設定!$B$7*設定!$B$10*(1+設定!$B$11*(設定!$B$12-1))))*(AI311/(設定!$B$6*(1+設定!$B$13))))</f>
        <v>12913.47663974149</v>
      </c>
      <c r="AK311" s="62">
        <f t="shared" si="18"/>
        <v>3.7686061980179986E-5</v>
      </c>
      <c r="AL311" s="63">
        <f t="shared" si="19"/>
        <v>10588.6518</v>
      </c>
      <c r="AM311" s="64" t="s">
        <v>926</v>
      </c>
      <c r="AN311" s="54">
        <f>MAX(1,ROUND((設定!$B$7*設定!$B$10*(1+設定!$B$11*(設定!$B$12-1)))*AE311^2*(設定!$B$6*(1+設定!$B$13))/(AI311*N311*(1+K311*(L311-1))*AG311),0))</f>
        <v>2270</v>
      </c>
      <c r="AO311" s="65" t="str">
        <f>IF($A311="","",IF(COUNTIF(個性タイプマスタ!$A$5:$A$100,$AM311)&gt;0,"OK","未登録"))</f>
        <v>OK</v>
      </c>
      <c r="AP311" s="67" t="str">
        <f>IF($A311="","",IF(COUNTIF(属性耐性マスタ!$A$5:$A$11,$C311)&gt;0,"OK","未登録"))</f>
        <v>OK</v>
      </c>
    </row>
    <row r="312" spans="1:42">
      <c r="A312" s="66" t="s">
        <v>724</v>
      </c>
      <c r="B312" s="51" t="s">
        <v>725</v>
      </c>
      <c r="C312" s="109" t="s">
        <v>114</v>
      </c>
      <c r="D312" s="53">
        <f>ROUND(設定!$B$5*POWER($D$2,W312-1),2)</f>
        <v>12912.99</v>
      </c>
      <c r="E312" s="54">
        <f>MAX(1,ROUND(設定!$B$6*AE312*Y312,0))</f>
        <v>7102</v>
      </c>
      <c r="F312" s="54">
        <f>MAX(0,ROUND(設定!$B$7*AE312*設定!$B$15*IF(X312="Melee",0.6,1.35)*IFERROR(VLOOKUP($AM312,個性タイプマスタ!$A$5:$P$100,14,FALSE),1),0))</f>
        <v>2824</v>
      </c>
      <c r="G312" s="54">
        <f>IF(X312="Melee",AN312,MAX(1,ROUND(AN312*設定!$B$16*IFERROR(VLOOKUP($AM312,個性タイプマスタ!$A$5:$P$100,15,FALSE),1),0)))</f>
        <v>1328</v>
      </c>
      <c r="H312" s="54">
        <f>IF(X312="Ranged",AN312,MAX(1,ROUND(AN312*設定!$B$16*IFERROR(VLOOKUP($AM312,個性タイプマスタ!$A$5:$P$100,15,FALSE),1),0)))</f>
        <v>3688</v>
      </c>
      <c r="I312" s="54">
        <f>MAX(0,ROUND(設定!$B$8*AE312*Z312,0))</f>
        <v>1498</v>
      </c>
      <c r="J312" s="54">
        <f>MAX(0,ROUND(設定!$B$9*AE312*AA312,0))</f>
        <v>2324</v>
      </c>
      <c r="K312" s="55">
        <f>IFERROR(VLOOKUP($AM312,個性タイプマスタ!$A$5:$P$100,9,FALSE),0.05)</f>
        <v>0.04</v>
      </c>
      <c r="L312" s="56">
        <f>IFERROR(VLOOKUP($AM312,個性タイプマスタ!$A$5:$P$100,10,FALSE),1.5)</f>
        <v>1.38</v>
      </c>
      <c r="M312" s="56">
        <f>IFERROR(VLOOKUP($AM312,個性タイプマスタ!$A$5:$P$100,11,FALSE),2)</f>
        <v>2.2000000000000002</v>
      </c>
      <c r="N312" s="57">
        <f>MAX(0.1,ROUND(設定!$B$10*AB312,3))</f>
        <v>0.88</v>
      </c>
      <c r="O312" s="57">
        <f t="shared" si="16"/>
        <v>3.15</v>
      </c>
      <c r="P312" s="58">
        <f>MAX(-10,MIN(0.8,IFERROR(INDEX(属性耐性マスタ!$B$5:$G$11,MATCH($C312,属性耐性マスタ!$A$5:$A$11,0),1),0)+IFERROR(VLOOKUP($AM312,個性タイプマスタ!$A$5:$P$100,12,FALSE),0)))</f>
        <v>0.13</v>
      </c>
      <c r="Q312" s="58">
        <f>MAX(-10,MIN(0.8,IFERROR(INDEX(属性耐性マスタ!$B$5:$G$11,MATCH($C312,属性耐性マスタ!$A$5:$A$11,0),2),0)+IFERROR(VLOOKUP($AM312,個性タイプマスタ!$A$5:$P$100,12,FALSE),0)))</f>
        <v>0.13</v>
      </c>
      <c r="R312" s="58">
        <f>MAX(-10,MIN(0.8,IFERROR(INDEX(属性耐性マスタ!$B$5:$G$11,MATCH($C312,属性耐性マスタ!$A$5:$A$11,0),3),0)+IFERROR(VLOOKUP($AM312,個性タイプマスタ!$A$5:$P$100,12,FALSE),0)))</f>
        <v>0.33</v>
      </c>
      <c r="S312" s="58">
        <f>MAX(-10,MIN(0.8,IFERROR(INDEX(属性耐性マスタ!$B$5:$G$11,MATCH($C312,属性耐性マスタ!$A$5:$A$11,0),4),0)+IFERROR(VLOOKUP($AM312,個性タイプマスタ!$A$5:$P$100,12,FALSE),0)))</f>
        <v>0.03</v>
      </c>
      <c r="T312" s="58">
        <f>MAX(-10,MIN(0.8,IFERROR(INDEX(属性耐性マスタ!$B$5:$G$11,MATCH($C312,属性耐性マスタ!$A$5:$A$11,0),5),0)+IFERROR(VLOOKUP($AM312,個性タイプマスタ!$A$5:$P$100,12,FALSE),0)))</f>
        <v>0.13</v>
      </c>
      <c r="U312" s="58">
        <f>MAX(-10,MIN(0.8,IFERROR(INDEX(属性耐性マスタ!$B$5:$G$11,MATCH($C312,属性耐性マスタ!$A$5:$A$11,0),6),0)+IFERROR(VLOOKUP($AM312,個性タイプマスタ!$A$5:$P$100,12,FALSE),0)))</f>
        <v>0.13</v>
      </c>
      <c r="V312" s="59">
        <f>ROUND(設定!$B$19*IFERROR(VLOOKUP($AM312,個性タイプマスタ!$A$5:$P$100,13,FALSE),1),2)</f>
        <v>4.4800000000000004</v>
      </c>
      <c r="W312" s="59">
        <v>52</v>
      </c>
      <c r="X312" s="59" t="str">
        <f>IFERROR(VLOOKUP($AM312,個性タイプマスタ!$A$5:$P$100,2,FALSE),"Ranged")</f>
        <v>Ranged</v>
      </c>
      <c r="Y312" s="56">
        <f>IFERROR(VLOOKUP($AM312,個性タイプマスタ!$A$5:$P$100,3,FALSE),1)</f>
        <v>0.55000000000000004</v>
      </c>
      <c r="Z312" s="56">
        <f>IFERROR(VLOOKUP($AM312,個性タイプマスタ!$A$5:$P$100,4,FALSE),1)</f>
        <v>1.45</v>
      </c>
      <c r="AA312" s="56">
        <f>IFERROR(VLOOKUP($AM312,個性タイプマスタ!$A$5:$P$100,5,FALSE),1)</f>
        <v>2.25</v>
      </c>
      <c r="AB312" s="56">
        <f>IFERROR(VLOOKUP($AM312,個性タイプマスタ!$A$5:$P$100,6,FALSE),1)</f>
        <v>0.88</v>
      </c>
      <c r="AC312" s="56">
        <f>IFERROR(VLOOKUP($AM312,個性タイプマスタ!$A$5:$P$100,7,FALSE),1)</f>
        <v>1.26</v>
      </c>
      <c r="AD312" s="56">
        <f>IFERROR(VLOOKUP($AM312,個性タイプマスタ!$A$5:$P$100,8,FALSE),1)</f>
        <v>0.75</v>
      </c>
      <c r="AE312" s="60">
        <f>IFERROR(D312/設定!$B$5,1)</f>
        <v>129.12989999999999</v>
      </c>
      <c r="AF312" s="60">
        <f>1+設定!$B$13*((I312/設定!$B$8+J312/設定!$B$9)/(2*AE312))</f>
        <v>1.5549644195496164</v>
      </c>
      <c r="AG312" s="60">
        <f>MAX(0.7,1+設定!$B$14*(O312/IF(X312="Melee",1.5,2.5)-1))</f>
        <v>1.0311999999999999</v>
      </c>
      <c r="AH312" s="53">
        <f t="shared" si="17"/>
        <v>3397.5675334656003</v>
      </c>
      <c r="AI312" s="53">
        <f>E312*AF312*(1+設定!$B$18*AVERAGE(P312:U312))</f>
        <v>11772.218889945707</v>
      </c>
      <c r="AJ312" s="61">
        <f>設定!$B$5*SQRT((AH312/(設定!$B$7*設定!$B$10*(1+設定!$B$11*(設定!$B$12-1))))*(AI312/(設定!$B$6*(1+設定!$B$13))))</f>
        <v>12913.481714670212</v>
      </c>
      <c r="AK312" s="62">
        <f t="shared" si="18"/>
        <v>3.8079071555952027E-5</v>
      </c>
      <c r="AL312" s="63">
        <f t="shared" si="19"/>
        <v>9684.7425000000003</v>
      </c>
      <c r="AM312" s="64" t="s">
        <v>940</v>
      </c>
      <c r="AN312" s="54">
        <f>MAX(1,ROUND((設定!$B$7*設定!$B$10*(1+設定!$B$11*(設定!$B$12-1)))*AE312^2*(設定!$B$6*(1+設定!$B$13))/(AI312*N312*(1+K312*(L312-1))*AG312),0))</f>
        <v>3688</v>
      </c>
      <c r="AO312" s="65" t="str">
        <f>IF($A312="","",IF(COUNTIF(個性タイプマスタ!$A$5:$A$100,$AM312)&gt;0,"OK","未登録"))</f>
        <v>OK</v>
      </c>
      <c r="AP312" s="67" t="str">
        <f>IF($A312="","",IF(COUNTIF(属性耐性マスタ!$A$5:$A$11,$C312)&gt;0,"OK","未登録"))</f>
        <v>OK</v>
      </c>
    </row>
    <row r="313" spans="1:42">
      <c r="A313" s="66" t="s">
        <v>726</v>
      </c>
      <c r="B313" s="51" t="s">
        <v>727</v>
      </c>
      <c r="C313" s="109" t="s">
        <v>114</v>
      </c>
      <c r="D313" s="53">
        <f>ROUND(設定!$B$5*POWER($D$2,W313-1),2)</f>
        <v>12912.99</v>
      </c>
      <c r="E313" s="54">
        <f>MAX(1,ROUND(設定!$B$6*AE313*Y313,0))</f>
        <v>12913</v>
      </c>
      <c r="F313" s="54">
        <f>MAX(0,ROUND(設定!$B$7*AE313*設定!$B$15*IF(X313="Melee",0.6,1.35)*IFERROR(VLOOKUP($AM313,個性タイプマスタ!$A$5:$P$100,14,FALSE),1),0))</f>
        <v>2730</v>
      </c>
      <c r="G313" s="54">
        <f>IF(X313="Melee",AN313,MAX(1,ROUND(AN313*設定!$B$16*IFERROR(VLOOKUP($AM313,個性タイプマスタ!$A$5:$P$100,15,FALSE),1),0)))</f>
        <v>1036</v>
      </c>
      <c r="H313" s="54">
        <f>IF(X313="Ranged",AN313,MAX(1,ROUND(AN313*設定!$B$16*IFERROR(VLOOKUP($AM313,個性タイプマスタ!$A$5:$P$100,15,FALSE),1),0)))</f>
        <v>2303</v>
      </c>
      <c r="I313" s="54">
        <f>MAX(0,ROUND(設定!$B$8*AE313*Z313,0))</f>
        <v>1033</v>
      </c>
      <c r="J313" s="54">
        <f>MAX(0,ROUND(設定!$B$9*AE313*AA313,0))</f>
        <v>1240</v>
      </c>
      <c r="K313" s="55">
        <f>IFERROR(VLOOKUP($AM313,個性タイプマスタ!$A$5:$P$100,9,FALSE),0.05)</f>
        <v>0.06</v>
      </c>
      <c r="L313" s="56">
        <f>IFERROR(VLOOKUP($AM313,個性タイプマスタ!$A$5:$P$100,10,FALSE),1.5)</f>
        <v>1.4</v>
      </c>
      <c r="M313" s="56">
        <f>IFERROR(VLOOKUP($AM313,個性タイプマスタ!$A$5:$P$100,11,FALSE),2)</f>
        <v>2.1</v>
      </c>
      <c r="N313" s="57">
        <f>MAX(0.1,ROUND(設定!$B$10*AB313,3))</f>
        <v>0.95</v>
      </c>
      <c r="O313" s="57">
        <f t="shared" si="16"/>
        <v>2.875</v>
      </c>
      <c r="P313" s="58">
        <f>MAX(-10,MIN(0.8,IFERROR(INDEX(属性耐性マスタ!$B$5:$G$11,MATCH($C313,属性耐性マスタ!$A$5:$A$11,0),1),0)+IFERROR(VLOOKUP($AM313,個性タイプマスタ!$A$5:$P$100,12,FALSE),0)))</f>
        <v>0.03</v>
      </c>
      <c r="Q313" s="58">
        <f>MAX(-10,MIN(0.8,IFERROR(INDEX(属性耐性マスタ!$B$5:$G$11,MATCH($C313,属性耐性マスタ!$A$5:$A$11,0),2),0)+IFERROR(VLOOKUP($AM313,個性タイプマスタ!$A$5:$P$100,12,FALSE),0)))</f>
        <v>0.03</v>
      </c>
      <c r="R313" s="58">
        <f>MAX(-10,MIN(0.8,IFERROR(INDEX(属性耐性マスタ!$B$5:$G$11,MATCH($C313,属性耐性マスタ!$A$5:$A$11,0),3),0)+IFERROR(VLOOKUP($AM313,個性タイプマスタ!$A$5:$P$100,12,FALSE),0)))</f>
        <v>0.23</v>
      </c>
      <c r="S313" s="58">
        <f>MAX(-10,MIN(0.8,IFERROR(INDEX(属性耐性マスタ!$B$5:$G$11,MATCH($C313,属性耐性マスタ!$A$5:$A$11,0),4),0)+IFERROR(VLOOKUP($AM313,個性タイプマスタ!$A$5:$P$100,12,FALSE),0)))</f>
        <v>-7.0000000000000007E-2</v>
      </c>
      <c r="T313" s="58">
        <f>MAX(-10,MIN(0.8,IFERROR(INDEX(属性耐性マスタ!$B$5:$G$11,MATCH($C313,属性耐性マスタ!$A$5:$A$11,0),5),0)+IFERROR(VLOOKUP($AM313,個性タイプマスタ!$A$5:$P$100,12,FALSE),0)))</f>
        <v>0.03</v>
      </c>
      <c r="U313" s="58">
        <f>MAX(-10,MIN(0.8,IFERROR(INDEX(属性耐性マスタ!$B$5:$G$11,MATCH($C313,属性耐性マスタ!$A$5:$A$11,0),6),0)+IFERROR(VLOOKUP($AM313,個性タイプマスタ!$A$5:$P$100,12,FALSE),0)))</f>
        <v>0.03</v>
      </c>
      <c r="V313" s="59">
        <f>ROUND(設定!$B$19*IFERROR(VLOOKUP($AM313,個性タイプマスタ!$A$5:$P$100,13,FALSE),1),2)</f>
        <v>4.8</v>
      </c>
      <c r="W313" s="59">
        <v>52</v>
      </c>
      <c r="X313" s="59" t="str">
        <f>IFERROR(VLOOKUP($AM313,個性タイプマスタ!$A$5:$P$100,2,FALSE),"Ranged")</f>
        <v>Ranged</v>
      </c>
      <c r="Y313" s="56">
        <f>IFERROR(VLOOKUP($AM313,個性タイプマスタ!$A$5:$P$100,3,FALSE),1)</f>
        <v>1</v>
      </c>
      <c r="Z313" s="56">
        <f>IFERROR(VLOOKUP($AM313,個性タイプマスタ!$A$5:$P$100,4,FALSE),1)</f>
        <v>1</v>
      </c>
      <c r="AA313" s="56">
        <f>IFERROR(VLOOKUP($AM313,個性タイプマスタ!$A$5:$P$100,5,FALSE),1)</f>
        <v>1.2</v>
      </c>
      <c r="AB313" s="56">
        <f>IFERROR(VLOOKUP($AM313,個性タイプマスタ!$A$5:$P$100,6,FALSE),1)</f>
        <v>0.95</v>
      </c>
      <c r="AC313" s="56">
        <f>IFERROR(VLOOKUP($AM313,個性タイプマスタ!$A$5:$P$100,7,FALSE),1)</f>
        <v>1.1499999999999999</v>
      </c>
      <c r="AD313" s="56">
        <f>IFERROR(VLOOKUP($AM313,個性タイプマスタ!$A$5:$P$100,8,FALSE),1)</f>
        <v>0.84</v>
      </c>
      <c r="AE313" s="60">
        <f>IFERROR(D313/設定!$B$5,1)</f>
        <v>129.12989999999999</v>
      </c>
      <c r="AF313" s="60">
        <f>1+設定!$B$13*((I313/設定!$B$8+J313/設定!$B$9)/(2*AE313))</f>
        <v>1.3300455587745363</v>
      </c>
      <c r="AG313" s="60">
        <f>MAX(0.7,1+設定!$B$14*(O313/IF(X313="Melee",1.5,2.5)-1))</f>
        <v>1.018</v>
      </c>
      <c r="AH313" s="53">
        <f t="shared" si="17"/>
        <v>2280.6848512000001</v>
      </c>
      <c r="AI313" s="53">
        <f>E313*AF313*(1+設定!$B$18*AVERAGE(P313:U313))</f>
        <v>17535.550744765154</v>
      </c>
      <c r="AJ313" s="61">
        <f>設定!$B$5*SQRT((AH313/(設定!$B$7*設定!$B$10*(1+設定!$B$11*(設定!$B$12-1))))*(AI313/(設定!$B$6*(1+設定!$B$13))))</f>
        <v>12912.861198349876</v>
      </c>
      <c r="AK313" s="62">
        <f t="shared" si="18"/>
        <v>-9.9745798706196709E-6</v>
      </c>
      <c r="AL313" s="63">
        <f t="shared" si="19"/>
        <v>10846.911599999999</v>
      </c>
      <c r="AM313" s="64" t="s">
        <v>898</v>
      </c>
      <c r="AN313" s="54">
        <f>MAX(1,ROUND((設定!$B$7*設定!$B$10*(1+設定!$B$11*(設定!$B$12-1)))*AE313^2*(設定!$B$6*(1+設定!$B$13))/(AI313*N313*(1+K313*(L313-1))*AG313),0))</f>
        <v>2303</v>
      </c>
      <c r="AO313" s="65" t="str">
        <f>IF($A313="","",IF(COUNTIF(個性タイプマスタ!$A$5:$A$100,$AM313)&gt;0,"OK","未登録"))</f>
        <v>OK</v>
      </c>
      <c r="AP313" s="67" t="str">
        <f>IF($A313="","",IF(COUNTIF(属性耐性マスタ!$A$5:$A$11,$C313)&gt;0,"OK","未登録"))</f>
        <v>OK</v>
      </c>
    </row>
    <row r="314" spans="1:42">
      <c r="A314" s="66" t="s">
        <v>728</v>
      </c>
      <c r="B314" s="51" t="s">
        <v>729</v>
      </c>
      <c r="C314" s="109" t="s">
        <v>114</v>
      </c>
      <c r="D314" s="53">
        <f>ROUND(設定!$B$5*POWER($D$2,W314-1),2)</f>
        <v>12912.99</v>
      </c>
      <c r="E314" s="54">
        <f>MAX(1,ROUND(設定!$B$6*AE314*Y314,0))</f>
        <v>15237</v>
      </c>
      <c r="F314" s="54">
        <f>MAX(0,ROUND(設定!$B$7*AE314*設定!$B$15*IF(X314="Melee",0.6,1.35)*IFERROR(VLOOKUP($AM314,個性タイプマスタ!$A$5:$P$100,14,FALSE),1),0))</f>
        <v>879</v>
      </c>
      <c r="G314" s="54">
        <f>IF(X314="Melee",AN314,MAX(1,ROUND(AN314*設定!$B$16*IFERROR(VLOOKUP($AM314,個性タイプマスタ!$A$5:$P$100,15,FALSE),1),0)))</f>
        <v>2011</v>
      </c>
      <c r="H314" s="54">
        <f>IF(X314="Ranged",AN314,MAX(1,ROUND(AN314*設定!$B$16*IFERROR(VLOOKUP($AM314,個性タイプマスタ!$A$5:$P$100,15,FALSE),1),0)))</f>
        <v>633</v>
      </c>
      <c r="I314" s="54">
        <f>MAX(0,ROUND(設定!$B$8*AE314*Z314,0))</f>
        <v>1178</v>
      </c>
      <c r="J314" s="54">
        <f>MAX(0,ROUND(設定!$B$9*AE314*AA314,0))</f>
        <v>1178</v>
      </c>
      <c r="K314" s="55">
        <f>IFERROR(VLOOKUP($AM314,個性タイプマスタ!$A$5:$P$100,9,FALSE),0.05)</f>
        <v>0.04</v>
      </c>
      <c r="L314" s="56">
        <f>IFERROR(VLOOKUP($AM314,個性タイプマスタ!$A$5:$P$100,10,FALSE),1.5)</f>
        <v>1.43</v>
      </c>
      <c r="M314" s="56">
        <f>IFERROR(VLOOKUP($AM314,個性タイプマスタ!$A$5:$P$100,11,FALSE),2)</f>
        <v>2.15</v>
      </c>
      <c r="N314" s="57">
        <f>MAX(0.1,ROUND(設定!$B$10*AB314,3))</f>
        <v>0.88</v>
      </c>
      <c r="O314" s="57">
        <f t="shared" si="16"/>
        <v>1.425</v>
      </c>
      <c r="P314" s="58">
        <f>MAX(-10,MIN(0.8,IFERROR(INDEX(属性耐性マスタ!$B$5:$G$11,MATCH($C314,属性耐性マスタ!$A$5:$A$11,0),1),0)+IFERROR(VLOOKUP($AM314,個性タイプマスタ!$A$5:$P$100,12,FALSE),0)))</f>
        <v>0.19</v>
      </c>
      <c r="Q314" s="58">
        <f>MAX(-10,MIN(0.8,IFERROR(INDEX(属性耐性マスタ!$B$5:$G$11,MATCH($C314,属性耐性マスタ!$A$5:$A$11,0),2),0)+IFERROR(VLOOKUP($AM314,個性タイプマスタ!$A$5:$P$100,12,FALSE),0)))</f>
        <v>0.19</v>
      </c>
      <c r="R314" s="58">
        <f>MAX(-10,MIN(0.8,IFERROR(INDEX(属性耐性マスタ!$B$5:$G$11,MATCH($C314,属性耐性マスタ!$A$5:$A$11,0),3),0)+IFERROR(VLOOKUP($AM314,個性タイプマスタ!$A$5:$P$100,12,FALSE),0)))</f>
        <v>0.39</v>
      </c>
      <c r="S314" s="58">
        <f>MAX(-10,MIN(0.8,IFERROR(INDEX(属性耐性マスタ!$B$5:$G$11,MATCH($C314,属性耐性マスタ!$A$5:$A$11,0),4),0)+IFERROR(VLOOKUP($AM314,個性タイプマスタ!$A$5:$P$100,12,FALSE),0)))</f>
        <v>0.09</v>
      </c>
      <c r="T314" s="58">
        <f>MAX(-10,MIN(0.8,IFERROR(INDEX(属性耐性マスタ!$B$5:$G$11,MATCH($C314,属性耐性マスタ!$A$5:$A$11,0),5),0)+IFERROR(VLOOKUP($AM314,個性タイプマスタ!$A$5:$P$100,12,FALSE),0)))</f>
        <v>0.19</v>
      </c>
      <c r="U314" s="58">
        <f>MAX(-10,MIN(0.8,IFERROR(INDEX(属性耐性マスタ!$B$5:$G$11,MATCH($C314,属性耐性マスタ!$A$5:$A$11,0),6),0)+IFERROR(VLOOKUP($AM314,個性タイプマスタ!$A$5:$P$100,12,FALSE),0)))</f>
        <v>0.19</v>
      </c>
      <c r="V314" s="59">
        <f>ROUND(設定!$B$19*IFERROR(VLOOKUP($AM314,個性タイプマスタ!$A$5:$P$100,13,FALSE),1),2)</f>
        <v>3.8</v>
      </c>
      <c r="W314" s="59">
        <v>52</v>
      </c>
      <c r="X314" s="59" t="str">
        <f>IFERROR(VLOOKUP($AM314,個性タイプマスタ!$A$5:$P$100,2,FALSE),"Ranged")</f>
        <v>Melee</v>
      </c>
      <c r="Y314" s="56">
        <f>IFERROR(VLOOKUP($AM314,個性タイプマスタ!$A$5:$P$100,3,FALSE),1)</f>
        <v>1.18</v>
      </c>
      <c r="Z314" s="56">
        <f>IFERROR(VLOOKUP($AM314,個性タイプマスタ!$A$5:$P$100,4,FALSE),1)</f>
        <v>1.1399999999999999</v>
      </c>
      <c r="AA314" s="56">
        <f>IFERROR(VLOOKUP($AM314,個性タイプマスタ!$A$5:$P$100,5,FALSE),1)</f>
        <v>1.1399999999999999</v>
      </c>
      <c r="AB314" s="56">
        <f>IFERROR(VLOOKUP($AM314,個性タイプマスタ!$A$5:$P$100,6,FALSE),1)</f>
        <v>0.88</v>
      </c>
      <c r="AC314" s="56">
        <f>IFERROR(VLOOKUP($AM314,個性タイプマスタ!$A$5:$P$100,7,FALSE),1)</f>
        <v>0.95</v>
      </c>
      <c r="AD314" s="56">
        <f>IFERROR(VLOOKUP($AM314,個性タイプマスタ!$A$5:$P$100,8,FALSE),1)</f>
        <v>0.88</v>
      </c>
      <c r="AE314" s="60">
        <f>IFERROR(D314/設定!$B$5,1)</f>
        <v>129.12989999999999</v>
      </c>
      <c r="AF314" s="60">
        <f>1+設定!$B$13*((I314/設定!$B$8+J314/設定!$B$9)/(2*AE314))</f>
        <v>1.3420973763628719</v>
      </c>
      <c r="AG314" s="60">
        <f>MAX(0.7,1+設定!$B$14*(O314/IF(X314="Melee",1.5,2.5)-1))</f>
        <v>0.99399999999999999</v>
      </c>
      <c r="AH314" s="53">
        <f t="shared" si="17"/>
        <v>1789.3177850240002</v>
      </c>
      <c r="AI314" s="53">
        <f>E314*AF314*(1+設定!$B$18*AVERAGE(P314:U314))</f>
        <v>22351.344731939698</v>
      </c>
      <c r="AJ314" s="61">
        <f>設定!$B$5*SQRT((AH314/(設定!$B$7*設定!$B$10*(1+設定!$B$11*(設定!$B$12-1))))*(AI314/(設定!$B$6*(1+設定!$B$13))))</f>
        <v>12912.957045317302</v>
      </c>
      <c r="AK314" s="62">
        <f t="shared" si="18"/>
        <v>-2.5520567039638564E-6</v>
      </c>
      <c r="AL314" s="63">
        <f t="shared" si="19"/>
        <v>11363.431199999999</v>
      </c>
      <c r="AM314" s="64" t="s">
        <v>956</v>
      </c>
      <c r="AN314" s="54">
        <f>MAX(1,ROUND((設定!$B$7*設定!$B$10*(1+設定!$B$11*(設定!$B$12-1)))*AE314^2*(設定!$B$6*(1+設定!$B$13))/(AI314*N314*(1+K314*(L314-1))*AG314),0))</f>
        <v>2011</v>
      </c>
      <c r="AO314" s="65" t="str">
        <f>IF($A314="","",IF(COUNTIF(個性タイプマスタ!$A$5:$A$100,$AM314)&gt;0,"OK","未登録"))</f>
        <v>OK</v>
      </c>
      <c r="AP314" s="67" t="str">
        <f>IF($A314="","",IF(COUNTIF(属性耐性マスタ!$A$5:$A$11,$C314)&gt;0,"OK","未登録"))</f>
        <v>OK</v>
      </c>
    </row>
    <row r="315" spans="1:42">
      <c r="A315" s="66" t="s">
        <v>730</v>
      </c>
      <c r="B315" s="51" t="s">
        <v>731</v>
      </c>
      <c r="C315" s="109" t="s">
        <v>121</v>
      </c>
      <c r="D315" s="53">
        <f>ROUND(設定!$B$5*POWER($D$2,W315-1),2)</f>
        <v>12912.99</v>
      </c>
      <c r="E315" s="54">
        <f>MAX(1,ROUND(設定!$B$6*AE315*Y315,0))</f>
        <v>11234</v>
      </c>
      <c r="F315" s="54">
        <f>MAX(0,ROUND(設定!$B$7*AE315*設定!$B$15*IF(X315="Melee",0.6,1.35)*IFERROR(VLOOKUP($AM315,個性タイプマスタ!$A$5:$P$100,14,FALSE),1),0))</f>
        <v>602</v>
      </c>
      <c r="G315" s="54">
        <f>IF(X315="Melee",AN315,MAX(1,ROUND(AN315*設定!$B$16*IFERROR(VLOOKUP($AM315,個性タイプマスタ!$A$5:$P$100,15,FALSE),1),0)))</f>
        <v>2190</v>
      </c>
      <c r="H315" s="54">
        <f>IF(X315="Ranged",AN315,MAX(1,ROUND(AN315*設定!$B$16*IFERROR(VLOOKUP($AM315,個性タイプマスタ!$A$5:$P$100,15,FALSE),1),0)))</f>
        <v>641</v>
      </c>
      <c r="I315" s="54">
        <f>MAX(0,ROUND(設定!$B$8*AE315*Z315,0))</f>
        <v>888</v>
      </c>
      <c r="J315" s="54">
        <f>MAX(0,ROUND(設定!$B$9*AE315*AA315,0))</f>
        <v>795</v>
      </c>
      <c r="K315" s="55">
        <f>IFERROR(VLOOKUP($AM315,個性タイプマスタ!$A$5:$P$100,9,FALSE),0.05)</f>
        <v>0.27</v>
      </c>
      <c r="L315" s="56">
        <f>IFERROR(VLOOKUP($AM315,個性タイプマスタ!$A$5:$P$100,10,FALSE),1.5)</f>
        <v>2.0299999999999998</v>
      </c>
      <c r="M315" s="56">
        <f>IFERROR(VLOOKUP($AM315,個性タイプマスタ!$A$5:$P$100,11,FALSE),2)</f>
        <v>2.75</v>
      </c>
      <c r="N315" s="57">
        <f>MAX(0.1,ROUND(設定!$B$10*AB315,3))</f>
        <v>1.04</v>
      </c>
      <c r="O315" s="57">
        <f t="shared" si="16"/>
        <v>1.53</v>
      </c>
      <c r="P315" s="58">
        <f>MAX(-10,MIN(0.8,IFERROR(INDEX(属性耐性マスタ!$B$5:$G$11,MATCH($C315,属性耐性マスタ!$A$5:$A$11,0),1),0)+IFERROR(VLOOKUP($AM315,個性タイプマスタ!$A$5:$P$100,12,FALSE),0)))</f>
        <v>-0.06</v>
      </c>
      <c r="Q315" s="58">
        <f>MAX(-10,MIN(0.8,IFERROR(INDEX(属性耐性マスタ!$B$5:$G$11,MATCH($C315,属性耐性マスタ!$A$5:$A$11,0),2),0)+IFERROR(VLOOKUP($AM315,個性タイプマスタ!$A$5:$P$100,12,FALSE),0)))</f>
        <v>-0.06</v>
      </c>
      <c r="R315" s="58">
        <f>MAX(-10,MIN(0.8,IFERROR(INDEX(属性耐性マスタ!$B$5:$G$11,MATCH($C315,属性耐性マスタ!$A$5:$A$11,0),3),0)+IFERROR(VLOOKUP($AM315,個性タイプマスタ!$A$5:$P$100,12,FALSE),0)))</f>
        <v>-0.06</v>
      </c>
      <c r="S315" s="58">
        <f>MAX(-10,MIN(0.8,IFERROR(INDEX(属性耐性マスタ!$B$5:$G$11,MATCH($C315,属性耐性マスタ!$A$5:$A$11,0),4),0)+IFERROR(VLOOKUP($AM315,個性タイプマスタ!$A$5:$P$100,12,FALSE),0)))</f>
        <v>-0.06</v>
      </c>
      <c r="T315" s="58">
        <f>MAX(-10,MIN(0.8,IFERROR(INDEX(属性耐性マスタ!$B$5:$G$11,MATCH($C315,属性耐性マスタ!$A$5:$A$11,0),5),0)+IFERROR(VLOOKUP($AM315,個性タイプマスタ!$A$5:$P$100,12,FALSE),0)))</f>
        <v>0.14000000000000001</v>
      </c>
      <c r="U315" s="58">
        <f>MAX(-10,MIN(0.8,IFERROR(INDEX(属性耐性マスタ!$B$5:$G$11,MATCH($C315,属性耐性マスタ!$A$5:$A$11,0),6),0)+IFERROR(VLOOKUP($AM315,個性タイプマスタ!$A$5:$P$100,12,FALSE),0)))</f>
        <v>-0.16</v>
      </c>
      <c r="V315" s="59">
        <f>ROUND(設定!$B$19*IFERROR(VLOOKUP($AM315,個性タイプマスタ!$A$5:$P$100,13,FALSE),1),2)</f>
        <v>4.2</v>
      </c>
      <c r="W315" s="59">
        <v>52</v>
      </c>
      <c r="X315" s="59" t="str">
        <f>IFERROR(VLOOKUP($AM315,個性タイプマスタ!$A$5:$P$100,2,FALSE),"Ranged")</f>
        <v>Melee</v>
      </c>
      <c r="Y315" s="56">
        <f>IFERROR(VLOOKUP($AM315,個性タイプマスタ!$A$5:$P$100,3,FALSE),1)</f>
        <v>0.87</v>
      </c>
      <c r="Z315" s="56">
        <f>IFERROR(VLOOKUP($AM315,個性タイプマスタ!$A$5:$P$100,4,FALSE),1)</f>
        <v>0.86</v>
      </c>
      <c r="AA315" s="56">
        <f>IFERROR(VLOOKUP($AM315,個性タイプマスタ!$A$5:$P$100,5,FALSE),1)</f>
        <v>0.77</v>
      </c>
      <c r="AB315" s="56">
        <f>IFERROR(VLOOKUP($AM315,個性タイプマスタ!$A$5:$P$100,6,FALSE),1)</f>
        <v>1.04</v>
      </c>
      <c r="AC315" s="56">
        <f>IFERROR(VLOOKUP($AM315,個性タイプマスタ!$A$5:$P$100,7,FALSE),1)</f>
        <v>1.02</v>
      </c>
      <c r="AD315" s="56">
        <f>IFERROR(VLOOKUP($AM315,個性タイプマスタ!$A$5:$P$100,8,FALSE),1)</f>
        <v>0.7</v>
      </c>
      <c r="AE315" s="60">
        <f>IFERROR(D315/設定!$B$5,1)</f>
        <v>129.12989999999999</v>
      </c>
      <c r="AF315" s="60">
        <f>1+設定!$B$13*((I315/設定!$B$8+J315/設定!$B$9)/(2*AE315))</f>
        <v>1.2443760120622722</v>
      </c>
      <c r="AG315" s="60">
        <f>MAX(0.7,1+設定!$B$14*(O315/IF(X315="Melee",1.5,2.5)-1))</f>
        <v>1.0024</v>
      </c>
      <c r="AH315" s="53">
        <f t="shared" si="17"/>
        <v>2917.9869613439996</v>
      </c>
      <c r="AI315" s="53">
        <f>E315*AF315*(1+設定!$B$18*AVERAGE(P315:U315))</f>
        <v>13706.723377177168</v>
      </c>
      <c r="AJ315" s="61">
        <f>設定!$B$5*SQRT((AH315/(設定!$B$7*設定!$B$10*(1+設定!$B$11*(設定!$B$12-1))))*(AI315/(設定!$B$6*(1+設定!$B$13))))</f>
        <v>12913.341494948281</v>
      </c>
      <c r="AK315" s="62">
        <f t="shared" si="18"/>
        <v>2.722026024049029E-5</v>
      </c>
      <c r="AL315" s="63">
        <f t="shared" si="19"/>
        <v>9039.0929999999989</v>
      </c>
      <c r="AM315" s="64" t="s">
        <v>970</v>
      </c>
      <c r="AN315" s="54">
        <f>MAX(1,ROUND((設定!$B$7*設定!$B$10*(1+設定!$B$11*(設定!$B$12-1)))*AE315^2*(設定!$B$6*(1+設定!$B$13))/(AI315*N315*(1+K315*(L315-1))*AG315),0))</f>
        <v>2190</v>
      </c>
      <c r="AO315" s="65" t="str">
        <f>IF($A315="","",IF(COUNTIF(個性タイプマスタ!$A$5:$A$100,$AM315)&gt;0,"OK","未登録"))</f>
        <v>OK</v>
      </c>
      <c r="AP315" s="67" t="str">
        <f>IF($A315="","",IF(COUNTIF(属性耐性マスタ!$A$5:$A$11,$C315)&gt;0,"OK","未登録"))</f>
        <v>OK</v>
      </c>
    </row>
    <row r="316" spans="1:42">
      <c r="A316" s="66" t="s">
        <v>732</v>
      </c>
      <c r="B316" s="51" t="s">
        <v>733</v>
      </c>
      <c r="C316" s="109" t="s">
        <v>874</v>
      </c>
      <c r="D316" s="53">
        <f>ROUND(設定!$B$5*POWER($D$2,W316-1),2)</f>
        <v>12912.99</v>
      </c>
      <c r="E316" s="54">
        <f>MAX(1,ROUND(設定!$B$6*AE316*Y316,0))</f>
        <v>12913</v>
      </c>
      <c r="F316" s="54">
        <f>MAX(0,ROUND(設定!$B$7*AE316*設定!$B$15*IF(X316="Melee",0.6,1.35)*IFERROR(VLOOKUP($AM316,個性タイプマスタ!$A$5:$P$100,14,FALSE),1),0))</f>
        <v>2071</v>
      </c>
      <c r="G316" s="54">
        <f>IF(X316="Melee",AN316,MAX(1,ROUND(AN316*設定!$B$16*IFERROR(VLOOKUP($AM316,個性タイプマスタ!$A$5:$P$100,15,FALSE),1),0)))</f>
        <v>930</v>
      </c>
      <c r="H316" s="54">
        <f>IF(X316="Ranged",AN316,MAX(1,ROUND(AN316*設定!$B$16*IFERROR(VLOOKUP($AM316,個性タイプマスタ!$A$5:$P$100,15,FALSE),1),0)))</f>
        <v>2066</v>
      </c>
      <c r="I316" s="54">
        <f>MAX(0,ROUND(設定!$B$8*AE316*Z316,0))</f>
        <v>981</v>
      </c>
      <c r="J316" s="54">
        <f>MAX(0,ROUND(設定!$B$9*AE316*AA316,0))</f>
        <v>1136</v>
      </c>
      <c r="K316" s="55">
        <f>IFERROR(VLOOKUP($AM316,個性タイプマスタ!$A$5:$P$100,9,FALSE),0.05)</f>
        <v>7.0000000000000007E-2</v>
      </c>
      <c r="L316" s="56">
        <f>IFERROR(VLOOKUP($AM316,個性タイプマスタ!$A$5:$P$100,10,FALSE),1.5)</f>
        <v>1.55</v>
      </c>
      <c r="M316" s="56">
        <f>IFERROR(VLOOKUP($AM316,個性タイプマスタ!$A$5:$P$100,11,FALSE),2)</f>
        <v>2.2999999999999998</v>
      </c>
      <c r="N316" s="57">
        <f>MAX(0.1,ROUND(設定!$B$10*AB316,3))</f>
        <v>1.1000000000000001</v>
      </c>
      <c r="O316" s="57">
        <f t="shared" si="16"/>
        <v>2.7</v>
      </c>
      <c r="P316" s="58">
        <f>MAX(-10,MIN(0.8,IFERROR(INDEX(属性耐性マスタ!$B$5:$G$11,MATCH($C316,属性耐性マスタ!$A$5:$A$11,0),1),0)+IFERROR(VLOOKUP($AM316,個性タイプマスタ!$A$5:$P$100,12,FALSE),0)))</f>
        <v>-0.03</v>
      </c>
      <c r="Q316" s="58">
        <f>MAX(-10,MIN(0.8,IFERROR(INDEX(属性耐性マスタ!$B$5:$G$11,MATCH($C316,属性耐性マスタ!$A$5:$A$11,0),2),0)+IFERROR(VLOOKUP($AM316,個性タイプマスタ!$A$5:$P$100,12,FALSE),0)))</f>
        <v>-0.03</v>
      </c>
      <c r="R316" s="58">
        <f>MAX(-10,MIN(0.8,IFERROR(INDEX(属性耐性マスタ!$B$5:$G$11,MATCH($C316,属性耐性マスタ!$A$5:$A$11,0),3),0)+IFERROR(VLOOKUP($AM316,個性タイプマスタ!$A$5:$P$100,12,FALSE),0)))</f>
        <v>-0.03</v>
      </c>
      <c r="S316" s="58">
        <f>MAX(-10,MIN(0.8,IFERROR(INDEX(属性耐性マスタ!$B$5:$G$11,MATCH($C316,属性耐性マスタ!$A$5:$A$11,0),4),0)+IFERROR(VLOOKUP($AM316,個性タイプマスタ!$A$5:$P$100,12,FALSE),0)))</f>
        <v>-0.03</v>
      </c>
      <c r="T316" s="58">
        <f>MAX(-10,MIN(0.8,IFERROR(INDEX(属性耐性マスタ!$B$5:$G$11,MATCH($C316,属性耐性マスタ!$A$5:$A$11,0),5),0)+IFERROR(VLOOKUP($AM316,個性タイプマスタ!$A$5:$P$100,12,FALSE),0)))</f>
        <v>-0.13</v>
      </c>
      <c r="U316" s="58">
        <f>MAX(-10,MIN(0.8,IFERROR(INDEX(属性耐性マスタ!$B$5:$G$11,MATCH($C316,属性耐性マスタ!$A$5:$A$11,0),6),0)+IFERROR(VLOOKUP($AM316,個性タイプマスタ!$A$5:$P$100,12,FALSE),0)))</f>
        <v>0.17</v>
      </c>
      <c r="V316" s="59">
        <f>ROUND(設定!$B$19*IFERROR(VLOOKUP($AM316,個性タイプマスタ!$A$5:$P$100,13,FALSE),1),2)</f>
        <v>4</v>
      </c>
      <c r="W316" s="59">
        <v>52</v>
      </c>
      <c r="X316" s="59" t="str">
        <f>IFERROR(VLOOKUP($AM316,個性タイプマスタ!$A$5:$P$100,2,FALSE),"Ranged")</f>
        <v>Ranged</v>
      </c>
      <c r="Y316" s="56">
        <f>IFERROR(VLOOKUP($AM316,個性タイプマスタ!$A$5:$P$100,3,FALSE),1)</f>
        <v>1</v>
      </c>
      <c r="Z316" s="56">
        <f>IFERROR(VLOOKUP($AM316,個性タイプマスタ!$A$5:$P$100,4,FALSE),1)</f>
        <v>0.95</v>
      </c>
      <c r="AA316" s="56">
        <f>IFERROR(VLOOKUP($AM316,個性タイプマスタ!$A$5:$P$100,5,FALSE),1)</f>
        <v>1.1000000000000001</v>
      </c>
      <c r="AB316" s="56">
        <f>IFERROR(VLOOKUP($AM316,個性タイプマスタ!$A$5:$P$100,6,FALSE),1)</f>
        <v>1.1000000000000001</v>
      </c>
      <c r="AC316" s="56">
        <f>IFERROR(VLOOKUP($AM316,個性タイプマスタ!$A$5:$P$100,7,FALSE),1)</f>
        <v>1.08</v>
      </c>
      <c r="AD316" s="56">
        <f>IFERROR(VLOOKUP($AM316,個性タイプマスタ!$A$5:$P$100,8,FALSE),1)</f>
        <v>0.8</v>
      </c>
      <c r="AE316" s="60">
        <f>IFERROR(D316/設定!$B$5,1)</f>
        <v>129.12989999999999</v>
      </c>
      <c r="AF316" s="60">
        <f>1+設定!$B$13*((I316/設定!$B$8+J316/設定!$B$9)/(2*AE316))</f>
        <v>1.3073939498133276</v>
      </c>
      <c r="AG316" s="60">
        <f>MAX(0.7,1+設定!$B$14*(O316/IF(X316="Melee",1.5,2.5)-1))</f>
        <v>1.0096000000000001</v>
      </c>
      <c r="AH316" s="53">
        <f t="shared" si="17"/>
        <v>2382.7520129600007</v>
      </c>
      <c r="AI316" s="53">
        <f>E316*AF316*(1+設定!$B$18*AVERAGE(P316:U316))</f>
        <v>16781.083805495862</v>
      </c>
      <c r="AJ316" s="61">
        <f>設定!$B$5*SQRT((AH316/(設定!$B$7*設定!$B$10*(1+設定!$B$11*(設定!$B$12-1))))*(AI316/(設定!$B$6*(1+設定!$B$13))))</f>
        <v>12911.585167968371</v>
      </c>
      <c r="AK316" s="62">
        <f t="shared" si="18"/>
        <v>-1.0879215670644982E-4</v>
      </c>
      <c r="AL316" s="63">
        <f t="shared" si="19"/>
        <v>10330.392</v>
      </c>
      <c r="AM316" s="64" t="s">
        <v>883</v>
      </c>
      <c r="AN316" s="54">
        <f>MAX(1,ROUND((設定!$B$7*設定!$B$10*(1+設定!$B$11*(設定!$B$12-1)))*AE316^2*(設定!$B$6*(1+設定!$B$13))/(AI316*N316*(1+K316*(L316-1))*AG316),0))</f>
        <v>2066</v>
      </c>
      <c r="AO316" s="65" t="str">
        <f>IF($A316="","",IF(COUNTIF(個性タイプマスタ!$A$5:$A$100,$AM316)&gt;0,"OK","未登録"))</f>
        <v>OK</v>
      </c>
      <c r="AP316" s="67" t="str">
        <f>IF($A316="","",IF(COUNTIF(属性耐性マスタ!$A$5:$A$11,$C316)&gt;0,"OK","未登録"))</f>
        <v>OK</v>
      </c>
    </row>
    <row r="317" spans="1:42">
      <c r="A317" s="66" t="s">
        <v>734</v>
      </c>
      <c r="B317" s="51" t="s">
        <v>735</v>
      </c>
      <c r="C317" s="52" t="s">
        <v>108</v>
      </c>
      <c r="D317" s="53">
        <f>ROUND(設定!$B$5*POWER($D$2,W317-1),2)</f>
        <v>14204.29</v>
      </c>
      <c r="E317" s="54">
        <f>MAX(1,ROUND(設定!$B$6*AE317*Y317,0))</f>
        <v>19886</v>
      </c>
      <c r="F317" s="54">
        <f>MAX(0,ROUND(設定!$B$7*AE317*設定!$B$15*IF(X317="Melee",0.6,1.35)*IFERROR(VLOOKUP($AM317,個性タイプマスタ!$A$5:$P$100,14,FALSE),1),0))</f>
        <v>4556</v>
      </c>
      <c r="G317" s="54">
        <f>IF(X317="Melee",AN317,MAX(1,ROUND(AN317*設定!$B$16*IFERROR(VLOOKUP($AM317,個性タイプマスタ!$A$5:$P$100,15,FALSE),1),0)))</f>
        <v>761</v>
      </c>
      <c r="H317" s="54">
        <f>IF(X317="Ranged",AN317,MAX(1,ROUND(AN317*設定!$B$16*IFERROR(VLOOKUP($AM317,個性タイプマスタ!$A$5:$P$100,15,FALSE),1),0)))</f>
        <v>2014</v>
      </c>
      <c r="I317" s="54">
        <f>MAX(0,ROUND(設定!$B$8*AE317*Z317,0))</f>
        <v>1080</v>
      </c>
      <c r="J317" s="54">
        <f>MAX(0,ROUND(設定!$B$9*AE317*AA317,0))</f>
        <v>1909</v>
      </c>
      <c r="K317" s="55">
        <f>IFERROR(VLOOKUP($AM317,個性タイプマスタ!$A$5:$P$100,9,FALSE),0.05)</f>
        <v>0.115</v>
      </c>
      <c r="L317" s="56">
        <f>IFERROR(VLOOKUP($AM317,個性タイプマスタ!$A$5:$P$100,10,FALSE),1.5)</f>
        <v>1.95</v>
      </c>
      <c r="M317" s="56">
        <f>IFERROR(VLOOKUP($AM317,個性タイプマスタ!$A$5:$P$100,11,FALSE),2)</f>
        <v>1.2</v>
      </c>
      <c r="N317" s="57">
        <f>MAX(0.1,ROUND(設定!$B$10*AB317,3))</f>
        <v>0.72</v>
      </c>
      <c r="O317" s="57">
        <f t="shared" si="16"/>
        <v>3.3250000000000002</v>
      </c>
      <c r="P317" s="58">
        <f>MAX(-10,MIN(0.8,IFERROR(INDEX(属性耐性マスタ!$B$5:$G$11,MATCH($C317,属性耐性マスタ!$A$5:$A$11,0),1),0)+IFERROR(VLOOKUP($AM317,個性タイプマスタ!$A$5:$P$100,12,FALSE),0)))</f>
        <v>-2.0000000000000004E-2</v>
      </c>
      <c r="Q317" s="58">
        <f>MAX(-10,MIN(0.8,IFERROR(INDEX(属性耐性マスタ!$B$5:$G$11,MATCH($C317,属性耐性マスタ!$A$5:$A$11,0),2),0)+IFERROR(VLOOKUP($AM317,個性タイプマスタ!$A$5:$P$100,12,FALSE),0)))</f>
        <v>0.28000000000000003</v>
      </c>
      <c r="R317" s="58">
        <f>MAX(-10,MIN(0.8,IFERROR(INDEX(属性耐性マスタ!$B$5:$G$11,MATCH($C317,属性耐性マスタ!$A$5:$A$11,0),3),0)+IFERROR(VLOOKUP($AM317,個性タイプマスタ!$A$5:$P$100,12,FALSE),0)))</f>
        <v>0.08</v>
      </c>
      <c r="S317" s="58">
        <f>MAX(-10,MIN(0.8,IFERROR(INDEX(属性耐性マスタ!$B$5:$G$11,MATCH($C317,属性耐性マスタ!$A$5:$A$11,0),4),0)+IFERROR(VLOOKUP($AM317,個性タイプマスタ!$A$5:$P$100,12,FALSE),0)))</f>
        <v>0.08</v>
      </c>
      <c r="T317" s="58">
        <f>MAX(-10,MIN(0.8,IFERROR(INDEX(属性耐性マスタ!$B$5:$G$11,MATCH($C317,属性耐性マスタ!$A$5:$A$11,0),5),0)+IFERROR(VLOOKUP($AM317,個性タイプマスタ!$A$5:$P$100,12,FALSE),0)))</f>
        <v>0.08</v>
      </c>
      <c r="U317" s="58">
        <f>MAX(-10,MIN(0.8,IFERROR(INDEX(属性耐性マスタ!$B$5:$G$11,MATCH($C317,属性耐性マスタ!$A$5:$A$11,0),6),0)+IFERROR(VLOOKUP($AM317,個性タイプマスタ!$A$5:$P$100,12,FALSE),0)))</f>
        <v>0.08</v>
      </c>
      <c r="V317" s="59">
        <f>ROUND(設定!$B$19*IFERROR(VLOOKUP($AM317,個性タイプマスタ!$A$5:$P$100,13,FALSE),1),2)</f>
        <v>5</v>
      </c>
      <c r="W317" s="59">
        <v>53</v>
      </c>
      <c r="X317" s="59" t="str">
        <f>IFERROR(VLOOKUP($AM317,個性タイプマスタ!$A$5:$P$100,2,FALSE),"Ranged")</f>
        <v>Ranged</v>
      </c>
      <c r="Y317" s="56">
        <f>IFERROR(VLOOKUP($AM317,個性タイプマスタ!$A$5:$P$100,3,FALSE),1)</f>
        <v>1.4</v>
      </c>
      <c r="Z317" s="56">
        <f>IFERROR(VLOOKUP($AM317,個性タイプマスタ!$A$5:$P$100,4,FALSE),1)</f>
        <v>0.95</v>
      </c>
      <c r="AA317" s="56">
        <f>IFERROR(VLOOKUP($AM317,個性タイプマスタ!$A$5:$P$100,5,FALSE),1)</f>
        <v>1.68</v>
      </c>
      <c r="AB317" s="56">
        <f>IFERROR(VLOOKUP($AM317,個性タイプマスタ!$A$5:$P$100,6,FALSE),1)</f>
        <v>0.72</v>
      </c>
      <c r="AC317" s="56">
        <f>IFERROR(VLOOKUP($AM317,個性タイプマスタ!$A$5:$P$100,7,FALSE),1)</f>
        <v>1.33</v>
      </c>
      <c r="AD317" s="56">
        <f>IFERROR(VLOOKUP($AM317,個性タイプマスタ!$A$5:$P$100,8,FALSE),1)</f>
        <v>0.86</v>
      </c>
      <c r="AE317" s="60">
        <f>IFERROR(D317/設定!$B$5,1)</f>
        <v>142.0429</v>
      </c>
      <c r="AF317" s="60">
        <f>1+設定!$B$13*((I317/設定!$B$8+J317/設定!$B$9)/(2*AE317))</f>
        <v>1.3945550956788406</v>
      </c>
      <c r="AG317" s="60">
        <f>MAX(0.7,1+設定!$B$14*(O317/IF(X317="Melee",1.5,2.5)-1))</f>
        <v>1.0396000000000001</v>
      </c>
      <c r="AH317" s="53">
        <f t="shared" si="17"/>
        <v>1672.1978891040003</v>
      </c>
      <c r="AI317" s="53">
        <f>E317*AF317*(1+設定!$B$18*AVERAGE(P317:U317))</f>
        <v>28938.469967190547</v>
      </c>
      <c r="AJ317" s="61">
        <f>設定!$B$5*SQRT((AH317/(設定!$B$7*設定!$B$10*(1+設定!$B$11*(設定!$B$12-1))))*(AI317/(設定!$B$6*(1+設定!$B$13))))</f>
        <v>14204.035751001942</v>
      </c>
      <c r="AK317" s="62">
        <f t="shared" si="18"/>
        <v>-1.7899451367098251E-5</v>
      </c>
      <c r="AL317" s="63">
        <f t="shared" si="19"/>
        <v>12215.689400000001</v>
      </c>
      <c r="AM317" s="64" t="s">
        <v>938</v>
      </c>
      <c r="AN317" s="54">
        <f>MAX(1,ROUND((設定!$B$7*設定!$B$10*(1+設定!$B$11*(設定!$B$12-1)))*AE317^2*(設定!$B$6*(1+設定!$B$13))/(AI317*N317*(1+K317*(L317-1))*AG317),0))</f>
        <v>2014</v>
      </c>
      <c r="AO317" s="65" t="str">
        <f>IF($A317="","",IF(COUNTIF(個性タイプマスタ!$A$5:$A$100,$AM317)&gt;0,"OK","未登録"))</f>
        <v>OK</v>
      </c>
      <c r="AP317" s="67" t="str">
        <f>IF($A317="","",IF(COUNTIF(属性耐性マスタ!$A$5:$A$11,$C317)&gt;0,"OK","未登録"))</f>
        <v>OK</v>
      </c>
    </row>
    <row r="318" spans="1:42">
      <c r="A318" s="66" t="s">
        <v>736</v>
      </c>
      <c r="B318" s="51" t="s">
        <v>737</v>
      </c>
      <c r="C318" s="52" t="s">
        <v>111</v>
      </c>
      <c r="D318" s="53">
        <f>ROUND(設定!$B$5*POWER($D$2,W318-1),2)</f>
        <v>14204.29</v>
      </c>
      <c r="E318" s="54">
        <f>MAX(1,ROUND(設定!$B$6*AE318*Y318,0))</f>
        <v>11079</v>
      </c>
      <c r="F318" s="54">
        <f>MAX(0,ROUND(設定!$B$7*AE318*設定!$B$15*IF(X318="Melee",0.6,1.35)*IFERROR(VLOOKUP($AM318,個性タイプマスタ!$A$5:$P$100,14,FALSE),1),0))</f>
        <v>2382</v>
      </c>
      <c r="G318" s="54">
        <f>IF(X318="Melee",AN318,MAX(1,ROUND(AN318*設定!$B$16*IFERROR(VLOOKUP($AM318,個性タイプマスタ!$A$5:$P$100,15,FALSE),1),0)))</f>
        <v>1351</v>
      </c>
      <c r="H318" s="54">
        <f>IF(X318="Ranged",AN318,MAX(1,ROUND(AN318*設定!$B$16*IFERROR(VLOOKUP($AM318,個性タイプマスタ!$A$5:$P$100,15,FALSE),1),0)))</f>
        <v>3003</v>
      </c>
      <c r="I318" s="54">
        <f>MAX(0,ROUND(設定!$B$8*AE318*Z318,0))</f>
        <v>852</v>
      </c>
      <c r="J318" s="54">
        <f>MAX(0,ROUND(設定!$B$9*AE318*AA318,0))</f>
        <v>909</v>
      </c>
      <c r="K318" s="55">
        <f>IFERROR(VLOOKUP($AM318,個性タイプマスタ!$A$5:$P$100,9,FALSE),0.05)</f>
        <v>0.11</v>
      </c>
      <c r="L318" s="56">
        <f>IFERROR(VLOOKUP($AM318,個性タイプマスタ!$A$5:$P$100,10,FALSE),1.5)</f>
        <v>1.65</v>
      </c>
      <c r="M318" s="56">
        <f>IFERROR(VLOOKUP($AM318,個性タイプマスタ!$A$5:$P$100,11,FALSE),2)</f>
        <v>2.2000000000000002</v>
      </c>
      <c r="N318" s="57">
        <f>MAX(0.1,ROUND(設定!$B$10*AB318,3))</f>
        <v>1.1000000000000001</v>
      </c>
      <c r="O318" s="57">
        <f t="shared" si="16"/>
        <v>2.75</v>
      </c>
      <c r="P318" s="58">
        <f>MAX(-10,MIN(0.8,IFERROR(INDEX(属性耐性マスタ!$B$5:$G$11,MATCH($C318,属性耐性マスタ!$A$5:$A$11,0),1),0)+IFERROR(VLOOKUP($AM318,個性タイプマスタ!$A$5:$P$100,12,FALSE),0)))</f>
        <v>0.16</v>
      </c>
      <c r="Q318" s="58">
        <f>MAX(-10,MIN(0.8,IFERROR(INDEX(属性耐性マスタ!$B$5:$G$11,MATCH($C318,属性耐性マスタ!$A$5:$A$11,0),2),0)+IFERROR(VLOOKUP($AM318,個性タイプマスタ!$A$5:$P$100,12,FALSE),0)))</f>
        <v>-0.14000000000000001</v>
      </c>
      <c r="R318" s="58">
        <f>MAX(-10,MIN(0.8,IFERROR(INDEX(属性耐性マスタ!$B$5:$G$11,MATCH($C318,属性耐性マスタ!$A$5:$A$11,0),3),0)+IFERROR(VLOOKUP($AM318,個性タイプマスタ!$A$5:$P$100,12,FALSE),0)))</f>
        <v>-0.04</v>
      </c>
      <c r="S318" s="58">
        <f>MAX(-10,MIN(0.8,IFERROR(INDEX(属性耐性マスタ!$B$5:$G$11,MATCH($C318,属性耐性マスタ!$A$5:$A$11,0),4),0)+IFERROR(VLOOKUP($AM318,個性タイプマスタ!$A$5:$P$100,12,FALSE),0)))</f>
        <v>-0.04</v>
      </c>
      <c r="T318" s="58">
        <f>MAX(-10,MIN(0.8,IFERROR(INDEX(属性耐性マスタ!$B$5:$G$11,MATCH($C318,属性耐性マスタ!$A$5:$A$11,0),5),0)+IFERROR(VLOOKUP($AM318,個性タイプマスタ!$A$5:$P$100,12,FALSE),0)))</f>
        <v>-0.04</v>
      </c>
      <c r="U318" s="58">
        <f>MAX(-10,MIN(0.8,IFERROR(INDEX(属性耐性マスタ!$B$5:$G$11,MATCH($C318,属性耐性マスタ!$A$5:$A$11,0),6),0)+IFERROR(VLOOKUP($AM318,個性タイプマスタ!$A$5:$P$100,12,FALSE),0)))</f>
        <v>-0.04</v>
      </c>
      <c r="V318" s="59">
        <f>ROUND(設定!$B$19*IFERROR(VLOOKUP($AM318,個性タイプマスタ!$A$5:$P$100,13,FALSE),1),2)</f>
        <v>4.2</v>
      </c>
      <c r="W318" s="59">
        <v>53</v>
      </c>
      <c r="X318" s="59" t="str">
        <f>IFERROR(VLOOKUP($AM318,個性タイプマスタ!$A$5:$P$100,2,FALSE),"Ranged")</f>
        <v>Ranged</v>
      </c>
      <c r="Y318" s="56">
        <f>IFERROR(VLOOKUP($AM318,個性タイプマスタ!$A$5:$P$100,3,FALSE),1)</f>
        <v>0.78</v>
      </c>
      <c r="Z318" s="56">
        <f>IFERROR(VLOOKUP($AM318,個性タイプマスタ!$A$5:$P$100,4,FALSE),1)</f>
        <v>0.75</v>
      </c>
      <c r="AA318" s="56">
        <f>IFERROR(VLOOKUP($AM318,個性タイプマスタ!$A$5:$P$100,5,FALSE),1)</f>
        <v>0.8</v>
      </c>
      <c r="AB318" s="56">
        <f>IFERROR(VLOOKUP($AM318,個性タイプマスタ!$A$5:$P$100,6,FALSE),1)</f>
        <v>1.1000000000000001</v>
      </c>
      <c r="AC318" s="56">
        <f>IFERROR(VLOOKUP($AM318,個性タイプマスタ!$A$5:$P$100,7,FALSE),1)</f>
        <v>1.1000000000000001</v>
      </c>
      <c r="AD318" s="56">
        <f>IFERROR(VLOOKUP($AM318,個性タイプマスタ!$A$5:$P$100,8,FALSE),1)</f>
        <v>0.72</v>
      </c>
      <c r="AE318" s="60">
        <f>IFERROR(D318/設定!$B$5,1)</f>
        <v>142.0429</v>
      </c>
      <c r="AF318" s="60">
        <f>1+設定!$B$13*((I318/設定!$B$8+J318/設定!$B$9)/(2*AE318))</f>
        <v>1.23245618049195</v>
      </c>
      <c r="AG318" s="60">
        <f>MAX(0.7,1+設定!$B$14*(O318/IF(X318="Melee",1.5,2.5)-1))</f>
        <v>1.012</v>
      </c>
      <c r="AH318" s="53">
        <f t="shared" si="17"/>
        <v>3581.9597813999999</v>
      </c>
      <c r="AI318" s="53">
        <f>E318*AF318*(1+設定!$B$18*AVERAGE(P318:U318))</f>
        <v>13511.011012421777</v>
      </c>
      <c r="AJ318" s="61">
        <f>設定!$B$5*SQRT((AH318/(設定!$B$7*設定!$B$10*(1+設定!$B$11*(設定!$B$12-1))))*(AI318/(設定!$B$6*(1+設定!$B$13))))</f>
        <v>14204.776838165601</v>
      </c>
      <c r="AK318" s="62">
        <f t="shared" si="18"/>
        <v>3.4274023242186757E-5</v>
      </c>
      <c r="AL318" s="63">
        <f t="shared" si="19"/>
        <v>10227.0888</v>
      </c>
      <c r="AM318" s="64" t="s">
        <v>896</v>
      </c>
      <c r="AN318" s="54">
        <f>MAX(1,ROUND((設定!$B$7*設定!$B$10*(1+設定!$B$11*(設定!$B$12-1)))*AE318^2*(設定!$B$6*(1+設定!$B$13))/(AI318*N318*(1+K318*(L318-1))*AG318),0))</f>
        <v>3003</v>
      </c>
      <c r="AO318" s="65" t="str">
        <f>IF($A318="","",IF(COUNTIF(個性タイプマスタ!$A$5:$A$100,$AM318)&gt;0,"OK","未登録"))</f>
        <v>OK</v>
      </c>
      <c r="AP318" s="67" t="str">
        <f>IF($A318="","",IF(COUNTIF(属性耐性マスタ!$A$5:$A$11,$C318)&gt;0,"OK","未登録"))</f>
        <v>OK</v>
      </c>
    </row>
    <row r="319" spans="1:42">
      <c r="A319" s="66" t="s">
        <v>738</v>
      </c>
      <c r="B319" s="51" t="s">
        <v>739</v>
      </c>
      <c r="C319" s="52" t="s">
        <v>114</v>
      </c>
      <c r="D319" s="53">
        <f>ROUND(設定!$B$5*POWER($D$2,W319-1),2)</f>
        <v>14204.29</v>
      </c>
      <c r="E319" s="54">
        <f>MAX(1,ROUND(設定!$B$6*AE319*Y319,0))</f>
        <v>24431</v>
      </c>
      <c r="F319" s="54">
        <f>MAX(0,ROUND(設定!$B$7*AE319*設定!$B$15*IF(X319="Melee",0.6,1.35)*IFERROR(VLOOKUP($AM319,個性タイプマスタ!$A$5:$P$100,14,FALSE),1),0))</f>
        <v>2796</v>
      </c>
      <c r="G319" s="54">
        <f>IF(X319="Melee",AN319,MAX(1,ROUND(AN319*設定!$B$16*IFERROR(VLOOKUP($AM319,個性タイプマスタ!$A$5:$P$100,15,FALSE),1),0)))</f>
        <v>590</v>
      </c>
      <c r="H319" s="54">
        <f>IF(X319="Ranged",AN319,MAX(1,ROUND(AN319*設定!$B$16*IFERROR(VLOOKUP($AM319,個性タイプマスタ!$A$5:$P$100,15,FALSE),1),0)))</f>
        <v>2016</v>
      </c>
      <c r="I319" s="54">
        <f>MAX(0,ROUND(設定!$B$8*AE319*Z319,0))</f>
        <v>1864</v>
      </c>
      <c r="J319" s="54">
        <f>MAX(0,ROUND(設定!$B$9*AE319*AA319,0))</f>
        <v>1761</v>
      </c>
      <c r="K319" s="55">
        <f>IFERROR(VLOOKUP($AM319,個性タイプマスタ!$A$5:$P$100,9,FALSE),0.05)</f>
        <v>3.5000000000000003E-2</v>
      </c>
      <c r="L319" s="56">
        <f>IFERROR(VLOOKUP($AM319,個性タイプマスタ!$A$5:$P$100,10,FALSE),1.5)</f>
        <v>1.4</v>
      </c>
      <c r="M319" s="56">
        <f>IFERROR(VLOOKUP($AM319,個性タイプマスタ!$A$5:$P$100,11,FALSE),2)</f>
        <v>1.5</v>
      </c>
      <c r="N319" s="57">
        <f>MAX(0.1,ROUND(設定!$B$10*AB319,3))</f>
        <v>0.6</v>
      </c>
      <c r="O319" s="57">
        <f t="shared" si="16"/>
        <v>3.1</v>
      </c>
      <c r="P319" s="58">
        <f>MAX(-10,MIN(0.8,IFERROR(INDEX(属性耐性マスタ!$B$5:$G$11,MATCH($C319,属性耐性マスタ!$A$5:$A$11,0),1),0)+IFERROR(VLOOKUP($AM319,個性タイプマスタ!$A$5:$P$100,12,FALSE),0)))</f>
        <v>0.12</v>
      </c>
      <c r="Q319" s="58">
        <f>MAX(-10,MIN(0.8,IFERROR(INDEX(属性耐性マスタ!$B$5:$G$11,MATCH($C319,属性耐性マスタ!$A$5:$A$11,0),2),0)+IFERROR(VLOOKUP($AM319,個性タイプマスタ!$A$5:$P$100,12,FALSE),0)))</f>
        <v>0.12</v>
      </c>
      <c r="R319" s="58">
        <f>MAX(-10,MIN(0.8,IFERROR(INDEX(属性耐性マスタ!$B$5:$G$11,MATCH($C319,属性耐性マスタ!$A$5:$A$11,0),3),0)+IFERROR(VLOOKUP($AM319,個性タイプマスタ!$A$5:$P$100,12,FALSE),0)))</f>
        <v>0.32</v>
      </c>
      <c r="S319" s="58">
        <f>MAX(-10,MIN(0.8,IFERROR(INDEX(属性耐性マスタ!$B$5:$G$11,MATCH($C319,属性耐性マスタ!$A$5:$A$11,0),4),0)+IFERROR(VLOOKUP($AM319,個性タイプマスタ!$A$5:$P$100,12,FALSE),0)))</f>
        <v>1.999999999999999E-2</v>
      </c>
      <c r="T319" s="58">
        <f>MAX(-10,MIN(0.8,IFERROR(INDEX(属性耐性マスタ!$B$5:$G$11,MATCH($C319,属性耐性マスタ!$A$5:$A$11,0),5),0)+IFERROR(VLOOKUP($AM319,個性タイプマスタ!$A$5:$P$100,12,FALSE),0)))</f>
        <v>0.12</v>
      </c>
      <c r="U319" s="58">
        <f>MAX(-10,MIN(0.8,IFERROR(INDEX(属性耐性マスタ!$B$5:$G$11,MATCH($C319,属性耐性マスタ!$A$5:$A$11,0),6),0)+IFERROR(VLOOKUP($AM319,個性タイプマスタ!$A$5:$P$100,12,FALSE),0)))</f>
        <v>0.12</v>
      </c>
      <c r="V319" s="59">
        <f>ROUND(設定!$B$19*IFERROR(VLOOKUP($AM319,個性タイプマスタ!$A$5:$P$100,13,FALSE),1),2)</f>
        <v>4.12</v>
      </c>
      <c r="W319" s="59">
        <v>53</v>
      </c>
      <c r="X319" s="59" t="str">
        <f>IFERROR(VLOOKUP($AM319,個性タイプマスタ!$A$5:$P$100,2,FALSE),"Ranged")</f>
        <v>Ranged</v>
      </c>
      <c r="Y319" s="56">
        <f>IFERROR(VLOOKUP($AM319,個性タイプマスタ!$A$5:$P$100,3,FALSE),1)</f>
        <v>1.72</v>
      </c>
      <c r="Z319" s="56">
        <f>IFERROR(VLOOKUP($AM319,個性タイプマスタ!$A$5:$P$100,4,FALSE),1)</f>
        <v>1.64</v>
      </c>
      <c r="AA319" s="56">
        <f>IFERROR(VLOOKUP($AM319,個性タイプマスタ!$A$5:$P$100,5,FALSE),1)</f>
        <v>1.55</v>
      </c>
      <c r="AB319" s="56">
        <f>IFERROR(VLOOKUP($AM319,個性タイプマスタ!$A$5:$P$100,6,FALSE),1)</f>
        <v>0.6</v>
      </c>
      <c r="AC319" s="56">
        <f>IFERROR(VLOOKUP($AM319,個性タイプマスタ!$A$5:$P$100,7,FALSE),1)</f>
        <v>1.24</v>
      </c>
      <c r="AD319" s="56">
        <f>IFERROR(VLOOKUP($AM319,個性タイプマスタ!$A$5:$P$100,8,FALSE),1)</f>
        <v>0.91</v>
      </c>
      <c r="AE319" s="60">
        <f>IFERROR(D319/設定!$B$5,1)</f>
        <v>142.0429</v>
      </c>
      <c r="AF319" s="60">
        <f>1+設定!$B$13*((I319/設定!$B$8+J319/設定!$B$9)/(2*AE319))</f>
        <v>1.4785086054987613</v>
      </c>
      <c r="AG319" s="60">
        <f>MAX(0.7,1+設定!$B$14*(O319/IF(X319="Melee",1.5,2.5)-1))</f>
        <v>1.0287999999999999</v>
      </c>
      <c r="AH319" s="53">
        <f t="shared" si="17"/>
        <v>1261.8585907199999</v>
      </c>
      <c r="AI319" s="53">
        <f>E319*AF319*(1+設定!$B$18*AVERAGE(P319:U319))</f>
        <v>38342.912531008064</v>
      </c>
      <c r="AJ319" s="61">
        <f>設定!$B$5*SQRT((AH319/(設定!$B$7*設定!$B$10*(1+設定!$B$11*(設定!$B$12-1))))*(AI319/(設定!$B$6*(1+設定!$B$13))))</f>
        <v>14202.932805339742</v>
      </c>
      <c r="AK319" s="62">
        <f t="shared" si="18"/>
        <v>-9.5548222421415474E-5</v>
      </c>
      <c r="AL319" s="63">
        <f t="shared" si="19"/>
        <v>12925.903900000001</v>
      </c>
      <c r="AM319" s="64" t="s">
        <v>916</v>
      </c>
      <c r="AN319" s="54">
        <f>MAX(1,ROUND((設定!$B$7*設定!$B$10*(1+設定!$B$11*(設定!$B$12-1)))*AE319^2*(設定!$B$6*(1+設定!$B$13))/(AI319*N319*(1+K319*(L319-1))*AG319),0))</f>
        <v>2016</v>
      </c>
      <c r="AO319" s="65" t="str">
        <f>IF($A319="","",IF(COUNTIF(個性タイプマスタ!$A$5:$A$100,$AM319)&gt;0,"OK","未登録"))</f>
        <v>OK</v>
      </c>
      <c r="AP319" s="67" t="str">
        <f>IF($A319="","",IF(COUNTIF(属性耐性マスタ!$A$5:$A$11,$C319)&gt;0,"OK","未登録"))</f>
        <v>OK</v>
      </c>
    </row>
    <row r="320" spans="1:42">
      <c r="A320" s="66" t="s">
        <v>740</v>
      </c>
      <c r="B320" s="51" t="s">
        <v>741</v>
      </c>
      <c r="C320" s="52" t="s">
        <v>111</v>
      </c>
      <c r="D320" s="53">
        <f>ROUND(設定!$B$5*POWER($D$2,W320-1),2)</f>
        <v>14204.29</v>
      </c>
      <c r="E320" s="54">
        <f>MAX(1,ROUND(設定!$B$6*AE320*Y320,0))</f>
        <v>29119</v>
      </c>
      <c r="F320" s="54">
        <f>MAX(0,ROUND(設定!$B$7*AE320*設定!$B$15*IF(X320="Melee",0.6,1.35)*IFERROR(VLOOKUP($AM320,個性タイプマスタ!$A$5:$P$100,14,FALSE),1),0))</f>
        <v>552</v>
      </c>
      <c r="G320" s="54">
        <f>IF(X320="Melee",AN320,MAX(1,ROUND(AN320*設定!$B$16*IFERROR(VLOOKUP($AM320,個性タイプマスタ!$A$5:$P$100,15,FALSE),1),0)))</f>
        <v>2244</v>
      </c>
      <c r="H320" s="54">
        <f>IF(X320="Ranged",AN320,MAX(1,ROUND(AN320*設定!$B$16*IFERROR(VLOOKUP($AM320,個性タイプマスタ!$A$5:$P$100,15,FALSE),1),0)))</f>
        <v>909</v>
      </c>
      <c r="I320" s="54">
        <f>MAX(0,ROUND(設定!$B$8*AE320*Z320,0))</f>
        <v>1727</v>
      </c>
      <c r="J320" s="54">
        <f>MAX(0,ROUND(設定!$B$9*AE320*AA320,0))</f>
        <v>1477</v>
      </c>
      <c r="K320" s="55">
        <f>IFERROR(VLOOKUP($AM320,個性タイプマスタ!$A$5:$P$100,9,FALSE),0.05)</f>
        <v>2.5000000000000001E-2</v>
      </c>
      <c r="L320" s="56">
        <f>IFERROR(VLOOKUP($AM320,個性タイプマスタ!$A$5:$P$100,10,FALSE),1.5)</f>
        <v>1.35</v>
      </c>
      <c r="M320" s="56">
        <f>IFERROR(VLOOKUP($AM320,個性タイプマスタ!$A$5:$P$100,11,FALSE),2)</f>
        <v>1.1499999999999999</v>
      </c>
      <c r="N320" s="57">
        <f>MAX(0.1,ROUND(設定!$B$10*AB320,3))</f>
        <v>0.51</v>
      </c>
      <c r="O320" s="57">
        <f t="shared" si="16"/>
        <v>1.2749999999999999</v>
      </c>
      <c r="P320" s="58">
        <f>MAX(-10,MIN(0.8,IFERROR(INDEX(属性耐性マスタ!$B$5:$G$11,MATCH($C320,属性耐性マスタ!$A$5:$A$11,0),1),0)+IFERROR(VLOOKUP($AM320,個性タイプマスタ!$A$5:$P$100,12,FALSE),0)))</f>
        <v>0.25</v>
      </c>
      <c r="Q320" s="58">
        <f>MAX(-10,MIN(0.8,IFERROR(INDEX(属性耐性マスタ!$B$5:$G$11,MATCH($C320,属性耐性マスタ!$A$5:$A$11,0),2),0)+IFERROR(VLOOKUP($AM320,個性タイプマスタ!$A$5:$P$100,12,FALSE),0)))</f>
        <v>-0.05</v>
      </c>
      <c r="R320" s="58">
        <f>MAX(-10,MIN(0.8,IFERROR(INDEX(属性耐性マスタ!$B$5:$G$11,MATCH($C320,属性耐性マスタ!$A$5:$A$11,0),3),0)+IFERROR(VLOOKUP($AM320,個性タイプマスタ!$A$5:$P$100,12,FALSE),0)))</f>
        <v>0.05</v>
      </c>
      <c r="S320" s="58">
        <f>MAX(-10,MIN(0.8,IFERROR(INDEX(属性耐性マスタ!$B$5:$G$11,MATCH($C320,属性耐性マスタ!$A$5:$A$11,0),4),0)+IFERROR(VLOOKUP($AM320,個性タイプマスタ!$A$5:$P$100,12,FALSE),0)))</f>
        <v>0.05</v>
      </c>
      <c r="T320" s="58">
        <f>MAX(-10,MIN(0.8,IFERROR(INDEX(属性耐性マスタ!$B$5:$G$11,MATCH($C320,属性耐性マスタ!$A$5:$A$11,0),5),0)+IFERROR(VLOOKUP($AM320,個性タイプマスタ!$A$5:$P$100,12,FALSE),0)))</f>
        <v>0.05</v>
      </c>
      <c r="U320" s="58">
        <f>MAX(-10,MIN(0.8,IFERROR(INDEX(属性耐性マスタ!$B$5:$G$11,MATCH($C320,属性耐性マスタ!$A$5:$A$11,0),6),0)+IFERROR(VLOOKUP($AM320,個性タイプマスタ!$A$5:$P$100,12,FALSE),0)))</f>
        <v>0.05</v>
      </c>
      <c r="V320" s="59">
        <f>ROUND(設定!$B$19*IFERROR(VLOOKUP($AM320,個性タイプマスタ!$A$5:$P$100,13,FALSE),1),2)</f>
        <v>3.2</v>
      </c>
      <c r="W320" s="59">
        <v>53</v>
      </c>
      <c r="X320" s="59" t="str">
        <f>IFERROR(VLOOKUP($AM320,個性タイプマスタ!$A$5:$P$100,2,FALSE),"Ranged")</f>
        <v>Melee</v>
      </c>
      <c r="Y320" s="56">
        <f>IFERROR(VLOOKUP($AM320,個性タイプマスタ!$A$5:$P$100,3,FALSE),1)</f>
        <v>2.0499999999999998</v>
      </c>
      <c r="Z320" s="56">
        <f>IFERROR(VLOOKUP($AM320,個性タイプマスタ!$A$5:$P$100,4,FALSE),1)</f>
        <v>1.52</v>
      </c>
      <c r="AA320" s="56">
        <f>IFERROR(VLOOKUP($AM320,個性タイプマスタ!$A$5:$P$100,5,FALSE),1)</f>
        <v>1.3</v>
      </c>
      <c r="AB320" s="56">
        <f>IFERROR(VLOOKUP($AM320,個性タイプマスタ!$A$5:$P$100,6,FALSE),1)</f>
        <v>0.51</v>
      </c>
      <c r="AC320" s="56">
        <f>IFERROR(VLOOKUP($AM320,個性タイプマスタ!$A$5:$P$100,7,FALSE),1)</f>
        <v>0.85</v>
      </c>
      <c r="AD320" s="56">
        <f>IFERROR(VLOOKUP($AM320,個性タイプマスタ!$A$5:$P$100,8,FALSE),1)</f>
        <v>0.95</v>
      </c>
      <c r="AE320" s="60">
        <f>IFERROR(D320/設定!$B$5,1)</f>
        <v>142.0429</v>
      </c>
      <c r="AF320" s="60">
        <f>1+設定!$B$13*((I320/設定!$B$8+J320/設定!$B$9)/(2*AE320))</f>
        <v>1.4229356060739398</v>
      </c>
      <c r="AG320" s="60">
        <f>MAX(0.7,1+設定!$B$14*(O320/IF(X320="Melee",1.5,2.5)-1))</f>
        <v>0.98199999999999998</v>
      </c>
      <c r="AH320" s="53">
        <f t="shared" si="17"/>
        <v>1133.6736807</v>
      </c>
      <c r="AI320" s="53">
        <f>E320*AF320*(1+設定!$B$18*AVERAGE(P320:U320))</f>
        <v>42677.49577066506</v>
      </c>
      <c r="AJ320" s="61">
        <f>設定!$B$5*SQRT((AH320/(設定!$B$7*設定!$B$10*(1+設定!$B$11*(設定!$B$12-1))))*(AI320/(設定!$B$6*(1+設定!$B$13))))</f>
        <v>14202.788986034253</v>
      </c>
      <c r="AK320" s="62">
        <f t="shared" si="18"/>
        <v>-1.0567328361699158E-4</v>
      </c>
      <c r="AL320" s="63">
        <f t="shared" si="19"/>
        <v>13494.075500000001</v>
      </c>
      <c r="AM320" s="64" t="s">
        <v>968</v>
      </c>
      <c r="AN320" s="54">
        <f>MAX(1,ROUND((設定!$B$7*設定!$B$10*(1+設定!$B$11*(設定!$B$12-1)))*AE320^2*(設定!$B$6*(1+設定!$B$13))/(AI320*N320*(1+K320*(L320-1))*AG320),0))</f>
        <v>2244</v>
      </c>
      <c r="AO320" s="65" t="str">
        <f>IF($A320="","",IF(COUNTIF(個性タイプマスタ!$A$5:$A$100,$AM320)&gt;0,"OK","未登録"))</f>
        <v>OK</v>
      </c>
      <c r="AP320" s="67" t="str">
        <f>IF($A320="","",IF(COUNTIF(属性耐性マスタ!$A$5:$A$11,$C320)&gt;0,"OK","未登録"))</f>
        <v>OK</v>
      </c>
    </row>
    <row r="321" spans="1:42">
      <c r="A321" s="66" t="s">
        <v>742</v>
      </c>
      <c r="B321" s="51" t="s">
        <v>743</v>
      </c>
      <c r="C321" s="52" t="s">
        <v>108</v>
      </c>
      <c r="D321" s="53">
        <f>ROUND(設定!$B$5*POWER($D$2,W321-1),2)</f>
        <v>14204.29</v>
      </c>
      <c r="E321" s="54">
        <f>MAX(1,ROUND(設定!$B$6*AE321*Y321,0))</f>
        <v>19176</v>
      </c>
      <c r="F321" s="54">
        <f>MAX(0,ROUND(設定!$B$7*AE321*設定!$B$15*IF(X321="Melee",0.6,1.35)*IFERROR(VLOOKUP($AM321,個性タイプマスタ!$A$5:$P$100,14,FALSE),1),0))</f>
        <v>828</v>
      </c>
      <c r="G321" s="54">
        <f>IF(X321="Melee",AN321,MAX(1,ROUND(AN321*設定!$B$16*IFERROR(VLOOKUP($AM321,個性タイプマスタ!$A$5:$P$100,15,FALSE),1),0)))</f>
        <v>1667</v>
      </c>
      <c r="H321" s="54">
        <f>IF(X321="Ranged",AN321,MAX(1,ROUND(AN321*設定!$B$16*IFERROR(VLOOKUP($AM321,個性タイプマスタ!$A$5:$P$100,15,FALSE),1),0)))</f>
        <v>750</v>
      </c>
      <c r="I321" s="54">
        <f>MAX(0,ROUND(設定!$B$8*AE321*Z321,0))</f>
        <v>1591</v>
      </c>
      <c r="J321" s="54">
        <f>MAX(0,ROUND(設定!$B$9*AE321*AA321,0))</f>
        <v>1136</v>
      </c>
      <c r="K321" s="55">
        <f>IFERROR(VLOOKUP($AM321,個性タイプマスタ!$A$5:$P$100,9,FALSE),0.05)</f>
        <v>0.08</v>
      </c>
      <c r="L321" s="56">
        <f>IFERROR(VLOOKUP($AM321,個性タイプマスタ!$A$5:$P$100,10,FALSE),1.5)</f>
        <v>1.6</v>
      </c>
      <c r="M321" s="56">
        <f>IFERROR(VLOOKUP($AM321,個性タイプマスタ!$A$5:$P$100,11,FALSE),2)</f>
        <v>2.7</v>
      </c>
      <c r="N321" s="57">
        <f>MAX(0.1,ROUND(設定!$B$10*AB321,3))</f>
        <v>1.05</v>
      </c>
      <c r="O321" s="57">
        <f t="shared" si="16"/>
        <v>1.2</v>
      </c>
      <c r="P321" s="58">
        <f>MAX(-10,MIN(0.8,IFERROR(INDEX(属性耐性マスタ!$B$5:$G$11,MATCH($C321,属性耐性マスタ!$A$5:$A$11,0),1),0)+IFERROR(VLOOKUP($AM321,個性タイプマスタ!$A$5:$P$100,12,FALSE),0)))</f>
        <v>-3.5000000000000003E-2</v>
      </c>
      <c r="Q321" s="58">
        <f>MAX(-10,MIN(0.8,IFERROR(INDEX(属性耐性マスタ!$B$5:$G$11,MATCH($C321,属性耐性マスタ!$A$5:$A$11,0),2),0)+IFERROR(VLOOKUP($AM321,個性タイプマスタ!$A$5:$P$100,12,FALSE),0)))</f>
        <v>0.26500000000000001</v>
      </c>
      <c r="R321" s="58">
        <f>MAX(-10,MIN(0.8,IFERROR(INDEX(属性耐性マスタ!$B$5:$G$11,MATCH($C321,属性耐性マスタ!$A$5:$A$11,0),3),0)+IFERROR(VLOOKUP($AM321,個性タイプマスタ!$A$5:$P$100,12,FALSE),0)))</f>
        <v>6.5000000000000002E-2</v>
      </c>
      <c r="S321" s="58">
        <f>MAX(-10,MIN(0.8,IFERROR(INDEX(属性耐性マスタ!$B$5:$G$11,MATCH($C321,属性耐性マスタ!$A$5:$A$11,0),4),0)+IFERROR(VLOOKUP($AM321,個性タイプマスタ!$A$5:$P$100,12,FALSE),0)))</f>
        <v>6.5000000000000002E-2</v>
      </c>
      <c r="T321" s="58">
        <f>MAX(-10,MIN(0.8,IFERROR(INDEX(属性耐性マスタ!$B$5:$G$11,MATCH($C321,属性耐性マスタ!$A$5:$A$11,0),5),0)+IFERROR(VLOOKUP($AM321,個性タイプマスタ!$A$5:$P$100,12,FALSE),0)))</f>
        <v>6.5000000000000002E-2</v>
      </c>
      <c r="U321" s="58">
        <f>MAX(-10,MIN(0.8,IFERROR(INDEX(属性耐性マスタ!$B$5:$G$11,MATCH($C321,属性耐性マスタ!$A$5:$A$11,0),6),0)+IFERROR(VLOOKUP($AM321,個性タイプマスタ!$A$5:$P$100,12,FALSE),0)))</f>
        <v>6.5000000000000002E-2</v>
      </c>
      <c r="V321" s="59">
        <f>ROUND(設定!$B$19*IFERROR(VLOOKUP($AM321,個性タイプマスタ!$A$5:$P$100,13,FALSE),1),2)</f>
        <v>4</v>
      </c>
      <c r="W321" s="59">
        <v>53</v>
      </c>
      <c r="X321" s="59" t="str">
        <f>IFERROR(VLOOKUP($AM321,個性タイプマスタ!$A$5:$P$100,2,FALSE),"Ranged")</f>
        <v>Melee</v>
      </c>
      <c r="Y321" s="56">
        <f>IFERROR(VLOOKUP($AM321,個性タイプマスタ!$A$5:$P$100,3,FALSE),1)</f>
        <v>1.35</v>
      </c>
      <c r="Z321" s="56">
        <f>IFERROR(VLOOKUP($AM321,個性タイプマスタ!$A$5:$P$100,4,FALSE),1)</f>
        <v>1.4</v>
      </c>
      <c r="AA321" s="56">
        <f>IFERROR(VLOOKUP($AM321,個性タイプマスタ!$A$5:$P$100,5,FALSE),1)</f>
        <v>1</v>
      </c>
      <c r="AB321" s="56">
        <f>IFERROR(VLOOKUP($AM321,個性タイプマスタ!$A$5:$P$100,6,FALSE),1)</f>
        <v>1.05</v>
      </c>
      <c r="AC321" s="56">
        <f>IFERROR(VLOOKUP($AM321,個性タイプマスタ!$A$5:$P$100,7,FALSE),1)</f>
        <v>0.8</v>
      </c>
      <c r="AD321" s="56">
        <f>IFERROR(VLOOKUP($AM321,個性タイプマスタ!$A$5:$P$100,8,FALSE),1)</f>
        <v>0.9</v>
      </c>
      <c r="AE321" s="60">
        <f>IFERROR(D321/設定!$B$5,1)</f>
        <v>142.0429</v>
      </c>
      <c r="AF321" s="60">
        <f>1+設定!$B$13*((I321/設定!$B$8+J321/設定!$B$9)/(2*AE321))</f>
        <v>1.3599704737089993</v>
      </c>
      <c r="AG321" s="60">
        <f>MAX(0.7,1+設定!$B$14*(O321/IF(X321="Melee",1.5,2.5)-1))</f>
        <v>0.97599999999999998</v>
      </c>
      <c r="AH321" s="53">
        <f t="shared" si="17"/>
        <v>1790.3419968000003</v>
      </c>
      <c r="AI321" s="53">
        <f>E321*AF321*(1+設定!$B$18*AVERAGE(P321:U321))</f>
        <v>27037.18947613503</v>
      </c>
      <c r="AJ321" s="61">
        <f>設定!$B$5*SQRT((AH321/(設定!$B$7*設定!$B$10*(1+設定!$B$11*(設定!$B$12-1))))*(AI321/(設定!$B$6*(1+設定!$B$13))))</f>
        <v>14206.232251753419</v>
      </c>
      <c r="AK321" s="62">
        <f t="shared" si="18"/>
        <v>1.3673698251848165E-4</v>
      </c>
      <c r="AL321" s="63">
        <f t="shared" si="19"/>
        <v>12783.861000000001</v>
      </c>
      <c r="AM321" s="64" t="s">
        <v>888</v>
      </c>
      <c r="AN321" s="54">
        <f>MAX(1,ROUND((設定!$B$7*設定!$B$10*(1+設定!$B$11*(設定!$B$12-1)))*AE321^2*(設定!$B$6*(1+設定!$B$13))/(AI321*N321*(1+K321*(L321-1))*AG321),0))</f>
        <v>1667</v>
      </c>
      <c r="AO321" s="65" t="str">
        <f>IF($A321="","",IF(COUNTIF(個性タイプマスタ!$A$5:$A$100,$AM321)&gt;0,"OK","未登録"))</f>
        <v>OK</v>
      </c>
      <c r="AP321" s="67" t="str">
        <f>IF($A321="","",IF(COUNTIF(属性耐性マスタ!$A$5:$A$11,$C321)&gt;0,"OK","未登録"))</f>
        <v>OK</v>
      </c>
    </row>
    <row r="322" spans="1:42">
      <c r="A322" s="66" t="s">
        <v>744</v>
      </c>
      <c r="B322" s="51" t="s">
        <v>745</v>
      </c>
      <c r="C322" s="52" t="s">
        <v>121</v>
      </c>
      <c r="D322" s="53">
        <f>ROUND(設定!$B$5*POWER($D$2,W322-1),2)</f>
        <v>14204.29</v>
      </c>
      <c r="E322" s="54">
        <f>MAX(1,ROUND(設定!$B$6*AE322*Y322,0))</f>
        <v>10511</v>
      </c>
      <c r="F322" s="54">
        <f>MAX(0,ROUND(設定!$B$7*AE322*設定!$B$15*IF(X322="Melee",0.6,1.35)*IFERROR(VLOOKUP($AM322,個性タイプマスタ!$A$5:$P$100,14,FALSE),1),0))</f>
        <v>1967</v>
      </c>
      <c r="G322" s="54">
        <f>IF(X322="Melee",AN322,MAX(1,ROUND(AN322*設定!$B$16*IFERROR(VLOOKUP($AM322,個性タイプマスタ!$A$5:$P$100,15,FALSE),1),0)))</f>
        <v>714</v>
      </c>
      <c r="H322" s="54">
        <f>IF(X322="Ranged",AN322,MAX(1,ROUND(AN322*設定!$B$16*IFERROR(VLOOKUP($AM322,個性タイプマスタ!$A$5:$P$100,15,FALSE),1),0)))</f>
        <v>2441</v>
      </c>
      <c r="I322" s="54">
        <f>MAX(0,ROUND(設定!$B$8*AE322*Z322,0))</f>
        <v>818</v>
      </c>
      <c r="J322" s="54">
        <f>MAX(0,ROUND(設定!$B$9*AE322*AA322,0))</f>
        <v>955</v>
      </c>
      <c r="K322" s="55">
        <f>IFERROR(VLOOKUP($AM322,個性タイプマスタ!$A$5:$P$100,9,FALSE),0.05)</f>
        <v>0.05</v>
      </c>
      <c r="L322" s="56">
        <f>IFERROR(VLOOKUP($AM322,個性タイプマスタ!$A$5:$P$100,10,FALSE),1.5)</f>
        <v>1.4</v>
      </c>
      <c r="M322" s="56">
        <f>IFERROR(VLOOKUP($AM322,個性タイプマスタ!$A$5:$P$100,11,FALSE),2)</f>
        <v>3.35</v>
      </c>
      <c r="N322" s="57">
        <f>MAX(0.1,ROUND(設定!$B$10*AB322,3))</f>
        <v>1.55</v>
      </c>
      <c r="O322" s="57">
        <f t="shared" si="16"/>
        <v>2.2999999999999998</v>
      </c>
      <c r="P322" s="58">
        <f>MAX(-10,MIN(0.8,IFERROR(INDEX(属性耐性マスタ!$B$5:$G$11,MATCH($C322,属性耐性マスタ!$A$5:$A$11,0),1),0)+IFERROR(VLOOKUP($AM322,個性タイプマスタ!$A$5:$P$100,12,FALSE),0)))</f>
        <v>-7.0000000000000007E-2</v>
      </c>
      <c r="Q322" s="58">
        <f>MAX(-10,MIN(0.8,IFERROR(INDEX(属性耐性マスタ!$B$5:$G$11,MATCH($C322,属性耐性マスタ!$A$5:$A$11,0),2),0)+IFERROR(VLOOKUP($AM322,個性タイプマスタ!$A$5:$P$100,12,FALSE),0)))</f>
        <v>-7.0000000000000007E-2</v>
      </c>
      <c r="R322" s="58">
        <f>MAX(-10,MIN(0.8,IFERROR(INDEX(属性耐性マスタ!$B$5:$G$11,MATCH($C322,属性耐性マスタ!$A$5:$A$11,0),3),0)+IFERROR(VLOOKUP($AM322,個性タイプマスタ!$A$5:$P$100,12,FALSE),0)))</f>
        <v>-7.0000000000000007E-2</v>
      </c>
      <c r="S322" s="58">
        <f>MAX(-10,MIN(0.8,IFERROR(INDEX(属性耐性マスタ!$B$5:$G$11,MATCH($C322,属性耐性マスタ!$A$5:$A$11,0),4),0)+IFERROR(VLOOKUP($AM322,個性タイプマスタ!$A$5:$P$100,12,FALSE),0)))</f>
        <v>-7.0000000000000007E-2</v>
      </c>
      <c r="T322" s="58">
        <f>MAX(-10,MIN(0.8,IFERROR(INDEX(属性耐性マスタ!$B$5:$G$11,MATCH($C322,属性耐性マスタ!$A$5:$A$11,0),5),0)+IFERROR(VLOOKUP($AM322,個性タイプマスタ!$A$5:$P$100,12,FALSE),0)))</f>
        <v>0.13</v>
      </c>
      <c r="U322" s="58">
        <f>MAX(-10,MIN(0.8,IFERROR(INDEX(属性耐性マスタ!$B$5:$G$11,MATCH($C322,属性耐性マスタ!$A$5:$A$11,0),6),0)+IFERROR(VLOOKUP($AM322,個性タイプマスタ!$A$5:$P$100,12,FALSE),0)))</f>
        <v>-0.17</v>
      </c>
      <c r="V322" s="59">
        <f>ROUND(設定!$B$19*IFERROR(VLOOKUP($AM322,個性タイプマスタ!$A$5:$P$100,13,FALSE),1),2)</f>
        <v>4</v>
      </c>
      <c r="W322" s="59">
        <v>53</v>
      </c>
      <c r="X322" s="59" t="str">
        <f>IFERROR(VLOOKUP($AM322,個性タイプマスタ!$A$5:$P$100,2,FALSE),"Ranged")</f>
        <v>Ranged</v>
      </c>
      <c r="Y322" s="56">
        <f>IFERROR(VLOOKUP($AM322,個性タイプマスタ!$A$5:$P$100,3,FALSE),1)</f>
        <v>0.74</v>
      </c>
      <c r="Z322" s="56">
        <f>IFERROR(VLOOKUP($AM322,個性タイプマスタ!$A$5:$P$100,4,FALSE),1)</f>
        <v>0.72</v>
      </c>
      <c r="AA322" s="56">
        <f>IFERROR(VLOOKUP($AM322,個性タイプマスタ!$A$5:$P$100,5,FALSE),1)</f>
        <v>0.84</v>
      </c>
      <c r="AB322" s="56">
        <f>IFERROR(VLOOKUP($AM322,個性タイプマスタ!$A$5:$P$100,6,FALSE),1)</f>
        <v>1.55</v>
      </c>
      <c r="AC322" s="56">
        <f>IFERROR(VLOOKUP($AM322,個性タイプマスタ!$A$5:$P$100,7,FALSE),1)</f>
        <v>0.92</v>
      </c>
      <c r="AD322" s="56">
        <f>IFERROR(VLOOKUP($AM322,個性タイプマスタ!$A$5:$P$100,8,FALSE),1)</f>
        <v>0.61</v>
      </c>
      <c r="AE322" s="60">
        <f>IFERROR(D322/設定!$B$5,1)</f>
        <v>142.0429</v>
      </c>
      <c r="AF322" s="60">
        <f>1+設定!$B$13*((I322/設定!$B$8+J322/設定!$B$9)/(2*AE322))</f>
        <v>1.2340402089791183</v>
      </c>
      <c r="AG322" s="60">
        <f>MAX(0.7,1+設定!$B$14*(O322/IF(X322="Melee",1.5,2.5)-1))</f>
        <v>0.99039999999999995</v>
      </c>
      <c r="AH322" s="53">
        <f t="shared" si="17"/>
        <v>3822.1724784000003</v>
      </c>
      <c r="AI322" s="53">
        <f>E322*AF322*(1+設定!$B$18*AVERAGE(P322:U322))</f>
        <v>12659.692717301603</v>
      </c>
      <c r="AJ322" s="61">
        <f>設定!$B$5*SQRT((AH322/(設定!$B$7*設定!$B$10*(1+設定!$B$11*(設定!$B$12-1))))*(AI322/(設定!$B$6*(1+設定!$B$13))))</f>
        <v>14203.548589459237</v>
      </c>
      <c r="AK322" s="62">
        <f t="shared" si="18"/>
        <v>-5.2196240767021784E-5</v>
      </c>
      <c r="AL322" s="63">
        <f t="shared" si="19"/>
        <v>8664.6169000000009</v>
      </c>
      <c r="AM322" s="64" t="s">
        <v>908</v>
      </c>
      <c r="AN322" s="54">
        <f>MAX(1,ROUND((設定!$B$7*設定!$B$10*(1+設定!$B$11*(設定!$B$12-1)))*AE322^2*(設定!$B$6*(1+設定!$B$13))/(AI322*N322*(1+K322*(L322-1))*AG322),0))</f>
        <v>2441</v>
      </c>
      <c r="AO322" s="65" t="str">
        <f>IF($A322="","",IF(COUNTIF(個性タイプマスタ!$A$5:$A$100,$AM322)&gt;0,"OK","未登録"))</f>
        <v>OK</v>
      </c>
      <c r="AP322" s="67" t="str">
        <f>IF($A322="","",IF(COUNTIF(属性耐性マスタ!$A$5:$A$11,$C322)&gt;0,"OK","未登録"))</f>
        <v>OK</v>
      </c>
    </row>
    <row r="323" spans="1:42">
      <c r="A323" s="66" t="s">
        <v>746</v>
      </c>
      <c r="B323" s="51" t="s">
        <v>747</v>
      </c>
      <c r="C323" s="52" t="s">
        <v>108</v>
      </c>
      <c r="D323" s="53">
        <f>ROUND(設定!$B$5*POWER($D$2,W323-1),2)</f>
        <v>15624.72</v>
      </c>
      <c r="E323" s="54">
        <f>MAX(1,ROUND(設定!$B$6*AE323*Y323,0))</f>
        <v>18750</v>
      </c>
      <c r="F323" s="54">
        <f>MAX(0,ROUND(設定!$B$7*AE323*設定!$B$15*IF(X323="Melee",0.6,1.35)*IFERROR(VLOOKUP($AM323,個性タイプマスタ!$A$5:$P$100,14,FALSE),1),0))</f>
        <v>2278</v>
      </c>
      <c r="G323" s="54">
        <f>IF(X323="Melee",AN323,MAX(1,ROUND(AN323*設定!$B$16*IFERROR(VLOOKUP($AM323,個性タイプマスタ!$A$5:$P$100,15,FALSE),1),0)))</f>
        <v>1000</v>
      </c>
      <c r="H323" s="54">
        <f>IF(X323="Ranged",AN323,MAX(1,ROUND(AN323*設定!$B$16*IFERROR(VLOOKUP($AM323,個性タイプマスタ!$A$5:$P$100,15,FALSE),1),0)))</f>
        <v>2222</v>
      </c>
      <c r="I323" s="54">
        <f>MAX(0,ROUND(設定!$B$8*AE323*Z323,0))</f>
        <v>1625</v>
      </c>
      <c r="J323" s="54">
        <f>MAX(0,ROUND(設定!$B$9*AE323*AA323,0))</f>
        <v>1062</v>
      </c>
      <c r="K323" s="55">
        <f>IFERROR(VLOOKUP($AM323,個性タイプマスタ!$A$5:$P$100,9,FALSE),0.05)</f>
        <v>0.08</v>
      </c>
      <c r="L323" s="56">
        <f>IFERROR(VLOOKUP($AM323,個性タイプマスタ!$A$5:$P$100,10,FALSE),1.5)</f>
        <v>1.6</v>
      </c>
      <c r="M323" s="56">
        <f>IFERROR(VLOOKUP($AM323,個性タイプマスタ!$A$5:$P$100,11,FALSE),2)</f>
        <v>2.8</v>
      </c>
      <c r="N323" s="57">
        <f>MAX(0.1,ROUND(設定!$B$10*AB323,3))</f>
        <v>1</v>
      </c>
      <c r="O323" s="57">
        <f t="shared" si="16"/>
        <v>2.5</v>
      </c>
      <c r="P323" s="58">
        <f>MAX(-10,MIN(0.8,IFERROR(INDEX(属性耐性マスタ!$B$5:$G$11,MATCH($C323,属性耐性マスタ!$A$5:$A$11,0),1),0)+IFERROR(VLOOKUP($AM323,個性タイプマスタ!$A$5:$P$100,12,FALSE),0)))</f>
        <v>-8.5000000000000006E-2</v>
      </c>
      <c r="Q323" s="58">
        <f>MAX(-10,MIN(0.8,IFERROR(INDEX(属性耐性マスタ!$B$5:$G$11,MATCH($C323,属性耐性マスタ!$A$5:$A$11,0),2),0)+IFERROR(VLOOKUP($AM323,個性タイプマスタ!$A$5:$P$100,12,FALSE),0)))</f>
        <v>0.21500000000000002</v>
      </c>
      <c r="R323" s="58">
        <f>MAX(-10,MIN(0.8,IFERROR(INDEX(属性耐性マスタ!$B$5:$G$11,MATCH($C323,属性耐性マスタ!$A$5:$A$11,0),3),0)+IFERROR(VLOOKUP($AM323,個性タイプマスタ!$A$5:$P$100,12,FALSE),0)))</f>
        <v>1.4999999999999999E-2</v>
      </c>
      <c r="S323" s="58">
        <f>MAX(-10,MIN(0.8,IFERROR(INDEX(属性耐性マスタ!$B$5:$G$11,MATCH($C323,属性耐性マスタ!$A$5:$A$11,0),4),0)+IFERROR(VLOOKUP($AM323,個性タイプマスタ!$A$5:$P$100,12,FALSE),0)))</f>
        <v>1.4999999999999999E-2</v>
      </c>
      <c r="T323" s="58">
        <f>MAX(-10,MIN(0.8,IFERROR(INDEX(属性耐性マスタ!$B$5:$G$11,MATCH($C323,属性耐性マスタ!$A$5:$A$11,0),5),0)+IFERROR(VLOOKUP($AM323,個性タイプマスタ!$A$5:$P$100,12,FALSE),0)))</f>
        <v>1.4999999999999999E-2</v>
      </c>
      <c r="U323" s="58">
        <f>MAX(-10,MIN(0.8,IFERROR(INDEX(属性耐性マスタ!$B$5:$G$11,MATCH($C323,属性耐性マスタ!$A$5:$A$11,0),6),0)+IFERROR(VLOOKUP($AM323,個性タイプマスタ!$A$5:$P$100,12,FALSE),0)))</f>
        <v>1.4999999999999999E-2</v>
      </c>
      <c r="V323" s="59">
        <f>ROUND(設定!$B$19*IFERROR(VLOOKUP($AM323,個性タイプマスタ!$A$5:$P$100,13,FALSE),1),2)</f>
        <v>4</v>
      </c>
      <c r="W323" s="59">
        <v>54</v>
      </c>
      <c r="X323" s="59" t="str">
        <f>IFERROR(VLOOKUP($AM323,個性タイプマスタ!$A$5:$P$100,2,FALSE),"Ranged")</f>
        <v>Ranged</v>
      </c>
      <c r="Y323" s="56">
        <f>IFERROR(VLOOKUP($AM323,個性タイプマスタ!$A$5:$P$100,3,FALSE),1)</f>
        <v>1.2</v>
      </c>
      <c r="Z323" s="56">
        <f>IFERROR(VLOOKUP($AM323,個性タイプマスタ!$A$5:$P$100,4,FALSE),1)</f>
        <v>1.3</v>
      </c>
      <c r="AA323" s="56">
        <f>IFERROR(VLOOKUP($AM323,個性タイプマスタ!$A$5:$P$100,5,FALSE),1)</f>
        <v>0.85</v>
      </c>
      <c r="AB323" s="56">
        <f>IFERROR(VLOOKUP($AM323,個性タイプマスタ!$A$5:$P$100,6,FALSE),1)</f>
        <v>1</v>
      </c>
      <c r="AC323" s="56">
        <f>IFERROR(VLOOKUP($AM323,個性タイプマスタ!$A$5:$P$100,7,FALSE),1)</f>
        <v>1</v>
      </c>
      <c r="AD323" s="56">
        <f>IFERROR(VLOOKUP($AM323,個性タイプマスタ!$A$5:$P$100,8,FALSE),1)</f>
        <v>0.85</v>
      </c>
      <c r="AE323" s="60">
        <f>IFERROR(D323/設定!$B$5,1)</f>
        <v>156.24719999999999</v>
      </c>
      <c r="AF323" s="60">
        <f>1+設定!$B$13*((I323/設定!$B$8+J323/設定!$B$9)/(2*AE323))</f>
        <v>1.3224457782283459</v>
      </c>
      <c r="AG323" s="60">
        <f>MAX(0.7,1+設定!$B$14*(O323/IF(X323="Melee",1.5,2.5)-1))</f>
        <v>1</v>
      </c>
      <c r="AH323" s="53">
        <f t="shared" si="17"/>
        <v>2328.6559999999999</v>
      </c>
      <c r="AI323" s="53">
        <f>E323*AF323*(1+設定!$B$18*AVERAGE(P323:U323))</f>
        <v>25149.199323151872</v>
      </c>
      <c r="AJ323" s="61">
        <f>設定!$B$5*SQRT((AH323/(設定!$B$7*設定!$B$10*(1+設定!$B$11*(設定!$B$12-1))))*(AI323/(設定!$B$6*(1+設定!$B$13))))</f>
        <v>15625.894532533281</v>
      </c>
      <c r="AK323" s="62">
        <f t="shared" si="18"/>
        <v>7.5171429201992268E-5</v>
      </c>
      <c r="AL323" s="63">
        <f t="shared" si="19"/>
        <v>13281.011999999999</v>
      </c>
      <c r="AM323" s="64" t="s">
        <v>894</v>
      </c>
      <c r="AN323" s="54">
        <f>MAX(1,ROUND((設定!$B$7*設定!$B$10*(1+設定!$B$11*(設定!$B$12-1)))*AE323^2*(設定!$B$6*(1+設定!$B$13))/(AI323*N323*(1+K323*(L323-1))*AG323),0))</f>
        <v>2222</v>
      </c>
      <c r="AO323" s="65" t="str">
        <f>IF($A323="","",IF(COUNTIF(個性タイプマスタ!$A$5:$A$100,$AM323)&gt;0,"OK","未登録"))</f>
        <v>OK</v>
      </c>
      <c r="AP323" s="67" t="str">
        <f>IF($A323="","",IF(COUNTIF(属性耐性マスタ!$A$5:$A$11,$C323)&gt;0,"OK","未登録"))</f>
        <v>OK</v>
      </c>
    </row>
    <row r="324" spans="1:42">
      <c r="A324" s="66" t="s">
        <v>748</v>
      </c>
      <c r="B324" s="51" t="s">
        <v>749</v>
      </c>
      <c r="C324" s="52" t="s">
        <v>111</v>
      </c>
      <c r="D324" s="53">
        <f>ROUND(設定!$B$5*POWER($D$2,W324-1),2)</f>
        <v>15624.72</v>
      </c>
      <c r="E324" s="54">
        <f>MAX(1,ROUND(設定!$B$6*AE324*Y324,0))</f>
        <v>9062</v>
      </c>
      <c r="F324" s="54">
        <f>MAX(0,ROUND(設定!$B$7*AE324*設定!$B$15*IF(X324="Melee",0.6,1.35)*IFERROR(VLOOKUP($AM324,個性タイプマスタ!$A$5:$P$100,14,FALSE),1),0))</f>
        <v>1777</v>
      </c>
      <c r="G324" s="54">
        <f>IF(X324="Melee",AN324,MAX(1,ROUND(AN324*設定!$B$16*IFERROR(VLOOKUP($AM324,個性タイプマスタ!$A$5:$P$100,15,FALSE),1),0)))</f>
        <v>891</v>
      </c>
      <c r="H324" s="54">
        <f>IF(X324="Ranged",AN324,MAX(1,ROUND(AN324*設定!$B$16*IFERROR(VLOOKUP($AM324,個性タイプマスタ!$A$5:$P$100,15,FALSE),1),0)))</f>
        <v>4125</v>
      </c>
      <c r="I324" s="54">
        <f>MAX(0,ROUND(設定!$B$8*AE324*Z324,0))</f>
        <v>800</v>
      </c>
      <c r="J324" s="54">
        <f>MAX(0,ROUND(設定!$B$9*AE324*AA324,0))</f>
        <v>812</v>
      </c>
      <c r="K324" s="55">
        <f>IFERROR(VLOOKUP($AM324,個性タイプマスタ!$A$5:$P$100,9,FALSE),0.05)</f>
        <v>0.08</v>
      </c>
      <c r="L324" s="56">
        <f>IFERROR(VLOOKUP($AM324,個性タイプマスタ!$A$5:$P$100,10,FALSE),1.5)</f>
        <v>1.55</v>
      </c>
      <c r="M324" s="56">
        <f>IFERROR(VLOOKUP($AM324,個性タイプマスタ!$A$5:$P$100,11,FALSE),2)</f>
        <v>4.2</v>
      </c>
      <c r="N324" s="57">
        <f>MAX(0.1,ROUND(設定!$B$10*AB324,3))</f>
        <v>1.3</v>
      </c>
      <c r="O324" s="57">
        <f t="shared" si="16"/>
        <v>2.5</v>
      </c>
      <c r="P324" s="58">
        <f>MAX(-10,MIN(0.8,IFERROR(INDEX(属性耐性マスタ!$B$5:$G$11,MATCH($C324,属性耐性マスタ!$A$5:$A$11,0),1),0)+IFERROR(VLOOKUP($AM324,個性タイプマスタ!$A$5:$P$100,12,FALSE),0)))</f>
        <v>0.11000000000000001</v>
      </c>
      <c r="Q324" s="58">
        <f>MAX(-10,MIN(0.8,IFERROR(INDEX(属性耐性マスタ!$B$5:$G$11,MATCH($C324,属性耐性マスタ!$A$5:$A$11,0),2),0)+IFERROR(VLOOKUP($AM324,個性タイプマスタ!$A$5:$P$100,12,FALSE),0)))</f>
        <v>-0.19</v>
      </c>
      <c r="R324" s="58">
        <f>MAX(-10,MIN(0.8,IFERROR(INDEX(属性耐性マスタ!$B$5:$G$11,MATCH($C324,属性耐性マスタ!$A$5:$A$11,0),3),0)+IFERROR(VLOOKUP($AM324,個性タイプマスタ!$A$5:$P$100,12,FALSE),0)))</f>
        <v>-0.09</v>
      </c>
      <c r="S324" s="58">
        <f>MAX(-10,MIN(0.8,IFERROR(INDEX(属性耐性マスタ!$B$5:$G$11,MATCH($C324,属性耐性マスタ!$A$5:$A$11,0),4),0)+IFERROR(VLOOKUP($AM324,個性タイプマスタ!$A$5:$P$100,12,FALSE),0)))</f>
        <v>-0.09</v>
      </c>
      <c r="T324" s="58">
        <f>MAX(-10,MIN(0.8,IFERROR(INDEX(属性耐性マスタ!$B$5:$G$11,MATCH($C324,属性耐性マスタ!$A$5:$A$11,0),5),0)+IFERROR(VLOOKUP($AM324,個性タイプマスタ!$A$5:$P$100,12,FALSE),0)))</f>
        <v>-0.09</v>
      </c>
      <c r="U324" s="58">
        <f>MAX(-10,MIN(0.8,IFERROR(INDEX(属性耐性マスタ!$B$5:$G$11,MATCH($C324,属性耐性マスタ!$A$5:$A$11,0),6),0)+IFERROR(VLOOKUP($AM324,個性タイプマスタ!$A$5:$P$100,12,FALSE),0)))</f>
        <v>-0.09</v>
      </c>
      <c r="V324" s="59">
        <f>ROUND(設定!$B$19*IFERROR(VLOOKUP($AM324,個性タイプマスタ!$A$5:$P$100,13,FALSE),1),2)</f>
        <v>4.2</v>
      </c>
      <c r="W324" s="59">
        <v>54</v>
      </c>
      <c r="X324" s="59" t="str">
        <f>IFERROR(VLOOKUP($AM324,個性タイプマスタ!$A$5:$P$100,2,FALSE),"Ranged")</f>
        <v>Ranged</v>
      </c>
      <c r="Y324" s="56">
        <f>IFERROR(VLOOKUP($AM324,個性タイプマスタ!$A$5:$P$100,3,FALSE),1)</f>
        <v>0.57999999999999996</v>
      </c>
      <c r="Z324" s="56">
        <f>IFERROR(VLOOKUP($AM324,個性タイプマスタ!$A$5:$P$100,4,FALSE),1)</f>
        <v>0.64</v>
      </c>
      <c r="AA324" s="56">
        <f>IFERROR(VLOOKUP($AM324,個性タイプマスタ!$A$5:$P$100,5,FALSE),1)</f>
        <v>0.65</v>
      </c>
      <c r="AB324" s="56">
        <f>IFERROR(VLOOKUP($AM324,個性タイプマスタ!$A$5:$P$100,6,FALSE),1)</f>
        <v>1.3</v>
      </c>
      <c r="AC324" s="56">
        <f>IFERROR(VLOOKUP($AM324,個性タイプマスタ!$A$5:$P$100,7,FALSE),1)</f>
        <v>1</v>
      </c>
      <c r="AD324" s="56">
        <f>IFERROR(VLOOKUP($AM324,個性タイプマスタ!$A$5:$P$100,8,FALSE),1)</f>
        <v>0.56999999999999995</v>
      </c>
      <c r="AE324" s="60">
        <f>IFERROR(D324/設定!$B$5,1)</f>
        <v>156.24719999999999</v>
      </c>
      <c r="AF324" s="60">
        <f>1+設定!$B$13*((I324/設定!$B$8+J324/設定!$B$9)/(2*AE324))</f>
        <v>1.1934434665069198</v>
      </c>
      <c r="AG324" s="60">
        <f>MAX(0.7,1+設定!$B$14*(O324/IF(X324="Melee",1.5,2.5)-1))</f>
        <v>1</v>
      </c>
      <c r="AH324" s="53">
        <f t="shared" si="17"/>
        <v>5598.45</v>
      </c>
      <c r="AI324" s="53">
        <f>E324*AF324*(1+設定!$B$18*AVERAGE(P324:U324))</f>
        <v>10458.090198600677</v>
      </c>
      <c r="AJ324" s="61">
        <f>設定!$B$5*SQRT((AH324/(設定!$B$7*設定!$B$10*(1+設定!$B$11*(設定!$B$12-1))))*(AI324/(設定!$B$6*(1+設定!$B$13))))</f>
        <v>15623.928115476647</v>
      </c>
      <c r="AK324" s="62">
        <f t="shared" si="18"/>
        <v>-5.0681517707373835E-5</v>
      </c>
      <c r="AL324" s="63">
        <f t="shared" si="19"/>
        <v>8906.0903999999991</v>
      </c>
      <c r="AM324" s="64" t="s">
        <v>914</v>
      </c>
      <c r="AN324" s="54">
        <f>MAX(1,ROUND((設定!$B$7*設定!$B$10*(1+設定!$B$11*(設定!$B$12-1)))*AE324^2*(設定!$B$6*(1+設定!$B$13))/(AI324*N324*(1+K324*(L324-1))*AG324),0))</f>
        <v>4125</v>
      </c>
      <c r="AO324" s="65" t="str">
        <f>IF($A324="","",IF(COUNTIF(個性タイプマスタ!$A$5:$A$100,$AM324)&gt;0,"OK","未登録"))</f>
        <v>OK</v>
      </c>
      <c r="AP324" s="67" t="str">
        <f>IF($A324="","",IF(COUNTIF(属性耐性マスタ!$A$5:$A$11,$C324)&gt;0,"OK","未登録"))</f>
        <v>OK</v>
      </c>
    </row>
    <row r="325" spans="1:42">
      <c r="A325" s="66" t="s">
        <v>750</v>
      </c>
      <c r="B325" s="51" t="s">
        <v>751</v>
      </c>
      <c r="C325" s="52" t="s">
        <v>114</v>
      </c>
      <c r="D325" s="53">
        <f>ROUND(設定!$B$5*POWER($D$2,W325-1),2)</f>
        <v>15624.72</v>
      </c>
      <c r="E325" s="54">
        <f>MAX(1,ROUND(設定!$B$6*AE325*Y325,0))</f>
        <v>17500</v>
      </c>
      <c r="F325" s="54">
        <f>MAX(0,ROUND(設定!$B$7*AE325*設定!$B$15*IF(X325="Melee",0.6,1.35)*IFERROR(VLOOKUP($AM325,個性タイプマスタ!$A$5:$P$100,14,FALSE),1),0))</f>
        <v>3075</v>
      </c>
      <c r="G325" s="54">
        <f>IF(X325="Melee",AN325,MAX(1,ROUND(AN325*設定!$B$16*IFERROR(VLOOKUP($AM325,個性タイプマスタ!$A$5:$P$100,15,FALSE),1),0)))</f>
        <v>771</v>
      </c>
      <c r="H325" s="54">
        <f>IF(X325="Ranged",AN325,MAX(1,ROUND(AN325*設定!$B$16*IFERROR(VLOOKUP($AM325,個性タイプマスタ!$A$5:$P$100,15,FALSE),1),0)))</f>
        <v>2597</v>
      </c>
      <c r="I325" s="54">
        <f>MAX(0,ROUND(設定!$B$8*AE325*Z325,0))</f>
        <v>2437</v>
      </c>
      <c r="J325" s="54">
        <f>MAX(0,ROUND(設定!$B$9*AE325*AA325,0))</f>
        <v>900</v>
      </c>
      <c r="K325" s="55">
        <f>IFERROR(VLOOKUP($AM325,個性タイプマスタ!$A$5:$P$100,9,FALSE),0.05)</f>
        <v>5.5E-2</v>
      </c>
      <c r="L325" s="56">
        <f>IFERROR(VLOOKUP($AM325,個性タイプマスタ!$A$5:$P$100,10,FALSE),1.5)</f>
        <v>1.5</v>
      </c>
      <c r="M325" s="56">
        <f>IFERROR(VLOOKUP($AM325,個性タイプマスタ!$A$5:$P$100,11,FALSE),2)</f>
        <v>1.85</v>
      </c>
      <c r="N325" s="57">
        <f>MAX(0.1,ROUND(設定!$B$10*AB325,3))</f>
        <v>0.87</v>
      </c>
      <c r="O325" s="57">
        <f t="shared" ref="O325:O370" si="20">MAX(0.1,ROUND(IF(X325="Melee",1.5,2.5)*AC325,3))</f>
        <v>2.35</v>
      </c>
      <c r="P325" s="58">
        <f>MAX(-10,MIN(0.8,IFERROR(INDEX(属性耐性マスタ!$B$5:$G$11,MATCH($C325,属性耐性マスタ!$A$5:$A$11,0),1),0)+IFERROR(VLOOKUP($AM325,個性タイプマスタ!$A$5:$P$100,12,FALSE),0)))</f>
        <v>6.5000000000000002E-2</v>
      </c>
      <c r="Q325" s="58">
        <f>MAX(-10,MIN(0.8,IFERROR(INDEX(属性耐性マスタ!$B$5:$G$11,MATCH($C325,属性耐性マスタ!$A$5:$A$11,0),2),0)+IFERROR(VLOOKUP($AM325,個性タイプマスタ!$A$5:$P$100,12,FALSE),0)))</f>
        <v>6.5000000000000002E-2</v>
      </c>
      <c r="R325" s="58">
        <f>MAX(-10,MIN(0.8,IFERROR(INDEX(属性耐性マスタ!$B$5:$G$11,MATCH($C325,属性耐性マスタ!$A$5:$A$11,0),3),0)+IFERROR(VLOOKUP($AM325,個性タイプマスタ!$A$5:$P$100,12,FALSE),0)))</f>
        <v>0.26500000000000001</v>
      </c>
      <c r="S325" s="58">
        <f>MAX(-10,MIN(0.8,IFERROR(INDEX(属性耐性マスタ!$B$5:$G$11,MATCH($C325,属性耐性マスタ!$A$5:$A$11,0),4),0)+IFERROR(VLOOKUP($AM325,個性タイプマスタ!$A$5:$P$100,12,FALSE),0)))</f>
        <v>-3.5000000000000003E-2</v>
      </c>
      <c r="T325" s="58">
        <f>MAX(-10,MIN(0.8,IFERROR(INDEX(属性耐性マスタ!$B$5:$G$11,MATCH($C325,属性耐性マスタ!$A$5:$A$11,0),5),0)+IFERROR(VLOOKUP($AM325,個性タイプマスタ!$A$5:$P$100,12,FALSE),0)))</f>
        <v>6.5000000000000002E-2</v>
      </c>
      <c r="U325" s="58">
        <f>MAX(-10,MIN(0.8,IFERROR(INDEX(属性耐性マスタ!$B$5:$G$11,MATCH($C325,属性耐性マスタ!$A$5:$A$11,0),6),0)+IFERROR(VLOOKUP($AM325,個性タイプマスタ!$A$5:$P$100,12,FALSE),0)))</f>
        <v>6.5000000000000002E-2</v>
      </c>
      <c r="V325" s="59">
        <f>ROUND(設定!$B$19*IFERROR(VLOOKUP($AM325,個性タイプマスタ!$A$5:$P$100,13,FALSE),1),2)</f>
        <v>4.2</v>
      </c>
      <c r="W325" s="59">
        <v>54</v>
      </c>
      <c r="X325" s="59" t="str">
        <f>IFERROR(VLOOKUP($AM325,個性タイプマスタ!$A$5:$P$100,2,FALSE),"Ranged")</f>
        <v>Ranged</v>
      </c>
      <c r="Y325" s="56">
        <f>IFERROR(VLOOKUP($AM325,個性タイプマスタ!$A$5:$P$100,3,FALSE),1)</f>
        <v>1.1200000000000001</v>
      </c>
      <c r="Z325" s="56">
        <f>IFERROR(VLOOKUP($AM325,個性タイプマスタ!$A$5:$P$100,4,FALSE),1)</f>
        <v>1.95</v>
      </c>
      <c r="AA325" s="56">
        <f>IFERROR(VLOOKUP($AM325,個性タイプマスタ!$A$5:$P$100,5,FALSE),1)</f>
        <v>0.72</v>
      </c>
      <c r="AB325" s="56">
        <f>IFERROR(VLOOKUP($AM325,個性タイプマスタ!$A$5:$P$100,6,FALSE),1)</f>
        <v>0.87</v>
      </c>
      <c r="AC325" s="56">
        <f>IFERROR(VLOOKUP($AM325,個性タイプマスタ!$A$5:$P$100,7,FALSE),1)</f>
        <v>0.94</v>
      </c>
      <c r="AD325" s="56">
        <f>IFERROR(VLOOKUP($AM325,個性タイプマスタ!$A$5:$P$100,8,FALSE),1)</f>
        <v>0.82</v>
      </c>
      <c r="AE325" s="60">
        <f>IFERROR(D325/設定!$B$5,1)</f>
        <v>156.24719999999999</v>
      </c>
      <c r="AF325" s="60">
        <f>1+設定!$B$13*((I325/設定!$B$8+J325/設定!$B$9)/(2*AE325))</f>
        <v>1.4004471760133941</v>
      </c>
      <c r="AG325" s="60">
        <f>MAX(0.7,1+設定!$B$14*(O325/IF(X325="Melee",1.5,2.5)-1))</f>
        <v>0.99280000000000002</v>
      </c>
      <c r="AH325" s="53">
        <f t="shared" ref="AH325:AH370" si="21">IF(X325="Melee",G325,H325)*N325*(1+K325*(L325-1))*AG325</f>
        <v>2304.8082577800001</v>
      </c>
      <c r="AI325" s="53">
        <f>E325*AF325*(1+設定!$B$18*AVERAGE(P325:U325))</f>
        <v>25408.48817030801</v>
      </c>
      <c r="AJ325" s="61">
        <f>設定!$B$5*SQRT((AH325/(設定!$B$7*設定!$B$10*(1+設定!$B$11*(設定!$B$12-1))))*(AI325/(設定!$B$6*(1+設定!$B$13))))</f>
        <v>15625.608961592561</v>
      </c>
      <c r="AK325" s="62">
        <f t="shared" ref="AK325:AK370" si="22">IF(D325=0,0,AJ325/D325-1)</f>
        <v>5.6894561474507555E-5</v>
      </c>
      <c r="AL325" s="63">
        <f t="shared" ref="AL325:AL370" si="23">D325*AD325</f>
        <v>12812.270399999999</v>
      </c>
      <c r="AM325" s="64" t="s">
        <v>928</v>
      </c>
      <c r="AN325" s="54">
        <f>MAX(1,ROUND((設定!$B$7*設定!$B$10*(1+設定!$B$11*(設定!$B$12-1)))*AE325^2*(設定!$B$6*(1+設定!$B$13))/(AI325*N325*(1+K325*(L325-1))*AG325),0))</f>
        <v>2597</v>
      </c>
      <c r="AO325" s="65" t="str">
        <f>IF($A325="","",IF(COUNTIF(個性タイプマスタ!$A$5:$A$100,$AM325)&gt;0,"OK","未登録"))</f>
        <v>OK</v>
      </c>
      <c r="AP325" s="67" t="str">
        <f>IF($A325="","",IF(COUNTIF(属性耐性マスタ!$A$5:$A$11,$C325)&gt;0,"OK","未登録"))</f>
        <v>OK</v>
      </c>
    </row>
    <row r="326" spans="1:42">
      <c r="A326" s="66" t="s">
        <v>752</v>
      </c>
      <c r="B326" s="51" t="s">
        <v>753</v>
      </c>
      <c r="C326" s="52" t="s">
        <v>111</v>
      </c>
      <c r="D326" s="53">
        <f>ROUND(設定!$B$5*POWER($D$2,W326-1),2)</f>
        <v>15624.72</v>
      </c>
      <c r="E326" s="54">
        <f>MAX(1,ROUND(設定!$B$6*AE326*Y326,0))</f>
        <v>18750</v>
      </c>
      <c r="F326" s="54">
        <f>MAX(0,ROUND(設定!$B$7*AE326*設定!$B$15*IF(X326="Melee",0.6,1.35)*IFERROR(VLOOKUP($AM326,個性タイプマスタ!$A$5:$P$100,14,FALSE),1),0))</f>
        <v>861</v>
      </c>
      <c r="G326" s="54">
        <f>IF(X326="Melee",AN326,MAX(1,ROUND(AN326*設定!$B$16*IFERROR(VLOOKUP($AM326,個性タイプマスタ!$A$5:$P$100,15,FALSE),1),0)))</f>
        <v>2256</v>
      </c>
      <c r="H326" s="54">
        <f>IF(X326="Ranged",AN326,MAX(1,ROUND(AN326*設定!$B$16*IFERROR(VLOOKUP($AM326,個性タイプマスタ!$A$5:$P$100,15,FALSE),1),0)))</f>
        <v>1015</v>
      </c>
      <c r="I326" s="54">
        <f>MAX(0,ROUND(設定!$B$8*AE326*Z326,0))</f>
        <v>1625</v>
      </c>
      <c r="J326" s="54">
        <f>MAX(0,ROUND(設定!$B$9*AE326*AA326,0))</f>
        <v>1062</v>
      </c>
      <c r="K326" s="55">
        <f>IFERROR(VLOOKUP($AM326,個性タイプマスタ!$A$5:$P$100,9,FALSE),0.05)</f>
        <v>0.08</v>
      </c>
      <c r="L326" s="56">
        <f>IFERROR(VLOOKUP($AM326,個性タイプマスタ!$A$5:$P$100,10,FALSE),1.5)</f>
        <v>1.6</v>
      </c>
      <c r="M326" s="56">
        <f>IFERROR(VLOOKUP($AM326,個性タイプマスタ!$A$5:$P$100,11,FALSE),2)</f>
        <v>2.8</v>
      </c>
      <c r="N326" s="57">
        <f>MAX(0.1,ROUND(設定!$B$10*AB326,3))</f>
        <v>1</v>
      </c>
      <c r="O326" s="57">
        <f t="shared" si="20"/>
        <v>1.2</v>
      </c>
      <c r="P326" s="58">
        <f>MAX(-10,MIN(0.8,IFERROR(INDEX(属性耐性マスタ!$B$5:$G$11,MATCH($C326,属性耐性マスタ!$A$5:$A$11,0),1),0)+IFERROR(VLOOKUP($AM326,個性タイプマスタ!$A$5:$P$100,12,FALSE),0)))</f>
        <v>0.23500000000000001</v>
      </c>
      <c r="Q326" s="58">
        <f>MAX(-10,MIN(0.8,IFERROR(INDEX(属性耐性マスタ!$B$5:$G$11,MATCH($C326,属性耐性マスタ!$A$5:$A$11,0),2),0)+IFERROR(VLOOKUP($AM326,個性タイプマスタ!$A$5:$P$100,12,FALSE),0)))</f>
        <v>-6.5000000000000002E-2</v>
      </c>
      <c r="R326" s="58">
        <f>MAX(-10,MIN(0.8,IFERROR(INDEX(属性耐性マスタ!$B$5:$G$11,MATCH($C326,属性耐性マスタ!$A$5:$A$11,0),3),0)+IFERROR(VLOOKUP($AM326,個性タイプマスタ!$A$5:$P$100,12,FALSE),0)))</f>
        <v>3.5000000000000003E-2</v>
      </c>
      <c r="S326" s="58">
        <f>MAX(-10,MIN(0.8,IFERROR(INDEX(属性耐性マスタ!$B$5:$G$11,MATCH($C326,属性耐性マスタ!$A$5:$A$11,0),4),0)+IFERROR(VLOOKUP($AM326,個性タイプマスタ!$A$5:$P$100,12,FALSE),0)))</f>
        <v>3.5000000000000003E-2</v>
      </c>
      <c r="T326" s="58">
        <f>MAX(-10,MIN(0.8,IFERROR(INDEX(属性耐性マスタ!$B$5:$G$11,MATCH($C326,属性耐性マスタ!$A$5:$A$11,0),5),0)+IFERROR(VLOOKUP($AM326,個性タイプマスタ!$A$5:$P$100,12,FALSE),0)))</f>
        <v>3.5000000000000003E-2</v>
      </c>
      <c r="U326" s="58">
        <f>MAX(-10,MIN(0.8,IFERROR(INDEX(属性耐性マスタ!$B$5:$G$11,MATCH($C326,属性耐性マスタ!$A$5:$A$11,0),6),0)+IFERROR(VLOOKUP($AM326,個性タイプマスタ!$A$5:$P$100,12,FALSE),0)))</f>
        <v>3.5000000000000003E-2</v>
      </c>
      <c r="V326" s="59">
        <f>ROUND(設定!$B$19*IFERROR(VLOOKUP($AM326,個性タイプマスタ!$A$5:$P$100,13,FALSE),1),2)</f>
        <v>4</v>
      </c>
      <c r="W326" s="59">
        <v>54</v>
      </c>
      <c r="X326" s="59" t="str">
        <f>IFERROR(VLOOKUP($AM326,個性タイプマスタ!$A$5:$P$100,2,FALSE),"Ranged")</f>
        <v>Melee</v>
      </c>
      <c r="Y326" s="56">
        <f>IFERROR(VLOOKUP($AM326,個性タイプマスタ!$A$5:$P$100,3,FALSE),1)</f>
        <v>1.2</v>
      </c>
      <c r="Z326" s="56">
        <f>IFERROR(VLOOKUP($AM326,個性タイプマスタ!$A$5:$P$100,4,FALSE),1)</f>
        <v>1.3</v>
      </c>
      <c r="AA326" s="56">
        <f>IFERROR(VLOOKUP($AM326,個性タイプマスタ!$A$5:$P$100,5,FALSE),1)</f>
        <v>0.85</v>
      </c>
      <c r="AB326" s="56">
        <f>IFERROR(VLOOKUP($AM326,個性タイプマスタ!$A$5:$P$100,6,FALSE),1)</f>
        <v>1</v>
      </c>
      <c r="AC326" s="56">
        <f>IFERROR(VLOOKUP($AM326,個性タイプマスタ!$A$5:$P$100,7,FALSE),1)</f>
        <v>0.8</v>
      </c>
      <c r="AD326" s="56">
        <f>IFERROR(VLOOKUP($AM326,個性タイプマスタ!$A$5:$P$100,8,FALSE),1)</f>
        <v>0.85</v>
      </c>
      <c r="AE326" s="60">
        <f>IFERROR(D326/設定!$B$5,1)</f>
        <v>156.24719999999999</v>
      </c>
      <c r="AF326" s="60">
        <f>1+設定!$B$13*((I326/設定!$B$8+J326/設定!$B$9)/(2*AE326))</f>
        <v>1.3224457782283459</v>
      </c>
      <c r="AG326" s="60">
        <f>MAX(0.7,1+設定!$B$14*(O326/IF(X326="Melee",1.5,2.5)-1))</f>
        <v>0.97599999999999998</v>
      </c>
      <c r="AH326" s="53">
        <f t="shared" si="21"/>
        <v>2307.5450879999999</v>
      </c>
      <c r="AI326" s="53">
        <f>E326*AF326*(1+設定!$B$18*AVERAGE(P326:U326))</f>
        <v>25372.362048227904</v>
      </c>
      <c r="AJ326" s="61">
        <f>設定!$B$5*SQRT((AH326/(設定!$B$7*設定!$B$10*(1+設定!$B$11*(設定!$B$12-1))))*(AI326/(設定!$B$6*(1+設定!$B$13))))</f>
        <v>15623.764580265597</v>
      </c>
      <c r="AK326" s="62">
        <f t="shared" si="22"/>
        <v>-6.1147958773211109E-5</v>
      </c>
      <c r="AL326" s="63">
        <f t="shared" si="23"/>
        <v>13281.011999999999</v>
      </c>
      <c r="AM326" s="64" t="s">
        <v>885</v>
      </c>
      <c r="AN326" s="54">
        <f>MAX(1,ROUND((設定!$B$7*設定!$B$10*(1+設定!$B$11*(設定!$B$12-1)))*AE326^2*(設定!$B$6*(1+設定!$B$13))/(AI326*N326*(1+K326*(L326-1))*AG326),0))</f>
        <v>2256</v>
      </c>
      <c r="AO326" s="65" t="str">
        <f>IF($A326="","",IF(COUNTIF(個性タイプマスタ!$A$5:$A$100,$AM326)&gt;0,"OK","未登録"))</f>
        <v>OK</v>
      </c>
      <c r="AP326" s="67" t="str">
        <f>IF($A326="","",IF(COUNTIF(属性耐性マスタ!$A$5:$A$11,$C326)&gt;0,"OK","未登録"))</f>
        <v>OK</v>
      </c>
    </row>
    <row r="327" spans="1:42">
      <c r="A327" s="66" t="s">
        <v>754</v>
      </c>
      <c r="B327" s="51" t="s">
        <v>755</v>
      </c>
      <c r="C327" s="52" t="s">
        <v>108</v>
      </c>
      <c r="D327" s="53">
        <f>ROUND(設定!$B$5*POWER($D$2,W327-1),2)</f>
        <v>15624.72</v>
      </c>
      <c r="E327" s="54">
        <f>MAX(1,ROUND(設定!$B$6*AE327*Y327,0))</f>
        <v>19843</v>
      </c>
      <c r="F327" s="54">
        <f>MAX(0,ROUND(設定!$B$7*AE327*設定!$B$15*IF(X327="Melee",0.6,1.35)*IFERROR(VLOOKUP($AM327,個性タイプマスタ!$A$5:$P$100,14,FALSE),1),0))</f>
        <v>709</v>
      </c>
      <c r="G327" s="54">
        <f>IF(X327="Melee",AN327,MAX(1,ROUND(AN327*設定!$B$16*IFERROR(VLOOKUP($AM327,個性タイプマスタ!$A$5:$P$100,15,FALSE),1),0)))</f>
        <v>3941</v>
      </c>
      <c r="H327" s="54">
        <f>IF(X327="Ranged",AN327,MAX(1,ROUND(AN327*設定!$B$16*IFERROR(VLOOKUP($AM327,個性タイプマスタ!$A$5:$P$100,15,FALSE),1),0)))</f>
        <v>1153</v>
      </c>
      <c r="I327" s="54">
        <f>MAX(0,ROUND(設定!$B$8*AE327*Z327,0))</f>
        <v>1312</v>
      </c>
      <c r="J327" s="54">
        <f>MAX(0,ROUND(設定!$B$9*AE327*AA327,0))</f>
        <v>1100</v>
      </c>
      <c r="K327" s="55">
        <f>IFERROR(VLOOKUP($AM327,個性タイプマスタ!$A$5:$P$100,9,FALSE),0.05)</f>
        <v>0.06</v>
      </c>
      <c r="L327" s="56">
        <f>IFERROR(VLOOKUP($AM327,個性タイプマスタ!$A$5:$P$100,10,FALSE),1.5)</f>
        <v>2.15</v>
      </c>
      <c r="M327" s="56">
        <f>IFERROR(VLOOKUP($AM327,個性タイプマスタ!$A$5:$P$100,11,FALSE),2)</f>
        <v>1.65</v>
      </c>
      <c r="N327" s="57">
        <f>MAX(0.1,ROUND(設定!$B$10*AB327,3))</f>
        <v>0.53</v>
      </c>
      <c r="O327" s="57">
        <f t="shared" si="20"/>
        <v>1.86</v>
      </c>
      <c r="P327" s="58">
        <f>MAX(-10,MIN(0.8,IFERROR(INDEX(属性耐性マスタ!$B$5:$G$11,MATCH($C327,属性耐性マスタ!$A$5:$A$11,0),1),0)+IFERROR(VLOOKUP($AM327,個性タイプマスタ!$A$5:$P$100,12,FALSE),0)))</f>
        <v>-0.125</v>
      </c>
      <c r="Q327" s="58">
        <f>MAX(-10,MIN(0.8,IFERROR(INDEX(属性耐性マスタ!$B$5:$G$11,MATCH($C327,属性耐性マスタ!$A$5:$A$11,0),2),0)+IFERROR(VLOOKUP($AM327,個性タイプマスタ!$A$5:$P$100,12,FALSE),0)))</f>
        <v>0.17500000000000002</v>
      </c>
      <c r="R327" s="58">
        <f>MAX(-10,MIN(0.8,IFERROR(INDEX(属性耐性マスタ!$B$5:$G$11,MATCH($C327,属性耐性マスタ!$A$5:$A$11,0),3),0)+IFERROR(VLOOKUP($AM327,個性タイプマスタ!$A$5:$P$100,12,FALSE),0)))</f>
        <v>-2.5000000000000001E-2</v>
      </c>
      <c r="S327" s="58">
        <f>MAX(-10,MIN(0.8,IFERROR(INDEX(属性耐性マスタ!$B$5:$G$11,MATCH($C327,属性耐性マスタ!$A$5:$A$11,0),4),0)+IFERROR(VLOOKUP($AM327,個性タイプマスタ!$A$5:$P$100,12,FALSE),0)))</f>
        <v>-2.5000000000000001E-2</v>
      </c>
      <c r="T327" s="58">
        <f>MAX(-10,MIN(0.8,IFERROR(INDEX(属性耐性マスタ!$B$5:$G$11,MATCH($C327,属性耐性マスタ!$A$5:$A$11,0),5),0)+IFERROR(VLOOKUP($AM327,個性タイプマスタ!$A$5:$P$100,12,FALSE),0)))</f>
        <v>-2.5000000000000001E-2</v>
      </c>
      <c r="U327" s="58">
        <f>MAX(-10,MIN(0.8,IFERROR(INDEX(属性耐性マスタ!$B$5:$G$11,MATCH($C327,属性耐性マスタ!$A$5:$A$11,0),6),0)+IFERROR(VLOOKUP($AM327,個性タイプマスタ!$A$5:$P$100,12,FALSE),0)))</f>
        <v>-2.5000000000000001E-2</v>
      </c>
      <c r="V327" s="59">
        <f>ROUND(設定!$B$19*IFERROR(VLOOKUP($AM327,個性タイプマスタ!$A$5:$P$100,13,FALSE),1),2)</f>
        <v>4.4000000000000004</v>
      </c>
      <c r="W327" s="59">
        <v>54</v>
      </c>
      <c r="X327" s="59" t="str">
        <f>IFERROR(VLOOKUP($AM327,個性タイプマスタ!$A$5:$P$100,2,FALSE),"Ranged")</f>
        <v>Melee</v>
      </c>
      <c r="Y327" s="56">
        <f>IFERROR(VLOOKUP($AM327,個性タイプマスタ!$A$5:$P$100,3,FALSE),1)</f>
        <v>1.27</v>
      </c>
      <c r="Z327" s="56">
        <f>IFERROR(VLOOKUP($AM327,個性タイプマスタ!$A$5:$P$100,4,FALSE),1)</f>
        <v>1.05</v>
      </c>
      <c r="AA327" s="56">
        <f>IFERROR(VLOOKUP($AM327,個性タイプマスタ!$A$5:$P$100,5,FALSE),1)</f>
        <v>0.88</v>
      </c>
      <c r="AB327" s="56">
        <f>IFERROR(VLOOKUP($AM327,個性タイプマスタ!$A$5:$P$100,6,FALSE),1)</f>
        <v>0.53</v>
      </c>
      <c r="AC327" s="56">
        <f>IFERROR(VLOOKUP($AM327,個性タイプマスタ!$A$5:$P$100,7,FALSE),1)</f>
        <v>1.24</v>
      </c>
      <c r="AD327" s="56">
        <f>IFERROR(VLOOKUP($AM327,個性タイプマスタ!$A$5:$P$100,8,FALSE),1)</f>
        <v>0.8</v>
      </c>
      <c r="AE327" s="60">
        <f>IFERROR(D327/設定!$B$5,1)</f>
        <v>156.24719999999999</v>
      </c>
      <c r="AF327" s="60">
        <f>1+設定!$B$13*((I327/設定!$B$8+J327/設定!$B$9)/(2*AE327))</f>
        <v>1.2894451868577486</v>
      </c>
      <c r="AG327" s="60">
        <f>MAX(0.7,1+設定!$B$14*(O327/IF(X327="Melee",1.5,2.5)-1))</f>
        <v>1.0287999999999999</v>
      </c>
      <c r="AH327" s="53">
        <f t="shared" si="21"/>
        <v>2297.1585182559998</v>
      </c>
      <c r="AI327" s="53">
        <f>E327*AF327*(1+設定!$B$18*AVERAGE(P327:U327))</f>
        <v>25490.511614657735</v>
      </c>
      <c r="AJ327" s="61">
        <f>設定!$B$5*SQRT((AH327/(設定!$B$7*設定!$B$10*(1+設定!$B$11*(設定!$B$12-1))))*(AI327/(設定!$B$6*(1+設定!$B$13))))</f>
        <v>15624.815481462354</v>
      </c>
      <c r="AK327" s="62">
        <f t="shared" si="22"/>
        <v>6.1109230984346397E-6</v>
      </c>
      <c r="AL327" s="63">
        <f t="shared" si="23"/>
        <v>12499.776</v>
      </c>
      <c r="AM327" s="64" t="s">
        <v>944</v>
      </c>
      <c r="AN327" s="54">
        <f>MAX(1,ROUND((設定!$B$7*設定!$B$10*(1+設定!$B$11*(設定!$B$12-1)))*AE327^2*(設定!$B$6*(1+設定!$B$13))/(AI327*N327*(1+K327*(L327-1))*AG327),0))</f>
        <v>3941</v>
      </c>
      <c r="AO327" s="65" t="str">
        <f>IF($A327="","",IF(COUNTIF(個性タイプマスタ!$A$5:$A$100,$AM327)&gt;0,"OK","未登録"))</f>
        <v>OK</v>
      </c>
      <c r="AP327" s="67" t="str">
        <f>IF($A327="","",IF(COUNTIF(属性耐性マスタ!$A$5:$A$11,$C327)&gt;0,"OK","未登録"))</f>
        <v>OK</v>
      </c>
    </row>
    <row r="328" spans="1:42">
      <c r="A328" s="66" t="s">
        <v>756</v>
      </c>
      <c r="B328" s="51" t="s">
        <v>757</v>
      </c>
      <c r="C328" s="52" t="s">
        <v>121</v>
      </c>
      <c r="D328" s="53">
        <f>ROUND(設定!$B$5*POWER($D$2,W328-1),2)</f>
        <v>15624.72</v>
      </c>
      <c r="E328" s="54">
        <f>MAX(1,ROUND(設定!$B$6*AE328*Y328,0))</f>
        <v>20000</v>
      </c>
      <c r="F328" s="54">
        <f>MAX(0,ROUND(設定!$B$7*AE328*設定!$B$15*IF(X328="Melee",0.6,1.35)*IFERROR(VLOOKUP($AM328,個性タイプマスタ!$A$5:$P$100,14,FALSE),1),0))</f>
        <v>2164</v>
      </c>
      <c r="G328" s="54">
        <f>IF(X328="Melee",AN328,MAX(1,ROUND(AN328*設定!$B$16*IFERROR(VLOOKUP($AM328,個性タイプマスタ!$A$5:$P$100,15,FALSE),1),0)))</f>
        <v>566</v>
      </c>
      <c r="H328" s="54">
        <f>IF(X328="Ranged",AN328,MAX(1,ROUND(AN328*設定!$B$16*IFERROR(VLOOKUP($AM328,個性タイプマスタ!$A$5:$P$100,15,FALSE),1),0)))</f>
        <v>1480</v>
      </c>
      <c r="I328" s="54">
        <f>MAX(0,ROUND(設定!$B$8*AE328*Z328,0))</f>
        <v>1537</v>
      </c>
      <c r="J328" s="54">
        <f>MAX(0,ROUND(設定!$B$9*AE328*AA328,0))</f>
        <v>1400</v>
      </c>
      <c r="K328" s="55">
        <f>IFERROR(VLOOKUP($AM328,個性タイプマスタ!$A$5:$P$100,9,FALSE),0.05)</f>
        <v>7.0000000000000007E-2</v>
      </c>
      <c r="L328" s="56">
        <f>IFERROR(VLOOKUP($AM328,個性タイプマスタ!$A$5:$P$100,10,FALSE),1.5)</f>
        <v>1.5</v>
      </c>
      <c r="M328" s="56">
        <f>IFERROR(VLOOKUP($AM328,個性タイプマスタ!$A$5:$P$100,11,FALSE),2)</f>
        <v>2.8</v>
      </c>
      <c r="N328" s="57">
        <f>MAX(0.1,ROUND(設定!$B$10*AB328,3))</f>
        <v>1.45</v>
      </c>
      <c r="O328" s="57">
        <f t="shared" si="20"/>
        <v>1.55</v>
      </c>
      <c r="P328" s="58">
        <f>MAX(-10,MIN(0.8,IFERROR(INDEX(属性耐性マスタ!$B$5:$G$11,MATCH($C328,属性耐性マスタ!$A$5:$A$11,0),1),0)+IFERROR(VLOOKUP($AM328,個性タイプマスタ!$A$5:$P$100,12,FALSE),0)))</f>
        <v>0.03</v>
      </c>
      <c r="Q328" s="58">
        <f>MAX(-10,MIN(0.8,IFERROR(INDEX(属性耐性マスタ!$B$5:$G$11,MATCH($C328,属性耐性マスタ!$A$5:$A$11,0),2),0)+IFERROR(VLOOKUP($AM328,個性タイプマスタ!$A$5:$P$100,12,FALSE),0)))</f>
        <v>0.03</v>
      </c>
      <c r="R328" s="58">
        <f>MAX(-10,MIN(0.8,IFERROR(INDEX(属性耐性マスタ!$B$5:$G$11,MATCH($C328,属性耐性マスタ!$A$5:$A$11,0),3),0)+IFERROR(VLOOKUP($AM328,個性タイプマスタ!$A$5:$P$100,12,FALSE),0)))</f>
        <v>0.03</v>
      </c>
      <c r="S328" s="58">
        <f>MAX(-10,MIN(0.8,IFERROR(INDEX(属性耐性マスタ!$B$5:$G$11,MATCH($C328,属性耐性マスタ!$A$5:$A$11,0),4),0)+IFERROR(VLOOKUP($AM328,個性タイプマスタ!$A$5:$P$100,12,FALSE),0)))</f>
        <v>0.03</v>
      </c>
      <c r="T328" s="58">
        <f>MAX(-10,MIN(0.8,IFERROR(INDEX(属性耐性マスタ!$B$5:$G$11,MATCH($C328,属性耐性マスタ!$A$5:$A$11,0),5),0)+IFERROR(VLOOKUP($AM328,個性タイプマスタ!$A$5:$P$100,12,FALSE),0)))</f>
        <v>0.23</v>
      </c>
      <c r="U328" s="58">
        <f>MAX(-10,MIN(0.8,IFERROR(INDEX(属性耐性マスタ!$B$5:$G$11,MATCH($C328,属性耐性マスタ!$A$5:$A$11,0),6),0)+IFERROR(VLOOKUP($AM328,個性タイプマスタ!$A$5:$P$100,12,FALSE),0)))</f>
        <v>-7.0000000000000007E-2</v>
      </c>
      <c r="V328" s="59">
        <f>ROUND(設定!$B$19*IFERROR(VLOOKUP($AM328,個性タイプマスタ!$A$5:$P$100,13,FALSE),1),2)</f>
        <v>3.6</v>
      </c>
      <c r="W328" s="59">
        <v>54</v>
      </c>
      <c r="X328" s="59" t="str">
        <f>IFERROR(VLOOKUP($AM328,個性タイプマスタ!$A$5:$P$100,2,FALSE),"Ranged")</f>
        <v>Ranged</v>
      </c>
      <c r="Y328" s="56">
        <f>IFERROR(VLOOKUP($AM328,個性タイプマスタ!$A$5:$P$100,3,FALSE),1)</f>
        <v>1.28</v>
      </c>
      <c r="Z328" s="56">
        <f>IFERROR(VLOOKUP($AM328,個性タイプマスタ!$A$5:$P$100,4,FALSE),1)</f>
        <v>1.23</v>
      </c>
      <c r="AA328" s="56">
        <f>IFERROR(VLOOKUP($AM328,個性タイプマスタ!$A$5:$P$100,5,FALSE),1)</f>
        <v>1.1200000000000001</v>
      </c>
      <c r="AB328" s="56">
        <f>IFERROR(VLOOKUP($AM328,個性タイプマスタ!$A$5:$P$100,6,FALSE),1)</f>
        <v>1.45</v>
      </c>
      <c r="AC328" s="56">
        <f>IFERROR(VLOOKUP($AM328,個性タイプマスタ!$A$5:$P$100,7,FALSE),1)</f>
        <v>0.62</v>
      </c>
      <c r="AD328" s="56">
        <f>IFERROR(VLOOKUP($AM328,個性タイプマスタ!$A$5:$P$100,8,FALSE),1)</f>
        <v>0.8</v>
      </c>
      <c r="AE328" s="60">
        <f>IFERROR(D328/設定!$B$5,1)</f>
        <v>156.24719999999999</v>
      </c>
      <c r="AF328" s="60">
        <f>1+設定!$B$13*((I328/設定!$B$8+J328/設定!$B$9)/(2*AE328))</f>
        <v>1.3524463158379798</v>
      </c>
      <c r="AG328" s="60">
        <f>MAX(0.7,1+設定!$B$14*(O328/IF(X328="Melee",1.5,2.5)-1))</f>
        <v>0.95440000000000003</v>
      </c>
      <c r="AH328" s="53">
        <f t="shared" si="21"/>
        <v>2119.8273839999997</v>
      </c>
      <c r="AI328" s="53">
        <f>E328*AF328*(1+設定!$B$18*AVERAGE(P328:U328))</f>
        <v>27616.953769411546</v>
      </c>
      <c r="AJ328" s="61">
        <f>設定!$B$5*SQRT((AH328/(設定!$B$7*設定!$B$10*(1+設定!$B$11*(設定!$B$12-1))))*(AI328/(設定!$B$6*(1+設定!$B$13))))</f>
        <v>15623.138186420727</v>
      </c>
      <c r="AK328" s="62">
        <f t="shared" si="22"/>
        <v>-1.0123788325633321E-4</v>
      </c>
      <c r="AL328" s="63">
        <f t="shared" si="23"/>
        <v>12499.776</v>
      </c>
      <c r="AM328" s="64" t="s">
        <v>920</v>
      </c>
      <c r="AN328" s="54">
        <f>MAX(1,ROUND((設定!$B$7*設定!$B$10*(1+設定!$B$11*(設定!$B$12-1)))*AE328^2*(設定!$B$6*(1+設定!$B$13))/(AI328*N328*(1+K328*(L328-1))*AG328),0))</f>
        <v>1480</v>
      </c>
      <c r="AO328" s="65" t="str">
        <f>IF($A328="","",IF(COUNTIF(個性タイプマスタ!$A$5:$A$100,$AM328)&gt;0,"OK","未登録"))</f>
        <v>OK</v>
      </c>
      <c r="AP328" s="67" t="str">
        <f>IF($A328="","",IF(COUNTIF(属性耐性マスタ!$A$5:$A$11,$C328)&gt;0,"OK","未登録"))</f>
        <v>OK</v>
      </c>
    </row>
    <row r="329" spans="1:42">
      <c r="A329" s="66" t="s">
        <v>758</v>
      </c>
      <c r="B329" s="51" t="s">
        <v>759</v>
      </c>
      <c r="C329" s="52" t="s">
        <v>108</v>
      </c>
      <c r="D329" s="53">
        <f>ROUND(設定!$B$5*POWER($D$2,W329-1),2)</f>
        <v>17187.189999999999</v>
      </c>
      <c r="E329" s="54">
        <f>MAX(1,ROUND(設定!$B$6*AE329*Y329,0))</f>
        <v>15640</v>
      </c>
      <c r="F329" s="54">
        <f>MAX(0,ROUND(設定!$B$7*AE329*設定!$B$15*IF(X329="Melee",0.6,1.35)*IFERROR(VLOOKUP($AM329,個性タイプマスタ!$A$5:$P$100,14,FALSE),1),0))</f>
        <v>4009</v>
      </c>
      <c r="G329" s="54">
        <f>IF(X329="Melee",AN329,MAX(1,ROUND(AN329*設定!$B$16*IFERROR(VLOOKUP($AM329,個性タイプマスタ!$A$5:$P$100,15,FALSE),1),0)))</f>
        <v>1698</v>
      </c>
      <c r="H329" s="54">
        <f>IF(X329="Ranged",AN329,MAX(1,ROUND(AN329*設定!$B$16*IFERROR(VLOOKUP($AM329,個性タイプマスタ!$A$5:$P$100,15,FALSE),1),0)))</f>
        <v>5030</v>
      </c>
      <c r="I329" s="54">
        <f>MAX(0,ROUND(設定!$B$8*AE329*Z329,0))</f>
        <v>1210</v>
      </c>
      <c r="J329" s="54">
        <f>MAX(0,ROUND(設定!$B$9*AE329*AA329,0))</f>
        <v>1306</v>
      </c>
      <c r="K329" s="55">
        <f>IFERROR(VLOOKUP($AM329,個性タイプマスタ!$A$5:$P$100,9,FALSE),0.05)</f>
        <v>0.04</v>
      </c>
      <c r="L329" s="56">
        <f>IFERROR(VLOOKUP($AM329,個性タイプマスタ!$A$5:$P$100,10,FALSE),1.5)</f>
        <v>2.2000000000000002</v>
      </c>
      <c r="M329" s="56">
        <f>IFERROR(VLOOKUP($AM329,個性タイプマスタ!$A$5:$P$100,11,FALSE),2)</f>
        <v>1.65</v>
      </c>
      <c r="N329" s="57">
        <f>MAX(0.1,ROUND(設定!$B$10*AB329,3))</f>
        <v>0.64</v>
      </c>
      <c r="O329" s="57">
        <f t="shared" si="20"/>
        <v>3.7</v>
      </c>
      <c r="P329" s="58">
        <f>MAX(-10,MIN(0.8,IFERROR(INDEX(属性耐性マスタ!$B$5:$G$11,MATCH($C329,属性耐性マスタ!$A$5:$A$11,0),1),0)+IFERROR(VLOOKUP($AM329,個性タイプマスタ!$A$5:$P$100,12,FALSE),0)))</f>
        <v>-0.125</v>
      </c>
      <c r="Q329" s="58">
        <f>MAX(-10,MIN(0.8,IFERROR(INDEX(属性耐性マスタ!$B$5:$G$11,MATCH($C329,属性耐性マスタ!$A$5:$A$11,0),2),0)+IFERROR(VLOOKUP($AM329,個性タイプマスタ!$A$5:$P$100,12,FALSE),0)))</f>
        <v>0.17500000000000002</v>
      </c>
      <c r="R329" s="58">
        <f>MAX(-10,MIN(0.8,IFERROR(INDEX(属性耐性マスタ!$B$5:$G$11,MATCH($C329,属性耐性マスタ!$A$5:$A$11,0),3),0)+IFERROR(VLOOKUP($AM329,個性タイプマスタ!$A$5:$P$100,12,FALSE),0)))</f>
        <v>-2.5000000000000001E-2</v>
      </c>
      <c r="S329" s="58">
        <f>MAX(-10,MIN(0.8,IFERROR(INDEX(属性耐性マスタ!$B$5:$G$11,MATCH($C329,属性耐性マスタ!$A$5:$A$11,0),4),0)+IFERROR(VLOOKUP($AM329,個性タイプマスタ!$A$5:$P$100,12,FALSE),0)))</f>
        <v>-2.5000000000000001E-2</v>
      </c>
      <c r="T329" s="58">
        <f>MAX(-10,MIN(0.8,IFERROR(INDEX(属性耐性マスタ!$B$5:$G$11,MATCH($C329,属性耐性マスタ!$A$5:$A$11,0),5),0)+IFERROR(VLOOKUP($AM329,個性タイプマスタ!$A$5:$P$100,12,FALSE),0)))</f>
        <v>-2.5000000000000001E-2</v>
      </c>
      <c r="U329" s="58">
        <f>MAX(-10,MIN(0.8,IFERROR(INDEX(属性耐性マスタ!$B$5:$G$11,MATCH($C329,属性耐性マスタ!$A$5:$A$11,0),6),0)+IFERROR(VLOOKUP($AM329,個性タイプマスタ!$A$5:$P$100,12,FALSE),0)))</f>
        <v>-2.5000000000000001E-2</v>
      </c>
      <c r="V329" s="59">
        <f>ROUND(設定!$B$19*IFERROR(VLOOKUP($AM329,個性タイプマスタ!$A$5:$P$100,13,FALSE),1),2)</f>
        <v>5</v>
      </c>
      <c r="W329" s="59">
        <v>55</v>
      </c>
      <c r="X329" s="59" t="str">
        <f>IFERROR(VLOOKUP($AM329,個性タイプマスタ!$A$5:$P$100,2,FALSE),"Ranged")</f>
        <v>Ranged</v>
      </c>
      <c r="Y329" s="56">
        <f>IFERROR(VLOOKUP($AM329,個性タイプマスタ!$A$5:$P$100,3,FALSE),1)</f>
        <v>0.91</v>
      </c>
      <c r="Z329" s="56">
        <f>IFERROR(VLOOKUP($AM329,個性タイプマスタ!$A$5:$P$100,4,FALSE),1)</f>
        <v>0.88</v>
      </c>
      <c r="AA329" s="56">
        <f>IFERROR(VLOOKUP($AM329,個性タイプマスタ!$A$5:$P$100,5,FALSE),1)</f>
        <v>0.95</v>
      </c>
      <c r="AB329" s="56">
        <f>IFERROR(VLOOKUP($AM329,個性タイプマスタ!$A$5:$P$100,6,FALSE),1)</f>
        <v>0.64</v>
      </c>
      <c r="AC329" s="56">
        <f>IFERROR(VLOOKUP($AM329,個性タイプマスタ!$A$5:$P$100,7,FALSE),1)</f>
        <v>1.48</v>
      </c>
      <c r="AD329" s="56">
        <f>IFERROR(VLOOKUP($AM329,個性タイプマスタ!$A$5:$P$100,8,FALSE),1)</f>
        <v>0.75</v>
      </c>
      <c r="AE329" s="60">
        <f>IFERROR(D329/設定!$B$5,1)</f>
        <v>171.87189999999998</v>
      </c>
      <c r="AF329" s="60">
        <f>1+設定!$B$13*((I329/設定!$B$8+J329/設定!$B$9)/(2*AE329))</f>
        <v>1.2744776778519351</v>
      </c>
      <c r="AG329" s="60">
        <f>MAX(0.7,1+設定!$B$14*(O329/IF(X329="Melee",1.5,2.5)-1))</f>
        <v>1.0576000000000001</v>
      </c>
      <c r="AH329" s="53">
        <f t="shared" si="21"/>
        <v>3568.0479641600004</v>
      </c>
      <c r="AI329" s="53">
        <f>E329*AF329*(1+設定!$B$18*AVERAGE(P329:U329))</f>
        <v>19858.082765798248</v>
      </c>
      <c r="AJ329" s="61">
        <f>設定!$B$5*SQRT((AH329/(設定!$B$7*設定!$B$10*(1+設定!$B$11*(設定!$B$12-1))))*(AI329/(設定!$B$6*(1+設定!$B$13))))</f>
        <v>17187.55649680131</v>
      </c>
      <c r="AK329" s="62">
        <f t="shared" si="22"/>
        <v>2.1323834862529978E-5</v>
      </c>
      <c r="AL329" s="63">
        <f t="shared" si="23"/>
        <v>12890.392499999998</v>
      </c>
      <c r="AM329" s="64" t="s">
        <v>912</v>
      </c>
      <c r="AN329" s="54">
        <f>MAX(1,ROUND((設定!$B$7*設定!$B$10*(1+設定!$B$11*(設定!$B$12-1)))*AE329^2*(設定!$B$6*(1+設定!$B$13))/(AI329*N329*(1+K329*(L329-1))*AG329),0))</f>
        <v>5030</v>
      </c>
      <c r="AO329" s="65" t="str">
        <f>IF($A329="","",IF(COUNTIF(個性タイプマスタ!$A$5:$A$100,$AM329)&gt;0,"OK","未登録"))</f>
        <v>OK</v>
      </c>
      <c r="AP329" s="67" t="str">
        <f>IF($A329="","",IF(COUNTIF(属性耐性マスタ!$A$5:$A$11,$C329)&gt;0,"OK","未登録"))</f>
        <v>OK</v>
      </c>
    </row>
    <row r="330" spans="1:42">
      <c r="A330" s="66" t="s">
        <v>760</v>
      </c>
      <c r="B330" s="51" t="s">
        <v>761</v>
      </c>
      <c r="C330" s="52" t="s">
        <v>111</v>
      </c>
      <c r="D330" s="53">
        <f>ROUND(設定!$B$5*POWER($D$2,W330-1),2)</f>
        <v>17187.189999999999</v>
      </c>
      <c r="E330" s="54">
        <f>MAX(1,ROUND(設定!$B$6*AE330*Y330,0))</f>
        <v>18218</v>
      </c>
      <c r="F330" s="54">
        <f>MAX(0,ROUND(設定!$B$7*AE330*設定!$B$15*IF(X330="Melee",0.6,1.35)*IFERROR(VLOOKUP($AM330,個性タイプマスタ!$A$5:$P$100,14,FALSE),1),0))</f>
        <v>4385</v>
      </c>
      <c r="G330" s="54">
        <f>IF(X330="Melee",AN330,MAX(1,ROUND(AN330*設定!$B$16*IFERROR(VLOOKUP($AM330,個性タイプマスタ!$A$5:$P$100,15,FALSE),1),0)))</f>
        <v>884</v>
      </c>
      <c r="H330" s="54">
        <f>IF(X330="Ranged",AN330,MAX(1,ROUND(AN330*設定!$B$16*IFERROR(VLOOKUP($AM330,個性タイプマスタ!$A$5:$P$100,15,FALSE),1),0)))</f>
        <v>3021</v>
      </c>
      <c r="I330" s="54">
        <f>MAX(0,ROUND(設定!$B$8*AE330*Z330,0))</f>
        <v>1059</v>
      </c>
      <c r="J330" s="54">
        <f>MAX(0,ROUND(設定!$B$9*AE330*AA330,0))</f>
        <v>2819</v>
      </c>
      <c r="K330" s="55">
        <f>IFERROR(VLOOKUP($AM330,個性タイプマスタ!$A$5:$P$100,9,FALSE),0.05)</f>
        <v>4.4999999999999998E-2</v>
      </c>
      <c r="L330" s="56">
        <f>IFERROR(VLOOKUP($AM330,個性タイプマスタ!$A$5:$P$100,10,FALSE),1.5)</f>
        <v>1.45</v>
      </c>
      <c r="M330" s="56">
        <f>IFERROR(VLOOKUP($AM330,個性タイプマスタ!$A$5:$P$100,11,FALSE),2)</f>
        <v>1.9</v>
      </c>
      <c r="N330" s="57">
        <f>MAX(0.1,ROUND(設定!$B$10*AB330,3))</f>
        <v>0.84</v>
      </c>
      <c r="O330" s="57">
        <f t="shared" si="20"/>
        <v>2.65</v>
      </c>
      <c r="P330" s="58">
        <f>MAX(-10,MIN(0.8,IFERROR(INDEX(属性耐性マスタ!$B$5:$G$11,MATCH($C330,属性耐性マスタ!$A$5:$A$11,0),1),0)+IFERROR(VLOOKUP($AM330,個性タイプマスタ!$A$5:$P$100,12,FALSE),0)))</f>
        <v>0.29000000000000004</v>
      </c>
      <c r="Q330" s="58">
        <f>MAX(-10,MIN(0.8,IFERROR(INDEX(属性耐性マスタ!$B$5:$G$11,MATCH($C330,属性耐性マスタ!$A$5:$A$11,0),2),0)+IFERROR(VLOOKUP($AM330,個性タイプマスタ!$A$5:$P$100,12,FALSE),0)))</f>
        <v>-1.0000000000000009E-2</v>
      </c>
      <c r="R330" s="58">
        <f>MAX(-10,MIN(0.8,IFERROR(INDEX(属性耐性マスタ!$B$5:$G$11,MATCH($C330,属性耐性マスタ!$A$5:$A$11,0),3),0)+IFERROR(VLOOKUP($AM330,個性タイプマスタ!$A$5:$P$100,12,FALSE),0)))</f>
        <v>0.09</v>
      </c>
      <c r="S330" s="58">
        <f>MAX(-10,MIN(0.8,IFERROR(INDEX(属性耐性マスタ!$B$5:$G$11,MATCH($C330,属性耐性マスタ!$A$5:$A$11,0),4),0)+IFERROR(VLOOKUP($AM330,個性タイプマスタ!$A$5:$P$100,12,FALSE),0)))</f>
        <v>0.09</v>
      </c>
      <c r="T330" s="58">
        <f>MAX(-10,MIN(0.8,IFERROR(INDEX(属性耐性マスタ!$B$5:$G$11,MATCH($C330,属性耐性マスタ!$A$5:$A$11,0),5),0)+IFERROR(VLOOKUP($AM330,個性タイプマスタ!$A$5:$P$100,12,FALSE),0)))</f>
        <v>0.09</v>
      </c>
      <c r="U330" s="58">
        <f>MAX(-10,MIN(0.8,IFERROR(INDEX(属性耐性マスタ!$B$5:$G$11,MATCH($C330,属性耐性マスタ!$A$5:$A$11,0),6),0)+IFERROR(VLOOKUP($AM330,個性タイプマスタ!$A$5:$P$100,12,FALSE),0)))</f>
        <v>0.09</v>
      </c>
      <c r="V330" s="59">
        <f>ROUND(設定!$B$19*IFERROR(VLOOKUP($AM330,個性タイプマスタ!$A$5:$P$100,13,FALSE),1),2)</f>
        <v>4.4000000000000004</v>
      </c>
      <c r="W330" s="59">
        <v>55</v>
      </c>
      <c r="X330" s="59" t="str">
        <f>IFERROR(VLOOKUP($AM330,個性タイプマスタ!$A$5:$P$100,2,FALSE),"Ranged")</f>
        <v>Ranged</v>
      </c>
      <c r="Y330" s="56">
        <f>IFERROR(VLOOKUP($AM330,個性タイプマスタ!$A$5:$P$100,3,FALSE),1)</f>
        <v>1.06</v>
      </c>
      <c r="Z330" s="56">
        <f>IFERROR(VLOOKUP($AM330,個性タイプマスタ!$A$5:$P$100,4,FALSE),1)</f>
        <v>0.77</v>
      </c>
      <c r="AA330" s="56">
        <f>IFERROR(VLOOKUP($AM330,個性タイプマスタ!$A$5:$P$100,5,FALSE),1)</f>
        <v>2.0499999999999998</v>
      </c>
      <c r="AB330" s="56">
        <f>IFERROR(VLOOKUP($AM330,個性タイプマスタ!$A$5:$P$100,6,FALSE),1)</f>
        <v>0.84</v>
      </c>
      <c r="AC330" s="56">
        <f>IFERROR(VLOOKUP($AM330,個性タイプマスタ!$A$5:$P$100,7,FALSE),1)</f>
        <v>1.06</v>
      </c>
      <c r="AD330" s="56">
        <f>IFERROR(VLOOKUP($AM330,個性タイプマスタ!$A$5:$P$100,8,FALSE),1)</f>
        <v>0.82</v>
      </c>
      <c r="AE330" s="60">
        <f>IFERROR(D330/設定!$B$5,1)</f>
        <v>171.87189999999998</v>
      </c>
      <c r="AF330" s="60">
        <f>1+設定!$B$13*((I330/設定!$B$8+J330/設定!$B$9)/(2*AE330))</f>
        <v>1.4230621759577917</v>
      </c>
      <c r="AG330" s="60">
        <f>MAX(0.7,1+設定!$B$14*(O330/IF(X330="Melee",1.5,2.5)-1))</f>
        <v>1.0072000000000001</v>
      </c>
      <c r="AH330" s="53">
        <f t="shared" si="21"/>
        <v>2607.6682059120003</v>
      </c>
      <c r="AI330" s="53">
        <f>E330*AF330*(1+設定!$B$18*AVERAGE(P330:U330))</f>
        <v>27169.763364235805</v>
      </c>
      <c r="AJ330" s="61">
        <f>設定!$B$5*SQRT((AH330/(設定!$B$7*設定!$B$10*(1+設定!$B$11*(設定!$B$12-1))))*(AI330/(設定!$B$6*(1+設定!$B$13))))</f>
        <v>17186.966580826585</v>
      </c>
      <c r="AK330" s="62">
        <f t="shared" si="22"/>
        <v>-1.2999168183536192E-5</v>
      </c>
      <c r="AL330" s="63">
        <f t="shared" si="23"/>
        <v>14093.495799999999</v>
      </c>
      <c r="AM330" s="64" t="s">
        <v>926</v>
      </c>
      <c r="AN330" s="54">
        <f>MAX(1,ROUND((設定!$B$7*設定!$B$10*(1+設定!$B$11*(設定!$B$12-1)))*AE330^2*(設定!$B$6*(1+設定!$B$13))/(AI330*N330*(1+K330*(L330-1))*AG330),0))</f>
        <v>3021</v>
      </c>
      <c r="AO330" s="65" t="str">
        <f>IF($A330="","",IF(COUNTIF(個性タイプマスタ!$A$5:$A$100,$AM330)&gt;0,"OK","未登録"))</f>
        <v>OK</v>
      </c>
      <c r="AP330" s="67" t="str">
        <f>IF($A330="","",IF(COUNTIF(属性耐性マスタ!$A$5:$A$11,$C330)&gt;0,"OK","未登録"))</f>
        <v>OK</v>
      </c>
    </row>
    <row r="331" spans="1:42">
      <c r="A331" s="66" t="s">
        <v>762</v>
      </c>
      <c r="B331" s="51" t="s">
        <v>763</v>
      </c>
      <c r="C331" s="52" t="s">
        <v>114</v>
      </c>
      <c r="D331" s="53">
        <f>ROUND(設定!$B$5*POWER($D$2,W331-1),2)</f>
        <v>17187.189999999999</v>
      </c>
      <c r="E331" s="54">
        <f>MAX(1,ROUND(設定!$B$6*AE331*Y331,0))</f>
        <v>9453</v>
      </c>
      <c r="F331" s="54">
        <f>MAX(0,ROUND(設定!$B$7*AE331*設定!$B$15*IF(X331="Melee",0.6,1.35)*IFERROR(VLOOKUP($AM331,個性タイプマスタ!$A$5:$P$100,14,FALSE),1),0))</f>
        <v>3759</v>
      </c>
      <c r="G331" s="54">
        <f>IF(X331="Melee",AN331,MAX(1,ROUND(AN331*設定!$B$16*IFERROR(VLOOKUP($AM331,個性タイプマスタ!$A$5:$P$100,15,FALSE),1),0)))</f>
        <v>1767</v>
      </c>
      <c r="H331" s="54">
        <f>IF(X331="Ranged",AN331,MAX(1,ROUND(AN331*設定!$B$16*IFERROR(VLOOKUP($AM331,個性タイプマスタ!$A$5:$P$100,15,FALSE),1),0)))</f>
        <v>4908</v>
      </c>
      <c r="I331" s="54">
        <f>MAX(0,ROUND(設定!$B$8*AE331*Z331,0))</f>
        <v>1994</v>
      </c>
      <c r="J331" s="54">
        <f>MAX(0,ROUND(設定!$B$9*AE331*AA331,0))</f>
        <v>3094</v>
      </c>
      <c r="K331" s="55">
        <f>IFERROR(VLOOKUP($AM331,個性タイプマスタ!$A$5:$P$100,9,FALSE),0.05)</f>
        <v>0.04</v>
      </c>
      <c r="L331" s="56">
        <f>IFERROR(VLOOKUP($AM331,個性タイプマスタ!$A$5:$P$100,10,FALSE),1.5)</f>
        <v>1.38</v>
      </c>
      <c r="M331" s="56">
        <f>IFERROR(VLOOKUP($AM331,個性タイプマスタ!$A$5:$P$100,11,FALSE),2)</f>
        <v>2.2000000000000002</v>
      </c>
      <c r="N331" s="57">
        <f>MAX(0.1,ROUND(設定!$B$10*AB331,3))</f>
        <v>0.88</v>
      </c>
      <c r="O331" s="57">
        <f t="shared" si="20"/>
        <v>3.15</v>
      </c>
      <c r="P331" s="58">
        <f>MAX(-10,MIN(0.8,IFERROR(INDEX(属性耐性マスタ!$B$5:$G$11,MATCH($C331,属性耐性マスタ!$A$5:$A$11,0),1),0)+IFERROR(VLOOKUP($AM331,個性タイプマスタ!$A$5:$P$100,12,FALSE),0)))</f>
        <v>0.13</v>
      </c>
      <c r="Q331" s="58">
        <f>MAX(-10,MIN(0.8,IFERROR(INDEX(属性耐性マスタ!$B$5:$G$11,MATCH($C331,属性耐性マスタ!$A$5:$A$11,0),2),0)+IFERROR(VLOOKUP($AM331,個性タイプマスタ!$A$5:$P$100,12,FALSE),0)))</f>
        <v>0.13</v>
      </c>
      <c r="R331" s="58">
        <f>MAX(-10,MIN(0.8,IFERROR(INDEX(属性耐性マスタ!$B$5:$G$11,MATCH($C331,属性耐性マスタ!$A$5:$A$11,0),3),0)+IFERROR(VLOOKUP($AM331,個性タイプマスタ!$A$5:$P$100,12,FALSE),0)))</f>
        <v>0.33</v>
      </c>
      <c r="S331" s="58">
        <f>MAX(-10,MIN(0.8,IFERROR(INDEX(属性耐性マスタ!$B$5:$G$11,MATCH($C331,属性耐性マスタ!$A$5:$A$11,0),4),0)+IFERROR(VLOOKUP($AM331,個性タイプマスタ!$A$5:$P$100,12,FALSE),0)))</f>
        <v>0.03</v>
      </c>
      <c r="T331" s="58">
        <f>MAX(-10,MIN(0.8,IFERROR(INDEX(属性耐性マスタ!$B$5:$G$11,MATCH($C331,属性耐性マスタ!$A$5:$A$11,0),5),0)+IFERROR(VLOOKUP($AM331,個性タイプマスタ!$A$5:$P$100,12,FALSE),0)))</f>
        <v>0.13</v>
      </c>
      <c r="U331" s="58">
        <f>MAX(-10,MIN(0.8,IFERROR(INDEX(属性耐性マスタ!$B$5:$G$11,MATCH($C331,属性耐性マスタ!$A$5:$A$11,0),6),0)+IFERROR(VLOOKUP($AM331,個性タイプマスタ!$A$5:$P$100,12,FALSE),0)))</f>
        <v>0.13</v>
      </c>
      <c r="V331" s="59">
        <f>ROUND(設定!$B$19*IFERROR(VLOOKUP($AM331,個性タイプマスタ!$A$5:$P$100,13,FALSE),1),2)</f>
        <v>4.4800000000000004</v>
      </c>
      <c r="W331" s="59">
        <v>55</v>
      </c>
      <c r="X331" s="59" t="str">
        <f>IFERROR(VLOOKUP($AM331,個性タイプマスタ!$A$5:$P$100,2,FALSE),"Ranged")</f>
        <v>Ranged</v>
      </c>
      <c r="Y331" s="56">
        <f>IFERROR(VLOOKUP($AM331,個性タイプマスタ!$A$5:$P$100,3,FALSE),1)</f>
        <v>0.55000000000000004</v>
      </c>
      <c r="Z331" s="56">
        <f>IFERROR(VLOOKUP($AM331,個性タイプマスタ!$A$5:$P$100,4,FALSE),1)</f>
        <v>1.45</v>
      </c>
      <c r="AA331" s="56">
        <f>IFERROR(VLOOKUP($AM331,個性タイプマスタ!$A$5:$P$100,5,FALSE),1)</f>
        <v>2.25</v>
      </c>
      <c r="AB331" s="56">
        <f>IFERROR(VLOOKUP($AM331,個性タイプマスタ!$A$5:$P$100,6,FALSE),1)</f>
        <v>0.88</v>
      </c>
      <c r="AC331" s="56">
        <f>IFERROR(VLOOKUP($AM331,個性タイプマスタ!$A$5:$P$100,7,FALSE),1)</f>
        <v>1.26</v>
      </c>
      <c r="AD331" s="56">
        <f>IFERROR(VLOOKUP($AM331,個性タイプマスタ!$A$5:$P$100,8,FALSE),1)</f>
        <v>0.75</v>
      </c>
      <c r="AE331" s="60">
        <f>IFERROR(D331/設定!$B$5,1)</f>
        <v>171.87189999999998</v>
      </c>
      <c r="AF331" s="60">
        <f>1+設定!$B$13*((I331/設定!$B$8+J331/設定!$B$9)/(2*AE331))</f>
        <v>1.5550645568007337</v>
      </c>
      <c r="AG331" s="60">
        <f>MAX(0.7,1+設定!$B$14*(O331/IF(X331="Melee",1.5,2.5)-1))</f>
        <v>1.0311999999999999</v>
      </c>
      <c r="AH331" s="53">
        <f t="shared" si="21"/>
        <v>4521.4917175295996</v>
      </c>
      <c r="AI331" s="53">
        <f>E331*AF331*(1+設定!$B$18*AVERAGE(P331:U331))</f>
        <v>15670.226922296202</v>
      </c>
      <c r="AJ331" s="61">
        <f>設定!$B$5*SQRT((AH331/(設定!$B$7*設定!$B$10*(1+設定!$B$11*(設定!$B$12-1))))*(AI331/(設定!$B$6*(1+設定!$B$13))))</f>
        <v>17187.339324816439</v>
      </c>
      <c r="AK331" s="62">
        <f t="shared" si="22"/>
        <v>8.6881460228394047E-6</v>
      </c>
      <c r="AL331" s="63">
        <f t="shared" si="23"/>
        <v>12890.392499999998</v>
      </c>
      <c r="AM331" s="64" t="s">
        <v>940</v>
      </c>
      <c r="AN331" s="54">
        <f>MAX(1,ROUND((設定!$B$7*設定!$B$10*(1+設定!$B$11*(設定!$B$12-1)))*AE331^2*(設定!$B$6*(1+設定!$B$13))/(AI331*N331*(1+K331*(L331-1))*AG331),0))</f>
        <v>4908</v>
      </c>
      <c r="AO331" s="65" t="str">
        <f>IF($A331="","",IF(COUNTIF(個性タイプマスタ!$A$5:$A$100,$AM331)&gt;0,"OK","未登録"))</f>
        <v>OK</v>
      </c>
      <c r="AP331" s="67" t="str">
        <f>IF($A331="","",IF(COUNTIF(属性耐性マスタ!$A$5:$A$11,$C331)&gt;0,"OK","未登録"))</f>
        <v>OK</v>
      </c>
    </row>
    <row r="332" spans="1:42">
      <c r="A332" s="66" t="s">
        <v>764</v>
      </c>
      <c r="B332" s="51" t="s">
        <v>765</v>
      </c>
      <c r="C332" s="52" t="s">
        <v>111</v>
      </c>
      <c r="D332" s="53">
        <f>ROUND(設定!$B$5*POWER($D$2,W332-1),2)</f>
        <v>17187.189999999999</v>
      </c>
      <c r="E332" s="54">
        <f>MAX(1,ROUND(設定!$B$6*AE332*Y332,0))</f>
        <v>11172</v>
      </c>
      <c r="F332" s="54">
        <f>MAX(0,ROUND(設定!$B$7*AE332*設定!$B$15*IF(X332="Melee",0.6,1.35)*IFERROR(VLOOKUP($AM332,個性タイプマスタ!$A$5:$P$100,14,FALSE),1),0))</f>
        <v>535</v>
      </c>
      <c r="G332" s="54">
        <f>IF(X332="Melee",AN332,MAX(1,ROUND(AN332*設定!$B$16*IFERROR(VLOOKUP($AM332,個性タイプマスタ!$A$5:$P$100,15,FALSE),1),0)))</f>
        <v>3436</v>
      </c>
      <c r="H332" s="54">
        <f>IF(X332="Ranged",AN332,MAX(1,ROUND(AN332*設定!$B$16*IFERROR(VLOOKUP($AM332,個性タイプマスタ!$A$5:$P$100,15,FALSE),1),0)))</f>
        <v>1005</v>
      </c>
      <c r="I332" s="54">
        <f>MAX(0,ROUND(設定!$B$8*AE332*Z332,0))</f>
        <v>852</v>
      </c>
      <c r="J332" s="54">
        <f>MAX(0,ROUND(設定!$B$9*AE332*AA332,0))</f>
        <v>935</v>
      </c>
      <c r="K332" s="55">
        <f>IFERROR(VLOOKUP($AM332,個性タイプマスタ!$A$5:$P$100,9,FALSE),0.05)</f>
        <v>0.18</v>
      </c>
      <c r="L332" s="56">
        <f>IFERROR(VLOOKUP($AM332,個性タイプマスタ!$A$5:$P$100,10,FALSE),1.5)</f>
        <v>2.1</v>
      </c>
      <c r="M332" s="56">
        <f>IFERROR(VLOOKUP($AM332,個性タイプマスタ!$A$5:$P$100,11,FALSE),2)</f>
        <v>3.15</v>
      </c>
      <c r="N332" s="57">
        <f>MAX(0.1,ROUND(設定!$B$10*AB332,3))</f>
        <v>1.35</v>
      </c>
      <c r="O332" s="57">
        <f t="shared" si="20"/>
        <v>1.29</v>
      </c>
      <c r="P332" s="58">
        <f>MAX(-10,MIN(0.8,IFERROR(INDEX(属性耐性マスタ!$B$5:$G$11,MATCH($C332,属性耐性マスタ!$A$5:$A$11,0),1),0)+IFERROR(VLOOKUP($AM332,個性タイプマスタ!$A$5:$P$100,12,FALSE),0)))</f>
        <v>0.12000000000000001</v>
      </c>
      <c r="Q332" s="58">
        <f>MAX(-10,MIN(0.8,IFERROR(INDEX(属性耐性マスタ!$B$5:$G$11,MATCH($C332,属性耐性マスタ!$A$5:$A$11,0),2),0)+IFERROR(VLOOKUP($AM332,個性タイプマスタ!$A$5:$P$100,12,FALSE),0)))</f>
        <v>-0.18</v>
      </c>
      <c r="R332" s="58">
        <f>MAX(-10,MIN(0.8,IFERROR(INDEX(属性耐性マスタ!$B$5:$G$11,MATCH($C332,属性耐性マスタ!$A$5:$A$11,0),3),0)+IFERROR(VLOOKUP($AM332,個性タイプマスタ!$A$5:$P$100,12,FALSE),0)))</f>
        <v>-0.08</v>
      </c>
      <c r="S332" s="58">
        <f>MAX(-10,MIN(0.8,IFERROR(INDEX(属性耐性マスタ!$B$5:$G$11,MATCH($C332,属性耐性マスタ!$A$5:$A$11,0),4),0)+IFERROR(VLOOKUP($AM332,個性タイプマスタ!$A$5:$P$100,12,FALSE),0)))</f>
        <v>-0.08</v>
      </c>
      <c r="T332" s="58">
        <f>MAX(-10,MIN(0.8,IFERROR(INDEX(属性耐性マスタ!$B$5:$G$11,MATCH($C332,属性耐性マスタ!$A$5:$A$11,0),5),0)+IFERROR(VLOOKUP($AM332,個性タイプマスタ!$A$5:$P$100,12,FALSE),0)))</f>
        <v>-0.08</v>
      </c>
      <c r="U332" s="58">
        <f>MAX(-10,MIN(0.8,IFERROR(INDEX(属性耐性マスタ!$B$5:$G$11,MATCH($C332,属性耐性マスタ!$A$5:$A$11,0),6),0)+IFERROR(VLOOKUP($AM332,個性タイプマスタ!$A$5:$P$100,12,FALSE),0)))</f>
        <v>-0.08</v>
      </c>
      <c r="V332" s="59">
        <f>ROUND(設定!$B$19*IFERROR(VLOOKUP($AM332,個性タイプマスタ!$A$5:$P$100,13,FALSE),1),2)</f>
        <v>4.8</v>
      </c>
      <c r="W332" s="59">
        <v>55</v>
      </c>
      <c r="X332" s="59" t="str">
        <f>IFERROR(VLOOKUP($AM332,個性タイプマスタ!$A$5:$P$100,2,FALSE),"Ranged")</f>
        <v>Melee</v>
      </c>
      <c r="Y332" s="56">
        <f>IFERROR(VLOOKUP($AM332,個性タイプマスタ!$A$5:$P$100,3,FALSE),1)</f>
        <v>0.65</v>
      </c>
      <c r="Z332" s="56">
        <f>IFERROR(VLOOKUP($AM332,個性タイプマスタ!$A$5:$P$100,4,FALSE),1)</f>
        <v>0.62</v>
      </c>
      <c r="AA332" s="56">
        <f>IFERROR(VLOOKUP($AM332,個性タイプマスタ!$A$5:$P$100,5,FALSE),1)</f>
        <v>0.68</v>
      </c>
      <c r="AB332" s="56">
        <f>IFERROR(VLOOKUP($AM332,個性タイプマスタ!$A$5:$P$100,6,FALSE),1)</f>
        <v>1.35</v>
      </c>
      <c r="AC332" s="56">
        <f>IFERROR(VLOOKUP($AM332,個性タイプマスタ!$A$5:$P$100,7,FALSE),1)</f>
        <v>0.86</v>
      </c>
      <c r="AD332" s="56">
        <f>IFERROR(VLOOKUP($AM332,個性タイプマスタ!$A$5:$P$100,8,FALSE),1)</f>
        <v>0.56999999999999995</v>
      </c>
      <c r="AE332" s="60">
        <f>IFERROR(D332/設定!$B$5,1)</f>
        <v>171.87189999999998</v>
      </c>
      <c r="AF332" s="60">
        <f>1+設定!$B$13*((I332/設定!$B$8+J332/設定!$B$9)/(2*AE332))</f>
        <v>1.1949489707159808</v>
      </c>
      <c r="AG332" s="60">
        <f>MAX(0.7,1+設定!$B$14*(O332/IF(X332="Melee",1.5,2.5)-1))</f>
        <v>0.98319999999999996</v>
      </c>
      <c r="AH332" s="53">
        <f t="shared" si="21"/>
        <v>5463.6844809599997</v>
      </c>
      <c r="AI332" s="53">
        <f>E332*AF332*(1+設定!$B$18*AVERAGE(P332:U332))</f>
        <v>12969.495758665029</v>
      </c>
      <c r="AJ332" s="61">
        <f>設定!$B$5*SQRT((AH332/(設定!$B$7*設定!$B$10*(1+設定!$B$11*(設定!$B$12-1))))*(AI332/(設定!$B$6*(1+設定!$B$13))))</f>
        <v>17188.361938437403</v>
      </c>
      <c r="AK332" s="62">
        <f t="shared" si="22"/>
        <v>6.8186738926279133E-5</v>
      </c>
      <c r="AL332" s="63">
        <f t="shared" si="23"/>
        <v>9796.6982999999982</v>
      </c>
      <c r="AM332" s="64" t="s">
        <v>942</v>
      </c>
      <c r="AN332" s="54">
        <f>MAX(1,ROUND((設定!$B$7*設定!$B$10*(1+設定!$B$11*(設定!$B$12-1)))*AE332^2*(設定!$B$6*(1+設定!$B$13))/(AI332*N332*(1+K332*(L332-1))*AG332),0))</f>
        <v>3436</v>
      </c>
      <c r="AO332" s="65" t="str">
        <f>IF($A332="","",IF(COUNTIF(個性タイプマスタ!$A$5:$A$100,$AM332)&gt;0,"OK","未登録"))</f>
        <v>OK</v>
      </c>
      <c r="AP332" s="67" t="str">
        <f>IF($A332="","",IF(COUNTIF(属性耐性マスタ!$A$5:$A$11,$C332)&gt;0,"OK","未登録"))</f>
        <v>OK</v>
      </c>
    </row>
    <row r="333" spans="1:42">
      <c r="A333" s="66" t="s">
        <v>766</v>
      </c>
      <c r="B333" s="51" t="s">
        <v>767</v>
      </c>
      <c r="C333" s="52" t="s">
        <v>108</v>
      </c>
      <c r="D333" s="53">
        <f>ROUND(設定!$B$5*POWER($D$2,W333-1),2)</f>
        <v>17187.189999999999</v>
      </c>
      <c r="E333" s="54">
        <f>MAX(1,ROUND(設定!$B$6*AE333*Y333,0))</f>
        <v>20281</v>
      </c>
      <c r="F333" s="54">
        <f>MAX(0,ROUND(設定!$B$7*AE333*設定!$B$15*IF(X333="Melee",0.6,1.35)*IFERROR(VLOOKUP($AM333,個性タイプマスタ!$A$5:$P$100,14,FALSE),1),0))</f>
        <v>1169</v>
      </c>
      <c r="G333" s="54">
        <f>IF(X333="Melee",AN333,MAX(1,ROUND(AN333*設定!$B$16*IFERROR(VLOOKUP($AM333,個性タイプマスタ!$A$5:$P$100,15,FALSE),1),0)))</f>
        <v>2677</v>
      </c>
      <c r="H333" s="54">
        <f>IF(X333="Ranged",AN333,MAX(1,ROUND(AN333*設定!$B$16*IFERROR(VLOOKUP($AM333,個性タイプマスタ!$A$5:$P$100,15,FALSE),1),0)))</f>
        <v>843</v>
      </c>
      <c r="I333" s="54">
        <f>MAX(0,ROUND(設定!$B$8*AE333*Z333,0))</f>
        <v>1567</v>
      </c>
      <c r="J333" s="54">
        <f>MAX(0,ROUND(設定!$B$9*AE333*AA333,0))</f>
        <v>1567</v>
      </c>
      <c r="K333" s="55">
        <f>IFERROR(VLOOKUP($AM333,個性タイプマスタ!$A$5:$P$100,9,FALSE),0.05)</f>
        <v>0.04</v>
      </c>
      <c r="L333" s="56">
        <f>IFERROR(VLOOKUP($AM333,個性タイプマスタ!$A$5:$P$100,10,FALSE),1.5)</f>
        <v>1.43</v>
      </c>
      <c r="M333" s="56">
        <f>IFERROR(VLOOKUP($AM333,個性タイプマスタ!$A$5:$P$100,11,FALSE),2)</f>
        <v>2.15</v>
      </c>
      <c r="N333" s="57">
        <f>MAX(0.1,ROUND(設定!$B$10*AB333,3))</f>
        <v>0.88</v>
      </c>
      <c r="O333" s="57">
        <f t="shared" si="20"/>
        <v>1.425</v>
      </c>
      <c r="P333" s="58">
        <f>MAX(-10,MIN(0.8,IFERROR(INDEX(属性耐性マスタ!$B$5:$G$11,MATCH($C333,属性耐性マスタ!$A$5:$A$11,0),1),0)+IFERROR(VLOOKUP($AM333,個性タイプマスタ!$A$5:$P$100,12,FALSE),0)))</f>
        <v>0.09</v>
      </c>
      <c r="Q333" s="58">
        <f>MAX(-10,MIN(0.8,IFERROR(INDEX(属性耐性マスタ!$B$5:$G$11,MATCH($C333,属性耐性マスタ!$A$5:$A$11,0),2),0)+IFERROR(VLOOKUP($AM333,個性タイプマスタ!$A$5:$P$100,12,FALSE),0)))</f>
        <v>0.39</v>
      </c>
      <c r="R333" s="58">
        <f>MAX(-10,MIN(0.8,IFERROR(INDEX(属性耐性マスタ!$B$5:$G$11,MATCH($C333,属性耐性マスタ!$A$5:$A$11,0),3),0)+IFERROR(VLOOKUP($AM333,個性タイプマスタ!$A$5:$P$100,12,FALSE),0)))</f>
        <v>0.19</v>
      </c>
      <c r="S333" s="58">
        <f>MAX(-10,MIN(0.8,IFERROR(INDEX(属性耐性マスタ!$B$5:$G$11,MATCH($C333,属性耐性マスタ!$A$5:$A$11,0),4),0)+IFERROR(VLOOKUP($AM333,個性タイプマスタ!$A$5:$P$100,12,FALSE),0)))</f>
        <v>0.19</v>
      </c>
      <c r="T333" s="58">
        <f>MAX(-10,MIN(0.8,IFERROR(INDEX(属性耐性マスタ!$B$5:$G$11,MATCH($C333,属性耐性マスタ!$A$5:$A$11,0),5),0)+IFERROR(VLOOKUP($AM333,個性タイプマスタ!$A$5:$P$100,12,FALSE),0)))</f>
        <v>0.19</v>
      </c>
      <c r="U333" s="58">
        <f>MAX(-10,MIN(0.8,IFERROR(INDEX(属性耐性マスタ!$B$5:$G$11,MATCH($C333,属性耐性マスタ!$A$5:$A$11,0),6),0)+IFERROR(VLOOKUP($AM333,個性タイプマスタ!$A$5:$P$100,12,FALSE),0)))</f>
        <v>0.19</v>
      </c>
      <c r="V333" s="59">
        <f>ROUND(設定!$B$19*IFERROR(VLOOKUP($AM333,個性タイプマスタ!$A$5:$P$100,13,FALSE),1),2)</f>
        <v>3.8</v>
      </c>
      <c r="W333" s="59">
        <v>55</v>
      </c>
      <c r="X333" s="59" t="str">
        <f>IFERROR(VLOOKUP($AM333,個性タイプマスタ!$A$5:$P$100,2,FALSE),"Ranged")</f>
        <v>Melee</v>
      </c>
      <c r="Y333" s="56">
        <f>IFERROR(VLOOKUP($AM333,個性タイプマスタ!$A$5:$P$100,3,FALSE),1)</f>
        <v>1.18</v>
      </c>
      <c r="Z333" s="56">
        <f>IFERROR(VLOOKUP($AM333,個性タイプマスタ!$A$5:$P$100,4,FALSE),1)</f>
        <v>1.1399999999999999</v>
      </c>
      <c r="AA333" s="56">
        <f>IFERROR(VLOOKUP($AM333,個性タイプマスタ!$A$5:$P$100,5,FALSE),1)</f>
        <v>1.1399999999999999</v>
      </c>
      <c r="AB333" s="56">
        <f>IFERROR(VLOOKUP($AM333,個性タイプマスタ!$A$5:$P$100,6,FALSE),1)</f>
        <v>0.88</v>
      </c>
      <c r="AC333" s="56">
        <f>IFERROR(VLOOKUP($AM333,個性タイプマスタ!$A$5:$P$100,7,FALSE),1)</f>
        <v>0.95</v>
      </c>
      <c r="AD333" s="56">
        <f>IFERROR(VLOOKUP($AM333,個性タイプマスタ!$A$5:$P$100,8,FALSE),1)</f>
        <v>0.88</v>
      </c>
      <c r="AE333" s="60">
        <f>IFERROR(D333/設定!$B$5,1)</f>
        <v>171.87189999999998</v>
      </c>
      <c r="AF333" s="60">
        <f>1+設定!$B$13*((I333/設定!$B$8+J333/設定!$B$9)/(2*AE333))</f>
        <v>1.3418970756708921</v>
      </c>
      <c r="AG333" s="60">
        <f>MAX(0.7,1+設定!$B$14*(O333/IF(X333="Melee",1.5,2.5)-1))</f>
        <v>0.99399999999999999</v>
      </c>
      <c r="AH333" s="53">
        <f t="shared" si="21"/>
        <v>2381.9013975680004</v>
      </c>
      <c r="AI333" s="53">
        <f>E333*AF333*(1+設定!$B$18*AVERAGE(P333:U333))</f>
        <v>29746.010948707728</v>
      </c>
      <c r="AJ333" s="61">
        <f>設定!$B$5*SQRT((AH333/(設定!$B$7*設定!$B$10*(1+設定!$B$11*(設定!$B$12-1))))*(AI333/(設定!$B$6*(1+設定!$B$13))))</f>
        <v>17187.250032770578</v>
      </c>
      <c r="AK333" s="62">
        <f t="shared" si="22"/>
        <v>3.4928787415733353E-6</v>
      </c>
      <c r="AL333" s="63">
        <f t="shared" si="23"/>
        <v>15124.727199999999</v>
      </c>
      <c r="AM333" s="64" t="s">
        <v>956</v>
      </c>
      <c r="AN333" s="54">
        <f>MAX(1,ROUND((設定!$B$7*設定!$B$10*(1+設定!$B$11*(設定!$B$12-1)))*AE333^2*(設定!$B$6*(1+設定!$B$13))/(AI333*N333*(1+K333*(L333-1))*AG333),0))</f>
        <v>2677</v>
      </c>
      <c r="AO333" s="65" t="str">
        <f>IF($A333="","",IF(COUNTIF(個性タイプマスタ!$A$5:$A$100,$AM333)&gt;0,"OK","未登録"))</f>
        <v>OK</v>
      </c>
      <c r="AP333" s="67" t="str">
        <f>IF($A333="","",IF(COUNTIF(属性耐性マスタ!$A$5:$A$11,$C333)&gt;0,"OK","未登録"))</f>
        <v>OK</v>
      </c>
    </row>
    <row r="334" spans="1:42">
      <c r="A334" s="66" t="s">
        <v>768</v>
      </c>
      <c r="B334" s="51" t="s">
        <v>769</v>
      </c>
      <c r="C334" s="52" t="s">
        <v>121</v>
      </c>
      <c r="D334" s="53">
        <f>ROUND(設定!$B$5*POWER($D$2,W334-1),2)</f>
        <v>17187.189999999999</v>
      </c>
      <c r="E334" s="54">
        <f>MAX(1,ROUND(設定!$B$6*AE334*Y334,0))</f>
        <v>17703</v>
      </c>
      <c r="F334" s="54">
        <f>MAX(0,ROUND(設定!$B$7*AE334*設定!$B$15*IF(X334="Melee",0.6,1.35)*IFERROR(VLOOKUP($AM334,個性タイプマスタ!$A$5:$P$100,14,FALSE),1),0))</f>
        <v>6641</v>
      </c>
      <c r="G334" s="54">
        <f>IF(X334="Melee",AN334,MAX(1,ROUND(AN334*設定!$B$16*IFERROR(VLOOKUP($AM334,個性タイプマスタ!$A$5:$P$100,15,FALSE),1),0)))</f>
        <v>999</v>
      </c>
      <c r="H334" s="54">
        <f>IF(X334="Ranged",AN334,MAX(1,ROUND(AN334*設定!$B$16*IFERROR(VLOOKUP($AM334,個性タイプマスタ!$A$5:$P$100,15,FALSE),1),0)))</f>
        <v>3172</v>
      </c>
      <c r="I334" s="54">
        <f>MAX(0,ROUND(設定!$B$8*AE334*Z334,0))</f>
        <v>1320</v>
      </c>
      <c r="J334" s="54">
        <f>MAX(0,ROUND(設定!$B$9*AE334*AA334,0))</f>
        <v>1622</v>
      </c>
      <c r="K334" s="55">
        <f>IFERROR(VLOOKUP($AM334,個性タイプマスタ!$A$5:$P$100,9,FALSE),0.05)</f>
        <v>6.5000000000000002E-2</v>
      </c>
      <c r="L334" s="56">
        <f>IFERROR(VLOOKUP($AM334,個性タイプマスタ!$A$5:$P$100,10,FALSE),1.5)</f>
        <v>1.45</v>
      </c>
      <c r="M334" s="56">
        <f>IFERROR(VLOOKUP($AM334,個性タイプマスタ!$A$5:$P$100,11,FALSE),2)</f>
        <v>2.1</v>
      </c>
      <c r="N334" s="57">
        <f>MAX(0.1,ROUND(設定!$B$10*AB334,3))</f>
        <v>0.9</v>
      </c>
      <c r="O334" s="57">
        <f t="shared" si="20"/>
        <v>2.8</v>
      </c>
      <c r="P334" s="58">
        <f>MAX(-10,MIN(0.8,IFERROR(INDEX(属性耐性マスタ!$B$5:$G$11,MATCH($C334,属性耐性マスタ!$A$5:$A$11,0),1),0)+IFERROR(VLOOKUP($AM334,個性タイプマスタ!$A$5:$P$100,12,FALSE),0)))</f>
        <v>0.02</v>
      </c>
      <c r="Q334" s="58">
        <f>MAX(-10,MIN(0.8,IFERROR(INDEX(属性耐性マスタ!$B$5:$G$11,MATCH($C334,属性耐性マスタ!$A$5:$A$11,0),2),0)+IFERROR(VLOOKUP($AM334,個性タイプマスタ!$A$5:$P$100,12,FALSE),0)))</f>
        <v>0.02</v>
      </c>
      <c r="R334" s="58">
        <f>MAX(-10,MIN(0.8,IFERROR(INDEX(属性耐性マスタ!$B$5:$G$11,MATCH($C334,属性耐性マスタ!$A$5:$A$11,0),3),0)+IFERROR(VLOOKUP($AM334,個性タイプマスタ!$A$5:$P$100,12,FALSE),0)))</f>
        <v>0.02</v>
      </c>
      <c r="S334" s="58">
        <f>MAX(-10,MIN(0.8,IFERROR(INDEX(属性耐性マスタ!$B$5:$G$11,MATCH($C334,属性耐性マスタ!$A$5:$A$11,0),4),0)+IFERROR(VLOOKUP($AM334,個性タイプマスタ!$A$5:$P$100,12,FALSE),0)))</f>
        <v>0.02</v>
      </c>
      <c r="T334" s="58">
        <f>MAX(-10,MIN(0.8,IFERROR(INDEX(属性耐性マスタ!$B$5:$G$11,MATCH($C334,属性耐性マスタ!$A$5:$A$11,0),5),0)+IFERROR(VLOOKUP($AM334,個性タイプマスタ!$A$5:$P$100,12,FALSE),0)))</f>
        <v>0.22</v>
      </c>
      <c r="U334" s="58">
        <f>MAX(-10,MIN(0.8,IFERROR(INDEX(属性耐性マスタ!$B$5:$G$11,MATCH($C334,属性耐性マスタ!$A$5:$A$11,0),6),0)+IFERROR(VLOOKUP($AM334,個性タイプマスタ!$A$5:$P$100,12,FALSE),0)))</f>
        <v>-0.08</v>
      </c>
      <c r="V334" s="59">
        <f>ROUND(設定!$B$19*IFERROR(VLOOKUP($AM334,個性タイプマスタ!$A$5:$P$100,13,FALSE),1),2)</f>
        <v>4.2</v>
      </c>
      <c r="W334" s="59">
        <v>55</v>
      </c>
      <c r="X334" s="59" t="str">
        <f>IFERROR(VLOOKUP($AM334,個性タイプマスタ!$A$5:$P$100,2,FALSE),"Ranged")</f>
        <v>Ranged</v>
      </c>
      <c r="Y334" s="56">
        <f>IFERROR(VLOOKUP($AM334,個性タイプマスタ!$A$5:$P$100,3,FALSE),1)</f>
        <v>1.03</v>
      </c>
      <c r="Z334" s="56">
        <f>IFERROR(VLOOKUP($AM334,個性タイプマスタ!$A$5:$P$100,4,FALSE),1)</f>
        <v>0.96</v>
      </c>
      <c r="AA334" s="56">
        <f>IFERROR(VLOOKUP($AM334,個性タイプマスタ!$A$5:$P$100,5,FALSE),1)</f>
        <v>1.18</v>
      </c>
      <c r="AB334" s="56">
        <f>IFERROR(VLOOKUP($AM334,個性タイプマスタ!$A$5:$P$100,6,FALSE),1)</f>
        <v>0.9</v>
      </c>
      <c r="AC334" s="56">
        <f>IFERROR(VLOOKUP($AM334,個性タイプマスタ!$A$5:$P$100,7,FALSE),1)</f>
        <v>1.1200000000000001</v>
      </c>
      <c r="AD334" s="56">
        <f>IFERROR(VLOOKUP($AM334,個性タイプマスタ!$A$5:$P$100,8,FALSE),1)</f>
        <v>0.79</v>
      </c>
      <c r="AE334" s="60">
        <f>IFERROR(D334/設定!$B$5,1)</f>
        <v>171.87189999999998</v>
      </c>
      <c r="AF334" s="60">
        <f>1+設定!$B$13*((I334/設定!$B$8+J334/設定!$B$9)/(2*AE334))</f>
        <v>1.3209512433387889</v>
      </c>
      <c r="AG334" s="60">
        <f>MAX(0.7,1+設定!$B$14*(O334/IF(X334="Melee",1.5,2.5)-1))</f>
        <v>1.0144</v>
      </c>
      <c r="AH334" s="53">
        <f t="shared" si="21"/>
        <v>2980.6144617600003</v>
      </c>
      <c r="AI334" s="53">
        <f>E334*AF334*(1+設定!$B$18*AVERAGE(P334:U334))</f>
        <v>23770.64905853022</v>
      </c>
      <c r="AJ334" s="61">
        <f>設定!$B$5*SQRT((AH334/(設定!$B$7*設定!$B$10*(1+設定!$B$11*(設定!$B$12-1))))*(AI334/(設定!$B$6*(1+設定!$B$13))))</f>
        <v>17187.137875643417</v>
      </c>
      <c r="AK334" s="62">
        <f t="shared" si="22"/>
        <v>-3.0327445371680639E-6</v>
      </c>
      <c r="AL334" s="63">
        <f t="shared" si="23"/>
        <v>13577.8801</v>
      </c>
      <c r="AM334" s="64" t="s">
        <v>932</v>
      </c>
      <c r="AN334" s="54">
        <f>MAX(1,ROUND((設定!$B$7*設定!$B$10*(1+設定!$B$11*(設定!$B$12-1)))*AE334^2*(設定!$B$6*(1+設定!$B$13))/(AI334*N334*(1+K334*(L334-1))*AG334),0))</f>
        <v>3172</v>
      </c>
      <c r="AO334" s="65" t="str">
        <f>IF($A334="","",IF(COUNTIF(個性タイプマスタ!$A$5:$A$100,$AM334)&gt;0,"OK","未登録"))</f>
        <v>OK</v>
      </c>
      <c r="AP334" s="67" t="str">
        <f>IF($A334="","",IF(COUNTIF(属性耐性マスタ!$A$5:$A$11,$C334)&gt;0,"OK","未登録"))</f>
        <v>OK</v>
      </c>
    </row>
    <row r="335" spans="1:42">
      <c r="A335" s="66" t="s">
        <v>770</v>
      </c>
      <c r="B335" s="51" t="s">
        <v>771</v>
      </c>
      <c r="C335" s="52" t="s">
        <v>111</v>
      </c>
      <c r="D335" s="53">
        <f>ROUND(設定!$B$5*POWER($D$2,W335-1),2)</f>
        <v>18905.91</v>
      </c>
      <c r="E335" s="54">
        <f>MAX(1,ROUND(設定!$B$6*AE335*Y335,0))</f>
        <v>15503</v>
      </c>
      <c r="F335" s="54">
        <f>MAX(0,ROUND(設定!$B$7*AE335*設定!$B$15*IF(X335="Melee",0.6,1.35)*IFERROR(VLOOKUP($AM335,個性タイプマスタ!$A$5:$P$100,14,FALSE),1),0))</f>
        <v>3721</v>
      </c>
      <c r="G335" s="54">
        <f>IF(X335="Melee",AN335,MAX(1,ROUND(AN335*設定!$B$16*IFERROR(VLOOKUP($AM335,個性タイプマスタ!$A$5:$P$100,15,FALSE),1),0)))</f>
        <v>1432</v>
      </c>
      <c r="H335" s="54">
        <f>IF(X335="Ranged",AN335,MAX(1,ROUND(AN335*設定!$B$16*IFERROR(VLOOKUP($AM335,個性タイプマスタ!$A$5:$P$100,15,FALSE),1),0)))</f>
        <v>5305</v>
      </c>
      <c r="I335" s="54">
        <f>MAX(0,ROUND(設定!$B$8*AE335*Z335,0))</f>
        <v>1225</v>
      </c>
      <c r="J335" s="54">
        <f>MAX(0,ROUND(設定!$B$9*AE335*AA335,0))</f>
        <v>1316</v>
      </c>
      <c r="K335" s="55">
        <f>IFERROR(VLOOKUP($AM335,個性タイプマスタ!$A$5:$P$100,9,FALSE),0.05)</f>
        <v>0.12</v>
      </c>
      <c r="L335" s="56">
        <f>IFERROR(VLOOKUP($AM335,個性タイプマスタ!$A$5:$P$100,10,FALSE),1.5)</f>
        <v>2.5499999999999998</v>
      </c>
      <c r="M335" s="56">
        <f>IFERROR(VLOOKUP($AM335,個性タイプマスタ!$A$5:$P$100,11,FALSE),2)</f>
        <v>2.2999999999999998</v>
      </c>
      <c r="N335" s="57">
        <f>MAX(0.1,ROUND(設定!$B$10*AB335,3))</f>
        <v>0.68</v>
      </c>
      <c r="O335" s="57">
        <f t="shared" si="20"/>
        <v>3.55</v>
      </c>
      <c r="P335" s="58">
        <f>MAX(-10,MIN(0.8,IFERROR(INDEX(属性耐性マスタ!$B$5:$G$11,MATCH($C335,属性耐性マスタ!$A$5:$A$11,0),1),0)+IFERROR(VLOOKUP($AM335,個性タイプマスタ!$A$5:$P$100,12,FALSE),0)))</f>
        <v>0.14500000000000002</v>
      </c>
      <c r="Q335" s="58">
        <f>MAX(-10,MIN(0.8,IFERROR(INDEX(属性耐性マスタ!$B$5:$G$11,MATCH($C335,属性耐性マスタ!$A$5:$A$11,0),2),0)+IFERROR(VLOOKUP($AM335,個性タイプマスタ!$A$5:$P$100,12,FALSE),0)))</f>
        <v>-0.155</v>
      </c>
      <c r="R335" s="58">
        <f>MAX(-10,MIN(0.8,IFERROR(INDEX(属性耐性マスタ!$B$5:$G$11,MATCH($C335,属性耐性マスタ!$A$5:$A$11,0),3),0)+IFERROR(VLOOKUP($AM335,個性タイプマスタ!$A$5:$P$100,12,FALSE),0)))</f>
        <v>-5.5E-2</v>
      </c>
      <c r="S335" s="58">
        <f>MAX(-10,MIN(0.8,IFERROR(INDEX(属性耐性マスタ!$B$5:$G$11,MATCH($C335,属性耐性マスタ!$A$5:$A$11,0),4),0)+IFERROR(VLOOKUP($AM335,個性タイプマスタ!$A$5:$P$100,12,FALSE),0)))</f>
        <v>-5.5E-2</v>
      </c>
      <c r="T335" s="58">
        <f>MAX(-10,MIN(0.8,IFERROR(INDEX(属性耐性マスタ!$B$5:$G$11,MATCH($C335,属性耐性マスタ!$A$5:$A$11,0),5),0)+IFERROR(VLOOKUP($AM335,個性タイプマスタ!$A$5:$P$100,12,FALSE),0)))</f>
        <v>-5.5E-2</v>
      </c>
      <c r="U335" s="58">
        <f>MAX(-10,MIN(0.8,IFERROR(INDEX(属性耐性マスタ!$B$5:$G$11,MATCH($C335,属性耐性マスタ!$A$5:$A$11,0),6),0)+IFERROR(VLOOKUP($AM335,個性タイプマスタ!$A$5:$P$100,12,FALSE),0)))</f>
        <v>-5.5E-2</v>
      </c>
      <c r="V335" s="59">
        <f>ROUND(設定!$B$19*IFERROR(VLOOKUP($AM335,個性タイプマスタ!$A$5:$P$100,13,FALSE),1),2)</f>
        <v>4.8</v>
      </c>
      <c r="W335" s="59">
        <v>56</v>
      </c>
      <c r="X335" s="59" t="str">
        <f>IFERROR(VLOOKUP($AM335,個性タイプマスタ!$A$5:$P$100,2,FALSE),"Ranged")</f>
        <v>Ranged</v>
      </c>
      <c r="Y335" s="56">
        <f>IFERROR(VLOOKUP($AM335,個性タイプマスタ!$A$5:$P$100,3,FALSE),1)</f>
        <v>0.82</v>
      </c>
      <c r="Z335" s="56">
        <f>IFERROR(VLOOKUP($AM335,個性タイプマスタ!$A$5:$P$100,4,FALSE),1)</f>
        <v>0.81</v>
      </c>
      <c r="AA335" s="56">
        <f>IFERROR(VLOOKUP($AM335,個性タイプマスタ!$A$5:$P$100,5,FALSE),1)</f>
        <v>0.87</v>
      </c>
      <c r="AB335" s="56">
        <f>IFERROR(VLOOKUP($AM335,個性タイプマスタ!$A$5:$P$100,6,FALSE),1)</f>
        <v>0.68</v>
      </c>
      <c r="AC335" s="56">
        <f>IFERROR(VLOOKUP($AM335,個性タイプマスタ!$A$5:$P$100,7,FALSE),1)</f>
        <v>1.42</v>
      </c>
      <c r="AD335" s="56">
        <f>IFERROR(VLOOKUP($AM335,個性タイプマスタ!$A$5:$P$100,8,FALSE),1)</f>
        <v>0.67</v>
      </c>
      <c r="AE335" s="60">
        <f>IFERROR(D335/設定!$B$5,1)</f>
        <v>189.0591</v>
      </c>
      <c r="AF335" s="60">
        <f>1+設定!$B$13*((I335/設定!$B$8+J335/設定!$B$9)/(2*AE335))</f>
        <v>1.2520045319162103</v>
      </c>
      <c r="AG335" s="60">
        <f>MAX(0.7,1+設定!$B$14*(O335/IF(X335="Melee",1.5,2.5)-1))</f>
        <v>1.0504</v>
      </c>
      <c r="AH335" s="53">
        <f t="shared" si="21"/>
        <v>4494.00657056</v>
      </c>
      <c r="AI335" s="53">
        <f>E335*AF335*(1+設定!$B$18*AVERAGE(P335:U335))</f>
        <v>19075.006755341386</v>
      </c>
      <c r="AJ335" s="61">
        <f>設定!$B$5*SQRT((AH335/(設定!$B$7*設定!$B$10*(1+設定!$B$11*(設定!$B$12-1))))*(AI335/(設定!$B$6*(1+設定!$B$13))))</f>
        <v>18905.115732047561</v>
      </c>
      <c r="AK335" s="62">
        <f t="shared" si="22"/>
        <v>-4.2011622420679018E-5</v>
      </c>
      <c r="AL335" s="63">
        <f t="shared" si="23"/>
        <v>12666.959700000001</v>
      </c>
      <c r="AM335" s="64" t="s">
        <v>924</v>
      </c>
      <c r="AN335" s="54">
        <f>MAX(1,ROUND((設定!$B$7*設定!$B$10*(1+設定!$B$11*(設定!$B$12-1)))*AE335^2*(設定!$B$6*(1+設定!$B$13))/(AI335*N335*(1+K335*(L335-1))*AG335),0))</f>
        <v>5305</v>
      </c>
      <c r="AO335" s="65" t="str">
        <f>IF($A335="","",IF(COUNTIF(個性タイプマスタ!$A$5:$A$100,$AM335)&gt;0,"OK","未登録"))</f>
        <v>OK</v>
      </c>
      <c r="AP335" s="67" t="str">
        <f>IF($A335="","",IF(COUNTIF(属性耐性マスタ!$A$5:$A$11,$C335)&gt;0,"OK","未登録"))</f>
        <v>OK</v>
      </c>
    </row>
    <row r="336" spans="1:42">
      <c r="A336" s="66" t="s">
        <v>772</v>
      </c>
      <c r="B336" s="51" t="s">
        <v>773</v>
      </c>
      <c r="C336" s="52" t="s">
        <v>108</v>
      </c>
      <c r="D336" s="53">
        <f>ROUND(設定!$B$5*POWER($D$2,W336-1),2)</f>
        <v>18905.91</v>
      </c>
      <c r="E336" s="54">
        <f>MAX(1,ROUND(設定!$B$6*AE336*Y336,0))</f>
        <v>26468</v>
      </c>
      <c r="F336" s="54">
        <f>MAX(0,ROUND(設定!$B$7*AE336*設定!$B$15*IF(X336="Melee",0.6,1.35)*IFERROR(VLOOKUP($AM336,個性タイプマスタ!$A$5:$P$100,14,FALSE),1),0))</f>
        <v>6064</v>
      </c>
      <c r="G336" s="54">
        <f>IF(X336="Melee",AN336,MAX(1,ROUND(AN336*設定!$B$16*IFERROR(VLOOKUP($AM336,個性タイプマスタ!$A$5:$P$100,15,FALSE),1),0)))</f>
        <v>1013</v>
      </c>
      <c r="H336" s="54">
        <f>IF(X336="Ranged",AN336,MAX(1,ROUND(AN336*設定!$B$16*IFERROR(VLOOKUP($AM336,個性タイプマスタ!$A$5:$P$100,15,FALSE),1),0)))</f>
        <v>2681</v>
      </c>
      <c r="I336" s="54">
        <f>MAX(0,ROUND(設定!$B$8*AE336*Z336,0))</f>
        <v>1437</v>
      </c>
      <c r="J336" s="54">
        <f>MAX(0,ROUND(設定!$B$9*AE336*AA336,0))</f>
        <v>2541</v>
      </c>
      <c r="K336" s="55">
        <f>IFERROR(VLOOKUP($AM336,個性タイプマスタ!$A$5:$P$100,9,FALSE),0.05)</f>
        <v>0.115</v>
      </c>
      <c r="L336" s="56">
        <f>IFERROR(VLOOKUP($AM336,個性タイプマスタ!$A$5:$P$100,10,FALSE),1.5)</f>
        <v>1.95</v>
      </c>
      <c r="M336" s="56">
        <f>IFERROR(VLOOKUP($AM336,個性タイプマスタ!$A$5:$P$100,11,FALSE),2)</f>
        <v>1.2</v>
      </c>
      <c r="N336" s="57">
        <f>MAX(0.1,ROUND(設定!$B$10*AB336,3))</f>
        <v>0.72</v>
      </c>
      <c r="O336" s="57">
        <f t="shared" si="20"/>
        <v>3.3250000000000002</v>
      </c>
      <c r="P336" s="58">
        <f>MAX(-10,MIN(0.8,IFERROR(INDEX(属性耐性マスタ!$B$5:$G$11,MATCH($C336,属性耐性マスタ!$A$5:$A$11,0),1),0)+IFERROR(VLOOKUP($AM336,個性タイプマスタ!$A$5:$P$100,12,FALSE),0)))</f>
        <v>-2.0000000000000004E-2</v>
      </c>
      <c r="Q336" s="58">
        <f>MAX(-10,MIN(0.8,IFERROR(INDEX(属性耐性マスタ!$B$5:$G$11,MATCH($C336,属性耐性マスタ!$A$5:$A$11,0),2),0)+IFERROR(VLOOKUP($AM336,個性タイプマスタ!$A$5:$P$100,12,FALSE),0)))</f>
        <v>0.28000000000000003</v>
      </c>
      <c r="R336" s="58">
        <f>MAX(-10,MIN(0.8,IFERROR(INDEX(属性耐性マスタ!$B$5:$G$11,MATCH($C336,属性耐性マスタ!$A$5:$A$11,0),3),0)+IFERROR(VLOOKUP($AM336,個性タイプマスタ!$A$5:$P$100,12,FALSE),0)))</f>
        <v>0.08</v>
      </c>
      <c r="S336" s="58">
        <f>MAX(-10,MIN(0.8,IFERROR(INDEX(属性耐性マスタ!$B$5:$G$11,MATCH($C336,属性耐性マスタ!$A$5:$A$11,0),4),0)+IFERROR(VLOOKUP($AM336,個性タイプマスタ!$A$5:$P$100,12,FALSE),0)))</f>
        <v>0.08</v>
      </c>
      <c r="T336" s="58">
        <f>MAX(-10,MIN(0.8,IFERROR(INDEX(属性耐性マスタ!$B$5:$G$11,MATCH($C336,属性耐性マスタ!$A$5:$A$11,0),5),0)+IFERROR(VLOOKUP($AM336,個性タイプマスタ!$A$5:$P$100,12,FALSE),0)))</f>
        <v>0.08</v>
      </c>
      <c r="U336" s="58">
        <f>MAX(-10,MIN(0.8,IFERROR(INDEX(属性耐性マスタ!$B$5:$G$11,MATCH($C336,属性耐性マスタ!$A$5:$A$11,0),6),0)+IFERROR(VLOOKUP($AM336,個性タイプマスタ!$A$5:$P$100,12,FALSE),0)))</f>
        <v>0.08</v>
      </c>
      <c r="V336" s="59">
        <f>ROUND(設定!$B$19*IFERROR(VLOOKUP($AM336,個性タイプマスタ!$A$5:$P$100,13,FALSE),1),2)</f>
        <v>5</v>
      </c>
      <c r="W336" s="59">
        <v>56</v>
      </c>
      <c r="X336" s="59" t="str">
        <f>IFERROR(VLOOKUP($AM336,個性タイプマスタ!$A$5:$P$100,2,FALSE),"Ranged")</f>
        <v>Ranged</v>
      </c>
      <c r="Y336" s="56">
        <f>IFERROR(VLOOKUP($AM336,個性タイプマスタ!$A$5:$P$100,3,FALSE),1)</f>
        <v>1.4</v>
      </c>
      <c r="Z336" s="56">
        <f>IFERROR(VLOOKUP($AM336,個性タイプマスタ!$A$5:$P$100,4,FALSE),1)</f>
        <v>0.95</v>
      </c>
      <c r="AA336" s="56">
        <f>IFERROR(VLOOKUP($AM336,個性タイプマスタ!$A$5:$P$100,5,FALSE),1)</f>
        <v>1.68</v>
      </c>
      <c r="AB336" s="56">
        <f>IFERROR(VLOOKUP($AM336,個性タイプマスタ!$A$5:$P$100,6,FALSE),1)</f>
        <v>0.72</v>
      </c>
      <c r="AC336" s="56">
        <f>IFERROR(VLOOKUP($AM336,個性タイプマスタ!$A$5:$P$100,7,FALSE),1)</f>
        <v>1.33</v>
      </c>
      <c r="AD336" s="56">
        <f>IFERROR(VLOOKUP($AM336,個性タイプマスタ!$A$5:$P$100,8,FALSE),1)</f>
        <v>0.86</v>
      </c>
      <c r="AE336" s="60">
        <f>IFERROR(D336/設定!$B$5,1)</f>
        <v>189.0591</v>
      </c>
      <c r="AF336" s="60">
        <f>1+設定!$B$13*((I336/設定!$B$8+J336/設定!$B$9)/(2*AE336))</f>
        <v>1.3945194915240791</v>
      </c>
      <c r="AG336" s="60">
        <f>MAX(0.7,1+設定!$B$14*(O336/IF(X336="Melee",1.5,2.5)-1))</f>
        <v>1.0396000000000001</v>
      </c>
      <c r="AH336" s="53">
        <f t="shared" si="21"/>
        <v>2225.9992754160003</v>
      </c>
      <c r="AI336" s="53">
        <f>E336*AF336*(1+設定!$B$18*AVERAGE(P336:U336))</f>
        <v>38515.733074381511</v>
      </c>
      <c r="AJ336" s="61">
        <f>設定!$B$5*SQRT((AH336/(設定!$B$7*設定!$B$10*(1+設定!$B$11*(設定!$B$12-1))))*(AI336/(設定!$B$6*(1+設定!$B$13))))</f>
        <v>18906.525815999572</v>
      </c>
      <c r="AK336" s="62">
        <f t="shared" si="22"/>
        <v>3.257267169742839E-5</v>
      </c>
      <c r="AL336" s="63">
        <f t="shared" si="23"/>
        <v>16259.0826</v>
      </c>
      <c r="AM336" s="64" t="s">
        <v>938</v>
      </c>
      <c r="AN336" s="54">
        <f>MAX(1,ROUND((設定!$B$7*設定!$B$10*(1+設定!$B$11*(設定!$B$12-1)))*AE336^2*(設定!$B$6*(1+設定!$B$13))/(AI336*N336*(1+K336*(L336-1))*AG336),0))</f>
        <v>2681</v>
      </c>
      <c r="AO336" s="65" t="str">
        <f>IF($A336="","",IF(COUNTIF(個性タイプマスタ!$A$5:$A$100,$AM336)&gt;0,"OK","未登録"))</f>
        <v>OK</v>
      </c>
      <c r="AP336" s="67" t="str">
        <f>IF($A336="","",IF(COUNTIF(属性耐性マスタ!$A$5:$A$11,$C336)&gt;0,"OK","未登録"))</f>
        <v>OK</v>
      </c>
    </row>
    <row r="337" spans="1:42">
      <c r="A337" s="66" t="s">
        <v>774</v>
      </c>
      <c r="B337" s="51" t="s">
        <v>775</v>
      </c>
      <c r="C337" s="52" t="s">
        <v>121</v>
      </c>
      <c r="D337" s="53">
        <f>ROUND(設定!$B$5*POWER($D$2,W337-1),2)</f>
        <v>18905.91</v>
      </c>
      <c r="E337" s="54">
        <f>MAX(1,ROUND(設定!$B$6*AE337*Y337,0))</f>
        <v>14747</v>
      </c>
      <c r="F337" s="54">
        <f>MAX(0,ROUND(設定!$B$7*AE337*設定!$B$15*IF(X337="Melee",0.6,1.35)*IFERROR(VLOOKUP($AM337,個性タイプマスタ!$A$5:$P$100,14,FALSE),1),0))</f>
        <v>3170</v>
      </c>
      <c r="G337" s="54">
        <f>IF(X337="Melee",AN337,MAX(1,ROUND(AN337*設定!$B$16*IFERROR(VLOOKUP($AM337,個性タイプマスタ!$A$5:$P$100,15,FALSE),1),0)))</f>
        <v>1798</v>
      </c>
      <c r="H337" s="54">
        <f>IF(X337="Ranged",AN337,MAX(1,ROUND(AN337*設定!$B$16*IFERROR(VLOOKUP($AM337,個性タイプマスタ!$A$5:$P$100,15,FALSE),1),0)))</f>
        <v>3996</v>
      </c>
      <c r="I337" s="54">
        <f>MAX(0,ROUND(設定!$B$8*AE337*Z337,0))</f>
        <v>1134</v>
      </c>
      <c r="J337" s="54">
        <f>MAX(0,ROUND(設定!$B$9*AE337*AA337,0))</f>
        <v>1210</v>
      </c>
      <c r="K337" s="55">
        <f>IFERROR(VLOOKUP($AM337,個性タイプマスタ!$A$5:$P$100,9,FALSE),0.05)</f>
        <v>0.11</v>
      </c>
      <c r="L337" s="56">
        <f>IFERROR(VLOOKUP($AM337,個性タイプマスタ!$A$5:$P$100,10,FALSE),1.5)</f>
        <v>1.65</v>
      </c>
      <c r="M337" s="56">
        <f>IFERROR(VLOOKUP($AM337,個性タイプマスタ!$A$5:$P$100,11,FALSE),2)</f>
        <v>2.2000000000000002</v>
      </c>
      <c r="N337" s="57">
        <f>MAX(0.1,ROUND(設定!$B$10*AB337,3))</f>
        <v>1.1000000000000001</v>
      </c>
      <c r="O337" s="57">
        <f t="shared" si="20"/>
        <v>2.75</v>
      </c>
      <c r="P337" s="58">
        <f>MAX(-10,MIN(0.8,IFERROR(INDEX(属性耐性マスタ!$B$5:$G$11,MATCH($C337,属性耐性マスタ!$A$5:$A$11,0),1),0)+IFERROR(VLOOKUP($AM337,個性タイプマスタ!$A$5:$P$100,12,FALSE),0)))</f>
        <v>-0.04</v>
      </c>
      <c r="Q337" s="58">
        <f>MAX(-10,MIN(0.8,IFERROR(INDEX(属性耐性マスタ!$B$5:$G$11,MATCH($C337,属性耐性マスタ!$A$5:$A$11,0),2),0)+IFERROR(VLOOKUP($AM337,個性タイプマスタ!$A$5:$P$100,12,FALSE),0)))</f>
        <v>-0.04</v>
      </c>
      <c r="R337" s="58">
        <f>MAX(-10,MIN(0.8,IFERROR(INDEX(属性耐性マスタ!$B$5:$G$11,MATCH($C337,属性耐性マスタ!$A$5:$A$11,0),3),0)+IFERROR(VLOOKUP($AM337,個性タイプマスタ!$A$5:$P$100,12,FALSE),0)))</f>
        <v>-0.04</v>
      </c>
      <c r="S337" s="58">
        <f>MAX(-10,MIN(0.8,IFERROR(INDEX(属性耐性マスタ!$B$5:$G$11,MATCH($C337,属性耐性マスタ!$A$5:$A$11,0),4),0)+IFERROR(VLOOKUP($AM337,個性タイプマスタ!$A$5:$P$100,12,FALSE),0)))</f>
        <v>-0.04</v>
      </c>
      <c r="T337" s="58">
        <f>MAX(-10,MIN(0.8,IFERROR(INDEX(属性耐性マスタ!$B$5:$G$11,MATCH($C337,属性耐性マスタ!$A$5:$A$11,0),5),0)+IFERROR(VLOOKUP($AM337,個性タイプマスタ!$A$5:$P$100,12,FALSE),0)))</f>
        <v>0.16</v>
      </c>
      <c r="U337" s="58">
        <f>MAX(-10,MIN(0.8,IFERROR(INDEX(属性耐性マスタ!$B$5:$G$11,MATCH($C337,属性耐性マスタ!$A$5:$A$11,0),6),0)+IFERROR(VLOOKUP($AM337,個性タイプマスタ!$A$5:$P$100,12,FALSE),0)))</f>
        <v>-0.14000000000000001</v>
      </c>
      <c r="V337" s="59">
        <f>ROUND(設定!$B$19*IFERROR(VLOOKUP($AM337,個性タイプマスタ!$A$5:$P$100,13,FALSE),1),2)</f>
        <v>4.2</v>
      </c>
      <c r="W337" s="59">
        <v>56</v>
      </c>
      <c r="X337" s="59" t="str">
        <f>IFERROR(VLOOKUP($AM337,個性タイプマスタ!$A$5:$P$100,2,FALSE),"Ranged")</f>
        <v>Ranged</v>
      </c>
      <c r="Y337" s="56">
        <f>IFERROR(VLOOKUP($AM337,個性タイプマスタ!$A$5:$P$100,3,FALSE),1)</f>
        <v>0.78</v>
      </c>
      <c r="Z337" s="56">
        <f>IFERROR(VLOOKUP($AM337,個性タイプマスタ!$A$5:$P$100,4,FALSE),1)</f>
        <v>0.75</v>
      </c>
      <c r="AA337" s="56">
        <f>IFERROR(VLOOKUP($AM337,個性タイプマスタ!$A$5:$P$100,5,FALSE),1)</f>
        <v>0.8</v>
      </c>
      <c r="AB337" s="56">
        <f>IFERROR(VLOOKUP($AM337,個性タイプマスタ!$A$5:$P$100,6,FALSE),1)</f>
        <v>1.1000000000000001</v>
      </c>
      <c r="AC337" s="56">
        <f>IFERROR(VLOOKUP($AM337,個性タイプマスタ!$A$5:$P$100,7,FALSE),1)</f>
        <v>1.1000000000000001</v>
      </c>
      <c r="AD337" s="56">
        <f>IFERROR(VLOOKUP($AM337,個性タイプマスタ!$A$5:$P$100,8,FALSE),1)</f>
        <v>0.72</v>
      </c>
      <c r="AE337" s="60">
        <f>IFERROR(D337/設定!$B$5,1)</f>
        <v>189.0591</v>
      </c>
      <c r="AF337" s="60">
        <f>1+設定!$B$13*((I337/設定!$B$8+J337/設定!$B$9)/(2*AE337))</f>
        <v>1.2324669904807544</v>
      </c>
      <c r="AG337" s="60">
        <f>MAX(0.7,1+設定!$B$14*(O337/IF(X337="Melee",1.5,2.5)-1))</f>
        <v>1.012</v>
      </c>
      <c r="AH337" s="53">
        <f t="shared" si="21"/>
        <v>4766.4040248000001</v>
      </c>
      <c r="AI337" s="53">
        <f>E337*AF337*(1+設定!$B$18*AVERAGE(P337:U337))</f>
        <v>17984.351206179177</v>
      </c>
      <c r="AJ337" s="61">
        <f>設定!$B$5*SQRT((AH337/(設定!$B$7*設定!$B$10*(1+設定!$B$11*(設定!$B$12-1))))*(AI337/(設定!$B$6*(1+設定!$B$13))))</f>
        <v>18904.837664119994</v>
      </c>
      <c r="AK337" s="62">
        <f t="shared" si="22"/>
        <v>-5.6719612015809773E-5</v>
      </c>
      <c r="AL337" s="63">
        <f t="shared" si="23"/>
        <v>13612.2552</v>
      </c>
      <c r="AM337" s="64" t="s">
        <v>896</v>
      </c>
      <c r="AN337" s="54">
        <f>MAX(1,ROUND((設定!$B$7*設定!$B$10*(1+設定!$B$11*(設定!$B$12-1)))*AE337^2*(設定!$B$6*(1+設定!$B$13))/(AI337*N337*(1+K337*(L337-1))*AG337),0))</f>
        <v>3996</v>
      </c>
      <c r="AO337" s="65" t="str">
        <f>IF($A337="","",IF(COUNTIF(個性タイプマスタ!$A$5:$A$100,$AM337)&gt;0,"OK","未登録"))</f>
        <v>OK</v>
      </c>
      <c r="AP337" s="67" t="str">
        <f>IF($A337="","",IF(COUNTIF(属性耐性マスタ!$A$5:$A$11,$C337)&gt;0,"OK","未登録"))</f>
        <v>OK</v>
      </c>
    </row>
    <row r="338" spans="1:42">
      <c r="A338" s="66" t="s">
        <v>776</v>
      </c>
      <c r="B338" s="51" t="s">
        <v>777</v>
      </c>
      <c r="C338" s="52" t="s">
        <v>108</v>
      </c>
      <c r="D338" s="53">
        <f>ROUND(設定!$B$5*POWER($D$2,W338-1),2)</f>
        <v>18905.91</v>
      </c>
      <c r="E338" s="54">
        <f>MAX(1,ROUND(設定!$B$6*AE338*Y338,0))</f>
        <v>27792</v>
      </c>
      <c r="F338" s="54">
        <f>MAX(0,ROUND(設定!$B$7*AE338*設定!$B$15*IF(X338="Melee",0.6,1.35)*IFERROR(VLOOKUP($AM338,個性タイプマスタ!$A$5:$P$100,14,FALSE),1),0))</f>
        <v>1225</v>
      </c>
      <c r="G338" s="54">
        <f>IF(X338="Melee",AN338,MAX(1,ROUND(AN338*設定!$B$16*IFERROR(VLOOKUP($AM338,個性タイプマスタ!$A$5:$P$100,15,FALSE),1),0)))</f>
        <v>2547</v>
      </c>
      <c r="H338" s="54">
        <f>IF(X338="Ranged",AN338,MAX(1,ROUND(AN338*設定!$B$16*IFERROR(VLOOKUP($AM338,個性タイプマスタ!$A$5:$P$100,15,FALSE),1),0)))</f>
        <v>871</v>
      </c>
      <c r="I338" s="54">
        <f>MAX(0,ROUND(設定!$B$8*AE338*Z338,0))</f>
        <v>1391</v>
      </c>
      <c r="J338" s="54">
        <f>MAX(0,ROUND(設定!$B$9*AE338*AA338,0))</f>
        <v>3327</v>
      </c>
      <c r="K338" s="55">
        <f>IFERROR(VLOOKUP($AM338,個性タイプマスタ!$A$5:$P$100,9,FALSE),0.05)</f>
        <v>0.05</v>
      </c>
      <c r="L338" s="56">
        <f>IFERROR(VLOOKUP($AM338,個性タイプマスタ!$A$5:$P$100,10,FALSE),1.5)</f>
        <v>1.5</v>
      </c>
      <c r="M338" s="56">
        <f>IFERROR(VLOOKUP($AM338,個性タイプマスタ!$A$5:$P$100,11,FALSE),2)</f>
        <v>2.0499999999999998</v>
      </c>
      <c r="N338" s="57">
        <f>MAX(0.1,ROUND(設定!$B$10*AB338,3))</f>
        <v>0.79</v>
      </c>
      <c r="O338" s="57">
        <f t="shared" si="20"/>
        <v>1.26</v>
      </c>
      <c r="P338" s="58">
        <f>MAX(-10,MIN(0.8,IFERROR(INDEX(属性耐性マスタ!$B$5:$G$11,MATCH($C338,属性耐性マスタ!$A$5:$A$11,0),1),0)+IFERROR(VLOOKUP($AM338,個性タイプマスタ!$A$5:$P$100,12,FALSE),0)))</f>
        <v>-0.03</v>
      </c>
      <c r="Q338" s="58">
        <f>MAX(-10,MIN(0.8,IFERROR(INDEX(属性耐性マスタ!$B$5:$G$11,MATCH($C338,属性耐性マスタ!$A$5:$A$11,0),2),0)+IFERROR(VLOOKUP($AM338,個性タイプマスタ!$A$5:$P$100,12,FALSE),0)))</f>
        <v>0.27</v>
      </c>
      <c r="R338" s="58">
        <f>MAX(-10,MIN(0.8,IFERROR(INDEX(属性耐性マスタ!$B$5:$G$11,MATCH($C338,属性耐性マスタ!$A$5:$A$11,0),3),0)+IFERROR(VLOOKUP($AM338,個性タイプマスタ!$A$5:$P$100,12,FALSE),0)))</f>
        <v>7.0000000000000007E-2</v>
      </c>
      <c r="S338" s="58">
        <f>MAX(-10,MIN(0.8,IFERROR(INDEX(属性耐性マスタ!$B$5:$G$11,MATCH($C338,属性耐性マスタ!$A$5:$A$11,0),4),0)+IFERROR(VLOOKUP($AM338,個性タイプマスタ!$A$5:$P$100,12,FALSE),0)))</f>
        <v>7.0000000000000007E-2</v>
      </c>
      <c r="T338" s="58">
        <f>MAX(-10,MIN(0.8,IFERROR(INDEX(属性耐性マスタ!$B$5:$G$11,MATCH($C338,属性耐性マスタ!$A$5:$A$11,0),5),0)+IFERROR(VLOOKUP($AM338,個性タイプマスタ!$A$5:$P$100,12,FALSE),0)))</f>
        <v>7.0000000000000007E-2</v>
      </c>
      <c r="U338" s="58">
        <f>MAX(-10,MIN(0.8,IFERROR(INDEX(属性耐性マスタ!$B$5:$G$11,MATCH($C338,属性耐性マスタ!$A$5:$A$11,0),6),0)+IFERROR(VLOOKUP($AM338,個性タイプマスタ!$A$5:$P$100,12,FALSE),0)))</f>
        <v>7.0000000000000007E-2</v>
      </c>
      <c r="V338" s="59">
        <f>ROUND(設定!$B$19*IFERROR(VLOOKUP($AM338,個性タイプマスタ!$A$5:$P$100,13,FALSE),1),2)</f>
        <v>4</v>
      </c>
      <c r="W338" s="59">
        <v>56</v>
      </c>
      <c r="X338" s="59" t="str">
        <f>IFERROR(VLOOKUP($AM338,個性タイプマスタ!$A$5:$P$100,2,FALSE),"Ranged")</f>
        <v>Melee</v>
      </c>
      <c r="Y338" s="56">
        <f>IFERROR(VLOOKUP($AM338,個性タイプマスタ!$A$5:$P$100,3,FALSE),1)</f>
        <v>1.47</v>
      </c>
      <c r="Z338" s="56">
        <f>IFERROR(VLOOKUP($AM338,個性タイプマスタ!$A$5:$P$100,4,FALSE),1)</f>
        <v>0.92</v>
      </c>
      <c r="AA338" s="56">
        <f>IFERROR(VLOOKUP($AM338,個性タイプマスタ!$A$5:$P$100,5,FALSE),1)</f>
        <v>2.2000000000000002</v>
      </c>
      <c r="AB338" s="56">
        <f>IFERROR(VLOOKUP($AM338,個性タイプマスタ!$A$5:$P$100,6,FALSE),1)</f>
        <v>0.79</v>
      </c>
      <c r="AC338" s="56">
        <f>IFERROR(VLOOKUP($AM338,個性タイプマスタ!$A$5:$P$100,7,FALSE),1)</f>
        <v>0.84</v>
      </c>
      <c r="AD338" s="56">
        <f>IFERROR(VLOOKUP($AM338,個性タイプマスタ!$A$5:$P$100,8,FALSE),1)</f>
        <v>0.86</v>
      </c>
      <c r="AE338" s="60">
        <f>IFERROR(D338/設定!$B$5,1)</f>
        <v>189.0591</v>
      </c>
      <c r="AF338" s="60">
        <f>1+設定!$B$13*((I338/設定!$B$8+J338/設定!$B$9)/(2*AE338))</f>
        <v>1.4679092410785834</v>
      </c>
      <c r="AG338" s="60">
        <f>MAX(0.7,1+設定!$B$14*(O338/IF(X338="Melee",1.5,2.5)-1))</f>
        <v>0.98080000000000001</v>
      </c>
      <c r="AH338" s="53">
        <f t="shared" si="21"/>
        <v>2022.8345316</v>
      </c>
      <c r="AI338" s="53">
        <f>E338*AF338*(1+設定!$B$18*AVERAGE(P338:U338))</f>
        <v>42387.182839550173</v>
      </c>
      <c r="AJ338" s="61">
        <f>設定!$B$5*SQRT((AH338/(設定!$B$7*設定!$B$10*(1+設定!$B$11*(設定!$B$12-1))))*(AI338/(設定!$B$6*(1+設定!$B$13))))</f>
        <v>18907.216387953584</v>
      </c>
      <c r="AK338" s="62">
        <f t="shared" si="22"/>
        <v>6.9099448457343726E-5</v>
      </c>
      <c r="AL338" s="63">
        <f t="shared" si="23"/>
        <v>16259.0826</v>
      </c>
      <c r="AM338" s="64" t="s">
        <v>954</v>
      </c>
      <c r="AN338" s="54">
        <f>MAX(1,ROUND((設定!$B$7*設定!$B$10*(1+設定!$B$11*(設定!$B$12-1)))*AE338^2*(設定!$B$6*(1+設定!$B$13))/(AI338*N338*(1+K338*(L338-1))*AG338),0))</f>
        <v>2547</v>
      </c>
      <c r="AO338" s="65" t="str">
        <f>IF($A338="","",IF(COUNTIF(個性タイプマスタ!$A$5:$A$100,$AM338)&gt;0,"OK","未登録"))</f>
        <v>OK</v>
      </c>
      <c r="AP338" s="67" t="str">
        <f>IF($A338="","",IF(COUNTIF(属性耐性マスタ!$A$5:$A$11,$C338)&gt;0,"OK","未登録"))</f>
        <v>OK</v>
      </c>
    </row>
    <row r="339" spans="1:42">
      <c r="A339" s="66" t="s">
        <v>778</v>
      </c>
      <c r="B339" s="51" t="s">
        <v>779</v>
      </c>
      <c r="C339" s="52" t="s">
        <v>111</v>
      </c>
      <c r="D339" s="53">
        <f>ROUND(設定!$B$5*POWER($D$2,W339-1),2)</f>
        <v>18905.91</v>
      </c>
      <c r="E339" s="54">
        <f>MAX(1,ROUND(設定!$B$6*AE339*Y339,0))</f>
        <v>38757</v>
      </c>
      <c r="F339" s="54">
        <f>MAX(0,ROUND(設定!$B$7*AE339*設定!$B$15*IF(X339="Melee",0.6,1.35)*IFERROR(VLOOKUP($AM339,個性タイプマスタ!$A$5:$P$100,14,FALSE),1),0))</f>
        <v>735</v>
      </c>
      <c r="G339" s="54">
        <f>IF(X339="Melee",AN339,MAX(1,ROUND(AN339*設定!$B$16*IFERROR(VLOOKUP($AM339,個性タイプマスタ!$A$5:$P$100,15,FALSE),1),0)))</f>
        <v>2987</v>
      </c>
      <c r="H339" s="54">
        <f>IF(X339="Ranged",AN339,MAX(1,ROUND(AN339*設定!$B$16*IFERROR(VLOOKUP($AM339,個性タイプマスタ!$A$5:$P$100,15,FALSE),1),0)))</f>
        <v>1210</v>
      </c>
      <c r="I339" s="54">
        <f>MAX(0,ROUND(設定!$B$8*AE339*Z339,0))</f>
        <v>2299</v>
      </c>
      <c r="J339" s="54">
        <f>MAX(0,ROUND(設定!$B$9*AE339*AA339,0))</f>
        <v>1966</v>
      </c>
      <c r="K339" s="55">
        <f>IFERROR(VLOOKUP($AM339,個性タイプマスタ!$A$5:$P$100,9,FALSE),0.05)</f>
        <v>2.5000000000000001E-2</v>
      </c>
      <c r="L339" s="56">
        <f>IFERROR(VLOOKUP($AM339,個性タイプマスタ!$A$5:$P$100,10,FALSE),1.5)</f>
        <v>1.35</v>
      </c>
      <c r="M339" s="56">
        <f>IFERROR(VLOOKUP($AM339,個性タイプマスタ!$A$5:$P$100,11,FALSE),2)</f>
        <v>1.1499999999999999</v>
      </c>
      <c r="N339" s="57">
        <f>MAX(0.1,ROUND(設定!$B$10*AB339,3))</f>
        <v>0.51</v>
      </c>
      <c r="O339" s="57">
        <f t="shared" si="20"/>
        <v>1.2749999999999999</v>
      </c>
      <c r="P339" s="58">
        <f>MAX(-10,MIN(0.8,IFERROR(INDEX(属性耐性マスタ!$B$5:$G$11,MATCH($C339,属性耐性マスタ!$A$5:$A$11,0),1),0)+IFERROR(VLOOKUP($AM339,個性タイプマスタ!$A$5:$P$100,12,FALSE),0)))</f>
        <v>0.25</v>
      </c>
      <c r="Q339" s="58">
        <f>MAX(-10,MIN(0.8,IFERROR(INDEX(属性耐性マスタ!$B$5:$G$11,MATCH($C339,属性耐性マスタ!$A$5:$A$11,0),2),0)+IFERROR(VLOOKUP($AM339,個性タイプマスタ!$A$5:$P$100,12,FALSE),0)))</f>
        <v>-0.05</v>
      </c>
      <c r="R339" s="58">
        <f>MAX(-10,MIN(0.8,IFERROR(INDEX(属性耐性マスタ!$B$5:$G$11,MATCH($C339,属性耐性マスタ!$A$5:$A$11,0),3),0)+IFERROR(VLOOKUP($AM339,個性タイプマスタ!$A$5:$P$100,12,FALSE),0)))</f>
        <v>0.05</v>
      </c>
      <c r="S339" s="58">
        <f>MAX(-10,MIN(0.8,IFERROR(INDEX(属性耐性マスタ!$B$5:$G$11,MATCH($C339,属性耐性マスタ!$A$5:$A$11,0),4),0)+IFERROR(VLOOKUP($AM339,個性タイプマスタ!$A$5:$P$100,12,FALSE),0)))</f>
        <v>0.05</v>
      </c>
      <c r="T339" s="58">
        <f>MAX(-10,MIN(0.8,IFERROR(INDEX(属性耐性マスタ!$B$5:$G$11,MATCH($C339,属性耐性マスタ!$A$5:$A$11,0),5),0)+IFERROR(VLOOKUP($AM339,個性タイプマスタ!$A$5:$P$100,12,FALSE),0)))</f>
        <v>0.05</v>
      </c>
      <c r="U339" s="58">
        <f>MAX(-10,MIN(0.8,IFERROR(INDEX(属性耐性マスタ!$B$5:$G$11,MATCH($C339,属性耐性マスタ!$A$5:$A$11,0),6),0)+IFERROR(VLOOKUP($AM339,個性タイプマスタ!$A$5:$P$100,12,FALSE),0)))</f>
        <v>0.05</v>
      </c>
      <c r="V339" s="59">
        <f>ROUND(設定!$B$19*IFERROR(VLOOKUP($AM339,個性タイプマスタ!$A$5:$P$100,13,FALSE),1),2)</f>
        <v>3.2</v>
      </c>
      <c r="W339" s="59">
        <v>56</v>
      </c>
      <c r="X339" s="59" t="str">
        <f>IFERROR(VLOOKUP($AM339,個性タイプマスタ!$A$5:$P$100,2,FALSE),"Ranged")</f>
        <v>Melee</v>
      </c>
      <c r="Y339" s="56">
        <f>IFERROR(VLOOKUP($AM339,個性タイプマスタ!$A$5:$P$100,3,FALSE),1)</f>
        <v>2.0499999999999998</v>
      </c>
      <c r="Z339" s="56">
        <f>IFERROR(VLOOKUP($AM339,個性タイプマスタ!$A$5:$P$100,4,FALSE),1)</f>
        <v>1.52</v>
      </c>
      <c r="AA339" s="56">
        <f>IFERROR(VLOOKUP($AM339,個性タイプマスタ!$A$5:$P$100,5,FALSE),1)</f>
        <v>1.3</v>
      </c>
      <c r="AB339" s="56">
        <f>IFERROR(VLOOKUP($AM339,個性タイプマスタ!$A$5:$P$100,6,FALSE),1)</f>
        <v>0.51</v>
      </c>
      <c r="AC339" s="56">
        <f>IFERROR(VLOOKUP($AM339,個性タイプマスタ!$A$5:$P$100,7,FALSE),1)</f>
        <v>0.85</v>
      </c>
      <c r="AD339" s="56">
        <f>IFERROR(VLOOKUP($AM339,個性タイプマスタ!$A$5:$P$100,8,FALSE),1)</f>
        <v>0.95</v>
      </c>
      <c r="AE339" s="60">
        <f>IFERROR(D339/設定!$B$5,1)</f>
        <v>189.0591</v>
      </c>
      <c r="AF339" s="60">
        <f>1+設定!$B$13*((I339/設定!$B$8+J339/設定!$B$9)/(2*AE339))</f>
        <v>1.4229828133107585</v>
      </c>
      <c r="AG339" s="60">
        <f>MAX(0.7,1+設定!$B$14*(O339/IF(X339="Melee",1.5,2.5)-1))</f>
        <v>0.98199999999999998</v>
      </c>
      <c r="AH339" s="53">
        <f t="shared" si="21"/>
        <v>1509.0388967250003</v>
      </c>
      <c r="AI339" s="53">
        <f>E339*AF339*(1+設定!$B$18*AVERAGE(P339:U339))</f>
        <v>56805.06124234962</v>
      </c>
      <c r="AJ339" s="61">
        <f>設定!$B$5*SQRT((AH339/(設定!$B$7*設定!$B$10*(1+設定!$B$11*(設定!$B$12-1))))*(AI339/(設定!$B$6*(1+設定!$B$13))))</f>
        <v>18904.877689106386</v>
      </c>
      <c r="AK339" s="62">
        <f t="shared" si="22"/>
        <v>-5.4602549869997574E-5</v>
      </c>
      <c r="AL339" s="63">
        <f t="shared" si="23"/>
        <v>17960.6145</v>
      </c>
      <c r="AM339" s="64" t="s">
        <v>968</v>
      </c>
      <c r="AN339" s="54">
        <f>MAX(1,ROUND((設定!$B$7*設定!$B$10*(1+設定!$B$11*(設定!$B$12-1)))*AE339^2*(設定!$B$6*(1+設定!$B$13))/(AI339*N339*(1+K339*(L339-1))*AG339),0))</f>
        <v>2987</v>
      </c>
      <c r="AO339" s="65" t="str">
        <f>IF($A339="","",IF(COUNTIF(個性タイプマスタ!$A$5:$A$100,$AM339)&gt;0,"OK","未登録"))</f>
        <v>OK</v>
      </c>
      <c r="AP339" s="67" t="str">
        <f>IF($A339="","",IF(COUNTIF(属性耐性マスタ!$A$5:$A$11,$C339)&gt;0,"OK","未登録"))</f>
        <v>OK</v>
      </c>
    </row>
    <row r="340" spans="1:42">
      <c r="A340" s="66" t="s">
        <v>780</v>
      </c>
      <c r="B340" s="51" t="s">
        <v>781</v>
      </c>
      <c r="C340" s="52" t="s">
        <v>114</v>
      </c>
      <c r="D340" s="53">
        <f>ROUND(設定!$B$5*POWER($D$2,W340-1),2)</f>
        <v>18905.91</v>
      </c>
      <c r="E340" s="54">
        <f>MAX(1,ROUND(設定!$B$6*AE340*Y340,0))</f>
        <v>17393</v>
      </c>
      <c r="F340" s="54">
        <f>MAX(0,ROUND(設定!$B$7*AE340*設定!$B$15*IF(X340="Melee",0.6,1.35)*IFERROR(VLOOKUP($AM340,個性タイプマスタ!$A$5:$P$100,14,FALSE),1),0))</f>
        <v>2756</v>
      </c>
      <c r="G340" s="54">
        <f>IF(X340="Melee",AN340,MAX(1,ROUND(AN340*設定!$B$16*IFERROR(VLOOKUP($AM340,個性タイプマスタ!$A$5:$P$100,15,FALSE),1),0)))</f>
        <v>1574</v>
      </c>
      <c r="H340" s="54">
        <f>IF(X340="Ranged",AN340,MAX(1,ROUND(AN340*設定!$B$16*IFERROR(VLOOKUP($AM340,個性タイプマスタ!$A$5:$P$100,15,FALSE),1),0)))</f>
        <v>3497</v>
      </c>
      <c r="I340" s="54">
        <f>MAX(0,ROUND(設定!$B$8*AE340*Z340,0))</f>
        <v>1437</v>
      </c>
      <c r="J340" s="54">
        <f>MAX(0,ROUND(設定!$B$9*AE340*AA340,0))</f>
        <v>1588</v>
      </c>
      <c r="K340" s="55">
        <f>IFERROR(VLOOKUP($AM340,個性タイプマスタ!$A$5:$P$100,9,FALSE),0.05)</f>
        <v>0.05</v>
      </c>
      <c r="L340" s="56">
        <f>IFERROR(VLOOKUP($AM340,個性タイプマスタ!$A$5:$P$100,10,FALSE),1.5)</f>
        <v>1.5</v>
      </c>
      <c r="M340" s="56">
        <f>IFERROR(VLOOKUP($AM340,個性タイプマスタ!$A$5:$P$100,11,FALSE),2)</f>
        <v>2</v>
      </c>
      <c r="N340" s="57">
        <f>MAX(0.1,ROUND(設定!$B$10*AB340,3))</f>
        <v>1.05</v>
      </c>
      <c r="O340" s="57">
        <f t="shared" si="20"/>
        <v>2.5</v>
      </c>
      <c r="P340" s="58">
        <f>MAX(-10,MIN(0.8,IFERROR(INDEX(属性耐性マスタ!$B$5:$G$11,MATCH($C340,属性耐性マスタ!$A$5:$A$11,0),1),0)+IFERROR(VLOOKUP($AM340,個性タイプマスタ!$A$5:$P$100,12,FALSE),0)))</f>
        <v>0</v>
      </c>
      <c r="Q340" s="58">
        <f>MAX(-10,MIN(0.8,IFERROR(INDEX(属性耐性マスタ!$B$5:$G$11,MATCH($C340,属性耐性マスタ!$A$5:$A$11,0),2),0)+IFERROR(VLOOKUP($AM340,個性タイプマスタ!$A$5:$P$100,12,FALSE),0)))</f>
        <v>0</v>
      </c>
      <c r="R340" s="58">
        <f>MAX(-10,MIN(0.8,IFERROR(INDEX(属性耐性マスタ!$B$5:$G$11,MATCH($C340,属性耐性マスタ!$A$5:$A$11,0),3),0)+IFERROR(VLOOKUP($AM340,個性タイプマスタ!$A$5:$P$100,12,FALSE),0)))</f>
        <v>0.2</v>
      </c>
      <c r="S340" s="58">
        <f>MAX(-10,MIN(0.8,IFERROR(INDEX(属性耐性マスタ!$B$5:$G$11,MATCH($C340,属性耐性マスタ!$A$5:$A$11,0),4),0)+IFERROR(VLOOKUP($AM340,個性タイプマスタ!$A$5:$P$100,12,FALSE),0)))</f>
        <v>-0.1</v>
      </c>
      <c r="T340" s="58">
        <f>MAX(-10,MIN(0.8,IFERROR(INDEX(属性耐性マスタ!$B$5:$G$11,MATCH($C340,属性耐性マスタ!$A$5:$A$11,0),5),0)+IFERROR(VLOOKUP($AM340,個性タイプマスタ!$A$5:$P$100,12,FALSE),0)))</f>
        <v>0</v>
      </c>
      <c r="U340" s="58">
        <f>MAX(-10,MIN(0.8,IFERROR(INDEX(属性耐性マスタ!$B$5:$G$11,MATCH($C340,属性耐性マスタ!$A$5:$A$11,0),6),0)+IFERROR(VLOOKUP($AM340,個性タイプマスタ!$A$5:$P$100,12,FALSE),0)))</f>
        <v>0</v>
      </c>
      <c r="V340" s="59">
        <f>ROUND(設定!$B$19*IFERROR(VLOOKUP($AM340,個性タイプマスタ!$A$5:$P$100,13,FALSE),1),2)</f>
        <v>4</v>
      </c>
      <c r="W340" s="59">
        <v>56</v>
      </c>
      <c r="X340" s="59" t="str">
        <f>IFERROR(VLOOKUP($AM340,個性タイプマスタ!$A$5:$P$100,2,FALSE),"Ranged")</f>
        <v>Ranged</v>
      </c>
      <c r="Y340" s="56">
        <f>IFERROR(VLOOKUP($AM340,個性タイプマスタ!$A$5:$P$100,3,FALSE),1)</f>
        <v>0.92</v>
      </c>
      <c r="Z340" s="56">
        <f>IFERROR(VLOOKUP($AM340,個性タイプマスタ!$A$5:$P$100,4,FALSE),1)</f>
        <v>0.95</v>
      </c>
      <c r="AA340" s="56">
        <f>IFERROR(VLOOKUP($AM340,個性タイプマスタ!$A$5:$P$100,5,FALSE),1)</f>
        <v>1.05</v>
      </c>
      <c r="AB340" s="56">
        <f>IFERROR(VLOOKUP($AM340,個性タイプマスタ!$A$5:$P$100,6,FALSE),1)</f>
        <v>1.05</v>
      </c>
      <c r="AC340" s="56">
        <f>IFERROR(VLOOKUP($AM340,個性タイプマスタ!$A$5:$P$100,7,FALSE),1)</f>
        <v>1</v>
      </c>
      <c r="AD340" s="56">
        <f>IFERROR(VLOOKUP($AM340,個性タイプマスタ!$A$5:$P$100,8,FALSE),1)</f>
        <v>0.74</v>
      </c>
      <c r="AE340" s="60">
        <f>IFERROR(D340/設定!$B$5,1)</f>
        <v>189.0591</v>
      </c>
      <c r="AF340" s="60">
        <f>1+設定!$B$13*((I340/設定!$B$8+J340/設定!$B$9)/(2*AE340))</f>
        <v>1.3000053951383457</v>
      </c>
      <c r="AG340" s="60">
        <f>MAX(0.7,1+設定!$B$14*(O340/IF(X340="Melee",1.5,2.5)-1))</f>
        <v>1</v>
      </c>
      <c r="AH340" s="53">
        <f t="shared" si="21"/>
        <v>3763.6462500000002</v>
      </c>
      <c r="AI340" s="53">
        <f>E340*AF340*(1+設定!$B$18*AVERAGE(P340:U340))</f>
        <v>22780.576291423557</v>
      </c>
      <c r="AJ340" s="61">
        <f>設定!$B$5*SQRT((AH340/(設定!$B$7*設定!$B$10*(1+設定!$B$11*(設定!$B$12-1))))*(AI340/(設定!$B$6*(1+設定!$B$13))))</f>
        <v>18906.750372276776</v>
      </c>
      <c r="AK340" s="62">
        <f t="shared" si="22"/>
        <v>4.4450242108196036E-5</v>
      </c>
      <c r="AL340" s="63">
        <f t="shared" si="23"/>
        <v>13990.3734</v>
      </c>
      <c r="AM340" s="64" t="s">
        <v>881</v>
      </c>
      <c r="AN340" s="54">
        <f>MAX(1,ROUND((設定!$B$7*設定!$B$10*(1+設定!$B$11*(設定!$B$12-1)))*AE340^2*(設定!$B$6*(1+設定!$B$13))/(AI340*N340*(1+K340*(L340-1))*AG340),0))</f>
        <v>3497</v>
      </c>
      <c r="AO340" s="65" t="str">
        <f>IF($A340="","",IF(COUNTIF(個性タイプマスタ!$A$5:$A$100,$AM340)&gt;0,"OK","未登録"))</f>
        <v>OK</v>
      </c>
      <c r="AP340" s="67" t="str">
        <f>IF($A340="","",IF(COUNTIF(属性耐性マスタ!$A$5:$A$11,$C340)&gt;0,"OK","未登録"))</f>
        <v>OK</v>
      </c>
    </row>
    <row r="341" spans="1:42">
      <c r="A341" s="66" t="s">
        <v>782</v>
      </c>
      <c r="B341" s="51" t="s">
        <v>783</v>
      </c>
      <c r="C341" s="52" t="s">
        <v>111</v>
      </c>
      <c r="D341" s="53">
        <f>ROUND(設定!$B$5*POWER($D$2,W341-1),2)</f>
        <v>20796.509999999998</v>
      </c>
      <c r="E341" s="54">
        <f>MAX(1,ROUND(設定!$B$6*AE341*Y341,0))</f>
        <v>16429</v>
      </c>
      <c r="F341" s="54">
        <f>MAX(0,ROUND(設定!$B$7*AE341*設定!$B$15*IF(X341="Melee",0.6,1.35)*IFERROR(VLOOKUP($AM341,個性タイプマスタ!$A$5:$P$100,14,FALSE),1),0))</f>
        <v>2729</v>
      </c>
      <c r="G341" s="54">
        <f>IF(X341="Melee",AN341,MAX(1,ROUND(AN341*設定!$B$16*IFERROR(VLOOKUP($AM341,個性タイプマスタ!$A$5:$P$100,15,FALSE),1),0)))</f>
        <v>719</v>
      </c>
      <c r="H341" s="54">
        <f>IF(X341="Ranged",AN341,MAX(1,ROUND(AN341*設定!$B$16*IFERROR(VLOOKUP($AM341,個性タイプマスタ!$A$5:$P$100,15,FALSE),1),0)))</f>
        <v>3013</v>
      </c>
      <c r="I341" s="54">
        <f>MAX(0,ROUND(設定!$B$8*AE341*Z341,0))</f>
        <v>1414</v>
      </c>
      <c r="J341" s="54">
        <f>MAX(0,ROUND(設定!$B$9*AE341*AA341,0))</f>
        <v>1348</v>
      </c>
      <c r="K341" s="55">
        <f>IFERROR(VLOOKUP($AM341,個性タイプマスタ!$A$5:$P$100,9,FALSE),0.05)</f>
        <v>6.5000000000000002E-2</v>
      </c>
      <c r="L341" s="56">
        <f>IFERROR(VLOOKUP($AM341,個性タイプマスタ!$A$5:$P$100,10,FALSE),1.5)</f>
        <v>1.45</v>
      </c>
      <c r="M341" s="56">
        <f>IFERROR(VLOOKUP($AM341,個性タイプマスタ!$A$5:$P$100,11,FALSE),2)</f>
        <v>4</v>
      </c>
      <c r="N341" s="57">
        <f>MAX(0.1,ROUND(設定!$B$10*AB341,3))</f>
        <v>1.72</v>
      </c>
      <c r="O341" s="57">
        <f t="shared" si="20"/>
        <v>1.9</v>
      </c>
      <c r="P341" s="58">
        <f>MAX(-10,MIN(0.8,IFERROR(INDEX(属性耐性マスタ!$B$5:$G$11,MATCH($C341,属性耐性マスタ!$A$5:$A$11,0),1),0)+IFERROR(VLOOKUP($AM341,個性タイプマスタ!$A$5:$P$100,12,FALSE),0)))</f>
        <v>0.13</v>
      </c>
      <c r="Q341" s="58">
        <f>MAX(-10,MIN(0.8,IFERROR(INDEX(属性耐性マスタ!$B$5:$G$11,MATCH($C341,属性耐性マスタ!$A$5:$A$11,0),2),0)+IFERROR(VLOOKUP($AM341,個性タイプマスタ!$A$5:$P$100,12,FALSE),0)))</f>
        <v>-0.17</v>
      </c>
      <c r="R341" s="58">
        <f>MAX(-10,MIN(0.8,IFERROR(INDEX(属性耐性マスタ!$B$5:$G$11,MATCH($C341,属性耐性マスタ!$A$5:$A$11,0),3),0)+IFERROR(VLOOKUP($AM341,個性タイプマスタ!$A$5:$P$100,12,FALSE),0)))</f>
        <v>-7.0000000000000007E-2</v>
      </c>
      <c r="S341" s="58">
        <f>MAX(-10,MIN(0.8,IFERROR(INDEX(属性耐性マスタ!$B$5:$G$11,MATCH($C341,属性耐性マスタ!$A$5:$A$11,0),4),0)+IFERROR(VLOOKUP($AM341,個性タイプマスタ!$A$5:$P$100,12,FALSE),0)))</f>
        <v>-7.0000000000000007E-2</v>
      </c>
      <c r="T341" s="58">
        <f>MAX(-10,MIN(0.8,IFERROR(INDEX(属性耐性マスタ!$B$5:$G$11,MATCH($C341,属性耐性マスタ!$A$5:$A$11,0),5),0)+IFERROR(VLOOKUP($AM341,個性タイプマスタ!$A$5:$P$100,12,FALSE),0)))</f>
        <v>-7.0000000000000007E-2</v>
      </c>
      <c r="U341" s="58">
        <f>MAX(-10,MIN(0.8,IFERROR(INDEX(属性耐性マスタ!$B$5:$G$11,MATCH($C341,属性耐性マスタ!$A$5:$A$11,0),6),0)+IFERROR(VLOOKUP($AM341,個性タイプマスタ!$A$5:$P$100,12,FALSE),0)))</f>
        <v>-7.0000000000000007E-2</v>
      </c>
      <c r="V341" s="59">
        <f>ROUND(設定!$B$19*IFERROR(VLOOKUP($AM341,個性タイプマスタ!$A$5:$P$100,13,FALSE),1),2)</f>
        <v>5.4</v>
      </c>
      <c r="W341" s="59">
        <v>57</v>
      </c>
      <c r="X341" s="59" t="str">
        <f>IFERROR(VLOOKUP($AM341,個性タイプマスタ!$A$5:$P$100,2,FALSE),"Ranged")</f>
        <v>Ranged</v>
      </c>
      <c r="Y341" s="56">
        <f>IFERROR(VLOOKUP($AM341,個性タイプマスタ!$A$5:$P$100,3,FALSE),1)</f>
        <v>0.79</v>
      </c>
      <c r="Z341" s="56">
        <f>IFERROR(VLOOKUP($AM341,個性タイプマスタ!$A$5:$P$100,4,FALSE),1)</f>
        <v>0.85</v>
      </c>
      <c r="AA341" s="56">
        <f>IFERROR(VLOOKUP($AM341,個性タイプマスタ!$A$5:$P$100,5,FALSE),1)</f>
        <v>0.81</v>
      </c>
      <c r="AB341" s="56">
        <f>IFERROR(VLOOKUP($AM341,個性タイプマスタ!$A$5:$P$100,6,FALSE),1)</f>
        <v>1.72</v>
      </c>
      <c r="AC341" s="56">
        <f>IFERROR(VLOOKUP($AM341,個性タイプマスタ!$A$5:$P$100,7,FALSE),1)</f>
        <v>0.76</v>
      </c>
      <c r="AD341" s="56">
        <f>IFERROR(VLOOKUP($AM341,個性タイプマスタ!$A$5:$P$100,8,FALSE),1)</f>
        <v>0.63</v>
      </c>
      <c r="AE341" s="60">
        <f>IFERROR(D341/設定!$B$5,1)</f>
        <v>207.96509999999998</v>
      </c>
      <c r="AF341" s="60">
        <f>1+設定!$B$13*((I341/設定!$B$8+J341/設定!$B$9)/(2*AE341))</f>
        <v>1.2490201480921559</v>
      </c>
      <c r="AG341" s="60">
        <f>MAX(0.7,1+設定!$B$14*(O341/IF(X341="Melee",1.5,2.5)-1))</f>
        <v>0.97119999999999995</v>
      </c>
      <c r="AH341" s="53">
        <f t="shared" si="21"/>
        <v>5180.3264419359994</v>
      </c>
      <c r="AI341" s="53">
        <f>E341*AF341*(1+設定!$B$18*AVERAGE(P341:U341))</f>
        <v>20027.668364693887</v>
      </c>
      <c r="AJ341" s="61">
        <f>設定!$B$5*SQRT((AH341/(設定!$B$7*設定!$B$10*(1+設定!$B$11*(設定!$B$12-1))))*(AI341/(設定!$B$6*(1+設定!$B$13))))</f>
        <v>20798.111313999492</v>
      </c>
      <c r="AK341" s="62">
        <f t="shared" si="22"/>
        <v>7.6999169547953272E-5</v>
      </c>
      <c r="AL341" s="63">
        <f t="shared" si="23"/>
        <v>13101.801299999999</v>
      </c>
      <c r="AM341" s="64" t="s">
        <v>936</v>
      </c>
      <c r="AN341" s="54">
        <f>MAX(1,ROUND((設定!$B$7*設定!$B$10*(1+設定!$B$11*(設定!$B$12-1)))*AE341^2*(設定!$B$6*(1+設定!$B$13))/(AI341*N341*(1+K341*(L341-1))*AG341),0))</f>
        <v>3013</v>
      </c>
      <c r="AO341" s="65" t="str">
        <f>IF($A341="","",IF(COUNTIF(個性タイプマスタ!$A$5:$A$100,$AM341)&gt;0,"OK","未登録"))</f>
        <v>OK</v>
      </c>
      <c r="AP341" s="67" t="str">
        <f>IF($A341="","",IF(COUNTIF(属性耐性マスタ!$A$5:$A$11,$C341)&gt;0,"OK","未登録"))</f>
        <v>OK</v>
      </c>
    </row>
    <row r="342" spans="1:42">
      <c r="A342" s="66" t="s">
        <v>784</v>
      </c>
      <c r="B342" s="51" t="s">
        <v>785</v>
      </c>
      <c r="C342" s="52" t="s">
        <v>108</v>
      </c>
      <c r="D342" s="53">
        <f>ROUND(設定!$B$5*POWER($D$2,W342-1),2)</f>
        <v>20796.509999999998</v>
      </c>
      <c r="E342" s="54">
        <f>MAX(1,ROUND(設定!$B$6*AE342*Y342,0))</f>
        <v>24956</v>
      </c>
      <c r="F342" s="54">
        <f>MAX(0,ROUND(設定!$B$7*AE342*設定!$B$15*IF(X342="Melee",0.6,1.35)*IFERROR(VLOOKUP($AM342,個性タイプマスタ!$A$5:$P$100,14,FALSE),1),0))</f>
        <v>3032</v>
      </c>
      <c r="G342" s="54">
        <f>IF(X342="Melee",AN342,MAX(1,ROUND(AN342*設定!$B$16*IFERROR(VLOOKUP($AM342,個性タイプマスタ!$A$5:$P$100,15,FALSE),1),0)))</f>
        <v>1331</v>
      </c>
      <c r="H342" s="54">
        <f>IF(X342="Ranged",AN342,MAX(1,ROUND(AN342*設定!$B$16*IFERROR(VLOOKUP($AM342,個性タイプマスタ!$A$5:$P$100,15,FALSE),1),0)))</f>
        <v>2957</v>
      </c>
      <c r="I342" s="54">
        <f>MAX(0,ROUND(設定!$B$8*AE342*Z342,0))</f>
        <v>2163</v>
      </c>
      <c r="J342" s="54">
        <f>MAX(0,ROUND(設定!$B$9*AE342*AA342,0))</f>
        <v>1414</v>
      </c>
      <c r="K342" s="55">
        <f>IFERROR(VLOOKUP($AM342,個性タイプマスタ!$A$5:$P$100,9,FALSE),0.05)</f>
        <v>0.08</v>
      </c>
      <c r="L342" s="56">
        <f>IFERROR(VLOOKUP($AM342,個性タイプマスタ!$A$5:$P$100,10,FALSE),1.5)</f>
        <v>1.6</v>
      </c>
      <c r="M342" s="56">
        <f>IFERROR(VLOOKUP($AM342,個性タイプマスタ!$A$5:$P$100,11,FALSE),2)</f>
        <v>2.8</v>
      </c>
      <c r="N342" s="57">
        <f>MAX(0.1,ROUND(設定!$B$10*AB342,3))</f>
        <v>1</v>
      </c>
      <c r="O342" s="57">
        <f t="shared" si="20"/>
        <v>2.5</v>
      </c>
      <c r="P342" s="58">
        <f>MAX(-10,MIN(0.8,IFERROR(INDEX(属性耐性マスタ!$B$5:$G$11,MATCH($C342,属性耐性マスタ!$A$5:$A$11,0),1),0)+IFERROR(VLOOKUP($AM342,個性タイプマスタ!$A$5:$P$100,12,FALSE),0)))</f>
        <v>-8.5000000000000006E-2</v>
      </c>
      <c r="Q342" s="58">
        <f>MAX(-10,MIN(0.8,IFERROR(INDEX(属性耐性マスタ!$B$5:$G$11,MATCH($C342,属性耐性マスタ!$A$5:$A$11,0),2),0)+IFERROR(VLOOKUP($AM342,個性タイプマスタ!$A$5:$P$100,12,FALSE),0)))</f>
        <v>0.21500000000000002</v>
      </c>
      <c r="R342" s="58">
        <f>MAX(-10,MIN(0.8,IFERROR(INDEX(属性耐性マスタ!$B$5:$G$11,MATCH($C342,属性耐性マスタ!$A$5:$A$11,0),3),0)+IFERROR(VLOOKUP($AM342,個性タイプマスタ!$A$5:$P$100,12,FALSE),0)))</f>
        <v>1.4999999999999999E-2</v>
      </c>
      <c r="S342" s="58">
        <f>MAX(-10,MIN(0.8,IFERROR(INDEX(属性耐性マスタ!$B$5:$G$11,MATCH($C342,属性耐性マスタ!$A$5:$A$11,0),4),0)+IFERROR(VLOOKUP($AM342,個性タイプマスタ!$A$5:$P$100,12,FALSE),0)))</f>
        <v>1.4999999999999999E-2</v>
      </c>
      <c r="T342" s="58">
        <f>MAX(-10,MIN(0.8,IFERROR(INDEX(属性耐性マスタ!$B$5:$G$11,MATCH($C342,属性耐性マスタ!$A$5:$A$11,0),5),0)+IFERROR(VLOOKUP($AM342,個性タイプマスタ!$A$5:$P$100,12,FALSE),0)))</f>
        <v>1.4999999999999999E-2</v>
      </c>
      <c r="U342" s="58">
        <f>MAX(-10,MIN(0.8,IFERROR(INDEX(属性耐性マスタ!$B$5:$G$11,MATCH($C342,属性耐性マスタ!$A$5:$A$11,0),6),0)+IFERROR(VLOOKUP($AM342,個性タイプマスタ!$A$5:$P$100,12,FALSE),0)))</f>
        <v>1.4999999999999999E-2</v>
      </c>
      <c r="V342" s="59">
        <f>ROUND(設定!$B$19*IFERROR(VLOOKUP($AM342,個性タイプマスタ!$A$5:$P$100,13,FALSE),1),2)</f>
        <v>4</v>
      </c>
      <c r="W342" s="59">
        <v>57</v>
      </c>
      <c r="X342" s="59" t="str">
        <f>IFERROR(VLOOKUP($AM342,個性タイプマスタ!$A$5:$P$100,2,FALSE),"Ranged")</f>
        <v>Ranged</v>
      </c>
      <c r="Y342" s="56">
        <f>IFERROR(VLOOKUP($AM342,個性タイプマスタ!$A$5:$P$100,3,FALSE),1)</f>
        <v>1.2</v>
      </c>
      <c r="Z342" s="56">
        <f>IFERROR(VLOOKUP($AM342,個性タイプマスタ!$A$5:$P$100,4,FALSE),1)</f>
        <v>1.3</v>
      </c>
      <c r="AA342" s="56">
        <f>IFERROR(VLOOKUP($AM342,個性タイプマスタ!$A$5:$P$100,5,FALSE),1)</f>
        <v>0.85</v>
      </c>
      <c r="AB342" s="56">
        <f>IFERROR(VLOOKUP($AM342,個性タイプマスタ!$A$5:$P$100,6,FALSE),1)</f>
        <v>1</v>
      </c>
      <c r="AC342" s="56">
        <f>IFERROR(VLOOKUP($AM342,個性タイプマスタ!$A$5:$P$100,7,FALSE),1)</f>
        <v>1</v>
      </c>
      <c r="AD342" s="56">
        <f>IFERROR(VLOOKUP($AM342,個性タイプマスタ!$A$5:$P$100,8,FALSE),1)</f>
        <v>0.85</v>
      </c>
      <c r="AE342" s="60">
        <f>IFERROR(D342/設定!$B$5,1)</f>
        <v>207.96509999999998</v>
      </c>
      <c r="AF342" s="60">
        <f>1+設定!$B$13*((I342/設定!$B$8+J342/設定!$B$9)/(2*AE342))</f>
        <v>1.3225000252446204</v>
      </c>
      <c r="AG342" s="60">
        <f>MAX(0.7,1+設定!$B$14*(O342/IF(X342="Melee",1.5,2.5)-1))</f>
        <v>1</v>
      </c>
      <c r="AH342" s="53">
        <f t="shared" si="21"/>
        <v>3098.9360000000001</v>
      </c>
      <c r="AI342" s="53">
        <f>E342*AF342*(1+設定!$B$18*AVERAGE(P342:U342))</f>
        <v>33474.622056482316</v>
      </c>
      <c r="AJ342" s="61">
        <f>設定!$B$5*SQRT((AH342/(設定!$B$7*設定!$B$10*(1+設定!$B$11*(設定!$B$12-1))))*(AI342/(設定!$B$6*(1+設定!$B$13))))</f>
        <v>20796.693120936925</v>
      </c>
      <c r="AK342" s="62">
        <f t="shared" si="22"/>
        <v>8.805368637565536E-6</v>
      </c>
      <c r="AL342" s="63">
        <f t="shared" si="23"/>
        <v>17677.033499999998</v>
      </c>
      <c r="AM342" s="64" t="s">
        <v>894</v>
      </c>
      <c r="AN342" s="54">
        <f>MAX(1,ROUND((設定!$B$7*設定!$B$10*(1+設定!$B$11*(設定!$B$12-1)))*AE342^2*(設定!$B$6*(1+設定!$B$13))/(AI342*N342*(1+K342*(L342-1))*AG342),0))</f>
        <v>2957</v>
      </c>
      <c r="AO342" s="65" t="str">
        <f>IF($A342="","",IF(COUNTIF(個性タイプマスタ!$A$5:$A$100,$AM342)&gt;0,"OK","未登録"))</f>
        <v>OK</v>
      </c>
      <c r="AP342" s="67" t="str">
        <f>IF($A342="","",IF(COUNTIF(属性耐性マスタ!$A$5:$A$11,$C342)&gt;0,"OK","未登録"))</f>
        <v>OK</v>
      </c>
    </row>
    <row r="343" spans="1:42">
      <c r="A343" s="66" t="s">
        <v>786</v>
      </c>
      <c r="B343" s="51" t="s">
        <v>787</v>
      </c>
      <c r="C343" s="52" t="s">
        <v>121</v>
      </c>
      <c r="D343" s="53">
        <f>ROUND(設定!$B$5*POWER($D$2,W343-1),2)</f>
        <v>20796.509999999998</v>
      </c>
      <c r="E343" s="54">
        <f>MAX(1,ROUND(設定!$B$6*AE343*Y343,0))</f>
        <v>12062</v>
      </c>
      <c r="F343" s="54">
        <f>MAX(0,ROUND(設定!$B$7*AE343*設定!$B$15*IF(X343="Melee",0.6,1.35)*IFERROR(VLOOKUP($AM343,個性タイプマスタ!$A$5:$P$100,14,FALSE),1),0))</f>
        <v>2365</v>
      </c>
      <c r="G343" s="54">
        <f>IF(X343="Melee",AN343,MAX(1,ROUND(AN343*設定!$B$16*IFERROR(VLOOKUP($AM343,個性タイプマスタ!$A$5:$P$100,15,FALSE),1),0)))</f>
        <v>1186</v>
      </c>
      <c r="H343" s="54">
        <f>IF(X343="Ranged",AN343,MAX(1,ROUND(AN343*設定!$B$16*IFERROR(VLOOKUP($AM343,個性タイプマスタ!$A$5:$P$100,15,FALSE),1),0)))</f>
        <v>5491</v>
      </c>
      <c r="I343" s="54">
        <f>MAX(0,ROUND(設定!$B$8*AE343*Z343,0))</f>
        <v>1065</v>
      </c>
      <c r="J343" s="54">
        <f>MAX(0,ROUND(設定!$B$9*AE343*AA343,0))</f>
        <v>1081</v>
      </c>
      <c r="K343" s="55">
        <f>IFERROR(VLOOKUP($AM343,個性タイプマスタ!$A$5:$P$100,9,FALSE),0.05)</f>
        <v>0.08</v>
      </c>
      <c r="L343" s="56">
        <f>IFERROR(VLOOKUP($AM343,個性タイプマスタ!$A$5:$P$100,10,FALSE),1.5)</f>
        <v>1.55</v>
      </c>
      <c r="M343" s="56">
        <f>IFERROR(VLOOKUP($AM343,個性タイプマスタ!$A$5:$P$100,11,FALSE),2)</f>
        <v>4.2</v>
      </c>
      <c r="N343" s="57">
        <f>MAX(0.1,ROUND(設定!$B$10*AB343,3))</f>
        <v>1.3</v>
      </c>
      <c r="O343" s="57">
        <f t="shared" si="20"/>
        <v>2.5</v>
      </c>
      <c r="P343" s="58">
        <f>MAX(-10,MIN(0.8,IFERROR(INDEX(属性耐性マスタ!$B$5:$G$11,MATCH($C343,属性耐性マスタ!$A$5:$A$11,0),1),0)+IFERROR(VLOOKUP($AM343,個性タイプマスタ!$A$5:$P$100,12,FALSE),0)))</f>
        <v>-0.09</v>
      </c>
      <c r="Q343" s="58">
        <f>MAX(-10,MIN(0.8,IFERROR(INDEX(属性耐性マスタ!$B$5:$G$11,MATCH($C343,属性耐性マスタ!$A$5:$A$11,0),2),0)+IFERROR(VLOOKUP($AM343,個性タイプマスタ!$A$5:$P$100,12,FALSE),0)))</f>
        <v>-0.09</v>
      </c>
      <c r="R343" s="58">
        <f>MAX(-10,MIN(0.8,IFERROR(INDEX(属性耐性マスタ!$B$5:$G$11,MATCH($C343,属性耐性マスタ!$A$5:$A$11,0),3),0)+IFERROR(VLOOKUP($AM343,個性タイプマスタ!$A$5:$P$100,12,FALSE),0)))</f>
        <v>-0.09</v>
      </c>
      <c r="S343" s="58">
        <f>MAX(-10,MIN(0.8,IFERROR(INDEX(属性耐性マスタ!$B$5:$G$11,MATCH($C343,属性耐性マスタ!$A$5:$A$11,0),4),0)+IFERROR(VLOOKUP($AM343,個性タイプマスタ!$A$5:$P$100,12,FALSE),0)))</f>
        <v>-0.09</v>
      </c>
      <c r="T343" s="58">
        <f>MAX(-10,MIN(0.8,IFERROR(INDEX(属性耐性マスタ!$B$5:$G$11,MATCH($C343,属性耐性マスタ!$A$5:$A$11,0),5),0)+IFERROR(VLOOKUP($AM343,個性タイプマスタ!$A$5:$P$100,12,FALSE),0)))</f>
        <v>0.11000000000000001</v>
      </c>
      <c r="U343" s="58">
        <f>MAX(-10,MIN(0.8,IFERROR(INDEX(属性耐性マスタ!$B$5:$G$11,MATCH($C343,属性耐性マスタ!$A$5:$A$11,0),6),0)+IFERROR(VLOOKUP($AM343,個性タイプマスタ!$A$5:$P$100,12,FALSE),0)))</f>
        <v>-0.19</v>
      </c>
      <c r="V343" s="59">
        <f>ROUND(設定!$B$19*IFERROR(VLOOKUP($AM343,個性タイプマスタ!$A$5:$P$100,13,FALSE),1),2)</f>
        <v>4.2</v>
      </c>
      <c r="W343" s="59">
        <v>57</v>
      </c>
      <c r="X343" s="59" t="str">
        <f>IFERROR(VLOOKUP($AM343,個性タイプマスタ!$A$5:$P$100,2,FALSE),"Ranged")</f>
        <v>Ranged</v>
      </c>
      <c r="Y343" s="56">
        <f>IFERROR(VLOOKUP($AM343,個性タイプマスタ!$A$5:$P$100,3,FALSE),1)</f>
        <v>0.57999999999999996</v>
      </c>
      <c r="Z343" s="56">
        <f>IFERROR(VLOOKUP($AM343,個性タイプマスタ!$A$5:$P$100,4,FALSE),1)</f>
        <v>0.64</v>
      </c>
      <c r="AA343" s="56">
        <f>IFERROR(VLOOKUP($AM343,個性タイプマスタ!$A$5:$P$100,5,FALSE),1)</f>
        <v>0.65</v>
      </c>
      <c r="AB343" s="56">
        <f>IFERROR(VLOOKUP($AM343,個性タイプマスタ!$A$5:$P$100,6,FALSE),1)</f>
        <v>1.3</v>
      </c>
      <c r="AC343" s="56">
        <f>IFERROR(VLOOKUP($AM343,個性タイプマスタ!$A$5:$P$100,7,FALSE),1)</f>
        <v>1</v>
      </c>
      <c r="AD343" s="56">
        <f>IFERROR(VLOOKUP($AM343,個性タイプマスタ!$A$5:$P$100,8,FALSE),1)</f>
        <v>0.56999999999999995</v>
      </c>
      <c r="AE343" s="60">
        <f>IFERROR(D343/設定!$B$5,1)</f>
        <v>207.96509999999998</v>
      </c>
      <c r="AF343" s="60">
        <f>1+設定!$B$13*((I343/設定!$B$8+J343/設定!$B$9)/(2*AE343))</f>
        <v>1.1934819832750785</v>
      </c>
      <c r="AG343" s="60">
        <f>MAX(0.7,1+設定!$B$14*(O343/IF(X343="Melee",1.5,2.5)-1))</f>
        <v>1</v>
      </c>
      <c r="AH343" s="53">
        <f t="shared" si="21"/>
        <v>7452.3852000000006</v>
      </c>
      <c r="AI343" s="53">
        <f>E343*AF343*(1+設定!$B$18*AVERAGE(P343:U343))</f>
        <v>13920.718952749285</v>
      </c>
      <c r="AJ343" s="61">
        <f>設定!$B$5*SQRT((AH343/(設定!$B$7*設定!$B$10*(1+設定!$B$11*(設定!$B$12-1))))*(AI343/(設定!$B$6*(1+設定!$B$13))))</f>
        <v>20797.37959721377</v>
      </c>
      <c r="AK343" s="62">
        <f t="shared" si="22"/>
        <v>4.1814574357479373E-5</v>
      </c>
      <c r="AL343" s="63">
        <f t="shared" si="23"/>
        <v>11854.010699999999</v>
      </c>
      <c r="AM343" s="64" t="s">
        <v>914</v>
      </c>
      <c r="AN343" s="54">
        <f>MAX(1,ROUND((設定!$B$7*設定!$B$10*(1+設定!$B$11*(設定!$B$12-1)))*AE343^2*(設定!$B$6*(1+設定!$B$13))/(AI343*N343*(1+K343*(L343-1))*AG343),0))</f>
        <v>5491</v>
      </c>
      <c r="AO343" s="65" t="str">
        <f>IF($A343="","",IF(COUNTIF(個性タイプマスタ!$A$5:$A$100,$AM343)&gt;0,"OK","未登録"))</f>
        <v>OK</v>
      </c>
      <c r="AP343" s="67" t="str">
        <f>IF($A343="","",IF(COUNTIF(属性耐性マスタ!$A$5:$A$11,$C343)&gt;0,"OK","未登録"))</f>
        <v>OK</v>
      </c>
    </row>
    <row r="344" spans="1:42">
      <c r="A344" s="66" t="s">
        <v>788</v>
      </c>
      <c r="B344" s="51" t="s">
        <v>789</v>
      </c>
      <c r="C344" s="52" t="s">
        <v>108</v>
      </c>
      <c r="D344" s="53">
        <f>ROUND(設定!$B$5*POWER($D$2,W344-1),2)</f>
        <v>20796.509999999998</v>
      </c>
      <c r="E344" s="54">
        <f>MAX(1,ROUND(設定!$B$6*AE344*Y344,0))</f>
        <v>16429</v>
      </c>
      <c r="F344" s="54">
        <f>MAX(0,ROUND(設定!$B$7*AE344*設定!$B$15*IF(X344="Melee",0.6,1.35)*IFERROR(VLOOKUP($AM344,個性タイプマスタ!$A$5:$P$100,14,FALSE),1),0))</f>
        <v>1145</v>
      </c>
      <c r="G344" s="54">
        <f>IF(X344="Melee",AN344,MAX(1,ROUND(AN344*設定!$B$16*IFERROR(VLOOKUP($AM344,個性タイプマスタ!$A$5:$P$100,15,FALSE),1),0)))</f>
        <v>3340</v>
      </c>
      <c r="H344" s="54">
        <f>IF(X344="Ranged",AN344,MAX(1,ROUND(AN344*設定!$B$16*IFERROR(VLOOKUP($AM344,個性タイプマスタ!$A$5:$P$100,15,FALSE),1),0)))</f>
        <v>1052</v>
      </c>
      <c r="I344" s="54">
        <f>MAX(0,ROUND(設定!$B$8*AE344*Z344,0))</f>
        <v>1314</v>
      </c>
      <c r="J344" s="54">
        <f>MAX(0,ROUND(設定!$B$9*AE344*AA344,0))</f>
        <v>1215</v>
      </c>
      <c r="K344" s="55">
        <f>IFERROR(VLOOKUP($AM344,個性タイプマスタ!$A$5:$P$100,9,FALSE),0.05)</f>
        <v>0.1</v>
      </c>
      <c r="L344" s="56">
        <f>IFERROR(VLOOKUP($AM344,個性タイプマスタ!$A$5:$P$100,10,FALSE),1.5)</f>
        <v>1.85</v>
      </c>
      <c r="M344" s="56">
        <f>IFERROR(VLOOKUP($AM344,個性タイプマスタ!$A$5:$P$100,11,FALSE),2)</f>
        <v>4</v>
      </c>
      <c r="N344" s="57">
        <f>MAX(0.1,ROUND(設定!$B$10*AB344,3))</f>
        <v>1.41</v>
      </c>
      <c r="O344" s="57">
        <f t="shared" si="20"/>
        <v>1.8</v>
      </c>
      <c r="P344" s="58">
        <f>MAX(-10,MIN(0.8,IFERROR(INDEX(属性耐性マスタ!$B$5:$G$11,MATCH($C344,属性耐性マスタ!$A$5:$A$11,0),1),0)+IFERROR(VLOOKUP($AM344,個性タイプマスタ!$A$5:$P$100,12,FALSE),0)))</f>
        <v>-0.155</v>
      </c>
      <c r="Q344" s="58">
        <f>MAX(-10,MIN(0.8,IFERROR(INDEX(属性耐性マスタ!$B$5:$G$11,MATCH($C344,属性耐性マスタ!$A$5:$A$11,0),2),0)+IFERROR(VLOOKUP($AM344,個性タイプマスタ!$A$5:$P$100,12,FALSE),0)))</f>
        <v>0.14500000000000002</v>
      </c>
      <c r="R344" s="58">
        <f>MAX(-10,MIN(0.8,IFERROR(INDEX(属性耐性マスタ!$B$5:$G$11,MATCH($C344,属性耐性マスタ!$A$5:$A$11,0),3),0)+IFERROR(VLOOKUP($AM344,個性タイプマスタ!$A$5:$P$100,12,FALSE),0)))</f>
        <v>-5.5E-2</v>
      </c>
      <c r="S344" s="58">
        <f>MAX(-10,MIN(0.8,IFERROR(INDEX(属性耐性マスタ!$B$5:$G$11,MATCH($C344,属性耐性マスタ!$A$5:$A$11,0),4),0)+IFERROR(VLOOKUP($AM344,個性タイプマスタ!$A$5:$P$100,12,FALSE),0)))</f>
        <v>-5.5E-2</v>
      </c>
      <c r="T344" s="58">
        <f>MAX(-10,MIN(0.8,IFERROR(INDEX(属性耐性マスタ!$B$5:$G$11,MATCH($C344,属性耐性マスタ!$A$5:$A$11,0),5),0)+IFERROR(VLOOKUP($AM344,個性タイプマスタ!$A$5:$P$100,12,FALSE),0)))</f>
        <v>-5.5E-2</v>
      </c>
      <c r="U344" s="58">
        <f>MAX(-10,MIN(0.8,IFERROR(INDEX(属性耐性マスタ!$B$5:$G$11,MATCH($C344,属性耐性マスタ!$A$5:$A$11,0),6),0)+IFERROR(VLOOKUP($AM344,個性タイプマスタ!$A$5:$P$100,12,FALSE),0)))</f>
        <v>-5.5E-2</v>
      </c>
      <c r="V344" s="59">
        <f>ROUND(設定!$B$19*IFERROR(VLOOKUP($AM344,個性タイプマスタ!$A$5:$P$100,13,FALSE),1),2)</f>
        <v>6.4</v>
      </c>
      <c r="W344" s="59">
        <v>57</v>
      </c>
      <c r="X344" s="59" t="str">
        <f>IFERROR(VLOOKUP($AM344,個性タイプマスタ!$A$5:$P$100,2,FALSE),"Ranged")</f>
        <v>Melee</v>
      </c>
      <c r="Y344" s="56">
        <f>IFERROR(VLOOKUP($AM344,個性タイプマスタ!$A$5:$P$100,3,FALSE),1)</f>
        <v>0.79</v>
      </c>
      <c r="Z344" s="56">
        <f>IFERROR(VLOOKUP($AM344,個性タイプマスタ!$A$5:$P$100,4,FALSE),1)</f>
        <v>0.79</v>
      </c>
      <c r="AA344" s="56">
        <f>IFERROR(VLOOKUP($AM344,個性タイプマスタ!$A$5:$P$100,5,FALSE),1)</f>
        <v>0.73</v>
      </c>
      <c r="AB344" s="56">
        <f>IFERROR(VLOOKUP($AM344,個性タイプマスタ!$A$5:$P$100,6,FALSE),1)</f>
        <v>1.41</v>
      </c>
      <c r="AC344" s="56">
        <f>IFERROR(VLOOKUP($AM344,個性タイプマスタ!$A$5:$P$100,7,FALSE),1)</f>
        <v>1.2</v>
      </c>
      <c r="AD344" s="56">
        <f>IFERROR(VLOOKUP($AM344,個性タイプマスタ!$A$5:$P$100,8,FALSE),1)</f>
        <v>0.64</v>
      </c>
      <c r="AE344" s="60">
        <f>IFERROR(D344/設定!$B$5,1)</f>
        <v>207.96509999999998</v>
      </c>
      <c r="AF344" s="60">
        <f>1+設定!$B$13*((I344/設定!$B$8+J344/設定!$B$9)/(2*AE344))</f>
        <v>1.2280130175688133</v>
      </c>
      <c r="AG344" s="60">
        <f>MAX(0.7,1+設定!$B$14*(O344/IF(X344="Melee",1.5,2.5)-1))</f>
        <v>1.024</v>
      </c>
      <c r="AH344" s="53">
        <f t="shared" si="21"/>
        <v>5232.331776</v>
      </c>
      <c r="AI344" s="53">
        <f>E344*AF344*(1+設定!$B$18*AVERAGE(P344:U344))</f>
        <v>19827.006669455779</v>
      </c>
      <c r="AJ344" s="61">
        <f>設定!$B$5*SQRT((AH344/(設定!$B$7*設定!$B$10*(1+設定!$B$11*(設定!$B$12-1))))*(AI344/(設定!$B$6*(1+設定!$B$13))))</f>
        <v>20797.27105416041</v>
      </c>
      <c r="AK344" s="62">
        <f t="shared" si="22"/>
        <v>3.6595282593587797E-5</v>
      </c>
      <c r="AL344" s="63">
        <f t="shared" si="23"/>
        <v>13309.766399999999</v>
      </c>
      <c r="AM344" s="64" t="s">
        <v>966</v>
      </c>
      <c r="AN344" s="54">
        <f>MAX(1,ROUND((設定!$B$7*設定!$B$10*(1+設定!$B$11*(設定!$B$12-1)))*AE344^2*(設定!$B$6*(1+設定!$B$13))/(AI344*N344*(1+K344*(L344-1))*AG344),0))</f>
        <v>3340</v>
      </c>
      <c r="AO344" s="65" t="str">
        <f>IF($A344="","",IF(COUNTIF(個性タイプマスタ!$A$5:$A$100,$AM344)&gt;0,"OK","未登録"))</f>
        <v>OK</v>
      </c>
      <c r="AP344" s="67" t="str">
        <f>IF($A344="","",IF(COUNTIF(属性耐性マスタ!$A$5:$A$11,$C344)&gt;0,"OK","未登録"))</f>
        <v>OK</v>
      </c>
    </row>
    <row r="345" spans="1:42">
      <c r="A345" s="66" t="s">
        <v>790</v>
      </c>
      <c r="B345" s="51" t="s">
        <v>791</v>
      </c>
      <c r="C345" s="52" t="s">
        <v>111</v>
      </c>
      <c r="D345" s="53">
        <f>ROUND(設定!$B$5*POWER($D$2,W345-1),2)</f>
        <v>20796.509999999998</v>
      </c>
      <c r="E345" s="54">
        <f>MAX(1,ROUND(設定!$B$6*AE345*Y345,0))</f>
        <v>24956</v>
      </c>
      <c r="F345" s="54">
        <f>MAX(0,ROUND(設定!$B$7*AE345*設定!$B$15*IF(X345="Melee",0.6,1.35)*IFERROR(VLOOKUP($AM345,個性タイプマスタ!$A$5:$P$100,14,FALSE),1),0))</f>
        <v>1145</v>
      </c>
      <c r="G345" s="54">
        <f>IF(X345="Melee",AN345,MAX(1,ROUND(AN345*設定!$B$16*IFERROR(VLOOKUP($AM345,個性タイプマスタ!$A$5:$P$100,15,FALSE),1),0)))</f>
        <v>3003</v>
      </c>
      <c r="H345" s="54">
        <f>IF(X345="Ranged",AN345,MAX(1,ROUND(AN345*設定!$B$16*IFERROR(VLOOKUP($AM345,個性タイプマスタ!$A$5:$P$100,15,FALSE),1),0)))</f>
        <v>1351</v>
      </c>
      <c r="I345" s="54">
        <f>MAX(0,ROUND(設定!$B$8*AE345*Z345,0))</f>
        <v>2163</v>
      </c>
      <c r="J345" s="54">
        <f>MAX(0,ROUND(設定!$B$9*AE345*AA345,0))</f>
        <v>1414</v>
      </c>
      <c r="K345" s="55">
        <f>IFERROR(VLOOKUP($AM345,個性タイプマスタ!$A$5:$P$100,9,FALSE),0.05)</f>
        <v>0.08</v>
      </c>
      <c r="L345" s="56">
        <f>IFERROR(VLOOKUP($AM345,個性タイプマスタ!$A$5:$P$100,10,FALSE),1.5)</f>
        <v>1.6</v>
      </c>
      <c r="M345" s="56">
        <f>IFERROR(VLOOKUP($AM345,個性タイプマスタ!$A$5:$P$100,11,FALSE),2)</f>
        <v>2.8</v>
      </c>
      <c r="N345" s="57">
        <f>MAX(0.1,ROUND(設定!$B$10*AB345,3))</f>
        <v>1</v>
      </c>
      <c r="O345" s="57">
        <f t="shared" si="20"/>
        <v>1.2</v>
      </c>
      <c r="P345" s="58">
        <f>MAX(-10,MIN(0.8,IFERROR(INDEX(属性耐性マスタ!$B$5:$G$11,MATCH($C345,属性耐性マスタ!$A$5:$A$11,0),1),0)+IFERROR(VLOOKUP($AM345,個性タイプマスタ!$A$5:$P$100,12,FALSE),0)))</f>
        <v>0.23500000000000001</v>
      </c>
      <c r="Q345" s="58">
        <f>MAX(-10,MIN(0.8,IFERROR(INDEX(属性耐性マスタ!$B$5:$G$11,MATCH($C345,属性耐性マスタ!$A$5:$A$11,0),2),0)+IFERROR(VLOOKUP($AM345,個性タイプマスタ!$A$5:$P$100,12,FALSE),0)))</f>
        <v>-6.5000000000000002E-2</v>
      </c>
      <c r="R345" s="58">
        <f>MAX(-10,MIN(0.8,IFERROR(INDEX(属性耐性マスタ!$B$5:$G$11,MATCH($C345,属性耐性マスタ!$A$5:$A$11,0),3),0)+IFERROR(VLOOKUP($AM345,個性タイプマスタ!$A$5:$P$100,12,FALSE),0)))</f>
        <v>3.5000000000000003E-2</v>
      </c>
      <c r="S345" s="58">
        <f>MAX(-10,MIN(0.8,IFERROR(INDEX(属性耐性マスタ!$B$5:$G$11,MATCH($C345,属性耐性マスタ!$A$5:$A$11,0),4),0)+IFERROR(VLOOKUP($AM345,個性タイプマスタ!$A$5:$P$100,12,FALSE),0)))</f>
        <v>3.5000000000000003E-2</v>
      </c>
      <c r="T345" s="58">
        <f>MAX(-10,MIN(0.8,IFERROR(INDEX(属性耐性マスタ!$B$5:$G$11,MATCH($C345,属性耐性マスタ!$A$5:$A$11,0),5),0)+IFERROR(VLOOKUP($AM345,個性タイプマスタ!$A$5:$P$100,12,FALSE),0)))</f>
        <v>3.5000000000000003E-2</v>
      </c>
      <c r="U345" s="58">
        <f>MAX(-10,MIN(0.8,IFERROR(INDEX(属性耐性マスタ!$B$5:$G$11,MATCH($C345,属性耐性マスタ!$A$5:$A$11,0),6),0)+IFERROR(VLOOKUP($AM345,個性タイプマスタ!$A$5:$P$100,12,FALSE),0)))</f>
        <v>3.5000000000000003E-2</v>
      </c>
      <c r="V345" s="59">
        <f>ROUND(設定!$B$19*IFERROR(VLOOKUP($AM345,個性タイプマスタ!$A$5:$P$100,13,FALSE),1),2)</f>
        <v>4</v>
      </c>
      <c r="W345" s="59">
        <v>57</v>
      </c>
      <c r="X345" s="59" t="str">
        <f>IFERROR(VLOOKUP($AM345,個性タイプマスタ!$A$5:$P$100,2,FALSE),"Ranged")</f>
        <v>Melee</v>
      </c>
      <c r="Y345" s="56">
        <f>IFERROR(VLOOKUP($AM345,個性タイプマスタ!$A$5:$P$100,3,FALSE),1)</f>
        <v>1.2</v>
      </c>
      <c r="Z345" s="56">
        <f>IFERROR(VLOOKUP($AM345,個性タイプマスタ!$A$5:$P$100,4,FALSE),1)</f>
        <v>1.3</v>
      </c>
      <c r="AA345" s="56">
        <f>IFERROR(VLOOKUP($AM345,個性タイプマスタ!$A$5:$P$100,5,FALSE),1)</f>
        <v>0.85</v>
      </c>
      <c r="AB345" s="56">
        <f>IFERROR(VLOOKUP($AM345,個性タイプマスタ!$A$5:$P$100,6,FALSE),1)</f>
        <v>1</v>
      </c>
      <c r="AC345" s="56">
        <f>IFERROR(VLOOKUP($AM345,個性タイプマスタ!$A$5:$P$100,7,FALSE),1)</f>
        <v>0.8</v>
      </c>
      <c r="AD345" s="56">
        <f>IFERROR(VLOOKUP($AM345,個性タイプマスタ!$A$5:$P$100,8,FALSE),1)</f>
        <v>0.85</v>
      </c>
      <c r="AE345" s="60">
        <f>IFERROR(D345/設定!$B$5,1)</f>
        <v>207.96509999999998</v>
      </c>
      <c r="AF345" s="60">
        <f>1+設定!$B$13*((I345/設定!$B$8+J345/設定!$B$9)/(2*AE345))</f>
        <v>1.3225000252446204</v>
      </c>
      <c r="AG345" s="60">
        <f>MAX(0.7,1+設定!$B$14*(O345/IF(X345="Melee",1.5,2.5)-1))</f>
        <v>0.97599999999999998</v>
      </c>
      <c r="AH345" s="53">
        <f t="shared" si="21"/>
        <v>3071.6125440000001</v>
      </c>
      <c r="AI345" s="53">
        <f>E345*AF345*(1+設定!$B$18*AVERAGE(P345:U345))</f>
        <v>33771.660852152352</v>
      </c>
      <c r="AJ345" s="61">
        <f>設定!$B$5*SQRT((AH345/(設定!$B$7*設定!$B$10*(1+設定!$B$11*(設定!$B$12-1))))*(AI345/(設定!$B$6*(1+設定!$B$13))))</f>
        <v>20796.467154112452</v>
      </c>
      <c r="AK345" s="62">
        <f t="shared" si="22"/>
        <v>-2.0602441249684134E-6</v>
      </c>
      <c r="AL345" s="63">
        <f t="shared" si="23"/>
        <v>17677.033499999998</v>
      </c>
      <c r="AM345" s="64" t="s">
        <v>885</v>
      </c>
      <c r="AN345" s="54">
        <f>MAX(1,ROUND((設定!$B$7*設定!$B$10*(1+設定!$B$11*(設定!$B$12-1)))*AE345^2*(設定!$B$6*(1+設定!$B$13))/(AI345*N345*(1+K345*(L345-1))*AG345),0))</f>
        <v>3003</v>
      </c>
      <c r="AO345" s="65" t="str">
        <f>IF($A345="","",IF(COUNTIF(個性タイプマスタ!$A$5:$A$100,$AM345)&gt;0,"OK","未登録"))</f>
        <v>OK</v>
      </c>
      <c r="AP345" s="67" t="str">
        <f>IF($A345="","",IF(COUNTIF(属性耐性マスタ!$A$5:$A$11,$C345)&gt;0,"OK","未登録"))</f>
        <v>OK</v>
      </c>
    </row>
    <row r="346" spans="1:42">
      <c r="A346" s="66" t="s">
        <v>792</v>
      </c>
      <c r="B346" s="51" t="s">
        <v>793</v>
      </c>
      <c r="C346" s="52" t="s">
        <v>114</v>
      </c>
      <c r="D346" s="53">
        <f>ROUND(設定!$B$5*POWER($D$2,W346-1),2)</f>
        <v>20796.509999999998</v>
      </c>
      <c r="E346" s="54">
        <f>MAX(1,ROUND(設定!$B$6*AE346*Y346,0))</f>
        <v>22876</v>
      </c>
      <c r="F346" s="54">
        <f>MAX(0,ROUND(設定!$B$7*AE346*設定!$B$15*IF(X346="Melee",0.6,1.35)*IFERROR(VLOOKUP($AM346,個性タイプマスタ!$A$5:$P$100,14,FALSE),1),0))</f>
        <v>3184</v>
      </c>
      <c r="G346" s="54">
        <f>IF(X346="Melee",AN346,MAX(1,ROUND(AN346*設定!$B$16*IFERROR(VLOOKUP($AM346,個性タイプマスタ!$A$5:$P$100,15,FALSE),1),0)))</f>
        <v>1454</v>
      </c>
      <c r="H346" s="54">
        <f>IF(X346="Ranged",AN346,MAX(1,ROUND(AN346*設定!$B$16*IFERROR(VLOOKUP($AM346,個性タイプマスタ!$A$5:$P$100,15,FALSE),1),0)))</f>
        <v>3230</v>
      </c>
      <c r="I346" s="54">
        <f>MAX(0,ROUND(設定!$B$8*AE346*Z346,0))</f>
        <v>1830</v>
      </c>
      <c r="J346" s="54">
        <f>MAX(0,ROUND(設定!$B$9*AE346*AA346,0))</f>
        <v>1830</v>
      </c>
      <c r="K346" s="55">
        <f>IFERROR(VLOOKUP($AM346,個性タイプマスタ!$A$5:$P$100,9,FALSE),0.05)</f>
        <v>7.0000000000000007E-2</v>
      </c>
      <c r="L346" s="56">
        <f>IFERROR(VLOOKUP($AM346,個性タイプマスタ!$A$5:$P$100,10,FALSE),1.5)</f>
        <v>1.55</v>
      </c>
      <c r="M346" s="56">
        <f>IFERROR(VLOOKUP($AM346,個性タイプマスタ!$A$5:$P$100,11,FALSE),2)</f>
        <v>2.4</v>
      </c>
      <c r="N346" s="57">
        <f>MAX(0.1,ROUND(設定!$B$10*AB346,3))</f>
        <v>1</v>
      </c>
      <c r="O346" s="57">
        <f t="shared" si="20"/>
        <v>2.5</v>
      </c>
      <c r="P346" s="58">
        <f>MAX(-10,MIN(0.8,IFERROR(INDEX(属性耐性マスタ!$B$5:$G$11,MATCH($C346,属性耐性マスタ!$A$5:$A$11,0),1),0)+IFERROR(VLOOKUP($AM346,個性タイプマスタ!$A$5:$P$100,12,FALSE),0)))</f>
        <v>0.02</v>
      </c>
      <c r="Q346" s="58">
        <f>MAX(-10,MIN(0.8,IFERROR(INDEX(属性耐性マスタ!$B$5:$G$11,MATCH($C346,属性耐性マスタ!$A$5:$A$11,0),2),0)+IFERROR(VLOOKUP($AM346,個性タイプマスタ!$A$5:$P$100,12,FALSE),0)))</f>
        <v>0.02</v>
      </c>
      <c r="R346" s="58">
        <f>MAX(-10,MIN(0.8,IFERROR(INDEX(属性耐性マスタ!$B$5:$G$11,MATCH($C346,属性耐性マスタ!$A$5:$A$11,0),3),0)+IFERROR(VLOOKUP($AM346,個性タイプマスタ!$A$5:$P$100,12,FALSE),0)))</f>
        <v>0.22</v>
      </c>
      <c r="S346" s="58">
        <f>MAX(-10,MIN(0.8,IFERROR(INDEX(属性耐性マスタ!$B$5:$G$11,MATCH($C346,属性耐性マスタ!$A$5:$A$11,0),4),0)+IFERROR(VLOOKUP($AM346,個性タイプマスタ!$A$5:$P$100,12,FALSE),0)))</f>
        <v>-0.08</v>
      </c>
      <c r="T346" s="58">
        <f>MAX(-10,MIN(0.8,IFERROR(INDEX(属性耐性マスタ!$B$5:$G$11,MATCH($C346,属性耐性マスタ!$A$5:$A$11,0),5),0)+IFERROR(VLOOKUP($AM346,個性タイプマスタ!$A$5:$P$100,12,FALSE),0)))</f>
        <v>0.02</v>
      </c>
      <c r="U346" s="58">
        <f>MAX(-10,MIN(0.8,IFERROR(INDEX(属性耐性マスタ!$B$5:$G$11,MATCH($C346,属性耐性マスタ!$A$5:$A$11,0),6),0)+IFERROR(VLOOKUP($AM346,個性タイプマスタ!$A$5:$P$100,12,FALSE),0)))</f>
        <v>0.02</v>
      </c>
      <c r="V346" s="59">
        <f>ROUND(設定!$B$19*IFERROR(VLOOKUP($AM346,個性タイプマスタ!$A$5:$P$100,13,FALSE),1),2)</f>
        <v>4</v>
      </c>
      <c r="W346" s="59">
        <v>57</v>
      </c>
      <c r="X346" s="59" t="str">
        <f>IFERROR(VLOOKUP($AM346,個性タイプマスタ!$A$5:$P$100,2,FALSE),"Ranged")</f>
        <v>Ranged</v>
      </c>
      <c r="Y346" s="56">
        <f>IFERROR(VLOOKUP($AM346,個性タイプマスタ!$A$5:$P$100,3,FALSE),1)</f>
        <v>1.1000000000000001</v>
      </c>
      <c r="Z346" s="56">
        <f>IFERROR(VLOOKUP($AM346,個性タイプマスタ!$A$5:$P$100,4,FALSE),1)</f>
        <v>1.1000000000000001</v>
      </c>
      <c r="AA346" s="56">
        <f>IFERROR(VLOOKUP($AM346,個性タイプマスタ!$A$5:$P$100,5,FALSE),1)</f>
        <v>1.1000000000000001</v>
      </c>
      <c r="AB346" s="56">
        <f>IFERROR(VLOOKUP($AM346,個性タイプマスタ!$A$5:$P$100,6,FALSE),1)</f>
        <v>1</v>
      </c>
      <c r="AC346" s="56">
        <f>IFERROR(VLOOKUP($AM346,個性タイプマスタ!$A$5:$P$100,7,FALSE),1)</f>
        <v>1</v>
      </c>
      <c r="AD346" s="56">
        <f>IFERROR(VLOOKUP($AM346,個性タイプマスタ!$A$5:$P$100,8,FALSE),1)</f>
        <v>0.88</v>
      </c>
      <c r="AE346" s="60">
        <f>IFERROR(D346/設定!$B$5,1)</f>
        <v>207.96509999999998</v>
      </c>
      <c r="AF346" s="60">
        <f>1+設定!$B$13*((I346/設定!$B$8+J346/設定!$B$9)/(2*AE346))</f>
        <v>1.3299832519975707</v>
      </c>
      <c r="AG346" s="60">
        <f>MAX(0.7,1+設定!$B$14*(O346/IF(X346="Melee",1.5,2.5)-1))</f>
        <v>1</v>
      </c>
      <c r="AH346" s="53">
        <f t="shared" si="21"/>
        <v>3354.355</v>
      </c>
      <c r="AI346" s="53">
        <f>E346*AF346*(1+設定!$B$18*AVERAGE(P346:U346))</f>
        <v>30926.704371095919</v>
      </c>
      <c r="AJ346" s="61">
        <f>設定!$B$5*SQRT((AH346/(設定!$B$7*設定!$B$10*(1+設定!$B$11*(設定!$B$12-1))))*(AI346/(設定!$B$6*(1+設定!$B$13))))</f>
        <v>20797.037344600947</v>
      </c>
      <c r="AK346" s="62">
        <f t="shared" si="22"/>
        <v>2.535736048736581E-5</v>
      </c>
      <c r="AL346" s="63">
        <f t="shared" si="23"/>
        <v>18300.928799999998</v>
      </c>
      <c r="AM346" s="64" t="s">
        <v>906</v>
      </c>
      <c r="AN346" s="54">
        <f>MAX(1,ROUND((設定!$B$7*設定!$B$10*(1+設定!$B$11*(設定!$B$12-1)))*AE346^2*(設定!$B$6*(1+設定!$B$13))/(AI346*N346*(1+K346*(L346-1))*AG346),0))</f>
        <v>3230</v>
      </c>
      <c r="AO346" s="65" t="str">
        <f>IF($A346="","",IF(COUNTIF(個性タイプマスタ!$A$5:$A$100,$AM346)&gt;0,"OK","未登録"))</f>
        <v>OK</v>
      </c>
      <c r="AP346" s="67" t="str">
        <f>IF($A346="","",IF(COUNTIF(属性耐性マスタ!$A$5:$A$11,$C346)&gt;0,"OK","未登録"))</f>
        <v>OK</v>
      </c>
    </row>
    <row r="347" spans="1:42">
      <c r="A347" s="66" t="s">
        <v>794</v>
      </c>
      <c r="B347" s="51" t="s">
        <v>795</v>
      </c>
      <c r="C347" s="52" t="s">
        <v>111</v>
      </c>
      <c r="D347" s="53">
        <f>ROUND(設定!$B$5*POWER($D$2,W347-1),2)</f>
        <v>22876.16</v>
      </c>
      <c r="E347" s="54">
        <f>MAX(1,ROUND(設定!$B$6*AE347*Y347,0))</f>
        <v>34314</v>
      </c>
      <c r="F347" s="54">
        <f>MAX(0,ROUND(設定!$B$7*AE347*設定!$B$15*IF(X347="Melee",0.6,1.35)*IFERROR(VLOOKUP($AM347,個性タイプマスタ!$A$5:$P$100,14,FALSE),1),0))</f>
        <v>4169</v>
      </c>
      <c r="G347" s="54">
        <f>IF(X347="Melee",AN347,MAX(1,ROUND(AN347*設定!$B$16*IFERROR(VLOOKUP($AM347,個性タイプマスタ!$A$5:$P$100,15,FALSE),1),0)))</f>
        <v>832</v>
      </c>
      <c r="H347" s="54">
        <f>IF(X347="Ranged",AN347,MAX(1,ROUND(AN347*設定!$B$16*IFERROR(VLOOKUP($AM347,個性タイプマスタ!$A$5:$P$100,15,FALSE),1),0)))</f>
        <v>1849</v>
      </c>
      <c r="I347" s="54">
        <f>MAX(0,ROUND(設定!$B$8*AE347*Z347,0))</f>
        <v>2745</v>
      </c>
      <c r="J347" s="54">
        <f>MAX(0,ROUND(設定!$B$9*AE347*AA347,0))</f>
        <v>2562</v>
      </c>
      <c r="K347" s="55">
        <f>IFERROR(VLOOKUP($AM347,個性タイプマスタ!$A$5:$P$100,9,FALSE),0.05)</f>
        <v>0.1</v>
      </c>
      <c r="L347" s="56">
        <f>IFERROR(VLOOKUP($AM347,個性タイプマスタ!$A$5:$P$100,10,FALSE),1.5)</f>
        <v>1.75</v>
      </c>
      <c r="M347" s="56">
        <f>IFERROR(VLOOKUP($AM347,個性タイプマスタ!$A$5:$P$100,11,FALSE),2)</f>
        <v>2.4</v>
      </c>
      <c r="N347" s="57">
        <f>MAX(0.1,ROUND(設定!$B$10*AB347,3))</f>
        <v>1.2</v>
      </c>
      <c r="O347" s="57">
        <f t="shared" si="20"/>
        <v>3</v>
      </c>
      <c r="P347" s="58">
        <f>MAX(-10,MIN(0.8,IFERROR(INDEX(属性耐性マスタ!$B$5:$G$11,MATCH($C347,属性耐性マスタ!$A$5:$A$11,0),1),0)+IFERROR(VLOOKUP($AM347,個性タイプマスタ!$A$5:$P$100,12,FALSE),0)))</f>
        <v>0.28000000000000003</v>
      </c>
      <c r="Q347" s="58">
        <f>MAX(-10,MIN(0.8,IFERROR(INDEX(属性耐性マスタ!$B$5:$G$11,MATCH($C347,属性耐性マスタ!$A$5:$A$11,0),2),0)+IFERROR(VLOOKUP($AM347,個性タイプマスタ!$A$5:$P$100,12,FALSE),0)))</f>
        <v>-2.0000000000000004E-2</v>
      </c>
      <c r="R347" s="58">
        <f>MAX(-10,MIN(0.8,IFERROR(INDEX(属性耐性マスタ!$B$5:$G$11,MATCH($C347,属性耐性マスタ!$A$5:$A$11,0),3),0)+IFERROR(VLOOKUP($AM347,個性タイプマスタ!$A$5:$P$100,12,FALSE),0)))</f>
        <v>0.08</v>
      </c>
      <c r="S347" s="58">
        <f>MAX(-10,MIN(0.8,IFERROR(INDEX(属性耐性マスタ!$B$5:$G$11,MATCH($C347,属性耐性マスタ!$A$5:$A$11,0),4),0)+IFERROR(VLOOKUP($AM347,個性タイプマスタ!$A$5:$P$100,12,FALSE),0)))</f>
        <v>0.08</v>
      </c>
      <c r="T347" s="58">
        <f>MAX(-10,MIN(0.8,IFERROR(INDEX(属性耐性マスタ!$B$5:$G$11,MATCH($C347,属性耐性マスタ!$A$5:$A$11,0),5),0)+IFERROR(VLOOKUP($AM347,個性タイプマスタ!$A$5:$P$100,12,FALSE),0)))</f>
        <v>0.08</v>
      </c>
      <c r="U347" s="58">
        <f>MAX(-10,MIN(0.8,IFERROR(INDEX(属性耐性マスタ!$B$5:$G$11,MATCH($C347,属性耐性マスタ!$A$5:$A$11,0),6),0)+IFERROR(VLOOKUP($AM347,個性タイプマスタ!$A$5:$P$100,12,FALSE),0)))</f>
        <v>0.08</v>
      </c>
      <c r="V347" s="59">
        <f>ROUND(設定!$B$19*IFERROR(VLOOKUP($AM347,個性タイプマスタ!$A$5:$P$100,13,FALSE),1),2)</f>
        <v>4</v>
      </c>
      <c r="W347" s="59">
        <v>58</v>
      </c>
      <c r="X347" s="59" t="str">
        <f>IFERROR(VLOOKUP($AM347,個性タイプマスタ!$A$5:$P$100,2,FALSE),"Ranged")</f>
        <v>Ranged</v>
      </c>
      <c r="Y347" s="56">
        <f>IFERROR(VLOOKUP($AM347,個性タイプマスタ!$A$5:$P$100,3,FALSE),1)</f>
        <v>1.5</v>
      </c>
      <c r="Z347" s="56">
        <f>IFERROR(VLOOKUP($AM347,個性タイプマスタ!$A$5:$P$100,4,FALSE),1)</f>
        <v>1.5</v>
      </c>
      <c r="AA347" s="56">
        <f>IFERROR(VLOOKUP($AM347,個性タイプマスタ!$A$5:$P$100,5,FALSE),1)</f>
        <v>1.4</v>
      </c>
      <c r="AB347" s="56">
        <f>IFERROR(VLOOKUP($AM347,個性タイプマスタ!$A$5:$P$100,6,FALSE),1)</f>
        <v>1.2</v>
      </c>
      <c r="AC347" s="56">
        <f>IFERROR(VLOOKUP($AM347,個性タイプマスタ!$A$5:$P$100,7,FALSE),1)</f>
        <v>1.2</v>
      </c>
      <c r="AD347" s="56">
        <f>IFERROR(VLOOKUP($AM347,個性タイプマスタ!$A$5:$P$100,8,FALSE),1)</f>
        <v>1</v>
      </c>
      <c r="AE347" s="60">
        <f>IFERROR(D347/設定!$B$5,1)</f>
        <v>228.76159999999999</v>
      </c>
      <c r="AF347" s="60">
        <f>1+設定!$B$13*((I347/設定!$B$8+J347/設定!$B$9)/(2*AE347))</f>
        <v>1.4349779421021711</v>
      </c>
      <c r="AG347" s="60">
        <f>MAX(0.7,1+設定!$B$14*(O347/IF(X347="Melee",1.5,2.5)-1))</f>
        <v>1.024</v>
      </c>
      <c r="AH347" s="53">
        <f t="shared" si="21"/>
        <v>2442.4550399999998</v>
      </c>
      <c r="AI347" s="53">
        <f>E347*AF347*(1+設定!$B$18*AVERAGE(P347:U347))</f>
        <v>51381.76584537419</v>
      </c>
      <c r="AJ347" s="61">
        <f>設定!$B$5*SQRT((AH347/(設定!$B$7*設定!$B$10*(1+設定!$B$11*(設定!$B$12-1))))*(AI347/(設定!$B$6*(1+設定!$B$13))))</f>
        <v>22874.306732610195</v>
      </c>
      <c r="AK347" s="62">
        <f t="shared" si="22"/>
        <v>-8.1013045450162302E-5</v>
      </c>
      <c r="AL347" s="63">
        <f t="shared" si="23"/>
        <v>22876.16</v>
      </c>
      <c r="AM347" s="64" t="s">
        <v>890</v>
      </c>
      <c r="AN347" s="54">
        <f>MAX(1,ROUND((設定!$B$7*設定!$B$10*(1+設定!$B$11*(設定!$B$12-1)))*AE347^2*(設定!$B$6*(1+設定!$B$13))/(AI347*N347*(1+K347*(L347-1))*AG347),0))</f>
        <v>1849</v>
      </c>
      <c r="AO347" s="65" t="str">
        <f>IF($A347="","",IF(COUNTIF(個性タイプマスタ!$A$5:$A$100,$AM347)&gt;0,"OK","未登録"))</f>
        <v>OK</v>
      </c>
      <c r="AP347" s="67" t="str">
        <f>IF($A347="","",IF(COUNTIF(属性耐性マスタ!$A$5:$A$11,$C347)&gt;0,"OK","未登録"))</f>
        <v>OK</v>
      </c>
    </row>
    <row r="348" spans="1:42">
      <c r="A348" s="66" t="s">
        <v>796</v>
      </c>
      <c r="B348" s="51" t="s">
        <v>797</v>
      </c>
      <c r="C348" s="52" t="s">
        <v>108</v>
      </c>
      <c r="D348" s="53">
        <f>ROUND(設定!$B$5*POWER($D$2,W348-1),2)</f>
        <v>22876.16</v>
      </c>
      <c r="E348" s="54">
        <f>MAX(1,ROUND(設定!$B$6*AE348*Y348,0))</f>
        <v>20817</v>
      </c>
      <c r="F348" s="54">
        <f>MAX(0,ROUND(設定!$B$7*AE348*設定!$B$15*IF(X348="Melee",0.6,1.35)*IFERROR(VLOOKUP($AM348,個性タイプマスタ!$A$5:$P$100,14,FALSE),1),0))</f>
        <v>5337</v>
      </c>
      <c r="G348" s="54">
        <f>IF(X348="Melee",AN348,MAX(1,ROUND(AN348*設定!$B$16*IFERROR(VLOOKUP($AM348,個性タイプマスタ!$A$5:$P$100,15,FALSE),1),0)))</f>
        <v>2260</v>
      </c>
      <c r="H348" s="54">
        <f>IF(X348="Ranged",AN348,MAX(1,ROUND(AN348*設定!$B$16*IFERROR(VLOOKUP($AM348,個性タイプマスタ!$A$5:$P$100,15,FALSE),1),0)))</f>
        <v>6695</v>
      </c>
      <c r="I348" s="54">
        <f>MAX(0,ROUND(設定!$B$8*AE348*Z348,0))</f>
        <v>1610</v>
      </c>
      <c r="J348" s="54">
        <f>MAX(0,ROUND(設定!$B$9*AE348*AA348,0))</f>
        <v>1739</v>
      </c>
      <c r="K348" s="55">
        <f>IFERROR(VLOOKUP($AM348,個性タイプマスタ!$A$5:$P$100,9,FALSE),0.05)</f>
        <v>0.04</v>
      </c>
      <c r="L348" s="56">
        <f>IFERROR(VLOOKUP($AM348,個性タイプマスタ!$A$5:$P$100,10,FALSE),1.5)</f>
        <v>2.2000000000000002</v>
      </c>
      <c r="M348" s="56">
        <f>IFERROR(VLOOKUP($AM348,個性タイプマスタ!$A$5:$P$100,11,FALSE),2)</f>
        <v>1.65</v>
      </c>
      <c r="N348" s="57">
        <f>MAX(0.1,ROUND(設定!$B$10*AB348,3))</f>
        <v>0.64</v>
      </c>
      <c r="O348" s="57">
        <f t="shared" si="20"/>
        <v>3.7</v>
      </c>
      <c r="P348" s="58">
        <f>MAX(-10,MIN(0.8,IFERROR(INDEX(属性耐性マスタ!$B$5:$G$11,MATCH($C348,属性耐性マスタ!$A$5:$A$11,0),1),0)+IFERROR(VLOOKUP($AM348,個性タイプマスタ!$A$5:$P$100,12,FALSE),0)))</f>
        <v>-0.125</v>
      </c>
      <c r="Q348" s="58">
        <f>MAX(-10,MIN(0.8,IFERROR(INDEX(属性耐性マスタ!$B$5:$G$11,MATCH($C348,属性耐性マスタ!$A$5:$A$11,0),2),0)+IFERROR(VLOOKUP($AM348,個性タイプマスタ!$A$5:$P$100,12,FALSE),0)))</f>
        <v>0.17500000000000002</v>
      </c>
      <c r="R348" s="58">
        <f>MAX(-10,MIN(0.8,IFERROR(INDEX(属性耐性マスタ!$B$5:$G$11,MATCH($C348,属性耐性マスタ!$A$5:$A$11,0),3),0)+IFERROR(VLOOKUP($AM348,個性タイプマスタ!$A$5:$P$100,12,FALSE),0)))</f>
        <v>-2.5000000000000001E-2</v>
      </c>
      <c r="S348" s="58">
        <f>MAX(-10,MIN(0.8,IFERROR(INDEX(属性耐性マスタ!$B$5:$G$11,MATCH($C348,属性耐性マスタ!$A$5:$A$11,0),4),0)+IFERROR(VLOOKUP($AM348,個性タイプマスタ!$A$5:$P$100,12,FALSE),0)))</f>
        <v>-2.5000000000000001E-2</v>
      </c>
      <c r="T348" s="58">
        <f>MAX(-10,MIN(0.8,IFERROR(INDEX(属性耐性マスタ!$B$5:$G$11,MATCH($C348,属性耐性マスタ!$A$5:$A$11,0),5),0)+IFERROR(VLOOKUP($AM348,個性タイプマスタ!$A$5:$P$100,12,FALSE),0)))</f>
        <v>-2.5000000000000001E-2</v>
      </c>
      <c r="U348" s="58">
        <f>MAX(-10,MIN(0.8,IFERROR(INDEX(属性耐性マスタ!$B$5:$G$11,MATCH($C348,属性耐性マスタ!$A$5:$A$11,0),6),0)+IFERROR(VLOOKUP($AM348,個性タイプマスタ!$A$5:$P$100,12,FALSE),0)))</f>
        <v>-2.5000000000000001E-2</v>
      </c>
      <c r="V348" s="59">
        <f>ROUND(設定!$B$19*IFERROR(VLOOKUP($AM348,個性タイプマスタ!$A$5:$P$100,13,FALSE),1),2)</f>
        <v>5</v>
      </c>
      <c r="W348" s="59">
        <v>58</v>
      </c>
      <c r="X348" s="59" t="str">
        <f>IFERROR(VLOOKUP($AM348,個性タイプマスタ!$A$5:$P$100,2,FALSE),"Ranged")</f>
        <v>Ranged</v>
      </c>
      <c r="Y348" s="56">
        <f>IFERROR(VLOOKUP($AM348,個性タイプマスタ!$A$5:$P$100,3,FALSE),1)</f>
        <v>0.91</v>
      </c>
      <c r="Z348" s="56">
        <f>IFERROR(VLOOKUP($AM348,個性タイプマスタ!$A$5:$P$100,4,FALSE),1)</f>
        <v>0.88</v>
      </c>
      <c r="AA348" s="56">
        <f>IFERROR(VLOOKUP($AM348,個性タイプマスタ!$A$5:$P$100,5,FALSE),1)</f>
        <v>0.95</v>
      </c>
      <c r="AB348" s="56">
        <f>IFERROR(VLOOKUP($AM348,個性タイプマスタ!$A$5:$P$100,6,FALSE),1)</f>
        <v>0.64</v>
      </c>
      <c r="AC348" s="56">
        <f>IFERROR(VLOOKUP($AM348,個性タイプマスタ!$A$5:$P$100,7,FALSE),1)</f>
        <v>1.48</v>
      </c>
      <c r="AD348" s="56">
        <f>IFERROR(VLOOKUP($AM348,個性タイプマスタ!$A$5:$P$100,8,FALSE),1)</f>
        <v>0.75</v>
      </c>
      <c r="AE348" s="60">
        <f>IFERROR(D348/設定!$B$5,1)</f>
        <v>228.76159999999999</v>
      </c>
      <c r="AF348" s="60">
        <f>1+設定!$B$13*((I348/設定!$B$8+J348/設定!$B$9)/(2*AE348))</f>
        <v>1.2744942770115264</v>
      </c>
      <c r="AG348" s="60">
        <f>MAX(0.7,1+設定!$B$14*(O348/IF(X348="Melee",1.5,2.5)-1))</f>
        <v>1.0576000000000001</v>
      </c>
      <c r="AH348" s="53">
        <f t="shared" si="21"/>
        <v>4749.1214950400008</v>
      </c>
      <c r="AI348" s="53">
        <f>E348*AF348*(1+設定!$B$18*AVERAGE(P348:U348))</f>
        <v>26431.655561931886</v>
      </c>
      <c r="AJ348" s="61">
        <f>設定!$B$5*SQRT((AH348/(設定!$B$7*設定!$B$10*(1+設定!$B$11*(設定!$B$12-1))))*(AI348/(設定!$B$6*(1+設定!$B$13))))</f>
        <v>22876.994185216845</v>
      </c>
      <c r="AK348" s="62">
        <f t="shared" si="22"/>
        <v>3.6465264137142128E-5</v>
      </c>
      <c r="AL348" s="63">
        <f t="shared" si="23"/>
        <v>17157.12</v>
      </c>
      <c r="AM348" s="64" t="s">
        <v>912</v>
      </c>
      <c r="AN348" s="54">
        <f>MAX(1,ROUND((設定!$B$7*設定!$B$10*(1+設定!$B$11*(設定!$B$12-1)))*AE348^2*(設定!$B$6*(1+設定!$B$13))/(AI348*N348*(1+K348*(L348-1))*AG348),0))</f>
        <v>6695</v>
      </c>
      <c r="AO348" s="65" t="str">
        <f>IF($A348="","",IF(COUNTIF(個性タイプマスタ!$A$5:$A$100,$AM348)&gt;0,"OK","未登録"))</f>
        <v>OK</v>
      </c>
      <c r="AP348" s="67" t="str">
        <f>IF($A348="","",IF(COUNTIF(属性耐性マスタ!$A$5:$A$11,$C348)&gt;0,"OK","未登録"))</f>
        <v>OK</v>
      </c>
    </row>
    <row r="349" spans="1:42">
      <c r="A349" s="66" t="s">
        <v>798</v>
      </c>
      <c r="B349" s="51" t="s">
        <v>799</v>
      </c>
      <c r="C349" s="52" t="s">
        <v>121</v>
      </c>
      <c r="D349" s="53">
        <f>ROUND(設定!$B$5*POWER($D$2,W349-1),2)</f>
        <v>22876.16</v>
      </c>
      <c r="E349" s="54">
        <f>MAX(1,ROUND(設定!$B$6*AE349*Y349,0))</f>
        <v>24249</v>
      </c>
      <c r="F349" s="54">
        <f>MAX(0,ROUND(設定!$B$7*AE349*設定!$B$15*IF(X349="Melee",0.6,1.35)*IFERROR(VLOOKUP($AM349,個性タイプマスタ!$A$5:$P$100,14,FALSE),1),0))</f>
        <v>5837</v>
      </c>
      <c r="G349" s="54">
        <f>IF(X349="Melee",AN349,MAX(1,ROUND(AN349*設定!$B$16*IFERROR(VLOOKUP($AM349,個性タイプマスタ!$A$5:$P$100,15,FALSE),1),0)))</f>
        <v>1176</v>
      </c>
      <c r="H349" s="54">
        <f>IF(X349="Ranged",AN349,MAX(1,ROUND(AN349*設定!$B$16*IFERROR(VLOOKUP($AM349,個性タイプマスタ!$A$5:$P$100,15,FALSE),1),0)))</f>
        <v>4021</v>
      </c>
      <c r="I349" s="54">
        <f>MAX(0,ROUND(設定!$B$8*AE349*Z349,0))</f>
        <v>1409</v>
      </c>
      <c r="J349" s="54">
        <f>MAX(0,ROUND(設定!$B$9*AE349*AA349,0))</f>
        <v>3752</v>
      </c>
      <c r="K349" s="55">
        <f>IFERROR(VLOOKUP($AM349,個性タイプマスタ!$A$5:$P$100,9,FALSE),0.05)</f>
        <v>4.4999999999999998E-2</v>
      </c>
      <c r="L349" s="56">
        <f>IFERROR(VLOOKUP($AM349,個性タイプマスタ!$A$5:$P$100,10,FALSE),1.5)</f>
        <v>1.45</v>
      </c>
      <c r="M349" s="56">
        <f>IFERROR(VLOOKUP($AM349,個性タイプマスタ!$A$5:$P$100,11,FALSE),2)</f>
        <v>1.9</v>
      </c>
      <c r="N349" s="57">
        <f>MAX(0.1,ROUND(設定!$B$10*AB349,3))</f>
        <v>0.84</v>
      </c>
      <c r="O349" s="57">
        <f t="shared" si="20"/>
        <v>2.65</v>
      </c>
      <c r="P349" s="58">
        <f>MAX(-10,MIN(0.8,IFERROR(INDEX(属性耐性マスタ!$B$5:$G$11,MATCH($C349,属性耐性マスタ!$A$5:$A$11,0),1),0)+IFERROR(VLOOKUP($AM349,個性タイプマスタ!$A$5:$P$100,12,FALSE),0)))</f>
        <v>0.09</v>
      </c>
      <c r="Q349" s="58">
        <f>MAX(-10,MIN(0.8,IFERROR(INDEX(属性耐性マスタ!$B$5:$G$11,MATCH($C349,属性耐性マスタ!$A$5:$A$11,0),2),0)+IFERROR(VLOOKUP($AM349,個性タイプマスタ!$A$5:$P$100,12,FALSE),0)))</f>
        <v>0.09</v>
      </c>
      <c r="R349" s="58">
        <f>MAX(-10,MIN(0.8,IFERROR(INDEX(属性耐性マスタ!$B$5:$G$11,MATCH($C349,属性耐性マスタ!$A$5:$A$11,0),3),0)+IFERROR(VLOOKUP($AM349,個性タイプマスタ!$A$5:$P$100,12,FALSE),0)))</f>
        <v>0.09</v>
      </c>
      <c r="S349" s="58">
        <f>MAX(-10,MIN(0.8,IFERROR(INDEX(属性耐性マスタ!$B$5:$G$11,MATCH($C349,属性耐性マスタ!$A$5:$A$11,0),4),0)+IFERROR(VLOOKUP($AM349,個性タイプマスタ!$A$5:$P$100,12,FALSE),0)))</f>
        <v>0.09</v>
      </c>
      <c r="T349" s="58">
        <f>MAX(-10,MIN(0.8,IFERROR(INDEX(属性耐性マスタ!$B$5:$G$11,MATCH($C349,属性耐性マスタ!$A$5:$A$11,0),5),0)+IFERROR(VLOOKUP($AM349,個性タイプマスタ!$A$5:$P$100,12,FALSE),0)))</f>
        <v>0.29000000000000004</v>
      </c>
      <c r="U349" s="58">
        <f>MAX(-10,MIN(0.8,IFERROR(INDEX(属性耐性マスタ!$B$5:$G$11,MATCH($C349,属性耐性マスタ!$A$5:$A$11,0),6),0)+IFERROR(VLOOKUP($AM349,個性タイプマスタ!$A$5:$P$100,12,FALSE),0)))</f>
        <v>-1.0000000000000009E-2</v>
      </c>
      <c r="V349" s="59">
        <f>ROUND(設定!$B$19*IFERROR(VLOOKUP($AM349,個性タイプマスタ!$A$5:$P$100,13,FALSE),1),2)</f>
        <v>4.4000000000000004</v>
      </c>
      <c r="W349" s="59">
        <v>58</v>
      </c>
      <c r="X349" s="59" t="str">
        <f>IFERROR(VLOOKUP($AM349,個性タイプマスタ!$A$5:$P$100,2,FALSE),"Ranged")</f>
        <v>Ranged</v>
      </c>
      <c r="Y349" s="56">
        <f>IFERROR(VLOOKUP($AM349,個性タイプマスタ!$A$5:$P$100,3,FALSE),1)</f>
        <v>1.06</v>
      </c>
      <c r="Z349" s="56">
        <f>IFERROR(VLOOKUP($AM349,個性タイプマスタ!$A$5:$P$100,4,FALSE),1)</f>
        <v>0.77</v>
      </c>
      <c r="AA349" s="56">
        <f>IFERROR(VLOOKUP($AM349,個性タイプマスタ!$A$5:$P$100,5,FALSE),1)</f>
        <v>2.0499999999999998</v>
      </c>
      <c r="AB349" s="56">
        <f>IFERROR(VLOOKUP($AM349,個性タイプマスタ!$A$5:$P$100,6,FALSE),1)</f>
        <v>0.84</v>
      </c>
      <c r="AC349" s="56">
        <f>IFERROR(VLOOKUP($AM349,個性タイプマスタ!$A$5:$P$100,7,FALSE),1)</f>
        <v>1.06</v>
      </c>
      <c r="AD349" s="56">
        <f>IFERROR(VLOOKUP($AM349,個性タイプマスタ!$A$5:$P$100,8,FALSE),1)</f>
        <v>0.82</v>
      </c>
      <c r="AE349" s="60">
        <f>IFERROR(D349/設定!$B$5,1)</f>
        <v>228.76159999999999</v>
      </c>
      <c r="AF349" s="60">
        <f>1+設定!$B$13*((I349/設定!$B$8+J349/設定!$B$9)/(2*AE349))</f>
        <v>1.423011335818599</v>
      </c>
      <c r="AG349" s="60">
        <f>MAX(0.7,1+設定!$B$14*(O349/IF(X349="Melee",1.5,2.5)-1))</f>
        <v>1.0072000000000001</v>
      </c>
      <c r="AH349" s="53">
        <f t="shared" si="21"/>
        <v>3470.8486779120008</v>
      </c>
      <c r="AI349" s="53">
        <f>E349*AF349*(1+設定!$B$18*AVERAGE(P349:U349))</f>
        <v>36162.918772613935</v>
      </c>
      <c r="AJ349" s="61">
        <f>設定!$B$5*SQRT((AH349/(設定!$B$7*設定!$B$10*(1+設定!$B$11*(設定!$B$12-1))))*(AI349/(設定!$B$6*(1+設定!$B$13))))</f>
        <v>22875.980432858029</v>
      </c>
      <c r="AK349" s="62">
        <f t="shared" si="22"/>
        <v>-7.8495316508941926E-6</v>
      </c>
      <c r="AL349" s="63">
        <f t="shared" si="23"/>
        <v>18758.4512</v>
      </c>
      <c r="AM349" s="64" t="s">
        <v>926</v>
      </c>
      <c r="AN349" s="54">
        <f>MAX(1,ROUND((設定!$B$7*設定!$B$10*(1+設定!$B$11*(設定!$B$12-1)))*AE349^2*(設定!$B$6*(1+設定!$B$13))/(AI349*N349*(1+K349*(L349-1))*AG349),0))</f>
        <v>4021</v>
      </c>
      <c r="AO349" s="65" t="str">
        <f>IF($A349="","",IF(COUNTIF(個性タイプマスタ!$A$5:$A$100,$AM349)&gt;0,"OK","未登録"))</f>
        <v>OK</v>
      </c>
      <c r="AP349" s="67" t="str">
        <f>IF($A349="","",IF(COUNTIF(属性耐性マスタ!$A$5:$A$11,$C349)&gt;0,"OK","未登録"))</f>
        <v>OK</v>
      </c>
    </row>
    <row r="350" spans="1:42">
      <c r="A350" s="66" t="s">
        <v>800</v>
      </c>
      <c r="B350" s="51" t="s">
        <v>801</v>
      </c>
      <c r="C350" s="52" t="s">
        <v>108</v>
      </c>
      <c r="D350" s="53">
        <f>ROUND(設定!$B$5*POWER($D$2,W350-1),2)</f>
        <v>22876.16</v>
      </c>
      <c r="E350" s="54">
        <f>MAX(1,ROUND(設定!$B$6*AE350*Y350,0))</f>
        <v>17386</v>
      </c>
      <c r="F350" s="54">
        <f>MAX(0,ROUND(設定!$B$7*AE350*設定!$B$15*IF(X350="Melee",0.6,1.35)*IFERROR(VLOOKUP($AM350,個性タイプマスタ!$A$5:$P$100,14,FALSE),1),0))</f>
        <v>919</v>
      </c>
      <c r="G350" s="54">
        <f>IF(X350="Melee",AN350,MAX(1,ROUND(AN350*設定!$B$16*IFERROR(VLOOKUP($AM350,個性タイプマスタ!$A$5:$P$100,15,FALSE),1),0)))</f>
        <v>5990</v>
      </c>
      <c r="H350" s="54">
        <f>IF(X350="Ranged",AN350,MAX(1,ROUND(AN350*設定!$B$16*IFERROR(VLOOKUP($AM350,個性タイプマスタ!$A$5:$P$100,15,FALSE),1),0)))</f>
        <v>1671</v>
      </c>
      <c r="I350" s="54">
        <f>MAX(0,ROUND(設定!$B$8*AE350*Z350,0))</f>
        <v>1391</v>
      </c>
      <c r="J350" s="54">
        <f>MAX(0,ROUND(設定!$B$9*AE350*AA350,0))</f>
        <v>1281</v>
      </c>
      <c r="K350" s="55">
        <f>IFERROR(VLOOKUP($AM350,個性タイプマスタ!$A$5:$P$100,9,FALSE),0.05)</f>
        <v>9.5000000000000001E-2</v>
      </c>
      <c r="L350" s="56">
        <f>IFERROR(VLOOKUP($AM350,個性タイプマスタ!$A$5:$P$100,10,FALSE),1.5)</f>
        <v>2.4</v>
      </c>
      <c r="M350" s="56">
        <f>IFERROR(VLOOKUP($AM350,個性タイプマスタ!$A$5:$P$100,11,FALSE),2)</f>
        <v>3.35</v>
      </c>
      <c r="N350" s="57">
        <f>MAX(0.1,ROUND(設定!$B$10*AB350,3))</f>
        <v>0.86</v>
      </c>
      <c r="O350" s="57">
        <f t="shared" si="20"/>
        <v>1.9950000000000001</v>
      </c>
      <c r="P350" s="58">
        <f>MAX(-10,MIN(0.8,IFERROR(INDEX(属性耐性マスタ!$B$5:$G$11,MATCH($C350,属性耐性マスタ!$A$5:$A$11,0),1),0)+IFERROR(VLOOKUP($AM350,個性タイプマスタ!$A$5:$P$100,12,FALSE),0)))</f>
        <v>-0.17</v>
      </c>
      <c r="Q350" s="58">
        <f>MAX(-10,MIN(0.8,IFERROR(INDEX(属性耐性マスタ!$B$5:$G$11,MATCH($C350,属性耐性マスタ!$A$5:$A$11,0),2),0)+IFERROR(VLOOKUP($AM350,個性タイプマスタ!$A$5:$P$100,12,FALSE),0)))</f>
        <v>0.13</v>
      </c>
      <c r="R350" s="58">
        <f>MAX(-10,MIN(0.8,IFERROR(INDEX(属性耐性マスタ!$B$5:$G$11,MATCH($C350,属性耐性マスタ!$A$5:$A$11,0),3),0)+IFERROR(VLOOKUP($AM350,個性タイプマスタ!$A$5:$P$100,12,FALSE),0)))</f>
        <v>-7.0000000000000007E-2</v>
      </c>
      <c r="S350" s="58">
        <f>MAX(-10,MIN(0.8,IFERROR(INDEX(属性耐性マスタ!$B$5:$G$11,MATCH($C350,属性耐性マスタ!$A$5:$A$11,0),4),0)+IFERROR(VLOOKUP($AM350,個性タイプマスタ!$A$5:$P$100,12,FALSE),0)))</f>
        <v>-7.0000000000000007E-2</v>
      </c>
      <c r="T350" s="58">
        <f>MAX(-10,MIN(0.8,IFERROR(INDEX(属性耐性マスタ!$B$5:$G$11,MATCH($C350,属性耐性マスタ!$A$5:$A$11,0),5),0)+IFERROR(VLOOKUP($AM350,個性タイプマスタ!$A$5:$P$100,12,FALSE),0)))</f>
        <v>-7.0000000000000007E-2</v>
      </c>
      <c r="U350" s="58">
        <f>MAX(-10,MIN(0.8,IFERROR(INDEX(属性耐性マスタ!$B$5:$G$11,MATCH($C350,属性耐性マスタ!$A$5:$A$11,0),6),0)+IFERROR(VLOOKUP($AM350,個性タイプマスタ!$A$5:$P$100,12,FALSE),0)))</f>
        <v>-7.0000000000000007E-2</v>
      </c>
      <c r="V350" s="59">
        <f>ROUND(設定!$B$19*IFERROR(VLOOKUP($AM350,個性タイプマスタ!$A$5:$P$100,13,FALSE),1),2)</f>
        <v>4.5999999999999996</v>
      </c>
      <c r="W350" s="59">
        <v>58</v>
      </c>
      <c r="X350" s="59" t="str">
        <f>IFERROR(VLOOKUP($AM350,個性タイプマスタ!$A$5:$P$100,2,FALSE),"Ranged")</f>
        <v>Melee</v>
      </c>
      <c r="Y350" s="56">
        <f>IFERROR(VLOOKUP($AM350,個性タイプマスタ!$A$5:$P$100,3,FALSE),1)</f>
        <v>0.76</v>
      </c>
      <c r="Z350" s="56">
        <f>IFERROR(VLOOKUP($AM350,個性タイプマスタ!$A$5:$P$100,4,FALSE),1)</f>
        <v>0.76</v>
      </c>
      <c r="AA350" s="56">
        <f>IFERROR(VLOOKUP($AM350,個性タイプマスタ!$A$5:$P$100,5,FALSE),1)</f>
        <v>0.7</v>
      </c>
      <c r="AB350" s="56">
        <f>IFERROR(VLOOKUP($AM350,個性タイプマスタ!$A$5:$P$100,6,FALSE),1)</f>
        <v>0.86</v>
      </c>
      <c r="AC350" s="56">
        <f>IFERROR(VLOOKUP($AM350,個性タイプマスタ!$A$5:$P$100,7,FALSE),1)</f>
        <v>1.33</v>
      </c>
      <c r="AD350" s="56">
        <f>IFERROR(VLOOKUP($AM350,個性タイプマスタ!$A$5:$P$100,8,FALSE),1)</f>
        <v>0.64</v>
      </c>
      <c r="AE350" s="60">
        <f>IFERROR(D350/設定!$B$5,1)</f>
        <v>228.76159999999999</v>
      </c>
      <c r="AF350" s="60">
        <f>1+設定!$B$13*((I350/設定!$B$8+J350/設定!$B$9)/(2*AE350))</f>
        <v>1.2190052876007162</v>
      </c>
      <c r="AG350" s="60">
        <f>MAX(0.7,1+設定!$B$14*(O350/IF(X350="Melee",1.5,2.5)-1))</f>
        <v>1.0396000000000001</v>
      </c>
      <c r="AH350" s="53">
        <f t="shared" si="21"/>
        <v>6067.6630335199998</v>
      </c>
      <c r="AI350" s="53">
        <f>E350*AF350*(1+設定!$B$18*AVERAGE(P350:U350))</f>
        <v>20684.978907900626</v>
      </c>
      <c r="AJ350" s="61">
        <f>設定!$B$5*SQRT((AH350/(設定!$B$7*設定!$B$10*(1+設定!$B$11*(設定!$B$12-1))))*(AI350/(設定!$B$6*(1+設定!$B$13))))</f>
        <v>22875.384728329333</v>
      </c>
      <c r="AK350" s="62">
        <f t="shared" si="22"/>
        <v>-3.3889939162312643E-5</v>
      </c>
      <c r="AL350" s="63">
        <f t="shared" si="23"/>
        <v>14640.742400000001</v>
      </c>
      <c r="AM350" s="64" t="s">
        <v>978</v>
      </c>
      <c r="AN350" s="54">
        <f>MAX(1,ROUND((設定!$B$7*設定!$B$10*(1+設定!$B$11*(設定!$B$12-1)))*AE350^2*(設定!$B$6*(1+設定!$B$13))/(AI350*N350*(1+K350*(L350-1))*AG350),0))</f>
        <v>5990</v>
      </c>
      <c r="AO350" s="65" t="str">
        <f>IF($A350="","",IF(COUNTIF(個性タイプマスタ!$A$5:$A$100,$AM350)&gt;0,"OK","未登録"))</f>
        <v>OK</v>
      </c>
      <c r="AP350" s="67" t="str">
        <f>IF($A350="","",IF(COUNTIF(属性耐性マスタ!$A$5:$A$11,$C350)&gt;0,"OK","未登録"))</f>
        <v>OK</v>
      </c>
    </row>
    <row r="351" spans="1:42">
      <c r="A351" s="66" t="s">
        <v>802</v>
      </c>
      <c r="B351" s="51" t="s">
        <v>803</v>
      </c>
      <c r="C351" s="52" t="s">
        <v>111</v>
      </c>
      <c r="D351" s="53">
        <f>ROUND(設定!$B$5*POWER($D$2,W351-1),2)</f>
        <v>22876.16</v>
      </c>
      <c r="E351" s="54">
        <f>MAX(1,ROUND(設定!$B$6*AE351*Y351,0))</f>
        <v>14870</v>
      </c>
      <c r="F351" s="54">
        <f>MAX(0,ROUND(設定!$B$7*AE351*設定!$B$15*IF(X351="Melee",0.6,1.35)*IFERROR(VLOOKUP($AM351,個性タイプマスタ!$A$5:$P$100,14,FALSE),1),0))</f>
        <v>712</v>
      </c>
      <c r="G351" s="54">
        <f>IF(X351="Melee",AN351,MAX(1,ROUND(AN351*設定!$B$16*IFERROR(VLOOKUP($AM351,個性タイプマスタ!$A$5:$P$100,15,FALSE),1),0)))</f>
        <v>4573</v>
      </c>
      <c r="H351" s="54">
        <f>IF(X351="Ranged",AN351,MAX(1,ROUND(AN351*設定!$B$16*IFERROR(VLOOKUP($AM351,個性タイプマスタ!$A$5:$P$100,15,FALSE),1),0)))</f>
        <v>1338</v>
      </c>
      <c r="I351" s="54">
        <f>MAX(0,ROUND(設定!$B$8*AE351*Z351,0))</f>
        <v>1135</v>
      </c>
      <c r="J351" s="54">
        <f>MAX(0,ROUND(設定!$B$9*AE351*AA351,0))</f>
        <v>1244</v>
      </c>
      <c r="K351" s="55">
        <f>IFERROR(VLOOKUP($AM351,個性タイプマスタ!$A$5:$P$100,9,FALSE),0.05)</f>
        <v>0.18</v>
      </c>
      <c r="L351" s="56">
        <f>IFERROR(VLOOKUP($AM351,個性タイプマスタ!$A$5:$P$100,10,FALSE),1.5)</f>
        <v>2.1</v>
      </c>
      <c r="M351" s="56">
        <f>IFERROR(VLOOKUP($AM351,個性タイプマスタ!$A$5:$P$100,11,FALSE),2)</f>
        <v>3.15</v>
      </c>
      <c r="N351" s="57">
        <f>MAX(0.1,ROUND(設定!$B$10*AB351,3))</f>
        <v>1.35</v>
      </c>
      <c r="O351" s="57">
        <f t="shared" si="20"/>
        <v>1.29</v>
      </c>
      <c r="P351" s="58">
        <f>MAX(-10,MIN(0.8,IFERROR(INDEX(属性耐性マスタ!$B$5:$G$11,MATCH($C351,属性耐性マスタ!$A$5:$A$11,0),1),0)+IFERROR(VLOOKUP($AM351,個性タイプマスタ!$A$5:$P$100,12,FALSE),0)))</f>
        <v>0.12000000000000001</v>
      </c>
      <c r="Q351" s="58">
        <f>MAX(-10,MIN(0.8,IFERROR(INDEX(属性耐性マスタ!$B$5:$G$11,MATCH($C351,属性耐性マスタ!$A$5:$A$11,0),2),0)+IFERROR(VLOOKUP($AM351,個性タイプマスタ!$A$5:$P$100,12,FALSE),0)))</f>
        <v>-0.18</v>
      </c>
      <c r="R351" s="58">
        <f>MAX(-10,MIN(0.8,IFERROR(INDEX(属性耐性マスタ!$B$5:$G$11,MATCH($C351,属性耐性マスタ!$A$5:$A$11,0),3),0)+IFERROR(VLOOKUP($AM351,個性タイプマスタ!$A$5:$P$100,12,FALSE),0)))</f>
        <v>-0.08</v>
      </c>
      <c r="S351" s="58">
        <f>MAX(-10,MIN(0.8,IFERROR(INDEX(属性耐性マスタ!$B$5:$G$11,MATCH($C351,属性耐性マスタ!$A$5:$A$11,0),4),0)+IFERROR(VLOOKUP($AM351,個性タイプマスタ!$A$5:$P$100,12,FALSE),0)))</f>
        <v>-0.08</v>
      </c>
      <c r="T351" s="58">
        <f>MAX(-10,MIN(0.8,IFERROR(INDEX(属性耐性マスタ!$B$5:$G$11,MATCH($C351,属性耐性マスタ!$A$5:$A$11,0),5),0)+IFERROR(VLOOKUP($AM351,個性タイプマスタ!$A$5:$P$100,12,FALSE),0)))</f>
        <v>-0.08</v>
      </c>
      <c r="U351" s="58">
        <f>MAX(-10,MIN(0.8,IFERROR(INDEX(属性耐性マスタ!$B$5:$G$11,MATCH($C351,属性耐性マスタ!$A$5:$A$11,0),6),0)+IFERROR(VLOOKUP($AM351,個性タイプマスタ!$A$5:$P$100,12,FALSE),0)))</f>
        <v>-0.08</v>
      </c>
      <c r="V351" s="59">
        <f>ROUND(設定!$B$19*IFERROR(VLOOKUP($AM351,個性タイプマスタ!$A$5:$P$100,13,FALSE),1),2)</f>
        <v>4.8</v>
      </c>
      <c r="W351" s="59">
        <v>58</v>
      </c>
      <c r="X351" s="59" t="str">
        <f>IFERROR(VLOOKUP($AM351,個性タイプマスタ!$A$5:$P$100,2,FALSE),"Ranged")</f>
        <v>Melee</v>
      </c>
      <c r="Y351" s="56">
        <f>IFERROR(VLOOKUP($AM351,個性タイプマスタ!$A$5:$P$100,3,FALSE),1)</f>
        <v>0.65</v>
      </c>
      <c r="Z351" s="56">
        <f>IFERROR(VLOOKUP($AM351,個性タイプマスタ!$A$5:$P$100,4,FALSE),1)</f>
        <v>0.62</v>
      </c>
      <c r="AA351" s="56">
        <f>IFERROR(VLOOKUP($AM351,個性タイプマスタ!$A$5:$P$100,5,FALSE),1)</f>
        <v>0.68</v>
      </c>
      <c r="AB351" s="56">
        <f>IFERROR(VLOOKUP($AM351,個性タイプマスタ!$A$5:$P$100,6,FALSE),1)</f>
        <v>1.35</v>
      </c>
      <c r="AC351" s="56">
        <f>IFERROR(VLOOKUP($AM351,個性タイプマスタ!$A$5:$P$100,7,FALSE),1)</f>
        <v>0.86</v>
      </c>
      <c r="AD351" s="56">
        <f>IFERROR(VLOOKUP($AM351,個性タイプマスタ!$A$5:$P$100,8,FALSE),1)</f>
        <v>0.56999999999999995</v>
      </c>
      <c r="AE351" s="60">
        <f>IFERROR(D351/設定!$B$5,1)</f>
        <v>228.76159999999999</v>
      </c>
      <c r="AF351" s="60">
        <f>1+設定!$B$13*((I351/設定!$B$8+J351/設定!$B$9)/(2*AE351))</f>
        <v>1.1949901119768354</v>
      </c>
      <c r="AG351" s="60">
        <f>MAX(0.7,1+設定!$B$14*(O351/IF(X351="Melee",1.5,2.5)-1))</f>
        <v>0.98319999999999996</v>
      </c>
      <c r="AH351" s="53">
        <f t="shared" si="21"/>
        <v>7271.6615632800003</v>
      </c>
      <c r="AI351" s="53">
        <f>E351*AF351*(1+設定!$B$18*AVERAGE(P351:U351))</f>
        <v>17263.072130590317</v>
      </c>
      <c r="AJ351" s="61">
        <f>設定!$B$5*SQRT((AH351/(設定!$B$7*設定!$B$10*(1+設定!$B$11*(設定!$B$12-1))))*(AI351/(設定!$B$6*(1+設定!$B$13))))</f>
        <v>22877.36546546789</v>
      </c>
      <c r="AK351" s="62">
        <f t="shared" si="22"/>
        <v>5.2695271754110706E-5</v>
      </c>
      <c r="AL351" s="63">
        <f t="shared" si="23"/>
        <v>13039.411199999999</v>
      </c>
      <c r="AM351" s="64" t="s">
        <v>942</v>
      </c>
      <c r="AN351" s="54">
        <f>MAX(1,ROUND((設定!$B$7*設定!$B$10*(1+設定!$B$11*(設定!$B$12-1)))*AE351^2*(設定!$B$6*(1+設定!$B$13))/(AI351*N351*(1+K351*(L351-1))*AG351),0))</f>
        <v>4573</v>
      </c>
      <c r="AO351" s="65" t="str">
        <f>IF($A351="","",IF(COUNTIF(個性タイプマスタ!$A$5:$A$100,$AM351)&gt;0,"OK","未登録"))</f>
        <v>OK</v>
      </c>
      <c r="AP351" s="67" t="str">
        <f>IF($A351="","",IF(COUNTIF(属性耐性マスタ!$A$5:$A$11,$C351)&gt;0,"OK","未登録"))</f>
        <v>OK</v>
      </c>
    </row>
    <row r="352" spans="1:42">
      <c r="A352" s="66" t="s">
        <v>804</v>
      </c>
      <c r="B352" s="51" t="s">
        <v>805</v>
      </c>
      <c r="C352" s="52" t="s">
        <v>114</v>
      </c>
      <c r="D352" s="53">
        <f>ROUND(設定!$B$5*POWER($D$2,W352-1),2)</f>
        <v>22876.16</v>
      </c>
      <c r="E352" s="54">
        <f>MAX(1,ROUND(設定!$B$6*AE352*Y352,0))</f>
        <v>21961</v>
      </c>
      <c r="F352" s="54">
        <f>MAX(0,ROUND(設定!$B$7*AE352*設定!$B$15*IF(X352="Melee",0.6,1.35)*IFERROR(VLOOKUP($AM352,個性タイプマスタ!$A$5:$P$100,14,FALSE),1),0))</f>
        <v>3669</v>
      </c>
      <c r="G352" s="54">
        <f>IF(X352="Melee",AN352,MAX(1,ROUND(AN352*設定!$B$16*IFERROR(VLOOKUP($AM352,個性タイプマスタ!$A$5:$P$100,15,FALSE),1),0)))</f>
        <v>1214</v>
      </c>
      <c r="H352" s="54">
        <f>IF(X352="Ranged",AN352,MAX(1,ROUND(AN352*設定!$B$16*IFERROR(VLOOKUP($AM352,個性タイプマスタ!$A$5:$P$100,15,FALSE),1),0)))</f>
        <v>4351</v>
      </c>
      <c r="I352" s="54">
        <f>MAX(0,ROUND(設定!$B$8*AE352*Z352,0))</f>
        <v>1501</v>
      </c>
      <c r="J352" s="54">
        <f>MAX(0,ROUND(設定!$B$9*AE352*AA352,0))</f>
        <v>1665</v>
      </c>
      <c r="K352" s="55">
        <f>IFERROR(VLOOKUP($AM352,個性タイプマスタ!$A$5:$P$100,9,FALSE),0.05)</f>
        <v>0.06</v>
      </c>
      <c r="L352" s="56">
        <f>IFERROR(VLOOKUP($AM352,個性タイプマスタ!$A$5:$P$100,10,FALSE),1.5)</f>
        <v>1.6</v>
      </c>
      <c r="M352" s="56">
        <f>IFERROR(VLOOKUP($AM352,個性タイプマスタ!$A$5:$P$100,11,FALSE),2)</f>
        <v>2.25</v>
      </c>
      <c r="N352" s="57">
        <f>MAX(0.1,ROUND(設定!$B$10*AB352,3))</f>
        <v>0.91</v>
      </c>
      <c r="O352" s="57">
        <f t="shared" si="20"/>
        <v>4.75</v>
      </c>
      <c r="P352" s="58">
        <f>MAX(-10,MIN(0.8,IFERROR(INDEX(属性耐性マスタ!$B$5:$G$11,MATCH($C352,属性耐性マスタ!$A$5:$A$11,0),1),0)+IFERROR(VLOOKUP($AM352,個性タイプマスタ!$A$5:$P$100,12,FALSE),0)))</f>
        <v>-0.02</v>
      </c>
      <c r="Q352" s="58">
        <f>MAX(-10,MIN(0.8,IFERROR(INDEX(属性耐性マスタ!$B$5:$G$11,MATCH($C352,属性耐性マスタ!$A$5:$A$11,0),2),0)+IFERROR(VLOOKUP($AM352,個性タイプマスタ!$A$5:$P$100,12,FALSE),0)))</f>
        <v>-0.02</v>
      </c>
      <c r="R352" s="58">
        <f>MAX(-10,MIN(0.8,IFERROR(INDEX(属性耐性マスタ!$B$5:$G$11,MATCH($C352,属性耐性マスタ!$A$5:$A$11,0),3),0)+IFERROR(VLOOKUP($AM352,個性タイプマスタ!$A$5:$P$100,12,FALSE),0)))</f>
        <v>0.18000000000000002</v>
      </c>
      <c r="S352" s="58">
        <f>MAX(-10,MIN(0.8,IFERROR(INDEX(属性耐性マスタ!$B$5:$G$11,MATCH($C352,属性耐性マスタ!$A$5:$A$11,0),4),0)+IFERROR(VLOOKUP($AM352,個性タイプマスタ!$A$5:$P$100,12,FALSE),0)))</f>
        <v>-0.12000000000000001</v>
      </c>
      <c r="T352" s="58">
        <f>MAX(-10,MIN(0.8,IFERROR(INDEX(属性耐性マスタ!$B$5:$G$11,MATCH($C352,属性耐性マスタ!$A$5:$A$11,0),5),0)+IFERROR(VLOOKUP($AM352,個性タイプマスタ!$A$5:$P$100,12,FALSE),0)))</f>
        <v>-0.02</v>
      </c>
      <c r="U352" s="58">
        <f>MAX(-10,MIN(0.8,IFERROR(INDEX(属性耐性マスタ!$B$5:$G$11,MATCH($C352,属性耐性マスタ!$A$5:$A$11,0),6),0)+IFERROR(VLOOKUP($AM352,個性タイプマスタ!$A$5:$P$100,12,FALSE),0)))</f>
        <v>-0.02</v>
      </c>
      <c r="V352" s="59">
        <f>ROUND(設定!$B$19*IFERROR(VLOOKUP($AM352,個性タイプマスタ!$A$5:$P$100,13,FALSE),1),2)</f>
        <v>6.6</v>
      </c>
      <c r="W352" s="59">
        <v>58</v>
      </c>
      <c r="X352" s="59" t="str">
        <f>IFERROR(VLOOKUP($AM352,個性タイプマスタ!$A$5:$P$100,2,FALSE),"Ranged")</f>
        <v>Ranged</v>
      </c>
      <c r="Y352" s="56">
        <f>IFERROR(VLOOKUP($AM352,個性タイプマスタ!$A$5:$P$100,3,FALSE),1)</f>
        <v>0.96</v>
      </c>
      <c r="Z352" s="56">
        <f>IFERROR(VLOOKUP($AM352,個性タイプマスタ!$A$5:$P$100,4,FALSE),1)</f>
        <v>0.82</v>
      </c>
      <c r="AA352" s="56">
        <f>IFERROR(VLOOKUP($AM352,個性タイプマスタ!$A$5:$P$100,5,FALSE),1)</f>
        <v>0.91</v>
      </c>
      <c r="AB352" s="56">
        <f>IFERROR(VLOOKUP($AM352,個性タイプマスタ!$A$5:$P$100,6,FALSE),1)</f>
        <v>0.91</v>
      </c>
      <c r="AC352" s="56">
        <f>IFERROR(VLOOKUP($AM352,個性タイプマスタ!$A$5:$P$100,7,FALSE),1)</f>
        <v>1.9</v>
      </c>
      <c r="AD352" s="56">
        <f>IFERROR(VLOOKUP($AM352,個性タイプマスタ!$A$5:$P$100,8,FALSE),1)</f>
        <v>0.75</v>
      </c>
      <c r="AE352" s="60">
        <f>IFERROR(D352/設定!$B$5,1)</f>
        <v>228.76159999999999</v>
      </c>
      <c r="AF352" s="60">
        <f>1+設定!$B$13*((I352/設定!$B$8+J352/設定!$B$9)/(2*AE352))</f>
        <v>1.2594950376286929</v>
      </c>
      <c r="AG352" s="60">
        <f>MAX(0.7,1+設定!$B$14*(O352/IF(X352="Melee",1.5,2.5)-1))</f>
        <v>1.1080000000000001</v>
      </c>
      <c r="AH352" s="53">
        <f t="shared" si="21"/>
        <v>4544.9592260800009</v>
      </c>
      <c r="AI352" s="53">
        <f>E352*AF352*(1+設定!$B$18*AVERAGE(P352:U352))</f>
        <v>27618.280865581681</v>
      </c>
      <c r="AJ352" s="61">
        <f>設定!$B$5*SQRT((AH352/(設定!$B$7*設定!$B$10*(1+設定!$B$11*(設定!$B$12-1))))*(AI352/(設定!$B$6*(1+設定!$B$13))))</f>
        <v>22876.704122974072</v>
      </c>
      <c r="AK352" s="62">
        <f t="shared" si="22"/>
        <v>2.3785590504310505E-5</v>
      </c>
      <c r="AL352" s="63">
        <f t="shared" si="23"/>
        <v>17157.12</v>
      </c>
      <c r="AM352" s="64" t="s">
        <v>918</v>
      </c>
      <c r="AN352" s="54">
        <f>MAX(1,ROUND((設定!$B$7*設定!$B$10*(1+設定!$B$11*(設定!$B$12-1)))*AE352^2*(設定!$B$6*(1+設定!$B$13))/(AI352*N352*(1+K352*(L352-1))*AG352),0))</f>
        <v>4351</v>
      </c>
      <c r="AO352" s="65" t="str">
        <f>IF($A352="","",IF(COUNTIF(個性タイプマスタ!$A$5:$A$100,$AM352)&gt;0,"OK","未登録"))</f>
        <v>OK</v>
      </c>
      <c r="AP352" s="67" t="str">
        <f>IF($A352="","",IF(COUNTIF(属性耐性マスタ!$A$5:$A$11,$C352)&gt;0,"OK","未登録"))</f>
        <v>OK</v>
      </c>
    </row>
    <row r="353" spans="1:42">
      <c r="A353" s="66" t="s">
        <v>806</v>
      </c>
      <c r="B353" s="51" t="s">
        <v>807</v>
      </c>
      <c r="C353" s="52" t="s">
        <v>111</v>
      </c>
      <c r="D353" s="53">
        <f>ROUND(設定!$B$5*POWER($D$2,W353-1),2)</f>
        <v>25163.77</v>
      </c>
      <c r="E353" s="54">
        <f>MAX(1,ROUND(設定!$B$6*AE353*Y353,0))</f>
        <v>16860</v>
      </c>
      <c r="F353" s="54">
        <f>MAX(0,ROUND(設定!$B$7*AE353*設定!$B$15*IF(X353="Melee",0.6,1.35)*IFERROR(VLOOKUP($AM353,個性タイプマスタ!$A$5:$P$100,14,FALSE),1),0))</f>
        <v>4036</v>
      </c>
      <c r="G353" s="54">
        <f>IF(X353="Melee",AN353,MAX(1,ROUND(AN353*設定!$B$16*IFERROR(VLOOKUP($AM353,個性タイプマスタ!$A$5:$P$100,15,FALSE),1),0)))</f>
        <v>1867</v>
      </c>
      <c r="H353" s="54">
        <f>IF(X353="Ranged",AN353,MAX(1,ROUND(AN353*設定!$B$16*IFERROR(VLOOKUP($AM353,個性タイプマスタ!$A$5:$P$100,15,FALSE),1),0)))</f>
        <v>7979</v>
      </c>
      <c r="I353" s="54">
        <f>MAX(0,ROUND(設定!$B$8*AE353*Z353,0))</f>
        <v>1309</v>
      </c>
      <c r="J353" s="54">
        <f>MAX(0,ROUND(設定!$B$9*AE353*AA353,0))</f>
        <v>1610</v>
      </c>
      <c r="K353" s="55">
        <f>IFERROR(VLOOKUP($AM353,個性タイプマスタ!$A$5:$P$100,9,FALSE),0.05)</f>
        <v>0.18</v>
      </c>
      <c r="L353" s="56">
        <f>IFERROR(VLOOKUP($AM353,個性タイプマスタ!$A$5:$P$100,10,FALSE),1.5)</f>
        <v>1.85</v>
      </c>
      <c r="M353" s="56">
        <f>IFERROR(VLOOKUP($AM353,個性タイプマスタ!$A$5:$P$100,11,FALSE),2)</f>
        <v>2.0499999999999998</v>
      </c>
      <c r="N353" s="57">
        <f>MAX(0.1,ROUND(設定!$B$10*AB353,3))</f>
        <v>0.75</v>
      </c>
      <c r="O353" s="57">
        <f t="shared" si="20"/>
        <v>4.45</v>
      </c>
      <c r="P353" s="58">
        <f>MAX(-10,MIN(0.8,IFERROR(INDEX(属性耐性マスタ!$B$5:$G$11,MATCH($C353,属性耐性マスタ!$A$5:$A$11,0),1),0)+IFERROR(VLOOKUP($AM353,個性タイプマスタ!$A$5:$P$100,12,FALSE),0)))</f>
        <v>0.14000000000000001</v>
      </c>
      <c r="Q353" s="58">
        <f>MAX(-10,MIN(0.8,IFERROR(INDEX(属性耐性マスタ!$B$5:$G$11,MATCH($C353,属性耐性マスタ!$A$5:$A$11,0),2),0)+IFERROR(VLOOKUP($AM353,個性タイプマスタ!$A$5:$P$100,12,FALSE),0)))</f>
        <v>-0.16</v>
      </c>
      <c r="R353" s="58">
        <f>MAX(-10,MIN(0.8,IFERROR(INDEX(属性耐性マスタ!$B$5:$G$11,MATCH($C353,属性耐性マスタ!$A$5:$A$11,0),3),0)+IFERROR(VLOOKUP($AM353,個性タイプマスタ!$A$5:$P$100,12,FALSE),0)))</f>
        <v>-0.06</v>
      </c>
      <c r="S353" s="58">
        <f>MAX(-10,MIN(0.8,IFERROR(INDEX(属性耐性マスタ!$B$5:$G$11,MATCH($C353,属性耐性マスタ!$A$5:$A$11,0),4),0)+IFERROR(VLOOKUP($AM353,個性タイプマスタ!$A$5:$P$100,12,FALSE),0)))</f>
        <v>-0.06</v>
      </c>
      <c r="T353" s="58">
        <f>MAX(-10,MIN(0.8,IFERROR(INDEX(属性耐性マスタ!$B$5:$G$11,MATCH($C353,属性耐性マスタ!$A$5:$A$11,0),5),0)+IFERROR(VLOOKUP($AM353,個性タイプマスタ!$A$5:$P$100,12,FALSE),0)))</f>
        <v>-0.06</v>
      </c>
      <c r="U353" s="58">
        <f>MAX(-10,MIN(0.8,IFERROR(INDEX(属性耐性マスタ!$B$5:$G$11,MATCH($C353,属性耐性マスタ!$A$5:$A$11,0),6),0)+IFERROR(VLOOKUP($AM353,個性タイプマスタ!$A$5:$P$100,12,FALSE),0)))</f>
        <v>-0.06</v>
      </c>
      <c r="V353" s="59">
        <f>ROUND(設定!$B$19*IFERROR(VLOOKUP($AM353,個性タイプマスタ!$A$5:$P$100,13,FALSE),1),2)</f>
        <v>5.6</v>
      </c>
      <c r="W353" s="59">
        <v>59</v>
      </c>
      <c r="X353" s="59" t="str">
        <f>IFERROR(VLOOKUP($AM353,個性タイプマスタ!$A$5:$P$100,2,FALSE),"Ranged")</f>
        <v>Ranged</v>
      </c>
      <c r="Y353" s="56">
        <f>IFERROR(VLOOKUP($AM353,個性タイプマスタ!$A$5:$P$100,3,FALSE),1)</f>
        <v>0.67</v>
      </c>
      <c r="Z353" s="56">
        <f>IFERROR(VLOOKUP($AM353,個性タイプマスタ!$A$5:$P$100,4,FALSE),1)</f>
        <v>0.65</v>
      </c>
      <c r="AA353" s="56">
        <f>IFERROR(VLOOKUP($AM353,個性タイプマスタ!$A$5:$P$100,5,FALSE),1)</f>
        <v>0.8</v>
      </c>
      <c r="AB353" s="56">
        <f>IFERROR(VLOOKUP($AM353,個性タイプマスタ!$A$5:$P$100,6,FALSE),1)</f>
        <v>0.75</v>
      </c>
      <c r="AC353" s="56">
        <f>IFERROR(VLOOKUP($AM353,個性タイプマスタ!$A$5:$P$100,7,FALSE),1)</f>
        <v>1.78</v>
      </c>
      <c r="AD353" s="56">
        <f>IFERROR(VLOOKUP($AM353,個性タイプマスタ!$A$5:$P$100,8,FALSE),1)</f>
        <v>0.62</v>
      </c>
      <c r="AE353" s="60">
        <f>IFERROR(D353/設定!$B$5,1)</f>
        <v>251.6377</v>
      </c>
      <c r="AF353" s="60">
        <f>1+設定!$B$13*((I353/設定!$B$8+J353/設定!$B$9)/(2*AE353))</f>
        <v>1.2175001996918586</v>
      </c>
      <c r="AG353" s="60">
        <f>MAX(0.7,1+設定!$B$14*(O353/IF(X353="Melee",1.5,2.5)-1))</f>
        <v>1.0935999999999999</v>
      </c>
      <c r="AH353" s="53">
        <f t="shared" si="21"/>
        <v>7545.6652973999999</v>
      </c>
      <c r="AI353" s="53">
        <f>E353*AF353*(1+設定!$B$18*AVERAGE(P353:U353))</f>
        <v>20126.775826152043</v>
      </c>
      <c r="AJ353" s="61">
        <f>設定!$B$5*SQRT((AH353/(設定!$B$7*設定!$B$10*(1+設定!$B$11*(設定!$B$12-1))))*(AI353/(設定!$B$6*(1+設定!$B$13))))</f>
        <v>25163.208257743594</v>
      </c>
      <c r="AK353" s="62">
        <f t="shared" si="22"/>
        <v>-2.2323453775285884E-5</v>
      </c>
      <c r="AL353" s="63">
        <f t="shared" si="23"/>
        <v>15601.537399999999</v>
      </c>
      <c r="AM353" s="64" t="s">
        <v>910</v>
      </c>
      <c r="AN353" s="54">
        <f>MAX(1,ROUND((設定!$B$7*設定!$B$10*(1+設定!$B$11*(設定!$B$12-1)))*AE353^2*(設定!$B$6*(1+設定!$B$13))/(AI353*N353*(1+K353*(L353-1))*AG353),0))</f>
        <v>7979</v>
      </c>
      <c r="AO353" s="65" t="str">
        <f>IF($A353="","",IF(COUNTIF(個性タイプマスタ!$A$5:$A$100,$AM353)&gt;0,"OK","未登録"))</f>
        <v>OK</v>
      </c>
      <c r="AP353" s="67" t="str">
        <f>IF($A353="","",IF(COUNTIF(属性耐性マスタ!$A$5:$A$11,$C353)&gt;0,"OK","未登録"))</f>
        <v>OK</v>
      </c>
    </row>
    <row r="354" spans="1:42">
      <c r="A354" s="66" t="s">
        <v>808</v>
      </c>
      <c r="B354" s="51" t="s">
        <v>809</v>
      </c>
      <c r="C354" s="52" t="s">
        <v>108</v>
      </c>
      <c r="D354" s="53">
        <f>ROUND(設定!$B$5*POWER($D$2,W354-1),2)</f>
        <v>25163.77</v>
      </c>
      <c r="E354" s="54">
        <f>MAX(1,ROUND(設定!$B$6*AE354*Y354,0))</f>
        <v>20634</v>
      </c>
      <c r="F354" s="54">
        <f>MAX(0,ROUND(設定!$B$7*AE354*設定!$B$15*IF(X354="Melee",0.6,1.35)*IFERROR(VLOOKUP($AM354,個性タイプマスタ!$A$5:$P$100,14,FALSE),1),0))</f>
        <v>4953</v>
      </c>
      <c r="G354" s="54">
        <f>IF(X354="Melee",AN354,MAX(1,ROUND(AN354*設定!$B$16*IFERROR(VLOOKUP($AM354,個性タイプマスタ!$A$5:$P$100,15,FALSE),1),0)))</f>
        <v>1907</v>
      </c>
      <c r="H354" s="54">
        <f>IF(X354="Ranged",AN354,MAX(1,ROUND(AN354*設定!$B$16*IFERROR(VLOOKUP($AM354,個性タイプマスタ!$A$5:$P$100,15,FALSE),1),0)))</f>
        <v>7062</v>
      </c>
      <c r="I354" s="54">
        <f>MAX(0,ROUND(設定!$B$8*AE354*Z354,0))</f>
        <v>1631</v>
      </c>
      <c r="J354" s="54">
        <f>MAX(0,ROUND(設定!$B$9*AE354*AA354,0))</f>
        <v>1751</v>
      </c>
      <c r="K354" s="55">
        <f>IFERROR(VLOOKUP($AM354,個性タイプマスタ!$A$5:$P$100,9,FALSE),0.05)</f>
        <v>0.12</v>
      </c>
      <c r="L354" s="56">
        <f>IFERROR(VLOOKUP($AM354,個性タイプマスタ!$A$5:$P$100,10,FALSE),1.5)</f>
        <v>2.5499999999999998</v>
      </c>
      <c r="M354" s="56">
        <f>IFERROR(VLOOKUP($AM354,個性タイプマスタ!$A$5:$P$100,11,FALSE),2)</f>
        <v>2.2999999999999998</v>
      </c>
      <c r="N354" s="57">
        <f>MAX(0.1,ROUND(設定!$B$10*AB354,3))</f>
        <v>0.68</v>
      </c>
      <c r="O354" s="57">
        <f t="shared" si="20"/>
        <v>3.55</v>
      </c>
      <c r="P354" s="58">
        <f>MAX(-10,MIN(0.8,IFERROR(INDEX(属性耐性マスタ!$B$5:$G$11,MATCH($C354,属性耐性マスタ!$A$5:$A$11,0),1),0)+IFERROR(VLOOKUP($AM354,個性タイプマスタ!$A$5:$P$100,12,FALSE),0)))</f>
        <v>-0.155</v>
      </c>
      <c r="Q354" s="58">
        <f>MAX(-10,MIN(0.8,IFERROR(INDEX(属性耐性マスタ!$B$5:$G$11,MATCH($C354,属性耐性マスタ!$A$5:$A$11,0),2),0)+IFERROR(VLOOKUP($AM354,個性タイプマスタ!$A$5:$P$100,12,FALSE),0)))</f>
        <v>0.14500000000000002</v>
      </c>
      <c r="R354" s="58">
        <f>MAX(-10,MIN(0.8,IFERROR(INDEX(属性耐性マスタ!$B$5:$G$11,MATCH($C354,属性耐性マスタ!$A$5:$A$11,0),3),0)+IFERROR(VLOOKUP($AM354,個性タイプマスタ!$A$5:$P$100,12,FALSE),0)))</f>
        <v>-5.5E-2</v>
      </c>
      <c r="S354" s="58">
        <f>MAX(-10,MIN(0.8,IFERROR(INDEX(属性耐性マスタ!$B$5:$G$11,MATCH($C354,属性耐性マスタ!$A$5:$A$11,0),4),0)+IFERROR(VLOOKUP($AM354,個性タイプマスタ!$A$5:$P$100,12,FALSE),0)))</f>
        <v>-5.5E-2</v>
      </c>
      <c r="T354" s="58">
        <f>MAX(-10,MIN(0.8,IFERROR(INDEX(属性耐性マスタ!$B$5:$G$11,MATCH($C354,属性耐性マスタ!$A$5:$A$11,0),5),0)+IFERROR(VLOOKUP($AM354,個性タイプマスタ!$A$5:$P$100,12,FALSE),0)))</f>
        <v>-5.5E-2</v>
      </c>
      <c r="U354" s="58">
        <f>MAX(-10,MIN(0.8,IFERROR(INDEX(属性耐性マスタ!$B$5:$G$11,MATCH($C354,属性耐性マスタ!$A$5:$A$11,0),6),0)+IFERROR(VLOOKUP($AM354,個性タイプマスタ!$A$5:$P$100,12,FALSE),0)))</f>
        <v>-5.5E-2</v>
      </c>
      <c r="V354" s="59">
        <f>ROUND(設定!$B$19*IFERROR(VLOOKUP($AM354,個性タイプマスタ!$A$5:$P$100,13,FALSE),1),2)</f>
        <v>4.8</v>
      </c>
      <c r="W354" s="59">
        <v>59</v>
      </c>
      <c r="X354" s="59" t="str">
        <f>IFERROR(VLOOKUP($AM354,個性タイプマスタ!$A$5:$P$100,2,FALSE),"Ranged")</f>
        <v>Ranged</v>
      </c>
      <c r="Y354" s="56">
        <f>IFERROR(VLOOKUP($AM354,個性タイプマスタ!$A$5:$P$100,3,FALSE),1)</f>
        <v>0.82</v>
      </c>
      <c r="Z354" s="56">
        <f>IFERROR(VLOOKUP($AM354,個性タイプマスタ!$A$5:$P$100,4,FALSE),1)</f>
        <v>0.81</v>
      </c>
      <c r="AA354" s="56">
        <f>IFERROR(VLOOKUP($AM354,個性タイプマスタ!$A$5:$P$100,5,FALSE),1)</f>
        <v>0.87</v>
      </c>
      <c r="AB354" s="56">
        <f>IFERROR(VLOOKUP($AM354,個性タイプマスタ!$A$5:$P$100,6,FALSE),1)</f>
        <v>0.68</v>
      </c>
      <c r="AC354" s="56">
        <f>IFERROR(VLOOKUP($AM354,個性タイプマスタ!$A$5:$P$100,7,FALSE),1)</f>
        <v>1.42</v>
      </c>
      <c r="AD354" s="56">
        <f>IFERROR(VLOOKUP($AM354,個性タイプマスタ!$A$5:$P$100,8,FALSE),1)</f>
        <v>0.67</v>
      </c>
      <c r="AE354" s="60">
        <f>IFERROR(D354/設定!$B$5,1)</f>
        <v>251.6377</v>
      </c>
      <c r="AF354" s="60">
        <f>1+設定!$B$13*((I354/設定!$B$8+J354/設定!$B$9)/(2*AE354))</f>
        <v>1.2519992036169461</v>
      </c>
      <c r="AG354" s="60">
        <f>MAX(0.7,1+設定!$B$14*(O354/IF(X354="Melee",1.5,2.5)-1))</f>
        <v>1.0504</v>
      </c>
      <c r="AH354" s="53">
        <f t="shared" si="21"/>
        <v>5982.4079927040011</v>
      </c>
      <c r="AI354" s="53">
        <f>E354*AF354*(1+設定!$B$18*AVERAGE(P354:U354))</f>
        <v>25388.11935289386</v>
      </c>
      <c r="AJ354" s="61">
        <f>設定!$B$5*SQRT((AH354/(設定!$B$7*設定!$B$10*(1+設定!$B$11*(設定!$B$12-1))))*(AI354/(設定!$B$6*(1+設定!$B$13))))</f>
        <v>25164.216807436864</v>
      </c>
      <c r="AK354" s="62">
        <f t="shared" si="22"/>
        <v>1.7755981590372727E-5</v>
      </c>
      <c r="AL354" s="63">
        <f t="shared" si="23"/>
        <v>16859.725900000001</v>
      </c>
      <c r="AM354" s="64" t="s">
        <v>924</v>
      </c>
      <c r="AN354" s="54">
        <f>MAX(1,ROUND((設定!$B$7*設定!$B$10*(1+設定!$B$11*(設定!$B$12-1)))*AE354^2*(設定!$B$6*(1+設定!$B$13))/(AI354*N354*(1+K354*(L354-1))*AG354),0))</f>
        <v>7062</v>
      </c>
      <c r="AO354" s="65" t="str">
        <f>IF($A354="","",IF(COUNTIF(個性タイプマスタ!$A$5:$A$100,$AM354)&gt;0,"OK","未登録"))</f>
        <v>OK</v>
      </c>
      <c r="AP354" s="67" t="str">
        <f>IF($A354="","",IF(COUNTIF(属性耐性マスタ!$A$5:$A$11,$C354)&gt;0,"OK","未登録"))</f>
        <v>OK</v>
      </c>
    </row>
    <row r="355" spans="1:42">
      <c r="A355" s="66" t="s">
        <v>810</v>
      </c>
      <c r="B355" s="51" t="s">
        <v>811</v>
      </c>
      <c r="C355" s="52" t="s">
        <v>121</v>
      </c>
      <c r="D355" s="53">
        <f>ROUND(設定!$B$5*POWER($D$2,W355-1),2)</f>
        <v>25163.77</v>
      </c>
      <c r="E355" s="54">
        <f>MAX(1,ROUND(設定!$B$6*AE355*Y355,0))</f>
        <v>35229</v>
      </c>
      <c r="F355" s="54">
        <f>MAX(0,ROUND(設定!$B$7*AE355*設定!$B$15*IF(X355="Melee",0.6,1.35)*IFERROR(VLOOKUP($AM355,個性タイプマスタ!$A$5:$P$100,14,FALSE),1),0))</f>
        <v>8072</v>
      </c>
      <c r="G355" s="54">
        <f>IF(X355="Melee",AN355,MAX(1,ROUND(AN355*設定!$B$16*IFERROR(VLOOKUP($AM355,個性タイプマスタ!$A$5:$P$100,15,FALSE),1),0)))</f>
        <v>1349</v>
      </c>
      <c r="H355" s="54">
        <f>IF(X355="Ranged",AN355,MAX(1,ROUND(AN355*設定!$B$16*IFERROR(VLOOKUP($AM355,個性タイプマスタ!$A$5:$P$100,15,FALSE),1),0)))</f>
        <v>3568</v>
      </c>
      <c r="I355" s="54">
        <f>MAX(0,ROUND(設定!$B$8*AE355*Z355,0))</f>
        <v>1912</v>
      </c>
      <c r="J355" s="54">
        <f>MAX(0,ROUND(設定!$B$9*AE355*AA355,0))</f>
        <v>3382</v>
      </c>
      <c r="K355" s="55">
        <f>IFERROR(VLOOKUP($AM355,個性タイプマスタ!$A$5:$P$100,9,FALSE),0.05)</f>
        <v>0.115</v>
      </c>
      <c r="L355" s="56">
        <f>IFERROR(VLOOKUP($AM355,個性タイプマスタ!$A$5:$P$100,10,FALSE),1.5)</f>
        <v>1.95</v>
      </c>
      <c r="M355" s="56">
        <f>IFERROR(VLOOKUP($AM355,個性タイプマスタ!$A$5:$P$100,11,FALSE),2)</f>
        <v>1.2</v>
      </c>
      <c r="N355" s="57">
        <f>MAX(0.1,ROUND(設定!$B$10*AB355,3))</f>
        <v>0.72</v>
      </c>
      <c r="O355" s="57">
        <f t="shared" si="20"/>
        <v>3.3250000000000002</v>
      </c>
      <c r="P355" s="58">
        <f>MAX(-10,MIN(0.8,IFERROR(INDEX(属性耐性マスタ!$B$5:$G$11,MATCH($C355,属性耐性マスタ!$A$5:$A$11,0),1),0)+IFERROR(VLOOKUP($AM355,個性タイプマスタ!$A$5:$P$100,12,FALSE),0)))</f>
        <v>0.08</v>
      </c>
      <c r="Q355" s="58">
        <f>MAX(-10,MIN(0.8,IFERROR(INDEX(属性耐性マスタ!$B$5:$G$11,MATCH($C355,属性耐性マスタ!$A$5:$A$11,0),2),0)+IFERROR(VLOOKUP($AM355,個性タイプマスタ!$A$5:$P$100,12,FALSE),0)))</f>
        <v>0.08</v>
      </c>
      <c r="R355" s="58">
        <f>MAX(-10,MIN(0.8,IFERROR(INDEX(属性耐性マスタ!$B$5:$G$11,MATCH($C355,属性耐性マスタ!$A$5:$A$11,0),3),0)+IFERROR(VLOOKUP($AM355,個性タイプマスタ!$A$5:$P$100,12,FALSE),0)))</f>
        <v>0.08</v>
      </c>
      <c r="S355" s="58">
        <f>MAX(-10,MIN(0.8,IFERROR(INDEX(属性耐性マスタ!$B$5:$G$11,MATCH($C355,属性耐性マスタ!$A$5:$A$11,0),4),0)+IFERROR(VLOOKUP($AM355,個性タイプマスタ!$A$5:$P$100,12,FALSE),0)))</f>
        <v>0.08</v>
      </c>
      <c r="T355" s="58">
        <f>MAX(-10,MIN(0.8,IFERROR(INDEX(属性耐性マスタ!$B$5:$G$11,MATCH($C355,属性耐性マスタ!$A$5:$A$11,0),5),0)+IFERROR(VLOOKUP($AM355,個性タイプマスタ!$A$5:$P$100,12,FALSE),0)))</f>
        <v>0.28000000000000003</v>
      </c>
      <c r="U355" s="58">
        <f>MAX(-10,MIN(0.8,IFERROR(INDEX(属性耐性マスタ!$B$5:$G$11,MATCH($C355,属性耐性マスタ!$A$5:$A$11,0),6),0)+IFERROR(VLOOKUP($AM355,個性タイプマスタ!$A$5:$P$100,12,FALSE),0)))</f>
        <v>-2.0000000000000004E-2</v>
      </c>
      <c r="V355" s="59">
        <f>ROUND(設定!$B$19*IFERROR(VLOOKUP($AM355,個性タイプマスタ!$A$5:$P$100,13,FALSE),1),2)</f>
        <v>5</v>
      </c>
      <c r="W355" s="59">
        <v>59</v>
      </c>
      <c r="X355" s="59" t="str">
        <f>IFERROR(VLOOKUP($AM355,個性タイプマスタ!$A$5:$P$100,2,FALSE),"Ranged")</f>
        <v>Ranged</v>
      </c>
      <c r="Y355" s="56">
        <f>IFERROR(VLOOKUP($AM355,個性タイプマスタ!$A$5:$P$100,3,FALSE),1)</f>
        <v>1.4</v>
      </c>
      <c r="Z355" s="56">
        <f>IFERROR(VLOOKUP($AM355,個性タイプマスタ!$A$5:$P$100,4,FALSE),1)</f>
        <v>0.95</v>
      </c>
      <c r="AA355" s="56">
        <f>IFERROR(VLOOKUP($AM355,個性タイプマスタ!$A$5:$P$100,5,FALSE),1)</f>
        <v>1.68</v>
      </c>
      <c r="AB355" s="56">
        <f>IFERROR(VLOOKUP($AM355,個性タイプマスタ!$A$5:$P$100,6,FALSE),1)</f>
        <v>0.72</v>
      </c>
      <c r="AC355" s="56">
        <f>IFERROR(VLOOKUP($AM355,個性タイプマスタ!$A$5:$P$100,7,FALSE),1)</f>
        <v>1.33</v>
      </c>
      <c r="AD355" s="56">
        <f>IFERROR(VLOOKUP($AM355,個性タイプマスタ!$A$5:$P$100,8,FALSE),1)</f>
        <v>0.86</v>
      </c>
      <c r="AE355" s="60">
        <f>IFERROR(D355/設定!$B$5,1)</f>
        <v>251.6377</v>
      </c>
      <c r="AF355" s="60">
        <f>1+設定!$B$13*((I355/設定!$B$8+J355/設定!$B$9)/(2*AE355))</f>
        <v>1.3944659325689275</v>
      </c>
      <c r="AG355" s="60">
        <f>MAX(0.7,1+設定!$B$14*(O355/IF(X355="Melee",1.5,2.5)-1))</f>
        <v>1.0396000000000001</v>
      </c>
      <c r="AH355" s="53">
        <f t="shared" si="21"/>
        <v>2962.4637876480006</v>
      </c>
      <c r="AI355" s="53">
        <f>E355*AF355*(1+設定!$B$18*AVERAGE(P355:U355))</f>
        <v>51262.605693194229</v>
      </c>
      <c r="AJ355" s="61">
        <f>設定!$B$5*SQRT((AH355/(設定!$B$7*設定!$B$10*(1+設定!$B$11*(設定!$B$12-1))))*(AI355/(設定!$B$6*(1+設定!$B$13))))</f>
        <v>25162.686258917423</v>
      </c>
      <c r="AK355" s="62">
        <f t="shared" si="22"/>
        <v>-4.3067516615202805E-5</v>
      </c>
      <c r="AL355" s="63">
        <f t="shared" si="23"/>
        <v>21640.842199999999</v>
      </c>
      <c r="AM355" s="64" t="s">
        <v>938</v>
      </c>
      <c r="AN355" s="54">
        <f>MAX(1,ROUND((設定!$B$7*設定!$B$10*(1+設定!$B$11*(設定!$B$12-1)))*AE355^2*(設定!$B$6*(1+設定!$B$13))/(AI355*N355*(1+K355*(L355-1))*AG355),0))</f>
        <v>3568</v>
      </c>
      <c r="AO355" s="65" t="str">
        <f>IF($A355="","",IF(COUNTIF(個性タイプマスタ!$A$5:$A$100,$AM355)&gt;0,"OK","未登録"))</f>
        <v>OK</v>
      </c>
      <c r="AP355" s="67" t="str">
        <f>IF($A355="","",IF(COUNTIF(属性耐性マスタ!$A$5:$A$11,$C355)&gt;0,"OK","未登録"))</f>
        <v>OK</v>
      </c>
    </row>
    <row r="356" spans="1:42">
      <c r="A356" s="66" t="s">
        <v>812</v>
      </c>
      <c r="B356" s="51" t="s">
        <v>813</v>
      </c>
      <c r="C356" s="52" t="s">
        <v>108</v>
      </c>
      <c r="D356" s="53">
        <f>ROUND(設定!$B$5*POWER($D$2,W356-1),2)</f>
        <v>25163.77</v>
      </c>
      <c r="E356" s="54">
        <f>MAX(1,ROUND(設定!$B$6*AE356*Y356,0))</f>
        <v>40262</v>
      </c>
      <c r="F356" s="54">
        <f>MAX(0,ROUND(設定!$B$7*AE356*設定!$B$15*IF(X356="Melee",0.6,1.35)*IFERROR(VLOOKUP($AM356,個性タイプマスタ!$A$5:$P$100,14,FALSE),1),0))</f>
        <v>1386</v>
      </c>
      <c r="G356" s="54">
        <f>IF(X356="Melee",AN356,MAX(1,ROUND(AN356*設定!$B$16*IFERROR(VLOOKUP($AM356,個性タイプマスタ!$A$5:$P$100,15,FALSE),1),0)))</f>
        <v>3056</v>
      </c>
      <c r="H356" s="54">
        <f>IF(X356="Ranged",AN356,MAX(1,ROUND(AN356*設定!$B$16*IFERROR(VLOOKUP($AM356,個性タイプマスタ!$A$5:$P$100,15,FALSE),1),0)))</f>
        <v>1375</v>
      </c>
      <c r="I356" s="54">
        <f>MAX(0,ROUND(設定!$B$8*AE356*Z356,0))</f>
        <v>3120</v>
      </c>
      <c r="J356" s="54">
        <f>MAX(0,ROUND(設定!$B$9*AE356*AA356,0))</f>
        <v>2818</v>
      </c>
      <c r="K356" s="55">
        <f>IFERROR(VLOOKUP($AM356,個性タイプマスタ!$A$5:$P$100,9,FALSE),0.05)</f>
        <v>0.04</v>
      </c>
      <c r="L356" s="56">
        <f>IFERROR(VLOOKUP($AM356,個性タイプマスタ!$A$5:$P$100,10,FALSE),1.5)</f>
        <v>1.4</v>
      </c>
      <c r="M356" s="56">
        <f>IFERROR(VLOOKUP($AM356,個性タイプマスタ!$A$5:$P$100,11,FALSE),2)</f>
        <v>2.2000000000000002</v>
      </c>
      <c r="N356" s="57">
        <f>MAX(0.1,ROUND(設定!$B$10*AB356,3))</f>
        <v>0.82</v>
      </c>
      <c r="O356" s="57">
        <f t="shared" si="20"/>
        <v>1.2</v>
      </c>
      <c r="P356" s="58">
        <f>MAX(-10,MIN(0.8,IFERROR(INDEX(属性耐性マスタ!$B$5:$G$11,MATCH($C356,属性耐性マスタ!$A$5:$A$11,0),1),0)+IFERROR(VLOOKUP($AM356,個性タイプマスタ!$A$5:$P$100,12,FALSE),0)))</f>
        <v>0</v>
      </c>
      <c r="Q356" s="58">
        <f>MAX(-10,MIN(0.8,IFERROR(INDEX(属性耐性マスタ!$B$5:$G$11,MATCH($C356,属性耐性マスタ!$A$5:$A$11,0),2),0)+IFERROR(VLOOKUP($AM356,個性タイプマスタ!$A$5:$P$100,12,FALSE),0)))</f>
        <v>0.30000000000000004</v>
      </c>
      <c r="R356" s="58">
        <f>MAX(-10,MIN(0.8,IFERROR(INDEX(属性耐性マスタ!$B$5:$G$11,MATCH($C356,属性耐性マスタ!$A$5:$A$11,0),3),0)+IFERROR(VLOOKUP($AM356,個性タイプマスタ!$A$5:$P$100,12,FALSE),0)))</f>
        <v>0.1</v>
      </c>
      <c r="S356" s="58">
        <f>MAX(-10,MIN(0.8,IFERROR(INDEX(属性耐性マスタ!$B$5:$G$11,MATCH($C356,属性耐性マスタ!$A$5:$A$11,0),4),0)+IFERROR(VLOOKUP($AM356,個性タイプマスタ!$A$5:$P$100,12,FALSE),0)))</f>
        <v>0.1</v>
      </c>
      <c r="T356" s="58">
        <f>MAX(-10,MIN(0.8,IFERROR(INDEX(属性耐性マスタ!$B$5:$G$11,MATCH($C356,属性耐性マスタ!$A$5:$A$11,0),5),0)+IFERROR(VLOOKUP($AM356,個性タイプマスタ!$A$5:$P$100,12,FALSE),0)))</f>
        <v>0.1</v>
      </c>
      <c r="U356" s="58">
        <f>MAX(-10,MIN(0.8,IFERROR(INDEX(属性耐性マスタ!$B$5:$G$11,MATCH($C356,属性耐性マスタ!$A$5:$A$11,0),6),0)+IFERROR(VLOOKUP($AM356,個性タイプマスタ!$A$5:$P$100,12,FALSE),0)))</f>
        <v>0.1</v>
      </c>
      <c r="V356" s="59">
        <f>ROUND(設定!$B$19*IFERROR(VLOOKUP($AM356,個性タイプマスタ!$A$5:$P$100,13,FALSE),1),2)</f>
        <v>4</v>
      </c>
      <c r="W356" s="59">
        <v>59</v>
      </c>
      <c r="X356" s="59" t="str">
        <f>IFERROR(VLOOKUP($AM356,個性タイプマスタ!$A$5:$P$100,2,FALSE),"Ranged")</f>
        <v>Melee</v>
      </c>
      <c r="Y356" s="56">
        <f>IFERROR(VLOOKUP($AM356,個性タイプマスタ!$A$5:$P$100,3,FALSE),1)</f>
        <v>1.6</v>
      </c>
      <c r="Z356" s="56">
        <f>IFERROR(VLOOKUP($AM356,個性タイプマスタ!$A$5:$P$100,4,FALSE),1)</f>
        <v>1.55</v>
      </c>
      <c r="AA356" s="56">
        <f>IFERROR(VLOOKUP($AM356,個性タイプマスタ!$A$5:$P$100,5,FALSE),1)</f>
        <v>1.4</v>
      </c>
      <c r="AB356" s="56">
        <f>IFERROR(VLOOKUP($AM356,個性タイプマスタ!$A$5:$P$100,6,FALSE),1)</f>
        <v>0.82</v>
      </c>
      <c r="AC356" s="56">
        <f>IFERROR(VLOOKUP($AM356,個性タイプマスタ!$A$5:$P$100,7,FALSE),1)</f>
        <v>0.8</v>
      </c>
      <c r="AD356" s="56">
        <f>IFERROR(VLOOKUP($AM356,個性タイプマスタ!$A$5:$P$100,8,FALSE),1)</f>
        <v>0.88</v>
      </c>
      <c r="AE356" s="60">
        <f>IFERROR(D356/設定!$B$5,1)</f>
        <v>251.6377</v>
      </c>
      <c r="AF356" s="60">
        <f>1+設定!$B$13*((I356/設定!$B$8+J356/設定!$B$9)/(2*AE356))</f>
        <v>1.4424515881364359</v>
      </c>
      <c r="AG356" s="60">
        <f>MAX(0.7,1+設定!$B$14*(O356/IF(X356="Melee",1.5,2.5)-1))</f>
        <v>0.97599999999999998</v>
      </c>
      <c r="AH356" s="53">
        <f t="shared" si="21"/>
        <v>2484.9103667200002</v>
      </c>
      <c r="AI356" s="53">
        <f>E356*AF356*(1+設定!$B$18*AVERAGE(P356:U356))</f>
        <v>61124.975098230512</v>
      </c>
      <c r="AJ356" s="61">
        <f>設定!$B$5*SQRT((AH356/(設定!$B$7*設定!$B$10*(1+設定!$B$11*(設定!$B$12-1))))*(AI356/(設定!$B$6*(1+設定!$B$13))))</f>
        <v>25164.879210166448</v>
      </c>
      <c r="AK356" s="62">
        <f t="shared" si="22"/>
        <v>4.4079649688777423E-5</v>
      </c>
      <c r="AL356" s="63">
        <f t="shared" si="23"/>
        <v>22144.117600000001</v>
      </c>
      <c r="AM356" s="64" t="s">
        <v>904</v>
      </c>
      <c r="AN356" s="54">
        <f>MAX(1,ROUND((設定!$B$7*設定!$B$10*(1+設定!$B$11*(設定!$B$12-1)))*AE356^2*(設定!$B$6*(1+設定!$B$13))/(AI356*N356*(1+K356*(L356-1))*AG356),0))</f>
        <v>3056</v>
      </c>
      <c r="AO356" s="65" t="str">
        <f>IF($A356="","",IF(COUNTIF(個性タイプマスタ!$A$5:$A$100,$AM356)&gt;0,"OK","未登録"))</f>
        <v>OK</v>
      </c>
      <c r="AP356" s="67" t="str">
        <f>IF($A356="","",IF(COUNTIF(属性耐性マスタ!$A$5:$A$11,$C356)&gt;0,"OK","未登録"))</f>
        <v>OK</v>
      </c>
    </row>
    <row r="357" spans="1:42">
      <c r="A357" s="66" t="s">
        <v>814</v>
      </c>
      <c r="B357" s="51" t="s">
        <v>815</v>
      </c>
      <c r="C357" s="52" t="s">
        <v>111</v>
      </c>
      <c r="D357" s="53">
        <f>ROUND(設定!$B$5*POWER($D$2,W357-1),2)</f>
        <v>25163.77</v>
      </c>
      <c r="E357" s="54">
        <f>MAX(1,ROUND(設定!$B$6*AE357*Y357,0))</f>
        <v>36991</v>
      </c>
      <c r="F357" s="54">
        <f>MAX(0,ROUND(設定!$B$7*AE357*設定!$B$15*IF(X357="Melee",0.6,1.35)*IFERROR(VLOOKUP($AM357,個性タイプマスタ!$A$5:$P$100,14,FALSE),1),0))</f>
        <v>1631</v>
      </c>
      <c r="G357" s="54">
        <f>IF(X357="Melee",AN357,MAX(1,ROUND(AN357*設定!$B$16*IFERROR(VLOOKUP($AM357,個性タイプマスタ!$A$5:$P$100,15,FALSE),1),0)))</f>
        <v>3389</v>
      </c>
      <c r="H357" s="54">
        <f>IF(X357="Ranged",AN357,MAX(1,ROUND(AN357*設定!$B$16*IFERROR(VLOOKUP($AM357,個性タイプマスタ!$A$5:$P$100,15,FALSE),1),0)))</f>
        <v>1159</v>
      </c>
      <c r="I357" s="54">
        <f>MAX(0,ROUND(設定!$B$8*AE357*Z357,0))</f>
        <v>1852</v>
      </c>
      <c r="J357" s="54">
        <f>MAX(0,ROUND(設定!$B$9*AE357*AA357,0))</f>
        <v>4429</v>
      </c>
      <c r="K357" s="55">
        <f>IFERROR(VLOOKUP($AM357,個性タイプマスタ!$A$5:$P$100,9,FALSE),0.05)</f>
        <v>0.05</v>
      </c>
      <c r="L357" s="56">
        <f>IFERROR(VLOOKUP($AM357,個性タイプマスタ!$A$5:$P$100,10,FALSE),1.5)</f>
        <v>1.5</v>
      </c>
      <c r="M357" s="56">
        <f>IFERROR(VLOOKUP($AM357,個性タイプマスタ!$A$5:$P$100,11,FALSE),2)</f>
        <v>2.0499999999999998</v>
      </c>
      <c r="N357" s="57">
        <f>MAX(0.1,ROUND(設定!$B$10*AB357,3))</f>
        <v>0.79</v>
      </c>
      <c r="O357" s="57">
        <f t="shared" si="20"/>
        <v>1.26</v>
      </c>
      <c r="P357" s="58">
        <f>MAX(-10,MIN(0.8,IFERROR(INDEX(属性耐性マスタ!$B$5:$G$11,MATCH($C357,属性耐性マスタ!$A$5:$A$11,0),1),0)+IFERROR(VLOOKUP($AM357,個性タイプマスタ!$A$5:$P$100,12,FALSE),0)))</f>
        <v>0.27</v>
      </c>
      <c r="Q357" s="58">
        <f>MAX(-10,MIN(0.8,IFERROR(INDEX(属性耐性マスタ!$B$5:$G$11,MATCH($C357,属性耐性マスタ!$A$5:$A$11,0),2),0)+IFERROR(VLOOKUP($AM357,個性タイプマスタ!$A$5:$P$100,12,FALSE),0)))</f>
        <v>-0.03</v>
      </c>
      <c r="R357" s="58">
        <f>MAX(-10,MIN(0.8,IFERROR(INDEX(属性耐性マスタ!$B$5:$G$11,MATCH($C357,属性耐性マスタ!$A$5:$A$11,0),3),0)+IFERROR(VLOOKUP($AM357,個性タイプマスタ!$A$5:$P$100,12,FALSE),0)))</f>
        <v>7.0000000000000007E-2</v>
      </c>
      <c r="S357" s="58">
        <f>MAX(-10,MIN(0.8,IFERROR(INDEX(属性耐性マスタ!$B$5:$G$11,MATCH($C357,属性耐性マスタ!$A$5:$A$11,0),4),0)+IFERROR(VLOOKUP($AM357,個性タイプマスタ!$A$5:$P$100,12,FALSE),0)))</f>
        <v>7.0000000000000007E-2</v>
      </c>
      <c r="T357" s="58">
        <f>MAX(-10,MIN(0.8,IFERROR(INDEX(属性耐性マスタ!$B$5:$G$11,MATCH($C357,属性耐性マスタ!$A$5:$A$11,0),5),0)+IFERROR(VLOOKUP($AM357,個性タイプマスタ!$A$5:$P$100,12,FALSE),0)))</f>
        <v>7.0000000000000007E-2</v>
      </c>
      <c r="U357" s="58">
        <f>MAX(-10,MIN(0.8,IFERROR(INDEX(属性耐性マスタ!$B$5:$G$11,MATCH($C357,属性耐性マスタ!$A$5:$A$11,0),6),0)+IFERROR(VLOOKUP($AM357,個性タイプマスタ!$A$5:$P$100,12,FALSE),0)))</f>
        <v>7.0000000000000007E-2</v>
      </c>
      <c r="V357" s="59">
        <f>ROUND(設定!$B$19*IFERROR(VLOOKUP($AM357,個性タイプマスタ!$A$5:$P$100,13,FALSE),1),2)</f>
        <v>4</v>
      </c>
      <c r="W357" s="59">
        <v>59</v>
      </c>
      <c r="X357" s="59" t="str">
        <f>IFERROR(VLOOKUP($AM357,個性タイプマスタ!$A$5:$P$100,2,FALSE),"Ranged")</f>
        <v>Melee</v>
      </c>
      <c r="Y357" s="56">
        <f>IFERROR(VLOOKUP($AM357,個性タイプマスタ!$A$5:$P$100,3,FALSE),1)</f>
        <v>1.47</v>
      </c>
      <c r="Z357" s="56">
        <f>IFERROR(VLOOKUP($AM357,個性タイプマスタ!$A$5:$P$100,4,FALSE),1)</f>
        <v>0.92</v>
      </c>
      <c r="AA357" s="56">
        <f>IFERROR(VLOOKUP($AM357,個性タイプマスタ!$A$5:$P$100,5,FALSE),1)</f>
        <v>2.2000000000000002</v>
      </c>
      <c r="AB357" s="56">
        <f>IFERROR(VLOOKUP($AM357,個性タイプマスタ!$A$5:$P$100,6,FALSE),1)</f>
        <v>0.79</v>
      </c>
      <c r="AC357" s="56">
        <f>IFERROR(VLOOKUP($AM357,個性タイプマスタ!$A$5:$P$100,7,FALSE),1)</f>
        <v>0.84</v>
      </c>
      <c r="AD357" s="56">
        <f>IFERROR(VLOOKUP($AM357,個性タイプマスタ!$A$5:$P$100,8,FALSE),1)</f>
        <v>0.86</v>
      </c>
      <c r="AE357" s="60">
        <f>IFERROR(D357/設定!$B$5,1)</f>
        <v>251.6377</v>
      </c>
      <c r="AF357" s="60">
        <f>1+設定!$B$13*((I357/設定!$B$8+J357/設定!$B$9)/(2*AE357))</f>
        <v>1.468009165558261</v>
      </c>
      <c r="AG357" s="60">
        <f>MAX(0.7,1+設定!$B$14*(O357/IF(X357="Melee",1.5,2.5)-1))</f>
        <v>0.98080000000000001</v>
      </c>
      <c r="AH357" s="53">
        <f t="shared" si="21"/>
        <v>2691.5532892000001</v>
      </c>
      <c r="AI357" s="53">
        <f>E357*AF357*(1+設定!$B$18*AVERAGE(P357:U357))</f>
        <v>56420.948997849089</v>
      </c>
      <c r="AJ357" s="61">
        <f>設定!$B$5*SQRT((AH357/(設定!$B$7*設定!$B$10*(1+設定!$B$11*(設定!$B$12-1))))*(AI357/(設定!$B$6*(1+設定!$B$13))))</f>
        <v>25162.386173499606</v>
      </c>
      <c r="AK357" s="62">
        <f t="shared" si="22"/>
        <v>-5.4992813095733339E-5</v>
      </c>
      <c r="AL357" s="63">
        <f t="shared" si="23"/>
        <v>21640.842199999999</v>
      </c>
      <c r="AM357" s="64" t="s">
        <v>954</v>
      </c>
      <c r="AN357" s="54">
        <f>MAX(1,ROUND((設定!$B$7*設定!$B$10*(1+設定!$B$11*(設定!$B$12-1)))*AE357^2*(設定!$B$6*(1+設定!$B$13))/(AI357*N357*(1+K357*(L357-1))*AG357),0))</f>
        <v>3389</v>
      </c>
      <c r="AO357" s="65" t="str">
        <f>IF($A357="","",IF(COUNTIF(個性タイプマスタ!$A$5:$A$100,$AM357)&gt;0,"OK","未登録"))</f>
        <v>OK</v>
      </c>
      <c r="AP357" s="67" t="str">
        <f>IF($A357="","",IF(COUNTIF(属性耐性マスタ!$A$5:$A$11,$C357)&gt;0,"OK","未登録"))</f>
        <v>OK</v>
      </c>
    </row>
    <row r="358" spans="1:42">
      <c r="A358" s="66" t="s">
        <v>816</v>
      </c>
      <c r="B358" s="51" t="s">
        <v>817</v>
      </c>
      <c r="C358" s="52" t="s">
        <v>114</v>
      </c>
      <c r="D358" s="53">
        <f>ROUND(設定!$B$5*POWER($D$2,W358-1),2)</f>
        <v>25163.77</v>
      </c>
      <c r="E358" s="54">
        <f>MAX(1,ROUND(設定!$B$6*AE358*Y358,0))</f>
        <v>25164</v>
      </c>
      <c r="F358" s="54">
        <f>MAX(0,ROUND(設定!$B$7*AE358*設定!$B$15*IF(X358="Melee",0.6,1.35)*IFERROR(VLOOKUP($AM358,個性タイプマスタ!$A$5:$P$100,14,FALSE),1),0))</f>
        <v>4403</v>
      </c>
      <c r="G358" s="54">
        <f>IF(X358="Melee",AN358,MAX(1,ROUND(AN358*設定!$B$16*IFERROR(VLOOKUP($AM358,個性タイプマスタ!$A$5:$P$100,15,FALSE),1),0)))</f>
        <v>1420</v>
      </c>
      <c r="H358" s="54">
        <f>IF(X358="Ranged",AN358,MAX(1,ROUND(AN358*設定!$B$16*IFERROR(VLOOKUP($AM358,個性タイプマスタ!$A$5:$P$100,15,FALSE),1),0)))</f>
        <v>4508</v>
      </c>
      <c r="I358" s="54">
        <f>MAX(0,ROUND(設定!$B$8*AE358*Z358,0))</f>
        <v>1933</v>
      </c>
      <c r="J358" s="54">
        <f>MAX(0,ROUND(設定!$B$9*AE358*AA358,0))</f>
        <v>2053</v>
      </c>
      <c r="K358" s="55">
        <f>IFERROR(VLOOKUP($AM358,個性タイプマスタ!$A$5:$P$100,9,FALSE),0.05)</f>
        <v>4.4999999999999998E-2</v>
      </c>
      <c r="L358" s="56">
        <f>IFERROR(VLOOKUP($AM358,個性タイプマスタ!$A$5:$P$100,10,FALSE),1.5)</f>
        <v>1.4</v>
      </c>
      <c r="M358" s="56">
        <f>IFERROR(VLOOKUP($AM358,個性タイプマスタ!$A$5:$P$100,11,FALSE),2)</f>
        <v>2.0499999999999998</v>
      </c>
      <c r="N358" s="57">
        <f>MAX(0.1,ROUND(設定!$B$10*AB358,3))</f>
        <v>0.92</v>
      </c>
      <c r="O358" s="57">
        <f t="shared" si="20"/>
        <v>2.6749999999999998</v>
      </c>
      <c r="P358" s="58">
        <f>MAX(-10,MIN(0.8,IFERROR(INDEX(属性耐性マスタ!$B$5:$G$11,MATCH($C358,属性耐性マスタ!$A$5:$A$11,0),1),0)+IFERROR(VLOOKUP($AM358,個性タイプマスタ!$A$5:$P$100,12,FALSE),0)))</f>
        <v>0.19</v>
      </c>
      <c r="Q358" s="58">
        <f>MAX(-10,MIN(0.8,IFERROR(INDEX(属性耐性マスタ!$B$5:$G$11,MATCH($C358,属性耐性マスタ!$A$5:$A$11,0),2),0)+IFERROR(VLOOKUP($AM358,個性タイプマスタ!$A$5:$P$100,12,FALSE),0)))</f>
        <v>0.19</v>
      </c>
      <c r="R358" s="58">
        <f>MAX(-10,MIN(0.8,IFERROR(INDEX(属性耐性マスタ!$B$5:$G$11,MATCH($C358,属性耐性マスタ!$A$5:$A$11,0),3),0)+IFERROR(VLOOKUP($AM358,個性タイプマスタ!$A$5:$P$100,12,FALSE),0)))</f>
        <v>0.39</v>
      </c>
      <c r="S358" s="58">
        <f>MAX(-10,MIN(0.8,IFERROR(INDEX(属性耐性マスタ!$B$5:$G$11,MATCH($C358,属性耐性マスタ!$A$5:$A$11,0),4),0)+IFERROR(VLOOKUP($AM358,個性タイプマスタ!$A$5:$P$100,12,FALSE),0)))</f>
        <v>0.09</v>
      </c>
      <c r="T358" s="58">
        <f>MAX(-10,MIN(0.8,IFERROR(INDEX(属性耐性マスタ!$B$5:$G$11,MATCH($C358,属性耐性マスタ!$A$5:$A$11,0),5),0)+IFERROR(VLOOKUP($AM358,個性タイプマスタ!$A$5:$P$100,12,FALSE),0)))</f>
        <v>0.19</v>
      </c>
      <c r="U358" s="58">
        <f>MAX(-10,MIN(0.8,IFERROR(INDEX(属性耐性マスタ!$B$5:$G$11,MATCH($C358,属性耐性マスタ!$A$5:$A$11,0),6),0)+IFERROR(VLOOKUP($AM358,個性タイプマスタ!$A$5:$P$100,12,FALSE),0)))</f>
        <v>0.19</v>
      </c>
      <c r="V358" s="59">
        <f>ROUND(設定!$B$19*IFERROR(VLOOKUP($AM358,個性タイプマスタ!$A$5:$P$100,13,FALSE),1),2)</f>
        <v>4</v>
      </c>
      <c r="W358" s="59">
        <v>59</v>
      </c>
      <c r="X358" s="59" t="str">
        <f>IFERROR(VLOOKUP($AM358,個性タイプマスタ!$A$5:$P$100,2,FALSE),"Ranged")</f>
        <v>Ranged</v>
      </c>
      <c r="Y358" s="56">
        <f>IFERROR(VLOOKUP($AM358,個性タイプマスタ!$A$5:$P$100,3,FALSE),1)</f>
        <v>1</v>
      </c>
      <c r="Z358" s="56">
        <f>IFERROR(VLOOKUP($AM358,個性タイプマスタ!$A$5:$P$100,4,FALSE),1)</f>
        <v>0.96</v>
      </c>
      <c r="AA358" s="56">
        <f>IFERROR(VLOOKUP($AM358,個性タイプマスタ!$A$5:$P$100,5,FALSE),1)</f>
        <v>1.02</v>
      </c>
      <c r="AB358" s="56">
        <f>IFERROR(VLOOKUP($AM358,個性タイプマスタ!$A$5:$P$100,6,FALSE),1)</f>
        <v>0.92</v>
      </c>
      <c r="AC358" s="56">
        <f>IFERROR(VLOOKUP($AM358,個性タイプマスタ!$A$5:$P$100,7,FALSE),1)</f>
        <v>1.07</v>
      </c>
      <c r="AD358" s="56">
        <f>IFERROR(VLOOKUP($AM358,個性タイプマスタ!$A$5:$P$100,8,FALSE),1)</f>
        <v>0.85</v>
      </c>
      <c r="AE358" s="60">
        <f>IFERROR(D358/設定!$B$5,1)</f>
        <v>251.6377</v>
      </c>
      <c r="AF358" s="60">
        <f>1+設定!$B$13*((I358/設定!$B$8+J358/設定!$B$9)/(2*AE358))</f>
        <v>1.2970043836833671</v>
      </c>
      <c r="AG358" s="60">
        <f>MAX(0.7,1+設定!$B$14*(O358/IF(X358="Melee",1.5,2.5)-1))</f>
        <v>1.0084</v>
      </c>
      <c r="AH358" s="53">
        <f t="shared" si="21"/>
        <v>4257.4773848320001</v>
      </c>
      <c r="AI358" s="53">
        <f>E358*AF358*(1+設定!$B$18*AVERAGE(P358:U358))</f>
        <v>35673.135413932017</v>
      </c>
      <c r="AJ358" s="61">
        <f>設定!$B$5*SQRT((AH358/(設定!$B$7*設定!$B$10*(1+設定!$B$11*(設定!$B$12-1))))*(AI358/(設定!$B$6*(1+設定!$B$13))))</f>
        <v>25163.842290302073</v>
      </c>
      <c r="AK358" s="62">
        <f t="shared" si="22"/>
        <v>2.8727929906047223E-6</v>
      </c>
      <c r="AL358" s="63">
        <f t="shared" si="23"/>
        <v>21389.2045</v>
      </c>
      <c r="AM358" s="64" t="s">
        <v>930</v>
      </c>
      <c r="AN358" s="54">
        <f>MAX(1,ROUND((設定!$B$7*設定!$B$10*(1+設定!$B$11*(設定!$B$12-1)))*AE358^2*(設定!$B$6*(1+設定!$B$13))/(AI358*N358*(1+K358*(L358-1))*AG358),0))</f>
        <v>4508</v>
      </c>
      <c r="AO358" s="65" t="str">
        <f>IF($A358="","",IF(COUNTIF(個性タイプマスタ!$A$5:$A$100,$AM358)&gt;0,"OK","未登録"))</f>
        <v>OK</v>
      </c>
      <c r="AP358" s="67" t="str">
        <f>IF($A358="","",IF(COUNTIF(属性耐性マスタ!$A$5:$A$11,$C358)&gt;0,"OK","未登録"))</f>
        <v>OK</v>
      </c>
    </row>
    <row r="359" spans="1:42">
      <c r="A359" s="66" t="s">
        <v>818</v>
      </c>
      <c r="B359" s="51" t="s">
        <v>819</v>
      </c>
      <c r="C359" s="52" t="s">
        <v>111</v>
      </c>
      <c r="D359" s="53">
        <f>ROUND(設定!$B$5*POWER($D$2,W359-1),2)</f>
        <v>27680.15</v>
      </c>
      <c r="E359" s="54">
        <f>MAX(1,ROUND(設定!$B$6*AE359*Y359,0))</f>
        <v>20207</v>
      </c>
      <c r="F359" s="54">
        <f>MAX(0,ROUND(設定!$B$7*AE359*設定!$B$15*IF(X359="Melee",0.6,1.35)*IFERROR(VLOOKUP($AM359,個性タイプマスタ!$A$5:$P$100,14,FALSE),1),0))</f>
        <v>4762</v>
      </c>
      <c r="G359" s="54">
        <f>IF(X359="Melee",AN359,MAX(1,ROUND(AN359*設定!$B$16*IFERROR(VLOOKUP($AM359,個性タイプマスタ!$A$5:$P$100,15,FALSE),1),0)))</f>
        <v>1558</v>
      </c>
      <c r="H359" s="54">
        <f>IF(X359="Ranged",AN359,MAX(1,ROUND(AN359*設定!$B$16*IFERROR(VLOOKUP($AM359,個性タイプマスタ!$A$5:$P$100,15,FALSE),1),0)))</f>
        <v>6181</v>
      </c>
      <c r="I359" s="54">
        <f>MAX(0,ROUND(設定!$B$8*AE359*Z359,0))</f>
        <v>1705</v>
      </c>
      <c r="J359" s="54">
        <f>MAX(0,ROUND(設定!$B$9*AE359*AA359,0))</f>
        <v>1882</v>
      </c>
      <c r="K359" s="55">
        <f>IFERROR(VLOOKUP($AM359,個性タイプマスタ!$A$5:$P$100,9,FALSE),0.05)</f>
        <v>0.26</v>
      </c>
      <c r="L359" s="56">
        <f>IFERROR(VLOOKUP($AM359,個性タイプマスタ!$A$5:$P$100,10,FALSE),1.5)</f>
        <v>1.95</v>
      </c>
      <c r="M359" s="56">
        <f>IFERROR(VLOOKUP($AM359,個性タイプマスタ!$A$5:$P$100,11,FALSE),2)</f>
        <v>2.75</v>
      </c>
      <c r="N359" s="57">
        <f>MAX(0.1,ROUND(設定!$B$10*AB359,3))</f>
        <v>0.95</v>
      </c>
      <c r="O359" s="57">
        <f t="shared" si="20"/>
        <v>2.8</v>
      </c>
      <c r="P359" s="58">
        <f>MAX(-10,MIN(0.8,IFERROR(INDEX(属性耐性マスタ!$B$5:$G$11,MATCH($C359,属性耐性マスタ!$A$5:$A$11,0),1),0)+IFERROR(VLOOKUP($AM359,個性タイプマスタ!$A$5:$P$100,12,FALSE),0)))</f>
        <v>0.15000000000000002</v>
      </c>
      <c r="Q359" s="58">
        <f>MAX(-10,MIN(0.8,IFERROR(INDEX(属性耐性マスタ!$B$5:$G$11,MATCH($C359,属性耐性マスタ!$A$5:$A$11,0),2),0)+IFERROR(VLOOKUP($AM359,個性タイプマスタ!$A$5:$P$100,12,FALSE),0)))</f>
        <v>-0.15000000000000002</v>
      </c>
      <c r="R359" s="58">
        <f>MAX(-10,MIN(0.8,IFERROR(INDEX(属性耐性マスタ!$B$5:$G$11,MATCH($C359,属性耐性マスタ!$A$5:$A$11,0),3),0)+IFERROR(VLOOKUP($AM359,個性タイプマスタ!$A$5:$P$100,12,FALSE),0)))</f>
        <v>-0.05</v>
      </c>
      <c r="S359" s="58">
        <f>MAX(-10,MIN(0.8,IFERROR(INDEX(属性耐性マスタ!$B$5:$G$11,MATCH($C359,属性耐性マスタ!$A$5:$A$11,0),4),0)+IFERROR(VLOOKUP($AM359,個性タイプマスタ!$A$5:$P$100,12,FALSE),0)))</f>
        <v>-0.05</v>
      </c>
      <c r="T359" s="58">
        <f>MAX(-10,MIN(0.8,IFERROR(INDEX(属性耐性マスタ!$B$5:$G$11,MATCH($C359,属性耐性マスタ!$A$5:$A$11,0),5),0)+IFERROR(VLOOKUP($AM359,個性タイプマスタ!$A$5:$P$100,12,FALSE),0)))</f>
        <v>-0.05</v>
      </c>
      <c r="U359" s="58">
        <f>MAX(-10,MIN(0.8,IFERROR(INDEX(属性耐性マスタ!$B$5:$G$11,MATCH($C359,属性耐性マスタ!$A$5:$A$11,0),6),0)+IFERROR(VLOOKUP($AM359,個性タイプマスタ!$A$5:$P$100,12,FALSE),0)))</f>
        <v>-0.05</v>
      </c>
      <c r="V359" s="59">
        <f>ROUND(設定!$B$19*IFERROR(VLOOKUP($AM359,個性タイプマスタ!$A$5:$P$100,13,FALSE),1),2)</f>
        <v>4.4000000000000004</v>
      </c>
      <c r="W359" s="59">
        <v>60</v>
      </c>
      <c r="X359" s="59" t="str">
        <f>IFERROR(VLOOKUP($AM359,個性タイプマスタ!$A$5:$P$100,2,FALSE),"Ranged")</f>
        <v>Ranged</v>
      </c>
      <c r="Y359" s="56">
        <f>IFERROR(VLOOKUP($AM359,個性タイプマスタ!$A$5:$P$100,3,FALSE),1)</f>
        <v>0.73</v>
      </c>
      <c r="Z359" s="56">
        <f>IFERROR(VLOOKUP($AM359,個性タイプマスタ!$A$5:$P$100,4,FALSE),1)</f>
        <v>0.77</v>
      </c>
      <c r="AA359" s="56">
        <f>IFERROR(VLOOKUP($AM359,個性タイプマスタ!$A$5:$P$100,5,FALSE),1)</f>
        <v>0.85</v>
      </c>
      <c r="AB359" s="56">
        <f>IFERROR(VLOOKUP($AM359,個性タイプマスタ!$A$5:$P$100,6,FALSE),1)</f>
        <v>0.95</v>
      </c>
      <c r="AC359" s="56">
        <f>IFERROR(VLOOKUP($AM359,個性タイプマスタ!$A$5:$P$100,7,FALSE),1)</f>
        <v>1.1200000000000001</v>
      </c>
      <c r="AD359" s="56">
        <f>IFERROR(VLOOKUP($AM359,個性タイプマスタ!$A$5:$P$100,8,FALSE),1)</f>
        <v>0.66</v>
      </c>
      <c r="AE359" s="60">
        <f>IFERROR(D359/設定!$B$5,1)</f>
        <v>276.80150000000003</v>
      </c>
      <c r="AF359" s="60">
        <f>1+設定!$B$13*((I359/設定!$B$8+J359/設定!$B$9)/(2*AE359))</f>
        <v>1.2429764650841848</v>
      </c>
      <c r="AG359" s="60">
        <f>MAX(0.7,1+設定!$B$14*(O359/IF(X359="Melee",1.5,2.5)-1))</f>
        <v>1.0144</v>
      </c>
      <c r="AH359" s="53">
        <f t="shared" si="21"/>
        <v>7427.7630817599984</v>
      </c>
      <c r="AI359" s="53">
        <f>E359*AF359*(1+設定!$B$18*AVERAGE(P359:U359))</f>
        <v>24740.07304850678</v>
      </c>
      <c r="AJ359" s="61">
        <f>設定!$B$5*SQRT((AH359/(設定!$B$7*設定!$B$10*(1+設定!$B$11*(設定!$B$12-1))))*(AI359/(設定!$B$6*(1+設定!$B$13))))</f>
        <v>27679.589741584532</v>
      </c>
      <c r="AK359" s="62">
        <f t="shared" si="22"/>
        <v>-2.0240440007368576E-5</v>
      </c>
      <c r="AL359" s="63">
        <f t="shared" si="23"/>
        <v>18268.899000000001</v>
      </c>
      <c r="AM359" s="64" t="s">
        <v>922</v>
      </c>
      <c r="AN359" s="54">
        <f>MAX(1,ROUND((設定!$B$7*設定!$B$10*(1+設定!$B$11*(設定!$B$12-1)))*AE359^2*(設定!$B$6*(1+設定!$B$13))/(AI359*N359*(1+K359*(L359-1))*AG359),0))</f>
        <v>6181</v>
      </c>
      <c r="AO359" s="65" t="str">
        <f>IF($A359="","",IF(COUNTIF(個性タイプマスタ!$A$5:$A$100,$AM359)&gt;0,"OK","未登録"))</f>
        <v>OK</v>
      </c>
      <c r="AP359" s="67" t="str">
        <f>IF($A359="","",IF(COUNTIF(属性耐性マスタ!$A$5:$A$11,$C359)&gt;0,"OK","未登録"))</f>
        <v>OK</v>
      </c>
    </row>
    <row r="360" spans="1:42">
      <c r="A360" s="66" t="s">
        <v>820</v>
      </c>
      <c r="B360" s="51" t="s">
        <v>821</v>
      </c>
      <c r="C360" s="52" t="s">
        <v>108</v>
      </c>
      <c r="D360" s="53">
        <f>ROUND(設定!$B$5*POWER($D$2,W360-1),2)</f>
        <v>27680.15</v>
      </c>
      <c r="E360" s="54">
        <f>MAX(1,ROUND(設定!$B$6*AE360*Y360,0))</f>
        <v>21867</v>
      </c>
      <c r="F360" s="54">
        <f>MAX(0,ROUND(設定!$B$7*AE360*設定!$B$15*IF(X360="Melee",0.6,1.35)*IFERROR(VLOOKUP($AM360,個性タイプマスタ!$A$5:$P$100,14,FALSE),1),0))</f>
        <v>3632</v>
      </c>
      <c r="G360" s="54">
        <f>IF(X360="Melee",AN360,MAX(1,ROUND(AN360*設定!$B$16*IFERROR(VLOOKUP($AM360,個性タイプマスタ!$A$5:$P$100,15,FALSE),1),0)))</f>
        <v>956</v>
      </c>
      <c r="H360" s="54">
        <f>IF(X360="Ranged",AN360,MAX(1,ROUND(AN360*設定!$B$16*IFERROR(VLOOKUP($AM360,個性タイプマスタ!$A$5:$P$100,15,FALSE),1),0)))</f>
        <v>4010</v>
      </c>
      <c r="I360" s="54">
        <f>MAX(0,ROUND(設定!$B$8*AE360*Z360,0))</f>
        <v>1882</v>
      </c>
      <c r="J360" s="54">
        <f>MAX(0,ROUND(設定!$B$9*AE360*AA360,0))</f>
        <v>1794</v>
      </c>
      <c r="K360" s="55">
        <f>IFERROR(VLOOKUP($AM360,個性タイプマスタ!$A$5:$P$100,9,FALSE),0.05)</f>
        <v>6.5000000000000002E-2</v>
      </c>
      <c r="L360" s="56">
        <f>IFERROR(VLOOKUP($AM360,個性タイプマスタ!$A$5:$P$100,10,FALSE),1.5)</f>
        <v>1.45</v>
      </c>
      <c r="M360" s="56">
        <f>IFERROR(VLOOKUP($AM360,個性タイプマスタ!$A$5:$P$100,11,FALSE),2)</f>
        <v>4</v>
      </c>
      <c r="N360" s="57">
        <f>MAX(0.1,ROUND(設定!$B$10*AB360,3))</f>
        <v>1.72</v>
      </c>
      <c r="O360" s="57">
        <f t="shared" si="20"/>
        <v>1.9</v>
      </c>
      <c r="P360" s="58">
        <f>MAX(-10,MIN(0.8,IFERROR(INDEX(属性耐性マスタ!$B$5:$G$11,MATCH($C360,属性耐性マスタ!$A$5:$A$11,0),1),0)+IFERROR(VLOOKUP($AM360,個性タイプマスタ!$A$5:$P$100,12,FALSE),0)))</f>
        <v>-0.17</v>
      </c>
      <c r="Q360" s="58">
        <f>MAX(-10,MIN(0.8,IFERROR(INDEX(属性耐性マスタ!$B$5:$G$11,MATCH($C360,属性耐性マスタ!$A$5:$A$11,0),2),0)+IFERROR(VLOOKUP($AM360,個性タイプマスタ!$A$5:$P$100,12,FALSE),0)))</f>
        <v>0.13</v>
      </c>
      <c r="R360" s="58">
        <f>MAX(-10,MIN(0.8,IFERROR(INDEX(属性耐性マスタ!$B$5:$G$11,MATCH($C360,属性耐性マスタ!$A$5:$A$11,0),3),0)+IFERROR(VLOOKUP($AM360,個性タイプマスタ!$A$5:$P$100,12,FALSE),0)))</f>
        <v>-7.0000000000000007E-2</v>
      </c>
      <c r="S360" s="58">
        <f>MAX(-10,MIN(0.8,IFERROR(INDEX(属性耐性マスタ!$B$5:$G$11,MATCH($C360,属性耐性マスタ!$A$5:$A$11,0),4),0)+IFERROR(VLOOKUP($AM360,個性タイプマスタ!$A$5:$P$100,12,FALSE),0)))</f>
        <v>-7.0000000000000007E-2</v>
      </c>
      <c r="T360" s="58">
        <f>MAX(-10,MIN(0.8,IFERROR(INDEX(属性耐性マスタ!$B$5:$G$11,MATCH($C360,属性耐性マスタ!$A$5:$A$11,0),5),0)+IFERROR(VLOOKUP($AM360,個性タイプマスタ!$A$5:$P$100,12,FALSE),0)))</f>
        <v>-7.0000000000000007E-2</v>
      </c>
      <c r="U360" s="58">
        <f>MAX(-10,MIN(0.8,IFERROR(INDEX(属性耐性マスタ!$B$5:$G$11,MATCH($C360,属性耐性マスタ!$A$5:$A$11,0),6),0)+IFERROR(VLOOKUP($AM360,個性タイプマスタ!$A$5:$P$100,12,FALSE),0)))</f>
        <v>-7.0000000000000007E-2</v>
      </c>
      <c r="V360" s="59">
        <f>ROUND(設定!$B$19*IFERROR(VLOOKUP($AM360,個性タイプマスタ!$A$5:$P$100,13,FALSE),1),2)</f>
        <v>5.4</v>
      </c>
      <c r="W360" s="59">
        <v>60</v>
      </c>
      <c r="X360" s="59" t="str">
        <f>IFERROR(VLOOKUP($AM360,個性タイプマスタ!$A$5:$P$100,2,FALSE),"Ranged")</f>
        <v>Ranged</v>
      </c>
      <c r="Y360" s="56">
        <f>IFERROR(VLOOKUP($AM360,個性タイプマスタ!$A$5:$P$100,3,FALSE),1)</f>
        <v>0.79</v>
      </c>
      <c r="Z360" s="56">
        <f>IFERROR(VLOOKUP($AM360,個性タイプマスタ!$A$5:$P$100,4,FALSE),1)</f>
        <v>0.85</v>
      </c>
      <c r="AA360" s="56">
        <f>IFERROR(VLOOKUP($AM360,個性タイプマスタ!$A$5:$P$100,5,FALSE),1)</f>
        <v>0.81</v>
      </c>
      <c r="AB360" s="56">
        <f>IFERROR(VLOOKUP($AM360,個性タイプマスタ!$A$5:$P$100,6,FALSE),1)</f>
        <v>1.72</v>
      </c>
      <c r="AC360" s="56">
        <f>IFERROR(VLOOKUP($AM360,個性タイプマスタ!$A$5:$P$100,7,FALSE),1)</f>
        <v>0.76</v>
      </c>
      <c r="AD360" s="56">
        <f>IFERROR(VLOOKUP($AM360,個性タイプマスタ!$A$5:$P$100,8,FALSE),1)</f>
        <v>0.63</v>
      </c>
      <c r="AE360" s="60">
        <f>IFERROR(D360/設定!$B$5,1)</f>
        <v>276.80150000000003</v>
      </c>
      <c r="AF360" s="60">
        <f>1+設定!$B$13*((I360/設定!$B$8+J360/設定!$B$9)/(2*AE360))</f>
        <v>1.249005153512535</v>
      </c>
      <c r="AG360" s="60">
        <f>MAX(0.7,1+設定!$B$14*(O360/IF(X360="Melee",1.5,2.5)-1))</f>
        <v>0.97119999999999995</v>
      </c>
      <c r="AH360" s="53">
        <f t="shared" si="21"/>
        <v>6894.4935387199994</v>
      </c>
      <c r="AI360" s="53">
        <f>E360*AF360*(1+設定!$B$18*AVERAGE(P360:U360))</f>
        <v>26656.507795253998</v>
      </c>
      <c r="AJ360" s="61">
        <f>設定!$B$5*SQRT((AH360/(設定!$B$7*設定!$B$10*(1+設定!$B$11*(設定!$B$12-1))))*(AI360/(設定!$B$6*(1+設定!$B$13))))</f>
        <v>27681.074841010588</v>
      </c>
      <c r="AK360" s="62">
        <f t="shared" si="22"/>
        <v>3.3411705160135696E-5</v>
      </c>
      <c r="AL360" s="63">
        <f t="shared" si="23"/>
        <v>17438.494500000001</v>
      </c>
      <c r="AM360" s="64" t="s">
        <v>936</v>
      </c>
      <c r="AN360" s="54">
        <f>MAX(1,ROUND((設定!$B$7*設定!$B$10*(1+設定!$B$11*(設定!$B$12-1)))*AE360^2*(設定!$B$6*(1+設定!$B$13))/(AI360*N360*(1+K360*(L360-1))*AG360),0))</f>
        <v>4010</v>
      </c>
      <c r="AO360" s="65" t="str">
        <f>IF($A360="","",IF(COUNTIF(個性タイプマスタ!$A$5:$A$100,$AM360)&gt;0,"OK","未登録"))</f>
        <v>OK</v>
      </c>
      <c r="AP360" s="67" t="str">
        <f>IF($A360="","",IF(COUNTIF(属性耐性マスタ!$A$5:$A$11,$C360)&gt;0,"OK","未登録"))</f>
        <v>OK</v>
      </c>
    </row>
    <row r="361" spans="1:42">
      <c r="A361" s="66" t="s">
        <v>822</v>
      </c>
      <c r="B361" s="51" t="s">
        <v>823</v>
      </c>
      <c r="C361" s="52" t="s">
        <v>121</v>
      </c>
      <c r="D361" s="53">
        <f>ROUND(設定!$B$5*POWER($D$2,W361-1),2)</f>
        <v>27680.15</v>
      </c>
      <c r="E361" s="54">
        <f>MAX(1,ROUND(設定!$B$6*AE361*Y361,0))</f>
        <v>33216</v>
      </c>
      <c r="F361" s="54">
        <f>MAX(0,ROUND(設定!$B$7*AE361*設定!$B$15*IF(X361="Melee",0.6,1.35)*IFERROR(VLOOKUP($AM361,個性タイプマスタ!$A$5:$P$100,14,FALSE),1),0))</f>
        <v>4036</v>
      </c>
      <c r="G361" s="54">
        <f>IF(X361="Melee",AN361,MAX(1,ROUND(AN361*設定!$B$16*IFERROR(VLOOKUP($AM361,個性タイプマスタ!$A$5:$P$100,15,FALSE),1),0)))</f>
        <v>1771</v>
      </c>
      <c r="H361" s="54">
        <f>IF(X361="Ranged",AN361,MAX(1,ROUND(AN361*設定!$B$16*IFERROR(VLOOKUP($AM361,個性タイプマスタ!$A$5:$P$100,15,FALSE),1),0)))</f>
        <v>3936</v>
      </c>
      <c r="I361" s="54">
        <f>MAX(0,ROUND(設定!$B$8*AE361*Z361,0))</f>
        <v>2879</v>
      </c>
      <c r="J361" s="54">
        <f>MAX(0,ROUND(設定!$B$9*AE361*AA361,0))</f>
        <v>1882</v>
      </c>
      <c r="K361" s="55">
        <f>IFERROR(VLOOKUP($AM361,個性タイプマスタ!$A$5:$P$100,9,FALSE),0.05)</f>
        <v>0.08</v>
      </c>
      <c r="L361" s="56">
        <f>IFERROR(VLOOKUP($AM361,個性タイプマスタ!$A$5:$P$100,10,FALSE),1.5)</f>
        <v>1.6</v>
      </c>
      <c r="M361" s="56">
        <f>IFERROR(VLOOKUP($AM361,個性タイプマスタ!$A$5:$P$100,11,FALSE),2)</f>
        <v>2.8</v>
      </c>
      <c r="N361" s="57">
        <f>MAX(0.1,ROUND(設定!$B$10*AB361,3))</f>
        <v>1</v>
      </c>
      <c r="O361" s="57">
        <f t="shared" si="20"/>
        <v>2.5</v>
      </c>
      <c r="P361" s="58">
        <f>MAX(-10,MIN(0.8,IFERROR(INDEX(属性耐性マスタ!$B$5:$G$11,MATCH($C361,属性耐性マスタ!$A$5:$A$11,0),1),0)+IFERROR(VLOOKUP($AM361,個性タイプマスタ!$A$5:$P$100,12,FALSE),0)))</f>
        <v>1.4999999999999999E-2</v>
      </c>
      <c r="Q361" s="58">
        <f>MAX(-10,MIN(0.8,IFERROR(INDEX(属性耐性マスタ!$B$5:$G$11,MATCH($C361,属性耐性マスタ!$A$5:$A$11,0),2),0)+IFERROR(VLOOKUP($AM361,個性タイプマスタ!$A$5:$P$100,12,FALSE),0)))</f>
        <v>1.4999999999999999E-2</v>
      </c>
      <c r="R361" s="58">
        <f>MAX(-10,MIN(0.8,IFERROR(INDEX(属性耐性マスタ!$B$5:$G$11,MATCH($C361,属性耐性マスタ!$A$5:$A$11,0),3),0)+IFERROR(VLOOKUP($AM361,個性タイプマスタ!$A$5:$P$100,12,FALSE),0)))</f>
        <v>1.4999999999999999E-2</v>
      </c>
      <c r="S361" s="58">
        <f>MAX(-10,MIN(0.8,IFERROR(INDEX(属性耐性マスタ!$B$5:$G$11,MATCH($C361,属性耐性マスタ!$A$5:$A$11,0),4),0)+IFERROR(VLOOKUP($AM361,個性タイプマスタ!$A$5:$P$100,12,FALSE),0)))</f>
        <v>1.4999999999999999E-2</v>
      </c>
      <c r="T361" s="58">
        <f>MAX(-10,MIN(0.8,IFERROR(INDEX(属性耐性マスタ!$B$5:$G$11,MATCH($C361,属性耐性マスタ!$A$5:$A$11,0),5),0)+IFERROR(VLOOKUP($AM361,個性タイプマスタ!$A$5:$P$100,12,FALSE),0)))</f>
        <v>0.21500000000000002</v>
      </c>
      <c r="U361" s="58">
        <f>MAX(-10,MIN(0.8,IFERROR(INDEX(属性耐性マスタ!$B$5:$G$11,MATCH($C361,属性耐性マスタ!$A$5:$A$11,0),6),0)+IFERROR(VLOOKUP($AM361,個性タイプマスタ!$A$5:$P$100,12,FALSE),0)))</f>
        <v>-8.5000000000000006E-2</v>
      </c>
      <c r="V361" s="59">
        <f>ROUND(設定!$B$19*IFERROR(VLOOKUP($AM361,個性タイプマスタ!$A$5:$P$100,13,FALSE),1),2)</f>
        <v>4</v>
      </c>
      <c r="W361" s="59">
        <v>60</v>
      </c>
      <c r="X361" s="59" t="str">
        <f>IFERROR(VLOOKUP($AM361,個性タイプマスタ!$A$5:$P$100,2,FALSE),"Ranged")</f>
        <v>Ranged</v>
      </c>
      <c r="Y361" s="56">
        <f>IFERROR(VLOOKUP($AM361,個性タイプマスタ!$A$5:$P$100,3,FALSE),1)</f>
        <v>1.2</v>
      </c>
      <c r="Z361" s="56">
        <f>IFERROR(VLOOKUP($AM361,個性タイプマスタ!$A$5:$P$100,4,FALSE),1)</f>
        <v>1.3</v>
      </c>
      <c r="AA361" s="56">
        <f>IFERROR(VLOOKUP($AM361,個性タイプマスタ!$A$5:$P$100,5,FALSE),1)</f>
        <v>0.85</v>
      </c>
      <c r="AB361" s="56">
        <f>IFERROR(VLOOKUP($AM361,個性タイプマスタ!$A$5:$P$100,6,FALSE),1)</f>
        <v>1</v>
      </c>
      <c r="AC361" s="56">
        <f>IFERROR(VLOOKUP($AM361,個性タイプマスタ!$A$5:$P$100,7,FALSE),1)</f>
        <v>1</v>
      </c>
      <c r="AD361" s="56">
        <f>IFERROR(VLOOKUP($AM361,個性タイプマスタ!$A$5:$P$100,8,FALSE),1)</f>
        <v>0.85</v>
      </c>
      <c r="AE361" s="60">
        <f>IFERROR(D361/設定!$B$5,1)</f>
        <v>276.80150000000003</v>
      </c>
      <c r="AF361" s="60">
        <f>1+設定!$B$13*((I361/設定!$B$8+J361/設定!$B$9)/(2*AE361))</f>
        <v>1.3225009618806256</v>
      </c>
      <c r="AG361" s="60">
        <f>MAX(0.7,1+設定!$B$14*(O361/IF(X361="Melee",1.5,2.5)-1))</f>
        <v>1</v>
      </c>
      <c r="AH361" s="53">
        <f t="shared" si="21"/>
        <v>4124.9279999999999</v>
      </c>
      <c r="AI361" s="53">
        <f>E361*AF361*(1+設定!$B$18*AVERAGE(P361:U361))</f>
        <v>44554.168685111901</v>
      </c>
      <c r="AJ361" s="61">
        <f>設定!$B$5*SQRT((AH361/(設定!$B$7*設定!$B$10*(1+設定!$B$11*(設定!$B$12-1))))*(AI361/(設定!$B$6*(1+設定!$B$13))))</f>
        <v>27681.046010174385</v>
      </c>
      <c r="AK361" s="62">
        <f t="shared" si="22"/>
        <v>3.2370134352088797E-5</v>
      </c>
      <c r="AL361" s="63">
        <f t="shared" si="23"/>
        <v>23528.127500000002</v>
      </c>
      <c r="AM361" s="64" t="s">
        <v>894</v>
      </c>
      <c r="AN361" s="54">
        <f>MAX(1,ROUND((設定!$B$7*設定!$B$10*(1+設定!$B$11*(設定!$B$12-1)))*AE361^2*(設定!$B$6*(1+設定!$B$13))/(AI361*N361*(1+K361*(L361-1))*AG361),0))</f>
        <v>3936</v>
      </c>
      <c r="AO361" s="65" t="str">
        <f>IF($A361="","",IF(COUNTIF(個性タイプマスタ!$A$5:$A$100,$AM361)&gt;0,"OK","未登録"))</f>
        <v>OK</v>
      </c>
      <c r="AP361" s="67" t="str">
        <f>IF($A361="","",IF(COUNTIF(属性耐性マスタ!$A$5:$A$11,$C361)&gt;0,"OK","未登録"))</f>
        <v>OK</v>
      </c>
    </row>
    <row r="362" spans="1:42">
      <c r="A362" s="66" t="s">
        <v>824</v>
      </c>
      <c r="B362" s="51" t="s">
        <v>825</v>
      </c>
      <c r="C362" s="52" t="s">
        <v>108</v>
      </c>
      <c r="D362" s="53">
        <f>ROUND(設定!$B$5*POWER($D$2,W362-1),2)</f>
        <v>27680.15</v>
      </c>
      <c r="E362" s="54">
        <f>MAX(1,ROUND(設定!$B$6*AE362*Y362,0))</f>
        <v>50378</v>
      </c>
      <c r="F362" s="54">
        <f>MAX(0,ROUND(設定!$B$7*AE362*設定!$B$15*IF(X362="Melee",0.6,1.35)*IFERROR(VLOOKUP($AM362,個性タイプマスタ!$A$5:$P$100,14,FALSE),1),0))</f>
        <v>1291</v>
      </c>
      <c r="G362" s="54">
        <f>IF(X362="Melee",AN362,MAX(1,ROUND(AN362*設定!$B$16*IFERROR(VLOOKUP($AM362,個性タイプマスタ!$A$5:$P$100,15,FALSE),1),0)))</f>
        <v>3704</v>
      </c>
      <c r="H362" s="54">
        <f>IF(X362="Ranged",AN362,MAX(1,ROUND(AN362*設定!$B$16*IFERROR(VLOOKUP($AM362,個性タイプマスタ!$A$5:$P$100,15,FALSE),1),0)))</f>
        <v>1400</v>
      </c>
      <c r="I362" s="54">
        <f>MAX(0,ROUND(設定!$B$8*AE362*Z362,0))</f>
        <v>4761</v>
      </c>
      <c r="J362" s="54">
        <f>MAX(0,ROUND(設定!$B$9*AE362*AA362,0))</f>
        <v>2347</v>
      </c>
      <c r="K362" s="55">
        <f>IFERROR(VLOOKUP($AM362,個性タイプマスタ!$A$5:$P$100,9,FALSE),0.05)</f>
        <v>0.03</v>
      </c>
      <c r="L362" s="56">
        <f>IFERROR(VLOOKUP($AM362,個性タイプマスタ!$A$5:$P$100,10,FALSE),1.5)</f>
        <v>1.35</v>
      </c>
      <c r="M362" s="56">
        <f>IFERROR(VLOOKUP($AM362,個性タイプマスタ!$A$5:$P$100,11,FALSE),2)</f>
        <v>1.5</v>
      </c>
      <c r="N362" s="57">
        <f>MAX(0.1,ROUND(設定!$B$10*AB362,3))</f>
        <v>0.65</v>
      </c>
      <c r="O362" s="57">
        <f t="shared" si="20"/>
        <v>1.02</v>
      </c>
      <c r="P362" s="58">
        <f>MAX(-10,MIN(0.8,IFERROR(INDEX(属性耐性マスタ!$B$5:$G$11,MATCH($C362,属性耐性マスタ!$A$5:$A$11,0),1),0)+IFERROR(VLOOKUP($AM362,個性タイプマスタ!$A$5:$P$100,12,FALSE),0)))</f>
        <v>0</v>
      </c>
      <c r="Q362" s="58">
        <f>MAX(-10,MIN(0.8,IFERROR(INDEX(属性耐性マスタ!$B$5:$G$11,MATCH($C362,属性耐性マスタ!$A$5:$A$11,0),2),0)+IFERROR(VLOOKUP($AM362,個性タイプマスタ!$A$5:$P$100,12,FALSE),0)))</f>
        <v>0.30000000000000004</v>
      </c>
      <c r="R362" s="58">
        <f>MAX(-10,MIN(0.8,IFERROR(INDEX(属性耐性マスタ!$B$5:$G$11,MATCH($C362,属性耐性マスタ!$A$5:$A$11,0),3),0)+IFERROR(VLOOKUP($AM362,個性タイプマスタ!$A$5:$P$100,12,FALSE),0)))</f>
        <v>0.1</v>
      </c>
      <c r="S362" s="58">
        <f>MAX(-10,MIN(0.8,IFERROR(INDEX(属性耐性マスタ!$B$5:$G$11,MATCH($C362,属性耐性マスタ!$A$5:$A$11,0),4),0)+IFERROR(VLOOKUP($AM362,個性タイプマスタ!$A$5:$P$100,12,FALSE),0)))</f>
        <v>0.1</v>
      </c>
      <c r="T362" s="58">
        <f>MAX(-10,MIN(0.8,IFERROR(INDEX(属性耐性マスタ!$B$5:$G$11,MATCH($C362,属性耐性マスタ!$A$5:$A$11,0),5),0)+IFERROR(VLOOKUP($AM362,個性タイプマスタ!$A$5:$P$100,12,FALSE),0)))</f>
        <v>0.1</v>
      </c>
      <c r="U362" s="58">
        <f>MAX(-10,MIN(0.8,IFERROR(INDEX(属性耐性マスタ!$B$5:$G$11,MATCH($C362,属性耐性マスタ!$A$5:$A$11,0),6),0)+IFERROR(VLOOKUP($AM362,個性タイプマスタ!$A$5:$P$100,12,FALSE),0)))</f>
        <v>0.1</v>
      </c>
      <c r="V362" s="59">
        <f>ROUND(設定!$B$19*IFERROR(VLOOKUP($AM362,個性タイプマスタ!$A$5:$P$100,13,FALSE),1),2)</f>
        <v>3.4</v>
      </c>
      <c r="W362" s="59">
        <v>60</v>
      </c>
      <c r="X362" s="59" t="str">
        <f>IFERROR(VLOOKUP($AM362,個性タイプマスタ!$A$5:$P$100,2,FALSE),"Ranged")</f>
        <v>Melee</v>
      </c>
      <c r="Y362" s="56">
        <f>IFERROR(VLOOKUP($AM362,個性タイプマスタ!$A$5:$P$100,3,FALSE),1)</f>
        <v>1.82</v>
      </c>
      <c r="Z362" s="56">
        <f>IFERROR(VLOOKUP($AM362,個性タイプマスタ!$A$5:$P$100,4,FALSE),1)</f>
        <v>2.15</v>
      </c>
      <c r="AA362" s="56">
        <f>IFERROR(VLOOKUP($AM362,個性タイプマスタ!$A$5:$P$100,5,FALSE),1)</f>
        <v>1.06</v>
      </c>
      <c r="AB362" s="56">
        <f>IFERROR(VLOOKUP($AM362,個性タイプマスタ!$A$5:$P$100,6,FALSE),1)</f>
        <v>0.65</v>
      </c>
      <c r="AC362" s="56">
        <f>IFERROR(VLOOKUP($AM362,個性タイプマスタ!$A$5:$P$100,7,FALSE),1)</f>
        <v>0.68</v>
      </c>
      <c r="AD362" s="56">
        <f>IFERROR(VLOOKUP($AM362,個性タイプマスタ!$A$5:$P$100,8,FALSE),1)</f>
        <v>0.92</v>
      </c>
      <c r="AE362" s="60">
        <f>IFERROR(D362/設定!$B$5,1)</f>
        <v>276.80150000000003</v>
      </c>
      <c r="AF362" s="60">
        <f>1+設定!$B$13*((I362/設定!$B$8+J362/設定!$B$9)/(2*AE362))</f>
        <v>1.4814822174012785</v>
      </c>
      <c r="AG362" s="60">
        <f>MAX(0.7,1+設定!$B$14*(O362/IF(X362="Melee",1.5,2.5)-1))</f>
        <v>0.96160000000000001</v>
      </c>
      <c r="AH362" s="53">
        <f t="shared" si="21"/>
        <v>2339.4572156799995</v>
      </c>
      <c r="AI362" s="53">
        <f>E362*AF362*(1+設定!$B$18*AVERAGE(P362:U362))</f>
        <v>78552.40198352428</v>
      </c>
      <c r="AJ362" s="61">
        <f>設定!$B$5*SQRT((AH362/(設定!$B$7*設定!$B$10*(1+設定!$B$11*(設定!$B$12-1))))*(AI362/(設定!$B$6*(1+設定!$B$13))))</f>
        <v>27680.085478188987</v>
      </c>
      <c r="AK362" s="62">
        <f t="shared" si="22"/>
        <v>-2.3309776505664459E-6</v>
      </c>
      <c r="AL362" s="63">
        <f t="shared" si="23"/>
        <v>25465.738000000001</v>
      </c>
      <c r="AM362" s="64" t="s">
        <v>952</v>
      </c>
      <c r="AN362" s="54">
        <f>MAX(1,ROUND((設定!$B$7*設定!$B$10*(1+設定!$B$11*(設定!$B$12-1)))*AE362^2*(設定!$B$6*(1+設定!$B$13))/(AI362*N362*(1+K362*(L362-1))*AG362),0))</f>
        <v>3704</v>
      </c>
      <c r="AO362" s="65" t="str">
        <f>IF($A362="","",IF(COUNTIF(個性タイプマスタ!$A$5:$A$100,$AM362)&gt;0,"OK","未登録"))</f>
        <v>OK</v>
      </c>
      <c r="AP362" s="67" t="str">
        <f>IF($A362="","",IF(COUNTIF(属性耐性マスタ!$A$5:$A$11,$C362)&gt;0,"OK","未登録"))</f>
        <v>OK</v>
      </c>
    </row>
    <row r="363" spans="1:42">
      <c r="A363" s="66" t="s">
        <v>826</v>
      </c>
      <c r="B363" s="51" t="s">
        <v>827</v>
      </c>
      <c r="C363" s="52" t="s">
        <v>111</v>
      </c>
      <c r="D363" s="53">
        <f>ROUND(設定!$B$5*POWER($D$2,W363-1),2)</f>
        <v>27680.15</v>
      </c>
      <c r="E363" s="54">
        <f>MAX(1,ROUND(設定!$B$6*AE363*Y363,0))</f>
        <v>21867</v>
      </c>
      <c r="F363" s="54">
        <f>MAX(0,ROUND(設定!$B$7*AE363*設定!$B$15*IF(X363="Melee",0.6,1.35)*IFERROR(VLOOKUP($AM363,個性タイプマスタ!$A$5:$P$100,14,FALSE),1),0))</f>
        <v>1525</v>
      </c>
      <c r="G363" s="54">
        <f>IF(X363="Melee",AN363,MAX(1,ROUND(AN363*設定!$B$16*IFERROR(VLOOKUP($AM363,個性タイプマスタ!$A$5:$P$100,15,FALSE),1),0)))</f>
        <v>4445</v>
      </c>
      <c r="H363" s="54">
        <f>IF(X363="Ranged",AN363,MAX(1,ROUND(AN363*設定!$B$16*IFERROR(VLOOKUP($AM363,個性タイプマスタ!$A$5:$P$100,15,FALSE),1),0)))</f>
        <v>1400</v>
      </c>
      <c r="I363" s="54">
        <f>MAX(0,ROUND(設定!$B$8*AE363*Z363,0))</f>
        <v>1749</v>
      </c>
      <c r="J363" s="54">
        <f>MAX(0,ROUND(設定!$B$9*AE363*AA363,0))</f>
        <v>1617</v>
      </c>
      <c r="K363" s="55">
        <f>IFERROR(VLOOKUP($AM363,個性タイプマスタ!$A$5:$P$100,9,FALSE),0.05)</f>
        <v>0.1</v>
      </c>
      <c r="L363" s="56">
        <f>IFERROR(VLOOKUP($AM363,個性タイプマスタ!$A$5:$P$100,10,FALSE),1.5)</f>
        <v>1.85</v>
      </c>
      <c r="M363" s="56">
        <f>IFERROR(VLOOKUP($AM363,個性タイプマスタ!$A$5:$P$100,11,FALSE),2)</f>
        <v>4</v>
      </c>
      <c r="N363" s="57">
        <f>MAX(0.1,ROUND(設定!$B$10*AB363,3))</f>
        <v>1.41</v>
      </c>
      <c r="O363" s="57">
        <f t="shared" si="20"/>
        <v>1.8</v>
      </c>
      <c r="P363" s="58">
        <f>MAX(-10,MIN(0.8,IFERROR(INDEX(属性耐性マスタ!$B$5:$G$11,MATCH($C363,属性耐性マスタ!$A$5:$A$11,0),1),0)+IFERROR(VLOOKUP($AM363,個性タイプマスタ!$A$5:$P$100,12,FALSE),0)))</f>
        <v>0.14500000000000002</v>
      </c>
      <c r="Q363" s="58">
        <f>MAX(-10,MIN(0.8,IFERROR(INDEX(属性耐性マスタ!$B$5:$G$11,MATCH($C363,属性耐性マスタ!$A$5:$A$11,0),2),0)+IFERROR(VLOOKUP($AM363,個性タイプマスタ!$A$5:$P$100,12,FALSE),0)))</f>
        <v>-0.155</v>
      </c>
      <c r="R363" s="58">
        <f>MAX(-10,MIN(0.8,IFERROR(INDEX(属性耐性マスタ!$B$5:$G$11,MATCH($C363,属性耐性マスタ!$A$5:$A$11,0),3),0)+IFERROR(VLOOKUP($AM363,個性タイプマスタ!$A$5:$P$100,12,FALSE),0)))</f>
        <v>-5.5E-2</v>
      </c>
      <c r="S363" s="58">
        <f>MAX(-10,MIN(0.8,IFERROR(INDEX(属性耐性マスタ!$B$5:$G$11,MATCH($C363,属性耐性マスタ!$A$5:$A$11,0),4),0)+IFERROR(VLOOKUP($AM363,個性タイプマスタ!$A$5:$P$100,12,FALSE),0)))</f>
        <v>-5.5E-2</v>
      </c>
      <c r="T363" s="58">
        <f>MAX(-10,MIN(0.8,IFERROR(INDEX(属性耐性マスタ!$B$5:$G$11,MATCH($C363,属性耐性マスタ!$A$5:$A$11,0),5),0)+IFERROR(VLOOKUP($AM363,個性タイプマスタ!$A$5:$P$100,12,FALSE),0)))</f>
        <v>-5.5E-2</v>
      </c>
      <c r="U363" s="58">
        <f>MAX(-10,MIN(0.8,IFERROR(INDEX(属性耐性マスタ!$B$5:$G$11,MATCH($C363,属性耐性マスタ!$A$5:$A$11,0),6),0)+IFERROR(VLOOKUP($AM363,個性タイプマスタ!$A$5:$P$100,12,FALSE),0)))</f>
        <v>-5.5E-2</v>
      </c>
      <c r="V363" s="59">
        <f>ROUND(設定!$B$19*IFERROR(VLOOKUP($AM363,個性タイプマスタ!$A$5:$P$100,13,FALSE),1),2)</f>
        <v>6.4</v>
      </c>
      <c r="W363" s="59">
        <v>60</v>
      </c>
      <c r="X363" s="59" t="str">
        <f>IFERROR(VLOOKUP($AM363,個性タイプマスタ!$A$5:$P$100,2,FALSE),"Ranged")</f>
        <v>Melee</v>
      </c>
      <c r="Y363" s="56">
        <f>IFERROR(VLOOKUP($AM363,個性タイプマスタ!$A$5:$P$100,3,FALSE),1)</f>
        <v>0.79</v>
      </c>
      <c r="Z363" s="56">
        <f>IFERROR(VLOOKUP($AM363,個性タイプマスタ!$A$5:$P$100,4,FALSE),1)</f>
        <v>0.79</v>
      </c>
      <c r="AA363" s="56">
        <f>IFERROR(VLOOKUP($AM363,個性タイプマスタ!$A$5:$P$100,5,FALSE),1)</f>
        <v>0.73</v>
      </c>
      <c r="AB363" s="56">
        <f>IFERROR(VLOOKUP($AM363,個性タイプマスタ!$A$5:$P$100,6,FALSE),1)</f>
        <v>1.41</v>
      </c>
      <c r="AC363" s="56">
        <f>IFERROR(VLOOKUP($AM363,個性タイプマスタ!$A$5:$P$100,7,FALSE),1)</f>
        <v>1.2</v>
      </c>
      <c r="AD363" s="56">
        <f>IFERROR(VLOOKUP($AM363,個性タイプマスタ!$A$5:$P$100,8,FALSE),1)</f>
        <v>0.64</v>
      </c>
      <c r="AE363" s="60">
        <f>IFERROR(D363/設定!$B$5,1)</f>
        <v>276.80150000000003</v>
      </c>
      <c r="AF363" s="60">
        <f>1+設定!$B$13*((I363/設定!$B$8+J363/設定!$B$9)/(2*AE363))</f>
        <v>1.2280063511216521</v>
      </c>
      <c r="AG363" s="60">
        <f>MAX(0.7,1+設定!$B$14*(O363/IF(X363="Melee",1.5,2.5)-1))</f>
        <v>1.024</v>
      </c>
      <c r="AH363" s="53">
        <f t="shared" si="21"/>
        <v>6963.387647999999</v>
      </c>
      <c r="AI363" s="53">
        <f>E363*AF363*(1+設定!$B$18*AVERAGE(P363:U363))</f>
        <v>26389.603823297559</v>
      </c>
      <c r="AJ363" s="61">
        <f>設定!$B$5*SQRT((AH363/(設定!$B$7*設定!$B$10*(1+設定!$B$11*(設定!$B$12-1))))*(AI363/(設定!$B$6*(1+設定!$B$13))))</f>
        <v>27679.412007251573</v>
      </c>
      <c r="AK363" s="62">
        <f t="shared" si="22"/>
        <v>-2.6661443251918548E-5</v>
      </c>
      <c r="AL363" s="63">
        <f t="shared" si="23"/>
        <v>17715.296000000002</v>
      </c>
      <c r="AM363" s="64" t="s">
        <v>966</v>
      </c>
      <c r="AN363" s="54">
        <f>MAX(1,ROUND((設定!$B$7*設定!$B$10*(1+設定!$B$11*(設定!$B$12-1)))*AE363^2*(設定!$B$6*(1+設定!$B$13))/(AI363*N363*(1+K363*(L363-1))*AG363),0))</f>
        <v>4445</v>
      </c>
      <c r="AO363" s="65" t="str">
        <f>IF($A363="","",IF(COUNTIF(個性タイプマスタ!$A$5:$A$100,$AM363)&gt;0,"OK","未登録"))</f>
        <v>OK</v>
      </c>
      <c r="AP363" s="67" t="str">
        <f>IF($A363="","",IF(COUNTIF(属性耐性マスタ!$A$5:$A$11,$C363)&gt;0,"OK","未登録"))</f>
        <v>OK</v>
      </c>
    </row>
    <row r="364" spans="1:42">
      <c r="A364" s="66" t="s">
        <v>828</v>
      </c>
      <c r="B364" s="51" t="s">
        <v>829</v>
      </c>
      <c r="C364" s="52" t="s">
        <v>114</v>
      </c>
      <c r="D364" s="53">
        <f>ROUND(設定!$B$5*POWER($D$2,W364-1),2)</f>
        <v>27680.15</v>
      </c>
      <c r="E364" s="54">
        <f>MAX(1,ROUND(設定!$B$6*AE364*Y364,0))</f>
        <v>22698</v>
      </c>
      <c r="F364" s="54">
        <f>MAX(0,ROUND(設定!$B$7*AE364*設定!$B$15*IF(X364="Melee",0.6,1.35)*IFERROR(VLOOKUP($AM364,個性タイプマスタ!$A$5:$P$100,14,FALSE),1),0))</f>
        <v>3632</v>
      </c>
      <c r="G364" s="54">
        <f>IF(X364="Melee",AN364,MAX(1,ROUND(AN364*設定!$B$16*IFERROR(VLOOKUP($AM364,個性タイプマスタ!$A$5:$P$100,15,FALSE),1),0)))</f>
        <v>2787</v>
      </c>
      <c r="H364" s="54">
        <f>IF(X364="Ranged",AN364,MAX(1,ROUND(AN364*設定!$B$16*IFERROR(VLOOKUP($AM364,個性タイプマスタ!$A$5:$P$100,15,FALSE),1),0)))</f>
        <v>6193</v>
      </c>
      <c r="I364" s="54">
        <f>MAX(0,ROUND(設定!$B$8*AE364*Z364,0))</f>
        <v>1882</v>
      </c>
      <c r="J364" s="54">
        <f>MAX(0,ROUND(設定!$B$9*AE364*AA364,0))</f>
        <v>2214</v>
      </c>
      <c r="K364" s="55">
        <f>IFERROR(VLOOKUP($AM364,個性タイプマスタ!$A$5:$P$100,9,FALSE),0.05)</f>
        <v>0.05</v>
      </c>
      <c r="L364" s="56">
        <f>IFERROR(VLOOKUP($AM364,個性タイプマスタ!$A$5:$P$100,10,FALSE),1.5)</f>
        <v>1.5</v>
      </c>
      <c r="M364" s="56">
        <f>IFERROR(VLOOKUP($AM364,個性タイプマスタ!$A$5:$P$100,11,FALSE),2)</f>
        <v>2</v>
      </c>
      <c r="N364" s="57">
        <f>MAX(0.1,ROUND(設定!$B$10*AB364,3))</f>
        <v>1</v>
      </c>
      <c r="O364" s="57">
        <f t="shared" si="20"/>
        <v>2.5</v>
      </c>
      <c r="P364" s="58">
        <f>MAX(-10,MIN(0.8,IFERROR(INDEX(属性耐性マスタ!$B$5:$G$11,MATCH($C364,属性耐性マスタ!$A$5:$A$11,0),1),0)+IFERROR(VLOOKUP($AM364,個性タイプマスタ!$A$5:$P$100,12,FALSE),0)))</f>
        <v>-0.02</v>
      </c>
      <c r="Q364" s="58">
        <f>MAX(-10,MIN(0.8,IFERROR(INDEX(属性耐性マスタ!$B$5:$G$11,MATCH($C364,属性耐性マスタ!$A$5:$A$11,0),2),0)+IFERROR(VLOOKUP($AM364,個性タイプマスタ!$A$5:$P$100,12,FALSE),0)))</f>
        <v>-0.02</v>
      </c>
      <c r="R364" s="58">
        <f>MAX(-10,MIN(0.8,IFERROR(INDEX(属性耐性マスタ!$B$5:$G$11,MATCH($C364,属性耐性マスタ!$A$5:$A$11,0),3),0)+IFERROR(VLOOKUP($AM364,個性タイプマスタ!$A$5:$P$100,12,FALSE),0)))</f>
        <v>0.18000000000000002</v>
      </c>
      <c r="S364" s="58">
        <f>MAX(-10,MIN(0.8,IFERROR(INDEX(属性耐性マスタ!$B$5:$G$11,MATCH($C364,属性耐性マスタ!$A$5:$A$11,0),4),0)+IFERROR(VLOOKUP($AM364,個性タイプマスタ!$A$5:$P$100,12,FALSE),0)))</f>
        <v>-0.12000000000000001</v>
      </c>
      <c r="T364" s="58">
        <f>MAX(-10,MIN(0.8,IFERROR(INDEX(属性耐性マスタ!$B$5:$G$11,MATCH($C364,属性耐性マスタ!$A$5:$A$11,0),5),0)+IFERROR(VLOOKUP($AM364,個性タイプマスタ!$A$5:$P$100,12,FALSE),0)))</f>
        <v>-0.02</v>
      </c>
      <c r="U364" s="58">
        <f>MAX(-10,MIN(0.8,IFERROR(INDEX(属性耐性マスタ!$B$5:$G$11,MATCH($C364,属性耐性マスタ!$A$5:$A$11,0),6),0)+IFERROR(VLOOKUP($AM364,個性タイプマスタ!$A$5:$P$100,12,FALSE),0)))</f>
        <v>-0.02</v>
      </c>
      <c r="V364" s="59">
        <f>ROUND(設定!$B$19*IFERROR(VLOOKUP($AM364,個性タイプマスタ!$A$5:$P$100,13,FALSE),1),2)</f>
        <v>4</v>
      </c>
      <c r="W364" s="59">
        <v>60</v>
      </c>
      <c r="X364" s="59" t="str">
        <f>IFERROR(VLOOKUP($AM364,個性タイプマスタ!$A$5:$P$100,2,FALSE),"Ranged")</f>
        <v>Ranged</v>
      </c>
      <c r="Y364" s="56">
        <f>IFERROR(VLOOKUP($AM364,個性タイプマスタ!$A$5:$P$100,3,FALSE),1)</f>
        <v>0.82</v>
      </c>
      <c r="Z364" s="56">
        <f>IFERROR(VLOOKUP($AM364,個性タイプマスタ!$A$5:$P$100,4,FALSE),1)</f>
        <v>0.85</v>
      </c>
      <c r="AA364" s="56">
        <f>IFERROR(VLOOKUP($AM364,個性タイプマスタ!$A$5:$P$100,5,FALSE),1)</f>
        <v>1</v>
      </c>
      <c r="AB364" s="56">
        <f>IFERROR(VLOOKUP($AM364,個性タイプマスタ!$A$5:$P$100,6,FALSE),1)</f>
        <v>1</v>
      </c>
      <c r="AC364" s="56">
        <f>IFERROR(VLOOKUP($AM364,個性タイプマスタ!$A$5:$P$100,7,FALSE),1)</f>
        <v>1</v>
      </c>
      <c r="AD364" s="56">
        <f>IFERROR(VLOOKUP($AM364,個性タイプマスタ!$A$5:$P$100,8,FALSE),1)</f>
        <v>0.68</v>
      </c>
      <c r="AE364" s="60">
        <f>IFERROR(D364/設定!$B$5,1)</f>
        <v>276.80150000000003</v>
      </c>
      <c r="AF364" s="60">
        <f>1+設定!$B$13*((I364/設定!$B$8+J364/設定!$B$9)/(2*AE364))</f>
        <v>1.2774551438485702</v>
      </c>
      <c r="AG364" s="60">
        <f>MAX(0.7,1+設定!$B$14*(O364/IF(X364="Melee",1.5,2.5)-1))</f>
        <v>1</v>
      </c>
      <c r="AH364" s="53">
        <f t="shared" si="21"/>
        <v>6347.8249999999998</v>
      </c>
      <c r="AI364" s="53">
        <f>E364*AF364*(1+設定!$B$18*AVERAGE(P364:U364))</f>
        <v>28952.183339792235</v>
      </c>
      <c r="AJ364" s="61">
        <f>設定!$B$5*SQRT((AH364/(設定!$B$7*設定!$B$10*(1+設定!$B$11*(設定!$B$12-1))))*(AI364/(設定!$B$6*(1+設定!$B$13))))</f>
        <v>27681.095358938655</v>
      </c>
      <c r="AK364" s="62">
        <f t="shared" si="22"/>
        <v>3.415295576991717E-5</v>
      </c>
      <c r="AL364" s="63">
        <f t="shared" si="23"/>
        <v>18822.502000000004</v>
      </c>
      <c r="AM364" s="64" t="s">
        <v>878</v>
      </c>
      <c r="AN364" s="54">
        <f>MAX(1,ROUND((設定!$B$7*設定!$B$10*(1+設定!$B$11*(設定!$B$12-1)))*AE364^2*(設定!$B$6*(1+設定!$B$13))/(AI364*N364*(1+K364*(L364-1))*AG364),0))</f>
        <v>6193</v>
      </c>
      <c r="AO364" s="65" t="str">
        <f>IF($A364="","",IF(COUNTIF(個性タイプマスタ!$A$5:$A$100,$AM364)&gt;0,"OK","未登録"))</f>
        <v>OK</v>
      </c>
      <c r="AP364" s="67" t="str">
        <f>IF($A364="","",IF(COUNTIF(属性耐性マスタ!$A$5:$A$11,$C364)&gt;0,"OK","未登録"))</f>
        <v>OK</v>
      </c>
    </row>
    <row r="365" spans="1:42">
      <c r="A365" s="66" t="s">
        <v>830</v>
      </c>
      <c r="B365" s="51" t="s">
        <v>831</v>
      </c>
      <c r="C365" s="52" t="s">
        <v>111</v>
      </c>
      <c r="D365" s="53">
        <f>ROUND(設定!$B$5*POWER($D$2,W365-1),2)</f>
        <v>30448.16</v>
      </c>
      <c r="E365" s="54">
        <f>MAX(1,ROUND(設定!$B$6*AE365*Y365,0))</f>
        <v>36538</v>
      </c>
      <c r="F365" s="54">
        <f>MAX(0,ROUND(設定!$B$7*AE365*設定!$B$15*IF(X365="Melee",0.6,1.35)*IFERROR(VLOOKUP($AM365,個性タイプマスタ!$A$5:$P$100,14,FALSE),1),0))</f>
        <v>2210</v>
      </c>
      <c r="G365" s="54">
        <f>IF(X365="Melee",AN365,MAX(1,ROUND(AN365*設定!$B$16*IFERROR(VLOOKUP($AM365,個性タイプマスタ!$A$5:$P$100,15,FALSE),1),0)))</f>
        <v>4048</v>
      </c>
      <c r="H365" s="54">
        <f>IF(X365="Ranged",AN365,MAX(1,ROUND(AN365*設定!$B$16*IFERROR(VLOOKUP($AM365,個性タイプマスタ!$A$5:$P$100,15,FALSE),1),0)))</f>
        <v>1512</v>
      </c>
      <c r="I365" s="54">
        <f>MAX(0,ROUND(設定!$B$8*AE365*Z365,0))</f>
        <v>1851</v>
      </c>
      <c r="J365" s="54">
        <f>MAX(0,ROUND(設定!$B$9*AE365*AA365,0))</f>
        <v>5115</v>
      </c>
      <c r="K365" s="55">
        <f>IFERROR(VLOOKUP($AM365,個性タイプマスタ!$A$5:$P$100,9,FALSE),0.05)</f>
        <v>0.05</v>
      </c>
      <c r="L365" s="56">
        <f>IFERROR(VLOOKUP($AM365,個性タイプマスタ!$A$5:$P$100,10,FALSE),1.5)</f>
        <v>1.47</v>
      </c>
      <c r="M365" s="56">
        <f>IFERROR(VLOOKUP($AM365,個性タイプマスタ!$A$5:$P$100,11,FALSE),2)</f>
        <v>2.4500000000000002</v>
      </c>
      <c r="N365" s="57">
        <f>MAX(0.1,ROUND(設定!$B$10*AB365,3))</f>
        <v>1</v>
      </c>
      <c r="O365" s="57">
        <f t="shared" si="20"/>
        <v>1.395</v>
      </c>
      <c r="P365" s="58">
        <f>MAX(-10,MIN(0.8,IFERROR(INDEX(属性耐性マスタ!$B$5:$G$11,MATCH($C365,属性耐性マスタ!$A$5:$A$11,0),1),0)+IFERROR(VLOOKUP($AM365,個性タイプマスタ!$A$5:$P$100,12,FALSE),0)))</f>
        <v>0.26500000000000001</v>
      </c>
      <c r="Q365" s="58">
        <f>MAX(-10,MIN(0.8,IFERROR(INDEX(属性耐性マスタ!$B$5:$G$11,MATCH($C365,属性耐性マスタ!$A$5:$A$11,0),2),0)+IFERROR(VLOOKUP($AM365,個性タイプマスタ!$A$5:$P$100,12,FALSE),0)))</f>
        <v>-3.5000000000000003E-2</v>
      </c>
      <c r="R365" s="58">
        <f>MAX(-10,MIN(0.8,IFERROR(INDEX(属性耐性マスタ!$B$5:$G$11,MATCH($C365,属性耐性マスタ!$A$5:$A$11,0),3),0)+IFERROR(VLOOKUP($AM365,個性タイプマスタ!$A$5:$P$100,12,FALSE),0)))</f>
        <v>6.5000000000000002E-2</v>
      </c>
      <c r="S365" s="58">
        <f>MAX(-10,MIN(0.8,IFERROR(INDEX(属性耐性マスタ!$B$5:$G$11,MATCH($C365,属性耐性マスタ!$A$5:$A$11,0),4),0)+IFERROR(VLOOKUP($AM365,個性タイプマスタ!$A$5:$P$100,12,FALSE),0)))</f>
        <v>6.5000000000000002E-2</v>
      </c>
      <c r="T365" s="58">
        <f>MAX(-10,MIN(0.8,IFERROR(INDEX(属性耐性マスタ!$B$5:$G$11,MATCH($C365,属性耐性マスタ!$A$5:$A$11,0),5),0)+IFERROR(VLOOKUP($AM365,個性タイプマスタ!$A$5:$P$100,12,FALSE),0)))</f>
        <v>6.5000000000000002E-2</v>
      </c>
      <c r="U365" s="58">
        <f>MAX(-10,MIN(0.8,IFERROR(INDEX(属性耐性マスタ!$B$5:$G$11,MATCH($C365,属性耐性マスタ!$A$5:$A$11,0),6),0)+IFERROR(VLOOKUP($AM365,個性タイプマスタ!$A$5:$P$100,12,FALSE),0)))</f>
        <v>6.5000000000000002E-2</v>
      </c>
      <c r="V365" s="59">
        <f>ROUND(設定!$B$19*IFERROR(VLOOKUP($AM365,個性タイプマスタ!$A$5:$P$100,13,FALSE),1),2)</f>
        <v>4.2</v>
      </c>
      <c r="W365" s="59">
        <v>61</v>
      </c>
      <c r="X365" s="59" t="str">
        <f>IFERROR(VLOOKUP($AM365,個性タイプマスタ!$A$5:$P$100,2,FALSE),"Ranged")</f>
        <v>Melee</v>
      </c>
      <c r="Y365" s="56">
        <f>IFERROR(VLOOKUP($AM365,個性タイプマスタ!$A$5:$P$100,3,FALSE),1)</f>
        <v>1.2</v>
      </c>
      <c r="Z365" s="56">
        <f>IFERROR(VLOOKUP($AM365,個性タイプマスタ!$A$5:$P$100,4,FALSE),1)</f>
        <v>0.76</v>
      </c>
      <c r="AA365" s="56">
        <f>IFERROR(VLOOKUP($AM365,個性タイプマスタ!$A$5:$P$100,5,FALSE),1)</f>
        <v>2.1</v>
      </c>
      <c r="AB365" s="56">
        <f>IFERROR(VLOOKUP($AM365,個性タイプマスタ!$A$5:$P$100,6,FALSE),1)</f>
        <v>1</v>
      </c>
      <c r="AC365" s="56">
        <f>IFERROR(VLOOKUP($AM365,個性タイプマスタ!$A$5:$P$100,7,FALSE),1)</f>
        <v>0.93</v>
      </c>
      <c r="AD365" s="56">
        <f>IFERROR(VLOOKUP($AM365,個性タイプマスタ!$A$5:$P$100,8,FALSE),1)</f>
        <v>0.8</v>
      </c>
      <c r="AE365" s="60">
        <f>IFERROR(D365/設定!$B$5,1)</f>
        <v>304.48160000000001</v>
      </c>
      <c r="AF365" s="60">
        <f>1+設定!$B$13*((I365/設定!$B$8+J365/設定!$B$9)/(2*AE365))</f>
        <v>1.4289668078465168</v>
      </c>
      <c r="AG365" s="60">
        <f>MAX(0.7,1+設定!$B$14*(O365/IF(X365="Melee",1.5,2.5)-1))</f>
        <v>0.99160000000000004</v>
      </c>
      <c r="AH365" s="53">
        <f t="shared" si="21"/>
        <v>4108.3257248000009</v>
      </c>
      <c r="AI365" s="53">
        <f>E365*AF365*(1+設定!$B$18*AVERAGE(P365:U365))</f>
        <v>54130.365129118312</v>
      </c>
      <c r="AJ365" s="61">
        <f>設定!$B$5*SQRT((AH365/(設定!$B$7*設定!$B$10*(1+設定!$B$11*(設定!$B$12-1))))*(AI365/(設定!$B$6*(1+設定!$B$13))))</f>
        <v>30449.702325346374</v>
      </c>
      <c r="AK365" s="62">
        <f t="shared" si="22"/>
        <v>5.0654139572836598E-5</v>
      </c>
      <c r="AL365" s="63">
        <f t="shared" si="23"/>
        <v>24358.528000000002</v>
      </c>
      <c r="AM365" s="64" t="s">
        <v>972</v>
      </c>
      <c r="AN365" s="54">
        <f>MAX(1,ROUND((設定!$B$7*設定!$B$10*(1+設定!$B$11*(設定!$B$12-1)))*AE365^2*(設定!$B$6*(1+設定!$B$13))/(AI365*N365*(1+K365*(L365-1))*AG365),0))</f>
        <v>4048</v>
      </c>
      <c r="AO365" s="65" t="str">
        <f>IF($A365="","",IF(COUNTIF(個性タイプマスタ!$A$5:$A$100,$AM365)&gt;0,"OK","未登録"))</f>
        <v>OK</v>
      </c>
      <c r="AP365" s="67" t="str">
        <f>IF($A365="","",IF(COUNTIF(属性耐性マスタ!$A$5:$A$11,$C365)&gt;0,"OK","未登録"))</f>
        <v>OK</v>
      </c>
    </row>
    <row r="366" spans="1:42">
      <c r="A366" s="66" t="s">
        <v>832</v>
      </c>
      <c r="B366" s="51" t="s">
        <v>833</v>
      </c>
      <c r="C366" s="52" t="s">
        <v>108</v>
      </c>
      <c r="D366" s="53">
        <f>ROUND(設定!$B$5*POWER($D$2,W366-1),2)</f>
        <v>30448.16</v>
      </c>
      <c r="E366" s="54">
        <f>MAX(1,ROUND(設定!$B$6*AE366*Y366,0))</f>
        <v>27403</v>
      </c>
      <c r="F366" s="54">
        <f>MAX(0,ROUND(設定!$B$7*AE366*設定!$B$15*IF(X366="Melee",0.6,1.35)*IFERROR(VLOOKUP($AM366,個性タイプマスタ!$A$5:$P$100,14,FALSE),1),0))</f>
        <v>1578</v>
      </c>
      <c r="G366" s="54">
        <f>IF(X366="Melee",AN366,MAX(1,ROUND(AN366*設定!$B$16*IFERROR(VLOOKUP($AM366,個性タイプマスタ!$A$5:$P$100,15,FALSE),1),0)))</f>
        <v>5094</v>
      </c>
      <c r="H366" s="54">
        <f>IF(X366="Ranged",AN366,MAX(1,ROUND(AN366*設定!$B$16*IFERROR(VLOOKUP($AM366,個性タイプマスタ!$A$5:$P$100,15,FALSE),1),0)))</f>
        <v>2292</v>
      </c>
      <c r="I366" s="54">
        <f>MAX(0,ROUND(設定!$B$8*AE366*Z366,0))</f>
        <v>2192</v>
      </c>
      <c r="J366" s="54">
        <f>MAX(0,ROUND(設定!$B$9*AE366*AA366,0))</f>
        <v>2192</v>
      </c>
      <c r="K366" s="55">
        <f>IFERROR(VLOOKUP($AM366,個性タイプマスタ!$A$5:$P$100,9,FALSE),0.05)</f>
        <v>0.11</v>
      </c>
      <c r="L366" s="56">
        <f>IFERROR(VLOOKUP($AM366,個性タイプマスタ!$A$5:$P$100,10,FALSE),1.5)</f>
        <v>1.75</v>
      </c>
      <c r="M366" s="56">
        <f>IFERROR(VLOOKUP($AM366,個性タイプマスタ!$A$5:$P$100,11,FALSE),2)</f>
        <v>3</v>
      </c>
      <c r="N366" s="57">
        <f>MAX(0.1,ROUND(設定!$B$10*AB366,3))</f>
        <v>1.18</v>
      </c>
      <c r="O366" s="57">
        <f t="shared" si="20"/>
        <v>1.35</v>
      </c>
      <c r="P366" s="58">
        <f>MAX(-10,MIN(0.8,IFERROR(INDEX(属性耐性マスタ!$B$5:$G$11,MATCH($C366,属性耐性マスタ!$A$5:$A$11,0),1),0)+IFERROR(VLOOKUP($AM366,個性タイプマスタ!$A$5:$P$100,12,FALSE),0)))</f>
        <v>-0.13</v>
      </c>
      <c r="Q366" s="58">
        <f>MAX(-10,MIN(0.8,IFERROR(INDEX(属性耐性マスタ!$B$5:$G$11,MATCH($C366,属性耐性マスタ!$A$5:$A$11,0),2),0)+IFERROR(VLOOKUP($AM366,個性タイプマスタ!$A$5:$P$100,12,FALSE),0)))</f>
        <v>0.17</v>
      </c>
      <c r="R366" s="58">
        <f>MAX(-10,MIN(0.8,IFERROR(INDEX(属性耐性マスタ!$B$5:$G$11,MATCH($C366,属性耐性マスタ!$A$5:$A$11,0),3),0)+IFERROR(VLOOKUP($AM366,個性タイプマスタ!$A$5:$P$100,12,FALSE),0)))</f>
        <v>-0.03</v>
      </c>
      <c r="S366" s="58">
        <f>MAX(-10,MIN(0.8,IFERROR(INDEX(属性耐性マスタ!$B$5:$G$11,MATCH($C366,属性耐性マスタ!$A$5:$A$11,0),4),0)+IFERROR(VLOOKUP($AM366,個性タイプマスタ!$A$5:$P$100,12,FALSE),0)))</f>
        <v>-0.03</v>
      </c>
      <c r="T366" s="58">
        <f>MAX(-10,MIN(0.8,IFERROR(INDEX(属性耐性マスタ!$B$5:$G$11,MATCH($C366,属性耐性マスタ!$A$5:$A$11,0),5),0)+IFERROR(VLOOKUP($AM366,個性タイプマスタ!$A$5:$P$100,12,FALSE),0)))</f>
        <v>-0.03</v>
      </c>
      <c r="U366" s="58">
        <f>MAX(-10,MIN(0.8,IFERROR(INDEX(属性耐性マスタ!$B$5:$G$11,MATCH($C366,属性耐性マスタ!$A$5:$A$11,0),6),0)+IFERROR(VLOOKUP($AM366,個性タイプマスタ!$A$5:$P$100,12,FALSE),0)))</f>
        <v>-0.03</v>
      </c>
      <c r="V366" s="59">
        <f>ROUND(設定!$B$19*IFERROR(VLOOKUP($AM366,個性タイプマスタ!$A$5:$P$100,13,FALSE),1),2)</f>
        <v>4.2</v>
      </c>
      <c r="W366" s="59">
        <v>61</v>
      </c>
      <c r="X366" s="59" t="str">
        <f>IFERROR(VLOOKUP($AM366,個性タイプマスタ!$A$5:$P$100,2,FALSE),"Ranged")</f>
        <v>Melee</v>
      </c>
      <c r="Y366" s="56">
        <f>IFERROR(VLOOKUP($AM366,個性タイプマスタ!$A$5:$P$100,3,FALSE),1)</f>
        <v>0.9</v>
      </c>
      <c r="Z366" s="56">
        <f>IFERROR(VLOOKUP($AM366,個性タイプマスタ!$A$5:$P$100,4,FALSE),1)</f>
        <v>0.9</v>
      </c>
      <c r="AA366" s="56">
        <f>IFERROR(VLOOKUP($AM366,個性タイプマスタ!$A$5:$P$100,5,FALSE),1)</f>
        <v>0.9</v>
      </c>
      <c r="AB366" s="56">
        <f>IFERROR(VLOOKUP($AM366,個性タイプマスタ!$A$5:$P$100,6,FALSE),1)</f>
        <v>1.18</v>
      </c>
      <c r="AC366" s="56">
        <f>IFERROR(VLOOKUP($AM366,個性タイプマスタ!$A$5:$P$100,7,FALSE),1)</f>
        <v>0.9</v>
      </c>
      <c r="AD366" s="56">
        <f>IFERROR(VLOOKUP($AM366,個性タイプマスタ!$A$5:$P$100,8,FALSE),1)</f>
        <v>0.72</v>
      </c>
      <c r="AE366" s="60">
        <f>IFERROR(D366/設定!$B$5,1)</f>
        <v>304.48160000000001</v>
      </c>
      <c r="AF366" s="60">
        <f>1+設定!$B$13*((I366/設定!$B$8+J366/設定!$B$9)/(2*AE366))</f>
        <v>1.2699670521962574</v>
      </c>
      <c r="AG366" s="60">
        <f>MAX(0.7,1+設定!$B$14*(O366/IF(X366="Melee",1.5,2.5)-1))</f>
        <v>0.98799999999999999</v>
      </c>
      <c r="AH366" s="53">
        <f t="shared" si="21"/>
        <v>6428.7390492000004</v>
      </c>
      <c r="AI366" s="53">
        <f>E366*AF366*(1+設定!$B$18*AVERAGE(P366:U366))</f>
        <v>34592.101688546034</v>
      </c>
      <c r="AJ366" s="61">
        <f>設定!$B$5*SQRT((AH366/(設定!$B$7*設定!$B$10*(1+設定!$B$11*(設定!$B$12-1))))*(AI366/(設定!$B$6*(1+設定!$B$13))))</f>
        <v>30449.594386241843</v>
      </c>
      <c r="AK366" s="62">
        <f t="shared" si="22"/>
        <v>4.7109127180089416E-5</v>
      </c>
      <c r="AL366" s="63">
        <f t="shared" si="23"/>
        <v>21922.675199999998</v>
      </c>
      <c r="AM366" s="64" t="s">
        <v>900</v>
      </c>
      <c r="AN366" s="54">
        <f>MAX(1,ROUND((設定!$B$7*設定!$B$10*(1+設定!$B$11*(設定!$B$12-1)))*AE366^2*(設定!$B$6*(1+設定!$B$13))/(AI366*N366*(1+K366*(L366-1))*AG366),0))</f>
        <v>5094</v>
      </c>
      <c r="AO366" s="65" t="str">
        <f>IF($A366="","",IF(COUNTIF(個性タイプマスタ!$A$5:$A$100,$AM366)&gt;0,"OK","未登録"))</f>
        <v>OK</v>
      </c>
      <c r="AP366" s="67" t="str">
        <f>IF($A366="","",IF(COUNTIF(属性耐性マスタ!$A$5:$A$11,$C366)&gt;0,"OK","未登録"))</f>
        <v>OK</v>
      </c>
    </row>
    <row r="367" spans="1:42">
      <c r="A367" s="66" t="s">
        <v>834</v>
      </c>
      <c r="B367" s="51" t="s">
        <v>835</v>
      </c>
      <c r="C367" s="52" t="s">
        <v>121</v>
      </c>
      <c r="D367" s="53">
        <f>ROUND(設定!$B$5*POWER($D$2,W367-1),2)</f>
        <v>30448.16</v>
      </c>
      <c r="E367" s="54">
        <f>MAX(1,ROUND(設定!$B$6*AE367*Y367,0))</f>
        <v>21314</v>
      </c>
      <c r="F367" s="54">
        <f>MAX(0,ROUND(設定!$B$7*AE367*設定!$B$15*IF(X367="Melee",0.6,1.35)*IFERROR(VLOOKUP($AM367,個性タイプマスタ!$A$5:$P$100,14,FALSE),1),0))</f>
        <v>1677</v>
      </c>
      <c r="G367" s="54">
        <f>IF(X367="Melee",AN367,MAX(1,ROUND(AN367*設定!$B$16*IFERROR(VLOOKUP($AM367,個性タイプマスタ!$A$5:$P$100,15,FALSE),1),0)))</f>
        <v>6341</v>
      </c>
      <c r="H367" s="54">
        <f>IF(X367="Ranged",AN367,MAX(1,ROUND(AN367*設定!$B$16*IFERROR(VLOOKUP($AM367,個性タイプマスタ!$A$5:$P$100,15,FALSE),1),0)))</f>
        <v>2140</v>
      </c>
      <c r="I367" s="54">
        <f>MAX(0,ROUND(設定!$B$8*AE367*Z367,0))</f>
        <v>1851</v>
      </c>
      <c r="J367" s="54">
        <f>MAX(0,ROUND(設定!$B$9*AE367*AA367,0))</f>
        <v>1900</v>
      </c>
      <c r="K367" s="55">
        <f>IFERROR(VLOOKUP($AM367,個性タイプマスタ!$A$5:$P$100,9,FALSE),0.05)</f>
        <v>0.11</v>
      </c>
      <c r="L367" s="56">
        <f>IFERROR(VLOOKUP($AM367,個性タイプマスタ!$A$5:$P$100,10,FALSE),1.5)</f>
        <v>1.58</v>
      </c>
      <c r="M367" s="56">
        <f>IFERROR(VLOOKUP($AM367,個性タイプマスタ!$A$5:$P$100,11,FALSE),2)</f>
        <v>4.45</v>
      </c>
      <c r="N367" s="57">
        <f>MAX(0.1,ROUND(設定!$B$10*AB367,3))</f>
        <v>1.3</v>
      </c>
      <c r="O367" s="57">
        <f t="shared" si="20"/>
        <v>1.32</v>
      </c>
      <c r="P367" s="58">
        <f>MAX(-10,MIN(0.8,IFERROR(INDEX(属性耐性マスタ!$B$5:$G$11,MATCH($C367,属性耐性マスタ!$A$5:$A$11,0),1),0)+IFERROR(VLOOKUP($AM367,個性タイプマスタ!$A$5:$P$100,12,FALSE),0)))</f>
        <v>-0.06</v>
      </c>
      <c r="Q367" s="58">
        <f>MAX(-10,MIN(0.8,IFERROR(INDEX(属性耐性マスタ!$B$5:$G$11,MATCH($C367,属性耐性マスタ!$A$5:$A$11,0),2),0)+IFERROR(VLOOKUP($AM367,個性タイプマスタ!$A$5:$P$100,12,FALSE),0)))</f>
        <v>-0.06</v>
      </c>
      <c r="R367" s="58">
        <f>MAX(-10,MIN(0.8,IFERROR(INDEX(属性耐性マスタ!$B$5:$G$11,MATCH($C367,属性耐性マスタ!$A$5:$A$11,0),3),0)+IFERROR(VLOOKUP($AM367,個性タイプマスタ!$A$5:$P$100,12,FALSE),0)))</f>
        <v>-0.06</v>
      </c>
      <c r="S367" s="58">
        <f>MAX(-10,MIN(0.8,IFERROR(INDEX(属性耐性マスタ!$B$5:$G$11,MATCH($C367,属性耐性マスタ!$A$5:$A$11,0),4),0)+IFERROR(VLOOKUP($AM367,個性タイプマスタ!$A$5:$P$100,12,FALSE),0)))</f>
        <v>-0.06</v>
      </c>
      <c r="T367" s="58">
        <f>MAX(-10,MIN(0.8,IFERROR(INDEX(属性耐性マスタ!$B$5:$G$11,MATCH($C367,属性耐性マスタ!$A$5:$A$11,0),5),0)+IFERROR(VLOOKUP($AM367,個性タイプマスタ!$A$5:$P$100,12,FALSE),0)))</f>
        <v>0.14000000000000001</v>
      </c>
      <c r="U367" s="58">
        <f>MAX(-10,MIN(0.8,IFERROR(INDEX(属性耐性マスタ!$B$5:$G$11,MATCH($C367,属性耐性マスタ!$A$5:$A$11,0),6),0)+IFERROR(VLOOKUP($AM367,個性タイプマスタ!$A$5:$P$100,12,FALSE),0)))</f>
        <v>-0.16</v>
      </c>
      <c r="V367" s="59">
        <f>ROUND(設定!$B$19*IFERROR(VLOOKUP($AM367,個性タイプマスタ!$A$5:$P$100,13,FALSE),1),2)</f>
        <v>5.6</v>
      </c>
      <c r="W367" s="59">
        <v>61</v>
      </c>
      <c r="X367" s="59" t="str">
        <f>IFERROR(VLOOKUP($AM367,個性タイプマスタ!$A$5:$P$100,2,FALSE),"Ranged")</f>
        <v>Melee</v>
      </c>
      <c r="Y367" s="56">
        <f>IFERROR(VLOOKUP($AM367,個性タイプマスタ!$A$5:$P$100,3,FALSE),1)</f>
        <v>0.7</v>
      </c>
      <c r="Z367" s="56">
        <f>IFERROR(VLOOKUP($AM367,個性タイプマスタ!$A$5:$P$100,4,FALSE),1)</f>
        <v>0.76</v>
      </c>
      <c r="AA367" s="56">
        <f>IFERROR(VLOOKUP($AM367,個性タイプマスタ!$A$5:$P$100,5,FALSE),1)</f>
        <v>0.78</v>
      </c>
      <c r="AB367" s="56">
        <f>IFERROR(VLOOKUP($AM367,個性タイプマスタ!$A$5:$P$100,6,FALSE),1)</f>
        <v>1.3</v>
      </c>
      <c r="AC367" s="56">
        <f>IFERROR(VLOOKUP($AM367,個性タイプマスタ!$A$5:$P$100,7,FALSE),1)</f>
        <v>0.88</v>
      </c>
      <c r="AD367" s="56">
        <f>IFERROR(VLOOKUP($AM367,個性タイプマスタ!$A$5:$P$100,8,FALSE),1)</f>
        <v>0.62</v>
      </c>
      <c r="AE367" s="60">
        <f>IFERROR(D367/設定!$B$5,1)</f>
        <v>304.48160000000001</v>
      </c>
      <c r="AF367" s="60">
        <f>1+設定!$B$13*((I367/設定!$B$8+J367/設定!$B$9)/(2*AE367))</f>
        <v>1.2309868642308763</v>
      </c>
      <c r="AG367" s="60">
        <f>MAX(0.7,1+設定!$B$14*(O367/IF(X367="Melee",1.5,2.5)-1))</f>
        <v>0.98560000000000003</v>
      </c>
      <c r="AH367" s="53">
        <f t="shared" si="21"/>
        <v>8642.9457354240021</v>
      </c>
      <c r="AI367" s="53">
        <f>E367*AF367*(1+設定!$B$18*AVERAGE(P367:U367))</f>
        <v>25725.627570744669</v>
      </c>
      <c r="AJ367" s="61">
        <f>設定!$B$5*SQRT((AH367/(設定!$B$7*設定!$B$10*(1+設定!$B$11*(設定!$B$12-1))))*(AI367/(設定!$B$6*(1+設定!$B$13))))</f>
        <v>30446.965897245413</v>
      </c>
      <c r="AK367" s="62">
        <f t="shared" si="22"/>
        <v>-3.9217566992100217E-5</v>
      </c>
      <c r="AL367" s="63">
        <f t="shared" si="23"/>
        <v>18877.859199999999</v>
      </c>
      <c r="AM367" s="64" t="s">
        <v>950</v>
      </c>
      <c r="AN367" s="54">
        <f>MAX(1,ROUND((設定!$B$7*設定!$B$10*(1+設定!$B$11*(設定!$B$12-1)))*AE367^2*(設定!$B$6*(1+設定!$B$13))/(AI367*N367*(1+K367*(L367-1))*AG367),0))</f>
        <v>6341</v>
      </c>
      <c r="AO367" s="65" t="str">
        <f>IF($A367="","",IF(COUNTIF(個性タイプマスタ!$A$5:$A$100,$AM367)&gt;0,"OK","未登録"))</f>
        <v>OK</v>
      </c>
      <c r="AP367" s="67" t="str">
        <f>IF($A367="","",IF(COUNTIF(属性耐性マスタ!$A$5:$A$11,$C367)&gt;0,"OK","未登録"))</f>
        <v>OK</v>
      </c>
    </row>
    <row r="368" spans="1:42">
      <c r="A368" s="66" t="s">
        <v>836</v>
      </c>
      <c r="B368" s="51" t="s">
        <v>837</v>
      </c>
      <c r="C368" s="52" t="s">
        <v>108</v>
      </c>
      <c r="D368" s="53">
        <f>ROUND(設定!$B$5*POWER($D$2,W368-1),2)</f>
        <v>30448.16</v>
      </c>
      <c r="E368" s="54">
        <f>MAX(1,ROUND(設定!$B$6*AE368*Y368,0))</f>
        <v>32275</v>
      </c>
      <c r="F368" s="54">
        <f>MAX(0,ROUND(設定!$B$7*AE368*設定!$B$15*IF(X368="Melee",0.6,1.35)*IFERROR(VLOOKUP($AM368,個性タイプマスタ!$A$5:$P$100,14,FALSE),1),0))</f>
        <v>7769</v>
      </c>
      <c r="G368" s="54">
        <f>IF(X368="Melee",AN368,MAX(1,ROUND(AN368*設定!$B$16*IFERROR(VLOOKUP($AM368,個性タイプマスタ!$A$5:$P$100,15,FALSE),1),0)))</f>
        <v>1565</v>
      </c>
      <c r="H368" s="54">
        <f>IF(X368="Ranged",AN368,MAX(1,ROUND(AN368*設定!$B$16*IFERROR(VLOOKUP($AM368,個性タイプマスタ!$A$5:$P$100,15,FALSE),1),0)))</f>
        <v>5352</v>
      </c>
      <c r="I368" s="54">
        <f>MAX(0,ROUND(設定!$B$8*AE368*Z368,0))</f>
        <v>1876</v>
      </c>
      <c r="J368" s="54">
        <f>MAX(0,ROUND(設定!$B$9*AE368*AA368,0))</f>
        <v>4993</v>
      </c>
      <c r="K368" s="55">
        <f>IFERROR(VLOOKUP($AM368,個性タイプマスタ!$A$5:$P$100,9,FALSE),0.05)</f>
        <v>4.4999999999999998E-2</v>
      </c>
      <c r="L368" s="56">
        <f>IFERROR(VLOOKUP($AM368,個性タイプマスタ!$A$5:$P$100,10,FALSE),1.5)</f>
        <v>1.45</v>
      </c>
      <c r="M368" s="56">
        <f>IFERROR(VLOOKUP($AM368,個性タイプマスタ!$A$5:$P$100,11,FALSE),2)</f>
        <v>1.9</v>
      </c>
      <c r="N368" s="57">
        <f>MAX(0.1,ROUND(設定!$B$10*AB368,3))</f>
        <v>0.84</v>
      </c>
      <c r="O368" s="57">
        <f t="shared" si="20"/>
        <v>2.65</v>
      </c>
      <c r="P368" s="58">
        <f>MAX(-10,MIN(0.8,IFERROR(INDEX(属性耐性マスタ!$B$5:$G$11,MATCH($C368,属性耐性マスタ!$A$5:$A$11,0),1),0)+IFERROR(VLOOKUP($AM368,個性タイプマスタ!$A$5:$P$100,12,FALSE),0)))</f>
        <v>-1.0000000000000009E-2</v>
      </c>
      <c r="Q368" s="58">
        <f>MAX(-10,MIN(0.8,IFERROR(INDEX(属性耐性マスタ!$B$5:$G$11,MATCH($C368,属性耐性マスタ!$A$5:$A$11,0),2),0)+IFERROR(VLOOKUP($AM368,個性タイプマスタ!$A$5:$P$100,12,FALSE),0)))</f>
        <v>0.29000000000000004</v>
      </c>
      <c r="R368" s="58">
        <f>MAX(-10,MIN(0.8,IFERROR(INDEX(属性耐性マスタ!$B$5:$G$11,MATCH($C368,属性耐性マスタ!$A$5:$A$11,0),3),0)+IFERROR(VLOOKUP($AM368,個性タイプマスタ!$A$5:$P$100,12,FALSE),0)))</f>
        <v>0.09</v>
      </c>
      <c r="S368" s="58">
        <f>MAX(-10,MIN(0.8,IFERROR(INDEX(属性耐性マスタ!$B$5:$G$11,MATCH($C368,属性耐性マスタ!$A$5:$A$11,0),4),0)+IFERROR(VLOOKUP($AM368,個性タイプマスタ!$A$5:$P$100,12,FALSE),0)))</f>
        <v>0.09</v>
      </c>
      <c r="T368" s="58">
        <f>MAX(-10,MIN(0.8,IFERROR(INDEX(属性耐性マスタ!$B$5:$G$11,MATCH($C368,属性耐性マスタ!$A$5:$A$11,0),5),0)+IFERROR(VLOOKUP($AM368,個性タイプマスタ!$A$5:$P$100,12,FALSE),0)))</f>
        <v>0.09</v>
      </c>
      <c r="U368" s="58">
        <f>MAX(-10,MIN(0.8,IFERROR(INDEX(属性耐性マスタ!$B$5:$G$11,MATCH($C368,属性耐性マスタ!$A$5:$A$11,0),6),0)+IFERROR(VLOOKUP($AM368,個性タイプマスタ!$A$5:$P$100,12,FALSE),0)))</f>
        <v>0.09</v>
      </c>
      <c r="V368" s="59">
        <f>ROUND(設定!$B$19*IFERROR(VLOOKUP($AM368,個性タイプマスタ!$A$5:$P$100,13,FALSE),1),2)</f>
        <v>4.4000000000000004</v>
      </c>
      <c r="W368" s="59">
        <v>61</v>
      </c>
      <c r="X368" s="59" t="str">
        <f>IFERROR(VLOOKUP($AM368,個性タイプマスタ!$A$5:$P$100,2,FALSE),"Ranged")</f>
        <v>Ranged</v>
      </c>
      <c r="Y368" s="56">
        <f>IFERROR(VLOOKUP($AM368,個性タイプマスタ!$A$5:$P$100,3,FALSE),1)</f>
        <v>1.06</v>
      </c>
      <c r="Z368" s="56">
        <f>IFERROR(VLOOKUP($AM368,個性タイプマスタ!$A$5:$P$100,4,FALSE),1)</f>
        <v>0.77</v>
      </c>
      <c r="AA368" s="56">
        <f>IFERROR(VLOOKUP($AM368,個性タイプマスタ!$A$5:$P$100,5,FALSE),1)</f>
        <v>2.0499999999999998</v>
      </c>
      <c r="AB368" s="56">
        <f>IFERROR(VLOOKUP($AM368,個性タイプマスタ!$A$5:$P$100,6,FALSE),1)</f>
        <v>0.84</v>
      </c>
      <c r="AC368" s="56">
        <f>IFERROR(VLOOKUP($AM368,個性タイプマスタ!$A$5:$P$100,7,FALSE),1)</f>
        <v>1.06</v>
      </c>
      <c r="AD368" s="56">
        <f>IFERROR(VLOOKUP($AM368,個性タイプマスタ!$A$5:$P$100,8,FALSE),1)</f>
        <v>0.82</v>
      </c>
      <c r="AE368" s="60">
        <f>IFERROR(D368/設定!$B$5,1)</f>
        <v>304.48160000000001</v>
      </c>
      <c r="AF368" s="60">
        <f>1+設定!$B$13*((I368/設定!$B$8+J368/設定!$B$9)/(2*AE368))</f>
        <v>1.4229935404963716</v>
      </c>
      <c r="AG368" s="60">
        <f>MAX(0.7,1+設定!$B$14*(O368/IF(X368="Melee",1.5,2.5)-1))</f>
        <v>1.0072000000000001</v>
      </c>
      <c r="AH368" s="53">
        <f t="shared" si="21"/>
        <v>4619.741886144001</v>
      </c>
      <c r="AI368" s="53">
        <f>E368*AF368*(1+設定!$B$18*AVERAGE(P368:U368))</f>
        <v>48131.618112457378</v>
      </c>
      <c r="AJ368" s="61">
        <f>設定!$B$5*SQRT((AH368/(設定!$B$7*設定!$B$10*(1+設定!$B$11*(設定!$B$12-1))))*(AI368/(設定!$B$6*(1+設定!$B$13))))</f>
        <v>30447.681318168172</v>
      </c>
      <c r="AK368" s="62">
        <f t="shared" si="22"/>
        <v>-1.5721207187180397E-5</v>
      </c>
      <c r="AL368" s="63">
        <f t="shared" si="23"/>
        <v>24967.491199999997</v>
      </c>
      <c r="AM368" s="64" t="s">
        <v>926</v>
      </c>
      <c r="AN368" s="54">
        <f>MAX(1,ROUND((設定!$B$7*設定!$B$10*(1+設定!$B$11*(設定!$B$12-1)))*AE368^2*(設定!$B$6*(1+設定!$B$13))/(AI368*N368*(1+K368*(L368-1))*AG368),0))</f>
        <v>5352</v>
      </c>
      <c r="AO368" s="65" t="str">
        <f>IF($A368="","",IF(COUNTIF(個性タイプマスタ!$A$5:$A$100,$AM368)&gt;0,"OK","未登録"))</f>
        <v>OK</v>
      </c>
      <c r="AP368" s="67" t="str">
        <f>IF($A368="","",IF(COUNTIF(属性耐性マスタ!$A$5:$A$11,$C368)&gt;0,"OK","未登録"))</f>
        <v>OK</v>
      </c>
    </row>
    <row r="369" spans="1:42">
      <c r="A369" s="66" t="s">
        <v>838</v>
      </c>
      <c r="B369" s="51" t="s">
        <v>839</v>
      </c>
      <c r="C369" s="52" t="s">
        <v>111</v>
      </c>
      <c r="D369" s="53">
        <f>ROUND(設定!$B$5*POWER($D$2,W369-1),2)</f>
        <v>30448.16</v>
      </c>
      <c r="E369" s="54">
        <f>MAX(1,ROUND(設定!$B$6*AE369*Y369,0))</f>
        <v>23141</v>
      </c>
      <c r="F369" s="54">
        <f>MAX(0,ROUND(設定!$B$7*AE369*設定!$B$15*IF(X369="Melee",0.6,1.35)*IFERROR(VLOOKUP($AM369,個性タイプマスタ!$A$5:$P$100,14,FALSE),1),0))</f>
        <v>1223</v>
      </c>
      <c r="G369" s="54">
        <f>IF(X369="Melee",AN369,MAX(1,ROUND(AN369*設定!$B$16*IFERROR(VLOOKUP($AM369,個性タイプマスタ!$A$5:$P$100,15,FALSE),1),0)))</f>
        <v>7973</v>
      </c>
      <c r="H369" s="54">
        <f>IF(X369="Ranged",AN369,MAX(1,ROUND(AN369*設定!$B$16*IFERROR(VLOOKUP($AM369,個性タイプマスタ!$A$5:$P$100,15,FALSE),1),0)))</f>
        <v>2224</v>
      </c>
      <c r="I369" s="54">
        <f>MAX(0,ROUND(設定!$B$8*AE369*Z369,0))</f>
        <v>1851</v>
      </c>
      <c r="J369" s="54">
        <f>MAX(0,ROUND(設定!$B$9*AE369*AA369,0))</f>
        <v>1705</v>
      </c>
      <c r="K369" s="55">
        <f>IFERROR(VLOOKUP($AM369,個性タイプマスタ!$A$5:$P$100,9,FALSE),0.05)</f>
        <v>9.5000000000000001E-2</v>
      </c>
      <c r="L369" s="56">
        <f>IFERROR(VLOOKUP($AM369,個性タイプマスタ!$A$5:$P$100,10,FALSE),1.5)</f>
        <v>2.4</v>
      </c>
      <c r="M369" s="56">
        <f>IFERROR(VLOOKUP($AM369,個性タイプマスタ!$A$5:$P$100,11,FALSE),2)</f>
        <v>3.35</v>
      </c>
      <c r="N369" s="57">
        <f>MAX(0.1,ROUND(設定!$B$10*AB369,3))</f>
        <v>0.86</v>
      </c>
      <c r="O369" s="57">
        <f t="shared" si="20"/>
        <v>1.9950000000000001</v>
      </c>
      <c r="P369" s="58">
        <f>MAX(-10,MIN(0.8,IFERROR(INDEX(属性耐性マスタ!$B$5:$G$11,MATCH($C369,属性耐性マスタ!$A$5:$A$11,0),1),0)+IFERROR(VLOOKUP($AM369,個性タイプマスタ!$A$5:$P$100,12,FALSE),0)))</f>
        <v>0.13</v>
      </c>
      <c r="Q369" s="58">
        <f>MAX(-10,MIN(0.8,IFERROR(INDEX(属性耐性マスタ!$B$5:$G$11,MATCH($C369,属性耐性マスタ!$A$5:$A$11,0),2),0)+IFERROR(VLOOKUP($AM369,個性タイプマスタ!$A$5:$P$100,12,FALSE),0)))</f>
        <v>-0.17</v>
      </c>
      <c r="R369" s="58">
        <f>MAX(-10,MIN(0.8,IFERROR(INDEX(属性耐性マスタ!$B$5:$G$11,MATCH($C369,属性耐性マスタ!$A$5:$A$11,0),3),0)+IFERROR(VLOOKUP($AM369,個性タイプマスタ!$A$5:$P$100,12,FALSE),0)))</f>
        <v>-7.0000000000000007E-2</v>
      </c>
      <c r="S369" s="58">
        <f>MAX(-10,MIN(0.8,IFERROR(INDEX(属性耐性マスタ!$B$5:$G$11,MATCH($C369,属性耐性マスタ!$A$5:$A$11,0),4),0)+IFERROR(VLOOKUP($AM369,個性タイプマスタ!$A$5:$P$100,12,FALSE),0)))</f>
        <v>-7.0000000000000007E-2</v>
      </c>
      <c r="T369" s="58">
        <f>MAX(-10,MIN(0.8,IFERROR(INDEX(属性耐性マスタ!$B$5:$G$11,MATCH($C369,属性耐性マスタ!$A$5:$A$11,0),5),0)+IFERROR(VLOOKUP($AM369,個性タイプマスタ!$A$5:$P$100,12,FALSE),0)))</f>
        <v>-7.0000000000000007E-2</v>
      </c>
      <c r="U369" s="58">
        <f>MAX(-10,MIN(0.8,IFERROR(INDEX(属性耐性マスタ!$B$5:$G$11,MATCH($C369,属性耐性マスタ!$A$5:$A$11,0),6),0)+IFERROR(VLOOKUP($AM369,個性タイプマスタ!$A$5:$P$100,12,FALSE),0)))</f>
        <v>-7.0000000000000007E-2</v>
      </c>
      <c r="V369" s="59">
        <f>ROUND(設定!$B$19*IFERROR(VLOOKUP($AM369,個性タイプマスタ!$A$5:$P$100,13,FALSE),1),2)</f>
        <v>4.5999999999999996</v>
      </c>
      <c r="W369" s="59">
        <v>61</v>
      </c>
      <c r="X369" s="59" t="str">
        <f>IFERROR(VLOOKUP($AM369,個性タイプマスタ!$A$5:$P$100,2,FALSE),"Ranged")</f>
        <v>Melee</v>
      </c>
      <c r="Y369" s="56">
        <f>IFERROR(VLOOKUP($AM369,個性タイプマスタ!$A$5:$P$100,3,FALSE),1)</f>
        <v>0.76</v>
      </c>
      <c r="Z369" s="56">
        <f>IFERROR(VLOOKUP($AM369,個性タイプマスタ!$A$5:$P$100,4,FALSE),1)</f>
        <v>0.76</v>
      </c>
      <c r="AA369" s="56">
        <f>IFERROR(VLOOKUP($AM369,個性タイプマスタ!$A$5:$P$100,5,FALSE),1)</f>
        <v>0.7</v>
      </c>
      <c r="AB369" s="56">
        <f>IFERROR(VLOOKUP($AM369,個性タイプマスタ!$A$5:$P$100,6,FALSE),1)</f>
        <v>0.86</v>
      </c>
      <c r="AC369" s="56">
        <f>IFERROR(VLOOKUP($AM369,個性タイプマスタ!$A$5:$P$100,7,FALSE),1)</f>
        <v>1.33</v>
      </c>
      <c r="AD369" s="56">
        <f>IFERROR(VLOOKUP($AM369,個性タイプマスタ!$A$5:$P$100,8,FALSE),1)</f>
        <v>0.64</v>
      </c>
      <c r="AE369" s="60">
        <f>IFERROR(D369/設定!$B$5,1)</f>
        <v>304.48160000000001</v>
      </c>
      <c r="AF369" s="60">
        <f>1+設定!$B$13*((I369/設定!$B$8+J369/設定!$B$9)/(2*AE369))</f>
        <v>1.218978749454811</v>
      </c>
      <c r="AG369" s="60">
        <f>MAX(0.7,1+設定!$B$14*(O369/IF(X369="Melee",1.5,2.5)-1))</f>
        <v>1.0396000000000001</v>
      </c>
      <c r="AH369" s="53">
        <f t="shared" si="21"/>
        <v>8076.373516904001</v>
      </c>
      <c r="AI369" s="53">
        <f>E369*AF369*(1+設定!$B$18*AVERAGE(P369:U369))</f>
        <v>27531.385947346567</v>
      </c>
      <c r="AJ369" s="61">
        <f>設定!$B$5*SQRT((AH369/(設定!$B$7*設定!$B$10*(1+設定!$B$11*(設定!$B$12-1))))*(AI369/(設定!$B$6*(1+設定!$B$13))))</f>
        <v>30447.551513339185</v>
      </c>
      <c r="AK369" s="62">
        <f t="shared" si="22"/>
        <v>-1.9984349163060244E-5</v>
      </c>
      <c r="AL369" s="63">
        <f t="shared" si="23"/>
        <v>19486.822400000001</v>
      </c>
      <c r="AM369" s="64" t="s">
        <v>978</v>
      </c>
      <c r="AN369" s="54">
        <f>MAX(1,ROUND((設定!$B$7*設定!$B$10*(1+設定!$B$11*(設定!$B$12-1)))*AE369^2*(設定!$B$6*(1+設定!$B$13))/(AI369*N369*(1+K369*(L369-1))*AG369),0))</f>
        <v>7973</v>
      </c>
      <c r="AO369" s="65" t="str">
        <f>IF($A369="","",IF(COUNTIF(個性タイプマスタ!$A$5:$A$100,$AM369)&gt;0,"OK","未登録"))</f>
        <v>OK</v>
      </c>
      <c r="AP369" s="67" t="str">
        <f>IF($A369="","",IF(COUNTIF(属性耐性マスタ!$A$5:$A$11,$C369)&gt;0,"OK","未登録"))</f>
        <v>OK</v>
      </c>
    </row>
    <row r="370" spans="1:42" ht="15" thickBot="1">
      <c r="A370" s="68" t="s">
        <v>840</v>
      </c>
      <c r="B370" s="69" t="s">
        <v>841</v>
      </c>
      <c r="C370" s="70" t="s">
        <v>114</v>
      </c>
      <c r="D370" s="71">
        <f>ROUND(設定!$B$5*POWER($D$2,W370-1),2)</f>
        <v>30448.16</v>
      </c>
      <c r="E370" s="72">
        <f>MAX(1,ROUND(設定!$B$6*AE370*Y370,0))</f>
        <v>30448</v>
      </c>
      <c r="F370" s="72">
        <f>MAX(0,ROUND(設定!$B$7*AE370*設定!$B$15*IF(X370="Melee",0.6,1.35)*IFERROR(VLOOKUP($AM370,個性タイプマスタ!$A$5:$P$100,14,FALSE),1),0))</f>
        <v>6437</v>
      </c>
      <c r="G370" s="72">
        <f>IF(X370="Melee",AN370,MAX(1,ROUND(AN370*設定!$B$16*IFERROR(VLOOKUP($AM370,個性タイプマスタ!$A$5:$P$100,15,FALSE),1),0)))</f>
        <v>2444</v>
      </c>
      <c r="H370" s="72">
        <f>IF(X370="Ranged",AN370,MAX(1,ROUND(AN370*設定!$B$16*IFERROR(VLOOKUP($AM370,個性タイプマスタ!$A$5:$P$100,15,FALSE),1),0)))</f>
        <v>5431</v>
      </c>
      <c r="I370" s="72">
        <f>MAX(0,ROUND(設定!$B$8*AE370*Z370,0))</f>
        <v>2436</v>
      </c>
      <c r="J370" s="72">
        <f>MAX(0,ROUND(設定!$B$9*AE370*AA370,0))</f>
        <v>2923</v>
      </c>
      <c r="K370" s="73">
        <f>IFERROR(VLOOKUP($AM370,個性タイプマスタ!$A$5:$P$100,9,FALSE),0.05)</f>
        <v>0.06</v>
      </c>
      <c r="L370" s="74">
        <f>IFERROR(VLOOKUP($AM370,個性タイプマスタ!$A$5:$P$100,10,FALSE),1.5)</f>
        <v>1.4</v>
      </c>
      <c r="M370" s="74">
        <f>IFERROR(VLOOKUP($AM370,個性タイプマスタ!$A$5:$P$100,11,FALSE),2)</f>
        <v>2.1</v>
      </c>
      <c r="N370" s="75">
        <f>MAX(0.1,ROUND(設定!$B$10*AB370,3))</f>
        <v>0.95</v>
      </c>
      <c r="O370" s="75">
        <f t="shared" si="20"/>
        <v>2.875</v>
      </c>
      <c r="P370" s="76">
        <f>MAX(-10,MIN(0.8,IFERROR(INDEX(属性耐性マスタ!$B$5:$G$11,MATCH($C370,属性耐性マスタ!$A$5:$A$11,0),1),0)+IFERROR(VLOOKUP($AM370,個性タイプマスタ!$A$5:$P$100,12,FALSE),0)))</f>
        <v>0.03</v>
      </c>
      <c r="Q370" s="76">
        <f>MAX(-10,MIN(0.8,IFERROR(INDEX(属性耐性マスタ!$B$5:$G$11,MATCH($C370,属性耐性マスタ!$A$5:$A$11,0),2),0)+IFERROR(VLOOKUP($AM370,個性タイプマスタ!$A$5:$P$100,12,FALSE),0)))</f>
        <v>0.03</v>
      </c>
      <c r="R370" s="76">
        <f>MAX(-10,MIN(0.8,IFERROR(INDEX(属性耐性マスタ!$B$5:$G$11,MATCH($C370,属性耐性マスタ!$A$5:$A$11,0),3),0)+IFERROR(VLOOKUP($AM370,個性タイプマスタ!$A$5:$P$100,12,FALSE),0)))</f>
        <v>0.23</v>
      </c>
      <c r="S370" s="76">
        <f>MAX(-10,MIN(0.8,IFERROR(INDEX(属性耐性マスタ!$B$5:$G$11,MATCH($C370,属性耐性マスタ!$A$5:$A$11,0),4),0)+IFERROR(VLOOKUP($AM370,個性タイプマスタ!$A$5:$P$100,12,FALSE),0)))</f>
        <v>-7.0000000000000007E-2</v>
      </c>
      <c r="T370" s="76">
        <f>MAX(-10,MIN(0.8,IFERROR(INDEX(属性耐性マスタ!$B$5:$G$11,MATCH($C370,属性耐性マスタ!$A$5:$A$11,0),5),0)+IFERROR(VLOOKUP($AM370,個性タイプマスタ!$A$5:$P$100,12,FALSE),0)))</f>
        <v>0.03</v>
      </c>
      <c r="U370" s="76">
        <f>MAX(-10,MIN(0.8,IFERROR(INDEX(属性耐性マスタ!$B$5:$G$11,MATCH($C370,属性耐性マスタ!$A$5:$A$11,0),6),0)+IFERROR(VLOOKUP($AM370,個性タイプマスタ!$A$5:$P$100,12,FALSE),0)))</f>
        <v>0.03</v>
      </c>
      <c r="V370" s="77">
        <f>ROUND(設定!$B$19*IFERROR(VLOOKUP($AM370,個性タイプマスタ!$A$5:$P$100,13,FALSE),1),2)</f>
        <v>4.8</v>
      </c>
      <c r="W370" s="77">
        <v>61</v>
      </c>
      <c r="X370" s="77" t="str">
        <f>IFERROR(VLOOKUP($AM370,個性タイプマスタ!$A$5:$P$100,2,FALSE),"Ranged")</f>
        <v>Ranged</v>
      </c>
      <c r="Y370" s="74">
        <f>IFERROR(VLOOKUP($AM370,個性タイプマスタ!$A$5:$P$100,3,FALSE),1)</f>
        <v>1</v>
      </c>
      <c r="Z370" s="74">
        <f>IFERROR(VLOOKUP($AM370,個性タイプマスタ!$A$5:$P$100,4,FALSE),1)</f>
        <v>1</v>
      </c>
      <c r="AA370" s="74">
        <f>IFERROR(VLOOKUP($AM370,個性タイプマスタ!$A$5:$P$100,5,FALSE),1)</f>
        <v>1.2</v>
      </c>
      <c r="AB370" s="74">
        <f>IFERROR(VLOOKUP($AM370,個性タイプマスタ!$A$5:$P$100,6,FALSE),1)</f>
        <v>0.95</v>
      </c>
      <c r="AC370" s="74">
        <f>IFERROR(VLOOKUP($AM370,個性タイプマスタ!$A$5:$P$100,7,FALSE),1)</f>
        <v>1.1499999999999999</v>
      </c>
      <c r="AD370" s="74">
        <f>IFERROR(VLOOKUP($AM370,個性タイプマスタ!$A$5:$P$100,8,FALSE),1)</f>
        <v>0.84</v>
      </c>
      <c r="AE370" s="78">
        <f>IFERROR(D370/設定!$B$5,1)</f>
        <v>304.48160000000001</v>
      </c>
      <c r="AF370" s="78">
        <f>1+設定!$B$13*((I370/設定!$B$8+J370/設定!$B$9)/(2*AE370))</f>
        <v>1.3300076260765838</v>
      </c>
      <c r="AG370" s="78">
        <f>MAX(0.7,1+設定!$B$14*(O370/IF(X370="Melee",1.5,2.5)-1))</f>
        <v>1.018</v>
      </c>
      <c r="AH370" s="71">
        <f t="shared" si="21"/>
        <v>5378.3757823999995</v>
      </c>
      <c r="AI370" s="71">
        <f>E370*AF370*(1+設定!$B$18*AVERAGE(P370:U370))</f>
        <v>41346.489714954194</v>
      </c>
      <c r="AJ370" s="79">
        <f>設定!$B$5*SQRT((AH370/(設定!$B$7*設定!$B$10*(1+設定!$B$11*(設定!$B$12-1))))*(AI370/(設定!$B$6*(1+設定!$B$13))))</f>
        <v>30449.140073369439</v>
      </c>
      <c r="AK370" s="80">
        <f t="shared" si="22"/>
        <v>3.2188262589327721E-5</v>
      </c>
      <c r="AL370" s="81">
        <f t="shared" si="23"/>
        <v>25576.454399999999</v>
      </c>
      <c r="AM370" s="82" t="s">
        <v>898</v>
      </c>
      <c r="AN370" s="72">
        <f>MAX(1,ROUND((設定!$B$7*設定!$B$10*(1+設定!$B$11*(設定!$B$12-1)))*AE370^2*(設定!$B$6*(1+設定!$B$13))/(AI370*N370*(1+K370*(L370-1))*AG370),0))</f>
        <v>5431</v>
      </c>
      <c r="AO370" s="83" t="str">
        <f>IF($A370="","",IF(COUNTIF(個性タイプマスタ!$A$5:$A$100,$AM370)&gt;0,"OK","未登録"))</f>
        <v>OK</v>
      </c>
      <c r="AP370" s="84" t="str">
        <f>IF($A370="","",IF(COUNTIF(属性耐性マスタ!$A$5:$A$11,$C370)&gt;0,"OK","未登録"))</f>
        <v>OK</v>
      </c>
    </row>
  </sheetData>
  <mergeCells count="1">
    <mergeCell ref="A1:H1"/>
  </mergeCells>
  <phoneticPr fontId="20"/>
  <conditionalFormatting sqref="AK5:AK370">
    <cfRule type="cellIs" dxfId="2" priority="1" operator="greaterThan">
      <formula>0.05</formula>
    </cfRule>
    <cfRule type="cellIs" dxfId="1" priority="2" operator="lessThan">
      <formula>-0.05</formula>
    </cfRule>
  </conditionalFormatting>
  <dataValidations count="2">
    <dataValidation type="list" sqref="C5:C370" xr:uid="{00000000-0002-0000-0200-000001000000}">
      <formula1>INDIRECT("'属性耐性マスタ'!$A$5:$A$11")</formula1>
    </dataValidation>
    <dataValidation type="list" allowBlank="1" showInputMessage="1" showErrorMessage="1" sqref="AM5:AM370" xr:uid="{A0C9701B-4409-4D83-B288-A684054BA3D1}">
      <formula1>INDIRECT("'個性タイプマスタ'!$A$5:$A$100")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pane ySplit="4" topLeftCell="A5" activePane="bottomLeft" state="frozen"/>
      <selection pane="bottomLeft" activeCell="D25" sqref="D25"/>
    </sheetView>
  </sheetViews>
  <sheetFormatPr defaultRowHeight="14.25"/>
  <cols>
    <col min="1" max="1" width="12" customWidth="1"/>
    <col min="2" max="7" width="20" customWidth="1"/>
  </cols>
  <sheetData>
    <row r="1" spans="1:7" ht="33.950000000000003" customHeight="1">
      <c r="A1" s="110" t="s">
        <v>842</v>
      </c>
      <c r="B1" s="110"/>
      <c r="C1" s="110"/>
      <c r="D1" s="110"/>
      <c r="E1" s="110"/>
      <c r="F1" s="110"/>
      <c r="G1" s="110"/>
    </row>
    <row r="2" spans="1:7" ht="24.95" customHeight="1">
      <c r="A2" s="11" t="s">
        <v>843</v>
      </c>
      <c r="B2" s="11"/>
      <c r="C2" s="11"/>
      <c r="D2" s="11"/>
      <c r="E2" s="11"/>
      <c r="F2" s="11"/>
      <c r="G2" s="11"/>
    </row>
    <row r="4" spans="1:7" ht="33.950000000000003" customHeight="1">
      <c r="A4" s="1" t="s">
        <v>844</v>
      </c>
      <c r="B4" s="1" t="s">
        <v>845</v>
      </c>
      <c r="C4" s="1" t="s">
        <v>846</v>
      </c>
      <c r="D4" s="1" t="s">
        <v>847</v>
      </c>
      <c r="E4" s="1" t="s">
        <v>848</v>
      </c>
      <c r="F4" s="1" t="s">
        <v>849</v>
      </c>
      <c r="G4" s="1" t="s">
        <v>850</v>
      </c>
    </row>
    <row r="5" spans="1:7" ht="15">
      <c r="A5" s="6">
        <v>1</v>
      </c>
      <c r="B5" s="13">
        <f>モンスター計算!D5</f>
        <v>100</v>
      </c>
      <c r="C5" s="13">
        <f>AVERAGE(モンスター計算!AJ5:AJ10)</f>
        <v>98.968371363078901</v>
      </c>
      <c r="D5" s="15">
        <f>MIN(モンスター計算!AJ5:AJ10)</f>
        <v>98.539831963976795</v>
      </c>
      <c r="E5" s="15">
        <f>MAX(モンスター計算!AJ5:AJ10)</f>
        <v>99.311904793739032</v>
      </c>
      <c r="F5" s="14">
        <f>MAX(ABS(モンスター計算!AK5),ABS(モンスター計算!AK6),ABS(モンスター計算!AK7),ABS(モンスター計算!AK8),ABS(モンスター計算!AK9),ABS(モンスター計算!AK10))</f>
        <v>1.4601680360232017E-2</v>
      </c>
      <c r="G5" s="15">
        <f>AVERAGE(モンスター計算!AL5:AL10)</f>
        <v>78.166666666666671</v>
      </c>
    </row>
    <row r="6" spans="1:7" ht="15">
      <c r="A6" s="6">
        <v>2</v>
      </c>
      <c r="B6" s="13">
        <f>モンスター計算!D11</f>
        <v>110</v>
      </c>
      <c r="C6" s="13">
        <f>AVERAGE(モンスター計算!AJ11:AJ16)</f>
        <v>109.5949224344223</v>
      </c>
      <c r="D6" s="15">
        <f>MIN(モンスター計算!AJ11:AJ16)</f>
        <v>108.69297860172473</v>
      </c>
      <c r="E6" s="15">
        <f>MAX(モンスター計算!AJ11:AJ16)</f>
        <v>111.20844649410526</v>
      </c>
      <c r="F6" s="14">
        <f>MAX(ABS(モンスター計算!AK11),ABS(モンスター計算!AK12),ABS(モンスター計算!AK13),ABS(モンスター計算!AK14),ABS(モンスター計算!AK15),ABS(モンスター計算!AK16))</f>
        <v>1.1882012711593393E-2</v>
      </c>
      <c r="G6" s="15">
        <f>AVERAGE(モンスター計算!AL11:AL16)</f>
        <v>87.816666666666663</v>
      </c>
    </row>
    <row r="7" spans="1:7" ht="15">
      <c r="A7" s="6">
        <v>3</v>
      </c>
      <c r="B7" s="13">
        <f>モンスター計算!D17</f>
        <v>121</v>
      </c>
      <c r="C7" s="13">
        <f>AVERAGE(モンスター計算!AJ17:AJ22)</f>
        <v>120.93502719613498</v>
      </c>
      <c r="D7" s="15">
        <f>MIN(モンスター計算!AJ17:AJ22)</f>
        <v>119.9937451222853</v>
      </c>
      <c r="E7" s="15">
        <f>MAX(モンスター計算!AJ17:AJ22)</f>
        <v>121.82593227281733</v>
      </c>
      <c r="F7" s="14">
        <f>MAX(ABS(モンスター計算!AK17),ABS(モンスター計算!AK18),ABS(モンスター計算!AK19),ABS(モンスター計算!AK20),ABS(モンスター計算!AK21),ABS(モンスター計算!AK22))</f>
        <v>8.3161560141710167E-3</v>
      </c>
      <c r="G7" s="15">
        <f>AVERAGE(モンスター計算!AL17:AL22)</f>
        <v>99.825000000000003</v>
      </c>
    </row>
    <row r="8" spans="1:7" ht="15">
      <c r="A8" s="6">
        <v>4</v>
      </c>
      <c r="B8" s="13">
        <f>モンスター計算!D23</f>
        <v>133.1</v>
      </c>
      <c r="C8" s="13">
        <f>AVERAGE(モンスター計算!AJ23:AJ28)</f>
        <v>133.42639272276691</v>
      </c>
      <c r="D8" s="15">
        <f>MIN(モンスター計算!AJ23:AJ28)</f>
        <v>132.52813582149437</v>
      </c>
      <c r="E8" s="15">
        <f>MAX(モンスター計算!AJ23:AJ28)</f>
        <v>134.98191996941475</v>
      </c>
      <c r="F8" s="14">
        <f>MAX(ABS(モンスター計算!AK23),ABS(モンスター計算!AK24),ABS(モンスター計算!AK25),ABS(モンスター計算!AK26),ABS(モンスター計算!AK27),ABS(モンスター計算!AK28))</f>
        <v>1.4139143271335586E-2</v>
      </c>
      <c r="G8" s="15">
        <f>AVERAGE(モンスター計算!AL23:AL28)</f>
        <v>104.03983333333333</v>
      </c>
    </row>
    <row r="9" spans="1:7" ht="15">
      <c r="A9" s="6">
        <v>5</v>
      </c>
      <c r="B9" s="13">
        <f>モンスター計算!D29</f>
        <v>146.41</v>
      </c>
      <c r="C9" s="13">
        <f>AVERAGE(モンスター計算!AJ29:AJ34)</f>
        <v>146.45583804757527</v>
      </c>
      <c r="D9" s="15">
        <f>MIN(モンスター計算!AJ29:AJ34)</f>
        <v>145.44020088203317</v>
      </c>
      <c r="E9" s="15">
        <f>MAX(モンスター計算!AJ29:AJ34)</f>
        <v>147.04752978127837</v>
      </c>
      <c r="F9" s="14">
        <f>MAX(ABS(モンスター計算!AK29),ABS(モンスター計算!AK30),ABS(モンスター計算!AK31),ABS(モンスター計算!AK32),ABS(モンスター計算!AK33),ABS(モンスター計算!AK34))</f>
        <v>6.6238584657252186E-3</v>
      </c>
      <c r="G9" s="15">
        <f>AVERAGE(モンスター計算!AL29:AL34)</f>
        <v>111.27159999999999</v>
      </c>
    </row>
    <row r="10" spans="1:7" ht="15">
      <c r="A10" s="6">
        <v>6</v>
      </c>
      <c r="B10" s="13">
        <f>モンスター計算!D35</f>
        <v>161.05000000000001</v>
      </c>
      <c r="C10" s="13">
        <f>AVERAGE(モンスター計算!AJ35:AJ40)</f>
        <v>161.13475323577839</v>
      </c>
      <c r="D10" s="15">
        <f>MIN(モンスター計算!AJ35:AJ40)</f>
        <v>160.02681608292653</v>
      </c>
      <c r="E10" s="15">
        <f>MAX(モンスター計算!AJ35:AJ40)</f>
        <v>162.14769169947073</v>
      </c>
      <c r="F10" s="14">
        <f>MAX(ABS(モンスター計算!AK35),ABS(モンスター計算!AK36),ABS(モンスター計算!AK37),ABS(モンスター計算!AK38),ABS(モンスター計算!AK39),ABS(モンスター計算!AK40))</f>
        <v>6.8158441444936546E-3</v>
      </c>
      <c r="G10" s="15">
        <f>AVERAGE(モンスター計算!AL35:AL40)</f>
        <v>128.84</v>
      </c>
    </row>
    <row r="11" spans="1:7" ht="15">
      <c r="A11" s="6">
        <v>7</v>
      </c>
      <c r="B11" s="13">
        <f>モンスター計算!D41</f>
        <v>177.16</v>
      </c>
      <c r="C11" s="13">
        <f>AVERAGE(モンスター計算!AJ41:AJ46)</f>
        <v>177.48186042439644</v>
      </c>
      <c r="D11" s="15">
        <f>MIN(モンスター計算!AJ41:AJ46)</f>
        <v>176.12627632692465</v>
      </c>
      <c r="E11" s="15">
        <f>MAX(モンスター計算!AJ41:AJ46)</f>
        <v>178.47208680414985</v>
      </c>
      <c r="F11" s="14">
        <f>MAX(ABS(モンスター計算!AK41),ABS(モンスター計算!AK42),ABS(モンスター計算!AK43),ABS(モンスター計算!AK44),ABS(モンスター計算!AK45),ABS(モンスター計算!AK46))</f>
        <v>7.406224904887404E-3</v>
      </c>
      <c r="G11" s="15">
        <f>AVERAGE(モンスター計算!AL41:AL46)</f>
        <v>130.50786666666667</v>
      </c>
    </row>
    <row r="12" spans="1:7" ht="15">
      <c r="A12" s="6">
        <v>8</v>
      </c>
      <c r="B12" s="13">
        <f>モンスター計算!D47</f>
        <v>194.87</v>
      </c>
      <c r="C12" s="13">
        <f>AVERAGE(モンスター計算!AJ47:AJ52)</f>
        <v>195.16035056561032</v>
      </c>
      <c r="D12" s="15">
        <f>MIN(モンスター計算!AJ47:AJ52)</f>
        <v>194.37636901037604</v>
      </c>
      <c r="E12" s="15">
        <f>MAX(モンスター計算!AJ47:AJ52)</f>
        <v>196.15203858450275</v>
      </c>
      <c r="F12" s="14">
        <f>MAX(ABS(モンスター計算!AK47),ABS(モンスター計算!AK48),ABS(モンスター計算!AK49),ABS(モンスター計算!AK50),ABS(モンスター計算!AK51),ABS(モンスター計算!AK52))</f>
        <v>6.5789428054741084E-3</v>
      </c>
      <c r="G12" s="15">
        <f>AVERAGE(モンスター計算!AL47:AL52)</f>
        <v>147.12685000000002</v>
      </c>
    </row>
    <row r="13" spans="1:7" ht="15">
      <c r="A13" s="6">
        <v>9</v>
      </c>
      <c r="B13" s="13">
        <f>モンスター計算!D53</f>
        <v>214.36</v>
      </c>
      <c r="C13" s="13">
        <f>AVERAGE(モンスター計算!AJ53:AJ58)</f>
        <v>214.46186676393924</v>
      </c>
      <c r="D13" s="15">
        <f>MIN(モンスター計算!AJ53:AJ58)</f>
        <v>212.85453232532689</v>
      </c>
      <c r="E13" s="15">
        <f>MAX(モンスター計算!AJ53:AJ58)</f>
        <v>215.14492643772601</v>
      </c>
      <c r="F13" s="14">
        <f>MAX(ABS(モンスター計算!AK53),ABS(モンスター計算!AK54),ABS(モンスター計算!AK55),ABS(モンスター計算!AK56),ABS(モンスター計算!AK57),ABS(モンスター計算!AK58))</f>
        <v>7.0230811470103349E-3</v>
      </c>
      <c r="G13" s="15">
        <f>AVERAGE(モンスター計算!AL53:AL58)</f>
        <v>169.34440000000001</v>
      </c>
    </row>
    <row r="14" spans="1:7" ht="15">
      <c r="A14" s="6">
        <v>10</v>
      </c>
      <c r="B14" s="13">
        <f>モンスター計算!D59</f>
        <v>235.79</v>
      </c>
      <c r="C14" s="13">
        <f>AVERAGE(モンスター計算!AJ59:AJ64)</f>
        <v>235.39628467963101</v>
      </c>
      <c r="D14" s="15">
        <f>MIN(モンスター計算!AJ59:AJ64)</f>
        <v>233.96259229399945</v>
      </c>
      <c r="E14" s="15">
        <f>MAX(モンスター計算!AJ59:AJ64)</f>
        <v>236.80902297278385</v>
      </c>
      <c r="F14" s="14">
        <f>MAX(ABS(モンスター計算!AK59),ABS(モンスター計算!AK60),ABS(モンスター計算!AK61),ABS(モンスター計算!AK62),ABS(モンスター計算!AK63),ABS(モンスター計算!AK64))</f>
        <v>7.7501493108297348E-3</v>
      </c>
      <c r="G14" s="15">
        <f>AVERAGE(モンスター計算!AL59:AL64)</f>
        <v>172.1267</v>
      </c>
    </row>
    <row r="15" spans="1:7" ht="15">
      <c r="A15" s="6">
        <v>11</v>
      </c>
      <c r="B15" s="13">
        <f>モンスター計算!D65</f>
        <v>259.37</v>
      </c>
      <c r="C15" s="13">
        <f>AVERAGE(モンスター計算!AJ65:AJ70)</f>
        <v>259.74542870696985</v>
      </c>
      <c r="D15" s="15">
        <f>MIN(モンスター計算!AJ65:AJ70)</f>
        <v>258.7003637731334</v>
      </c>
      <c r="E15" s="15">
        <f>MAX(モンスター計算!AJ65:AJ70)</f>
        <v>260.64689900849089</v>
      </c>
      <c r="F15" s="14">
        <f>MAX(ABS(モンスター計算!AK65),ABS(モンスター計算!AK66),ABS(モンスター計算!AK67),ABS(モンスター計算!AK68),ABS(モンスター計算!AK69),ABS(モンスター計算!AK70))</f>
        <v>4.9230790318497419E-3</v>
      </c>
      <c r="G15" s="15">
        <f>AVERAGE(モンスター計算!AL65:AL70)</f>
        <v>207.06371666666666</v>
      </c>
    </row>
    <row r="16" spans="1:7" ht="15">
      <c r="A16" s="6">
        <v>12</v>
      </c>
      <c r="B16" s="13">
        <f>モンスター計算!D71</f>
        <v>285.31</v>
      </c>
      <c r="C16" s="13">
        <f>AVERAGE(モンスター計算!AJ71:AJ76)</f>
        <v>285.78663937851627</v>
      </c>
      <c r="D16" s="15">
        <f>MIN(モンスター計算!AJ71:AJ76)</f>
        <v>284.40997216479917</v>
      </c>
      <c r="E16" s="15">
        <f>MAX(モンスター計算!AJ71:AJ76)</f>
        <v>286.62182522586568</v>
      </c>
      <c r="F16" s="14">
        <f>MAX(ABS(モンスター計算!AK71),ABS(モンスター計算!AK72),ABS(モンスター計算!AK73),ABS(モンスター計算!AK74),ABS(モンスター計算!AK75),ABS(モンスター計算!AK76))</f>
        <v>4.5978943109798998E-3</v>
      </c>
      <c r="G16" s="15">
        <f>AVERAGE(モンスター計算!AL71:AL76)</f>
        <v>227.29696666666666</v>
      </c>
    </row>
    <row r="17" spans="1:7" ht="15">
      <c r="A17" s="6">
        <v>13</v>
      </c>
      <c r="B17" s="13">
        <f>モンスター計算!D77</f>
        <v>313.83999999999997</v>
      </c>
      <c r="C17" s="13">
        <f>AVERAGE(モンスター計算!AJ77:AJ82)</f>
        <v>314.0502880095305</v>
      </c>
      <c r="D17" s="15">
        <f>MIN(モンスター計算!AJ77:AJ82)</f>
        <v>313.07326635044825</v>
      </c>
      <c r="E17" s="15">
        <f>MAX(モンスター計算!AJ77:AJ82)</f>
        <v>315.22067638278094</v>
      </c>
      <c r="F17" s="14">
        <f>MAX(ABS(モンスター計算!AK77),ABS(モンスター計算!AK78),ABS(モンスター計算!AK79),ABS(モンスター計算!AK80),ABS(モンスター計算!AK81),ABS(モンスター計算!AK82))</f>
        <v>4.3993002255320324E-3</v>
      </c>
      <c r="G17" s="15">
        <f>AVERAGE(モンスター計算!AL77:AL82)</f>
        <v>225.9648</v>
      </c>
    </row>
    <row r="18" spans="1:7" ht="15">
      <c r="A18" s="6">
        <v>14</v>
      </c>
      <c r="B18" s="13">
        <f>モンスター計算!D83</f>
        <v>345.23</v>
      </c>
      <c r="C18" s="13">
        <f>AVERAGE(モンスター計算!AJ83:AJ88)</f>
        <v>345.96815770596078</v>
      </c>
      <c r="D18" s="15">
        <f>MIN(モンスター計算!AJ83:AJ88)</f>
        <v>344.58314674554157</v>
      </c>
      <c r="E18" s="15">
        <f>MAX(モンスター計算!AJ83:AJ88)</f>
        <v>346.88338579286278</v>
      </c>
      <c r="F18" s="14">
        <f>MAX(ABS(モンスター計算!AK83),ABS(モンスター計算!AK84),ABS(モンスター計算!AK85),ABS(モンスター計算!AK86),ABS(モンスター計算!AK87),ABS(モンスター計算!AK88))</f>
        <v>4.7892297681626506E-3</v>
      </c>
      <c r="G18" s="15">
        <f>AVERAGE(モンスター計算!AL83:AL88)</f>
        <v>272.15631666666673</v>
      </c>
    </row>
    <row r="19" spans="1:7" ht="15">
      <c r="A19" s="6">
        <v>15</v>
      </c>
      <c r="B19" s="13">
        <f>モンスター計算!D89</f>
        <v>379.75</v>
      </c>
      <c r="C19" s="13">
        <f>AVERAGE(モンスター計算!AJ89:AJ94)</f>
        <v>379.67802196676433</v>
      </c>
      <c r="D19" s="15">
        <f>MIN(モンスター計算!AJ89:AJ94)</f>
        <v>378.7565084055135</v>
      </c>
      <c r="E19" s="15">
        <f>MAX(モンスター計算!AJ89:AJ94)</f>
        <v>380.40503585450034</v>
      </c>
      <c r="F19" s="14">
        <f>MAX(ABS(モンスター計算!AK89),ABS(モンスター計算!AK90),ABS(モンスター計算!AK91),ABS(モンスター計算!AK92),ABS(モンスター計算!AK93),ABS(モンスター計算!AK94))</f>
        <v>2.6161727307083549E-3</v>
      </c>
      <c r="G19" s="15">
        <f>AVERAGE(モンスター計算!AL89:AL94)</f>
        <v>276.58458333333334</v>
      </c>
    </row>
    <row r="20" spans="1:7" ht="15">
      <c r="A20" s="6">
        <v>16</v>
      </c>
      <c r="B20" s="13">
        <f>モンスター計算!D95</f>
        <v>417.72</v>
      </c>
      <c r="C20" s="13">
        <f>AVERAGE(モンスター計算!AJ95:AJ100)</f>
        <v>417.22389035636746</v>
      </c>
      <c r="D20" s="15">
        <f>MIN(モンスター計算!AJ95:AJ100)</f>
        <v>416.50408954876991</v>
      </c>
      <c r="E20" s="15">
        <f>MAX(モンスター計算!AJ95:AJ100)</f>
        <v>418.14365215492774</v>
      </c>
      <c r="F20" s="14">
        <f>MAX(ABS(モンスター計算!AK95),ABS(モンスター計算!AK96),ABS(モンスター計算!AK97),ABS(モンスター計算!AK98),ABS(モンスター計算!AK99),ABS(モンスター計算!AK100))</f>
        <v>2.9108265135260325E-3</v>
      </c>
      <c r="G20" s="15">
        <f>AVERAGE(モンスター計算!AL95:AL100)</f>
        <v>276.39140000000003</v>
      </c>
    </row>
    <row r="21" spans="1:7" ht="15">
      <c r="A21" s="6">
        <v>17</v>
      </c>
      <c r="B21" s="13">
        <f>モンスター計算!D101</f>
        <v>459.5</v>
      </c>
      <c r="C21" s="13">
        <f>AVERAGE(モンスター計算!AJ101:AJ106)</f>
        <v>459.9536996185065</v>
      </c>
      <c r="D21" s="15">
        <f>MIN(モンスター計算!AJ101:AJ106)</f>
        <v>458.35816530296017</v>
      </c>
      <c r="E21" s="15">
        <f>MAX(モンスター計算!AJ101:AJ106)</f>
        <v>461.62891995886667</v>
      </c>
      <c r="F21" s="14">
        <f>MAX(ABS(モンスター計算!AK101),ABS(モンスター計算!AK102),ABS(モンスター計算!AK103),ABS(モンスター計算!AK104),ABS(モンスター計算!AK105),ABS(モンスター計算!AK106))</f>
        <v>4.6331228702212179E-3</v>
      </c>
      <c r="G21" s="15">
        <f>AVERAGE(モンスター計算!AL101:AL106)</f>
        <v>350.75166666666661</v>
      </c>
    </row>
    <row r="22" spans="1:7" ht="15">
      <c r="A22" s="6">
        <v>18</v>
      </c>
      <c r="B22" s="13">
        <f>モンスター計算!D107</f>
        <v>505.45</v>
      </c>
      <c r="C22" s="13">
        <f>AVERAGE(モンスター計算!AJ107:AJ112)</f>
        <v>505.3889233408172</v>
      </c>
      <c r="D22" s="15">
        <f>MIN(モンスター計算!AJ107:AJ112)</f>
        <v>504.65276876429488</v>
      </c>
      <c r="E22" s="15">
        <f>MAX(モンスター計算!AJ107:AJ112)</f>
        <v>506.50327126928187</v>
      </c>
      <c r="F22" s="14">
        <f>MAX(ABS(モンスター計算!AK107),ABS(モンスター計算!AK108),ABS(モンスター計算!AK109),ABS(モンスター計算!AK110),ABS(モンスター計算!AK111),ABS(モンスター計算!AK112))</f>
        <v>2.0838288045936793E-3</v>
      </c>
      <c r="G22" s="15">
        <f>AVERAGE(モンスター計算!AL107:AL112)</f>
        <v>370.66333333333336</v>
      </c>
    </row>
    <row r="23" spans="1:7" ht="15">
      <c r="A23" s="6">
        <v>19</v>
      </c>
      <c r="B23" s="13">
        <f>モンスター計算!D113</f>
        <v>555.99</v>
      </c>
      <c r="C23" s="13">
        <f>AVERAGE(モンスター計算!AJ113:AJ118)</f>
        <v>556.34894385748669</v>
      </c>
      <c r="D23" s="15">
        <f>MIN(モンスター計算!AJ113:AJ118)</f>
        <v>555.33574134114474</v>
      </c>
      <c r="E23" s="15">
        <f>MAX(モンスター計算!AJ113:AJ118)</f>
        <v>557.04844585030196</v>
      </c>
      <c r="F23" s="14">
        <f>MAX(ABS(モンスター計算!AK113),ABS(モンスター計算!AK114),ABS(モンスター計算!AK115),ABS(モンスター計算!AK116),ABS(モンスター計算!AK117),ABS(モンスター計算!AK118))</f>
        <v>1.9037138263313658E-3</v>
      </c>
      <c r="G23" s="15">
        <f>AVERAGE(モンスター計算!AL113:AL118)</f>
        <v>404.01939999999996</v>
      </c>
    </row>
    <row r="24" spans="1:7" ht="15">
      <c r="A24" s="6">
        <v>20</v>
      </c>
      <c r="B24" s="13">
        <f>モンスター計算!D119</f>
        <v>611.59</v>
      </c>
      <c r="C24" s="13">
        <f>AVERAGE(モンスター計算!AJ119:AJ124)</f>
        <v>611.51037038309642</v>
      </c>
      <c r="D24" s="15">
        <f>MIN(モンスター計算!AJ119:AJ124)</f>
        <v>610.38506541120421</v>
      </c>
      <c r="E24" s="15">
        <f>MAX(モンスター計算!AJ119:AJ124)</f>
        <v>612.64815521575485</v>
      </c>
      <c r="F24" s="14">
        <f>MAX(ABS(モンスター計算!AK119),ABS(モンスター計算!AK120),ABS(モンスター計算!AK121),ABS(モンスター計算!AK122),ABS(モンスター計算!AK123),ABS(モンスター計算!AK124))</f>
        <v>1.9701672506022838E-3</v>
      </c>
      <c r="G24" s="15">
        <f>AVERAGE(モンスター計算!AL119:AL124)</f>
        <v>471.94361666666668</v>
      </c>
    </row>
    <row r="25" spans="1:7" ht="15">
      <c r="A25" s="6">
        <v>21</v>
      </c>
      <c r="B25" s="13">
        <f>モンスター計算!D125</f>
        <v>672.75</v>
      </c>
      <c r="C25" s="13">
        <f>AVERAGE(モンスター計算!AJ125:AJ130)</f>
        <v>672.70483291722178</v>
      </c>
      <c r="D25" s="15">
        <f>MIN(モンスター計算!AJ125:AJ130)</f>
        <v>671.82632460976299</v>
      </c>
      <c r="E25" s="15">
        <f>MAX(モンスター計算!AJ125:AJ130)</f>
        <v>673.3233728726027</v>
      </c>
      <c r="F25" s="14">
        <f>MAX(ABS(モンスター計算!AK125),ABS(モンスター計算!AK126),ABS(モンスター計算!AK127),ABS(モンスター計算!AK128),ABS(モンスター計算!AK129),ABS(モンスター計算!AK130))</f>
        <v>1.3729846008725399E-3</v>
      </c>
      <c r="G25" s="15">
        <f>AVERAGE(モンスター計算!AL125:AL130)</f>
        <v>498.95624999999995</v>
      </c>
    </row>
    <row r="26" spans="1:7" ht="15">
      <c r="A26" s="6">
        <v>22</v>
      </c>
      <c r="B26" s="13">
        <f>モンスター計算!D131</f>
        <v>740.02</v>
      </c>
      <c r="C26" s="13">
        <f>AVERAGE(モンスター計算!AJ131:AJ136)</f>
        <v>739.86380415821429</v>
      </c>
      <c r="D26" s="15">
        <f>MIN(モンスター計算!AJ131:AJ136)</f>
        <v>738.77908457903163</v>
      </c>
      <c r="E26" s="15">
        <f>MAX(モンスター計算!AJ131:AJ136)</f>
        <v>741.04250282295152</v>
      </c>
      <c r="F26" s="14">
        <f>MAX(ABS(モンスター計算!AK131),ABS(モンスター計算!AK132),ABS(モンスター計算!AK133),ABS(モンスター計算!AK134),ABS(モンスター計算!AK135),ABS(モンスター計算!AK136))</f>
        <v>1.676867410297489E-3</v>
      </c>
      <c r="G26" s="15">
        <f>AVERAGE(モンスター計算!AL131:AL136)</f>
        <v>547.61479999999995</v>
      </c>
    </row>
    <row r="27" spans="1:7" ht="15">
      <c r="A27" s="6">
        <v>23</v>
      </c>
      <c r="B27" s="13">
        <f>モンスター計算!D137</f>
        <v>814.03</v>
      </c>
      <c r="C27" s="13">
        <f>AVERAGE(モンスター計算!AJ137:AJ142)</f>
        <v>813.66944969980239</v>
      </c>
      <c r="D27" s="15">
        <f>MIN(モンスター計算!AJ137:AJ142)</f>
        <v>812.98833845968318</v>
      </c>
      <c r="E27" s="15">
        <f>MAX(モンスター計算!AJ137:AJ142)</f>
        <v>815.31887517172879</v>
      </c>
      <c r="F27" s="14">
        <f>MAX(ABS(モンスター計算!AK137),ABS(モンスター計算!AK138),ABS(モンスター計算!AK139),ABS(モンスター計算!AK140),ABS(モンスター計算!AK141),ABS(モンスター計算!AK142))</f>
        <v>1.5833263783016083E-3</v>
      </c>
      <c r="G27" s="15">
        <f>AVERAGE(モンスター計算!AL137:AL142)</f>
        <v>667.5046000000001</v>
      </c>
    </row>
    <row r="28" spans="1:7" ht="15">
      <c r="A28" s="6">
        <v>24</v>
      </c>
      <c r="B28" s="13">
        <f>モンスター計算!D143</f>
        <v>895.43</v>
      </c>
      <c r="C28" s="13">
        <f>AVERAGE(モンスター計算!AJ143:AJ148)</f>
        <v>895.66371177738029</v>
      </c>
      <c r="D28" s="15">
        <f>MIN(モンスター計算!AJ143:AJ148)</f>
        <v>894.89806124124664</v>
      </c>
      <c r="E28" s="15">
        <f>MAX(モンスター計算!AJ143:AJ148)</f>
        <v>896.32228352327616</v>
      </c>
      <c r="F28" s="14">
        <f>MAX(ABS(モンスター計算!AK143),ABS(モンスター計算!AK144),ABS(モンスター計算!AK145),ABS(モンスター計算!AK146),ABS(モンスター計算!AK147),ABS(モンスター計算!AK148))</f>
        <v>9.9648607180480298E-4</v>
      </c>
      <c r="G28" s="15">
        <f>AVERAGE(モンスター計算!AL143:AL148)</f>
        <v>656.6486666666666</v>
      </c>
    </row>
    <row r="29" spans="1:7" ht="15">
      <c r="A29" s="6">
        <v>25</v>
      </c>
      <c r="B29" s="13">
        <f>モンスター計算!D149</f>
        <v>984.97</v>
      </c>
      <c r="C29" s="13">
        <f>AVERAGE(モンスター計算!AJ149:AJ154)</f>
        <v>984.86660335074828</v>
      </c>
      <c r="D29" s="15">
        <f>MIN(モンスター計算!AJ149:AJ154)</f>
        <v>983.70016304970682</v>
      </c>
      <c r="E29" s="15">
        <f>MAX(モンスター計算!AJ149:AJ154)</f>
        <v>986.86308582351728</v>
      </c>
      <c r="F29" s="14">
        <f>MAX(ABS(モンスター計算!AK149),ABS(モンスター計算!AK150),ABS(モンスター計算!AK151),ABS(モンスター計算!AK152),ABS(モンスター計算!AK153),ABS(モンスター計算!AK154))</f>
        <v>1.92197307889308E-3</v>
      </c>
      <c r="G29" s="15">
        <f>AVERAGE(モンスター計算!AL149:AL154)</f>
        <v>779.76791666666668</v>
      </c>
    </row>
    <row r="30" spans="1:7" ht="15">
      <c r="A30" s="6">
        <v>26</v>
      </c>
      <c r="B30" s="13">
        <f>モンスター計算!D155</f>
        <v>1083.47</v>
      </c>
      <c r="C30" s="13">
        <f>AVERAGE(モンスター計算!AJ155:AJ160)</f>
        <v>1083.1382979568741</v>
      </c>
      <c r="D30" s="15">
        <f>MIN(モンスター計算!AJ155:AJ160)</f>
        <v>1082.7109920288094</v>
      </c>
      <c r="E30" s="15">
        <f>MAX(モンスター計算!AJ155:AJ160)</f>
        <v>1084.2783932979901</v>
      </c>
      <c r="F30" s="14">
        <f>MAX(ABS(モンスター計算!AK155),ABS(モンスター計算!AK156),ABS(モンスター計算!AK157),ABS(モンスター計算!AK158),ABS(モンスター計算!AK159),ABS(モンスター計算!AK160))</f>
        <v>7.4611507285848866E-4</v>
      </c>
      <c r="G30" s="15">
        <f>AVERAGE(モンスター計算!AL155:AL160)</f>
        <v>785.51575000000003</v>
      </c>
    </row>
    <row r="31" spans="1:7" ht="15">
      <c r="A31" s="6">
        <v>27</v>
      </c>
      <c r="B31" s="13">
        <f>モンスター計算!D161</f>
        <v>1191.82</v>
      </c>
      <c r="C31" s="13">
        <f>AVERAGE(モンスター計算!AJ161:AJ166)</f>
        <v>1192.4548462419957</v>
      </c>
      <c r="D31" s="15">
        <f>MIN(モンスター計算!AJ161:AJ166)</f>
        <v>1191.3039365354357</v>
      </c>
      <c r="E31" s="15">
        <f>MAX(モンスター計算!AJ161:AJ166)</f>
        <v>1193.3258755388649</v>
      </c>
      <c r="F31" s="14">
        <f>MAX(ABS(モンスター計算!AK161),ABS(モンスター計算!AK162),ABS(モンスター計算!AK163),ABS(モンスター計算!AK164),ABS(モンスター計算!AK165),ABS(モンスター計算!AK166))</f>
        <v>1.2635092034576356E-3</v>
      </c>
      <c r="G31" s="15">
        <f>AVERAGE(モンスター計算!AL161:AL166)</f>
        <v>951.46963333333349</v>
      </c>
    </row>
    <row r="32" spans="1:7" ht="15">
      <c r="A32" s="6">
        <v>28</v>
      </c>
      <c r="B32" s="13">
        <f>モンスター計算!D167</f>
        <v>1311</v>
      </c>
      <c r="C32" s="13">
        <f>AVERAGE(モンスター計算!AJ167:AJ172)</f>
        <v>1311.0019415113902</v>
      </c>
      <c r="D32" s="15">
        <f>MIN(モンスター計算!AJ167:AJ172)</f>
        <v>1310.1388685543295</v>
      </c>
      <c r="E32" s="15">
        <f>MAX(モンスター計算!AJ167:AJ172)</f>
        <v>1312.0475206388153</v>
      </c>
      <c r="F32" s="14">
        <f>MAX(ABS(モンスター計算!AK167),ABS(モンスター計算!AK168),ABS(モンスター計算!AK169),ABS(モンスター計算!AK170),ABS(モンスター計算!AK171),ABS(モンスター計算!AK172))</f>
        <v>7.9902413334509426E-4</v>
      </c>
      <c r="G32" s="15">
        <f>AVERAGE(モンスター計算!AL167:AL172)</f>
        <v>1081.575</v>
      </c>
    </row>
    <row r="33" spans="1:7" ht="15">
      <c r="A33" s="6">
        <v>29</v>
      </c>
      <c r="B33" s="13">
        <f>モンスター計算!D173</f>
        <v>1442.1</v>
      </c>
      <c r="C33" s="13">
        <f>AVERAGE(モンスター計算!AJ173:AJ178)</f>
        <v>1442.626133774065</v>
      </c>
      <c r="D33" s="15">
        <f>MIN(モンスター計算!AJ173:AJ178)</f>
        <v>1441.4374838735127</v>
      </c>
      <c r="E33" s="15">
        <f>MAX(モンスター計算!AJ173:AJ178)</f>
        <v>1444.053236281113</v>
      </c>
      <c r="F33" s="14">
        <f>MAX(ABS(モンスター計算!AK173),ABS(モンスター計算!AK174),ABS(モンスター計算!AK175),ABS(モンスター計算!AK176),ABS(モンスター計算!AK177),ABS(モンスター計算!AK178))</f>
        <v>1.3544388607675817E-3</v>
      </c>
      <c r="G33" s="15">
        <f>AVERAGE(モンスター計算!AL173:AL178)</f>
        <v>1127.2415000000001</v>
      </c>
    </row>
    <row r="34" spans="1:7" ht="15">
      <c r="A34" s="6">
        <v>30</v>
      </c>
      <c r="B34" s="13">
        <f>モンスター計算!D179</f>
        <v>1586.31</v>
      </c>
      <c r="C34" s="13">
        <f>AVERAGE(モンスター計算!AJ179:AJ184)</f>
        <v>1586.5913348180923</v>
      </c>
      <c r="D34" s="15">
        <f>MIN(モンスター計算!AJ179:AJ184)</f>
        <v>1586.046036052267</v>
      </c>
      <c r="E34" s="15">
        <f>MAX(モンスター計算!AJ179:AJ184)</f>
        <v>1587.3171230970838</v>
      </c>
      <c r="F34" s="14">
        <f>MAX(ABS(モンスター計算!AK179),ABS(モンスター計算!AK180),ABS(モンスター計算!AK181),ABS(モンスター計算!AK182),ABS(モンスター計算!AK183),ABS(モンスター計算!AK184))</f>
        <v>6.3488416329970931E-4</v>
      </c>
      <c r="G34" s="15">
        <f>AVERAGE(モンスター計算!AL179:AL184)</f>
        <v>1205.5955999999999</v>
      </c>
    </row>
    <row r="35" spans="1:7" ht="15">
      <c r="A35" s="6">
        <v>31</v>
      </c>
      <c r="B35" s="13">
        <f>モンスター計算!D185</f>
        <v>1744.94</v>
      </c>
      <c r="C35" s="13">
        <f>AVERAGE(モンスター計算!AJ185:AJ190)</f>
        <v>1745.1473148572484</v>
      </c>
      <c r="D35" s="15">
        <f>MIN(モンスター計算!AJ185:AJ190)</f>
        <v>1744.0324474845247</v>
      </c>
      <c r="E35" s="15">
        <f>MAX(モンスター計算!AJ185:AJ190)</f>
        <v>1746.0833358948007</v>
      </c>
      <c r="F35" s="14">
        <f>MAX(ABS(モンスター計算!AK185),ABS(モンスター計算!AK186),ABS(モンスター計算!AK187),ABS(モンスター計算!AK188),ABS(モンスター計算!AK189),ABS(モンスター計算!AK190))</f>
        <v>6.552293458803593E-4</v>
      </c>
      <c r="G35" s="15">
        <f>AVERAGE(モンスター計算!AL185:AL190)</f>
        <v>1395.952</v>
      </c>
    </row>
    <row r="36" spans="1:7" ht="15">
      <c r="A36" s="6">
        <v>32</v>
      </c>
      <c r="B36" s="13">
        <f>モンスター計算!D191</f>
        <v>1919.43</v>
      </c>
      <c r="C36" s="13">
        <f>AVERAGE(モンスター計算!AJ191:AJ196)</f>
        <v>1919.2487921595387</v>
      </c>
      <c r="D36" s="15">
        <f>MIN(モンスター計算!AJ191:AJ196)</f>
        <v>1918.1414958834439</v>
      </c>
      <c r="E36" s="15">
        <f>MAX(モンスター計算!AJ191:AJ196)</f>
        <v>1920.2023713444528</v>
      </c>
      <c r="F36" s="14">
        <f>MAX(ABS(モンスター計算!AK191),ABS(モンスター計算!AK192),ABS(モンスター計算!AK193),ABS(モンスター計算!AK194),ABS(モンスター計算!AK195),ABS(モンスター計算!AK196))</f>
        <v>6.7129518479769335E-4</v>
      </c>
      <c r="G36" s="15">
        <f>AVERAGE(モンスター計算!AL191:AL196)</f>
        <v>1413.9801</v>
      </c>
    </row>
    <row r="37" spans="1:7" ht="15">
      <c r="A37" s="6">
        <v>33</v>
      </c>
      <c r="B37" s="13">
        <f>モンスター計算!D197</f>
        <v>2111.38</v>
      </c>
      <c r="C37" s="13">
        <f>AVERAGE(モンスター計算!AJ197:AJ202)</f>
        <v>2111.3436957192544</v>
      </c>
      <c r="D37" s="15">
        <f>MIN(モンスター計算!AJ197:AJ202)</f>
        <v>2110.5368030916234</v>
      </c>
      <c r="E37" s="15">
        <f>MAX(モンスター計算!AJ197:AJ202)</f>
        <v>2112.7898675921906</v>
      </c>
      <c r="F37" s="14">
        <f>MAX(ABS(モンスター計算!AK197),ABS(モンスター計算!AK198),ABS(モンスター計算!AK199),ABS(モンスター計算!AK200),ABS(モンスター計算!AK201),ABS(モンスター計算!AK202))</f>
        <v>6.6774696747651241E-4</v>
      </c>
      <c r="G37" s="15">
        <f>AVERAGE(モンスター計算!AL197:AL202)</f>
        <v>1594.0919000000001</v>
      </c>
    </row>
    <row r="38" spans="1:7" ht="15">
      <c r="A38" s="6">
        <v>34</v>
      </c>
      <c r="B38" s="13">
        <f>モンスター計算!D203</f>
        <v>2322.52</v>
      </c>
      <c r="C38" s="13">
        <f>AVERAGE(モンスター計算!AJ203:AJ208)</f>
        <v>2322.4564073237557</v>
      </c>
      <c r="D38" s="15">
        <f>MIN(モンスター計算!AJ203:AJ208)</f>
        <v>2321.7524235303144</v>
      </c>
      <c r="E38" s="15">
        <f>MAX(モンスター計算!AJ203:AJ208)</f>
        <v>2323.3052739600503</v>
      </c>
      <c r="F38" s="14">
        <f>MAX(ABS(モンスター計算!AK203),ABS(モンスター計算!AK204),ABS(モンスター計算!AK205),ABS(モンスター計算!AK206),ABS(モンスター計算!AK207),ABS(モンスター計算!AK208))</f>
        <v>3.3811289463603345E-4</v>
      </c>
      <c r="G38" s="15">
        <f>AVERAGE(モンスター計算!AL203:AL208)</f>
        <v>1834.7908</v>
      </c>
    </row>
    <row r="39" spans="1:7" ht="15">
      <c r="A39" s="6">
        <v>35</v>
      </c>
      <c r="B39" s="13">
        <f>モンスター計算!D209</f>
        <v>2554.77</v>
      </c>
      <c r="C39" s="13">
        <f>AVERAGE(モンスター計算!AJ209:AJ214)</f>
        <v>2554.9067575031299</v>
      </c>
      <c r="D39" s="15">
        <f>MIN(モンスター計算!AJ209:AJ214)</f>
        <v>2553.2426237146283</v>
      </c>
      <c r="E39" s="15">
        <f>MAX(モンスター計算!AJ209:AJ214)</f>
        <v>2555.8087352805333</v>
      </c>
      <c r="F39" s="14">
        <f>MAX(ABS(モンスター計算!AK209),ABS(モンスター計算!AK210),ABS(モンスター計算!AK211),ABS(モンスター計算!AK212),ABS(モンスター計算!AK213),ABS(モンスター計算!AK214))</f>
        <v>5.9785275597090681E-4</v>
      </c>
      <c r="G39" s="15">
        <f>AVERAGE(モンスター計算!AL209:AL214)</f>
        <v>1864.9820999999999</v>
      </c>
    </row>
    <row r="40" spans="1:7" ht="15">
      <c r="A40" s="6">
        <v>36</v>
      </c>
      <c r="B40" s="13">
        <f>モンスター計算!D215</f>
        <v>2810.24</v>
      </c>
      <c r="C40" s="13">
        <f>AVERAGE(モンスター計算!AJ215:AJ220)</f>
        <v>2809.9372436934718</v>
      </c>
      <c r="D40" s="15">
        <f>MIN(モンスター計算!AJ215:AJ220)</f>
        <v>2809.0619868770959</v>
      </c>
      <c r="E40" s="15">
        <f>MAX(モンスター計算!AJ215:AJ220)</f>
        <v>2810.593090884558</v>
      </c>
      <c r="F40" s="14">
        <f>MAX(ABS(モンスター計算!AK215),ABS(モンスター計算!AK216),ABS(モンスター計算!AK217),ABS(モンスター計算!AK218),ABS(モンスター計算!AK219),ABS(モンスター計算!AK220))</f>
        <v>4.1918594956436017E-4</v>
      </c>
      <c r="G40" s="15">
        <f>AVERAGE(モンスター計算!AL215:AL220)</f>
        <v>2243.5082666666663</v>
      </c>
    </row>
    <row r="41" spans="1:7" ht="15">
      <c r="A41" s="6">
        <v>37</v>
      </c>
      <c r="B41" s="13">
        <f>モンスター計算!D221</f>
        <v>3091.27</v>
      </c>
      <c r="C41" s="13">
        <f>AVERAGE(モンスター計算!AJ221:AJ226)</f>
        <v>3091.0606960309974</v>
      </c>
      <c r="D41" s="15">
        <f>MIN(モンスター計算!AJ221:AJ226)</f>
        <v>3089.3790346105893</v>
      </c>
      <c r="E41" s="15">
        <f>MAX(モンスター計算!AJ221:AJ226)</f>
        <v>3092.2438951933937</v>
      </c>
      <c r="F41" s="14">
        <f>MAX(ABS(モンスター計算!AK221),ABS(モンスター計算!AK222),ABS(モンスター計算!AK223),ABS(モンスター計算!AK224),ABS(モンスター計算!AK225),ABS(モンスター計算!AK226))</f>
        <v>6.1171149379080081E-4</v>
      </c>
      <c r="G41" s="15">
        <f>AVERAGE(モンスター計算!AL221:AL226)</f>
        <v>2462.7117666666668</v>
      </c>
    </row>
    <row r="42" spans="1:7" ht="15">
      <c r="A42" s="6">
        <v>38</v>
      </c>
      <c r="B42" s="13">
        <f>モンスター計算!D227</f>
        <v>3400.39</v>
      </c>
      <c r="C42" s="13">
        <f>AVERAGE(モンスター計算!AJ227:AJ232)</f>
        <v>3400.4488777578104</v>
      </c>
      <c r="D42" s="15">
        <f>MIN(モンスター計算!AJ227:AJ232)</f>
        <v>3399.4360052296142</v>
      </c>
      <c r="E42" s="15">
        <f>MAX(モンスター計算!AJ227:AJ232)</f>
        <v>3401.2370893855782</v>
      </c>
      <c r="F42" s="14">
        <f>MAX(ABS(モンスター計算!AK227),ABS(モンスター計算!AK228),ABS(モンスター計算!AK229),ABS(モンスター計算!AK230),ABS(モンスター計算!AK231),ABS(モンスター計算!AK232))</f>
        <v>2.8055451591890712E-4</v>
      </c>
      <c r="G42" s="15">
        <f>AVERAGE(モンスター計算!AL227:AL232)</f>
        <v>2448.2808</v>
      </c>
    </row>
    <row r="43" spans="1:7" ht="15">
      <c r="A43" s="6">
        <v>39</v>
      </c>
      <c r="B43" s="13">
        <f>モンスター計算!D233</f>
        <v>3740.43</v>
      </c>
      <c r="C43" s="13">
        <f>AVERAGE(モンスター計算!AJ233:AJ238)</f>
        <v>3739.2516747792538</v>
      </c>
      <c r="D43" s="15">
        <f>MIN(モンスター計算!AJ233:AJ238)</f>
        <v>3738.4145707785528</v>
      </c>
      <c r="E43" s="15">
        <f>MAX(モンスター計算!AJ233:AJ238)</f>
        <v>3739.8449100212615</v>
      </c>
      <c r="F43" s="14">
        <f>MAX(ABS(モンスター計算!AK233),ABS(モンスター計算!AK234),ABS(モンスター計算!AK235),ABS(モンスター計算!AK236),ABS(モンスター計算!AK237),ABS(モンスター計算!AK238))</f>
        <v>5.3882286834583404E-4</v>
      </c>
      <c r="G43" s="15">
        <f>AVERAGE(モンスター計算!AL233:AL238)</f>
        <v>2948.7056499999999</v>
      </c>
    </row>
    <row r="44" spans="1:7" ht="15">
      <c r="A44" s="6">
        <v>40</v>
      </c>
      <c r="B44" s="13">
        <f>モンスター計算!D239</f>
        <v>4114.4799999999996</v>
      </c>
      <c r="C44" s="13">
        <f>AVERAGE(モンスター計算!AJ239:AJ244)</f>
        <v>4114.0568491254753</v>
      </c>
      <c r="D44" s="15">
        <f>MIN(モンスター計算!AJ239:AJ244)</f>
        <v>4113.2071610829289</v>
      </c>
      <c r="E44" s="15">
        <f>MAX(モンスター計算!AJ239:AJ244)</f>
        <v>4114.9433869974537</v>
      </c>
      <c r="F44" s="14">
        <f>MAX(ABS(モンスター計算!AK239),ABS(モンスター計算!AK240),ABS(モンスター計算!AK241),ABS(モンスター計算!AK242),ABS(モンスター計算!AK243),ABS(モンスター計算!AK244))</f>
        <v>3.0935596164538559E-4</v>
      </c>
      <c r="G44" s="15">
        <f>AVERAGE(モンスター計算!AL239:AL244)</f>
        <v>2996.7129333333328</v>
      </c>
    </row>
    <row r="45" spans="1:7" ht="15">
      <c r="A45" s="6">
        <v>41</v>
      </c>
      <c r="B45" s="13">
        <f>モンスター計算!D245</f>
        <v>4525.93</v>
      </c>
      <c r="C45" s="13">
        <f>AVERAGE(モンスター計算!AJ245:AJ250)</f>
        <v>4525.9554614355338</v>
      </c>
      <c r="D45" s="15">
        <f>MIN(モンスター計算!AJ245:AJ250)</f>
        <v>4525.191249821055</v>
      </c>
      <c r="E45" s="15">
        <f>MAX(モンスター計算!AJ245:AJ250)</f>
        <v>4527.0038987885046</v>
      </c>
      <c r="F45" s="14">
        <f>MAX(ABS(モンスター計算!AK245),ABS(モンスター計算!AK246),ABS(モンスター計算!AK247),ABS(モンスター計算!AK248),ABS(モンスター計算!AK249),ABS(モンスター計算!AK250))</f>
        <v>2.372769328080615E-4</v>
      </c>
      <c r="G45" s="15">
        <f>AVERAGE(モンスター計算!AL245:AL250)</f>
        <v>2994.6570166666666</v>
      </c>
    </row>
    <row r="46" spans="1:7" ht="15">
      <c r="A46" s="6">
        <v>42</v>
      </c>
      <c r="B46" s="13">
        <f>モンスター計算!D251</f>
        <v>4978.5200000000004</v>
      </c>
      <c r="C46" s="13">
        <f>AVERAGE(モンスター計算!AJ251:AJ256)</f>
        <v>4978.6455803594772</v>
      </c>
      <c r="D46" s="15">
        <f>MIN(モンスター計算!AJ251:AJ256)</f>
        <v>4977.6100315691001</v>
      </c>
      <c r="E46" s="15">
        <f>MAX(モンスター計算!AJ251:AJ256)</f>
        <v>4980.5385813741186</v>
      </c>
      <c r="F46" s="14">
        <f>MAX(ABS(モンスター計算!AK251),ABS(モンスター計算!AK252),ABS(モンスター計算!AK253),ABS(モンスター計算!AK254),ABS(モンスター計算!AK255),ABS(モンスター計算!AK256))</f>
        <v>4.0545812291981065E-4</v>
      </c>
      <c r="G46" s="15">
        <f>AVERAGE(モンスター計算!AL251:AL256)</f>
        <v>3800.2702666666669</v>
      </c>
    </row>
    <row r="47" spans="1:7" ht="15">
      <c r="A47" s="6">
        <v>43</v>
      </c>
      <c r="B47" s="13">
        <f>モンスター計算!D257</f>
        <v>5476.37</v>
      </c>
      <c r="C47" s="13">
        <f>AVERAGE(モンスター計算!AJ257:AJ262)</f>
        <v>5476.2652013927936</v>
      </c>
      <c r="D47" s="15">
        <f>MIN(モンスター計算!AJ257:AJ262)</f>
        <v>5475.0155580883775</v>
      </c>
      <c r="E47" s="15">
        <f>MAX(モンスター計算!AJ257:AJ262)</f>
        <v>5477.8583615852331</v>
      </c>
      <c r="F47" s="14">
        <f>MAX(ABS(モンスター計算!AK257),ABS(モンスター計算!AK258),ABS(モンスター計算!AK259),ABS(モンスター計算!AK260),ABS(モンスター計算!AK261),ABS(モンスター計算!AK262))</f>
        <v>2.7177885811835445E-4</v>
      </c>
      <c r="G47" s="15">
        <f>AVERAGE(モンスター計算!AL257:AL262)</f>
        <v>4016.0046666666663</v>
      </c>
    </row>
    <row r="48" spans="1:7" ht="15">
      <c r="A48" s="6">
        <v>44</v>
      </c>
      <c r="B48" s="13">
        <f>モンスター計算!D263</f>
        <v>6024.01</v>
      </c>
      <c r="C48" s="13">
        <f>AVERAGE(モンスター計算!AJ263:AJ268)</f>
        <v>6023.9963614085309</v>
      </c>
      <c r="D48" s="15">
        <f>MIN(モンスター計算!AJ263:AJ268)</f>
        <v>6023.2954005645415</v>
      </c>
      <c r="E48" s="15">
        <f>MAX(モンスター計算!AJ263:AJ268)</f>
        <v>6025.6516667015758</v>
      </c>
      <c r="F48" s="14">
        <f>MAX(ABS(モンスター計算!AK263),ABS(モンスター計算!AK264),ABS(モンスター計算!AK265),ABS(モンスター計算!AK266),ABS(モンスター計算!AK267),ABS(モンスター計算!AK268))</f>
        <v>2.7252058040660998E-4</v>
      </c>
      <c r="G48" s="15">
        <f>AVERAGE(モンスター計算!AL263:AL268)</f>
        <v>4377.447266666667</v>
      </c>
    </row>
    <row r="49" spans="1:7" ht="15">
      <c r="A49" s="6">
        <v>45</v>
      </c>
      <c r="B49" s="13">
        <f>モンスター計算!D269</f>
        <v>6626.41</v>
      </c>
      <c r="C49" s="13">
        <f>AVERAGE(モンスター計算!AJ269:AJ274)</f>
        <v>6626.2835651875348</v>
      </c>
      <c r="D49" s="15">
        <f>MIN(モンスター計算!AJ269:AJ274)</f>
        <v>6625.0245789333148</v>
      </c>
      <c r="E49" s="15">
        <f>MAX(モンスター計算!AJ269:AJ274)</f>
        <v>6627.8193997012995</v>
      </c>
      <c r="F49" s="14">
        <f>MAX(ABS(モンスター計算!AK269),ABS(モンスター計算!AK270),ABS(モンスター計算!AK271),ABS(モンスター計算!AK272),ABS(モンスター計算!AK273),ABS(モンスター計算!AK274))</f>
        <v>2.1269430978465564E-4</v>
      </c>
      <c r="G49" s="15">
        <f>AVERAGE(モンスター計算!AL269:AL274)</f>
        <v>5113.3797166666673</v>
      </c>
    </row>
    <row r="50" spans="1:7" ht="15">
      <c r="A50" s="6">
        <v>46</v>
      </c>
      <c r="B50" s="13">
        <f>モンスター計算!D275</f>
        <v>7289.05</v>
      </c>
      <c r="C50" s="13">
        <f>AVERAGE(モンスター計算!AJ275:AJ280)</f>
        <v>7288.9297122786593</v>
      </c>
      <c r="D50" s="15">
        <f>MIN(モンスター計算!AJ275:AJ280)</f>
        <v>7288.1941704680576</v>
      </c>
      <c r="E50" s="15">
        <f>MAX(モンスター計算!AJ275:AJ280)</f>
        <v>7289.6711074992454</v>
      </c>
      <c r="F50" s="14">
        <f>MAX(ABS(モンスター計算!AK275),ABS(モンスター計算!AK276),ABS(モンスター計算!AK277),ABS(モンスター計算!AK278),ABS(モンスター計算!AK279),ABS(モンスター計算!AK280))</f>
        <v>1.174130417465058E-4</v>
      </c>
      <c r="G50" s="15">
        <f>AVERAGE(モンスター計算!AL275:AL280)</f>
        <v>5406.0454166666668</v>
      </c>
    </row>
    <row r="51" spans="1:7" ht="15">
      <c r="A51" s="6">
        <v>47</v>
      </c>
      <c r="B51" s="13">
        <f>モンスター計算!D281</f>
        <v>8017.95</v>
      </c>
      <c r="C51" s="13">
        <f>AVERAGE(モンスター計算!AJ281:AJ286)</f>
        <v>8017.0844997146369</v>
      </c>
      <c r="D51" s="15">
        <f>MIN(モンスター計算!AJ281:AJ286)</f>
        <v>8016.396606912238</v>
      </c>
      <c r="E51" s="15">
        <f>MAX(モンスター計算!AJ281:AJ286)</f>
        <v>8018.5601518839558</v>
      </c>
      <c r="F51" s="14">
        <f>MAX(ABS(モンスター計算!AK281),ABS(モンスター計算!AK282),ABS(モンスター計算!AK283),ABS(モンスター計算!AK284),ABS(モンスター計算!AK285),ABS(モンスター計算!AK286))</f>
        <v>1.9373943311717934E-4</v>
      </c>
      <c r="G51" s="15">
        <f>AVERAGE(モンスター計算!AL281:AL286)</f>
        <v>5933.2830000000004</v>
      </c>
    </row>
    <row r="52" spans="1:7" ht="15">
      <c r="A52" s="6">
        <v>48</v>
      </c>
      <c r="B52" s="13">
        <f>モンスター計算!D287</f>
        <v>8819.75</v>
      </c>
      <c r="C52" s="13">
        <f>AVERAGE(モンスター計算!AJ287:AJ292)</f>
        <v>8819.8736753178218</v>
      </c>
      <c r="D52" s="15">
        <f>MIN(モンスター計算!AJ287:AJ292)</f>
        <v>8818.3130039430307</v>
      </c>
      <c r="E52" s="15">
        <f>MAX(モンスター計算!AJ287:AJ292)</f>
        <v>8820.5360934927958</v>
      </c>
      <c r="F52" s="14">
        <f>MAX(ABS(モンスター計算!AK287),ABS(モンスター計算!AK288),ABS(モンスター計算!AK289),ABS(モンスター計算!AK290),ABS(モンスター計算!AK291),ABS(モンスター計算!AK292))</f>
        <v>1.6292934119099822E-4</v>
      </c>
      <c r="G52" s="15">
        <f>AVERAGE(モンスター計算!AL287:AL292)</f>
        <v>7232.1950000000006</v>
      </c>
    </row>
    <row r="53" spans="1:7" ht="15">
      <c r="A53" s="6">
        <v>49</v>
      </c>
      <c r="B53" s="13">
        <f>モンスター計算!D293</f>
        <v>9701.7199999999993</v>
      </c>
      <c r="C53" s="13">
        <f>AVERAGE(モンスター計算!AJ293:AJ298)</f>
        <v>9701.3309482571331</v>
      </c>
      <c r="D53" s="15">
        <f>MIN(モンスター計算!AJ293:AJ298)</f>
        <v>9700.4598699744583</v>
      </c>
      <c r="E53" s="15">
        <f>MAX(モンスター計算!AJ293:AJ298)</f>
        <v>9702.1863826220033</v>
      </c>
      <c r="F53" s="14">
        <f>MAX(ABS(モンスター計算!AK293),ABS(モンスター計算!AK294),ABS(モンスター計算!AK295),ABS(モンスター計算!AK296),ABS(モンスター計算!AK297),ABS(モンスター計算!AK298))</f>
        <v>1.2988728035245867E-4</v>
      </c>
      <c r="G53" s="15">
        <f>AVERAGE(モンスター計算!AL293:AL298)</f>
        <v>7114.5946666666669</v>
      </c>
    </row>
    <row r="54" spans="1:7" ht="15">
      <c r="A54" s="6">
        <v>50</v>
      </c>
      <c r="B54" s="13">
        <f>モンスター計算!D299</f>
        <v>10671.9</v>
      </c>
      <c r="C54" s="13">
        <f>AVERAGE(モンスター計算!AJ299:AJ304)</f>
        <v>10671.660936725748</v>
      </c>
      <c r="D54" s="15">
        <f>MIN(モンスター計算!AJ299:AJ304)</f>
        <v>10670.68897790307</v>
      </c>
      <c r="E54" s="15">
        <f>MAX(モンスター計算!AJ299:AJ304)</f>
        <v>10672.792789020692</v>
      </c>
      <c r="F54" s="14">
        <f>MAX(ABS(モンスター計算!AK299),ABS(モンスター計算!AK300),ABS(モンスター計算!AK301),ABS(モンスター計算!AK302),ABS(モンスター計算!AK303),ABS(モンスター計算!AK304))</f>
        <v>1.1347764661684412E-4</v>
      </c>
      <c r="G54" s="15">
        <f>AVERAGE(モンスター計算!AL299:AL304)</f>
        <v>8448.5874999999996</v>
      </c>
    </row>
    <row r="55" spans="1:7" ht="15">
      <c r="A55" s="6">
        <v>51</v>
      </c>
      <c r="B55" s="13">
        <f>モンスター計算!D305</f>
        <v>11739.09</v>
      </c>
      <c r="C55" s="13">
        <f>AVERAGE(モンスター計算!AJ305:AJ310)</f>
        <v>11738.92491016345</v>
      </c>
      <c r="D55" s="15">
        <f>MIN(モンスター計算!AJ305:AJ310)</f>
        <v>11737.98413271921</v>
      </c>
      <c r="E55" s="15">
        <f>MAX(モンスター計算!AJ305:AJ310)</f>
        <v>11740.078783512938</v>
      </c>
      <c r="F55" s="14">
        <f>MAX(ABS(モンスター計算!AK305),ABS(モンスター計算!AK306),ABS(モンスター計算!AK307),ABS(モンスター計算!AK308),ABS(モンスター計算!AK309),ABS(モンスター計算!AK310))</f>
        <v>9.420383358427209E-5</v>
      </c>
      <c r="G55" s="15">
        <f>AVERAGE(モンスター計算!AL305:AL310)</f>
        <v>8510.8402499999993</v>
      </c>
    </row>
    <row r="56" spans="1:7" ht="15">
      <c r="A56" s="6">
        <v>52</v>
      </c>
      <c r="B56" s="13">
        <f>モンスター計算!D311</f>
        <v>12912.99</v>
      </c>
      <c r="C56" s="13">
        <f>AVERAGE(モンスター計算!AJ311:AJ316)</f>
        <v>12912.950543499255</v>
      </c>
      <c r="D56" s="15">
        <f>MIN(モンスター計算!AJ311:AJ316)</f>
        <v>12911.585167968371</v>
      </c>
      <c r="E56" s="15">
        <f>MAX(モンスター計算!AJ311:AJ316)</f>
        <v>12913.481714670212</v>
      </c>
      <c r="F56" s="14">
        <f>MAX(ABS(モンスター計算!AK311),ABS(モンスター計算!AK312),ABS(モンスター計算!AK313),ABS(モンスター計算!AK314),ABS(モンスター計算!AK315),ABS(モンスター計算!AK316))</f>
        <v>1.0879215670644982E-4</v>
      </c>
      <c r="G56" s="15">
        <f>AVERAGE(モンスター計算!AL311:AL316)</f>
        <v>10308.870349999999</v>
      </c>
    </row>
    <row r="57" spans="1:7" ht="15">
      <c r="A57" s="6">
        <v>53</v>
      </c>
      <c r="B57" s="13">
        <f>モンスター計算!D317</f>
        <v>14204.29</v>
      </c>
      <c r="C57" s="13">
        <f>AVERAGE(モンスター計算!AJ317:AJ322)</f>
        <v>14204.052536959032</v>
      </c>
      <c r="D57" s="15">
        <f>MIN(モンスター計算!AJ317:AJ322)</f>
        <v>14202.788986034253</v>
      </c>
      <c r="E57" s="15">
        <f>MAX(モンスター計算!AJ317:AJ322)</f>
        <v>14206.232251753419</v>
      </c>
      <c r="F57" s="14">
        <f>MAX(ABS(モンスター計算!AK317),ABS(モンスター計算!AK318),ABS(モンスター計算!AK319),ABS(モンスター計算!AK320),ABS(モンスター計算!AK321),ABS(モンスター計算!AK322))</f>
        <v>1.3673698251848165E-4</v>
      </c>
      <c r="G57" s="15">
        <f>AVERAGE(モンスター計算!AL317:AL322)</f>
        <v>11718.539250000002</v>
      </c>
    </row>
    <row r="58" spans="1:7" ht="15">
      <c r="A58" s="6">
        <v>54</v>
      </c>
      <c r="B58" s="13">
        <f>モンスター計算!D323</f>
        <v>15624.72</v>
      </c>
      <c r="C58" s="13">
        <f>AVERAGE(モンスター計算!AJ323:AJ328)</f>
        <v>15624.524976291859</v>
      </c>
      <c r="D58" s="15">
        <f>MIN(モンスター計算!AJ323:AJ328)</f>
        <v>15623.138186420727</v>
      </c>
      <c r="E58" s="15">
        <f>MAX(モンスター計算!AJ323:AJ328)</f>
        <v>15625.894532533281</v>
      </c>
      <c r="F58" s="14">
        <f>MAX(ABS(モンスター計算!AK323),ABS(モンスター計算!AK324),ABS(モンスター計算!AK325),ABS(モンスター計算!AK326),ABS(モンスター計算!AK327),ABS(モンスター計算!AK328))</f>
        <v>1.0123788325633321E-4</v>
      </c>
      <c r="G58" s="15">
        <f>AVERAGE(モンスター計算!AL323:AL328)</f>
        <v>12213.3228</v>
      </c>
    </row>
    <row r="59" spans="1:7" ht="15">
      <c r="A59" s="6">
        <v>55</v>
      </c>
      <c r="B59" s="13">
        <f>モンスター計算!D329</f>
        <v>17187.189999999999</v>
      </c>
      <c r="C59" s="13">
        <f>AVERAGE(モンスター計算!AJ329:AJ334)</f>
        <v>17187.435374882622</v>
      </c>
      <c r="D59" s="15">
        <f>MIN(モンスター計算!AJ329:AJ334)</f>
        <v>17186.966580826585</v>
      </c>
      <c r="E59" s="15">
        <f>MAX(モンスター計算!AJ329:AJ334)</f>
        <v>17188.361938437403</v>
      </c>
      <c r="F59" s="14">
        <f>MAX(ABS(モンスター計算!AK329),ABS(モンスター計算!AK330),ABS(モンスター計算!AK331),ABS(モンスター計算!AK332),ABS(モンスター計算!AK333),ABS(モンスター計算!AK334))</f>
        <v>6.8186738926279133E-5</v>
      </c>
      <c r="G59" s="15">
        <f>AVERAGE(モンスター計算!AL329:AL334)</f>
        <v>13062.264399999998</v>
      </c>
    </row>
    <row r="60" spans="1:7" ht="15">
      <c r="A60" s="6">
        <v>56</v>
      </c>
      <c r="B60" s="13">
        <f>モンスター計算!D335</f>
        <v>18905.91</v>
      </c>
      <c r="C60" s="13">
        <f>AVERAGE(モンスター計算!AJ335:AJ340)</f>
        <v>18905.887276917314</v>
      </c>
      <c r="D60" s="15">
        <f>MIN(モンスター計算!AJ335:AJ340)</f>
        <v>18904.837664119994</v>
      </c>
      <c r="E60" s="15">
        <f>MAX(モンスター計算!AJ335:AJ340)</f>
        <v>18907.216387953584</v>
      </c>
      <c r="F60" s="14">
        <f>MAX(ABS(モンスター計算!AK335),ABS(モンスター計算!AK336),ABS(モンスター計算!AK337),ABS(モンスター計算!AK338),ABS(モンスター計算!AK339),ABS(モンスター計算!AK340))</f>
        <v>6.9099448457343726E-5</v>
      </c>
      <c r="G60" s="15">
        <f>AVERAGE(モンスター計算!AL335:AL340)</f>
        <v>15124.728000000001</v>
      </c>
    </row>
    <row r="61" spans="1:7" ht="15">
      <c r="A61" s="6">
        <v>57</v>
      </c>
      <c r="B61" s="13">
        <f>モンスター計算!D341</f>
        <v>20796.509999999998</v>
      </c>
      <c r="C61" s="13">
        <f>AVERAGE(モンスター計算!AJ341:AJ346)</f>
        <v>20797.159930837333</v>
      </c>
      <c r="D61" s="15">
        <f>MIN(モンスター計算!AJ341:AJ346)</f>
        <v>20796.467154112452</v>
      </c>
      <c r="E61" s="15">
        <f>MAX(モンスター計算!AJ341:AJ346)</f>
        <v>20798.111313999492</v>
      </c>
      <c r="F61" s="14">
        <f>MAX(ABS(モンスター計算!AK341),ABS(モンスター計算!AK342),ABS(モンスター計算!AK343),ABS(モンスター計算!AK344),ABS(モンスター計算!AK345),ABS(モンスター計算!AK346))</f>
        <v>7.6999169547953272E-5</v>
      </c>
      <c r="G61" s="15">
        <f>AVERAGE(モンスター計算!AL341:AL346)</f>
        <v>15320.095699999998</v>
      </c>
    </row>
    <row r="62" spans="1:7" ht="15">
      <c r="A62" s="6">
        <v>58</v>
      </c>
      <c r="B62" s="13">
        <f>モンスター計算!D347</f>
        <v>22876.16</v>
      </c>
      <c r="C62" s="13">
        <f>AVERAGE(モンスター計算!AJ347:AJ352)</f>
        <v>22876.122611242728</v>
      </c>
      <c r="D62" s="15">
        <f>MIN(モンスター計算!AJ347:AJ352)</f>
        <v>22874.306732610195</v>
      </c>
      <c r="E62" s="15">
        <f>MAX(モンスター計算!AJ347:AJ352)</f>
        <v>22877.36546546789</v>
      </c>
      <c r="F62" s="14">
        <f>MAX(ABS(モンスター計算!AK347),ABS(モンスター計算!AK348),ABS(モンスター計算!AK349),ABS(モンスター計算!AK350),ABS(モンスター計算!AK351),ABS(モンスター計算!AK352))</f>
        <v>8.1013045450162302E-5</v>
      </c>
      <c r="G62" s="15">
        <f>AVERAGE(モンスター計算!AL347:AL352)</f>
        <v>17271.500799999998</v>
      </c>
    </row>
    <row r="63" spans="1:7" ht="15">
      <c r="A63" s="6">
        <v>59</v>
      </c>
      <c r="B63" s="13">
        <f>モンスター計算!D353</f>
        <v>25163.77</v>
      </c>
      <c r="C63" s="13">
        <f>AVERAGE(モンスター計算!AJ353:AJ358)</f>
        <v>25163.536499677666</v>
      </c>
      <c r="D63" s="15">
        <f>MIN(モンスター計算!AJ353:AJ358)</f>
        <v>25162.386173499606</v>
      </c>
      <c r="E63" s="15">
        <f>MAX(モンスター計算!AJ353:AJ358)</f>
        <v>25164.879210166448</v>
      </c>
      <c r="F63" s="14">
        <f>MAX(ABS(モンスター計算!AK353),ABS(モンスター計算!AK354),ABS(モンスター計算!AK355),ABS(モンスター計算!AK356),ABS(モンスター計算!AK357),ABS(モンスター計算!AK358))</f>
        <v>5.4992813095733339E-5</v>
      </c>
      <c r="G63" s="15">
        <f>AVERAGE(モンスター計算!AL353:AL358)</f>
        <v>19879.3783</v>
      </c>
    </row>
    <row r="64" spans="1:7" ht="15">
      <c r="A64" s="6">
        <v>60</v>
      </c>
      <c r="B64" s="13">
        <f>モンスター計算!D359</f>
        <v>27680.15</v>
      </c>
      <c r="C64" s="13">
        <f>AVERAGE(モンスター計算!AJ359:AJ364)</f>
        <v>27680.383906191451</v>
      </c>
      <c r="D64" s="15">
        <f>MIN(モンスター計算!AJ359:AJ364)</f>
        <v>27679.412007251573</v>
      </c>
      <c r="E64" s="15">
        <f>MAX(モンスター計算!AJ359:AJ364)</f>
        <v>27681.095358938655</v>
      </c>
      <c r="F64" s="14">
        <f>MAX(ABS(モンスター計算!AK359),ABS(モンスター計算!AK360),ABS(モンスター計算!AK361),ABS(モンスター計算!AK362),ABS(モンスター計算!AK363),ABS(モンスター計算!AK364))</f>
        <v>3.415295576991717E-5</v>
      </c>
      <c r="G64" s="15">
        <f>AVERAGE(モンスター計算!AL359:AL364)</f>
        <v>20206.509500000004</v>
      </c>
    </row>
    <row r="65" spans="1:7" ht="15">
      <c r="A65" s="6">
        <v>61</v>
      </c>
      <c r="B65" s="13">
        <f>モンスター計算!D365</f>
        <v>30448.16</v>
      </c>
      <c r="C65" s="13">
        <f>AVERAGE(モンスター計算!AJ365:AJ370)</f>
        <v>30448.439252285072</v>
      </c>
      <c r="D65" s="15">
        <f>MIN(モンスター計算!AJ365:AJ370)</f>
        <v>30446.965897245413</v>
      </c>
      <c r="E65" s="15">
        <f>MAX(モンスター計算!AJ365:AJ370)</f>
        <v>30449.702325346374</v>
      </c>
      <c r="F65" s="14">
        <f>MAX(ABS(モンスター計算!AK365),ABS(モンスター計算!AK366),ABS(モンスター計算!AK367),ABS(モンスター計算!AK368),ABS(モンスター計算!AK369),ABS(モンスター計算!AK370))</f>
        <v>5.0654139572836598E-5</v>
      </c>
      <c r="G65" s="15">
        <f>AVERAGE(モンスター計算!AL365:AL370)</f>
        <v>22531.6384</v>
      </c>
    </row>
  </sheetData>
  <mergeCells count="1">
    <mergeCell ref="A1:G1"/>
  </mergeCells>
  <phoneticPr fontId="20"/>
  <conditionalFormatting sqref="F5:F65">
    <cfRule type="cellIs" dxfId="0" priority="1" operator="greaterThan">
      <formula>0.05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"/>
  <sheetViews>
    <sheetView workbookViewId="0">
      <pane ySplit="4" topLeftCell="A30" activePane="bottomLeft" state="frozen"/>
      <selection pane="bottomLeft" activeCell="A44" sqref="A44"/>
    </sheetView>
  </sheetViews>
  <sheetFormatPr defaultRowHeight="14.25"/>
  <cols>
    <col min="1" max="1" width="21.625" customWidth="1"/>
    <col min="2" max="2" width="12" customWidth="1"/>
    <col min="3" max="15" width="13" customWidth="1"/>
    <col min="16" max="16" width="56.625" customWidth="1"/>
  </cols>
  <sheetData>
    <row r="1" spans="1:16" ht="32.1" customHeight="1">
      <c r="A1" s="112" t="s">
        <v>851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32.1" customHeight="1">
      <c r="A2" s="113" t="s">
        <v>852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16" ht="15" thickBot="1"/>
    <row r="4" spans="1:16" ht="32.1" customHeight="1" thickBot="1">
      <c r="A4" s="48" t="s">
        <v>853</v>
      </c>
      <c r="B4" s="49" t="s">
        <v>87</v>
      </c>
      <c r="C4" s="49" t="s">
        <v>854</v>
      </c>
      <c r="D4" s="49" t="s">
        <v>855</v>
      </c>
      <c r="E4" s="49" t="s">
        <v>856</v>
      </c>
      <c r="F4" s="49" t="s">
        <v>857</v>
      </c>
      <c r="G4" s="49" t="s">
        <v>858</v>
      </c>
      <c r="H4" s="49" t="s">
        <v>859</v>
      </c>
      <c r="I4" s="49" t="s">
        <v>74</v>
      </c>
      <c r="J4" s="49" t="s">
        <v>75</v>
      </c>
      <c r="K4" s="49" t="s">
        <v>76</v>
      </c>
      <c r="L4" s="49" t="s">
        <v>860</v>
      </c>
      <c r="M4" s="49" t="s">
        <v>861</v>
      </c>
      <c r="N4" s="49" t="s">
        <v>862</v>
      </c>
      <c r="O4" s="49" t="s">
        <v>863</v>
      </c>
      <c r="P4" s="50" t="s">
        <v>864</v>
      </c>
    </row>
    <row r="5" spans="1:16">
      <c r="A5" s="42" t="s">
        <v>878</v>
      </c>
      <c r="B5" s="43" t="s">
        <v>879</v>
      </c>
      <c r="C5" s="44">
        <v>0.82</v>
      </c>
      <c r="D5" s="44">
        <v>0.85</v>
      </c>
      <c r="E5" s="44">
        <v>1</v>
      </c>
      <c r="F5" s="44">
        <v>1</v>
      </c>
      <c r="G5" s="44">
        <v>1</v>
      </c>
      <c r="H5" s="44">
        <v>0.68</v>
      </c>
      <c r="I5" s="45">
        <v>0.05</v>
      </c>
      <c r="J5" s="44">
        <v>1.5</v>
      </c>
      <c r="K5" s="44">
        <v>2</v>
      </c>
      <c r="L5" s="46">
        <v>-0.02</v>
      </c>
      <c r="M5" s="44">
        <v>1</v>
      </c>
      <c r="N5" s="44">
        <v>0.9</v>
      </c>
      <c r="O5" s="44">
        <v>1</v>
      </c>
      <c r="P5" s="47" t="s">
        <v>880</v>
      </c>
    </row>
    <row r="6" spans="1:16">
      <c r="A6" s="32" t="s">
        <v>881</v>
      </c>
      <c r="B6" s="24" t="s">
        <v>879</v>
      </c>
      <c r="C6" s="25">
        <v>0.92</v>
      </c>
      <c r="D6" s="25">
        <v>0.95</v>
      </c>
      <c r="E6" s="25">
        <v>1.05</v>
      </c>
      <c r="F6" s="25">
        <v>1.05</v>
      </c>
      <c r="G6" s="25">
        <v>1</v>
      </c>
      <c r="H6" s="25">
        <v>0.74</v>
      </c>
      <c r="I6" s="26">
        <v>0.05</v>
      </c>
      <c r="J6" s="25">
        <v>1.5</v>
      </c>
      <c r="K6" s="25">
        <v>2</v>
      </c>
      <c r="L6" s="27">
        <v>0</v>
      </c>
      <c r="M6" s="25">
        <v>1</v>
      </c>
      <c r="N6" s="25">
        <v>1</v>
      </c>
      <c r="O6" s="25">
        <v>1</v>
      </c>
      <c r="P6" s="33" t="s">
        <v>882</v>
      </c>
    </row>
    <row r="7" spans="1:16">
      <c r="A7" s="32" t="s">
        <v>883</v>
      </c>
      <c r="B7" s="24" t="s">
        <v>879</v>
      </c>
      <c r="C7" s="25">
        <v>1</v>
      </c>
      <c r="D7" s="25">
        <v>0.95</v>
      </c>
      <c r="E7" s="25">
        <v>1.1000000000000001</v>
      </c>
      <c r="F7" s="25">
        <v>1.1000000000000001</v>
      </c>
      <c r="G7" s="25">
        <v>1.08</v>
      </c>
      <c r="H7" s="25">
        <v>0.8</v>
      </c>
      <c r="I7" s="26">
        <v>7.0000000000000007E-2</v>
      </c>
      <c r="J7" s="25">
        <v>1.55</v>
      </c>
      <c r="K7" s="25">
        <v>2.2999999999999998</v>
      </c>
      <c r="L7" s="27">
        <v>-0.03</v>
      </c>
      <c r="M7" s="25">
        <v>1</v>
      </c>
      <c r="N7" s="25">
        <v>1.1000000000000001</v>
      </c>
      <c r="O7" s="25">
        <v>1</v>
      </c>
      <c r="P7" s="33" t="s">
        <v>884</v>
      </c>
    </row>
    <row r="8" spans="1:16">
      <c r="A8" s="32" t="s">
        <v>885</v>
      </c>
      <c r="B8" s="24" t="s">
        <v>886</v>
      </c>
      <c r="C8" s="25">
        <v>1.2</v>
      </c>
      <c r="D8" s="25">
        <v>1.3</v>
      </c>
      <c r="E8" s="25">
        <v>0.85</v>
      </c>
      <c r="F8" s="25">
        <v>1</v>
      </c>
      <c r="G8" s="25">
        <v>0.8</v>
      </c>
      <c r="H8" s="25">
        <v>0.85</v>
      </c>
      <c r="I8" s="26">
        <v>0.08</v>
      </c>
      <c r="J8" s="25">
        <v>1.6</v>
      </c>
      <c r="K8" s="25">
        <v>2.8</v>
      </c>
      <c r="L8" s="27">
        <v>3.5000000000000003E-2</v>
      </c>
      <c r="M8" s="25">
        <v>1</v>
      </c>
      <c r="N8" s="25">
        <v>0.85</v>
      </c>
      <c r="O8" s="25">
        <v>1</v>
      </c>
      <c r="P8" s="33" t="s">
        <v>887</v>
      </c>
    </row>
    <row r="9" spans="1:16">
      <c r="A9" s="32" t="s">
        <v>888</v>
      </c>
      <c r="B9" s="24" t="s">
        <v>886</v>
      </c>
      <c r="C9" s="25">
        <v>1.35</v>
      </c>
      <c r="D9" s="25">
        <v>1.4</v>
      </c>
      <c r="E9" s="25">
        <v>1</v>
      </c>
      <c r="F9" s="25">
        <v>1.05</v>
      </c>
      <c r="G9" s="25">
        <v>0.8</v>
      </c>
      <c r="H9" s="25">
        <v>0.9</v>
      </c>
      <c r="I9" s="26">
        <v>0.08</v>
      </c>
      <c r="J9" s="25">
        <v>1.6</v>
      </c>
      <c r="K9" s="25">
        <v>2.7</v>
      </c>
      <c r="L9" s="27">
        <v>6.5000000000000002E-2</v>
      </c>
      <c r="M9" s="25">
        <v>1</v>
      </c>
      <c r="N9" s="25">
        <v>0.9</v>
      </c>
      <c r="O9" s="25">
        <v>1</v>
      </c>
      <c r="P9" s="33" t="s">
        <v>889</v>
      </c>
    </row>
    <row r="10" spans="1:16">
      <c r="A10" s="32" t="s">
        <v>890</v>
      </c>
      <c r="B10" s="24" t="s">
        <v>879</v>
      </c>
      <c r="C10" s="25">
        <v>1.5</v>
      </c>
      <c r="D10" s="25">
        <v>1.5</v>
      </c>
      <c r="E10" s="25">
        <v>1.4</v>
      </c>
      <c r="F10" s="25">
        <v>1.2</v>
      </c>
      <c r="G10" s="25">
        <v>1.2</v>
      </c>
      <c r="H10" s="25">
        <v>1</v>
      </c>
      <c r="I10" s="26">
        <v>0.1</v>
      </c>
      <c r="J10" s="25">
        <v>1.75</v>
      </c>
      <c r="K10" s="25">
        <v>2.4</v>
      </c>
      <c r="L10" s="27">
        <v>0.08</v>
      </c>
      <c r="M10" s="25">
        <v>1</v>
      </c>
      <c r="N10" s="25">
        <v>1.25</v>
      </c>
      <c r="O10" s="25">
        <v>1</v>
      </c>
      <c r="P10" s="33" t="s">
        <v>891</v>
      </c>
    </row>
    <row r="11" spans="1:16">
      <c r="A11" s="32" t="s">
        <v>892</v>
      </c>
      <c r="B11" s="24" t="s">
        <v>886</v>
      </c>
      <c r="C11" s="25">
        <v>0.92</v>
      </c>
      <c r="D11" s="25">
        <v>0.95</v>
      </c>
      <c r="E11" s="25">
        <v>1.05</v>
      </c>
      <c r="F11" s="25">
        <v>1.05</v>
      </c>
      <c r="G11" s="25">
        <v>0.8</v>
      </c>
      <c r="H11" s="25">
        <v>0.74</v>
      </c>
      <c r="I11" s="26">
        <v>0.05</v>
      </c>
      <c r="J11" s="25">
        <v>1.5</v>
      </c>
      <c r="K11" s="25">
        <v>2</v>
      </c>
      <c r="L11" s="27">
        <v>0.01</v>
      </c>
      <c r="M11" s="25">
        <v>1</v>
      </c>
      <c r="N11" s="25">
        <v>1</v>
      </c>
      <c r="O11" s="25">
        <v>1</v>
      </c>
      <c r="P11" s="33" t="s">
        <v>893</v>
      </c>
    </row>
    <row r="12" spans="1:16">
      <c r="A12" s="32" t="s">
        <v>894</v>
      </c>
      <c r="B12" s="24" t="s">
        <v>879</v>
      </c>
      <c r="C12" s="25">
        <v>1.2</v>
      </c>
      <c r="D12" s="25">
        <v>1.3</v>
      </c>
      <c r="E12" s="25">
        <v>0.85</v>
      </c>
      <c r="F12" s="25">
        <v>1</v>
      </c>
      <c r="G12" s="25">
        <v>1</v>
      </c>
      <c r="H12" s="25">
        <v>0.85</v>
      </c>
      <c r="I12" s="26">
        <v>0.08</v>
      </c>
      <c r="J12" s="25">
        <v>1.6</v>
      </c>
      <c r="K12" s="25">
        <v>2.8</v>
      </c>
      <c r="L12" s="27">
        <v>1.4999999999999999E-2</v>
      </c>
      <c r="M12" s="25">
        <v>1</v>
      </c>
      <c r="N12" s="25">
        <v>1</v>
      </c>
      <c r="O12" s="25">
        <v>1</v>
      </c>
      <c r="P12" s="33" t="s">
        <v>895</v>
      </c>
    </row>
    <row r="13" spans="1:16">
      <c r="A13" s="32" t="s">
        <v>896</v>
      </c>
      <c r="B13" s="24" t="s">
        <v>879</v>
      </c>
      <c r="C13" s="25">
        <v>0.78</v>
      </c>
      <c r="D13" s="25">
        <v>0.75</v>
      </c>
      <c r="E13" s="25">
        <v>0.8</v>
      </c>
      <c r="F13" s="25">
        <v>1.1000000000000001</v>
      </c>
      <c r="G13" s="25">
        <v>1.1000000000000001</v>
      </c>
      <c r="H13" s="25">
        <v>0.72</v>
      </c>
      <c r="I13" s="26">
        <v>0.11</v>
      </c>
      <c r="J13" s="25">
        <v>1.65</v>
      </c>
      <c r="K13" s="25">
        <v>2.2000000000000002</v>
      </c>
      <c r="L13" s="27">
        <v>-0.04</v>
      </c>
      <c r="M13" s="25">
        <v>1.05</v>
      </c>
      <c r="N13" s="25">
        <v>1.1499999999999999</v>
      </c>
      <c r="O13" s="25">
        <v>1</v>
      </c>
      <c r="P13" s="33" t="s">
        <v>897</v>
      </c>
    </row>
    <row r="14" spans="1:16">
      <c r="A14" s="32" t="s">
        <v>898</v>
      </c>
      <c r="B14" s="24" t="s">
        <v>879</v>
      </c>
      <c r="C14" s="25">
        <v>1</v>
      </c>
      <c r="D14" s="25">
        <v>1</v>
      </c>
      <c r="E14" s="25">
        <v>1.2</v>
      </c>
      <c r="F14" s="25">
        <v>0.95</v>
      </c>
      <c r="G14" s="25">
        <v>1.1499999999999999</v>
      </c>
      <c r="H14" s="25">
        <v>0.84</v>
      </c>
      <c r="I14" s="26">
        <v>0.06</v>
      </c>
      <c r="J14" s="25">
        <v>1.4</v>
      </c>
      <c r="K14" s="25">
        <v>2.1</v>
      </c>
      <c r="L14" s="27">
        <v>0.03</v>
      </c>
      <c r="M14" s="25">
        <v>1.2</v>
      </c>
      <c r="N14" s="25">
        <v>1.45</v>
      </c>
      <c r="O14" s="25">
        <v>1</v>
      </c>
      <c r="P14" s="33" t="s">
        <v>899</v>
      </c>
    </row>
    <row r="15" spans="1:16">
      <c r="A15" s="32" t="s">
        <v>900</v>
      </c>
      <c r="B15" s="24" t="s">
        <v>886</v>
      </c>
      <c r="C15" s="25">
        <v>0.9</v>
      </c>
      <c r="D15" s="25">
        <v>0.9</v>
      </c>
      <c r="E15" s="25">
        <v>0.9</v>
      </c>
      <c r="F15" s="25">
        <v>1.18</v>
      </c>
      <c r="G15" s="25">
        <v>0.9</v>
      </c>
      <c r="H15" s="25">
        <v>0.72</v>
      </c>
      <c r="I15" s="26">
        <v>0.11</v>
      </c>
      <c r="J15" s="25">
        <v>1.75</v>
      </c>
      <c r="K15" s="25">
        <v>3</v>
      </c>
      <c r="L15" s="27">
        <v>-0.03</v>
      </c>
      <c r="M15" s="25">
        <v>1.05</v>
      </c>
      <c r="N15" s="25">
        <v>0.8</v>
      </c>
      <c r="O15" s="25">
        <v>1</v>
      </c>
      <c r="P15" s="33" t="s">
        <v>901</v>
      </c>
    </row>
    <row r="16" spans="1:16">
      <c r="A16" s="32" t="s">
        <v>902</v>
      </c>
      <c r="B16" s="24" t="s">
        <v>886</v>
      </c>
      <c r="C16" s="25">
        <v>0.8</v>
      </c>
      <c r="D16" s="25">
        <v>0.8</v>
      </c>
      <c r="E16" s="25">
        <v>0.8</v>
      </c>
      <c r="F16" s="25">
        <v>1.32</v>
      </c>
      <c r="G16" s="25">
        <v>1</v>
      </c>
      <c r="H16" s="25">
        <v>0.68</v>
      </c>
      <c r="I16" s="26">
        <v>0.08</v>
      </c>
      <c r="J16" s="25">
        <v>1.55</v>
      </c>
      <c r="K16" s="25">
        <v>3.3</v>
      </c>
      <c r="L16" s="27">
        <v>-0.04</v>
      </c>
      <c r="M16" s="25">
        <v>1.2</v>
      </c>
      <c r="N16" s="25">
        <v>0.85</v>
      </c>
      <c r="O16" s="25">
        <v>1</v>
      </c>
      <c r="P16" s="33" t="s">
        <v>903</v>
      </c>
    </row>
    <row r="17" spans="1:16">
      <c r="A17" s="32" t="s">
        <v>904</v>
      </c>
      <c r="B17" s="24" t="s">
        <v>886</v>
      </c>
      <c r="C17" s="25">
        <v>1.6</v>
      </c>
      <c r="D17" s="25">
        <v>1.55</v>
      </c>
      <c r="E17" s="25">
        <v>1.4</v>
      </c>
      <c r="F17" s="25">
        <v>0.82</v>
      </c>
      <c r="G17" s="25">
        <v>0.8</v>
      </c>
      <c r="H17" s="25">
        <v>0.88</v>
      </c>
      <c r="I17" s="26">
        <v>0.04</v>
      </c>
      <c r="J17" s="25">
        <v>1.4</v>
      </c>
      <c r="K17" s="25">
        <v>2.2000000000000002</v>
      </c>
      <c r="L17" s="27">
        <v>0.1</v>
      </c>
      <c r="M17" s="25">
        <v>1</v>
      </c>
      <c r="N17" s="25">
        <v>0.85</v>
      </c>
      <c r="O17" s="25">
        <v>1</v>
      </c>
      <c r="P17" s="33" t="s">
        <v>905</v>
      </c>
    </row>
    <row r="18" spans="1:16">
      <c r="A18" s="32" t="s">
        <v>906</v>
      </c>
      <c r="B18" s="24" t="s">
        <v>879</v>
      </c>
      <c r="C18" s="25">
        <v>1.1000000000000001</v>
      </c>
      <c r="D18" s="25">
        <v>1.1000000000000001</v>
      </c>
      <c r="E18" s="25">
        <v>1.1000000000000001</v>
      </c>
      <c r="F18" s="25">
        <v>1</v>
      </c>
      <c r="G18" s="25">
        <v>1</v>
      </c>
      <c r="H18" s="25">
        <v>0.88</v>
      </c>
      <c r="I18" s="26">
        <v>7.0000000000000007E-2</v>
      </c>
      <c r="J18" s="25">
        <v>1.55</v>
      </c>
      <c r="K18" s="25">
        <v>2.4</v>
      </c>
      <c r="L18" s="27">
        <v>0.02</v>
      </c>
      <c r="M18" s="25">
        <v>1</v>
      </c>
      <c r="N18" s="25">
        <v>1.05</v>
      </c>
      <c r="O18" s="25">
        <v>1</v>
      </c>
      <c r="P18" s="33" t="s">
        <v>907</v>
      </c>
    </row>
    <row r="19" spans="1:16">
      <c r="A19" s="34" t="s">
        <v>908</v>
      </c>
      <c r="B19" s="28" t="s">
        <v>879</v>
      </c>
      <c r="C19" s="29">
        <v>0.74</v>
      </c>
      <c r="D19" s="29">
        <v>0.72</v>
      </c>
      <c r="E19" s="29">
        <v>0.84</v>
      </c>
      <c r="F19" s="29">
        <v>1.55</v>
      </c>
      <c r="G19" s="29">
        <v>0.92</v>
      </c>
      <c r="H19" s="29">
        <v>0.61</v>
      </c>
      <c r="I19" s="30">
        <v>0.05</v>
      </c>
      <c r="J19" s="29">
        <v>1.4</v>
      </c>
      <c r="K19" s="29">
        <v>3.35</v>
      </c>
      <c r="L19" s="31">
        <v>-7.0000000000000007E-2</v>
      </c>
      <c r="M19" s="29">
        <v>1</v>
      </c>
      <c r="N19" s="29">
        <v>0.95</v>
      </c>
      <c r="O19" s="29">
        <v>0.65</v>
      </c>
      <c r="P19" s="35" t="s">
        <v>909</v>
      </c>
    </row>
    <row r="20" spans="1:16">
      <c r="A20" s="34" t="s">
        <v>910</v>
      </c>
      <c r="B20" s="28" t="s">
        <v>879</v>
      </c>
      <c r="C20" s="29">
        <v>0.67</v>
      </c>
      <c r="D20" s="29">
        <v>0.65</v>
      </c>
      <c r="E20" s="29">
        <v>0.8</v>
      </c>
      <c r="F20" s="29">
        <v>0.75</v>
      </c>
      <c r="G20" s="29">
        <v>1.78</v>
      </c>
      <c r="H20" s="29">
        <v>0.62</v>
      </c>
      <c r="I20" s="30">
        <v>0.18</v>
      </c>
      <c r="J20" s="29">
        <v>1.85</v>
      </c>
      <c r="K20" s="29">
        <v>2.0499999999999998</v>
      </c>
      <c r="L20" s="31">
        <v>-0.06</v>
      </c>
      <c r="M20" s="29">
        <v>1.4</v>
      </c>
      <c r="N20" s="29">
        <v>1.1000000000000001</v>
      </c>
      <c r="O20" s="29">
        <v>0.52</v>
      </c>
      <c r="P20" s="35" t="s">
        <v>911</v>
      </c>
    </row>
    <row r="21" spans="1:16">
      <c r="A21" s="34" t="s">
        <v>912</v>
      </c>
      <c r="B21" s="28" t="s">
        <v>879</v>
      </c>
      <c r="C21" s="29">
        <v>0.91</v>
      </c>
      <c r="D21" s="29">
        <v>0.88</v>
      </c>
      <c r="E21" s="29">
        <v>0.95</v>
      </c>
      <c r="F21" s="29">
        <v>0.64</v>
      </c>
      <c r="G21" s="29">
        <v>1.48</v>
      </c>
      <c r="H21" s="29">
        <v>0.75</v>
      </c>
      <c r="I21" s="30">
        <v>0.04</v>
      </c>
      <c r="J21" s="29">
        <v>2.2000000000000002</v>
      </c>
      <c r="K21" s="29">
        <v>1.65</v>
      </c>
      <c r="L21" s="31">
        <v>-2.5000000000000001E-2</v>
      </c>
      <c r="M21" s="29">
        <v>1.25</v>
      </c>
      <c r="N21" s="29">
        <v>1.6</v>
      </c>
      <c r="O21" s="29">
        <v>0.75</v>
      </c>
      <c r="P21" s="35" t="s">
        <v>913</v>
      </c>
    </row>
    <row r="22" spans="1:16">
      <c r="A22" s="34" t="s">
        <v>914</v>
      </c>
      <c r="B22" s="28" t="s">
        <v>879</v>
      </c>
      <c r="C22" s="29">
        <v>0.57999999999999996</v>
      </c>
      <c r="D22" s="29">
        <v>0.64</v>
      </c>
      <c r="E22" s="29">
        <v>0.65</v>
      </c>
      <c r="F22" s="29">
        <v>1.3</v>
      </c>
      <c r="G22" s="29">
        <v>1</v>
      </c>
      <c r="H22" s="29">
        <v>0.56999999999999995</v>
      </c>
      <c r="I22" s="30">
        <v>0.08</v>
      </c>
      <c r="J22" s="29">
        <v>1.55</v>
      </c>
      <c r="K22" s="29">
        <v>4.2</v>
      </c>
      <c r="L22" s="31">
        <v>-0.09</v>
      </c>
      <c r="M22" s="29">
        <v>1.05</v>
      </c>
      <c r="N22" s="29">
        <v>0.78</v>
      </c>
      <c r="O22" s="29">
        <v>0.48</v>
      </c>
      <c r="P22" s="35" t="s">
        <v>915</v>
      </c>
    </row>
    <row r="23" spans="1:16">
      <c r="A23" s="34" t="s">
        <v>916</v>
      </c>
      <c r="B23" s="28" t="s">
        <v>879</v>
      </c>
      <c r="C23" s="29">
        <v>1.72</v>
      </c>
      <c r="D23" s="29">
        <v>1.64</v>
      </c>
      <c r="E23" s="29">
        <v>1.55</v>
      </c>
      <c r="F23" s="29">
        <v>0.6</v>
      </c>
      <c r="G23" s="29">
        <v>1.24</v>
      </c>
      <c r="H23" s="29">
        <v>0.91</v>
      </c>
      <c r="I23" s="30">
        <v>3.5000000000000003E-2</v>
      </c>
      <c r="J23" s="29">
        <v>1.4</v>
      </c>
      <c r="K23" s="29">
        <v>1.5</v>
      </c>
      <c r="L23" s="31">
        <v>0.12</v>
      </c>
      <c r="M23" s="29">
        <v>1.03</v>
      </c>
      <c r="N23" s="29">
        <v>1.35</v>
      </c>
      <c r="O23" s="29">
        <v>0.65</v>
      </c>
      <c r="P23" s="35" t="s">
        <v>917</v>
      </c>
    </row>
    <row r="24" spans="1:16">
      <c r="A24" s="34" t="s">
        <v>918</v>
      </c>
      <c r="B24" s="28" t="s">
        <v>879</v>
      </c>
      <c r="C24" s="29">
        <v>0.96</v>
      </c>
      <c r="D24" s="29">
        <v>0.82</v>
      </c>
      <c r="E24" s="29">
        <v>0.91</v>
      </c>
      <c r="F24" s="29">
        <v>0.91</v>
      </c>
      <c r="G24" s="29">
        <v>1.9</v>
      </c>
      <c r="H24" s="29">
        <v>0.75</v>
      </c>
      <c r="I24" s="30">
        <v>0.06</v>
      </c>
      <c r="J24" s="29">
        <v>1.6</v>
      </c>
      <c r="K24" s="29">
        <v>2.25</v>
      </c>
      <c r="L24" s="31">
        <v>-0.02</v>
      </c>
      <c r="M24" s="29">
        <v>1.65</v>
      </c>
      <c r="N24" s="29">
        <v>1.1000000000000001</v>
      </c>
      <c r="O24" s="29">
        <v>0.62</v>
      </c>
      <c r="P24" s="35" t="s">
        <v>919</v>
      </c>
    </row>
    <row r="25" spans="1:16">
      <c r="A25" s="34" t="s">
        <v>920</v>
      </c>
      <c r="B25" s="28" t="s">
        <v>879</v>
      </c>
      <c r="C25" s="29">
        <v>1.28</v>
      </c>
      <c r="D25" s="29">
        <v>1.23</v>
      </c>
      <c r="E25" s="29">
        <v>1.1200000000000001</v>
      </c>
      <c r="F25" s="29">
        <v>1.45</v>
      </c>
      <c r="G25" s="29">
        <v>0.62</v>
      </c>
      <c r="H25" s="29">
        <v>0.8</v>
      </c>
      <c r="I25" s="30">
        <v>7.0000000000000007E-2</v>
      </c>
      <c r="J25" s="29">
        <v>1.5</v>
      </c>
      <c r="K25" s="29">
        <v>2.8</v>
      </c>
      <c r="L25" s="31">
        <v>0.03</v>
      </c>
      <c r="M25" s="29">
        <v>0.9</v>
      </c>
      <c r="N25" s="29">
        <v>0.95</v>
      </c>
      <c r="O25" s="29">
        <v>0.85</v>
      </c>
      <c r="P25" s="35" t="s">
        <v>921</v>
      </c>
    </row>
    <row r="26" spans="1:16">
      <c r="A26" s="34" t="s">
        <v>922</v>
      </c>
      <c r="B26" s="28" t="s">
        <v>879</v>
      </c>
      <c r="C26" s="29">
        <v>0.73</v>
      </c>
      <c r="D26" s="29">
        <v>0.77</v>
      </c>
      <c r="E26" s="29">
        <v>0.85</v>
      </c>
      <c r="F26" s="29">
        <v>0.95</v>
      </c>
      <c r="G26" s="29">
        <v>1.1200000000000001</v>
      </c>
      <c r="H26" s="29">
        <v>0.66</v>
      </c>
      <c r="I26" s="30">
        <v>0.26</v>
      </c>
      <c r="J26" s="29">
        <v>1.95</v>
      </c>
      <c r="K26" s="29">
        <v>2.75</v>
      </c>
      <c r="L26" s="31">
        <v>-0.05</v>
      </c>
      <c r="M26" s="29">
        <v>1.1000000000000001</v>
      </c>
      <c r="N26" s="29">
        <v>1.18</v>
      </c>
      <c r="O26" s="29">
        <v>0.56000000000000005</v>
      </c>
      <c r="P26" s="35" t="s">
        <v>923</v>
      </c>
    </row>
    <row r="27" spans="1:16">
      <c r="A27" s="34" t="s">
        <v>924</v>
      </c>
      <c r="B27" s="28" t="s">
        <v>879</v>
      </c>
      <c r="C27" s="29">
        <v>0.82</v>
      </c>
      <c r="D27" s="29">
        <v>0.81</v>
      </c>
      <c r="E27" s="29">
        <v>0.87</v>
      </c>
      <c r="F27" s="29">
        <v>0.68</v>
      </c>
      <c r="G27" s="29">
        <v>1.42</v>
      </c>
      <c r="H27" s="29">
        <v>0.67</v>
      </c>
      <c r="I27" s="30">
        <v>0.12</v>
      </c>
      <c r="J27" s="29">
        <v>2.5499999999999998</v>
      </c>
      <c r="K27" s="29">
        <v>2.2999999999999998</v>
      </c>
      <c r="L27" s="31">
        <v>-5.5E-2</v>
      </c>
      <c r="M27" s="29">
        <v>1.2</v>
      </c>
      <c r="N27" s="29">
        <v>1.35</v>
      </c>
      <c r="O27" s="29">
        <v>0.6</v>
      </c>
      <c r="P27" s="35" t="s">
        <v>925</v>
      </c>
    </row>
    <row r="28" spans="1:16">
      <c r="A28" s="34" t="s">
        <v>926</v>
      </c>
      <c r="B28" s="28" t="s">
        <v>879</v>
      </c>
      <c r="C28" s="29">
        <v>1.06</v>
      </c>
      <c r="D28" s="29">
        <v>0.77</v>
      </c>
      <c r="E28" s="29">
        <v>2.0499999999999998</v>
      </c>
      <c r="F28" s="29">
        <v>0.84</v>
      </c>
      <c r="G28" s="29">
        <v>1.06</v>
      </c>
      <c r="H28" s="29">
        <v>0.82</v>
      </c>
      <c r="I28" s="30">
        <v>4.4999999999999998E-2</v>
      </c>
      <c r="J28" s="29">
        <v>1.45</v>
      </c>
      <c r="K28" s="29">
        <v>1.9</v>
      </c>
      <c r="L28" s="31">
        <v>0.09</v>
      </c>
      <c r="M28" s="29">
        <v>1.1000000000000001</v>
      </c>
      <c r="N28" s="29">
        <v>1.75</v>
      </c>
      <c r="O28" s="29">
        <v>0.65</v>
      </c>
      <c r="P28" s="35" t="s">
        <v>927</v>
      </c>
    </row>
    <row r="29" spans="1:16">
      <c r="A29" s="34" t="s">
        <v>928</v>
      </c>
      <c r="B29" s="28" t="s">
        <v>879</v>
      </c>
      <c r="C29" s="29">
        <v>1.1200000000000001</v>
      </c>
      <c r="D29" s="29">
        <v>1.95</v>
      </c>
      <c r="E29" s="29">
        <v>0.72</v>
      </c>
      <c r="F29" s="29">
        <v>0.87</v>
      </c>
      <c r="G29" s="29">
        <v>0.94</v>
      </c>
      <c r="H29" s="29">
        <v>0.82</v>
      </c>
      <c r="I29" s="30">
        <v>5.5E-2</v>
      </c>
      <c r="J29" s="29">
        <v>1.5</v>
      </c>
      <c r="K29" s="29">
        <v>1.85</v>
      </c>
      <c r="L29" s="31">
        <v>6.5000000000000002E-2</v>
      </c>
      <c r="M29" s="29">
        <v>1.05</v>
      </c>
      <c r="N29" s="29">
        <v>1.35</v>
      </c>
      <c r="O29" s="29">
        <v>0.66</v>
      </c>
      <c r="P29" s="35" t="s">
        <v>929</v>
      </c>
    </row>
    <row r="30" spans="1:16">
      <c r="A30" s="34" t="s">
        <v>930</v>
      </c>
      <c r="B30" s="28" t="s">
        <v>879</v>
      </c>
      <c r="C30" s="29">
        <v>1</v>
      </c>
      <c r="D30" s="29">
        <v>0.96</v>
      </c>
      <c r="E30" s="29">
        <v>1.02</v>
      </c>
      <c r="F30" s="29">
        <v>0.92</v>
      </c>
      <c r="G30" s="29">
        <v>1.07</v>
      </c>
      <c r="H30" s="29">
        <v>0.85</v>
      </c>
      <c r="I30" s="30">
        <v>4.4999999999999998E-2</v>
      </c>
      <c r="J30" s="29">
        <v>1.4</v>
      </c>
      <c r="K30" s="29">
        <v>2.0499999999999998</v>
      </c>
      <c r="L30" s="31">
        <v>0.19</v>
      </c>
      <c r="M30" s="29">
        <v>1</v>
      </c>
      <c r="N30" s="29">
        <v>1.2</v>
      </c>
      <c r="O30" s="29">
        <v>0.7</v>
      </c>
      <c r="P30" s="35" t="s">
        <v>931</v>
      </c>
    </row>
    <row r="31" spans="1:16">
      <c r="A31" s="34" t="s">
        <v>932</v>
      </c>
      <c r="B31" s="28" t="s">
        <v>879</v>
      </c>
      <c r="C31" s="29">
        <v>1.03</v>
      </c>
      <c r="D31" s="29">
        <v>0.96</v>
      </c>
      <c r="E31" s="29">
        <v>1.18</v>
      </c>
      <c r="F31" s="29">
        <v>0.9</v>
      </c>
      <c r="G31" s="29">
        <v>1.1200000000000001</v>
      </c>
      <c r="H31" s="29">
        <v>0.79</v>
      </c>
      <c r="I31" s="30">
        <v>6.5000000000000002E-2</v>
      </c>
      <c r="J31" s="29">
        <v>1.45</v>
      </c>
      <c r="K31" s="29">
        <v>2.1</v>
      </c>
      <c r="L31" s="31">
        <v>0.02</v>
      </c>
      <c r="M31" s="29">
        <v>1.05</v>
      </c>
      <c r="N31" s="29">
        <v>2.65</v>
      </c>
      <c r="O31" s="29">
        <v>0.7</v>
      </c>
      <c r="P31" s="35" t="s">
        <v>933</v>
      </c>
    </row>
    <row r="32" spans="1:16">
      <c r="A32" s="34" t="s">
        <v>934</v>
      </c>
      <c r="B32" s="28" t="s">
        <v>879</v>
      </c>
      <c r="C32" s="29">
        <v>0.89</v>
      </c>
      <c r="D32" s="29">
        <v>0.92</v>
      </c>
      <c r="E32" s="29">
        <v>0.91</v>
      </c>
      <c r="F32" s="29">
        <v>1.1499999999999999</v>
      </c>
      <c r="G32" s="29">
        <v>1.23</v>
      </c>
      <c r="H32" s="29">
        <v>0.74</v>
      </c>
      <c r="I32" s="30">
        <v>7.4999999999999997E-2</v>
      </c>
      <c r="J32" s="29">
        <v>1.5</v>
      </c>
      <c r="K32" s="29">
        <v>3.1</v>
      </c>
      <c r="L32" s="31">
        <v>-0.01</v>
      </c>
      <c r="M32" s="29">
        <v>2.15</v>
      </c>
      <c r="N32" s="29">
        <v>0.95</v>
      </c>
      <c r="O32" s="29">
        <v>0.6</v>
      </c>
      <c r="P32" s="35" t="s">
        <v>935</v>
      </c>
    </row>
    <row r="33" spans="1:16">
      <c r="A33" s="34" t="s">
        <v>936</v>
      </c>
      <c r="B33" s="28" t="s">
        <v>879</v>
      </c>
      <c r="C33" s="29">
        <v>0.79</v>
      </c>
      <c r="D33" s="29">
        <v>0.85</v>
      </c>
      <c r="E33" s="29">
        <v>0.81</v>
      </c>
      <c r="F33" s="29">
        <v>1.72</v>
      </c>
      <c r="G33" s="29">
        <v>0.76</v>
      </c>
      <c r="H33" s="29">
        <v>0.63</v>
      </c>
      <c r="I33" s="30">
        <v>6.5000000000000002E-2</v>
      </c>
      <c r="J33" s="29">
        <v>1.45</v>
      </c>
      <c r="K33" s="29">
        <v>4</v>
      </c>
      <c r="L33" s="31">
        <v>-7.0000000000000007E-2</v>
      </c>
      <c r="M33" s="29">
        <v>1.35</v>
      </c>
      <c r="N33" s="29">
        <v>0.9</v>
      </c>
      <c r="O33" s="29">
        <v>0.53</v>
      </c>
      <c r="P33" s="35" t="s">
        <v>937</v>
      </c>
    </row>
    <row r="34" spans="1:16">
      <c r="A34" s="34" t="s">
        <v>938</v>
      </c>
      <c r="B34" s="28" t="s">
        <v>879</v>
      </c>
      <c r="C34" s="29">
        <v>1.4</v>
      </c>
      <c r="D34" s="29">
        <v>0.95</v>
      </c>
      <c r="E34" s="29">
        <v>1.68</v>
      </c>
      <c r="F34" s="29">
        <v>0.72</v>
      </c>
      <c r="G34" s="29">
        <v>1.33</v>
      </c>
      <c r="H34" s="29">
        <v>0.86</v>
      </c>
      <c r="I34" s="30">
        <v>0.115</v>
      </c>
      <c r="J34" s="29">
        <v>1.95</v>
      </c>
      <c r="K34" s="29">
        <v>1.2</v>
      </c>
      <c r="L34" s="31">
        <v>0.08</v>
      </c>
      <c r="M34" s="29">
        <v>1.25</v>
      </c>
      <c r="N34" s="29">
        <v>2.2000000000000002</v>
      </c>
      <c r="O34" s="29">
        <v>0.84</v>
      </c>
      <c r="P34" s="35" t="s">
        <v>939</v>
      </c>
    </row>
    <row r="35" spans="1:16">
      <c r="A35" s="34" t="s">
        <v>940</v>
      </c>
      <c r="B35" s="28" t="s">
        <v>879</v>
      </c>
      <c r="C35" s="29">
        <v>0.55000000000000004</v>
      </c>
      <c r="D35" s="29">
        <v>1.45</v>
      </c>
      <c r="E35" s="29">
        <v>2.25</v>
      </c>
      <c r="F35" s="29">
        <v>0.88</v>
      </c>
      <c r="G35" s="29">
        <v>1.26</v>
      </c>
      <c r="H35" s="29">
        <v>0.75</v>
      </c>
      <c r="I35" s="30">
        <v>0.04</v>
      </c>
      <c r="J35" s="29">
        <v>1.38</v>
      </c>
      <c r="K35" s="29">
        <v>2.2000000000000002</v>
      </c>
      <c r="L35" s="31">
        <v>0.13</v>
      </c>
      <c r="M35" s="29">
        <v>1.1200000000000001</v>
      </c>
      <c r="N35" s="29">
        <v>1.5</v>
      </c>
      <c r="O35" s="29">
        <v>0.8</v>
      </c>
      <c r="P35" s="35" t="s">
        <v>941</v>
      </c>
    </row>
    <row r="36" spans="1:16">
      <c r="A36" s="34" t="s">
        <v>942</v>
      </c>
      <c r="B36" s="28" t="s">
        <v>886</v>
      </c>
      <c r="C36" s="29">
        <v>0.65</v>
      </c>
      <c r="D36" s="29">
        <v>0.62</v>
      </c>
      <c r="E36" s="29">
        <v>0.68</v>
      </c>
      <c r="F36" s="29">
        <v>1.35</v>
      </c>
      <c r="G36" s="29">
        <v>0.86</v>
      </c>
      <c r="H36" s="29">
        <v>0.56999999999999995</v>
      </c>
      <c r="I36" s="30">
        <v>0.18</v>
      </c>
      <c r="J36" s="29">
        <v>2.1</v>
      </c>
      <c r="K36" s="29">
        <v>3.15</v>
      </c>
      <c r="L36" s="31">
        <v>-0.08</v>
      </c>
      <c r="M36" s="29">
        <v>1.2</v>
      </c>
      <c r="N36" s="29">
        <v>0.48</v>
      </c>
      <c r="O36" s="29">
        <v>0.65</v>
      </c>
      <c r="P36" s="35" t="s">
        <v>943</v>
      </c>
    </row>
    <row r="37" spans="1:16">
      <c r="A37" s="34" t="s">
        <v>944</v>
      </c>
      <c r="B37" s="28" t="s">
        <v>886</v>
      </c>
      <c r="C37" s="29">
        <v>1.27</v>
      </c>
      <c r="D37" s="29">
        <v>1.05</v>
      </c>
      <c r="E37" s="29">
        <v>0.88</v>
      </c>
      <c r="F37" s="29">
        <v>0.53</v>
      </c>
      <c r="G37" s="29">
        <v>1.24</v>
      </c>
      <c r="H37" s="29">
        <v>0.8</v>
      </c>
      <c r="I37" s="30">
        <v>0.06</v>
      </c>
      <c r="J37" s="29">
        <v>2.15</v>
      </c>
      <c r="K37" s="29">
        <v>1.65</v>
      </c>
      <c r="L37" s="31">
        <v>-2.5000000000000001E-2</v>
      </c>
      <c r="M37" s="29">
        <v>1.1000000000000001</v>
      </c>
      <c r="N37" s="29">
        <v>0.7</v>
      </c>
      <c r="O37" s="29">
        <v>0.65</v>
      </c>
      <c r="P37" s="35" t="s">
        <v>945</v>
      </c>
    </row>
    <row r="38" spans="1:16">
      <c r="A38" s="34" t="s">
        <v>946</v>
      </c>
      <c r="B38" s="28" t="s">
        <v>886</v>
      </c>
      <c r="C38" s="29">
        <v>0.8</v>
      </c>
      <c r="D38" s="29">
        <v>0.82</v>
      </c>
      <c r="E38" s="29">
        <v>0.76</v>
      </c>
      <c r="F38" s="29">
        <v>1.06</v>
      </c>
      <c r="G38" s="29">
        <v>1.62</v>
      </c>
      <c r="H38" s="29">
        <v>0.71</v>
      </c>
      <c r="I38" s="30">
        <v>0.13</v>
      </c>
      <c r="J38" s="29">
        <v>1.7</v>
      </c>
      <c r="K38" s="29">
        <v>3</v>
      </c>
      <c r="L38" s="31">
        <v>-4.4999999999999998E-2</v>
      </c>
      <c r="M38" s="29">
        <v>1.3</v>
      </c>
      <c r="N38" s="29">
        <v>0.75</v>
      </c>
      <c r="O38" s="29">
        <v>0.76</v>
      </c>
      <c r="P38" s="35" t="s">
        <v>947</v>
      </c>
    </row>
    <row r="39" spans="1:16">
      <c r="A39" s="34" t="s">
        <v>948</v>
      </c>
      <c r="B39" s="28" t="s">
        <v>886</v>
      </c>
      <c r="C39" s="29">
        <v>0.81</v>
      </c>
      <c r="D39" s="29">
        <v>0.75</v>
      </c>
      <c r="E39" s="29">
        <v>0.79</v>
      </c>
      <c r="F39" s="29">
        <v>1.77</v>
      </c>
      <c r="G39" s="29">
        <v>0.76</v>
      </c>
      <c r="H39" s="29">
        <v>0.66</v>
      </c>
      <c r="I39" s="30">
        <v>7.0000000000000007E-2</v>
      </c>
      <c r="J39" s="29">
        <v>1.45</v>
      </c>
      <c r="K39" s="29">
        <v>3.35</v>
      </c>
      <c r="L39" s="31">
        <v>-6.5000000000000002E-2</v>
      </c>
      <c r="M39" s="29">
        <v>1.25</v>
      </c>
      <c r="N39" s="29">
        <v>0.78</v>
      </c>
      <c r="O39" s="29">
        <v>0.7</v>
      </c>
      <c r="P39" s="35" t="s">
        <v>949</v>
      </c>
    </row>
    <row r="40" spans="1:16">
      <c r="A40" s="34" t="s">
        <v>950</v>
      </c>
      <c r="B40" s="28" t="s">
        <v>886</v>
      </c>
      <c r="C40" s="29">
        <v>0.7</v>
      </c>
      <c r="D40" s="29">
        <v>0.76</v>
      </c>
      <c r="E40" s="29">
        <v>0.78</v>
      </c>
      <c r="F40" s="29">
        <v>1.3</v>
      </c>
      <c r="G40" s="29">
        <v>0.88</v>
      </c>
      <c r="H40" s="29">
        <v>0.62</v>
      </c>
      <c r="I40" s="30">
        <v>0.11</v>
      </c>
      <c r="J40" s="29">
        <v>1.58</v>
      </c>
      <c r="K40" s="29">
        <v>4.45</v>
      </c>
      <c r="L40" s="31">
        <v>-0.06</v>
      </c>
      <c r="M40" s="29">
        <v>1.4</v>
      </c>
      <c r="N40" s="29">
        <v>0.85</v>
      </c>
      <c r="O40" s="29">
        <v>0.75</v>
      </c>
      <c r="P40" s="35" t="s">
        <v>951</v>
      </c>
    </row>
    <row r="41" spans="1:16">
      <c r="A41" s="34" t="s">
        <v>952</v>
      </c>
      <c r="B41" s="28" t="s">
        <v>886</v>
      </c>
      <c r="C41" s="29">
        <v>1.82</v>
      </c>
      <c r="D41" s="29">
        <v>2.15</v>
      </c>
      <c r="E41" s="29">
        <v>1.06</v>
      </c>
      <c r="F41" s="29">
        <v>0.65</v>
      </c>
      <c r="G41" s="29">
        <v>0.68</v>
      </c>
      <c r="H41" s="29">
        <v>0.92</v>
      </c>
      <c r="I41" s="30">
        <v>0.03</v>
      </c>
      <c r="J41" s="29">
        <v>1.35</v>
      </c>
      <c r="K41" s="29">
        <v>1.5</v>
      </c>
      <c r="L41" s="31">
        <v>0.1</v>
      </c>
      <c r="M41" s="29">
        <v>0.85</v>
      </c>
      <c r="N41" s="29">
        <v>0.72</v>
      </c>
      <c r="O41" s="29">
        <v>0.84</v>
      </c>
      <c r="P41" s="35" t="s">
        <v>953</v>
      </c>
    </row>
    <row r="42" spans="1:16">
      <c r="A42" s="34" t="s">
        <v>954</v>
      </c>
      <c r="B42" s="28" t="s">
        <v>886</v>
      </c>
      <c r="C42" s="29">
        <v>1.47</v>
      </c>
      <c r="D42" s="29">
        <v>0.92</v>
      </c>
      <c r="E42" s="29">
        <v>2.2000000000000002</v>
      </c>
      <c r="F42" s="29">
        <v>0.79</v>
      </c>
      <c r="G42" s="29">
        <v>0.84</v>
      </c>
      <c r="H42" s="29">
        <v>0.86</v>
      </c>
      <c r="I42" s="30">
        <v>0.05</v>
      </c>
      <c r="J42" s="29">
        <v>1.5</v>
      </c>
      <c r="K42" s="29">
        <v>2.0499999999999998</v>
      </c>
      <c r="L42" s="31">
        <v>7.0000000000000007E-2</v>
      </c>
      <c r="M42" s="29">
        <v>1</v>
      </c>
      <c r="N42" s="29">
        <v>1</v>
      </c>
      <c r="O42" s="29">
        <v>0.76</v>
      </c>
      <c r="P42" s="35" t="s">
        <v>955</v>
      </c>
    </row>
    <row r="43" spans="1:16">
      <c r="A43" s="34" t="s">
        <v>956</v>
      </c>
      <c r="B43" s="28" t="s">
        <v>886</v>
      </c>
      <c r="C43" s="29">
        <v>1.18</v>
      </c>
      <c r="D43" s="29">
        <v>1.1399999999999999</v>
      </c>
      <c r="E43" s="29">
        <v>1.1399999999999999</v>
      </c>
      <c r="F43" s="29">
        <v>0.88</v>
      </c>
      <c r="G43" s="29">
        <v>0.95</v>
      </c>
      <c r="H43" s="29">
        <v>0.88</v>
      </c>
      <c r="I43" s="30">
        <v>0.04</v>
      </c>
      <c r="J43" s="29">
        <v>1.43</v>
      </c>
      <c r="K43" s="29">
        <v>2.15</v>
      </c>
      <c r="L43" s="31">
        <v>0.19</v>
      </c>
      <c r="M43" s="29">
        <v>0.95</v>
      </c>
      <c r="N43" s="29">
        <v>1.05</v>
      </c>
      <c r="O43" s="29">
        <v>0.7</v>
      </c>
      <c r="P43" s="35" t="s">
        <v>957</v>
      </c>
    </row>
    <row r="44" spans="1:16">
      <c r="A44" s="34" t="s">
        <v>958</v>
      </c>
      <c r="B44" s="28" t="s">
        <v>886</v>
      </c>
      <c r="C44" s="29">
        <v>0.92</v>
      </c>
      <c r="D44" s="29">
        <v>0.92</v>
      </c>
      <c r="E44" s="29">
        <v>0.85</v>
      </c>
      <c r="F44" s="29">
        <v>0.94</v>
      </c>
      <c r="G44" s="29">
        <v>1.82</v>
      </c>
      <c r="H44" s="29">
        <v>0.74</v>
      </c>
      <c r="I44" s="30">
        <v>7.0000000000000007E-2</v>
      </c>
      <c r="J44" s="29">
        <v>1.6</v>
      </c>
      <c r="K44" s="29">
        <v>2.4500000000000002</v>
      </c>
      <c r="L44" s="31">
        <v>-3.5000000000000003E-2</v>
      </c>
      <c r="M44" s="29">
        <v>1.4</v>
      </c>
      <c r="N44" s="29">
        <v>0.9</v>
      </c>
      <c r="O44" s="29">
        <v>0.8</v>
      </c>
      <c r="P44" s="35" t="s">
        <v>959</v>
      </c>
    </row>
    <row r="45" spans="1:16">
      <c r="A45" s="34" t="s">
        <v>960</v>
      </c>
      <c r="B45" s="28" t="s">
        <v>886</v>
      </c>
      <c r="C45" s="29">
        <v>0.66</v>
      </c>
      <c r="D45" s="29">
        <v>0.7</v>
      </c>
      <c r="E45" s="29">
        <v>0.71</v>
      </c>
      <c r="F45" s="29">
        <v>1.56</v>
      </c>
      <c r="G45" s="29">
        <v>0.6</v>
      </c>
      <c r="H45" s="29">
        <v>0.6</v>
      </c>
      <c r="I45" s="30">
        <v>0.21</v>
      </c>
      <c r="J45" s="29">
        <v>1.78</v>
      </c>
      <c r="K45" s="29">
        <v>4.05</v>
      </c>
      <c r="L45" s="31">
        <v>-0.08</v>
      </c>
      <c r="M45" s="29">
        <v>1.25</v>
      </c>
      <c r="N45" s="29">
        <v>0.6</v>
      </c>
      <c r="O45" s="29">
        <v>0.55000000000000004</v>
      </c>
      <c r="P45" s="35" t="s">
        <v>961</v>
      </c>
    </row>
    <row r="46" spans="1:16">
      <c r="A46" s="34" t="s">
        <v>962</v>
      </c>
      <c r="B46" s="28" t="s">
        <v>886</v>
      </c>
      <c r="C46" s="29">
        <v>0.57999999999999996</v>
      </c>
      <c r="D46" s="29">
        <v>0.55000000000000004</v>
      </c>
      <c r="E46" s="29">
        <v>0.56000000000000005</v>
      </c>
      <c r="F46" s="29">
        <v>1.0900000000000001</v>
      </c>
      <c r="G46" s="29">
        <v>0.96</v>
      </c>
      <c r="H46" s="29">
        <v>0.54</v>
      </c>
      <c r="I46" s="30">
        <v>0.08</v>
      </c>
      <c r="J46" s="29">
        <v>1.95</v>
      </c>
      <c r="K46" s="29">
        <v>2.85</v>
      </c>
      <c r="L46" s="31">
        <v>-0.115</v>
      </c>
      <c r="M46" s="29">
        <v>1.1000000000000001</v>
      </c>
      <c r="N46" s="29">
        <v>0.5</v>
      </c>
      <c r="O46" s="29">
        <v>0.5</v>
      </c>
      <c r="P46" s="35" t="s">
        <v>963</v>
      </c>
    </row>
    <row r="47" spans="1:16">
      <c r="A47" s="34" t="s">
        <v>964</v>
      </c>
      <c r="B47" s="28" t="s">
        <v>886</v>
      </c>
      <c r="C47" s="29">
        <v>1.1200000000000001</v>
      </c>
      <c r="D47" s="29">
        <v>1.26</v>
      </c>
      <c r="E47" s="29">
        <v>1.24</v>
      </c>
      <c r="F47" s="29">
        <v>1.03</v>
      </c>
      <c r="G47" s="29">
        <v>0.98</v>
      </c>
      <c r="H47" s="29">
        <v>0.82</v>
      </c>
      <c r="I47" s="30">
        <v>0.04</v>
      </c>
      <c r="J47" s="29">
        <v>1.4</v>
      </c>
      <c r="K47" s="29">
        <v>2.4500000000000002</v>
      </c>
      <c r="L47" s="31">
        <v>0.04</v>
      </c>
      <c r="M47" s="29">
        <v>1</v>
      </c>
      <c r="N47" s="29">
        <v>0.95</v>
      </c>
      <c r="O47" s="29">
        <v>0.78</v>
      </c>
      <c r="P47" s="35" t="s">
        <v>965</v>
      </c>
    </row>
    <row r="48" spans="1:16">
      <c r="A48" s="34" t="s">
        <v>966</v>
      </c>
      <c r="B48" s="28" t="s">
        <v>886</v>
      </c>
      <c r="C48" s="29">
        <v>0.79</v>
      </c>
      <c r="D48" s="29">
        <v>0.79</v>
      </c>
      <c r="E48" s="29">
        <v>0.73</v>
      </c>
      <c r="F48" s="29">
        <v>1.41</v>
      </c>
      <c r="G48" s="29">
        <v>1.2</v>
      </c>
      <c r="H48" s="29">
        <v>0.64</v>
      </c>
      <c r="I48" s="30">
        <v>0.1</v>
      </c>
      <c r="J48" s="29">
        <v>1.85</v>
      </c>
      <c r="K48" s="29">
        <v>4</v>
      </c>
      <c r="L48" s="31">
        <v>-5.5E-2</v>
      </c>
      <c r="M48" s="29">
        <v>1.6</v>
      </c>
      <c r="N48" s="29">
        <v>0.85</v>
      </c>
      <c r="O48" s="29">
        <v>0.7</v>
      </c>
      <c r="P48" s="35" t="s">
        <v>967</v>
      </c>
    </row>
    <row r="49" spans="1:16">
      <c r="A49" s="34" t="s">
        <v>968</v>
      </c>
      <c r="B49" s="28" t="s">
        <v>886</v>
      </c>
      <c r="C49" s="29">
        <v>2.0499999999999998</v>
      </c>
      <c r="D49" s="29">
        <v>1.52</v>
      </c>
      <c r="E49" s="29">
        <v>1.3</v>
      </c>
      <c r="F49" s="29">
        <v>0.51</v>
      </c>
      <c r="G49" s="29">
        <v>0.85</v>
      </c>
      <c r="H49" s="29">
        <v>0.95</v>
      </c>
      <c r="I49" s="30">
        <v>2.5000000000000001E-2</v>
      </c>
      <c r="J49" s="29">
        <v>1.35</v>
      </c>
      <c r="K49" s="29">
        <v>1.1499999999999999</v>
      </c>
      <c r="L49" s="31">
        <v>0.05</v>
      </c>
      <c r="M49" s="29">
        <v>0.8</v>
      </c>
      <c r="N49" s="29">
        <v>0.6</v>
      </c>
      <c r="O49" s="29">
        <v>0.9</v>
      </c>
      <c r="P49" s="35" t="s">
        <v>969</v>
      </c>
    </row>
    <row r="50" spans="1:16">
      <c r="A50" s="34" t="s">
        <v>970</v>
      </c>
      <c r="B50" s="28" t="s">
        <v>886</v>
      </c>
      <c r="C50" s="29">
        <v>0.87</v>
      </c>
      <c r="D50" s="29">
        <v>0.86</v>
      </c>
      <c r="E50" s="29">
        <v>0.77</v>
      </c>
      <c r="F50" s="29">
        <v>1.04</v>
      </c>
      <c r="G50" s="29">
        <v>1.02</v>
      </c>
      <c r="H50" s="29">
        <v>0.7</v>
      </c>
      <c r="I50" s="30">
        <v>0.27</v>
      </c>
      <c r="J50" s="29">
        <v>2.0299999999999998</v>
      </c>
      <c r="K50" s="29">
        <v>2.75</v>
      </c>
      <c r="L50" s="31">
        <v>-0.06</v>
      </c>
      <c r="M50" s="29">
        <v>1.05</v>
      </c>
      <c r="N50" s="29">
        <v>0.72</v>
      </c>
      <c r="O50" s="29">
        <v>0.65</v>
      </c>
      <c r="P50" s="35" t="s">
        <v>971</v>
      </c>
    </row>
    <row r="51" spans="1:16">
      <c r="A51" s="34" t="s">
        <v>972</v>
      </c>
      <c r="B51" s="28" t="s">
        <v>886</v>
      </c>
      <c r="C51" s="29">
        <v>1.2</v>
      </c>
      <c r="D51" s="29">
        <v>0.76</v>
      </c>
      <c r="E51" s="29">
        <v>2.1</v>
      </c>
      <c r="F51" s="29">
        <v>1</v>
      </c>
      <c r="G51" s="29">
        <v>0.93</v>
      </c>
      <c r="H51" s="29">
        <v>0.8</v>
      </c>
      <c r="I51" s="30">
        <v>0.05</v>
      </c>
      <c r="J51" s="29">
        <v>1.47</v>
      </c>
      <c r="K51" s="29">
        <v>2.4500000000000002</v>
      </c>
      <c r="L51" s="31">
        <v>6.5000000000000002E-2</v>
      </c>
      <c r="M51" s="29">
        <v>1.05</v>
      </c>
      <c r="N51" s="29">
        <v>1.1200000000000001</v>
      </c>
      <c r="O51" s="29">
        <v>0.83</v>
      </c>
      <c r="P51" s="35" t="s">
        <v>973</v>
      </c>
    </row>
    <row r="52" spans="1:16">
      <c r="A52" s="34" t="s">
        <v>974</v>
      </c>
      <c r="B52" s="28" t="s">
        <v>886</v>
      </c>
      <c r="C52" s="29">
        <v>0.8</v>
      </c>
      <c r="D52" s="29">
        <v>0.77</v>
      </c>
      <c r="E52" s="29">
        <v>0.83</v>
      </c>
      <c r="F52" s="29">
        <v>1.29</v>
      </c>
      <c r="G52" s="29">
        <v>1.03</v>
      </c>
      <c r="H52" s="29">
        <v>0.71</v>
      </c>
      <c r="I52" s="30">
        <v>6.5000000000000002E-2</v>
      </c>
      <c r="J52" s="29">
        <v>1.46</v>
      </c>
      <c r="K52" s="29">
        <v>3.88</v>
      </c>
      <c r="L52" s="31">
        <v>-0.04</v>
      </c>
      <c r="M52" s="29">
        <v>2.2999999999999998</v>
      </c>
      <c r="N52" s="29">
        <v>1.05</v>
      </c>
      <c r="O52" s="29">
        <v>0.7</v>
      </c>
      <c r="P52" s="35" t="s">
        <v>975</v>
      </c>
    </row>
    <row r="53" spans="1:16">
      <c r="A53" s="34" t="s">
        <v>976</v>
      </c>
      <c r="B53" s="28" t="s">
        <v>886</v>
      </c>
      <c r="C53" s="29">
        <v>1.51</v>
      </c>
      <c r="D53" s="29">
        <v>1.69</v>
      </c>
      <c r="E53" s="29">
        <v>0.94</v>
      </c>
      <c r="F53" s="29">
        <v>0.73</v>
      </c>
      <c r="G53" s="29">
        <v>1.55</v>
      </c>
      <c r="H53" s="29">
        <v>0.9</v>
      </c>
      <c r="I53" s="30">
        <v>3.5000000000000003E-2</v>
      </c>
      <c r="J53" s="29">
        <v>1.43</v>
      </c>
      <c r="K53" s="29">
        <v>1.75</v>
      </c>
      <c r="L53" s="31">
        <v>0.09</v>
      </c>
      <c r="M53" s="29">
        <v>1.1000000000000001</v>
      </c>
      <c r="N53" s="29">
        <v>0.84</v>
      </c>
      <c r="O53" s="29">
        <v>0.78</v>
      </c>
      <c r="P53" s="35" t="s">
        <v>977</v>
      </c>
    </row>
    <row r="54" spans="1:16" ht="15" thickBot="1">
      <c r="A54" s="36" t="s">
        <v>978</v>
      </c>
      <c r="B54" s="37" t="s">
        <v>886</v>
      </c>
      <c r="C54" s="38">
        <v>0.76</v>
      </c>
      <c r="D54" s="38">
        <v>0.76</v>
      </c>
      <c r="E54" s="38">
        <v>0.7</v>
      </c>
      <c r="F54" s="38">
        <v>0.86</v>
      </c>
      <c r="G54" s="38">
        <v>1.33</v>
      </c>
      <c r="H54" s="38">
        <v>0.64</v>
      </c>
      <c r="I54" s="39">
        <v>9.5000000000000001E-2</v>
      </c>
      <c r="J54" s="38">
        <v>2.4</v>
      </c>
      <c r="K54" s="38">
        <v>3.35</v>
      </c>
      <c r="L54" s="40">
        <v>-7.0000000000000007E-2</v>
      </c>
      <c r="M54" s="38">
        <v>1.1499999999999999</v>
      </c>
      <c r="N54" s="38">
        <v>0.62</v>
      </c>
      <c r="O54" s="38">
        <v>0.62</v>
      </c>
      <c r="P54" s="41" t="s">
        <v>979</v>
      </c>
    </row>
  </sheetData>
  <mergeCells count="2">
    <mergeCell ref="A1:P1"/>
    <mergeCell ref="A2:P2"/>
  </mergeCells>
  <phoneticPr fontId="2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pane ySplit="4" topLeftCell="A5" activePane="bottomLeft" state="frozen"/>
      <selection pane="bottomLeft" activeCell="E22" sqref="E22"/>
    </sheetView>
  </sheetViews>
  <sheetFormatPr defaultRowHeight="14.25"/>
  <cols>
    <col min="1" max="1" width="16" customWidth="1"/>
    <col min="2" max="7" width="15" customWidth="1"/>
    <col min="8" max="8" width="27" customWidth="1"/>
  </cols>
  <sheetData>
    <row r="1" spans="1:8" ht="32.1" customHeight="1">
      <c r="A1" s="112" t="s">
        <v>865</v>
      </c>
      <c r="B1" s="112"/>
      <c r="C1" s="112"/>
      <c r="D1" s="112"/>
      <c r="E1" s="112"/>
      <c r="F1" s="112"/>
      <c r="G1" s="112"/>
      <c r="H1" s="112"/>
    </row>
    <row r="2" spans="1:8" ht="32.1" customHeight="1">
      <c r="A2" s="113" t="s">
        <v>866</v>
      </c>
      <c r="B2" s="113"/>
      <c r="C2" s="113"/>
      <c r="D2" s="113"/>
      <c r="E2" s="113"/>
      <c r="F2" s="113"/>
      <c r="G2" s="113"/>
      <c r="H2" s="113"/>
    </row>
    <row r="4" spans="1:8" ht="32.1" customHeight="1">
      <c r="A4" s="16" t="s">
        <v>66</v>
      </c>
      <c r="B4" s="16" t="s">
        <v>79</v>
      </c>
      <c r="C4" s="16" t="s">
        <v>80</v>
      </c>
      <c r="D4" s="16" t="s">
        <v>81</v>
      </c>
      <c r="E4" s="16" t="s">
        <v>82</v>
      </c>
      <c r="F4" s="16" t="s">
        <v>83</v>
      </c>
      <c r="G4" s="16" t="s">
        <v>84</v>
      </c>
      <c r="H4" s="16" t="s">
        <v>867</v>
      </c>
    </row>
    <row r="5" spans="1:8" ht="26.1" customHeight="1">
      <c r="A5" s="17" t="s">
        <v>111</v>
      </c>
      <c r="B5" s="18">
        <v>0.2</v>
      </c>
      <c r="C5" s="18">
        <v>-0.1</v>
      </c>
      <c r="D5" s="18">
        <v>0</v>
      </c>
      <c r="E5" s="18">
        <v>0</v>
      </c>
      <c r="F5" s="18">
        <v>0</v>
      </c>
      <c r="G5" s="18">
        <v>0</v>
      </c>
      <c r="H5" t="s">
        <v>868</v>
      </c>
    </row>
    <row r="6" spans="1:8" ht="26.1" customHeight="1">
      <c r="A6" s="17" t="s">
        <v>108</v>
      </c>
      <c r="B6" s="18">
        <v>-0.1</v>
      </c>
      <c r="C6" s="18">
        <v>0.2</v>
      </c>
      <c r="D6" s="18">
        <v>0</v>
      </c>
      <c r="E6" s="18">
        <v>0</v>
      </c>
      <c r="F6" s="18">
        <v>0</v>
      </c>
      <c r="G6" s="18">
        <v>0</v>
      </c>
      <c r="H6" t="s">
        <v>869</v>
      </c>
    </row>
    <row r="7" spans="1:8" ht="26.1" customHeight="1">
      <c r="A7" s="17" t="s">
        <v>114</v>
      </c>
      <c r="B7" s="18">
        <v>0</v>
      </c>
      <c r="C7" s="18">
        <v>0</v>
      </c>
      <c r="D7" s="18">
        <v>0.2</v>
      </c>
      <c r="E7" s="18">
        <v>-0.1</v>
      </c>
      <c r="F7" s="18">
        <v>0</v>
      </c>
      <c r="G7" s="18">
        <v>0</v>
      </c>
      <c r="H7" t="s">
        <v>870</v>
      </c>
    </row>
    <row r="8" spans="1:8" ht="26.1" customHeight="1">
      <c r="A8" s="17" t="s">
        <v>871</v>
      </c>
      <c r="B8" s="18">
        <v>0</v>
      </c>
      <c r="C8" s="18">
        <v>0</v>
      </c>
      <c r="D8" s="18">
        <v>-0.1</v>
      </c>
      <c r="E8" s="18">
        <v>0.2</v>
      </c>
      <c r="F8" s="18">
        <v>0</v>
      </c>
      <c r="G8" s="18">
        <v>0</v>
      </c>
      <c r="H8" t="s">
        <v>872</v>
      </c>
    </row>
    <row r="9" spans="1:8" ht="26.1" customHeight="1">
      <c r="A9" s="17" t="s">
        <v>121</v>
      </c>
      <c r="B9" s="18">
        <v>0</v>
      </c>
      <c r="C9" s="18">
        <v>0</v>
      </c>
      <c r="D9" s="18">
        <v>0</v>
      </c>
      <c r="E9" s="18">
        <v>0</v>
      </c>
      <c r="F9" s="18">
        <v>0.2</v>
      </c>
      <c r="G9" s="18">
        <v>-0.1</v>
      </c>
      <c r="H9" t="s">
        <v>873</v>
      </c>
    </row>
    <row r="10" spans="1:8" ht="26.1" customHeight="1">
      <c r="A10" s="17" t="s">
        <v>874</v>
      </c>
      <c r="B10" s="18">
        <v>0</v>
      </c>
      <c r="C10" s="18">
        <v>0</v>
      </c>
      <c r="D10" s="18">
        <v>0</v>
      </c>
      <c r="E10" s="18">
        <v>0</v>
      </c>
      <c r="F10" s="18">
        <v>-0.1</v>
      </c>
      <c r="G10" s="18">
        <v>0.2</v>
      </c>
      <c r="H10" t="s">
        <v>875</v>
      </c>
    </row>
    <row r="11" spans="1:8" ht="26.1" customHeight="1">
      <c r="A11" s="17" t="s">
        <v>876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t="s">
        <v>877</v>
      </c>
    </row>
  </sheetData>
  <mergeCells count="2">
    <mergeCell ref="A1:H1"/>
    <mergeCell ref="A2:H2"/>
  </mergeCells>
  <phoneticPr fontId="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設定</vt:lpstr>
      <vt:lpstr>モンスター計算</vt:lpstr>
      <vt:lpstr>Stage比較</vt:lpstr>
      <vt:lpstr>個性タイプマスタ</vt:lpstr>
      <vt:lpstr>属性耐性マスタ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KEIYA</dc:creator>
  <cp:lastModifiedBy>圭哉 相原</cp:lastModifiedBy>
  <dcterms:created xsi:type="dcterms:W3CDTF">2026-10-17T08:01:36Z</dcterms:created>
  <dcterms:modified xsi:type="dcterms:W3CDTF">2026-10-17T18:34:10Z</dcterms:modified>
</cp:coreProperties>
</file>