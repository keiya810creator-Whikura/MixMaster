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IYA\Documents\GitHub\MixMaster\Assets\DataCSV\"/>
    </mc:Choice>
  </mc:AlternateContent>
  <xr:revisionPtr revIDLastSave="0" documentId="13_ncr:1_{BC069D82-5D16-4833-B885-0618451E4B2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使い方と設定" sheetId="1" r:id="rId1"/>
    <sheet name="称号計算" sheetId="2" r:id="rId2"/>
    <sheet name="個性タイプマスタ" sheetId="3" r:id="rId3"/>
    <sheet name="属性耐性マスタ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B7" i="2"/>
  <c r="A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7" i="2"/>
  <c r="AD54" i="3" l="1"/>
  <c r="AC54" i="3"/>
  <c r="AA54" i="3"/>
  <c r="Z54" i="3"/>
  <c r="Y54" i="3"/>
  <c r="X54" i="3"/>
  <c r="W54" i="3"/>
  <c r="V54" i="3"/>
  <c r="U54" i="3"/>
  <c r="T54" i="3"/>
  <c r="S54" i="3"/>
  <c r="R54" i="3"/>
  <c r="Q54" i="3"/>
  <c r="AB54" i="3" s="1"/>
  <c r="AD53" i="3"/>
  <c r="AC53" i="3"/>
  <c r="AA53" i="3"/>
  <c r="Z53" i="3"/>
  <c r="Y53" i="3"/>
  <c r="X53" i="3"/>
  <c r="W53" i="3"/>
  <c r="V53" i="3"/>
  <c r="U53" i="3"/>
  <c r="T53" i="3"/>
  <c r="S53" i="3"/>
  <c r="R53" i="3"/>
  <c r="Q53" i="3"/>
  <c r="AD52" i="3"/>
  <c r="AC52" i="3"/>
  <c r="AA52" i="3"/>
  <c r="Z52" i="3"/>
  <c r="Y52" i="3"/>
  <c r="X52" i="3"/>
  <c r="W52" i="3"/>
  <c r="V52" i="3"/>
  <c r="U52" i="3"/>
  <c r="T52" i="3"/>
  <c r="S52" i="3"/>
  <c r="R52" i="3"/>
  <c r="Q52" i="3"/>
  <c r="AD51" i="3"/>
  <c r="AC51" i="3"/>
  <c r="AA51" i="3"/>
  <c r="Z51" i="3"/>
  <c r="AB51" i="3" s="1"/>
  <c r="Y51" i="3"/>
  <c r="X51" i="3"/>
  <c r="W51" i="3"/>
  <c r="V51" i="3"/>
  <c r="U51" i="3"/>
  <c r="T51" i="3"/>
  <c r="S51" i="3"/>
  <c r="R51" i="3"/>
  <c r="Q51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AD49" i="3"/>
  <c r="AC49" i="3"/>
  <c r="AA49" i="3"/>
  <c r="Z49" i="3"/>
  <c r="Y49" i="3"/>
  <c r="X49" i="3"/>
  <c r="W49" i="3"/>
  <c r="V49" i="3"/>
  <c r="U49" i="3"/>
  <c r="T49" i="3"/>
  <c r="S49" i="3"/>
  <c r="R49" i="3"/>
  <c r="AB49" i="3" s="1"/>
  <c r="Q49" i="3"/>
  <c r="AD48" i="3"/>
  <c r="AC48" i="3"/>
  <c r="AA48" i="3"/>
  <c r="Z48" i="3"/>
  <c r="Y48" i="3"/>
  <c r="X48" i="3"/>
  <c r="W48" i="3"/>
  <c r="V48" i="3"/>
  <c r="U48" i="3"/>
  <c r="T48" i="3"/>
  <c r="S48" i="3"/>
  <c r="R48" i="3"/>
  <c r="AB48" i="3" s="1"/>
  <c r="Q48" i="3"/>
  <c r="AD47" i="3"/>
  <c r="AC47" i="3"/>
  <c r="AA47" i="3"/>
  <c r="Z47" i="3"/>
  <c r="Y47" i="3"/>
  <c r="X47" i="3"/>
  <c r="W47" i="3"/>
  <c r="V47" i="3"/>
  <c r="U47" i="3"/>
  <c r="T47" i="3"/>
  <c r="S47" i="3"/>
  <c r="R47" i="3"/>
  <c r="AB47" i="3" s="1"/>
  <c r="Q47" i="3"/>
  <c r="AD46" i="3"/>
  <c r="AC46" i="3"/>
  <c r="AA46" i="3"/>
  <c r="Z46" i="3"/>
  <c r="Y46" i="3"/>
  <c r="X46" i="3"/>
  <c r="W46" i="3"/>
  <c r="V46" i="3"/>
  <c r="U46" i="3"/>
  <c r="T46" i="3"/>
  <c r="S46" i="3"/>
  <c r="R46" i="3"/>
  <c r="Q46" i="3"/>
  <c r="AD45" i="3"/>
  <c r="AC45" i="3"/>
  <c r="AA45" i="3"/>
  <c r="Z45" i="3"/>
  <c r="AB45" i="3" s="1"/>
  <c r="Y45" i="3"/>
  <c r="X45" i="3"/>
  <c r="W45" i="3"/>
  <c r="V45" i="3"/>
  <c r="U45" i="3"/>
  <c r="T45" i="3"/>
  <c r="S45" i="3"/>
  <c r="R45" i="3"/>
  <c r="Q45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AD43" i="3"/>
  <c r="AC43" i="3"/>
  <c r="AA43" i="3"/>
  <c r="Z43" i="3"/>
  <c r="Y43" i="3"/>
  <c r="X43" i="3"/>
  <c r="W43" i="3"/>
  <c r="V43" i="3"/>
  <c r="U43" i="3"/>
  <c r="T43" i="3"/>
  <c r="S43" i="3"/>
  <c r="R43" i="3"/>
  <c r="Q43" i="3"/>
  <c r="AD42" i="3"/>
  <c r="AC42" i="3"/>
  <c r="AA42" i="3"/>
  <c r="Z42" i="3"/>
  <c r="Y42" i="3"/>
  <c r="X42" i="3"/>
  <c r="W42" i="3"/>
  <c r="V42" i="3"/>
  <c r="U42" i="3"/>
  <c r="T42" i="3"/>
  <c r="S42" i="3"/>
  <c r="R42" i="3"/>
  <c r="Q42" i="3"/>
  <c r="AD41" i="3"/>
  <c r="AC41" i="3"/>
  <c r="AA41" i="3"/>
  <c r="Z41" i="3"/>
  <c r="Y41" i="3"/>
  <c r="X41" i="3"/>
  <c r="W41" i="3"/>
  <c r="V41" i="3"/>
  <c r="U41" i="3"/>
  <c r="T41" i="3"/>
  <c r="S41" i="3"/>
  <c r="R41" i="3"/>
  <c r="Q41" i="3"/>
  <c r="AD40" i="3"/>
  <c r="AC40" i="3"/>
  <c r="AA40" i="3"/>
  <c r="Z40" i="3"/>
  <c r="Y40" i="3"/>
  <c r="X40" i="3"/>
  <c r="W40" i="3"/>
  <c r="V40" i="3"/>
  <c r="U40" i="3"/>
  <c r="T40" i="3"/>
  <c r="S40" i="3"/>
  <c r="R40" i="3"/>
  <c r="Q40" i="3"/>
  <c r="AD39" i="3"/>
  <c r="AC39" i="3"/>
  <c r="AA39" i="3"/>
  <c r="Z39" i="3"/>
  <c r="AB39" i="3" s="1"/>
  <c r="Y39" i="3"/>
  <c r="X39" i="3"/>
  <c r="W39" i="3"/>
  <c r="V39" i="3"/>
  <c r="U39" i="3"/>
  <c r="T39" i="3"/>
  <c r="S39" i="3"/>
  <c r="R39" i="3"/>
  <c r="Q39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AD37" i="3"/>
  <c r="AC37" i="3"/>
  <c r="AA37" i="3"/>
  <c r="Z37" i="3"/>
  <c r="Y37" i="3"/>
  <c r="X37" i="3"/>
  <c r="W37" i="3"/>
  <c r="V37" i="3"/>
  <c r="U37" i="3"/>
  <c r="T37" i="3"/>
  <c r="S37" i="3"/>
  <c r="R37" i="3"/>
  <c r="AB37" i="3" s="1"/>
  <c r="Q37" i="3"/>
  <c r="AD36" i="3"/>
  <c r="AC36" i="3"/>
  <c r="AA36" i="3"/>
  <c r="Z36" i="3"/>
  <c r="Y36" i="3"/>
  <c r="X36" i="3"/>
  <c r="W36" i="3"/>
  <c r="V36" i="3"/>
  <c r="U36" i="3"/>
  <c r="T36" i="3"/>
  <c r="S36" i="3"/>
  <c r="R36" i="3"/>
  <c r="AB36" i="3" s="1"/>
  <c r="Q36" i="3"/>
  <c r="AD35" i="3"/>
  <c r="AC35" i="3"/>
  <c r="AA35" i="3"/>
  <c r="Z35" i="3"/>
  <c r="Y35" i="3"/>
  <c r="X35" i="3"/>
  <c r="W35" i="3"/>
  <c r="V35" i="3"/>
  <c r="U35" i="3"/>
  <c r="T35" i="3"/>
  <c r="S35" i="3"/>
  <c r="R35" i="3"/>
  <c r="Q35" i="3"/>
  <c r="AD34" i="3"/>
  <c r="AC34" i="3"/>
  <c r="AA34" i="3"/>
  <c r="Z34" i="3"/>
  <c r="Y34" i="3"/>
  <c r="X34" i="3"/>
  <c r="W34" i="3"/>
  <c r="V34" i="3"/>
  <c r="U34" i="3"/>
  <c r="T34" i="3"/>
  <c r="S34" i="3"/>
  <c r="R34" i="3"/>
  <c r="Q34" i="3"/>
  <c r="AD33" i="3"/>
  <c r="AC33" i="3"/>
  <c r="AA33" i="3"/>
  <c r="Z33" i="3"/>
  <c r="AB33" i="3" s="1"/>
  <c r="Y33" i="3"/>
  <c r="X33" i="3"/>
  <c r="W33" i="3"/>
  <c r="V33" i="3"/>
  <c r="U33" i="3"/>
  <c r="T33" i="3"/>
  <c r="S33" i="3"/>
  <c r="R33" i="3"/>
  <c r="Q33" i="3"/>
  <c r="AD32" i="3"/>
  <c r="AC32" i="3"/>
  <c r="AA32" i="3"/>
  <c r="Z32" i="3"/>
  <c r="Y32" i="3"/>
  <c r="X32" i="3"/>
  <c r="W32" i="3"/>
  <c r="V32" i="3"/>
  <c r="U32" i="3"/>
  <c r="T32" i="3"/>
  <c r="S32" i="3"/>
  <c r="R32" i="3"/>
  <c r="AB32" i="3" s="1"/>
  <c r="Q32" i="3"/>
  <c r="AD31" i="3"/>
  <c r="AC31" i="3"/>
  <c r="AA31" i="3"/>
  <c r="Z31" i="3"/>
  <c r="Y31" i="3"/>
  <c r="X31" i="3"/>
  <c r="W31" i="3"/>
  <c r="V31" i="3"/>
  <c r="U31" i="3"/>
  <c r="T31" i="3"/>
  <c r="S31" i="3"/>
  <c r="R31" i="3"/>
  <c r="AB31" i="3" s="1"/>
  <c r="Q31" i="3"/>
  <c r="AD30" i="3"/>
  <c r="AC30" i="3"/>
  <c r="AA30" i="3"/>
  <c r="Z30" i="3"/>
  <c r="Y30" i="3"/>
  <c r="X30" i="3"/>
  <c r="W30" i="3"/>
  <c r="V30" i="3"/>
  <c r="U30" i="3"/>
  <c r="T30" i="3"/>
  <c r="S30" i="3"/>
  <c r="R30" i="3"/>
  <c r="Q30" i="3"/>
  <c r="AD29" i="3"/>
  <c r="AC29" i="3"/>
  <c r="AA29" i="3"/>
  <c r="Z29" i="3"/>
  <c r="Y29" i="3"/>
  <c r="X29" i="3"/>
  <c r="W29" i="3"/>
  <c r="V29" i="3"/>
  <c r="U29" i="3"/>
  <c r="T29" i="3"/>
  <c r="S29" i="3"/>
  <c r="R29" i="3"/>
  <c r="AB29" i="3" s="1"/>
  <c r="Q29" i="3"/>
  <c r="AD28" i="3"/>
  <c r="AC28" i="3"/>
  <c r="AA28" i="3"/>
  <c r="Z28" i="3"/>
  <c r="Y28" i="3"/>
  <c r="X28" i="3"/>
  <c r="W28" i="3"/>
  <c r="V28" i="3"/>
  <c r="U28" i="3"/>
  <c r="T28" i="3"/>
  <c r="S28" i="3"/>
  <c r="R28" i="3"/>
  <c r="Q28" i="3"/>
  <c r="AD27" i="3"/>
  <c r="AC27" i="3"/>
  <c r="AA27" i="3"/>
  <c r="Z27" i="3"/>
  <c r="AB27" i="3" s="1"/>
  <c r="Y27" i="3"/>
  <c r="X27" i="3"/>
  <c r="W27" i="3"/>
  <c r="V27" i="3"/>
  <c r="U27" i="3"/>
  <c r="T27" i="3"/>
  <c r="S27" i="3"/>
  <c r="R27" i="3"/>
  <c r="Q27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AD25" i="3"/>
  <c r="AC25" i="3"/>
  <c r="AA25" i="3"/>
  <c r="Z25" i="3"/>
  <c r="Y25" i="3"/>
  <c r="X25" i="3"/>
  <c r="W25" i="3"/>
  <c r="V25" i="3"/>
  <c r="U25" i="3"/>
  <c r="T25" i="3"/>
  <c r="S25" i="3"/>
  <c r="R25" i="3"/>
  <c r="Q25" i="3"/>
  <c r="AD24" i="3"/>
  <c r="AC24" i="3"/>
  <c r="AA24" i="3"/>
  <c r="Z24" i="3"/>
  <c r="Y24" i="3"/>
  <c r="X24" i="3"/>
  <c r="W24" i="3"/>
  <c r="V24" i="3"/>
  <c r="U24" i="3"/>
  <c r="T24" i="3"/>
  <c r="S24" i="3"/>
  <c r="R24" i="3"/>
  <c r="Q24" i="3"/>
  <c r="AD23" i="3"/>
  <c r="AC23" i="3"/>
  <c r="AA23" i="3"/>
  <c r="Z23" i="3"/>
  <c r="Y23" i="3"/>
  <c r="X23" i="3"/>
  <c r="W23" i="3"/>
  <c r="V23" i="3"/>
  <c r="U23" i="3"/>
  <c r="T23" i="3"/>
  <c r="S23" i="3"/>
  <c r="R23" i="3"/>
  <c r="Q23" i="3"/>
  <c r="AD22" i="3"/>
  <c r="AC22" i="3"/>
  <c r="AA22" i="3"/>
  <c r="Z22" i="3"/>
  <c r="Y22" i="3"/>
  <c r="X22" i="3"/>
  <c r="W22" i="3"/>
  <c r="V22" i="3"/>
  <c r="U22" i="3"/>
  <c r="T22" i="3"/>
  <c r="S22" i="3"/>
  <c r="R22" i="3"/>
  <c r="Q22" i="3"/>
  <c r="AD21" i="3"/>
  <c r="AC21" i="3"/>
  <c r="AA21" i="3"/>
  <c r="Z21" i="3"/>
  <c r="AB21" i="3" s="1"/>
  <c r="Y21" i="3"/>
  <c r="X21" i="3"/>
  <c r="W21" i="3"/>
  <c r="V21" i="3"/>
  <c r="U21" i="3"/>
  <c r="T21" i="3"/>
  <c r="S21" i="3"/>
  <c r="R21" i="3"/>
  <c r="Q21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AD19" i="3"/>
  <c r="AC19" i="3"/>
  <c r="AA19" i="3"/>
  <c r="Z19" i="3"/>
  <c r="Y19" i="3"/>
  <c r="X19" i="3"/>
  <c r="W19" i="3"/>
  <c r="V19" i="3"/>
  <c r="U19" i="3"/>
  <c r="T19" i="3"/>
  <c r="S19" i="3"/>
  <c r="R19" i="3"/>
  <c r="AB19" i="3" s="1"/>
  <c r="Q19" i="3"/>
  <c r="AD18" i="3"/>
  <c r="AC18" i="3"/>
  <c r="AA18" i="3"/>
  <c r="Z18" i="3"/>
  <c r="Y18" i="3"/>
  <c r="X18" i="3"/>
  <c r="W18" i="3"/>
  <c r="V18" i="3"/>
  <c r="U18" i="3"/>
  <c r="T18" i="3"/>
  <c r="S18" i="3"/>
  <c r="R18" i="3"/>
  <c r="Q18" i="3"/>
  <c r="AD17" i="3"/>
  <c r="AC17" i="3"/>
  <c r="AA17" i="3"/>
  <c r="Z17" i="3"/>
  <c r="Y17" i="3"/>
  <c r="X17" i="3"/>
  <c r="W17" i="3"/>
  <c r="V17" i="3"/>
  <c r="U17" i="3"/>
  <c r="T17" i="3"/>
  <c r="S17" i="3"/>
  <c r="R17" i="3"/>
  <c r="Q17" i="3"/>
  <c r="AD16" i="3"/>
  <c r="AC16" i="3"/>
  <c r="AA16" i="3"/>
  <c r="Z16" i="3"/>
  <c r="Y16" i="3"/>
  <c r="X16" i="3"/>
  <c r="W16" i="3"/>
  <c r="V16" i="3"/>
  <c r="U16" i="3"/>
  <c r="T16" i="3"/>
  <c r="S16" i="3"/>
  <c r="R16" i="3"/>
  <c r="Q16" i="3"/>
  <c r="AD15" i="3"/>
  <c r="AC15" i="3"/>
  <c r="AA15" i="3"/>
  <c r="Z15" i="3"/>
  <c r="AB15" i="3" s="1"/>
  <c r="Y15" i="3"/>
  <c r="X15" i="3"/>
  <c r="W15" i="3"/>
  <c r="V15" i="3"/>
  <c r="U15" i="3"/>
  <c r="T15" i="3"/>
  <c r="S15" i="3"/>
  <c r="R15" i="3"/>
  <c r="Q15" i="3"/>
  <c r="AD14" i="3"/>
  <c r="AC14" i="3"/>
  <c r="AA14" i="3"/>
  <c r="Z14" i="3"/>
  <c r="Y14" i="3"/>
  <c r="X14" i="3"/>
  <c r="W14" i="3"/>
  <c r="V14" i="3"/>
  <c r="U14" i="3"/>
  <c r="T14" i="3"/>
  <c r="S14" i="3"/>
  <c r="R14" i="3"/>
  <c r="AB14" i="3" s="1"/>
  <c r="Q14" i="3"/>
  <c r="AD13" i="3"/>
  <c r="AC13" i="3"/>
  <c r="AA13" i="3"/>
  <c r="Z13" i="3"/>
  <c r="Y13" i="3"/>
  <c r="X13" i="3"/>
  <c r="W13" i="3"/>
  <c r="V13" i="3"/>
  <c r="U13" i="3"/>
  <c r="T13" i="3"/>
  <c r="S13" i="3"/>
  <c r="R13" i="3"/>
  <c r="AB13" i="3" s="1"/>
  <c r="Q13" i="3"/>
  <c r="AD12" i="3"/>
  <c r="AC12" i="3"/>
  <c r="AA12" i="3"/>
  <c r="Z12" i="3"/>
  <c r="Y12" i="3"/>
  <c r="X12" i="3"/>
  <c r="W12" i="3"/>
  <c r="V12" i="3"/>
  <c r="U12" i="3"/>
  <c r="T12" i="3"/>
  <c r="S12" i="3"/>
  <c r="R12" i="3"/>
  <c r="Q12" i="3"/>
  <c r="AD11" i="3"/>
  <c r="AC11" i="3"/>
  <c r="AA11" i="3"/>
  <c r="Z11" i="3"/>
  <c r="Y11" i="3"/>
  <c r="X11" i="3"/>
  <c r="W11" i="3"/>
  <c r="V11" i="3"/>
  <c r="U11" i="3"/>
  <c r="T11" i="3"/>
  <c r="S11" i="3"/>
  <c r="R11" i="3"/>
  <c r="AB11" i="3" s="1"/>
  <c r="Q11" i="3"/>
  <c r="AD10" i="3"/>
  <c r="AC10" i="3"/>
  <c r="AA10" i="3"/>
  <c r="Z10" i="3"/>
  <c r="Y10" i="3"/>
  <c r="X10" i="3"/>
  <c r="W10" i="3"/>
  <c r="V10" i="3"/>
  <c r="U10" i="3"/>
  <c r="T10" i="3"/>
  <c r="S10" i="3"/>
  <c r="R10" i="3"/>
  <c r="Q10" i="3"/>
  <c r="AD9" i="3"/>
  <c r="AC9" i="3"/>
  <c r="AA9" i="3"/>
  <c r="Z9" i="3"/>
  <c r="AB9" i="3" s="1"/>
  <c r="Y9" i="3"/>
  <c r="X9" i="3"/>
  <c r="W9" i="3"/>
  <c r="V9" i="3"/>
  <c r="U9" i="3"/>
  <c r="T9" i="3"/>
  <c r="S9" i="3"/>
  <c r="R9" i="3"/>
  <c r="Q9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AD7" i="3"/>
  <c r="AC7" i="3"/>
  <c r="AA7" i="3"/>
  <c r="Z7" i="3"/>
  <c r="Y7" i="3"/>
  <c r="X7" i="3"/>
  <c r="W7" i="3"/>
  <c r="V7" i="3"/>
  <c r="U7" i="3"/>
  <c r="T7" i="3"/>
  <c r="S7" i="3"/>
  <c r="R7" i="3"/>
  <c r="Q7" i="3"/>
  <c r="AD6" i="3"/>
  <c r="AC6" i="3"/>
  <c r="AA6" i="3"/>
  <c r="Z6" i="3"/>
  <c r="Y6" i="3"/>
  <c r="X6" i="3"/>
  <c r="W6" i="3"/>
  <c r="V6" i="3"/>
  <c r="U6" i="3"/>
  <c r="T6" i="3"/>
  <c r="S6" i="3"/>
  <c r="R6" i="3"/>
  <c r="Q6" i="3"/>
  <c r="AD5" i="3"/>
  <c r="AC5" i="3"/>
  <c r="AA5" i="3"/>
  <c r="Z5" i="3"/>
  <c r="Y5" i="3"/>
  <c r="X5" i="3"/>
  <c r="W5" i="3"/>
  <c r="V5" i="3"/>
  <c r="U5" i="3"/>
  <c r="T5" i="3"/>
  <c r="S5" i="3"/>
  <c r="R5" i="3"/>
  <c r="Q5" i="3"/>
  <c r="AK372" i="2"/>
  <c r="AF372" i="2"/>
  <c r="AE372" i="2"/>
  <c r="AI372" i="2" s="1"/>
  <c r="AK371" i="2"/>
  <c r="AF371" i="2"/>
  <c r="AE371" i="2"/>
  <c r="AI371" i="2" s="1"/>
  <c r="AK370" i="2"/>
  <c r="AF370" i="2"/>
  <c r="AE370" i="2"/>
  <c r="AH370" i="2" s="1"/>
  <c r="AK369" i="2"/>
  <c r="AF369" i="2"/>
  <c r="AE369" i="2"/>
  <c r="AI369" i="2" s="1"/>
  <c r="AK368" i="2"/>
  <c r="AF368" i="2"/>
  <c r="AE368" i="2"/>
  <c r="AH368" i="2" s="1"/>
  <c r="AK367" i="2"/>
  <c r="AF367" i="2"/>
  <c r="AE367" i="2"/>
  <c r="AG367" i="2" s="1"/>
  <c r="AK366" i="2"/>
  <c r="AF366" i="2"/>
  <c r="AE366" i="2"/>
  <c r="AI366" i="2" s="1"/>
  <c r="AK365" i="2"/>
  <c r="AF365" i="2"/>
  <c r="AE365" i="2"/>
  <c r="AI365" i="2" s="1"/>
  <c r="AK364" i="2"/>
  <c r="AF364" i="2"/>
  <c r="AE364" i="2"/>
  <c r="AH364" i="2" s="1"/>
  <c r="AK363" i="2"/>
  <c r="AF363" i="2"/>
  <c r="AE363" i="2"/>
  <c r="AI363" i="2" s="1"/>
  <c r="AK362" i="2"/>
  <c r="AF362" i="2"/>
  <c r="AE362" i="2"/>
  <c r="AK361" i="2"/>
  <c r="AF361" i="2"/>
  <c r="AE361" i="2"/>
  <c r="AK360" i="2"/>
  <c r="AF360" i="2"/>
  <c r="AE360" i="2"/>
  <c r="AI360" i="2" s="1"/>
  <c r="AK359" i="2"/>
  <c r="AF359" i="2"/>
  <c r="AE359" i="2"/>
  <c r="AI359" i="2" s="1"/>
  <c r="AK358" i="2"/>
  <c r="AF358" i="2"/>
  <c r="AE358" i="2"/>
  <c r="AI358" i="2" s="1"/>
  <c r="AK357" i="2"/>
  <c r="AF357" i="2"/>
  <c r="AE357" i="2"/>
  <c r="AI357" i="2" s="1"/>
  <c r="AK356" i="2"/>
  <c r="AF356" i="2"/>
  <c r="AE356" i="2"/>
  <c r="AK355" i="2"/>
  <c r="AF355" i="2"/>
  <c r="AE355" i="2"/>
  <c r="AK354" i="2"/>
  <c r="AF354" i="2"/>
  <c r="AE354" i="2"/>
  <c r="AI354" i="2" s="1"/>
  <c r="AK353" i="2"/>
  <c r="AF353" i="2"/>
  <c r="AE353" i="2"/>
  <c r="AK352" i="2"/>
  <c r="AF352" i="2"/>
  <c r="AE352" i="2"/>
  <c r="AK351" i="2"/>
  <c r="AF351" i="2"/>
  <c r="AE351" i="2"/>
  <c r="AI351" i="2" s="1"/>
  <c r="AK350" i="2"/>
  <c r="AF350" i="2"/>
  <c r="AE350" i="2"/>
  <c r="AI350" i="2" s="1"/>
  <c r="AK349" i="2"/>
  <c r="AF349" i="2"/>
  <c r="AE349" i="2"/>
  <c r="AI349" i="2" s="1"/>
  <c r="AK348" i="2"/>
  <c r="AF348" i="2"/>
  <c r="AE348" i="2"/>
  <c r="AI348" i="2" s="1"/>
  <c r="AK347" i="2"/>
  <c r="AF347" i="2"/>
  <c r="AE347" i="2"/>
  <c r="AK346" i="2"/>
  <c r="AF346" i="2"/>
  <c r="AE346" i="2"/>
  <c r="AK345" i="2"/>
  <c r="AF345" i="2"/>
  <c r="AE345" i="2"/>
  <c r="AI345" i="2" s="1"/>
  <c r="AK344" i="2"/>
  <c r="AF344" i="2"/>
  <c r="AE344" i="2"/>
  <c r="AK343" i="2"/>
  <c r="AF343" i="2"/>
  <c r="AE343" i="2"/>
  <c r="AK342" i="2"/>
  <c r="AF342" i="2"/>
  <c r="AE342" i="2"/>
  <c r="AI342" i="2" s="1"/>
  <c r="AK341" i="2"/>
  <c r="AF341" i="2"/>
  <c r="AE341" i="2"/>
  <c r="AG341" i="2" s="1"/>
  <c r="AK340" i="2"/>
  <c r="AF340" i="2"/>
  <c r="AE340" i="2"/>
  <c r="AI340" i="2" s="1"/>
  <c r="AK339" i="2"/>
  <c r="AF339" i="2"/>
  <c r="AE339" i="2"/>
  <c r="AK338" i="2"/>
  <c r="AF338" i="2"/>
  <c r="AE338" i="2"/>
  <c r="AI338" i="2" s="1"/>
  <c r="AK337" i="2"/>
  <c r="AF337" i="2"/>
  <c r="AE337" i="2"/>
  <c r="AK336" i="2"/>
  <c r="AF336" i="2"/>
  <c r="AE336" i="2"/>
  <c r="AK335" i="2"/>
  <c r="AF335" i="2"/>
  <c r="AE335" i="2"/>
  <c r="AK334" i="2"/>
  <c r="AF334" i="2"/>
  <c r="AE334" i="2"/>
  <c r="AK333" i="2"/>
  <c r="AF333" i="2"/>
  <c r="AE333" i="2"/>
  <c r="AI333" i="2" s="1"/>
  <c r="AK332" i="2"/>
  <c r="AF332" i="2"/>
  <c r="AE332" i="2"/>
  <c r="AK331" i="2"/>
  <c r="AF331" i="2"/>
  <c r="AE331" i="2"/>
  <c r="AK330" i="2"/>
  <c r="AF330" i="2"/>
  <c r="AE330" i="2"/>
  <c r="AK329" i="2"/>
  <c r="AF329" i="2"/>
  <c r="AE329" i="2"/>
  <c r="AK328" i="2"/>
  <c r="AF328" i="2"/>
  <c r="AE328" i="2"/>
  <c r="AK327" i="2"/>
  <c r="AF327" i="2"/>
  <c r="AE327" i="2"/>
  <c r="AK326" i="2"/>
  <c r="AF326" i="2"/>
  <c r="AE326" i="2"/>
  <c r="AK325" i="2"/>
  <c r="AF325" i="2"/>
  <c r="AE325" i="2"/>
  <c r="AK324" i="2"/>
  <c r="AF324" i="2"/>
  <c r="AE324" i="2"/>
  <c r="AK323" i="2"/>
  <c r="AF323" i="2"/>
  <c r="AE323" i="2"/>
  <c r="H323" i="2" s="1"/>
  <c r="AD323" i="2" s="1"/>
  <c r="AK322" i="2"/>
  <c r="AF322" i="2"/>
  <c r="AE322" i="2"/>
  <c r="AK321" i="2"/>
  <c r="AH321" i="2"/>
  <c r="AF321" i="2"/>
  <c r="AE321" i="2"/>
  <c r="AK320" i="2"/>
  <c r="AF320" i="2"/>
  <c r="AE320" i="2"/>
  <c r="AI320" i="2" s="1"/>
  <c r="AK319" i="2"/>
  <c r="AF319" i="2"/>
  <c r="AE319" i="2"/>
  <c r="AK318" i="2"/>
  <c r="AF318" i="2"/>
  <c r="AE318" i="2"/>
  <c r="AI318" i="2" s="1"/>
  <c r="AK317" i="2"/>
  <c r="AF317" i="2"/>
  <c r="AE317" i="2"/>
  <c r="AI317" i="2" s="1"/>
  <c r="AK316" i="2"/>
  <c r="AF316" i="2"/>
  <c r="AE316" i="2"/>
  <c r="AK315" i="2"/>
  <c r="AF315" i="2"/>
  <c r="AE315" i="2"/>
  <c r="AK314" i="2"/>
  <c r="AF314" i="2"/>
  <c r="AE314" i="2"/>
  <c r="AI314" i="2" s="1"/>
  <c r="AK313" i="2"/>
  <c r="AF313" i="2"/>
  <c r="AE313" i="2"/>
  <c r="AH313" i="2" s="1"/>
  <c r="AK312" i="2"/>
  <c r="AF312" i="2"/>
  <c r="AE312" i="2"/>
  <c r="AI312" i="2" s="1"/>
  <c r="AK311" i="2"/>
  <c r="AF311" i="2"/>
  <c r="AE311" i="2"/>
  <c r="AG311" i="2" s="1"/>
  <c r="AK310" i="2"/>
  <c r="AF310" i="2"/>
  <c r="AE310" i="2"/>
  <c r="AK309" i="2"/>
  <c r="AF309" i="2"/>
  <c r="AE309" i="2"/>
  <c r="AK308" i="2"/>
  <c r="AF308" i="2"/>
  <c r="AE308" i="2"/>
  <c r="H308" i="2"/>
  <c r="AK307" i="2"/>
  <c r="AF307" i="2"/>
  <c r="AE307" i="2"/>
  <c r="AK306" i="2"/>
  <c r="AF306" i="2"/>
  <c r="AE306" i="2"/>
  <c r="AK305" i="2"/>
  <c r="AF305" i="2"/>
  <c r="AE305" i="2"/>
  <c r="AI305" i="2" s="1"/>
  <c r="AK304" i="2"/>
  <c r="AF304" i="2"/>
  <c r="AE304" i="2"/>
  <c r="AH304" i="2" s="1"/>
  <c r="AK303" i="2"/>
  <c r="AF303" i="2"/>
  <c r="AE303" i="2"/>
  <c r="AI303" i="2" s="1"/>
  <c r="AK302" i="2"/>
  <c r="AF302" i="2"/>
  <c r="AE302" i="2"/>
  <c r="AI302" i="2" s="1"/>
  <c r="AK301" i="2"/>
  <c r="AF301" i="2"/>
  <c r="AE301" i="2"/>
  <c r="AI301" i="2" s="1"/>
  <c r="AK300" i="2"/>
  <c r="AF300" i="2"/>
  <c r="AE300" i="2"/>
  <c r="AG300" i="2" s="1"/>
  <c r="AK299" i="2"/>
  <c r="AF299" i="2"/>
  <c r="AE299" i="2"/>
  <c r="AK298" i="2"/>
  <c r="AF298" i="2"/>
  <c r="AE298" i="2"/>
  <c r="AI298" i="2" s="1"/>
  <c r="AK297" i="2"/>
  <c r="AF297" i="2"/>
  <c r="AE297" i="2"/>
  <c r="AI297" i="2" s="1"/>
  <c r="AK296" i="2"/>
  <c r="AF296" i="2"/>
  <c r="AE296" i="2"/>
  <c r="AK295" i="2"/>
  <c r="AF295" i="2"/>
  <c r="AE295" i="2"/>
  <c r="AK294" i="2"/>
  <c r="AF294" i="2"/>
  <c r="AE294" i="2"/>
  <c r="AI294" i="2" s="1"/>
  <c r="AK293" i="2"/>
  <c r="AF293" i="2"/>
  <c r="AE293" i="2"/>
  <c r="AI293" i="2" s="1"/>
  <c r="AK292" i="2"/>
  <c r="AF292" i="2"/>
  <c r="AE292" i="2"/>
  <c r="H292" i="2" s="1"/>
  <c r="AK291" i="2"/>
  <c r="AF291" i="2"/>
  <c r="AE291" i="2"/>
  <c r="AI291" i="2" s="1"/>
  <c r="AK290" i="2"/>
  <c r="AI290" i="2"/>
  <c r="AF290" i="2"/>
  <c r="AE290" i="2"/>
  <c r="AH290" i="2" s="1"/>
  <c r="H290" i="2"/>
  <c r="AD290" i="2" s="1"/>
  <c r="AK289" i="2"/>
  <c r="AF289" i="2"/>
  <c r="AE289" i="2"/>
  <c r="AK288" i="2"/>
  <c r="AF288" i="2"/>
  <c r="AE288" i="2"/>
  <c r="AH288" i="2" s="1"/>
  <c r="AK287" i="2"/>
  <c r="AF287" i="2"/>
  <c r="AE287" i="2"/>
  <c r="AI287" i="2" s="1"/>
  <c r="AK286" i="2"/>
  <c r="AF286" i="2"/>
  <c r="AE286" i="2"/>
  <c r="AH286" i="2" s="1"/>
  <c r="AK285" i="2"/>
  <c r="AF285" i="2"/>
  <c r="AE285" i="2"/>
  <c r="AK284" i="2"/>
  <c r="AF284" i="2"/>
  <c r="AE284" i="2"/>
  <c r="AK283" i="2"/>
  <c r="AF283" i="2"/>
  <c r="AE283" i="2"/>
  <c r="AI283" i="2" s="1"/>
  <c r="AK282" i="2"/>
  <c r="AF282" i="2"/>
  <c r="AE282" i="2"/>
  <c r="AH282" i="2" s="1"/>
  <c r="AK281" i="2"/>
  <c r="AF281" i="2"/>
  <c r="AE281" i="2"/>
  <c r="AK280" i="2"/>
  <c r="AF280" i="2"/>
  <c r="AE280" i="2"/>
  <c r="AH280" i="2" s="1"/>
  <c r="AK279" i="2"/>
  <c r="AF279" i="2"/>
  <c r="AE279" i="2"/>
  <c r="AI279" i="2" s="1"/>
  <c r="AK278" i="2"/>
  <c r="AF278" i="2"/>
  <c r="AE278" i="2"/>
  <c r="AK277" i="2"/>
  <c r="AF277" i="2"/>
  <c r="AE277" i="2"/>
  <c r="H277" i="2" s="1"/>
  <c r="AK276" i="2"/>
  <c r="AF276" i="2"/>
  <c r="AE276" i="2"/>
  <c r="AK275" i="2"/>
  <c r="AF275" i="2"/>
  <c r="AE275" i="2"/>
  <c r="AK274" i="2"/>
  <c r="AF274" i="2"/>
  <c r="AE274" i="2"/>
  <c r="AH274" i="2" s="1"/>
  <c r="AK273" i="2"/>
  <c r="AF273" i="2"/>
  <c r="AE273" i="2"/>
  <c r="AH273" i="2" s="1"/>
  <c r="AK272" i="2"/>
  <c r="AF272" i="2"/>
  <c r="AE272" i="2"/>
  <c r="AK271" i="2"/>
  <c r="AF271" i="2"/>
  <c r="AE271" i="2"/>
  <c r="AK270" i="2"/>
  <c r="AF270" i="2"/>
  <c r="AE270" i="2"/>
  <c r="AH270" i="2" s="1"/>
  <c r="AK269" i="2"/>
  <c r="AF269" i="2"/>
  <c r="AE269" i="2"/>
  <c r="AH269" i="2" s="1"/>
  <c r="AK268" i="2"/>
  <c r="AF268" i="2"/>
  <c r="AE268" i="2"/>
  <c r="AH268" i="2" s="1"/>
  <c r="AK267" i="2"/>
  <c r="AF267" i="2"/>
  <c r="AE267" i="2"/>
  <c r="AI267" i="2" s="1"/>
  <c r="AK266" i="2"/>
  <c r="AF266" i="2"/>
  <c r="AE266" i="2"/>
  <c r="AI266" i="2" s="1"/>
  <c r="AK265" i="2"/>
  <c r="AF265" i="2"/>
  <c r="AE265" i="2"/>
  <c r="AH265" i="2" s="1"/>
  <c r="AK264" i="2"/>
  <c r="AF264" i="2"/>
  <c r="AE264" i="2"/>
  <c r="AI264" i="2" s="1"/>
  <c r="AK263" i="2"/>
  <c r="AF263" i="2"/>
  <c r="AE263" i="2"/>
  <c r="AI263" i="2" s="1"/>
  <c r="AK262" i="2"/>
  <c r="AF262" i="2"/>
  <c r="AE262" i="2"/>
  <c r="AH262" i="2" s="1"/>
  <c r="AK261" i="2"/>
  <c r="AF261" i="2"/>
  <c r="AE261" i="2"/>
  <c r="AI261" i="2" s="1"/>
  <c r="AK260" i="2"/>
  <c r="AF260" i="2"/>
  <c r="AE260" i="2"/>
  <c r="AK259" i="2"/>
  <c r="AF259" i="2"/>
  <c r="AE259" i="2"/>
  <c r="AK258" i="2"/>
  <c r="AF258" i="2"/>
  <c r="AE258" i="2"/>
  <c r="AK257" i="2"/>
  <c r="AF257" i="2"/>
  <c r="AE257" i="2"/>
  <c r="H257" i="2" s="1"/>
  <c r="AK256" i="2"/>
  <c r="AF256" i="2"/>
  <c r="AE256" i="2"/>
  <c r="AK255" i="2"/>
  <c r="AF255" i="2"/>
  <c r="AE255" i="2"/>
  <c r="AI255" i="2" s="1"/>
  <c r="AK254" i="2"/>
  <c r="AF254" i="2"/>
  <c r="AE254" i="2"/>
  <c r="AK253" i="2"/>
  <c r="AF253" i="2"/>
  <c r="AE253" i="2"/>
  <c r="AI253" i="2" s="1"/>
  <c r="AK252" i="2"/>
  <c r="AF252" i="2"/>
  <c r="AE252" i="2"/>
  <c r="AK251" i="2"/>
  <c r="AF251" i="2"/>
  <c r="AE251" i="2"/>
  <c r="AI251" i="2" s="1"/>
  <c r="AK250" i="2"/>
  <c r="AF250" i="2"/>
  <c r="AE250" i="2"/>
  <c r="AK249" i="2"/>
  <c r="AF249" i="2"/>
  <c r="AE249" i="2"/>
  <c r="AK248" i="2"/>
  <c r="AF248" i="2"/>
  <c r="AE248" i="2"/>
  <c r="AK247" i="2"/>
  <c r="AI247" i="2"/>
  <c r="AF247" i="2"/>
  <c r="AE247" i="2"/>
  <c r="AH247" i="2" s="1"/>
  <c r="AK246" i="2"/>
  <c r="AF246" i="2"/>
  <c r="AE246" i="2"/>
  <c r="AH246" i="2" s="1"/>
  <c r="AK245" i="2"/>
  <c r="AF245" i="2"/>
  <c r="AE245" i="2"/>
  <c r="AK244" i="2"/>
  <c r="AI244" i="2"/>
  <c r="AF244" i="2"/>
  <c r="AE244" i="2"/>
  <c r="AH244" i="2" s="1"/>
  <c r="AK243" i="2"/>
  <c r="AF243" i="2"/>
  <c r="AE243" i="2"/>
  <c r="AK242" i="2"/>
  <c r="AF242" i="2"/>
  <c r="AE242" i="2"/>
  <c r="AK241" i="2"/>
  <c r="AI241" i="2"/>
  <c r="AG241" i="2"/>
  <c r="AF241" i="2"/>
  <c r="AE241" i="2"/>
  <c r="AH241" i="2" s="1"/>
  <c r="AK240" i="2"/>
  <c r="AF240" i="2"/>
  <c r="AE240" i="2"/>
  <c r="AI240" i="2" s="1"/>
  <c r="AK239" i="2"/>
  <c r="AF239" i="2"/>
  <c r="AE239" i="2"/>
  <c r="AI239" i="2" s="1"/>
  <c r="AK238" i="2"/>
  <c r="AF238" i="2"/>
  <c r="AE238" i="2"/>
  <c r="AK237" i="2"/>
  <c r="AF237" i="2"/>
  <c r="AE237" i="2"/>
  <c r="AI237" i="2" s="1"/>
  <c r="AK236" i="2"/>
  <c r="AF236" i="2"/>
  <c r="AE236" i="2"/>
  <c r="AI236" i="2" s="1"/>
  <c r="AK235" i="2"/>
  <c r="AF235" i="2"/>
  <c r="AE235" i="2"/>
  <c r="AK234" i="2"/>
  <c r="AF234" i="2"/>
  <c r="AE234" i="2"/>
  <c r="AG234" i="2" s="1"/>
  <c r="AK233" i="2"/>
  <c r="AF233" i="2"/>
  <c r="AE233" i="2"/>
  <c r="AI233" i="2" s="1"/>
  <c r="AK232" i="2"/>
  <c r="AF232" i="2"/>
  <c r="AE232" i="2"/>
  <c r="AK231" i="2"/>
  <c r="AF231" i="2"/>
  <c r="AE231" i="2"/>
  <c r="AG231" i="2" s="1"/>
  <c r="AK230" i="2"/>
  <c r="AF230" i="2"/>
  <c r="AE230" i="2"/>
  <c r="AI230" i="2" s="1"/>
  <c r="AK229" i="2"/>
  <c r="AF229" i="2"/>
  <c r="AE229" i="2"/>
  <c r="AK228" i="2"/>
  <c r="AF228" i="2"/>
  <c r="AE228" i="2"/>
  <c r="AI228" i="2" s="1"/>
  <c r="AK227" i="2"/>
  <c r="AF227" i="2"/>
  <c r="AE227" i="2"/>
  <c r="H227" i="2" s="1"/>
  <c r="AK226" i="2"/>
  <c r="AF226" i="2"/>
  <c r="AE226" i="2"/>
  <c r="AK225" i="2"/>
  <c r="AF225" i="2"/>
  <c r="AE225" i="2"/>
  <c r="AI225" i="2" s="1"/>
  <c r="AK224" i="2"/>
  <c r="AF224" i="2"/>
  <c r="AE224" i="2"/>
  <c r="AK223" i="2"/>
  <c r="AF223" i="2"/>
  <c r="AE223" i="2"/>
  <c r="AI223" i="2" s="1"/>
  <c r="AK222" i="2"/>
  <c r="AF222" i="2"/>
  <c r="AE222" i="2"/>
  <c r="AK221" i="2"/>
  <c r="AF221" i="2"/>
  <c r="AE221" i="2"/>
  <c r="AI221" i="2" s="1"/>
  <c r="AK220" i="2"/>
  <c r="AF220" i="2"/>
  <c r="AE220" i="2"/>
  <c r="AI220" i="2" s="1"/>
  <c r="AK219" i="2"/>
  <c r="AF219" i="2"/>
  <c r="AE219" i="2"/>
  <c r="AI219" i="2" s="1"/>
  <c r="AK218" i="2"/>
  <c r="AF218" i="2"/>
  <c r="AE218" i="2"/>
  <c r="AI218" i="2" s="1"/>
  <c r="AK217" i="2"/>
  <c r="AF217" i="2"/>
  <c r="AE217" i="2"/>
  <c r="AK216" i="2"/>
  <c r="AF216" i="2"/>
  <c r="AE216" i="2"/>
  <c r="AI216" i="2" s="1"/>
  <c r="AK215" i="2"/>
  <c r="AF215" i="2"/>
  <c r="AE215" i="2"/>
  <c r="AK214" i="2"/>
  <c r="AF214" i="2"/>
  <c r="AE214" i="2"/>
  <c r="AI214" i="2" s="1"/>
  <c r="AK213" i="2"/>
  <c r="AF213" i="2"/>
  <c r="AE213" i="2"/>
  <c r="AK212" i="2"/>
  <c r="AI212" i="2"/>
  <c r="AF212" i="2"/>
  <c r="AE212" i="2"/>
  <c r="AK211" i="2"/>
  <c r="AF211" i="2"/>
  <c r="AE211" i="2"/>
  <c r="AK210" i="2"/>
  <c r="AF210" i="2"/>
  <c r="AE210" i="2"/>
  <c r="AK209" i="2"/>
  <c r="AF209" i="2"/>
  <c r="AE209" i="2"/>
  <c r="AK208" i="2"/>
  <c r="AF208" i="2"/>
  <c r="AE208" i="2"/>
  <c r="AK207" i="2"/>
  <c r="AF207" i="2"/>
  <c r="AE207" i="2"/>
  <c r="AH207" i="2" s="1"/>
  <c r="AK206" i="2"/>
  <c r="AF206" i="2"/>
  <c r="AE206" i="2"/>
  <c r="AH206" i="2" s="1"/>
  <c r="H206" i="2"/>
  <c r="AK205" i="2"/>
  <c r="AF205" i="2"/>
  <c r="AE205" i="2"/>
  <c r="AI205" i="2" s="1"/>
  <c r="AK204" i="2"/>
  <c r="AF204" i="2"/>
  <c r="AE204" i="2"/>
  <c r="AI204" i="2" s="1"/>
  <c r="AK203" i="2"/>
  <c r="AH203" i="2"/>
  <c r="AF203" i="2"/>
  <c r="AE203" i="2"/>
  <c r="AK202" i="2"/>
  <c r="AF202" i="2"/>
  <c r="AE202" i="2"/>
  <c r="AK201" i="2"/>
  <c r="AF201" i="2"/>
  <c r="AE201" i="2"/>
  <c r="AK200" i="2"/>
  <c r="AF200" i="2"/>
  <c r="AE200" i="2"/>
  <c r="AG200" i="2" s="1"/>
  <c r="AK199" i="2"/>
  <c r="AF199" i="2"/>
  <c r="AE199" i="2"/>
  <c r="AH199" i="2" s="1"/>
  <c r="AK198" i="2"/>
  <c r="AF198" i="2"/>
  <c r="AE198" i="2"/>
  <c r="AI198" i="2" s="1"/>
  <c r="AK197" i="2"/>
  <c r="AF197" i="2"/>
  <c r="AE197" i="2"/>
  <c r="AI197" i="2" s="1"/>
  <c r="AK196" i="2"/>
  <c r="AF196" i="2"/>
  <c r="AE196" i="2"/>
  <c r="AH196" i="2" s="1"/>
  <c r="AK195" i="2"/>
  <c r="AF195" i="2"/>
  <c r="AE195" i="2"/>
  <c r="AH195" i="2" s="1"/>
  <c r="AK194" i="2"/>
  <c r="AF194" i="2"/>
  <c r="AE194" i="2"/>
  <c r="AH194" i="2" s="1"/>
  <c r="AK193" i="2"/>
  <c r="AF193" i="2"/>
  <c r="AE193" i="2"/>
  <c r="AH193" i="2" s="1"/>
  <c r="AK192" i="2"/>
  <c r="AF192" i="2"/>
  <c r="AE192" i="2"/>
  <c r="AI192" i="2" s="1"/>
  <c r="AK191" i="2"/>
  <c r="AF191" i="2"/>
  <c r="AE191" i="2"/>
  <c r="AI191" i="2" s="1"/>
  <c r="AK190" i="2"/>
  <c r="AF190" i="2"/>
  <c r="AE190" i="2"/>
  <c r="AK189" i="2"/>
  <c r="AF189" i="2"/>
  <c r="AE189" i="2"/>
  <c r="AH189" i="2" s="1"/>
  <c r="AK188" i="2"/>
  <c r="AF188" i="2"/>
  <c r="AE188" i="2"/>
  <c r="AI188" i="2" s="1"/>
  <c r="AK187" i="2"/>
  <c r="AF187" i="2"/>
  <c r="AE187" i="2"/>
  <c r="AK186" i="2"/>
  <c r="AI186" i="2"/>
  <c r="AF186" i="2"/>
  <c r="AE186" i="2"/>
  <c r="AK185" i="2"/>
  <c r="AF185" i="2"/>
  <c r="AE185" i="2"/>
  <c r="AK184" i="2"/>
  <c r="AF184" i="2"/>
  <c r="AE184" i="2"/>
  <c r="AK183" i="2"/>
  <c r="AF183" i="2"/>
  <c r="AE183" i="2"/>
  <c r="AH183" i="2" s="1"/>
  <c r="AK182" i="2"/>
  <c r="AF182" i="2"/>
  <c r="H182" i="2" s="1"/>
  <c r="AE182" i="2"/>
  <c r="AI182" i="2" s="1"/>
  <c r="AK181" i="2"/>
  <c r="AF181" i="2"/>
  <c r="AE181" i="2"/>
  <c r="AH181" i="2" s="1"/>
  <c r="AK180" i="2"/>
  <c r="AF180" i="2"/>
  <c r="AE180" i="2"/>
  <c r="AK179" i="2"/>
  <c r="AF179" i="2"/>
  <c r="AE179" i="2"/>
  <c r="AI179" i="2" s="1"/>
  <c r="AK178" i="2"/>
  <c r="AF178" i="2"/>
  <c r="AE178" i="2"/>
  <c r="AH178" i="2" s="1"/>
  <c r="AK177" i="2"/>
  <c r="AF177" i="2"/>
  <c r="AE177" i="2"/>
  <c r="AI177" i="2" s="1"/>
  <c r="AK176" i="2"/>
  <c r="AF176" i="2"/>
  <c r="AE176" i="2"/>
  <c r="AI176" i="2" s="1"/>
  <c r="AK175" i="2"/>
  <c r="AF175" i="2"/>
  <c r="AE175" i="2"/>
  <c r="AH175" i="2" s="1"/>
  <c r="AK174" i="2"/>
  <c r="AF174" i="2"/>
  <c r="AE174" i="2"/>
  <c r="AK173" i="2"/>
  <c r="AF173" i="2"/>
  <c r="AE173" i="2"/>
  <c r="AH173" i="2" s="1"/>
  <c r="AK172" i="2"/>
  <c r="AF172" i="2"/>
  <c r="AE172" i="2"/>
  <c r="AG172" i="2" s="1"/>
  <c r="AK171" i="2"/>
  <c r="AF171" i="2"/>
  <c r="AE171" i="2"/>
  <c r="AK170" i="2"/>
  <c r="AF170" i="2"/>
  <c r="AE170" i="2"/>
  <c r="AG170" i="2" s="1"/>
  <c r="AK169" i="2"/>
  <c r="AF169" i="2"/>
  <c r="AE169" i="2"/>
  <c r="AI169" i="2" s="1"/>
  <c r="AK168" i="2"/>
  <c r="AF168" i="2"/>
  <c r="AE168" i="2"/>
  <c r="AI168" i="2" s="1"/>
  <c r="AK167" i="2"/>
  <c r="AF167" i="2"/>
  <c r="AE167" i="2"/>
  <c r="AI167" i="2" s="1"/>
  <c r="AK166" i="2"/>
  <c r="AH166" i="2"/>
  <c r="AF166" i="2"/>
  <c r="AE166" i="2"/>
  <c r="AI166" i="2" s="1"/>
  <c r="AK165" i="2"/>
  <c r="AF165" i="2"/>
  <c r="AE165" i="2"/>
  <c r="AI165" i="2" s="1"/>
  <c r="AK164" i="2"/>
  <c r="AF164" i="2"/>
  <c r="AE164" i="2"/>
  <c r="AI164" i="2" s="1"/>
  <c r="AK163" i="2"/>
  <c r="AF163" i="2"/>
  <c r="H163" i="2" s="1"/>
  <c r="AE163" i="2"/>
  <c r="AI163" i="2" s="1"/>
  <c r="AK162" i="2"/>
  <c r="AF162" i="2"/>
  <c r="AE162" i="2"/>
  <c r="AH162" i="2" s="1"/>
  <c r="AK161" i="2"/>
  <c r="AF161" i="2"/>
  <c r="AE161" i="2"/>
  <c r="AI161" i="2" s="1"/>
  <c r="AK160" i="2"/>
  <c r="AF160" i="2"/>
  <c r="AE160" i="2"/>
  <c r="AG160" i="2" s="1"/>
  <c r="AK159" i="2"/>
  <c r="AF159" i="2"/>
  <c r="AE159" i="2"/>
  <c r="AH159" i="2" s="1"/>
  <c r="AK158" i="2"/>
  <c r="AF158" i="2"/>
  <c r="AE158" i="2"/>
  <c r="AK157" i="2"/>
  <c r="AF157" i="2"/>
  <c r="AE157" i="2"/>
  <c r="AI157" i="2" s="1"/>
  <c r="AK156" i="2"/>
  <c r="AG156" i="2"/>
  <c r="AF156" i="2"/>
  <c r="AE156" i="2"/>
  <c r="H156" i="2" s="1"/>
  <c r="AK155" i="2"/>
  <c r="AF155" i="2"/>
  <c r="AE155" i="2"/>
  <c r="AI155" i="2" s="1"/>
  <c r="AK154" i="2"/>
  <c r="AF154" i="2"/>
  <c r="AE154" i="2"/>
  <c r="AI154" i="2" s="1"/>
  <c r="AK153" i="2"/>
  <c r="AF153" i="2"/>
  <c r="AE153" i="2"/>
  <c r="H153" i="2" s="1"/>
  <c r="AK152" i="2"/>
  <c r="AF152" i="2"/>
  <c r="AE152" i="2"/>
  <c r="AI152" i="2" s="1"/>
  <c r="AK151" i="2"/>
  <c r="AF151" i="2"/>
  <c r="AE151" i="2"/>
  <c r="AI151" i="2" s="1"/>
  <c r="AK150" i="2"/>
  <c r="AF150" i="2"/>
  <c r="AE150" i="2"/>
  <c r="AI150" i="2" s="1"/>
  <c r="AK149" i="2"/>
  <c r="AF149" i="2"/>
  <c r="AE149" i="2"/>
  <c r="AI149" i="2" s="1"/>
  <c r="AK148" i="2"/>
  <c r="AF148" i="2"/>
  <c r="AE148" i="2"/>
  <c r="AG148" i="2" s="1"/>
  <c r="AK147" i="2"/>
  <c r="AF147" i="2"/>
  <c r="AE147" i="2"/>
  <c r="AI147" i="2" s="1"/>
  <c r="AK146" i="2"/>
  <c r="AF146" i="2"/>
  <c r="AE146" i="2"/>
  <c r="AK145" i="2"/>
  <c r="AF145" i="2"/>
  <c r="AE145" i="2"/>
  <c r="AI145" i="2" s="1"/>
  <c r="AK144" i="2"/>
  <c r="AF144" i="2"/>
  <c r="AE144" i="2"/>
  <c r="AI144" i="2" s="1"/>
  <c r="AK143" i="2"/>
  <c r="AF143" i="2"/>
  <c r="AE143" i="2"/>
  <c r="AI143" i="2" s="1"/>
  <c r="AK142" i="2"/>
  <c r="AF142" i="2"/>
  <c r="AE142" i="2"/>
  <c r="AI142" i="2" s="1"/>
  <c r="AK141" i="2"/>
  <c r="AF141" i="2"/>
  <c r="AE141" i="2"/>
  <c r="AI141" i="2" s="1"/>
  <c r="AK140" i="2"/>
  <c r="AH140" i="2"/>
  <c r="AF140" i="2"/>
  <c r="H140" i="2" s="1"/>
  <c r="AE140" i="2"/>
  <c r="AI140" i="2" s="1"/>
  <c r="AK139" i="2"/>
  <c r="AF139" i="2"/>
  <c r="AE139" i="2"/>
  <c r="AI139" i="2" s="1"/>
  <c r="AK138" i="2"/>
  <c r="AF138" i="2"/>
  <c r="AE138" i="2"/>
  <c r="AG138" i="2" s="1"/>
  <c r="AK137" i="2"/>
  <c r="AF137" i="2"/>
  <c r="AE137" i="2"/>
  <c r="AI137" i="2" s="1"/>
  <c r="AK136" i="2"/>
  <c r="AF136" i="2"/>
  <c r="AE136" i="2"/>
  <c r="AI136" i="2" s="1"/>
  <c r="AK135" i="2"/>
  <c r="AF135" i="2"/>
  <c r="AE135" i="2"/>
  <c r="AI135" i="2" s="1"/>
  <c r="AK134" i="2"/>
  <c r="AF134" i="2"/>
  <c r="AE134" i="2"/>
  <c r="AI134" i="2" s="1"/>
  <c r="AK133" i="2"/>
  <c r="AF133" i="2"/>
  <c r="AE133" i="2"/>
  <c r="AK132" i="2"/>
  <c r="AF132" i="2"/>
  <c r="AE132" i="2"/>
  <c r="AI132" i="2" s="1"/>
  <c r="AK131" i="2"/>
  <c r="AF131" i="2"/>
  <c r="AE131" i="2"/>
  <c r="AI131" i="2" s="1"/>
  <c r="AK130" i="2"/>
  <c r="AF130" i="2"/>
  <c r="AE130" i="2"/>
  <c r="AK129" i="2"/>
  <c r="AG129" i="2"/>
  <c r="AF129" i="2"/>
  <c r="AE129" i="2"/>
  <c r="AK128" i="2"/>
  <c r="AF128" i="2"/>
  <c r="AE128" i="2"/>
  <c r="AI128" i="2" s="1"/>
  <c r="AK127" i="2"/>
  <c r="AF127" i="2"/>
  <c r="AE127" i="2"/>
  <c r="AK126" i="2"/>
  <c r="AF126" i="2"/>
  <c r="AE126" i="2"/>
  <c r="AI126" i="2" s="1"/>
  <c r="AK125" i="2"/>
  <c r="AF125" i="2"/>
  <c r="AE125" i="2"/>
  <c r="AI125" i="2" s="1"/>
  <c r="AK124" i="2"/>
  <c r="AF124" i="2"/>
  <c r="AE124" i="2"/>
  <c r="AH124" i="2" s="1"/>
  <c r="AK123" i="2"/>
  <c r="AF123" i="2"/>
  <c r="AE123" i="2"/>
  <c r="AI123" i="2" s="1"/>
  <c r="AK122" i="2"/>
  <c r="AF122" i="2"/>
  <c r="AE122" i="2"/>
  <c r="AI122" i="2" s="1"/>
  <c r="AK121" i="2"/>
  <c r="AF121" i="2"/>
  <c r="AE121" i="2"/>
  <c r="AI121" i="2" s="1"/>
  <c r="AK120" i="2"/>
  <c r="AF120" i="2"/>
  <c r="AE120" i="2"/>
  <c r="AI120" i="2" s="1"/>
  <c r="AK119" i="2"/>
  <c r="AF119" i="2"/>
  <c r="AE119" i="2"/>
  <c r="AK118" i="2"/>
  <c r="AF118" i="2"/>
  <c r="AE118" i="2"/>
  <c r="AI118" i="2" s="1"/>
  <c r="AK117" i="2"/>
  <c r="AI117" i="2"/>
  <c r="AF117" i="2"/>
  <c r="AE117" i="2"/>
  <c r="AK116" i="2"/>
  <c r="AF116" i="2"/>
  <c r="AE116" i="2"/>
  <c r="AI116" i="2" s="1"/>
  <c r="AK115" i="2"/>
  <c r="AF115" i="2"/>
  <c r="AE115" i="2"/>
  <c r="AH115" i="2" s="1"/>
  <c r="AK114" i="2"/>
  <c r="AF114" i="2"/>
  <c r="AE114" i="2"/>
  <c r="AI114" i="2" s="1"/>
  <c r="AK113" i="2"/>
  <c r="AF113" i="2"/>
  <c r="AE113" i="2"/>
  <c r="AI113" i="2" s="1"/>
  <c r="AK112" i="2"/>
  <c r="AF112" i="2"/>
  <c r="AE112" i="2"/>
  <c r="AI112" i="2" s="1"/>
  <c r="AK111" i="2"/>
  <c r="AF111" i="2"/>
  <c r="AE111" i="2"/>
  <c r="AI111" i="2" s="1"/>
  <c r="AK110" i="2"/>
  <c r="AF110" i="2"/>
  <c r="AE110" i="2"/>
  <c r="AH110" i="2" s="1"/>
  <c r="AK109" i="2"/>
  <c r="AF109" i="2"/>
  <c r="AE109" i="2"/>
  <c r="AK108" i="2"/>
  <c r="AF108" i="2"/>
  <c r="AE108" i="2"/>
  <c r="AI108" i="2" s="1"/>
  <c r="AK107" i="2"/>
  <c r="AF107" i="2"/>
  <c r="AE107" i="2"/>
  <c r="AI107" i="2" s="1"/>
  <c r="AK106" i="2"/>
  <c r="AF106" i="2"/>
  <c r="AE106" i="2"/>
  <c r="AI106" i="2" s="1"/>
  <c r="AK105" i="2"/>
  <c r="AF105" i="2"/>
  <c r="AE105" i="2"/>
  <c r="AK104" i="2"/>
  <c r="AF104" i="2"/>
  <c r="AE104" i="2"/>
  <c r="AI104" i="2" s="1"/>
  <c r="AK103" i="2"/>
  <c r="AF103" i="2"/>
  <c r="AE103" i="2"/>
  <c r="AI103" i="2" s="1"/>
  <c r="AK102" i="2"/>
  <c r="AF102" i="2"/>
  <c r="AE102" i="2"/>
  <c r="AI102" i="2" s="1"/>
  <c r="AK101" i="2"/>
  <c r="AF101" i="2"/>
  <c r="AE101" i="2"/>
  <c r="AI101" i="2" s="1"/>
  <c r="AK100" i="2"/>
  <c r="AF100" i="2"/>
  <c r="AE100" i="2"/>
  <c r="AH100" i="2" s="1"/>
  <c r="AK99" i="2"/>
  <c r="AI99" i="2"/>
  <c r="AF99" i="2"/>
  <c r="AE99" i="2"/>
  <c r="AH99" i="2" s="1"/>
  <c r="AK98" i="2"/>
  <c r="AF98" i="2"/>
  <c r="AE98" i="2"/>
  <c r="AI98" i="2" s="1"/>
  <c r="AK97" i="2"/>
  <c r="AF97" i="2"/>
  <c r="AE97" i="2"/>
  <c r="AH97" i="2" s="1"/>
  <c r="AK96" i="2"/>
  <c r="AF96" i="2"/>
  <c r="AE96" i="2"/>
  <c r="H96" i="2" s="1"/>
  <c r="AD96" i="2" s="1"/>
  <c r="AK95" i="2"/>
  <c r="AF95" i="2"/>
  <c r="AE95" i="2"/>
  <c r="AK94" i="2"/>
  <c r="AF94" i="2"/>
  <c r="AE94" i="2"/>
  <c r="AH94" i="2" s="1"/>
  <c r="AK93" i="2"/>
  <c r="AF93" i="2"/>
  <c r="AE93" i="2"/>
  <c r="H93" i="2" s="1"/>
  <c r="AK92" i="2"/>
  <c r="AF92" i="2"/>
  <c r="AE92" i="2"/>
  <c r="H92" i="2" s="1"/>
  <c r="AK91" i="2"/>
  <c r="AF91" i="2"/>
  <c r="AE91" i="2"/>
  <c r="AK90" i="2"/>
  <c r="AF90" i="2"/>
  <c r="AE90" i="2"/>
  <c r="AI90" i="2" s="1"/>
  <c r="AK89" i="2"/>
  <c r="AF89" i="2"/>
  <c r="AE89" i="2"/>
  <c r="AI89" i="2" s="1"/>
  <c r="AK88" i="2"/>
  <c r="AF88" i="2"/>
  <c r="AE88" i="2"/>
  <c r="AI88" i="2" s="1"/>
  <c r="AK87" i="2"/>
  <c r="AF87" i="2"/>
  <c r="AE87" i="2"/>
  <c r="AK86" i="2"/>
  <c r="AF86" i="2"/>
  <c r="AE86" i="2"/>
  <c r="AK85" i="2"/>
  <c r="AF85" i="2"/>
  <c r="AE85" i="2"/>
  <c r="AK84" i="2"/>
  <c r="AF84" i="2"/>
  <c r="AE84" i="2"/>
  <c r="AI84" i="2" s="1"/>
  <c r="AK83" i="2"/>
  <c r="AF83" i="2"/>
  <c r="AE83" i="2"/>
  <c r="AK82" i="2"/>
  <c r="AF82" i="2"/>
  <c r="AE82" i="2"/>
  <c r="AI82" i="2" s="1"/>
  <c r="AK81" i="2"/>
  <c r="AF81" i="2"/>
  <c r="AE81" i="2"/>
  <c r="H81" i="2" s="1"/>
  <c r="AK80" i="2"/>
  <c r="AF80" i="2"/>
  <c r="AE80" i="2"/>
  <c r="AG80" i="2" s="1"/>
  <c r="AK79" i="2"/>
  <c r="AF79" i="2"/>
  <c r="AE79" i="2"/>
  <c r="AK78" i="2"/>
  <c r="AF78" i="2"/>
  <c r="AE78" i="2"/>
  <c r="AH78" i="2" s="1"/>
  <c r="AK77" i="2"/>
  <c r="AF77" i="2"/>
  <c r="AE77" i="2"/>
  <c r="AI77" i="2" s="1"/>
  <c r="AK76" i="2"/>
  <c r="AF76" i="2"/>
  <c r="AE76" i="2"/>
  <c r="AK75" i="2"/>
  <c r="AF75" i="2"/>
  <c r="AE75" i="2"/>
  <c r="AI75" i="2" s="1"/>
  <c r="AK74" i="2"/>
  <c r="AF74" i="2"/>
  <c r="AE74" i="2"/>
  <c r="AH74" i="2" s="1"/>
  <c r="AK73" i="2"/>
  <c r="AF73" i="2"/>
  <c r="AE73" i="2"/>
  <c r="AK72" i="2"/>
  <c r="AF72" i="2"/>
  <c r="AE72" i="2"/>
  <c r="AI72" i="2" s="1"/>
  <c r="AK71" i="2"/>
  <c r="AF71" i="2"/>
  <c r="AE71" i="2"/>
  <c r="AK70" i="2"/>
  <c r="AF70" i="2"/>
  <c r="AE70" i="2"/>
  <c r="AK69" i="2"/>
  <c r="AF69" i="2"/>
  <c r="AE69" i="2"/>
  <c r="AI69" i="2" s="1"/>
  <c r="AK68" i="2"/>
  <c r="AF68" i="2"/>
  <c r="AE68" i="2"/>
  <c r="AI68" i="2" s="1"/>
  <c r="AK67" i="2"/>
  <c r="AF67" i="2"/>
  <c r="AE67" i="2"/>
  <c r="AK66" i="2"/>
  <c r="AF66" i="2"/>
  <c r="AE66" i="2"/>
  <c r="AI66" i="2" s="1"/>
  <c r="AK65" i="2"/>
  <c r="AI65" i="2"/>
  <c r="AF65" i="2"/>
  <c r="AE65" i="2"/>
  <c r="AH65" i="2" s="1"/>
  <c r="AK64" i="2"/>
  <c r="AF64" i="2"/>
  <c r="AE64" i="2"/>
  <c r="AK63" i="2"/>
  <c r="AF63" i="2"/>
  <c r="AE63" i="2"/>
  <c r="AK62" i="2"/>
  <c r="AF62" i="2"/>
  <c r="AE62" i="2"/>
  <c r="AK61" i="2"/>
  <c r="AF61" i="2"/>
  <c r="AE61" i="2"/>
  <c r="AK60" i="2"/>
  <c r="AI60" i="2"/>
  <c r="AF60" i="2"/>
  <c r="AE60" i="2"/>
  <c r="AH60" i="2" s="1"/>
  <c r="AK59" i="2"/>
  <c r="AF59" i="2"/>
  <c r="AE59" i="2"/>
  <c r="AI59" i="2" s="1"/>
  <c r="AK58" i="2"/>
  <c r="AF58" i="2"/>
  <c r="AE58" i="2"/>
  <c r="AI58" i="2" s="1"/>
  <c r="AK57" i="2"/>
  <c r="AF57" i="2"/>
  <c r="AE57" i="2"/>
  <c r="AH57" i="2" s="1"/>
  <c r="AK56" i="2"/>
  <c r="AF56" i="2"/>
  <c r="AE56" i="2"/>
  <c r="AG56" i="2" s="1"/>
  <c r="AK55" i="2"/>
  <c r="AF55" i="2"/>
  <c r="AE55" i="2"/>
  <c r="AI55" i="2" s="1"/>
  <c r="AK54" i="2"/>
  <c r="AF54" i="2"/>
  <c r="AE54" i="2"/>
  <c r="AH54" i="2" s="1"/>
  <c r="AK53" i="2"/>
  <c r="AF53" i="2"/>
  <c r="AE53" i="2"/>
  <c r="AI53" i="2" s="1"/>
  <c r="AK52" i="2"/>
  <c r="AF52" i="2"/>
  <c r="AE52" i="2"/>
  <c r="AI52" i="2" s="1"/>
  <c r="AK51" i="2"/>
  <c r="AF51" i="2"/>
  <c r="AE51" i="2"/>
  <c r="AK50" i="2"/>
  <c r="AF50" i="2"/>
  <c r="AE50" i="2"/>
  <c r="AH50" i="2" s="1"/>
  <c r="AK49" i="2"/>
  <c r="AF49" i="2"/>
  <c r="AE49" i="2"/>
  <c r="AI49" i="2" s="1"/>
  <c r="AK48" i="2"/>
  <c r="AF48" i="2"/>
  <c r="AE48" i="2"/>
  <c r="AK47" i="2"/>
  <c r="AF47" i="2"/>
  <c r="AE47" i="2"/>
  <c r="AH47" i="2" s="1"/>
  <c r="AK46" i="2"/>
  <c r="AF46" i="2"/>
  <c r="AE46" i="2"/>
  <c r="AI46" i="2" s="1"/>
  <c r="AK45" i="2"/>
  <c r="AF45" i="2"/>
  <c r="AE45" i="2"/>
  <c r="AH45" i="2" s="1"/>
  <c r="AK44" i="2"/>
  <c r="AF44" i="2"/>
  <c r="AE44" i="2"/>
  <c r="AH44" i="2" s="1"/>
  <c r="AK43" i="2"/>
  <c r="AF43" i="2"/>
  <c r="AE43" i="2"/>
  <c r="AK42" i="2"/>
  <c r="AF42" i="2"/>
  <c r="AE42" i="2"/>
  <c r="AI42" i="2" s="1"/>
  <c r="AK41" i="2"/>
  <c r="AF41" i="2"/>
  <c r="AE41" i="2"/>
  <c r="AK40" i="2"/>
  <c r="AF40" i="2"/>
  <c r="AE40" i="2"/>
  <c r="AH40" i="2" s="1"/>
  <c r="AK39" i="2"/>
  <c r="AF39" i="2"/>
  <c r="AE39" i="2"/>
  <c r="AG39" i="2" s="1"/>
  <c r="AK38" i="2"/>
  <c r="AF38" i="2"/>
  <c r="AE38" i="2"/>
  <c r="AH38" i="2" s="1"/>
  <c r="AK37" i="2"/>
  <c r="AF37" i="2"/>
  <c r="AE37" i="2"/>
  <c r="AH37" i="2" s="1"/>
  <c r="AK36" i="2"/>
  <c r="AF36" i="2"/>
  <c r="AE36" i="2"/>
  <c r="AK35" i="2"/>
  <c r="AH35" i="2"/>
  <c r="AF35" i="2"/>
  <c r="AE35" i="2"/>
  <c r="AK34" i="2"/>
  <c r="AF34" i="2"/>
  <c r="AE34" i="2"/>
  <c r="AI34" i="2" s="1"/>
  <c r="AK33" i="2"/>
  <c r="AI33" i="2"/>
  <c r="AF33" i="2"/>
  <c r="AE33" i="2"/>
  <c r="AH33" i="2" s="1"/>
  <c r="AK32" i="2"/>
  <c r="AF32" i="2"/>
  <c r="AE32" i="2"/>
  <c r="AK31" i="2"/>
  <c r="AF31" i="2"/>
  <c r="AE31" i="2"/>
  <c r="AH31" i="2" s="1"/>
  <c r="AK30" i="2"/>
  <c r="AF30" i="2"/>
  <c r="AE30" i="2"/>
  <c r="AI30" i="2" s="1"/>
  <c r="AK29" i="2"/>
  <c r="AF29" i="2"/>
  <c r="AE29" i="2"/>
  <c r="AK28" i="2"/>
  <c r="AH28" i="2"/>
  <c r="AF28" i="2"/>
  <c r="AE28" i="2"/>
  <c r="AI28" i="2" s="1"/>
  <c r="AK27" i="2"/>
  <c r="AF27" i="2"/>
  <c r="AE27" i="2"/>
  <c r="AK26" i="2"/>
  <c r="AF26" i="2"/>
  <c r="AE26" i="2"/>
  <c r="AI26" i="2" s="1"/>
  <c r="AK25" i="2"/>
  <c r="AF25" i="2"/>
  <c r="AE25" i="2"/>
  <c r="AH25" i="2" s="1"/>
  <c r="AK24" i="2"/>
  <c r="AF24" i="2"/>
  <c r="AE24" i="2"/>
  <c r="AI24" i="2" s="1"/>
  <c r="AK23" i="2"/>
  <c r="AF23" i="2"/>
  <c r="AE23" i="2"/>
  <c r="AI23" i="2" s="1"/>
  <c r="AK22" i="2"/>
  <c r="AG22" i="2"/>
  <c r="AF22" i="2"/>
  <c r="AE22" i="2"/>
  <c r="AH22" i="2" s="1"/>
  <c r="H22" i="2"/>
  <c r="T22" i="2" s="1"/>
  <c r="AK21" i="2"/>
  <c r="AF21" i="2"/>
  <c r="AE21" i="2"/>
  <c r="AH21" i="2" s="1"/>
  <c r="AK20" i="2"/>
  <c r="AF20" i="2"/>
  <c r="AE20" i="2"/>
  <c r="AI20" i="2" s="1"/>
  <c r="AK19" i="2"/>
  <c r="AF19" i="2"/>
  <c r="AE19" i="2"/>
  <c r="AH19" i="2" s="1"/>
  <c r="AK18" i="2"/>
  <c r="AF18" i="2"/>
  <c r="AE18" i="2"/>
  <c r="AI18" i="2" s="1"/>
  <c r="AK17" i="2"/>
  <c r="AF17" i="2"/>
  <c r="AE17" i="2"/>
  <c r="AI17" i="2" s="1"/>
  <c r="AK16" i="2"/>
  <c r="AF16" i="2"/>
  <c r="AE16" i="2"/>
  <c r="AI16" i="2" s="1"/>
  <c r="AK15" i="2"/>
  <c r="AF15" i="2"/>
  <c r="AE15" i="2"/>
  <c r="AI15" i="2" s="1"/>
  <c r="AK14" i="2"/>
  <c r="AF14" i="2"/>
  <c r="AE14" i="2"/>
  <c r="AI14" i="2" s="1"/>
  <c r="AK13" i="2"/>
  <c r="AF13" i="2"/>
  <c r="AE13" i="2"/>
  <c r="AI13" i="2" s="1"/>
  <c r="AK12" i="2"/>
  <c r="AF12" i="2"/>
  <c r="AE12" i="2"/>
  <c r="AI12" i="2" s="1"/>
  <c r="AK11" i="2"/>
  <c r="AF11" i="2"/>
  <c r="AE11" i="2"/>
  <c r="AI11" i="2" s="1"/>
  <c r="AK10" i="2"/>
  <c r="AG10" i="2"/>
  <c r="AF10" i="2"/>
  <c r="AE10" i="2"/>
  <c r="AI10" i="2" s="1"/>
  <c r="AK9" i="2"/>
  <c r="AF9" i="2"/>
  <c r="AE9" i="2"/>
  <c r="AI9" i="2" s="1"/>
  <c r="AK8" i="2"/>
  <c r="AF8" i="2"/>
  <c r="AE8" i="2"/>
  <c r="AH8" i="2" s="1"/>
  <c r="AK7" i="2"/>
  <c r="AF7" i="2"/>
  <c r="AE7" i="2"/>
  <c r="AI7" i="2" s="1"/>
  <c r="E10" i="1"/>
  <c r="E9" i="1"/>
  <c r="E8" i="1"/>
  <c r="E7" i="1"/>
  <c r="AI110" i="2" l="1"/>
  <c r="AH72" i="2"/>
  <c r="H138" i="2"/>
  <c r="AH145" i="2"/>
  <c r="AH172" i="2"/>
  <c r="H180" i="2"/>
  <c r="AG221" i="2"/>
  <c r="AH96" i="2"/>
  <c r="AI138" i="2"/>
  <c r="AI199" i="2"/>
  <c r="AI206" i="2"/>
  <c r="AH221" i="2"/>
  <c r="AH240" i="2"/>
  <c r="AG317" i="2"/>
  <c r="H35" i="2"/>
  <c r="AD35" i="2" s="1"/>
  <c r="AH135" i="2"/>
  <c r="H185" i="2"/>
  <c r="AH225" i="2"/>
  <c r="AI35" i="2"/>
  <c r="H59" i="2"/>
  <c r="H63" i="2"/>
  <c r="AD63" i="2" s="1"/>
  <c r="H129" i="2"/>
  <c r="H212" i="2"/>
  <c r="R212" i="2" s="1"/>
  <c r="H245" i="2"/>
  <c r="AI280" i="2"/>
  <c r="H319" i="2"/>
  <c r="H144" i="2"/>
  <c r="H86" i="2"/>
  <c r="H117" i="2"/>
  <c r="H29" i="2"/>
  <c r="H171" i="2"/>
  <c r="H83" i="2"/>
  <c r="H87" i="2"/>
  <c r="U87" i="2" s="1"/>
  <c r="H315" i="2"/>
  <c r="Q156" i="2"/>
  <c r="H281" i="2"/>
  <c r="H176" i="2"/>
  <c r="H213" i="2"/>
  <c r="H221" i="2"/>
  <c r="H278" i="2"/>
  <c r="H32" i="2"/>
  <c r="H184" i="2"/>
  <c r="AD184" i="2" s="1"/>
  <c r="H203" i="2"/>
  <c r="H321" i="2"/>
  <c r="AD321" i="2" s="1"/>
  <c r="H105" i="2"/>
  <c r="U105" i="2" s="1"/>
  <c r="H188" i="2"/>
  <c r="X188" i="2" s="1"/>
  <c r="H271" i="2"/>
  <c r="H306" i="2"/>
  <c r="H325" i="2"/>
  <c r="H337" i="2"/>
  <c r="AD337" i="2" s="1"/>
  <c r="H174" i="2"/>
  <c r="H276" i="2"/>
  <c r="H295" i="2"/>
  <c r="AD295" i="2" s="1"/>
  <c r="H322" i="2"/>
  <c r="H334" i="2"/>
  <c r="AG96" i="2"/>
  <c r="AG99" i="2"/>
  <c r="K99" i="2" s="1"/>
  <c r="H143" i="2"/>
  <c r="AD143" i="2" s="1"/>
  <c r="AH185" i="2"/>
  <c r="AH188" i="2"/>
  <c r="AI227" i="2"/>
  <c r="AG298" i="2"/>
  <c r="AI370" i="2"/>
  <c r="AH69" i="2"/>
  <c r="H90" i="2"/>
  <c r="AI96" i="2"/>
  <c r="Z96" i="2" s="1"/>
  <c r="H115" i="2"/>
  <c r="Z182" i="2"/>
  <c r="AI203" i="2"/>
  <c r="Z203" i="2" s="1"/>
  <c r="H218" i="2"/>
  <c r="H84" i="2"/>
  <c r="Y84" i="2" s="1"/>
  <c r="AI115" i="2"/>
  <c r="AH147" i="2"/>
  <c r="H159" i="2"/>
  <c r="Y159" i="2" s="1"/>
  <c r="H183" i="2"/>
  <c r="X183" i="2" s="1"/>
  <c r="AH200" i="2"/>
  <c r="AI273" i="2"/>
  <c r="AI306" i="2"/>
  <c r="AI313" i="2"/>
  <c r="H219" i="2"/>
  <c r="AI22" i="2"/>
  <c r="Z22" i="2" s="1"/>
  <c r="AI56" i="2"/>
  <c r="AH87" i="2"/>
  <c r="AI270" i="2"/>
  <c r="AH292" i="2"/>
  <c r="AH81" i="2"/>
  <c r="AG84" i="2"/>
  <c r="AI87" i="2"/>
  <c r="AH138" i="2"/>
  <c r="AH141" i="2"/>
  <c r="AH180" i="2"/>
  <c r="AH255" i="2"/>
  <c r="AG219" i="2"/>
  <c r="N219" i="2" s="1"/>
  <c r="AH349" i="2"/>
  <c r="H16" i="2"/>
  <c r="Z16" i="2" s="1"/>
  <c r="AI81" i="2"/>
  <c r="AH84" i="2"/>
  <c r="H120" i="2"/>
  <c r="AD120" i="2" s="1"/>
  <c r="AG174" i="2"/>
  <c r="H301" i="2"/>
  <c r="AD301" i="2" s="1"/>
  <c r="AH120" i="2"/>
  <c r="AH160" i="2"/>
  <c r="AH167" i="2"/>
  <c r="AI174" i="2"/>
  <c r="H10" i="2"/>
  <c r="S10" i="2" s="1"/>
  <c r="H65" i="2"/>
  <c r="AD65" i="2" s="1"/>
  <c r="AH75" i="2"/>
  <c r="Y75" i="2" s="1"/>
  <c r="AH117" i="2"/>
  <c r="AG178" i="2"/>
  <c r="H269" i="2"/>
  <c r="AD269" i="2" s="1"/>
  <c r="AH287" i="2"/>
  <c r="H298" i="2"/>
  <c r="L298" i="2" s="1"/>
  <c r="AG301" i="2"/>
  <c r="H305" i="2"/>
  <c r="H99" i="2"/>
  <c r="AD99" i="2" s="1"/>
  <c r="AH101" i="2"/>
  <c r="AH104" i="2"/>
  <c r="H114" i="2"/>
  <c r="U114" i="2" s="1"/>
  <c r="H123" i="2"/>
  <c r="T123" i="2" s="1"/>
  <c r="AH129" i="2"/>
  <c r="AH142" i="2"/>
  <c r="AI160" i="2"/>
  <c r="AH163" i="2"/>
  <c r="AI172" i="2"/>
  <c r="AI180" i="2"/>
  <c r="AI183" i="2"/>
  <c r="Z183" i="2" s="1"/>
  <c r="H233" i="2"/>
  <c r="AI31" i="2"/>
  <c r="AH34" i="2"/>
  <c r="AI57" i="2"/>
  <c r="AG93" i="2"/>
  <c r="I93" i="2" s="1"/>
  <c r="AH107" i="2"/>
  <c r="AH114" i="2"/>
  <c r="AI129" i="2"/>
  <c r="AH148" i="2"/>
  <c r="AG151" i="2"/>
  <c r="AG154" i="2"/>
  <c r="AH170" i="2"/>
  <c r="H175" i="2"/>
  <c r="AD175" i="2" s="1"/>
  <c r="AG193" i="2"/>
  <c r="AG236" i="2"/>
  <c r="H312" i="2"/>
  <c r="AD312" i="2" s="1"/>
  <c r="AH93" i="2"/>
  <c r="T93" i="2" s="1"/>
  <c r="AI148" i="2"/>
  <c r="H173" i="2"/>
  <c r="AD173" i="2" s="1"/>
  <c r="AI193" i="2"/>
  <c r="H240" i="2"/>
  <c r="AD240" i="2" s="1"/>
  <c r="AI246" i="2"/>
  <c r="H279" i="2"/>
  <c r="H282" i="2"/>
  <c r="AI295" i="2"/>
  <c r="AG305" i="2"/>
  <c r="H318" i="2"/>
  <c r="Z318" i="2" s="1"/>
  <c r="AI364" i="2"/>
  <c r="H53" i="2"/>
  <c r="AD53" i="2" s="1"/>
  <c r="AI93" i="2"/>
  <c r="AG75" i="2"/>
  <c r="AG105" i="2"/>
  <c r="AG143" i="2"/>
  <c r="AH164" i="2"/>
  <c r="AI178" i="2"/>
  <c r="AI200" i="2"/>
  <c r="H237" i="2"/>
  <c r="AI269" i="2"/>
  <c r="AI321" i="2"/>
  <c r="Z321" i="2" s="1"/>
  <c r="AH350" i="2"/>
  <c r="AH105" i="2"/>
  <c r="AH143" i="2"/>
  <c r="AH152" i="2"/>
  <c r="AH155" i="2"/>
  <c r="AI171" i="2"/>
  <c r="AI173" i="2"/>
  <c r="U176" i="2"/>
  <c r="AH237" i="2"/>
  <c r="AI262" i="2"/>
  <c r="AH276" i="2"/>
  <c r="AG279" i="2"/>
  <c r="Q279" i="2" s="1"/>
  <c r="AI282" i="2"/>
  <c r="AG312" i="2"/>
  <c r="L312" i="2" s="1"/>
  <c r="AH318" i="2"/>
  <c r="AH333" i="2"/>
  <c r="AI25" i="2"/>
  <c r="K22" i="2"/>
  <c r="AI105" i="2"/>
  <c r="AH112" i="2"/>
  <c r="H141" i="2"/>
  <c r="AH198" i="2"/>
  <c r="AI207" i="2"/>
  <c r="AH227" i="2"/>
  <c r="V227" i="2" s="1"/>
  <c r="AI276" i="2"/>
  <c r="AH312" i="2"/>
  <c r="AH365" i="2"/>
  <c r="AH42" i="2"/>
  <c r="AG53" i="2"/>
  <c r="AH56" i="2"/>
  <c r="AH103" i="2"/>
  <c r="AH118" i="2"/>
  <c r="AI162" i="2"/>
  <c r="H172" i="2"/>
  <c r="AH176" i="2"/>
  <c r="AG293" i="2"/>
  <c r="AI300" i="2"/>
  <c r="AH53" i="2"/>
  <c r="H80" i="2"/>
  <c r="S80" i="2" s="1"/>
  <c r="H199" i="2"/>
  <c r="Z199" i="2" s="1"/>
  <c r="H13" i="2"/>
  <c r="U35" i="2"/>
  <c r="H57" i="2"/>
  <c r="U57" i="2" s="1"/>
  <c r="AH66" i="2"/>
  <c r="AH144" i="2"/>
  <c r="H151" i="2"/>
  <c r="H154" i="2"/>
  <c r="M154" i="2" s="1"/>
  <c r="I156" i="2"/>
  <c r="AH174" i="2"/>
  <c r="H193" i="2"/>
  <c r="Y193" i="2" s="1"/>
  <c r="AG212" i="2"/>
  <c r="H236" i="2"/>
  <c r="AG274" i="2"/>
  <c r="AI304" i="2"/>
  <c r="H313" i="2"/>
  <c r="AH334" i="2"/>
  <c r="V334" i="2" s="1"/>
  <c r="AD174" i="2"/>
  <c r="M174" i="2"/>
  <c r="AG81" i="2"/>
  <c r="J81" i="2" s="1"/>
  <c r="AI94" i="2"/>
  <c r="H102" i="2"/>
  <c r="AD102" i="2" s="1"/>
  <c r="H108" i="2"/>
  <c r="AG110" i="2"/>
  <c r="AG112" i="2"/>
  <c r="AG117" i="2"/>
  <c r="AG162" i="2"/>
  <c r="H165" i="2"/>
  <c r="AH171" i="2"/>
  <c r="V171" i="2" s="1"/>
  <c r="H196" i="2"/>
  <c r="AD196" i="2" s="1"/>
  <c r="AG203" i="2"/>
  <c r="AI265" i="2"/>
  <c r="AI268" i="2"/>
  <c r="AG276" i="2"/>
  <c r="K276" i="2" s="1"/>
  <c r="H283" i="2"/>
  <c r="H286" i="2"/>
  <c r="AD286" i="2" s="1"/>
  <c r="AH295" i="2"/>
  <c r="AH302" i="2"/>
  <c r="AG304" i="2"/>
  <c r="H15" i="2"/>
  <c r="L15" i="2" s="1"/>
  <c r="AH49" i="2"/>
  <c r="AH52" i="2"/>
  <c r="H126" i="2"/>
  <c r="R80" i="2"/>
  <c r="AI97" i="2"/>
  <c r="AH108" i="2"/>
  <c r="H111" i="2"/>
  <c r="AH149" i="2"/>
  <c r="AH157" i="2"/>
  <c r="AG165" i="2"/>
  <c r="X175" i="2"/>
  <c r="AG196" i="2"/>
  <c r="H266" i="2"/>
  <c r="S276" i="2"/>
  <c r="AH283" i="2"/>
  <c r="AH293" i="2"/>
  <c r="AH298" i="2"/>
  <c r="AH317" i="2"/>
  <c r="H320" i="2"/>
  <c r="AI334" i="2"/>
  <c r="Z334" i="2" s="1"/>
  <c r="AH359" i="2"/>
  <c r="AH371" i="2"/>
  <c r="AH9" i="2"/>
  <c r="AH12" i="2"/>
  <c r="AH15" i="2"/>
  <c r="AI21" i="2"/>
  <c r="AH29" i="2"/>
  <c r="AH102" i="2"/>
  <c r="U102" i="2" s="1"/>
  <c r="AH136" i="2"/>
  <c r="H19" i="2"/>
  <c r="AH32" i="2"/>
  <c r="X32" i="2" s="1"/>
  <c r="AH59" i="2"/>
  <c r="W59" i="2" s="1"/>
  <c r="AH90" i="2"/>
  <c r="AH123" i="2"/>
  <c r="H132" i="2"/>
  <c r="H134" i="2"/>
  <c r="AD134" i="2" s="1"/>
  <c r="AH165" i="2"/>
  <c r="W165" i="2" s="1"/>
  <c r="H168" i="2"/>
  <c r="H170" i="2"/>
  <c r="AD170" i="2" s="1"/>
  <c r="H177" i="2"/>
  <c r="H179" i="2"/>
  <c r="X180" i="2"/>
  <c r="H189" i="2"/>
  <c r="V189" i="2" s="1"/>
  <c r="H192" i="2"/>
  <c r="Z192" i="2" s="1"/>
  <c r="H204" i="2"/>
  <c r="Z204" i="2" s="1"/>
  <c r="Z227" i="2"/>
  <c r="AH233" i="2"/>
  <c r="W233" i="2" s="1"/>
  <c r="H239" i="2"/>
  <c r="O239" i="2" s="1"/>
  <c r="H251" i="2"/>
  <c r="AH266" i="2"/>
  <c r="AI286" i="2"/>
  <c r="AH291" i="2"/>
  <c r="AH303" i="2"/>
  <c r="AG315" i="2"/>
  <c r="AH337" i="2"/>
  <c r="AG275" i="2"/>
  <c r="H12" i="2"/>
  <c r="W12" i="2" s="1"/>
  <c r="AH18" i="2"/>
  <c r="AH139" i="2"/>
  <c r="J298" i="2"/>
  <c r="AH315" i="2"/>
  <c r="X315" i="2" s="1"/>
  <c r="AI337" i="2"/>
  <c r="H9" i="2"/>
  <c r="AG15" i="2"/>
  <c r="AI100" i="2"/>
  <c r="AH106" i="2"/>
  <c r="AG126" i="2"/>
  <c r="S22" i="2"/>
  <c r="H38" i="2"/>
  <c r="V38" i="2" s="1"/>
  <c r="H44" i="2"/>
  <c r="AD44" i="2" s="1"/>
  <c r="AG47" i="2"/>
  <c r="AG65" i="2"/>
  <c r="H72" i="2"/>
  <c r="Y72" i="2" s="1"/>
  <c r="AH126" i="2"/>
  <c r="H137" i="2"/>
  <c r="AI170" i="2"/>
  <c r="H194" i="2"/>
  <c r="H197" i="2"/>
  <c r="U206" i="2"/>
  <c r="AH236" i="2"/>
  <c r="AH279" i="2"/>
  <c r="V279" i="2" s="1"/>
  <c r="H287" i="2"/>
  <c r="AH301" i="2"/>
  <c r="V301" i="2" s="1"/>
  <c r="AH305" i="2"/>
  <c r="AI315" i="2"/>
  <c r="Z315" i="2" s="1"/>
  <c r="AG320" i="2"/>
  <c r="AG337" i="2"/>
  <c r="AI74" i="2"/>
  <c r="AH134" i="2"/>
  <c r="AI19" i="2"/>
  <c r="Z19" i="2" s="1"/>
  <c r="X22" i="2"/>
  <c r="H25" i="2"/>
  <c r="AD25" i="2" s="1"/>
  <c r="AI38" i="2"/>
  <c r="H42" i="2"/>
  <c r="Z42" i="2" s="1"/>
  <c r="AI44" i="2"/>
  <c r="Z44" i="2" s="1"/>
  <c r="AI50" i="2"/>
  <c r="H60" i="2"/>
  <c r="V60" i="2" s="1"/>
  <c r="H69" i="2"/>
  <c r="H75" i="2"/>
  <c r="H101" i="2"/>
  <c r="Y101" i="2" s="1"/>
  <c r="AH111" i="2"/>
  <c r="AH121" i="2"/>
  <c r="AG132" i="2"/>
  <c r="H135" i="2"/>
  <c r="V135" i="2" s="1"/>
  <c r="AH137" i="2"/>
  <c r="V137" i="2" s="1"/>
  <c r="H148" i="2"/>
  <c r="V148" i="2" s="1"/>
  <c r="H166" i="2"/>
  <c r="W166" i="2" s="1"/>
  <c r="AI175" i="2"/>
  <c r="AG177" i="2"/>
  <c r="S177" i="2" s="1"/>
  <c r="AG179" i="2"/>
  <c r="AG181" i="2"/>
  <c r="AH192" i="2"/>
  <c r="AI194" i="2"/>
  <c r="Z194" i="2" s="1"/>
  <c r="AG197" i="2"/>
  <c r="AH204" i="2"/>
  <c r="H207" i="2"/>
  <c r="Y207" i="2" s="1"/>
  <c r="AI213" i="2"/>
  <c r="AH228" i="2"/>
  <c r="AH231" i="2"/>
  <c r="AG239" i="2"/>
  <c r="AH251" i="2"/>
  <c r="AH257" i="2"/>
  <c r="Y257" i="2" s="1"/>
  <c r="AG277" i="2"/>
  <c r="J277" i="2" s="1"/>
  <c r="AH294" i="2"/>
  <c r="H304" i="2"/>
  <c r="Y304" i="2" s="1"/>
  <c r="H314" i="2"/>
  <c r="AH320" i="2"/>
  <c r="AG334" i="2"/>
  <c r="O334" i="2" s="1"/>
  <c r="H56" i="2"/>
  <c r="S56" i="2" s="1"/>
  <c r="AH132" i="2"/>
  <c r="X132" i="2" s="1"/>
  <c r="AG150" i="2"/>
  <c r="H162" i="2"/>
  <c r="J162" i="2" s="1"/>
  <c r="AH168" i="2"/>
  <c r="AH177" i="2"/>
  <c r="AH179" i="2"/>
  <c r="AI181" i="2"/>
  <c r="AI189" i="2"/>
  <c r="AH197" i="2"/>
  <c r="H200" i="2"/>
  <c r="L200" i="2" s="1"/>
  <c r="AI231" i="2"/>
  <c r="AH234" i="2"/>
  <c r="AH239" i="2"/>
  <c r="Y239" i="2" s="1"/>
  <c r="AH261" i="2"/>
  <c r="AH264" i="2"/>
  <c r="AH267" i="2"/>
  <c r="H270" i="2"/>
  <c r="W270" i="2" s="1"/>
  <c r="H273" i="2"/>
  <c r="AD273" i="2" s="1"/>
  <c r="AH277" i="2"/>
  <c r="X277" i="2" s="1"/>
  <c r="AG282" i="2"/>
  <c r="AH297" i="2"/>
  <c r="J301" i="2"/>
  <c r="AG72" i="2"/>
  <c r="H89" i="2"/>
  <c r="Q93" i="2"/>
  <c r="H107" i="2"/>
  <c r="T107" i="2" s="1"/>
  <c r="H110" i="2"/>
  <c r="N110" i="2" s="1"/>
  <c r="U189" i="2"/>
  <c r="AI234" i="2"/>
  <c r="AI277" i="2"/>
  <c r="AG287" i="2"/>
  <c r="AG292" i="2"/>
  <c r="L292" i="2" s="1"/>
  <c r="H302" i="2"/>
  <c r="AD302" i="2" s="1"/>
  <c r="AH338" i="2"/>
  <c r="AH341" i="2"/>
  <c r="U290" i="2"/>
  <c r="Z314" i="2"/>
  <c r="AH358" i="2"/>
  <c r="AH367" i="2"/>
  <c r="H45" i="2"/>
  <c r="AD45" i="2" s="1"/>
  <c r="AI8" i="2"/>
  <c r="AI45" i="2"/>
  <c r="H104" i="2"/>
  <c r="H157" i="2"/>
  <c r="V157" i="2" s="1"/>
  <c r="AH300" i="2"/>
  <c r="H317" i="2"/>
  <c r="N317" i="2" s="1"/>
  <c r="AI367" i="2"/>
  <c r="H7" i="2"/>
  <c r="U312" i="2"/>
  <c r="Y175" i="2"/>
  <c r="T189" i="2"/>
  <c r="X298" i="2"/>
  <c r="T114" i="2"/>
  <c r="T276" i="2"/>
  <c r="T334" i="2"/>
  <c r="T135" i="2"/>
  <c r="V298" i="2"/>
  <c r="Z212" i="2"/>
  <c r="I301" i="2"/>
  <c r="T115" i="2"/>
  <c r="U276" i="2"/>
  <c r="T180" i="2"/>
  <c r="T233" i="2"/>
  <c r="Y276" i="2"/>
  <c r="Z13" i="2"/>
  <c r="U233" i="2"/>
  <c r="N96" i="2"/>
  <c r="T163" i="2"/>
  <c r="O174" i="2"/>
  <c r="T175" i="2"/>
  <c r="T290" i="2"/>
  <c r="T35" i="2"/>
  <c r="Z93" i="2"/>
  <c r="K143" i="2"/>
  <c r="P174" i="2"/>
  <c r="W134" i="2"/>
  <c r="R174" i="2"/>
  <c r="N148" i="2"/>
  <c r="X174" i="2"/>
  <c r="Z286" i="2"/>
  <c r="Z59" i="2"/>
  <c r="U148" i="2"/>
  <c r="Z174" i="2"/>
  <c r="Y35" i="2"/>
  <c r="O96" i="2"/>
  <c r="Y134" i="2"/>
  <c r="K177" i="2"/>
  <c r="T65" i="2"/>
  <c r="U96" i="2"/>
  <c r="U99" i="2"/>
  <c r="T177" i="2"/>
  <c r="U180" i="2"/>
  <c r="L203" i="2"/>
  <c r="U203" i="2"/>
  <c r="Y38" i="2"/>
  <c r="T38" i="2"/>
  <c r="U38" i="2"/>
  <c r="AD38" i="2"/>
  <c r="AD86" i="2"/>
  <c r="Z9" i="2"/>
  <c r="R15" i="2"/>
  <c r="AD15" i="2"/>
  <c r="X15" i="2"/>
  <c r="P15" i="2"/>
  <c r="Z15" i="2"/>
  <c r="Y15" i="2"/>
  <c r="M15" i="2"/>
  <c r="W15" i="2"/>
  <c r="K15" i="2"/>
  <c r="V15" i="2"/>
  <c r="T15" i="2"/>
  <c r="AD12" i="2"/>
  <c r="Z12" i="2"/>
  <c r="X12" i="2"/>
  <c r="Y12" i="2"/>
  <c r="V12" i="2"/>
  <c r="U12" i="2"/>
  <c r="T12" i="2"/>
  <c r="X29" i="2"/>
  <c r="W29" i="2"/>
  <c r="AD29" i="2"/>
  <c r="Y29" i="2"/>
  <c r="U29" i="2"/>
  <c r="V29" i="2"/>
  <c r="T29" i="2"/>
  <c r="AD32" i="2"/>
  <c r="T32" i="2"/>
  <c r="H18" i="2"/>
  <c r="AG29" i="2"/>
  <c r="L29" i="2" s="1"/>
  <c r="V42" i="2"/>
  <c r="AI62" i="2"/>
  <c r="AH62" i="2"/>
  <c r="AG62" i="2"/>
  <c r="AD13" i="2"/>
  <c r="P22" i="2"/>
  <c r="U22" i="2"/>
  <c r="AG24" i="2"/>
  <c r="H24" i="2"/>
  <c r="AG41" i="2"/>
  <c r="AH41" i="2"/>
  <c r="AI48" i="2"/>
  <c r="AH48" i="2"/>
  <c r="H48" i="2"/>
  <c r="AH70" i="2"/>
  <c r="AG70" i="2"/>
  <c r="H70" i="2"/>
  <c r="AI70" i="2"/>
  <c r="I22" i="2"/>
  <c r="V22" i="2"/>
  <c r="AH23" i="2"/>
  <c r="AG28" i="2"/>
  <c r="H28" i="2"/>
  <c r="AI29" i="2"/>
  <c r="Z29" i="2" s="1"/>
  <c r="AG31" i="2"/>
  <c r="H31" i="2"/>
  <c r="AI32" i="2"/>
  <c r="Z32" i="2" s="1"/>
  <c r="AG34" i="2"/>
  <c r="H34" i="2"/>
  <c r="H41" i="2"/>
  <c r="T44" i="2"/>
  <c r="AD19" i="2"/>
  <c r="AG23" i="2"/>
  <c r="J22" i="2"/>
  <c r="W22" i="2"/>
  <c r="H23" i="2"/>
  <c r="AH24" i="2"/>
  <c r="AI41" i="2"/>
  <c r="T45" i="2"/>
  <c r="W120" i="2"/>
  <c r="AH7" i="2"/>
  <c r="AH10" i="2"/>
  <c r="AH13" i="2"/>
  <c r="U13" i="2" s="1"/>
  <c r="AH16" i="2"/>
  <c r="U19" i="2"/>
  <c r="L22" i="2"/>
  <c r="Y22" i="2"/>
  <c r="AG27" i="2"/>
  <c r="H27" i="2"/>
  <c r="V35" i="2"/>
  <c r="AG36" i="2"/>
  <c r="H36" i="2"/>
  <c r="X42" i="2"/>
  <c r="AD42" i="2"/>
  <c r="H51" i="2"/>
  <c r="AI51" i="2"/>
  <c r="AH51" i="2"/>
  <c r="Y57" i="2"/>
  <c r="X57" i="2"/>
  <c r="AD57" i="2"/>
  <c r="Z57" i="2"/>
  <c r="W57" i="2"/>
  <c r="V57" i="2"/>
  <c r="T57" i="2"/>
  <c r="Y69" i="2"/>
  <c r="X69" i="2"/>
  <c r="W69" i="2"/>
  <c r="AD69" i="2"/>
  <c r="Z69" i="2"/>
  <c r="U69" i="2"/>
  <c r="T69" i="2"/>
  <c r="AI86" i="2"/>
  <c r="Z86" i="2" s="1"/>
  <c r="AH86" i="2"/>
  <c r="W86" i="2" s="1"/>
  <c r="AG86" i="2"/>
  <c r="S86" i="2" s="1"/>
  <c r="Q65" i="2"/>
  <c r="P65" i="2"/>
  <c r="W65" i="2"/>
  <c r="K65" i="2"/>
  <c r="Z65" i="2"/>
  <c r="J65" i="2"/>
  <c r="Y65" i="2"/>
  <c r="I65" i="2"/>
  <c r="V65" i="2"/>
  <c r="R65" i="2"/>
  <c r="S65" i="2"/>
  <c r="N65" i="2"/>
  <c r="M65" i="2"/>
  <c r="L65" i="2"/>
  <c r="X65" i="2"/>
  <c r="U65" i="2"/>
  <c r="M22" i="2"/>
  <c r="U25" i="2"/>
  <c r="AG43" i="2"/>
  <c r="H43" i="2"/>
  <c r="AH43" i="2"/>
  <c r="AI71" i="2"/>
  <c r="AH71" i="2"/>
  <c r="AG71" i="2"/>
  <c r="H71" i="2"/>
  <c r="Y81" i="2"/>
  <c r="X81" i="2"/>
  <c r="W81" i="2"/>
  <c r="Z81" i="2"/>
  <c r="AD81" i="2"/>
  <c r="U81" i="2"/>
  <c r="T81" i="2"/>
  <c r="V19" i="2"/>
  <c r="W19" i="2"/>
  <c r="N22" i="2"/>
  <c r="AH26" i="2"/>
  <c r="AH27" i="2"/>
  <c r="H30" i="2"/>
  <c r="H33" i="2"/>
  <c r="X35" i="2"/>
  <c r="W35" i="2"/>
  <c r="Z35" i="2"/>
  <c r="AH36" i="2"/>
  <c r="H39" i="2"/>
  <c r="L53" i="2"/>
  <c r="V69" i="2"/>
  <c r="AH73" i="2"/>
  <c r="H73" i="2"/>
  <c r="AI73" i="2"/>
  <c r="V81" i="2"/>
  <c r="H8" i="2"/>
  <c r="AG8" i="2"/>
  <c r="H11" i="2"/>
  <c r="AG11" i="2"/>
  <c r="H14" i="2"/>
  <c r="H17" i="2"/>
  <c r="AG17" i="2"/>
  <c r="X19" i="2"/>
  <c r="H20" i="2"/>
  <c r="AG20" i="2"/>
  <c r="H21" i="2"/>
  <c r="O22" i="2"/>
  <c r="AD22" i="2"/>
  <c r="W25" i="2"/>
  <c r="H26" i="2"/>
  <c r="AI27" i="2"/>
  <c r="AI36" i="2"/>
  <c r="AH39" i="2"/>
  <c r="AI43" i="2"/>
  <c r="X44" i="2"/>
  <c r="W44" i="2"/>
  <c r="AD56" i="2"/>
  <c r="Q56" i="2"/>
  <c r="P56" i="2"/>
  <c r="M56" i="2"/>
  <c r="K56" i="2"/>
  <c r="Z56" i="2"/>
  <c r="O56" i="2"/>
  <c r="L56" i="2"/>
  <c r="J56" i="2"/>
  <c r="H62" i="2"/>
  <c r="T19" i="2"/>
  <c r="AH11" i="2"/>
  <c r="Y13" i="2"/>
  <c r="AH14" i="2"/>
  <c r="AH17" i="2"/>
  <c r="Y19" i="2"/>
  <c r="AH20" i="2"/>
  <c r="Q22" i="2"/>
  <c r="X25" i="2"/>
  <c r="AH30" i="2"/>
  <c r="AI39" i="2"/>
  <c r="Z45" i="2"/>
  <c r="R22" i="2"/>
  <c r="Y25" i="2"/>
  <c r="AI37" i="2"/>
  <c r="AG37" i="2"/>
  <c r="H37" i="2"/>
  <c r="T42" i="2"/>
  <c r="AD83" i="2"/>
  <c r="AI95" i="2"/>
  <c r="AH95" i="2"/>
  <c r="H95" i="2"/>
  <c r="AH46" i="2"/>
  <c r="H68" i="2"/>
  <c r="AD80" i="2"/>
  <c r="Q80" i="2"/>
  <c r="P80" i="2"/>
  <c r="O80" i="2"/>
  <c r="K80" i="2"/>
  <c r="J80" i="2"/>
  <c r="M80" i="2"/>
  <c r="Z84" i="2"/>
  <c r="U84" i="2"/>
  <c r="AD144" i="2"/>
  <c r="Z144" i="2"/>
  <c r="X144" i="2"/>
  <c r="W144" i="2"/>
  <c r="V144" i="2"/>
  <c r="Y144" i="2"/>
  <c r="U144" i="2"/>
  <c r="T144" i="2"/>
  <c r="AH61" i="2"/>
  <c r="AG61" i="2"/>
  <c r="H61" i="2"/>
  <c r="AI61" i="2"/>
  <c r="AH64" i="2"/>
  <c r="H64" i="2"/>
  <c r="AH68" i="2"/>
  <c r="I80" i="2"/>
  <c r="AI92" i="2"/>
  <c r="Z92" i="2" s="1"/>
  <c r="AH92" i="2"/>
  <c r="T92" i="2" s="1"/>
  <c r="AG40" i="2"/>
  <c r="H40" i="2"/>
  <c r="AI40" i="2"/>
  <c r="AI54" i="2"/>
  <c r="H54" i="2"/>
  <c r="H74" i="2"/>
  <c r="AG74" i="2"/>
  <c r="L80" i="2"/>
  <c r="J84" i="2"/>
  <c r="Y90" i="2"/>
  <c r="X90" i="2"/>
  <c r="W90" i="2"/>
  <c r="Z90" i="2"/>
  <c r="V90" i="2"/>
  <c r="U90" i="2"/>
  <c r="T90" i="2"/>
  <c r="Z115" i="2"/>
  <c r="AG50" i="2"/>
  <c r="AD59" i="2"/>
  <c r="AI64" i="2"/>
  <c r="AG69" i="2"/>
  <c r="L69" i="2" s="1"/>
  <c r="N80" i="2"/>
  <c r="M75" i="2"/>
  <c r="L75" i="2"/>
  <c r="K75" i="2"/>
  <c r="S75" i="2"/>
  <c r="J75" i="2"/>
  <c r="I75" i="2"/>
  <c r="Z75" i="2"/>
  <c r="R75" i="2"/>
  <c r="AD107" i="2"/>
  <c r="Z107" i="2"/>
  <c r="W107" i="2"/>
  <c r="V107" i="2"/>
  <c r="Y107" i="2"/>
  <c r="X107" i="2"/>
  <c r="U107" i="2"/>
  <c r="AI47" i="2"/>
  <c r="H47" i="2"/>
  <c r="AH55" i="2"/>
  <c r="AG55" i="2"/>
  <c r="H55" i="2"/>
  <c r="N75" i="2"/>
  <c r="H78" i="2"/>
  <c r="AI78" i="2"/>
  <c r="AI80" i="2"/>
  <c r="Z80" i="2" s="1"/>
  <c r="AH80" i="2"/>
  <c r="V80" i="2" s="1"/>
  <c r="H50" i="2"/>
  <c r="Q53" i="2"/>
  <c r="H66" i="2"/>
  <c r="O75" i="2"/>
  <c r="AD90" i="2"/>
  <c r="Y114" i="2"/>
  <c r="X114" i="2"/>
  <c r="AD117" i="2"/>
  <c r="Q117" i="2"/>
  <c r="P117" i="2"/>
  <c r="T117" i="2"/>
  <c r="S117" i="2"/>
  <c r="R117" i="2"/>
  <c r="O117" i="2"/>
  <c r="N117" i="2"/>
  <c r="Y117" i="2"/>
  <c r="K117" i="2"/>
  <c r="X117" i="2"/>
  <c r="J117" i="2"/>
  <c r="Z117" i="2"/>
  <c r="W117" i="2"/>
  <c r="U117" i="2"/>
  <c r="M117" i="2"/>
  <c r="L117" i="2"/>
  <c r="I117" i="2"/>
  <c r="AG52" i="2"/>
  <c r="H52" i="2"/>
  <c r="AH67" i="2"/>
  <c r="AG67" i="2"/>
  <c r="H67" i="2"/>
  <c r="AI67" i="2"/>
  <c r="P75" i="2"/>
  <c r="H77" i="2"/>
  <c r="AH77" i="2"/>
  <c r="AI83" i="2"/>
  <c r="Z83" i="2" s="1"/>
  <c r="AH83" i="2"/>
  <c r="T83" i="2" s="1"/>
  <c r="AD92" i="2"/>
  <c r="Z108" i="2"/>
  <c r="Y108" i="2"/>
  <c r="X108" i="2"/>
  <c r="W108" i="2"/>
  <c r="V108" i="2"/>
  <c r="U108" i="2"/>
  <c r="T108" i="2"/>
  <c r="AD108" i="2"/>
  <c r="AD111" i="2"/>
  <c r="X111" i="2"/>
  <c r="W111" i="2"/>
  <c r="Z111" i="2"/>
  <c r="Y111" i="2"/>
  <c r="V111" i="2"/>
  <c r="T111" i="2"/>
  <c r="U115" i="2"/>
  <c r="V117" i="2"/>
  <c r="AG46" i="2"/>
  <c r="H46" i="2"/>
  <c r="AI63" i="2"/>
  <c r="AH63" i="2"/>
  <c r="Q75" i="2"/>
  <c r="AH82" i="2"/>
  <c r="H82" i="2"/>
  <c r="Q96" i="2"/>
  <c r="P96" i="2"/>
  <c r="R126" i="2"/>
  <c r="AD126" i="2"/>
  <c r="Q126" i="2"/>
  <c r="P126" i="2"/>
  <c r="Z126" i="2"/>
  <c r="N126" i="2"/>
  <c r="X126" i="2"/>
  <c r="L126" i="2"/>
  <c r="W126" i="2"/>
  <c r="K126" i="2"/>
  <c r="T126" i="2"/>
  <c r="S126" i="2"/>
  <c r="O126" i="2"/>
  <c r="M126" i="2"/>
  <c r="J126" i="2"/>
  <c r="Y126" i="2"/>
  <c r="R129" i="2"/>
  <c r="AD129" i="2"/>
  <c r="Q129" i="2"/>
  <c r="P129" i="2"/>
  <c r="O129" i="2"/>
  <c r="Z129" i="2"/>
  <c r="N129" i="2"/>
  <c r="X129" i="2"/>
  <c r="L129" i="2"/>
  <c r="W129" i="2"/>
  <c r="K129" i="2"/>
  <c r="Y129" i="2"/>
  <c r="V129" i="2"/>
  <c r="S129" i="2"/>
  <c r="M129" i="2"/>
  <c r="J129" i="2"/>
  <c r="AI130" i="2"/>
  <c r="AG130" i="2"/>
  <c r="H130" i="2"/>
  <c r="AH130" i="2"/>
  <c r="R138" i="2"/>
  <c r="AD138" i="2"/>
  <c r="Q138" i="2"/>
  <c r="P138" i="2"/>
  <c r="O138" i="2"/>
  <c r="Z138" i="2"/>
  <c r="N138" i="2"/>
  <c r="X138" i="2"/>
  <c r="L138" i="2"/>
  <c r="W138" i="2"/>
  <c r="K138" i="2"/>
  <c r="V138" i="2"/>
  <c r="J138" i="2"/>
  <c r="Y138" i="2"/>
  <c r="U138" i="2"/>
  <c r="T138" i="2"/>
  <c r="I138" i="2"/>
  <c r="U93" i="2"/>
  <c r="I126" i="2"/>
  <c r="I129" i="2"/>
  <c r="AH88" i="2"/>
  <c r="H88" i="2"/>
  <c r="U126" i="2"/>
  <c r="T129" i="2"/>
  <c r="V140" i="2"/>
  <c r="U140" i="2"/>
  <c r="T140" i="2"/>
  <c r="Z140" i="2"/>
  <c r="AD140" i="2"/>
  <c r="Y140" i="2"/>
  <c r="X140" i="2"/>
  <c r="W140" i="2"/>
  <c r="AH187" i="2"/>
  <c r="H187" i="2"/>
  <c r="AI187" i="2"/>
  <c r="AG187" i="2"/>
  <c r="H49" i="2"/>
  <c r="T96" i="2"/>
  <c r="Q99" i="2"/>
  <c r="V126" i="2"/>
  <c r="U129" i="2"/>
  <c r="S93" i="2"/>
  <c r="R93" i="2"/>
  <c r="AD104" i="2"/>
  <c r="AI109" i="2"/>
  <c r="AH109" i="2"/>
  <c r="H109" i="2"/>
  <c r="AD93" i="2"/>
  <c r="Z137" i="2"/>
  <c r="AD137" i="2"/>
  <c r="AD194" i="2"/>
  <c r="X194" i="2"/>
  <c r="V194" i="2"/>
  <c r="T194" i="2"/>
  <c r="Y194" i="2"/>
  <c r="W194" i="2"/>
  <c r="U194" i="2"/>
  <c r="Z237" i="2"/>
  <c r="Y237" i="2"/>
  <c r="X237" i="2"/>
  <c r="W237" i="2"/>
  <c r="T237" i="2"/>
  <c r="AD237" i="2"/>
  <c r="V237" i="2"/>
  <c r="U237" i="2"/>
  <c r="J93" i="2"/>
  <c r="H98" i="2"/>
  <c r="AG98" i="2"/>
  <c r="Y105" i="2"/>
  <c r="AH76" i="2"/>
  <c r="H76" i="2"/>
  <c r="AH79" i="2"/>
  <c r="AG79" i="2"/>
  <c r="H79" i="2"/>
  <c r="AH85" i="2"/>
  <c r="H85" i="2"/>
  <c r="AG89" i="2"/>
  <c r="AH91" i="2"/>
  <c r="AG91" i="2"/>
  <c r="H91" i="2"/>
  <c r="AH98" i="2"/>
  <c r="AD101" i="2"/>
  <c r="Z101" i="2"/>
  <c r="W101" i="2"/>
  <c r="V101" i="2"/>
  <c r="I110" i="2"/>
  <c r="S110" i="2"/>
  <c r="L110" i="2"/>
  <c r="AD114" i="2"/>
  <c r="Z114" i="2"/>
  <c r="W114" i="2"/>
  <c r="V114" i="2"/>
  <c r="Y115" i="2"/>
  <c r="X115" i="2"/>
  <c r="AD115" i="2"/>
  <c r="W115" i="2"/>
  <c r="V115" i="2"/>
  <c r="AD141" i="2"/>
  <c r="Z141" i="2"/>
  <c r="V159" i="2"/>
  <c r="AH89" i="2"/>
  <c r="O93" i="2"/>
  <c r="Y96" i="2"/>
  <c r="M96" i="2"/>
  <c r="X96" i="2"/>
  <c r="L96" i="2"/>
  <c r="W96" i="2"/>
  <c r="K96" i="2"/>
  <c r="V96" i="2"/>
  <c r="J96" i="2"/>
  <c r="S96" i="2"/>
  <c r="R96" i="2"/>
  <c r="AG106" i="2"/>
  <c r="J110" i="2"/>
  <c r="M138" i="2"/>
  <c r="AH58" i="2"/>
  <c r="H58" i="2"/>
  <c r="AI76" i="2"/>
  <c r="AI79" i="2"/>
  <c r="AI85" i="2"/>
  <c r="AI91" i="2"/>
  <c r="P93" i="2"/>
  <c r="I96" i="2"/>
  <c r="Y99" i="2"/>
  <c r="X99" i="2"/>
  <c r="W99" i="2"/>
  <c r="V99" i="2"/>
  <c r="Z102" i="2"/>
  <c r="X102" i="2"/>
  <c r="V102" i="2"/>
  <c r="R132" i="2"/>
  <c r="AD132" i="2"/>
  <c r="Q132" i="2"/>
  <c r="P132" i="2"/>
  <c r="O132" i="2"/>
  <c r="Z132" i="2"/>
  <c r="N132" i="2"/>
  <c r="L132" i="2"/>
  <c r="K132" i="2"/>
  <c r="T132" i="2"/>
  <c r="S132" i="2"/>
  <c r="M132" i="2"/>
  <c r="J132" i="2"/>
  <c r="AI133" i="2"/>
  <c r="H133" i="2"/>
  <c r="AH133" i="2"/>
  <c r="S138" i="2"/>
  <c r="V143" i="2"/>
  <c r="J143" i="2"/>
  <c r="U143" i="2"/>
  <c r="I143" i="2"/>
  <c r="T143" i="2"/>
  <c r="S143" i="2"/>
  <c r="R143" i="2"/>
  <c r="P143" i="2"/>
  <c r="O143" i="2"/>
  <c r="Z143" i="2"/>
  <c r="N143" i="2"/>
  <c r="AD151" i="2"/>
  <c r="Z151" i="2"/>
  <c r="AD154" i="2"/>
  <c r="X157" i="2"/>
  <c r="AD157" i="2"/>
  <c r="Z157" i="2"/>
  <c r="Y157" i="2"/>
  <c r="W157" i="2"/>
  <c r="U157" i="2"/>
  <c r="T157" i="2"/>
  <c r="T318" i="2"/>
  <c r="X318" i="2"/>
  <c r="U318" i="2"/>
  <c r="H112" i="2"/>
  <c r="AG118" i="2"/>
  <c r="H118" i="2"/>
  <c r="V123" i="2"/>
  <c r="W163" i="2"/>
  <c r="AD123" i="2"/>
  <c r="X123" i="2"/>
  <c r="W123" i="2"/>
  <c r="AI127" i="2"/>
  <c r="AG127" i="2"/>
  <c r="H127" i="2"/>
  <c r="M143" i="2"/>
  <c r="V134" i="2"/>
  <c r="U134" i="2"/>
  <c r="T134" i="2"/>
  <c r="Q143" i="2"/>
  <c r="R156" i="2"/>
  <c r="Q172" i="2"/>
  <c r="AD172" i="2"/>
  <c r="P172" i="2"/>
  <c r="O172" i="2"/>
  <c r="N172" i="2"/>
  <c r="Y172" i="2"/>
  <c r="M172" i="2"/>
  <c r="X172" i="2"/>
  <c r="L172" i="2"/>
  <c r="V172" i="2"/>
  <c r="J172" i="2"/>
  <c r="U172" i="2"/>
  <c r="T172" i="2"/>
  <c r="S172" i="2"/>
  <c r="R172" i="2"/>
  <c r="K172" i="2"/>
  <c r="I172" i="2"/>
  <c r="H94" i="2"/>
  <c r="H97" i="2"/>
  <c r="AG97" i="2"/>
  <c r="H100" i="2"/>
  <c r="H103" i="2"/>
  <c r="H106" i="2"/>
  <c r="AH116" i="2"/>
  <c r="H116" i="2"/>
  <c r="AH127" i="2"/>
  <c r="W143" i="2"/>
  <c r="AG146" i="2"/>
  <c r="AI146" i="2"/>
  <c r="H146" i="2"/>
  <c r="AH146" i="2"/>
  <c r="AD168" i="2"/>
  <c r="Z168" i="2"/>
  <c r="W172" i="2"/>
  <c r="AI119" i="2"/>
  <c r="AH119" i="2"/>
  <c r="H119" i="2"/>
  <c r="X143" i="2"/>
  <c r="X148" i="2"/>
  <c r="L148" i="2"/>
  <c r="T148" i="2"/>
  <c r="S148" i="2"/>
  <c r="R148" i="2"/>
  <c r="Q148" i="2"/>
  <c r="AD148" i="2"/>
  <c r="P148" i="2"/>
  <c r="O148" i="2"/>
  <c r="Z148" i="2"/>
  <c r="M148" i="2"/>
  <c r="Y148" i="2"/>
  <c r="K148" i="2"/>
  <c r="W148" i="2"/>
  <c r="J148" i="2"/>
  <c r="AD153" i="2"/>
  <c r="S156" i="2"/>
  <c r="P156" i="2"/>
  <c r="O156" i="2"/>
  <c r="AD156" i="2"/>
  <c r="N156" i="2"/>
  <c r="M156" i="2"/>
  <c r="L156" i="2"/>
  <c r="K156" i="2"/>
  <c r="J156" i="2"/>
  <c r="I165" i="2"/>
  <c r="S165" i="2"/>
  <c r="R165" i="2"/>
  <c r="AD165" i="2"/>
  <c r="Q165" i="2"/>
  <c r="P165" i="2"/>
  <c r="Z165" i="2"/>
  <c r="N165" i="2"/>
  <c r="T165" i="2"/>
  <c r="O165" i="2"/>
  <c r="M165" i="2"/>
  <c r="L165" i="2"/>
  <c r="K165" i="2"/>
  <c r="J165" i="2"/>
  <c r="AH113" i="2"/>
  <c r="H113" i="2"/>
  <c r="AG121" i="2"/>
  <c r="H121" i="2"/>
  <c r="AI124" i="2"/>
  <c r="AG124" i="2"/>
  <c r="H124" i="2"/>
  <c r="AD135" i="2"/>
  <c r="Z135" i="2"/>
  <c r="X135" i="2"/>
  <c r="W135" i="2"/>
  <c r="Y143" i="2"/>
  <c r="I148" i="2"/>
  <c r="AH150" i="2"/>
  <c r="AH151" i="2"/>
  <c r="V151" i="2" s="1"/>
  <c r="AH153" i="2"/>
  <c r="W153" i="2" s="1"/>
  <c r="AH154" i="2"/>
  <c r="AH156" i="2"/>
  <c r="Y156" i="2" s="1"/>
  <c r="AD185" i="2"/>
  <c r="W185" i="2"/>
  <c r="Y185" i="2"/>
  <c r="X185" i="2"/>
  <c r="V185" i="2"/>
  <c r="U185" i="2"/>
  <c r="T185" i="2"/>
  <c r="H150" i="2"/>
  <c r="AI153" i="2"/>
  <c r="Z153" i="2" s="1"/>
  <c r="AI156" i="2"/>
  <c r="Z156" i="2" s="1"/>
  <c r="W176" i="2"/>
  <c r="T176" i="2"/>
  <c r="AD176" i="2"/>
  <c r="Z176" i="2"/>
  <c r="Y176" i="2"/>
  <c r="H260" i="2"/>
  <c r="AH260" i="2"/>
  <c r="AG260" i="2"/>
  <c r="AI260" i="2"/>
  <c r="H136" i="2"/>
  <c r="AG136" i="2"/>
  <c r="H139" i="2"/>
  <c r="AG139" i="2"/>
  <c r="H142" i="2"/>
  <c r="AG142" i="2"/>
  <c r="H145" i="2"/>
  <c r="AG173" i="2"/>
  <c r="R173" i="2" s="1"/>
  <c r="Y177" i="2"/>
  <c r="P177" i="2"/>
  <c r="AD177" i="2"/>
  <c r="M177" i="2"/>
  <c r="Z177" i="2"/>
  <c r="L177" i="2"/>
  <c r="W177" i="2"/>
  <c r="J177" i="2"/>
  <c r="V177" i="2"/>
  <c r="Y183" i="2"/>
  <c r="W183" i="2"/>
  <c r="U183" i="2"/>
  <c r="T183" i="2"/>
  <c r="AI159" i="2"/>
  <c r="U163" i="2"/>
  <c r="W175" i="2"/>
  <c r="R177" i="2"/>
  <c r="V183" i="2"/>
  <c r="AH184" i="2"/>
  <c r="AI184" i="2"/>
  <c r="AG184" i="2"/>
  <c r="AH190" i="2"/>
  <c r="H190" i="2"/>
  <c r="AI190" i="2"/>
  <c r="W173" i="2"/>
  <c r="Z173" i="2"/>
  <c r="Y173" i="2"/>
  <c r="X173" i="2"/>
  <c r="V173" i="2"/>
  <c r="T173" i="2"/>
  <c r="H122" i="2"/>
  <c r="H125" i="2"/>
  <c r="AG125" i="2"/>
  <c r="H128" i="2"/>
  <c r="H131" i="2"/>
  <c r="AG131" i="2"/>
  <c r="AG137" i="2"/>
  <c r="Q137" i="2" s="1"/>
  <c r="AH158" i="2"/>
  <c r="AG158" i="2"/>
  <c r="H158" i="2"/>
  <c r="H160" i="2"/>
  <c r="V176" i="2"/>
  <c r="U177" i="2"/>
  <c r="AD183" i="2"/>
  <c r="AD188" i="2"/>
  <c r="W188" i="2"/>
  <c r="Z188" i="2"/>
  <c r="Y188" i="2"/>
  <c r="V188" i="2"/>
  <c r="U188" i="2"/>
  <c r="T188" i="2"/>
  <c r="AH122" i="2"/>
  <c r="AH125" i="2"/>
  <c r="AH128" i="2"/>
  <c r="AH131" i="2"/>
  <c r="AH169" i="2"/>
  <c r="X176" i="2"/>
  <c r="X177" i="2"/>
  <c r="AD218" i="2"/>
  <c r="Z218" i="2"/>
  <c r="H147" i="2"/>
  <c r="AG149" i="2"/>
  <c r="H149" i="2"/>
  <c r="AI158" i="2"/>
  <c r="H169" i="2"/>
  <c r="H186" i="2"/>
  <c r="AH186" i="2"/>
  <c r="AG186" i="2"/>
  <c r="U200" i="2"/>
  <c r="T200" i="2"/>
  <c r="AD221" i="2"/>
  <c r="Q221" i="2"/>
  <c r="P221" i="2"/>
  <c r="R221" i="2"/>
  <c r="O221" i="2"/>
  <c r="N221" i="2"/>
  <c r="M221" i="2"/>
  <c r="Z221" i="2"/>
  <c r="L221" i="2"/>
  <c r="Y221" i="2"/>
  <c r="K221" i="2"/>
  <c r="W221" i="2"/>
  <c r="I221" i="2"/>
  <c r="V221" i="2"/>
  <c r="U221" i="2"/>
  <c r="T221" i="2"/>
  <c r="S221" i="2"/>
  <c r="J221" i="2"/>
  <c r="H152" i="2"/>
  <c r="AG155" i="2"/>
  <c r="H155" i="2"/>
  <c r="AD163" i="2"/>
  <c r="Z163" i="2"/>
  <c r="Y163" i="2"/>
  <c r="X163" i="2"/>
  <c r="V163" i="2"/>
  <c r="M219" i="2"/>
  <c r="P219" i="2"/>
  <c r="AD219" i="2"/>
  <c r="O219" i="2"/>
  <c r="Z219" i="2"/>
  <c r="Q219" i="2"/>
  <c r="AH202" i="2"/>
  <c r="AG202" i="2"/>
  <c r="H202" i="2"/>
  <c r="AH211" i="2"/>
  <c r="AG211" i="2"/>
  <c r="H211" i="2"/>
  <c r="AI211" i="2"/>
  <c r="H215" i="2"/>
  <c r="AH215" i="2"/>
  <c r="AG215" i="2"/>
  <c r="H224" i="2"/>
  <c r="AI224" i="2"/>
  <c r="AH224" i="2"/>
  <c r="AG224" i="2"/>
  <c r="AG240" i="2"/>
  <c r="O240" i="2" s="1"/>
  <c r="AG289" i="2"/>
  <c r="AI289" i="2"/>
  <c r="AH289" i="2"/>
  <c r="H289" i="2"/>
  <c r="Y180" i="2"/>
  <c r="V180" i="2"/>
  <c r="AD182" i="2"/>
  <c r="Y189" i="2"/>
  <c r="W189" i="2"/>
  <c r="X189" i="2"/>
  <c r="T192" i="2"/>
  <c r="U193" i="2"/>
  <c r="I193" i="2"/>
  <c r="Q193" i="2"/>
  <c r="AD193" i="2"/>
  <c r="P193" i="2"/>
  <c r="O193" i="2"/>
  <c r="Z193" i="2"/>
  <c r="M193" i="2"/>
  <c r="X193" i="2"/>
  <c r="K193" i="2"/>
  <c r="AI201" i="2"/>
  <c r="H201" i="2"/>
  <c r="AH201" i="2"/>
  <c r="AD206" i="2"/>
  <c r="T206" i="2"/>
  <c r="Y206" i="2"/>
  <c r="X206" i="2"/>
  <c r="W206" i="2"/>
  <c r="H230" i="2"/>
  <c r="AH230" i="2"/>
  <c r="AG230" i="2"/>
  <c r="S239" i="2"/>
  <c r="AD239" i="2"/>
  <c r="P239" i="2"/>
  <c r="N239" i="2"/>
  <c r="K239" i="2"/>
  <c r="Z239" i="2"/>
  <c r="AI284" i="2"/>
  <c r="H284" i="2"/>
  <c r="AH284" i="2"/>
  <c r="Z171" i="2"/>
  <c r="Q174" i="2"/>
  <c r="H178" i="2"/>
  <c r="W180" i="2"/>
  <c r="H181" i="2"/>
  <c r="AG185" i="2"/>
  <c r="R185" i="2" s="1"/>
  <c r="Z189" i="2"/>
  <c r="J193" i="2"/>
  <c r="M197" i="2"/>
  <c r="AI202" i="2"/>
  <c r="AI215" i="2"/>
  <c r="H161" i="2"/>
  <c r="AG161" i="2"/>
  <c r="H164" i="2"/>
  <c r="H167" i="2"/>
  <c r="AG167" i="2"/>
  <c r="T174" i="2"/>
  <c r="Z180" i="2"/>
  <c r="AI185" i="2"/>
  <c r="Z185" i="2" s="1"/>
  <c r="N193" i="2"/>
  <c r="AD200" i="2"/>
  <c r="Q200" i="2"/>
  <c r="R200" i="2"/>
  <c r="P200" i="2"/>
  <c r="O200" i="2"/>
  <c r="Z200" i="2"/>
  <c r="M200" i="2"/>
  <c r="X200" i="2"/>
  <c r="K200" i="2"/>
  <c r="W200" i="2"/>
  <c r="J200" i="2"/>
  <c r="V200" i="2"/>
  <c r="I200" i="2"/>
  <c r="V206" i="2"/>
  <c r="H210" i="2"/>
  <c r="AI210" i="2"/>
  <c r="AH210" i="2"/>
  <c r="L212" i="2"/>
  <c r="AH217" i="2"/>
  <c r="AG217" i="2"/>
  <c r="H217" i="2"/>
  <c r="AI217" i="2"/>
  <c r="AH161" i="2"/>
  <c r="AD171" i="2"/>
  <c r="U174" i="2"/>
  <c r="AD189" i="2"/>
  <c r="R193" i="2"/>
  <c r="J203" i="2"/>
  <c r="Z206" i="2"/>
  <c r="I174" i="2"/>
  <c r="V174" i="2"/>
  <c r="N179" i="2"/>
  <c r="S193" i="2"/>
  <c r="N200" i="2"/>
  <c r="R203" i="2"/>
  <c r="Z283" i="2"/>
  <c r="Y283" i="2"/>
  <c r="T283" i="2"/>
  <c r="AD283" i="2"/>
  <c r="X283" i="2"/>
  <c r="W283" i="2"/>
  <c r="V283" i="2"/>
  <c r="U283" i="2"/>
  <c r="J174" i="2"/>
  <c r="W174" i="2"/>
  <c r="AD180" i="2"/>
  <c r="AG182" i="2"/>
  <c r="J182" i="2" s="1"/>
  <c r="T193" i="2"/>
  <c r="H195" i="2"/>
  <c r="AG195" i="2"/>
  <c r="S200" i="2"/>
  <c r="S203" i="2"/>
  <c r="Z233" i="2"/>
  <c r="U175" i="2"/>
  <c r="AH182" i="2"/>
  <c r="Y182" i="2" s="1"/>
  <c r="AG189" i="2"/>
  <c r="J189" i="2" s="1"/>
  <c r="V193" i="2"/>
  <c r="AI195" i="2"/>
  <c r="T203" i="2"/>
  <c r="T204" i="2"/>
  <c r="H209" i="2"/>
  <c r="AI209" i="2"/>
  <c r="AH209" i="2"/>
  <c r="AD212" i="2"/>
  <c r="Q212" i="2"/>
  <c r="P212" i="2"/>
  <c r="J212" i="2"/>
  <c r="I212" i="2"/>
  <c r="S212" i="2"/>
  <c r="O212" i="2"/>
  <c r="N212" i="2"/>
  <c r="M212" i="2"/>
  <c r="H216" i="2"/>
  <c r="AH216" i="2"/>
  <c r="W251" i="2"/>
  <c r="AD271" i="2"/>
  <c r="L174" i="2"/>
  <c r="Y174" i="2"/>
  <c r="V175" i="2"/>
  <c r="W193" i="2"/>
  <c r="I197" i="2"/>
  <c r="X203" i="2"/>
  <c r="AH218" i="2"/>
  <c r="V218" i="2" s="1"/>
  <c r="AH219" i="2"/>
  <c r="U219" i="2" s="1"/>
  <c r="AH232" i="2"/>
  <c r="H232" i="2"/>
  <c r="AI238" i="2"/>
  <c r="AH238" i="2"/>
  <c r="H238" i="2"/>
  <c r="AI242" i="2"/>
  <c r="H242" i="2"/>
  <c r="AH242" i="2"/>
  <c r="AG249" i="2"/>
  <c r="H249" i="2"/>
  <c r="AI249" i="2"/>
  <c r="AH249" i="2"/>
  <c r="AD257" i="2"/>
  <c r="X257" i="2"/>
  <c r="W257" i="2"/>
  <c r="V257" i="2"/>
  <c r="U257" i="2"/>
  <c r="T257" i="2"/>
  <c r="AD203" i="2"/>
  <c r="Q203" i="2"/>
  <c r="P203" i="2"/>
  <c r="V203" i="2"/>
  <c r="AH214" i="2"/>
  <c r="AG214" i="2"/>
  <c r="H214" i="2"/>
  <c r="Y233" i="2"/>
  <c r="AD245" i="2"/>
  <c r="H254" i="2"/>
  <c r="AI254" i="2"/>
  <c r="AH254" i="2"/>
  <c r="AG254" i="2"/>
  <c r="I203" i="2"/>
  <c r="W203" i="2"/>
  <c r="AH223" i="2"/>
  <c r="H223" i="2"/>
  <c r="AI232" i="2"/>
  <c r="AI196" i="2"/>
  <c r="K203" i="2"/>
  <c r="Y203" i="2"/>
  <c r="AH212" i="2"/>
  <c r="X212" i="2" s="1"/>
  <c r="AH213" i="2"/>
  <c r="AH229" i="2"/>
  <c r="AG229" i="2"/>
  <c r="H229" i="2"/>
  <c r="AD233" i="2"/>
  <c r="X233" i="2"/>
  <c r="V233" i="2"/>
  <c r="Z240" i="2"/>
  <c r="Y240" i="2"/>
  <c r="X240" i="2"/>
  <c r="W240" i="2"/>
  <c r="T240" i="2"/>
  <c r="H248" i="2"/>
  <c r="AH248" i="2"/>
  <c r="AG248" i="2"/>
  <c r="AH208" i="2"/>
  <c r="H208" i="2"/>
  <c r="AG222" i="2"/>
  <c r="H222" i="2"/>
  <c r="AH226" i="2"/>
  <c r="H226" i="2"/>
  <c r="AG191" i="2"/>
  <c r="M203" i="2"/>
  <c r="AI229" i="2"/>
  <c r="AI248" i="2"/>
  <c r="AH250" i="2"/>
  <c r="H250" i="2"/>
  <c r="AI250" i="2"/>
  <c r="V282" i="2"/>
  <c r="AH191" i="2"/>
  <c r="N203" i="2"/>
  <c r="AH205" i="2"/>
  <c r="AG205" i="2"/>
  <c r="H205" i="2"/>
  <c r="AG206" i="2"/>
  <c r="M206" i="2" s="1"/>
  <c r="AG207" i="2"/>
  <c r="AI208" i="2"/>
  <c r="AH222" i="2"/>
  <c r="AI226" i="2"/>
  <c r="AI235" i="2"/>
  <c r="AH235" i="2"/>
  <c r="H235" i="2"/>
  <c r="H191" i="2"/>
  <c r="H198" i="2"/>
  <c r="AG199" i="2"/>
  <c r="O203" i="2"/>
  <c r="AI222" i="2"/>
  <c r="AG225" i="2"/>
  <c r="H225" i="2"/>
  <c r="AG243" i="2"/>
  <c r="H243" i="2"/>
  <c r="AI243" i="2"/>
  <c r="AH243" i="2"/>
  <c r="H258" i="2"/>
  <c r="AI258" i="2"/>
  <c r="AH258" i="2"/>
  <c r="AD278" i="2"/>
  <c r="AH220" i="2"/>
  <c r="AG220" i="2"/>
  <c r="H220" i="2"/>
  <c r="AD227" i="2"/>
  <c r="X227" i="2"/>
  <c r="H228" i="2"/>
  <c r="AD251" i="2"/>
  <c r="X251" i="2"/>
  <c r="Z251" i="2"/>
  <c r="Y251" i="2"/>
  <c r="V251" i="2"/>
  <c r="U251" i="2"/>
  <c r="T251" i="2"/>
  <c r="U269" i="2"/>
  <c r="AG280" i="2"/>
  <c r="R277" i="2"/>
  <c r="AD325" i="2"/>
  <c r="AG246" i="2"/>
  <c r="H246" i="2"/>
  <c r="AI272" i="2"/>
  <c r="AH272" i="2"/>
  <c r="S277" i="2"/>
  <c r="Z313" i="2"/>
  <c r="U313" i="2"/>
  <c r="Y313" i="2"/>
  <c r="X313" i="2"/>
  <c r="W313" i="2"/>
  <c r="T313" i="2"/>
  <c r="AD313" i="2"/>
  <c r="V313" i="2"/>
  <c r="H231" i="2"/>
  <c r="H234" i="2"/>
  <c r="AH253" i="2"/>
  <c r="H253" i="2"/>
  <c r="AH245" i="2"/>
  <c r="X245" i="2" s="1"/>
  <c r="AI271" i="2"/>
  <c r="Z271" i="2" s="1"/>
  <c r="AH271" i="2"/>
  <c r="V271" i="2" s="1"/>
  <c r="Z277" i="2"/>
  <c r="N277" i="2"/>
  <c r="M277" i="2"/>
  <c r="Q277" i="2"/>
  <c r="P277" i="2"/>
  <c r="AD277" i="2"/>
  <c r="O277" i="2"/>
  <c r="L277" i="2"/>
  <c r="K277" i="2"/>
  <c r="I277" i="2"/>
  <c r="V277" i="2"/>
  <c r="AI245" i="2"/>
  <c r="Z245" i="2" s="1"/>
  <c r="H252" i="2"/>
  <c r="AH256" i="2"/>
  <c r="AG256" i="2"/>
  <c r="H256" i="2"/>
  <c r="AI257" i="2"/>
  <c r="Z257" i="2" s="1"/>
  <c r="AH259" i="2"/>
  <c r="H259" i="2"/>
  <c r="X287" i="2"/>
  <c r="L287" i="2"/>
  <c r="R287" i="2"/>
  <c r="Q287" i="2"/>
  <c r="AD287" i="2"/>
  <c r="P287" i="2"/>
  <c r="O287" i="2"/>
  <c r="V287" i="2"/>
  <c r="I287" i="2"/>
  <c r="T287" i="2"/>
  <c r="S287" i="2"/>
  <c r="N287" i="2"/>
  <c r="M287" i="2"/>
  <c r="K287" i="2"/>
  <c r="J287" i="2"/>
  <c r="Z287" i="2"/>
  <c r="Y287" i="2"/>
  <c r="H241" i="2"/>
  <c r="H247" i="2"/>
  <c r="H263" i="2"/>
  <c r="AD270" i="2"/>
  <c r="Z270" i="2"/>
  <c r="Y270" i="2"/>
  <c r="X270" i="2"/>
  <c r="V270" i="2"/>
  <c r="U270" i="2"/>
  <c r="T270" i="2"/>
  <c r="U287" i="2"/>
  <c r="AH252" i="2"/>
  <c r="AI256" i="2"/>
  <c r="AI259" i="2"/>
  <c r="AH263" i="2"/>
  <c r="H275" i="2"/>
  <c r="R279" i="2"/>
  <c r="AD279" i="2"/>
  <c r="K279" i="2"/>
  <c r="I279" i="2"/>
  <c r="AD281" i="2"/>
  <c r="W287" i="2"/>
  <c r="H244" i="2"/>
  <c r="AI252" i="2"/>
  <c r="AG255" i="2"/>
  <c r="H255" i="2"/>
  <c r="H261" i="2"/>
  <c r="H272" i="2"/>
  <c r="W292" i="2"/>
  <c r="V292" i="2"/>
  <c r="U292" i="2"/>
  <c r="T292" i="2"/>
  <c r="AD292" i="2"/>
  <c r="M292" i="2"/>
  <c r="Y292" i="2"/>
  <c r="X292" i="2"/>
  <c r="W320" i="2"/>
  <c r="K320" i="2"/>
  <c r="V320" i="2"/>
  <c r="J320" i="2"/>
  <c r="S320" i="2"/>
  <c r="R320" i="2"/>
  <c r="AD320" i="2"/>
  <c r="Q320" i="2"/>
  <c r="X320" i="2"/>
  <c r="T320" i="2"/>
  <c r="P320" i="2"/>
  <c r="O320" i="2"/>
  <c r="N320" i="2"/>
  <c r="L320" i="2"/>
  <c r="I320" i="2"/>
  <c r="Y320" i="2"/>
  <c r="U320" i="2"/>
  <c r="Z320" i="2"/>
  <c r="H274" i="2"/>
  <c r="AI274" i="2"/>
  <c r="R276" i="2"/>
  <c r="AD276" i="2"/>
  <c r="Q276" i="2"/>
  <c r="V276" i="2"/>
  <c r="H280" i="2"/>
  <c r="M298" i="2"/>
  <c r="Q301" i="2"/>
  <c r="AG303" i="2"/>
  <c r="I276" i="2"/>
  <c r="W276" i="2"/>
  <c r="T295" i="2"/>
  <c r="U298" i="2"/>
  <c r="AD306" i="2"/>
  <c r="H264" i="2"/>
  <c r="H267" i="2"/>
  <c r="AG267" i="2"/>
  <c r="J276" i="2"/>
  <c r="X276" i="2"/>
  <c r="Y295" i="2"/>
  <c r="AD308" i="2"/>
  <c r="L276" i="2"/>
  <c r="U286" i="2"/>
  <c r="X290" i="2"/>
  <c r="Z290" i="2"/>
  <c r="Y290" i="2"/>
  <c r="W290" i="2"/>
  <c r="V290" i="2"/>
  <c r="AI299" i="2"/>
  <c r="H299" i="2"/>
  <c r="AH299" i="2"/>
  <c r="AD322" i="2"/>
  <c r="V286" i="2"/>
  <c r="Z295" i="2"/>
  <c r="X295" i="2"/>
  <c r="W295" i="2"/>
  <c r="V295" i="2"/>
  <c r="U295" i="2"/>
  <c r="P298" i="2"/>
  <c r="O298" i="2"/>
  <c r="Z298" i="2"/>
  <c r="N298" i="2"/>
  <c r="W298" i="2"/>
  <c r="K298" i="2"/>
  <c r="T298" i="2"/>
  <c r="S298" i="2"/>
  <c r="R298" i="2"/>
  <c r="Q298" i="2"/>
  <c r="AD298" i="2"/>
  <c r="I298" i="2"/>
  <c r="Y298" i="2"/>
  <c r="H262" i="2"/>
  <c r="AG262" i="2"/>
  <c r="H265" i="2"/>
  <c r="H268" i="2"/>
  <c r="AG268" i="2"/>
  <c r="N276" i="2"/>
  <c r="AI281" i="2"/>
  <c r="Z281" i="2" s="1"/>
  <c r="AH281" i="2"/>
  <c r="X281" i="2" s="1"/>
  <c r="H285" i="2"/>
  <c r="AI285" i="2"/>
  <c r="AH285" i="2"/>
  <c r="W286" i="2"/>
  <c r="AI296" i="2"/>
  <c r="H296" i="2"/>
  <c r="AH296" i="2"/>
  <c r="AG296" i="2"/>
  <c r="AG299" i="2"/>
  <c r="O276" i="2"/>
  <c r="AI278" i="2"/>
  <c r="Z278" i="2" s="1"/>
  <c r="AH278" i="2"/>
  <c r="V278" i="2" s="1"/>
  <c r="Y286" i="2"/>
  <c r="AI275" i="2"/>
  <c r="AH275" i="2"/>
  <c r="P276" i="2"/>
  <c r="AG281" i="2"/>
  <c r="M281" i="2" s="1"/>
  <c r="AG288" i="2"/>
  <c r="H288" i="2"/>
  <c r="AI288" i="2"/>
  <c r="AG291" i="2"/>
  <c r="T286" i="2"/>
  <c r="X286" i="2"/>
  <c r="R301" i="2"/>
  <c r="P301" i="2"/>
  <c r="O301" i="2"/>
  <c r="Z301" i="2"/>
  <c r="N301" i="2"/>
  <c r="K301" i="2"/>
  <c r="S301" i="2"/>
  <c r="M301" i="2"/>
  <c r="L301" i="2"/>
  <c r="Y302" i="2"/>
  <c r="AH316" i="2"/>
  <c r="H316" i="2"/>
  <c r="AI316" i="2"/>
  <c r="AI326" i="2"/>
  <c r="AH326" i="2"/>
  <c r="H311" i="2"/>
  <c r="AI311" i="2"/>
  <c r="AH311" i="2"/>
  <c r="AD319" i="2"/>
  <c r="AI322" i="2"/>
  <c r="AH322" i="2"/>
  <c r="W322" i="2" s="1"/>
  <c r="AG322" i="2"/>
  <c r="AH310" i="2"/>
  <c r="H310" i="2"/>
  <c r="AI310" i="2"/>
  <c r="AG310" i="2"/>
  <c r="AI325" i="2"/>
  <c r="Z325" i="2" s="1"/>
  <c r="AH325" i="2"/>
  <c r="U325" i="2" s="1"/>
  <c r="AG325" i="2"/>
  <c r="M325" i="2" s="1"/>
  <c r="AI292" i="2"/>
  <c r="Z292" i="2" s="1"/>
  <c r="H309" i="2"/>
  <c r="AH309" i="2"/>
  <c r="AG309" i="2"/>
  <c r="S315" i="2"/>
  <c r="R315" i="2"/>
  <c r="O315" i="2"/>
  <c r="Y315" i="2"/>
  <c r="M315" i="2"/>
  <c r="V315" i="2"/>
  <c r="T315" i="2"/>
  <c r="Q315" i="2"/>
  <c r="P315" i="2"/>
  <c r="N315" i="2"/>
  <c r="AD315" i="2"/>
  <c r="K315" i="2"/>
  <c r="J315" i="2"/>
  <c r="AI308" i="2"/>
  <c r="Z308" i="2" s="1"/>
  <c r="AH308" i="2"/>
  <c r="U308" i="2" s="1"/>
  <c r="AI319" i="2"/>
  <c r="Z319" i="2" s="1"/>
  <c r="AH319" i="2"/>
  <c r="V319" i="2" s="1"/>
  <c r="AG286" i="2"/>
  <c r="M286" i="2" s="1"/>
  <c r="H293" i="2"/>
  <c r="AH306" i="2"/>
  <c r="X306" i="2" s="1"/>
  <c r="AG306" i="2"/>
  <c r="N306" i="2" s="1"/>
  <c r="AH307" i="2"/>
  <c r="H307" i="2"/>
  <c r="AI307" i="2"/>
  <c r="AI309" i="2"/>
  <c r="L315" i="2"/>
  <c r="T317" i="2"/>
  <c r="V321" i="2"/>
  <c r="T321" i="2"/>
  <c r="H326" i="2"/>
  <c r="H332" i="2"/>
  <c r="AH332" i="2"/>
  <c r="AI332" i="2"/>
  <c r="AG332" i="2"/>
  <c r="AG308" i="2"/>
  <c r="M308" i="2" s="1"/>
  <c r="U315" i="2"/>
  <c r="AG343" i="2"/>
  <c r="H343" i="2"/>
  <c r="AH343" i="2"/>
  <c r="AI343" i="2"/>
  <c r="R312" i="2"/>
  <c r="U317" i="2"/>
  <c r="AD314" i="2"/>
  <c r="H344" i="2"/>
  <c r="AI344" i="2"/>
  <c r="AH344" i="2"/>
  <c r="S312" i="2"/>
  <c r="Y312" i="2"/>
  <c r="M312" i="2"/>
  <c r="V312" i="2"/>
  <c r="W317" i="2"/>
  <c r="K317" i="2"/>
  <c r="V317" i="2"/>
  <c r="J317" i="2"/>
  <c r="S317" i="2"/>
  <c r="AD317" i="2"/>
  <c r="Q317" i="2"/>
  <c r="Z317" i="2"/>
  <c r="AG327" i="2"/>
  <c r="H327" i="2"/>
  <c r="AI327" i="2"/>
  <c r="AH327" i="2"/>
  <c r="H328" i="2"/>
  <c r="AI328" i="2"/>
  <c r="AH328" i="2"/>
  <c r="I312" i="2"/>
  <c r="W312" i="2"/>
  <c r="I317" i="2"/>
  <c r="W321" i="2"/>
  <c r="H331" i="2"/>
  <c r="AI331" i="2"/>
  <c r="AG331" i="2"/>
  <c r="J312" i="2"/>
  <c r="X312" i="2"/>
  <c r="L317" i="2"/>
  <c r="X321" i="2"/>
  <c r="AG328" i="2"/>
  <c r="H329" i="2"/>
  <c r="AI329" i="2"/>
  <c r="AH329" i="2"/>
  <c r="AG329" i="2"/>
  <c r="H291" i="2"/>
  <c r="H294" i="2"/>
  <c r="H297" i="2"/>
  <c r="H300" i="2"/>
  <c r="H303" i="2"/>
  <c r="K312" i="2"/>
  <c r="Z312" i="2"/>
  <c r="M317" i="2"/>
  <c r="Y321" i="2"/>
  <c r="AI323" i="2"/>
  <c r="Z323" i="2" s="1"/>
  <c r="AH323" i="2"/>
  <c r="X323" i="2" s="1"/>
  <c r="AG323" i="2"/>
  <c r="L323" i="2" s="1"/>
  <c r="H330" i="2"/>
  <c r="AI330" i="2"/>
  <c r="AH330" i="2"/>
  <c r="AH331" i="2"/>
  <c r="N312" i="2"/>
  <c r="AH314" i="2"/>
  <c r="V314" i="2" s="1"/>
  <c r="O317" i="2"/>
  <c r="AG324" i="2"/>
  <c r="H324" i="2"/>
  <c r="AI324" i="2"/>
  <c r="AH324" i="2"/>
  <c r="AI339" i="2"/>
  <c r="AG339" i="2"/>
  <c r="H339" i="2"/>
  <c r="AH339" i="2"/>
  <c r="W334" i="2"/>
  <c r="X334" i="2"/>
  <c r="H335" i="2"/>
  <c r="AG352" i="2"/>
  <c r="H352" i="2"/>
  <c r="AH352" i="2"/>
  <c r="J334" i="2"/>
  <c r="AH335" i="2"/>
  <c r="AI352" i="2"/>
  <c r="AI335" i="2"/>
  <c r="H338" i="2"/>
  <c r="AG347" i="2"/>
  <c r="H347" i="2"/>
  <c r="AI347" i="2"/>
  <c r="AH347" i="2"/>
  <c r="M334" i="2"/>
  <c r="AD334" i="2"/>
  <c r="AI368" i="2"/>
  <c r="AG368" i="2"/>
  <c r="H368" i="2"/>
  <c r="AI336" i="2"/>
  <c r="AG336" i="2"/>
  <c r="H336" i="2"/>
  <c r="AG356" i="2"/>
  <c r="H356" i="2"/>
  <c r="AI356" i="2"/>
  <c r="AH356" i="2"/>
  <c r="AG361" i="2"/>
  <c r="H361" i="2"/>
  <c r="AH361" i="2"/>
  <c r="AG346" i="2"/>
  <c r="H346" i="2"/>
  <c r="AI346" i="2"/>
  <c r="AH346" i="2"/>
  <c r="AG333" i="2"/>
  <c r="H333" i="2"/>
  <c r="Q334" i="2"/>
  <c r="AH336" i="2"/>
  <c r="AG340" i="2"/>
  <c r="H340" i="2"/>
  <c r="AH340" i="2"/>
  <c r="AI361" i="2"/>
  <c r="AI341" i="2"/>
  <c r="AH345" i="2"/>
  <c r="AG345" i="2"/>
  <c r="H345" i="2"/>
  <c r="AH354" i="2"/>
  <c r="H354" i="2"/>
  <c r="AH363" i="2"/>
  <c r="H363" i="2"/>
  <c r="AB10" i="3"/>
  <c r="AG237" i="2" s="1"/>
  <c r="AB18" i="3"/>
  <c r="AG122" i="2" s="1"/>
  <c r="AB28" i="3"/>
  <c r="AG258" i="2" s="1"/>
  <c r="AB46" i="3"/>
  <c r="AG244" i="2" s="1"/>
  <c r="AG349" i="2"/>
  <c r="H349" i="2"/>
  <c r="H358" i="2"/>
  <c r="H341" i="2"/>
  <c r="AH342" i="2"/>
  <c r="H342" i="2"/>
  <c r="AH351" i="2"/>
  <c r="AG351" i="2"/>
  <c r="H351" i="2"/>
  <c r="AH360" i="2"/>
  <c r="AG360" i="2"/>
  <c r="H360" i="2"/>
  <c r="AG364" i="2"/>
  <c r="AB12" i="3"/>
  <c r="AG44" i="2" s="1"/>
  <c r="AB22" i="3"/>
  <c r="AG26" i="2" s="1"/>
  <c r="AB30" i="3"/>
  <c r="AG284" i="2" s="1"/>
  <c r="AB40" i="3"/>
  <c r="AG238" i="2" s="1"/>
  <c r="AG353" i="2"/>
  <c r="H353" i="2"/>
  <c r="AG362" i="2"/>
  <c r="H362" i="2"/>
  <c r="AB5" i="3"/>
  <c r="AB23" i="3"/>
  <c r="AG228" i="2" s="1"/>
  <c r="AB41" i="3"/>
  <c r="AG233" i="2" s="1"/>
  <c r="L233" i="2" s="1"/>
  <c r="AG355" i="2"/>
  <c r="H355" i="2"/>
  <c r="AB42" i="3"/>
  <c r="AG59" i="2" s="1"/>
  <c r="AH353" i="2"/>
  <c r="AH362" i="2"/>
  <c r="AB7" i="3"/>
  <c r="AG92" i="2" s="1"/>
  <c r="AB25" i="3"/>
  <c r="AG85" i="2" s="1"/>
  <c r="AB43" i="3"/>
  <c r="AG335" i="2" s="1"/>
  <c r="AB52" i="3"/>
  <c r="AG269" i="2" s="1"/>
  <c r="AH348" i="2"/>
  <c r="AG348" i="2"/>
  <c r="H348" i="2"/>
  <c r="AI353" i="2"/>
  <c r="AH355" i="2"/>
  <c r="AH357" i="2"/>
  <c r="H357" i="2"/>
  <c r="AI362" i="2"/>
  <c r="AG365" i="2"/>
  <c r="H365" i="2"/>
  <c r="AB6" i="3"/>
  <c r="AG285" i="2" s="1"/>
  <c r="AB16" i="3"/>
  <c r="AB24" i="3"/>
  <c r="AG297" i="2" s="1"/>
  <c r="AB34" i="3"/>
  <c r="AG319" i="2" s="1"/>
  <c r="AB53" i="3"/>
  <c r="AG245" i="2" s="1"/>
  <c r="P245" i="2" s="1"/>
  <c r="AG350" i="2"/>
  <c r="H350" i="2"/>
  <c r="AI355" i="2"/>
  <c r="H359" i="2"/>
  <c r="AG370" i="2"/>
  <c r="AB17" i="3"/>
  <c r="AG227" i="2" s="1"/>
  <c r="N227" i="2" s="1"/>
  <c r="AB35" i="3"/>
  <c r="H371" i="2"/>
  <c r="AG371" i="2"/>
  <c r="H366" i="2"/>
  <c r="AG366" i="2"/>
  <c r="H369" i="2"/>
  <c r="AG369" i="2"/>
  <c r="H372" i="2"/>
  <c r="AG372" i="2"/>
  <c r="AH366" i="2"/>
  <c r="AH369" i="2"/>
  <c r="AH372" i="2"/>
  <c r="H364" i="2"/>
  <c r="H367" i="2"/>
  <c r="H370" i="2"/>
  <c r="W227" i="2" l="1"/>
  <c r="U227" i="2"/>
  <c r="I239" i="2"/>
  <c r="Q239" i="2"/>
  <c r="U165" i="2"/>
  <c r="W318" i="2"/>
  <c r="U132" i="2"/>
  <c r="K110" i="2"/>
  <c r="L99" i="2"/>
  <c r="T110" i="2"/>
  <c r="T102" i="2"/>
  <c r="W63" i="2"/>
  <c r="Y87" i="2"/>
  <c r="T84" i="2"/>
  <c r="J10" i="2"/>
  <c r="K212" i="2"/>
  <c r="Z63" i="2"/>
  <c r="J279" i="2"/>
  <c r="M239" i="2"/>
  <c r="R239" i="2"/>
  <c r="L219" i="2"/>
  <c r="AD318" i="2"/>
  <c r="W132" i="2"/>
  <c r="W102" i="2"/>
  <c r="M99" i="2"/>
  <c r="U110" i="2"/>
  <c r="O53" i="2"/>
  <c r="V84" i="2"/>
  <c r="I10" i="2"/>
  <c r="P312" i="2"/>
  <c r="M279" i="2"/>
  <c r="T239" i="2"/>
  <c r="R219" i="2"/>
  <c r="Y166" i="2"/>
  <c r="N177" i="2"/>
  <c r="AB177" i="2" s="1"/>
  <c r="Z123" i="2"/>
  <c r="V318" i="2"/>
  <c r="Y102" i="2"/>
  <c r="Y110" i="2"/>
  <c r="K93" i="2"/>
  <c r="R84" i="2"/>
  <c r="K53" i="2"/>
  <c r="U53" i="2"/>
  <c r="R10" i="2"/>
  <c r="X110" i="2"/>
  <c r="U334" i="2"/>
  <c r="N279" i="2"/>
  <c r="AB279" i="2" s="1"/>
  <c r="T227" i="2"/>
  <c r="U239" i="2"/>
  <c r="S219" i="2"/>
  <c r="O177" i="2"/>
  <c r="Y318" i="2"/>
  <c r="M110" i="2"/>
  <c r="W93" i="2"/>
  <c r="O99" i="2"/>
  <c r="AD84" i="2"/>
  <c r="I84" i="2"/>
  <c r="S84" i="2"/>
  <c r="X10" i="2"/>
  <c r="I53" i="2"/>
  <c r="Y123" i="2"/>
  <c r="P84" i="2"/>
  <c r="O312" i="2"/>
  <c r="Y132" i="2"/>
  <c r="P105" i="2"/>
  <c r="O279" i="2"/>
  <c r="J239" i="2"/>
  <c r="I219" i="2"/>
  <c r="R99" i="2"/>
  <c r="Z110" i="2"/>
  <c r="L93" i="2"/>
  <c r="V93" i="2"/>
  <c r="P99" i="2"/>
  <c r="W75" i="2"/>
  <c r="K84" i="2"/>
  <c r="L10" i="2"/>
  <c r="Y53" i="2"/>
  <c r="N99" i="2"/>
  <c r="U123" i="2"/>
  <c r="AD105" i="2"/>
  <c r="P282" i="2"/>
  <c r="M305" i="2"/>
  <c r="Z306" i="2"/>
  <c r="P279" i="2"/>
  <c r="V239" i="2"/>
  <c r="J219" i="2"/>
  <c r="S99" i="2"/>
  <c r="P110" i="2"/>
  <c r="X93" i="2"/>
  <c r="V87" i="2"/>
  <c r="X53" i="2"/>
  <c r="V75" i="2"/>
  <c r="W84" i="2"/>
  <c r="U75" i="2"/>
  <c r="M53" i="2"/>
  <c r="AD10" i="2"/>
  <c r="W315" i="2"/>
  <c r="L193" i="2"/>
  <c r="L279" i="2"/>
  <c r="S279" i="2"/>
  <c r="W239" i="2"/>
  <c r="L239" i="2"/>
  <c r="Q177" i="2"/>
  <c r="X165" i="2"/>
  <c r="J99" i="2"/>
  <c r="AD110" i="2"/>
  <c r="N93" i="2"/>
  <c r="V105" i="2"/>
  <c r="M93" i="2"/>
  <c r="Z87" i="2"/>
  <c r="X75" i="2"/>
  <c r="J53" i="2"/>
  <c r="L84" i="2"/>
  <c r="N10" i="2"/>
  <c r="O81" i="2"/>
  <c r="R53" i="2"/>
  <c r="R197" i="2"/>
  <c r="Y334" i="2"/>
  <c r="Q84" i="2"/>
  <c r="Z105" i="2"/>
  <c r="Y301" i="2"/>
  <c r="N240" i="2"/>
  <c r="N189" i="2"/>
  <c r="X239" i="2"/>
  <c r="K219" i="2"/>
  <c r="I177" i="2"/>
  <c r="Y165" i="2"/>
  <c r="Q110" i="2"/>
  <c r="W105" i="2"/>
  <c r="Y93" i="2"/>
  <c r="AD87" i="2"/>
  <c r="W53" i="2"/>
  <c r="X84" i="2"/>
  <c r="Z53" i="2"/>
  <c r="M10" i="2"/>
  <c r="K10" i="2"/>
  <c r="AD16" i="2"/>
  <c r="T87" i="2"/>
  <c r="Y104" i="2"/>
  <c r="S174" i="2"/>
  <c r="X221" i="2"/>
  <c r="R323" i="2"/>
  <c r="R110" i="2"/>
  <c r="AB110" i="2" s="1"/>
  <c r="X105" i="2"/>
  <c r="W87" i="2"/>
  <c r="N53" i="2"/>
  <c r="M84" i="2"/>
  <c r="P10" i="2"/>
  <c r="J15" i="2"/>
  <c r="S105" i="2"/>
  <c r="Z213" i="2"/>
  <c r="X87" i="2"/>
  <c r="N84" i="2"/>
  <c r="P53" i="2"/>
  <c r="O84" i="2"/>
  <c r="AB84" i="2" s="1"/>
  <c r="V10" i="2"/>
  <c r="V16" i="2"/>
  <c r="T75" i="2"/>
  <c r="J236" i="2"/>
  <c r="U337" i="2"/>
  <c r="X337" i="2"/>
  <c r="Q337" i="2"/>
  <c r="T269" i="2"/>
  <c r="M170" i="2"/>
  <c r="U199" i="2"/>
  <c r="Z159" i="2"/>
  <c r="T159" i="2"/>
  <c r="U56" i="2"/>
  <c r="V25" i="2"/>
  <c r="S53" i="2"/>
  <c r="U15" i="2"/>
  <c r="AC15" i="2" s="1"/>
  <c r="S15" i="2"/>
  <c r="Z279" i="2"/>
  <c r="P170" i="2"/>
  <c r="O170" i="2"/>
  <c r="Z10" i="2"/>
  <c r="T162" i="2"/>
  <c r="Z337" i="2"/>
  <c r="Y269" i="2"/>
  <c r="W159" i="2"/>
  <c r="Y120" i="2"/>
  <c r="V162" i="2"/>
  <c r="O337" i="2"/>
  <c r="V269" i="2"/>
  <c r="AD213" i="2"/>
  <c r="N162" i="2"/>
  <c r="X159" i="2"/>
  <c r="N56" i="2"/>
  <c r="W42" i="2"/>
  <c r="Z120" i="2"/>
  <c r="I99" i="2"/>
  <c r="AB99" i="2" s="1"/>
  <c r="Z99" i="2"/>
  <c r="V165" i="2"/>
  <c r="AC165" i="2" s="1"/>
  <c r="W269" i="2"/>
  <c r="AD199" i="2"/>
  <c r="Z162" i="2"/>
  <c r="AD159" i="2"/>
  <c r="Z72" i="2"/>
  <c r="T120" i="2"/>
  <c r="J337" i="2"/>
  <c r="T337" i="2"/>
  <c r="Y337" i="2"/>
  <c r="X269" i="2"/>
  <c r="P162" i="2"/>
  <c r="U159" i="2"/>
  <c r="W60" i="2"/>
  <c r="U120" i="2"/>
  <c r="N337" i="2"/>
  <c r="Z269" i="2"/>
  <c r="T199" i="2"/>
  <c r="Q162" i="2"/>
  <c r="AD60" i="2"/>
  <c r="V120" i="2"/>
  <c r="P337" i="2"/>
  <c r="R337" i="2"/>
  <c r="R170" i="2"/>
  <c r="V199" i="2"/>
  <c r="AD162" i="2"/>
  <c r="X60" i="2"/>
  <c r="V44" i="2"/>
  <c r="V53" i="2"/>
  <c r="X120" i="2"/>
  <c r="Q10" i="2"/>
  <c r="O15" i="2"/>
  <c r="X38" i="2"/>
  <c r="O110" i="2"/>
  <c r="U135" i="2"/>
  <c r="Q105" i="2"/>
  <c r="V337" i="2"/>
  <c r="S337" i="2"/>
  <c r="I170" i="2"/>
  <c r="W199" i="2"/>
  <c r="R162" i="2"/>
  <c r="Y60" i="2"/>
  <c r="K337" i="2"/>
  <c r="M337" i="2"/>
  <c r="Y213" i="2"/>
  <c r="J170" i="2"/>
  <c r="X199" i="2"/>
  <c r="S162" i="2"/>
  <c r="Q170" i="2"/>
  <c r="X170" i="2"/>
  <c r="X141" i="2"/>
  <c r="S269" i="2"/>
  <c r="W337" i="2"/>
  <c r="M199" i="2"/>
  <c r="M162" i="2"/>
  <c r="K170" i="2"/>
  <c r="Y199" i="2"/>
  <c r="I162" i="2"/>
  <c r="L337" i="2"/>
  <c r="L236" i="2"/>
  <c r="L170" i="2"/>
  <c r="K162" i="2"/>
  <c r="U162" i="2"/>
  <c r="T60" i="2"/>
  <c r="Z134" i="2"/>
  <c r="Z175" i="2"/>
  <c r="I337" i="2"/>
  <c r="T99" i="2"/>
  <c r="R322" i="2"/>
  <c r="S197" i="2"/>
  <c r="Z170" i="2"/>
  <c r="T282" i="2"/>
  <c r="J197" i="2"/>
  <c r="T273" i="2"/>
  <c r="X56" i="2"/>
  <c r="Z322" i="2"/>
  <c r="Q197" i="2"/>
  <c r="X273" i="2"/>
  <c r="J184" i="2"/>
  <c r="Y44" i="2"/>
  <c r="I315" i="2"/>
  <c r="K174" i="2"/>
  <c r="V240" i="2"/>
  <c r="N174" i="2"/>
  <c r="AB174" i="2" s="1"/>
  <c r="O10" i="2"/>
  <c r="L143" i="2"/>
  <c r="AB143" i="2" s="1"/>
  <c r="AD197" i="2"/>
  <c r="U273" i="2"/>
  <c r="Z184" i="2"/>
  <c r="S305" i="2"/>
  <c r="W204" i="2"/>
  <c r="V204" i="2"/>
  <c r="V273" i="2"/>
  <c r="T184" i="2"/>
  <c r="M320" i="2"/>
  <c r="AB320" i="2" s="1"/>
  <c r="W273" i="2"/>
  <c r="X204" i="2"/>
  <c r="Y204" i="2"/>
  <c r="Y273" i="2"/>
  <c r="AD75" i="2"/>
  <c r="U60" i="2"/>
  <c r="I56" i="2"/>
  <c r="T53" i="2"/>
  <c r="O65" i="2"/>
  <c r="Y42" i="2"/>
  <c r="W10" i="2"/>
  <c r="I15" i="2"/>
  <c r="U42" i="2"/>
  <c r="S170" i="2"/>
  <c r="V132" i="2"/>
  <c r="N170" i="2"/>
  <c r="U321" i="2"/>
  <c r="Z276" i="2"/>
  <c r="T105" i="2"/>
  <c r="Z273" i="2"/>
  <c r="Z197" i="2"/>
  <c r="AD204" i="2"/>
  <c r="N197" i="2"/>
  <c r="O197" i="2"/>
  <c r="K197" i="2"/>
  <c r="I282" i="2"/>
  <c r="X197" i="2"/>
  <c r="N305" i="2"/>
  <c r="P197" i="2"/>
  <c r="R56" i="2"/>
  <c r="Z305" i="2"/>
  <c r="X301" i="2"/>
  <c r="M282" i="2"/>
  <c r="S282" i="2"/>
  <c r="V236" i="2"/>
  <c r="X166" i="2"/>
  <c r="X171" i="2"/>
  <c r="Y170" i="2"/>
  <c r="W171" i="2"/>
  <c r="Z104" i="2"/>
  <c r="R72" i="2"/>
  <c r="T305" i="2"/>
  <c r="V9" i="2"/>
  <c r="S196" i="2"/>
  <c r="P305" i="2"/>
  <c r="W282" i="2"/>
  <c r="U282" i="2"/>
  <c r="T171" i="2"/>
  <c r="X236" i="2"/>
  <c r="Z166" i="2"/>
  <c r="T170" i="2"/>
  <c r="I173" i="2"/>
  <c r="I72" i="2"/>
  <c r="T16" i="2"/>
  <c r="U171" i="2"/>
  <c r="U72" i="2"/>
  <c r="J179" i="2"/>
  <c r="Q312" i="2"/>
  <c r="Q305" i="2"/>
  <c r="W301" i="2"/>
  <c r="J282" i="2"/>
  <c r="Q282" i="2"/>
  <c r="T236" i="2"/>
  <c r="O236" i="2"/>
  <c r="AD166" i="2"/>
  <c r="J72" i="2"/>
  <c r="Y56" i="2"/>
  <c r="V59" i="2"/>
  <c r="M151" i="2"/>
  <c r="Z172" i="2"/>
  <c r="AD305" i="2"/>
  <c r="X282" i="2"/>
  <c r="AD282" i="2"/>
  <c r="U197" i="2"/>
  <c r="K236" i="2"/>
  <c r="P236" i="2"/>
  <c r="T197" i="2"/>
  <c r="U170" i="2"/>
  <c r="AD72" i="2"/>
  <c r="X16" i="2"/>
  <c r="J305" i="2"/>
  <c r="W305" i="2"/>
  <c r="J292" i="2"/>
  <c r="K282" i="2"/>
  <c r="R282" i="2"/>
  <c r="M236" i="2"/>
  <c r="Q236" i="2"/>
  <c r="S72" i="2"/>
  <c r="Y59" i="2"/>
  <c r="M276" i="2"/>
  <c r="T312" i="2"/>
  <c r="R334" i="2"/>
  <c r="O305" i="2"/>
  <c r="U305" i="2"/>
  <c r="K292" i="2"/>
  <c r="I292" i="2"/>
  <c r="Y282" i="2"/>
  <c r="V197" i="2"/>
  <c r="I236" i="2"/>
  <c r="N236" i="2"/>
  <c r="AD236" i="2"/>
  <c r="V170" i="2"/>
  <c r="M173" i="2"/>
  <c r="U166" i="2"/>
  <c r="T141" i="2"/>
  <c r="X59" i="2"/>
  <c r="K72" i="2"/>
  <c r="T59" i="2"/>
  <c r="N334" i="2"/>
  <c r="I305" i="2"/>
  <c r="O292" i="2"/>
  <c r="L282" i="2"/>
  <c r="U236" i="2"/>
  <c r="R236" i="2"/>
  <c r="U141" i="2"/>
  <c r="N72" i="2"/>
  <c r="W72" i="2"/>
  <c r="W16" i="2"/>
  <c r="U59" i="2"/>
  <c r="R305" i="2"/>
  <c r="P334" i="2"/>
  <c r="V305" i="2"/>
  <c r="T301" i="2"/>
  <c r="Q292" i="2"/>
  <c r="N292" i="2"/>
  <c r="Z282" i="2"/>
  <c r="W197" i="2"/>
  <c r="W236" i="2"/>
  <c r="S236" i="2"/>
  <c r="W170" i="2"/>
  <c r="Y151" i="2"/>
  <c r="T104" i="2"/>
  <c r="Y141" i="2"/>
  <c r="O72" i="2"/>
  <c r="L72" i="2"/>
  <c r="T56" i="2"/>
  <c r="L334" i="2"/>
  <c r="S334" i="2"/>
  <c r="L305" i="2"/>
  <c r="R292" i="2"/>
  <c r="P292" i="2"/>
  <c r="N282" i="2"/>
  <c r="Y236" i="2"/>
  <c r="V141" i="2"/>
  <c r="P72" i="2"/>
  <c r="X72" i="2"/>
  <c r="V56" i="2"/>
  <c r="K305" i="2"/>
  <c r="Y305" i="2"/>
  <c r="U301" i="2"/>
  <c r="Q286" i="2"/>
  <c r="S292" i="2"/>
  <c r="O282" i="2"/>
  <c r="Z236" i="2"/>
  <c r="S173" i="2"/>
  <c r="T166" i="2"/>
  <c r="W141" i="2"/>
  <c r="V104" i="2"/>
  <c r="Q72" i="2"/>
  <c r="M72" i="2"/>
  <c r="W56" i="2"/>
  <c r="T72" i="2"/>
  <c r="K334" i="2"/>
  <c r="I334" i="2"/>
  <c r="Y197" i="2"/>
  <c r="V166" i="2"/>
  <c r="Q173" i="2"/>
  <c r="P173" i="2"/>
  <c r="X151" i="2"/>
  <c r="W104" i="2"/>
  <c r="V72" i="2"/>
  <c r="X317" i="2"/>
  <c r="X101" i="2"/>
  <c r="Y7" i="2"/>
  <c r="U277" i="2"/>
  <c r="AD179" i="2"/>
  <c r="P196" i="2"/>
  <c r="K173" i="2"/>
  <c r="N154" i="2"/>
  <c r="N151" i="2"/>
  <c r="J105" i="2"/>
  <c r="Y16" i="2"/>
  <c r="N81" i="2"/>
  <c r="Q15" i="2"/>
  <c r="T25" i="2"/>
  <c r="W162" i="2"/>
  <c r="U101" i="2"/>
  <c r="Y227" i="2"/>
  <c r="AC227" i="2" s="1"/>
  <c r="I105" i="2"/>
  <c r="T279" i="2"/>
  <c r="K233" i="2"/>
  <c r="X179" i="2"/>
  <c r="R196" i="2"/>
  <c r="P154" i="2"/>
  <c r="P151" i="2"/>
  <c r="K105" i="2"/>
  <c r="U207" i="2"/>
  <c r="P81" i="2"/>
  <c r="U32" i="2"/>
  <c r="Y179" i="2"/>
  <c r="Z25" i="2"/>
  <c r="Z60" i="2"/>
  <c r="W277" i="2"/>
  <c r="M179" i="2"/>
  <c r="I179" i="2"/>
  <c r="T196" i="2"/>
  <c r="L154" i="2"/>
  <c r="L151" i="2"/>
  <c r="V207" i="2"/>
  <c r="W13" i="2"/>
  <c r="R81" i="2"/>
  <c r="V32" i="2"/>
  <c r="U240" i="2"/>
  <c r="S322" i="2"/>
  <c r="W279" i="2"/>
  <c r="Q182" i="2"/>
  <c r="J196" i="2"/>
  <c r="R154" i="2"/>
  <c r="O154" i="2"/>
  <c r="L105" i="2"/>
  <c r="W137" i="2"/>
  <c r="W207" i="2"/>
  <c r="S81" i="2"/>
  <c r="Y32" i="2"/>
  <c r="U279" i="2"/>
  <c r="Z38" i="2"/>
  <c r="J322" i="2"/>
  <c r="W196" i="2"/>
  <c r="R151" i="2"/>
  <c r="S151" i="2"/>
  <c r="O151" i="2"/>
  <c r="X137" i="2"/>
  <c r="Z207" i="2"/>
  <c r="I81" i="2"/>
  <c r="K81" i="2"/>
  <c r="W9" i="2"/>
  <c r="X305" i="2"/>
  <c r="T101" i="2"/>
  <c r="X104" i="2"/>
  <c r="L89" i="2"/>
  <c r="W168" i="2"/>
  <c r="X134" i="2"/>
  <c r="AC134" i="2" s="1"/>
  <c r="U173" i="2"/>
  <c r="AC173" i="2" s="1"/>
  <c r="K322" i="2"/>
  <c r="X279" i="2"/>
  <c r="K196" i="2"/>
  <c r="S154" i="2"/>
  <c r="I151" i="2"/>
  <c r="M105" i="2"/>
  <c r="Y137" i="2"/>
  <c r="AD207" i="2"/>
  <c r="Q81" i="2"/>
  <c r="W32" i="2"/>
  <c r="O105" i="2"/>
  <c r="R306" i="2"/>
  <c r="Y308" i="2"/>
  <c r="R189" i="2"/>
  <c r="X196" i="2"/>
  <c r="L173" i="2"/>
  <c r="Q154" i="2"/>
  <c r="I154" i="2"/>
  <c r="J151" i="2"/>
  <c r="T207" i="2"/>
  <c r="T13" i="2"/>
  <c r="V13" i="2"/>
  <c r="L81" i="2"/>
  <c r="AD9" i="2"/>
  <c r="S179" i="2"/>
  <c r="I132" i="2"/>
  <c r="AB132" i="2" s="1"/>
  <c r="Y279" i="2"/>
  <c r="T245" i="2"/>
  <c r="R179" i="2"/>
  <c r="P189" i="2"/>
  <c r="V179" i="2"/>
  <c r="N196" i="2"/>
  <c r="L196" i="2"/>
  <c r="Q151" i="2"/>
  <c r="J154" i="2"/>
  <c r="N105" i="2"/>
  <c r="X207" i="2"/>
  <c r="Q86" i="2"/>
  <c r="Y200" i="2"/>
  <c r="AC200" i="2" s="1"/>
  <c r="L207" i="2"/>
  <c r="Z196" i="2"/>
  <c r="W245" i="2"/>
  <c r="Z179" i="2"/>
  <c r="K179" i="2"/>
  <c r="O196" i="2"/>
  <c r="Y196" i="2"/>
  <c r="V156" i="2"/>
  <c r="K154" i="2"/>
  <c r="K151" i="2"/>
  <c r="T137" i="2"/>
  <c r="M81" i="2"/>
  <c r="M196" i="2"/>
  <c r="Y9" i="2"/>
  <c r="U266" i="2"/>
  <c r="P179" i="2"/>
  <c r="L179" i="2"/>
  <c r="W179" i="2"/>
  <c r="Q196" i="2"/>
  <c r="I196" i="2"/>
  <c r="V154" i="2"/>
  <c r="Z154" i="2"/>
  <c r="R105" i="2"/>
  <c r="U137" i="2"/>
  <c r="Y314" i="2"/>
  <c r="Y277" i="2"/>
  <c r="O179" i="2"/>
  <c r="Q179" i="2"/>
  <c r="V196" i="2"/>
  <c r="U196" i="2"/>
  <c r="O173" i="2"/>
  <c r="X13" i="2"/>
  <c r="J269" i="2"/>
  <c r="Y192" i="2"/>
  <c r="O89" i="2"/>
  <c r="T9" i="2"/>
  <c r="R317" i="2"/>
  <c r="Z89" i="2"/>
  <c r="S304" i="2"/>
  <c r="T306" i="2"/>
  <c r="M304" i="2"/>
  <c r="V213" i="2"/>
  <c r="X219" i="2"/>
  <c r="N184" i="2"/>
  <c r="AD89" i="2"/>
  <c r="T63" i="2"/>
  <c r="V45" i="2"/>
  <c r="U9" i="2"/>
  <c r="T179" i="2"/>
  <c r="Y317" i="2"/>
  <c r="P317" i="2"/>
  <c r="U204" i="2"/>
  <c r="T322" i="2"/>
  <c r="AD304" i="2"/>
  <c r="R304" i="2"/>
  <c r="W314" i="2"/>
  <c r="U304" i="2"/>
  <c r="U302" i="2"/>
  <c r="P286" i="2"/>
  <c r="W308" i="2"/>
  <c r="O306" i="2"/>
  <c r="Y281" i="2"/>
  <c r="N325" i="2"/>
  <c r="K245" i="2"/>
  <c r="T266" i="2"/>
  <c r="W213" i="2"/>
  <c r="J199" i="2"/>
  <c r="X63" i="2"/>
  <c r="W45" i="2"/>
  <c r="N15" i="2"/>
  <c r="W38" i="2"/>
  <c r="AC38" i="2" s="1"/>
  <c r="L197" i="2"/>
  <c r="U104" i="2"/>
  <c r="O162" i="2"/>
  <c r="T323" i="2"/>
  <c r="V302" i="2"/>
  <c r="X322" i="2"/>
  <c r="N286" i="2"/>
  <c r="R281" i="2"/>
  <c r="J325" i="2"/>
  <c r="Y266" i="2"/>
  <c r="Y212" i="2"/>
  <c r="V184" i="2"/>
  <c r="Y45" i="2"/>
  <c r="X9" i="2"/>
  <c r="V110" i="2"/>
  <c r="T277" i="2"/>
  <c r="Y135" i="2"/>
  <c r="U45" i="2"/>
  <c r="U323" i="2"/>
  <c r="Q304" i="2"/>
  <c r="J304" i="2"/>
  <c r="W302" i="2"/>
  <c r="U281" i="2"/>
  <c r="P269" i="2"/>
  <c r="M233" i="2"/>
  <c r="V266" i="2"/>
  <c r="W192" i="2"/>
  <c r="K189" i="2"/>
  <c r="T156" i="2"/>
  <c r="X168" i="2"/>
  <c r="J207" i="2"/>
  <c r="T80" i="2"/>
  <c r="X45" i="2"/>
  <c r="J29" i="2"/>
  <c r="AC276" i="2"/>
  <c r="Y171" i="2"/>
  <c r="J323" i="2"/>
  <c r="L304" i="2"/>
  <c r="W304" i="2"/>
  <c r="X302" i="2"/>
  <c r="V281" i="2"/>
  <c r="Q269" i="2"/>
  <c r="W266" i="2"/>
  <c r="L206" i="2"/>
  <c r="U156" i="2"/>
  <c r="X153" i="2"/>
  <c r="Y168" i="2"/>
  <c r="X89" i="2"/>
  <c r="U16" i="2"/>
  <c r="L162" i="2"/>
  <c r="Y323" i="2"/>
  <c r="K304" i="2"/>
  <c r="Z302" i="2"/>
  <c r="X266" i="2"/>
  <c r="I206" i="2"/>
  <c r="M189" i="2"/>
  <c r="T168" i="2"/>
  <c r="U179" i="2"/>
  <c r="Y306" i="2"/>
  <c r="K323" i="2"/>
  <c r="X304" i="2"/>
  <c r="V322" i="2"/>
  <c r="M269" i="2"/>
  <c r="Z266" i="2"/>
  <c r="I245" i="2"/>
  <c r="T212" i="2"/>
  <c r="W80" i="2"/>
  <c r="V83" i="2"/>
  <c r="X162" i="2"/>
  <c r="Y162" i="2"/>
  <c r="U44" i="2"/>
  <c r="AC44" i="2" s="1"/>
  <c r="W110" i="2"/>
  <c r="N304" i="2"/>
  <c r="S227" i="2"/>
  <c r="AD266" i="2"/>
  <c r="Q233" i="2"/>
  <c r="O189" i="2"/>
  <c r="O199" i="2"/>
  <c r="K89" i="2"/>
  <c r="I89" i="2"/>
  <c r="W83" i="2"/>
  <c r="T86" i="2"/>
  <c r="V168" i="2"/>
  <c r="O304" i="2"/>
  <c r="K286" i="2"/>
  <c r="V308" i="2"/>
  <c r="U306" i="2"/>
  <c r="T302" i="2"/>
  <c r="Q189" i="2"/>
  <c r="AD192" i="2"/>
  <c r="X192" i="2"/>
  <c r="U192" i="2"/>
  <c r="U168" i="2"/>
  <c r="Y86" i="2"/>
  <c r="V192" i="2"/>
  <c r="V304" i="2"/>
  <c r="T304" i="2"/>
  <c r="I304" i="2"/>
  <c r="P304" i="2"/>
  <c r="T308" i="2"/>
  <c r="S233" i="2"/>
  <c r="R206" i="2"/>
  <c r="U89" i="2"/>
  <c r="W156" i="2"/>
  <c r="Z304" i="2"/>
  <c r="U111" i="2"/>
  <c r="AC111" i="2" s="1"/>
  <c r="X7" i="2"/>
  <c r="Z7" i="2"/>
  <c r="U7" i="2"/>
  <c r="AD7" i="2"/>
  <c r="T7" i="2"/>
  <c r="V7" i="2"/>
  <c r="W7" i="2"/>
  <c r="AC257" i="2"/>
  <c r="AC188" i="2"/>
  <c r="AC177" i="2"/>
  <c r="AC143" i="2"/>
  <c r="AC19" i="2"/>
  <c r="AB298" i="2"/>
  <c r="AB156" i="2"/>
  <c r="AC105" i="2"/>
  <c r="AC65" i="2"/>
  <c r="AC180" i="2"/>
  <c r="AC175" i="2"/>
  <c r="AC35" i="2"/>
  <c r="AC237" i="2"/>
  <c r="AC313" i="2"/>
  <c r="AC57" i="2"/>
  <c r="AC22" i="2"/>
  <c r="AC90" i="2"/>
  <c r="AC75" i="2"/>
  <c r="AC270" i="2"/>
  <c r="AB277" i="2"/>
  <c r="AC315" i="2"/>
  <c r="AC189" i="2"/>
  <c r="AB138" i="2"/>
  <c r="AC318" i="2"/>
  <c r="AC96" i="2"/>
  <c r="AC334" i="2"/>
  <c r="AC320" i="2"/>
  <c r="AC292" i="2"/>
  <c r="AB221" i="2"/>
  <c r="AC163" i="2"/>
  <c r="AC183" i="2"/>
  <c r="AC157" i="2"/>
  <c r="AC99" i="2"/>
  <c r="AB75" i="2"/>
  <c r="AC29" i="2"/>
  <c r="AC81" i="2"/>
  <c r="AC286" i="2"/>
  <c r="AB239" i="2"/>
  <c r="AC206" i="2"/>
  <c r="AC148" i="2"/>
  <c r="AC114" i="2"/>
  <c r="AC107" i="2"/>
  <c r="AC295" i="2"/>
  <c r="AB203" i="2"/>
  <c r="AC194" i="2"/>
  <c r="AC140" i="2"/>
  <c r="AC138" i="2"/>
  <c r="AC108" i="2"/>
  <c r="AC84" i="2"/>
  <c r="AB65" i="2"/>
  <c r="AC129" i="2"/>
  <c r="AC117" i="2"/>
  <c r="AB22" i="2"/>
  <c r="AB117" i="2"/>
  <c r="AB315" i="2"/>
  <c r="AC233" i="2"/>
  <c r="AC239" i="2"/>
  <c r="AB219" i="2"/>
  <c r="AB172" i="2"/>
  <c r="AC69" i="2"/>
  <c r="AB301" i="2"/>
  <c r="AC193" i="2"/>
  <c r="AB165" i="2"/>
  <c r="AC93" i="2"/>
  <c r="AC126" i="2"/>
  <c r="AB287" i="2"/>
  <c r="AC251" i="2"/>
  <c r="AB212" i="2"/>
  <c r="AC287" i="2"/>
  <c r="AC221" i="2"/>
  <c r="AC115" i="2"/>
  <c r="AC12" i="2"/>
  <c r="AC321" i="2"/>
  <c r="AC298" i="2"/>
  <c r="AC290" i="2"/>
  <c r="AC203" i="2"/>
  <c r="AC283" i="2"/>
  <c r="AC176" i="2"/>
  <c r="AC172" i="2"/>
  <c r="AC123" i="2"/>
  <c r="AB129" i="2"/>
  <c r="AB80" i="2"/>
  <c r="AC144" i="2"/>
  <c r="AB148" i="2"/>
  <c r="AC312" i="2"/>
  <c r="AB126" i="2"/>
  <c r="AC87" i="2"/>
  <c r="AB56" i="2"/>
  <c r="O237" i="2"/>
  <c r="N237" i="2"/>
  <c r="S237" i="2"/>
  <c r="K237" i="2"/>
  <c r="M237" i="2"/>
  <c r="Q237" i="2"/>
  <c r="J237" i="2"/>
  <c r="L237" i="2"/>
  <c r="I237" i="2"/>
  <c r="P237" i="2"/>
  <c r="R237" i="2"/>
  <c r="I92" i="2"/>
  <c r="N92" i="2"/>
  <c r="Q92" i="2"/>
  <c r="S92" i="2"/>
  <c r="P92" i="2"/>
  <c r="R92" i="2"/>
  <c r="M92" i="2"/>
  <c r="O92" i="2"/>
  <c r="L92" i="2"/>
  <c r="J92" i="2"/>
  <c r="K92" i="2"/>
  <c r="K44" i="2"/>
  <c r="Q44" i="2"/>
  <c r="L44" i="2"/>
  <c r="S44" i="2"/>
  <c r="N44" i="2"/>
  <c r="R44" i="2"/>
  <c r="O44" i="2"/>
  <c r="P44" i="2"/>
  <c r="M44" i="2"/>
  <c r="J44" i="2"/>
  <c r="I44" i="2"/>
  <c r="L59" i="2"/>
  <c r="K59" i="2"/>
  <c r="J59" i="2"/>
  <c r="I59" i="2"/>
  <c r="N59" i="2"/>
  <c r="S59" i="2"/>
  <c r="R59" i="2"/>
  <c r="Q59" i="2"/>
  <c r="P59" i="2"/>
  <c r="O59" i="2"/>
  <c r="M59" i="2"/>
  <c r="Q319" i="2"/>
  <c r="P319" i="2"/>
  <c r="M319" i="2"/>
  <c r="J319" i="2"/>
  <c r="I319" i="2"/>
  <c r="L319" i="2"/>
  <c r="K319" i="2"/>
  <c r="O319" i="2"/>
  <c r="N319" i="2"/>
  <c r="S319" i="2"/>
  <c r="R319" i="2"/>
  <c r="T149" i="2"/>
  <c r="R149" i="2"/>
  <c r="Q149" i="2"/>
  <c r="AD149" i="2"/>
  <c r="P149" i="2"/>
  <c r="O149" i="2"/>
  <c r="N149" i="2"/>
  <c r="Z149" i="2"/>
  <c r="M149" i="2"/>
  <c r="X149" i="2"/>
  <c r="K149" i="2"/>
  <c r="W149" i="2"/>
  <c r="J149" i="2"/>
  <c r="V149" i="2"/>
  <c r="I149" i="2"/>
  <c r="U149" i="2"/>
  <c r="S149" i="2"/>
  <c r="L149" i="2"/>
  <c r="Y149" i="2"/>
  <c r="P34" i="2"/>
  <c r="O34" i="2"/>
  <c r="W34" i="2"/>
  <c r="K34" i="2"/>
  <c r="T34" i="2"/>
  <c r="X34" i="2"/>
  <c r="V34" i="2"/>
  <c r="U34" i="2"/>
  <c r="Y34" i="2"/>
  <c r="S34" i="2"/>
  <c r="R34" i="2"/>
  <c r="Q34" i="2"/>
  <c r="N34" i="2"/>
  <c r="M34" i="2"/>
  <c r="L34" i="2"/>
  <c r="AD34" i="2"/>
  <c r="J34" i="2"/>
  <c r="Z34" i="2"/>
  <c r="I34" i="2"/>
  <c r="W367" i="2"/>
  <c r="K367" i="2"/>
  <c r="T367" i="2"/>
  <c r="R367" i="2"/>
  <c r="AD367" i="2"/>
  <c r="Q367" i="2"/>
  <c r="P367" i="2"/>
  <c r="Z367" i="2"/>
  <c r="N367" i="2"/>
  <c r="X367" i="2"/>
  <c r="L367" i="2"/>
  <c r="Y367" i="2"/>
  <c r="V367" i="2"/>
  <c r="U367" i="2"/>
  <c r="S367" i="2"/>
  <c r="O367" i="2"/>
  <c r="M367" i="2"/>
  <c r="J367" i="2"/>
  <c r="I367" i="2"/>
  <c r="S371" i="2"/>
  <c r="R371" i="2"/>
  <c r="AD371" i="2"/>
  <c r="Q371" i="2"/>
  <c r="P371" i="2"/>
  <c r="O371" i="2"/>
  <c r="Z371" i="2"/>
  <c r="N371" i="2"/>
  <c r="Y371" i="2"/>
  <c r="M371" i="2"/>
  <c r="X371" i="2"/>
  <c r="L371" i="2"/>
  <c r="V371" i="2"/>
  <c r="J371" i="2"/>
  <c r="T371" i="2"/>
  <c r="W371" i="2"/>
  <c r="U371" i="2"/>
  <c r="K371" i="2"/>
  <c r="I371" i="2"/>
  <c r="AG251" i="2"/>
  <c r="AG101" i="2"/>
  <c r="AG290" i="2"/>
  <c r="AG140" i="2"/>
  <c r="AG159" i="2"/>
  <c r="AG7" i="2"/>
  <c r="AG338" i="2"/>
  <c r="L338" i="2" s="1"/>
  <c r="AG307" i="2"/>
  <c r="W319" i="2"/>
  <c r="AG316" i="2"/>
  <c r="I322" i="2"/>
  <c r="I308" i="2"/>
  <c r="I306" i="2"/>
  <c r="V306" i="2"/>
  <c r="Z274" i="2"/>
  <c r="N274" i="2"/>
  <c r="Y274" i="2"/>
  <c r="M274" i="2"/>
  <c r="P274" i="2"/>
  <c r="AD274" i="2"/>
  <c r="O274" i="2"/>
  <c r="L274" i="2"/>
  <c r="K274" i="2"/>
  <c r="X274" i="2"/>
  <c r="J274" i="2"/>
  <c r="V274" i="2"/>
  <c r="U274" i="2"/>
  <c r="T274" i="2"/>
  <c r="W274" i="2"/>
  <c r="S274" i="2"/>
  <c r="R274" i="2"/>
  <c r="Q274" i="2"/>
  <c r="I274" i="2"/>
  <c r="S281" i="2"/>
  <c r="U247" i="2"/>
  <c r="Z247" i="2"/>
  <c r="Y247" i="2"/>
  <c r="X247" i="2"/>
  <c r="W247" i="2"/>
  <c r="V247" i="2"/>
  <c r="T247" i="2"/>
  <c r="AD247" i="2"/>
  <c r="Y325" i="2"/>
  <c r="R269" i="2"/>
  <c r="O269" i="2"/>
  <c r="O228" i="2"/>
  <c r="Y228" i="2"/>
  <c r="M228" i="2"/>
  <c r="X228" i="2"/>
  <c r="L228" i="2"/>
  <c r="T228" i="2"/>
  <c r="K228" i="2"/>
  <c r="AD228" i="2"/>
  <c r="J228" i="2"/>
  <c r="I228" i="2"/>
  <c r="Z228" i="2"/>
  <c r="W228" i="2"/>
  <c r="V228" i="2"/>
  <c r="S228" i="2"/>
  <c r="R228" i="2"/>
  <c r="Q228" i="2"/>
  <c r="U228" i="2"/>
  <c r="P228" i="2"/>
  <c r="N228" i="2"/>
  <c r="U226" i="2"/>
  <c r="T226" i="2"/>
  <c r="AD226" i="2"/>
  <c r="Z226" i="2"/>
  <c r="Y226" i="2"/>
  <c r="X226" i="2"/>
  <c r="W226" i="2"/>
  <c r="V226" i="2"/>
  <c r="M240" i="2"/>
  <c r="P233" i="2"/>
  <c r="U245" i="2"/>
  <c r="M227" i="2"/>
  <c r="AD242" i="2"/>
  <c r="W242" i="2"/>
  <c r="V242" i="2"/>
  <c r="U242" i="2"/>
  <c r="T242" i="2"/>
  <c r="Z242" i="2"/>
  <c r="Y242" i="2"/>
  <c r="X242" i="2"/>
  <c r="T213" i="2"/>
  <c r="AB200" i="2"/>
  <c r="N206" i="2"/>
  <c r="W219" i="2"/>
  <c r="Y218" i="2"/>
  <c r="J185" i="2"/>
  <c r="N199" i="2"/>
  <c r="AG134" i="2"/>
  <c r="J173" i="2"/>
  <c r="AG190" i="2"/>
  <c r="R190" i="2" s="1"/>
  <c r="AD260" i="2"/>
  <c r="Q260" i="2"/>
  <c r="P260" i="2"/>
  <c r="X260" i="2"/>
  <c r="L260" i="2"/>
  <c r="W260" i="2"/>
  <c r="K260" i="2"/>
  <c r="Z260" i="2"/>
  <c r="Y260" i="2"/>
  <c r="V260" i="2"/>
  <c r="U260" i="2"/>
  <c r="T260" i="2"/>
  <c r="S260" i="2"/>
  <c r="O260" i="2"/>
  <c r="N260" i="2"/>
  <c r="M260" i="2"/>
  <c r="R260" i="2"/>
  <c r="J260" i="2"/>
  <c r="I260" i="2"/>
  <c r="S185" i="2"/>
  <c r="U97" i="2"/>
  <c r="I97" i="2"/>
  <c r="T97" i="2"/>
  <c r="S97" i="2"/>
  <c r="R97" i="2"/>
  <c r="O97" i="2"/>
  <c r="Z97" i="2"/>
  <c r="N97" i="2"/>
  <c r="W97" i="2"/>
  <c r="V97" i="2"/>
  <c r="Q97" i="2"/>
  <c r="P97" i="2"/>
  <c r="M97" i="2"/>
  <c r="L97" i="2"/>
  <c r="J97" i="2"/>
  <c r="AD97" i="2"/>
  <c r="X97" i="2"/>
  <c r="K97" i="2"/>
  <c r="Y97" i="2"/>
  <c r="Y184" i="2"/>
  <c r="X184" i="2"/>
  <c r="W184" i="2"/>
  <c r="W151" i="2"/>
  <c r="U85" i="2"/>
  <c r="I85" i="2"/>
  <c r="T85" i="2"/>
  <c r="S85" i="2"/>
  <c r="O85" i="2"/>
  <c r="Z85" i="2"/>
  <c r="N85" i="2"/>
  <c r="M85" i="2"/>
  <c r="L85" i="2"/>
  <c r="K85" i="2"/>
  <c r="AD85" i="2"/>
  <c r="J85" i="2"/>
  <c r="W85" i="2"/>
  <c r="Y85" i="2"/>
  <c r="X85" i="2"/>
  <c r="Q85" i="2"/>
  <c r="P85" i="2"/>
  <c r="R85" i="2"/>
  <c r="V85" i="2"/>
  <c r="AD98" i="2"/>
  <c r="Q98" i="2"/>
  <c r="P98" i="2"/>
  <c r="O98" i="2"/>
  <c r="Z98" i="2"/>
  <c r="N98" i="2"/>
  <c r="W98" i="2"/>
  <c r="K98" i="2"/>
  <c r="V98" i="2"/>
  <c r="J98" i="2"/>
  <c r="M98" i="2"/>
  <c r="L98" i="2"/>
  <c r="I98" i="2"/>
  <c r="X98" i="2"/>
  <c r="U98" i="2"/>
  <c r="T98" i="2"/>
  <c r="S98" i="2"/>
  <c r="R98" i="2"/>
  <c r="Y98" i="2"/>
  <c r="I137" i="2"/>
  <c r="M207" i="2"/>
  <c r="AG49" i="2"/>
  <c r="N49" i="2" s="1"/>
  <c r="X92" i="2"/>
  <c r="AG83" i="2"/>
  <c r="P47" i="2"/>
  <c r="Y47" i="2"/>
  <c r="L47" i="2"/>
  <c r="U47" i="2"/>
  <c r="R47" i="2"/>
  <c r="O47" i="2"/>
  <c r="N47" i="2"/>
  <c r="AD47" i="2"/>
  <c r="M47" i="2"/>
  <c r="X47" i="2"/>
  <c r="I47" i="2"/>
  <c r="W47" i="2"/>
  <c r="V47" i="2"/>
  <c r="T47" i="2"/>
  <c r="K47" i="2"/>
  <c r="Q47" i="2"/>
  <c r="J47" i="2"/>
  <c r="Z47" i="2"/>
  <c r="S47" i="2"/>
  <c r="M137" i="2"/>
  <c r="AD95" i="2"/>
  <c r="Z95" i="2"/>
  <c r="W95" i="2"/>
  <c r="V95" i="2"/>
  <c r="Y95" i="2"/>
  <c r="X95" i="2"/>
  <c r="U95" i="2"/>
  <c r="T95" i="2"/>
  <c r="P37" i="2"/>
  <c r="O37" i="2"/>
  <c r="W37" i="2"/>
  <c r="K37" i="2"/>
  <c r="V37" i="2"/>
  <c r="J37" i="2"/>
  <c r="T37" i="2"/>
  <c r="I37" i="2"/>
  <c r="AD37" i="2"/>
  <c r="Z37" i="2"/>
  <c r="Y37" i="2"/>
  <c r="X37" i="2"/>
  <c r="S37" i="2"/>
  <c r="U37" i="2"/>
  <c r="R37" i="2"/>
  <c r="Q37" i="2"/>
  <c r="L37" i="2"/>
  <c r="N37" i="2"/>
  <c r="M37" i="2"/>
  <c r="AG73" i="2"/>
  <c r="S73" i="2" s="1"/>
  <c r="N69" i="2"/>
  <c r="M69" i="2"/>
  <c r="X48" i="2"/>
  <c r="W48" i="2"/>
  <c r="U48" i="2"/>
  <c r="Z48" i="2"/>
  <c r="Y48" i="2"/>
  <c r="T48" i="2"/>
  <c r="V48" i="2"/>
  <c r="AD48" i="2"/>
  <c r="I29" i="2"/>
  <c r="U86" i="2"/>
  <c r="T346" i="2"/>
  <c r="AD346" i="2"/>
  <c r="Q346" i="2"/>
  <c r="P346" i="2"/>
  <c r="X346" i="2"/>
  <c r="L346" i="2"/>
  <c r="O346" i="2"/>
  <c r="N346" i="2"/>
  <c r="M346" i="2"/>
  <c r="Z346" i="2"/>
  <c r="I346" i="2"/>
  <c r="Y346" i="2"/>
  <c r="W346" i="2"/>
  <c r="U346" i="2"/>
  <c r="V346" i="2"/>
  <c r="S346" i="2"/>
  <c r="R346" i="2"/>
  <c r="J346" i="2"/>
  <c r="K346" i="2"/>
  <c r="Y258" i="2"/>
  <c r="M258" i="2"/>
  <c r="X258" i="2"/>
  <c r="L258" i="2"/>
  <c r="T258" i="2"/>
  <c r="S258" i="2"/>
  <c r="AD258" i="2"/>
  <c r="K258" i="2"/>
  <c r="J258" i="2"/>
  <c r="I258" i="2"/>
  <c r="Z258" i="2"/>
  <c r="W258" i="2"/>
  <c r="V258" i="2"/>
  <c r="R258" i="2"/>
  <c r="Q258" i="2"/>
  <c r="P258" i="2"/>
  <c r="U258" i="2"/>
  <c r="O258" i="2"/>
  <c r="N258" i="2"/>
  <c r="U211" i="2"/>
  <c r="I211" i="2"/>
  <c r="T211" i="2"/>
  <c r="X211" i="2"/>
  <c r="J211" i="2"/>
  <c r="W211" i="2"/>
  <c r="V211" i="2"/>
  <c r="S211" i="2"/>
  <c r="R211" i="2"/>
  <c r="Q211" i="2"/>
  <c r="AD211" i="2"/>
  <c r="O211" i="2"/>
  <c r="N211" i="2"/>
  <c r="M211" i="2"/>
  <c r="P211" i="2"/>
  <c r="L211" i="2"/>
  <c r="K211" i="2"/>
  <c r="Z211" i="2"/>
  <c r="Y211" i="2"/>
  <c r="P185" i="2"/>
  <c r="Q185" i="2"/>
  <c r="AG58" i="2"/>
  <c r="T49" i="2"/>
  <c r="V49" i="2"/>
  <c r="Y49" i="2"/>
  <c r="W49" i="2"/>
  <c r="U49" i="2"/>
  <c r="AD49" i="2"/>
  <c r="Z49" i="2"/>
  <c r="X49" i="2"/>
  <c r="U92" i="2"/>
  <c r="U73" i="2"/>
  <c r="T73" i="2"/>
  <c r="O73" i="2"/>
  <c r="AD73" i="2"/>
  <c r="X73" i="2"/>
  <c r="Z73" i="2"/>
  <c r="Y73" i="2"/>
  <c r="W73" i="2"/>
  <c r="V73" i="2"/>
  <c r="J73" i="2"/>
  <c r="W364" i="2"/>
  <c r="K364" i="2"/>
  <c r="T364" i="2"/>
  <c r="AD364" i="2"/>
  <c r="Q364" i="2"/>
  <c r="P364" i="2"/>
  <c r="X364" i="2"/>
  <c r="L364" i="2"/>
  <c r="R364" i="2"/>
  <c r="O364" i="2"/>
  <c r="N364" i="2"/>
  <c r="M364" i="2"/>
  <c r="J364" i="2"/>
  <c r="I364" i="2"/>
  <c r="Z364" i="2"/>
  <c r="V364" i="2"/>
  <c r="Y364" i="2"/>
  <c r="S364" i="2"/>
  <c r="U364" i="2"/>
  <c r="AG314" i="2"/>
  <c r="AG295" i="2"/>
  <c r="AG183" i="2"/>
  <c r="AG90" i="2"/>
  <c r="AG266" i="2"/>
  <c r="AG192" i="2"/>
  <c r="AG135" i="2"/>
  <c r="AG42" i="2"/>
  <c r="AG9" i="2"/>
  <c r="P362" i="2"/>
  <c r="Y362" i="2"/>
  <c r="M362" i="2"/>
  <c r="X362" i="2"/>
  <c r="L362" i="2"/>
  <c r="T362" i="2"/>
  <c r="R362" i="2"/>
  <c r="Q362" i="2"/>
  <c r="O362" i="2"/>
  <c r="N362" i="2"/>
  <c r="K362" i="2"/>
  <c r="AD362" i="2"/>
  <c r="J362" i="2"/>
  <c r="I362" i="2"/>
  <c r="Z362" i="2"/>
  <c r="V362" i="2"/>
  <c r="S362" i="2"/>
  <c r="W362" i="2"/>
  <c r="U362" i="2"/>
  <c r="X351" i="2"/>
  <c r="L351" i="2"/>
  <c r="U351" i="2"/>
  <c r="I351" i="2"/>
  <c r="T351" i="2"/>
  <c r="P351" i="2"/>
  <c r="S351" i="2"/>
  <c r="R351" i="2"/>
  <c r="Q351" i="2"/>
  <c r="M351" i="2"/>
  <c r="AD351" i="2"/>
  <c r="K351" i="2"/>
  <c r="J351" i="2"/>
  <c r="Y351" i="2"/>
  <c r="Z351" i="2"/>
  <c r="W351" i="2"/>
  <c r="V351" i="2"/>
  <c r="N351" i="2"/>
  <c r="O351" i="2"/>
  <c r="AG313" i="2"/>
  <c r="AG163" i="2"/>
  <c r="AG201" i="2"/>
  <c r="L201" i="2" s="1"/>
  <c r="AG108" i="2"/>
  <c r="AG13" i="2"/>
  <c r="S368" i="2"/>
  <c r="P368" i="2"/>
  <c r="O368" i="2"/>
  <c r="Z368" i="2"/>
  <c r="N368" i="2"/>
  <c r="Y368" i="2"/>
  <c r="M368" i="2"/>
  <c r="X368" i="2"/>
  <c r="L368" i="2"/>
  <c r="V368" i="2"/>
  <c r="J368" i="2"/>
  <c r="T368" i="2"/>
  <c r="W368" i="2"/>
  <c r="U368" i="2"/>
  <c r="R368" i="2"/>
  <c r="Q368" i="2"/>
  <c r="K368" i="2"/>
  <c r="I368" i="2"/>
  <c r="AD368" i="2"/>
  <c r="W331" i="2"/>
  <c r="K331" i="2"/>
  <c r="S331" i="2"/>
  <c r="P331" i="2"/>
  <c r="L331" i="2"/>
  <c r="Z331" i="2"/>
  <c r="J331" i="2"/>
  <c r="X331" i="2"/>
  <c r="V331" i="2"/>
  <c r="U331" i="2"/>
  <c r="T331" i="2"/>
  <c r="Q331" i="2"/>
  <c r="AD331" i="2"/>
  <c r="R331" i="2"/>
  <c r="O331" i="2"/>
  <c r="Y331" i="2"/>
  <c r="N331" i="2"/>
  <c r="M331" i="2"/>
  <c r="I331" i="2"/>
  <c r="Y322" i="2"/>
  <c r="W281" i="2"/>
  <c r="T281" i="2"/>
  <c r="U322" i="2"/>
  <c r="Z299" i="2"/>
  <c r="N299" i="2"/>
  <c r="X299" i="2"/>
  <c r="L299" i="2"/>
  <c r="W299" i="2"/>
  <c r="K299" i="2"/>
  <c r="V299" i="2"/>
  <c r="J299" i="2"/>
  <c r="S299" i="2"/>
  <c r="AD299" i="2"/>
  <c r="Y299" i="2"/>
  <c r="Q299" i="2"/>
  <c r="P299" i="2"/>
  <c r="T299" i="2"/>
  <c r="R299" i="2"/>
  <c r="O299" i="2"/>
  <c r="I299" i="2"/>
  <c r="U299" i="2"/>
  <c r="M299" i="2"/>
  <c r="X308" i="2"/>
  <c r="M306" i="2"/>
  <c r="K281" i="2"/>
  <c r="I281" i="2"/>
  <c r="U241" i="2"/>
  <c r="I241" i="2"/>
  <c r="Y241" i="2"/>
  <c r="L241" i="2"/>
  <c r="X241" i="2"/>
  <c r="K241" i="2"/>
  <c r="W241" i="2"/>
  <c r="J241" i="2"/>
  <c r="V241" i="2"/>
  <c r="T241" i="2"/>
  <c r="Q241" i="2"/>
  <c r="AD241" i="2"/>
  <c r="P241" i="2"/>
  <c r="O241" i="2"/>
  <c r="N241" i="2"/>
  <c r="M241" i="2"/>
  <c r="Z241" i="2"/>
  <c r="S241" i="2"/>
  <c r="R241" i="2"/>
  <c r="U256" i="2"/>
  <c r="I256" i="2"/>
  <c r="T256" i="2"/>
  <c r="P256" i="2"/>
  <c r="S256" i="2"/>
  <c r="R256" i="2"/>
  <c r="Q256" i="2"/>
  <c r="O256" i="2"/>
  <c r="N256" i="2"/>
  <c r="AD256" i="2"/>
  <c r="M256" i="2"/>
  <c r="Z256" i="2"/>
  <c r="K256" i="2"/>
  <c r="Y256" i="2"/>
  <c r="J256" i="2"/>
  <c r="X256" i="2"/>
  <c r="W256" i="2"/>
  <c r="V256" i="2"/>
  <c r="L256" i="2"/>
  <c r="I325" i="2"/>
  <c r="L325" i="2"/>
  <c r="I240" i="2"/>
  <c r="AG226" i="2"/>
  <c r="Q226" i="2" s="1"/>
  <c r="V245" i="2"/>
  <c r="U214" i="2"/>
  <c r="I214" i="2"/>
  <c r="T214" i="2"/>
  <c r="Z214" i="2"/>
  <c r="L214" i="2"/>
  <c r="Y214" i="2"/>
  <c r="K214" i="2"/>
  <c r="X214" i="2"/>
  <c r="J214" i="2"/>
  <c r="W214" i="2"/>
  <c r="V214" i="2"/>
  <c r="S214" i="2"/>
  <c r="Q214" i="2"/>
  <c r="P214" i="2"/>
  <c r="AD214" i="2"/>
  <c r="O214" i="2"/>
  <c r="R214" i="2"/>
  <c r="N214" i="2"/>
  <c r="M214" i="2"/>
  <c r="U213" i="2"/>
  <c r="I182" i="2"/>
  <c r="O206" i="2"/>
  <c r="S189" i="2"/>
  <c r="Y219" i="2"/>
  <c r="V147" i="2"/>
  <c r="U147" i="2"/>
  <c r="T147" i="2"/>
  <c r="Z147" i="2"/>
  <c r="Y147" i="2"/>
  <c r="X147" i="2"/>
  <c r="W147" i="2"/>
  <c r="AD147" i="2"/>
  <c r="P199" i="2"/>
  <c r="Q199" i="2"/>
  <c r="AG145" i="2"/>
  <c r="AC185" i="2"/>
  <c r="Z121" i="2"/>
  <c r="N121" i="2"/>
  <c r="Y121" i="2"/>
  <c r="M121" i="2"/>
  <c r="X121" i="2"/>
  <c r="L121" i="2"/>
  <c r="T121" i="2"/>
  <c r="S121" i="2"/>
  <c r="J121" i="2"/>
  <c r="AD121" i="2"/>
  <c r="I121" i="2"/>
  <c r="W121" i="2"/>
  <c r="R121" i="2"/>
  <c r="Q121" i="2"/>
  <c r="P121" i="2"/>
  <c r="V121" i="2"/>
  <c r="U121" i="2"/>
  <c r="O121" i="2"/>
  <c r="K121" i="2"/>
  <c r="Y153" i="2"/>
  <c r="AG94" i="2"/>
  <c r="K184" i="2"/>
  <c r="O184" i="2"/>
  <c r="P89" i="2"/>
  <c r="K207" i="2"/>
  <c r="Y92" i="2"/>
  <c r="U61" i="2"/>
  <c r="I61" i="2"/>
  <c r="T61" i="2"/>
  <c r="R61" i="2"/>
  <c r="Q61" i="2"/>
  <c r="AD61" i="2"/>
  <c r="O61" i="2"/>
  <c r="Y61" i="2"/>
  <c r="K61" i="2"/>
  <c r="Z61" i="2"/>
  <c r="X61" i="2"/>
  <c r="W61" i="2"/>
  <c r="V61" i="2"/>
  <c r="S61" i="2"/>
  <c r="M61" i="2"/>
  <c r="L61" i="2"/>
  <c r="J61" i="2"/>
  <c r="P61" i="2"/>
  <c r="N61" i="2"/>
  <c r="AG95" i="2"/>
  <c r="Q95" i="2" s="1"/>
  <c r="Y10" i="2"/>
  <c r="R69" i="2"/>
  <c r="X51" i="2"/>
  <c r="AD51" i="2"/>
  <c r="Z51" i="2"/>
  <c r="Y51" i="2"/>
  <c r="W51" i="2"/>
  <c r="T51" i="2"/>
  <c r="V51" i="2"/>
  <c r="U51" i="2"/>
  <c r="T36" i="2"/>
  <c r="S36" i="2"/>
  <c r="O36" i="2"/>
  <c r="Z36" i="2"/>
  <c r="N36" i="2"/>
  <c r="X36" i="2"/>
  <c r="L36" i="2"/>
  <c r="R36" i="2"/>
  <c r="Q36" i="2"/>
  <c r="I36" i="2"/>
  <c r="P36" i="2"/>
  <c r="U36" i="2"/>
  <c r="M36" i="2"/>
  <c r="K36" i="2"/>
  <c r="AD36" i="2"/>
  <c r="J36" i="2"/>
  <c r="Y36" i="2"/>
  <c r="W36" i="2"/>
  <c r="V36" i="2"/>
  <c r="X86" i="2"/>
  <c r="O316" i="2"/>
  <c r="Z316" i="2"/>
  <c r="N316" i="2"/>
  <c r="W316" i="2"/>
  <c r="K316" i="2"/>
  <c r="U316" i="2"/>
  <c r="I316" i="2"/>
  <c r="X316" i="2"/>
  <c r="V316" i="2"/>
  <c r="T316" i="2"/>
  <c r="S316" i="2"/>
  <c r="Q316" i="2"/>
  <c r="P316" i="2"/>
  <c r="M316" i="2"/>
  <c r="L316" i="2"/>
  <c r="J316" i="2"/>
  <c r="Y316" i="2"/>
  <c r="R316" i="2"/>
  <c r="AD316" i="2"/>
  <c r="R199" i="2"/>
  <c r="AG273" i="2"/>
  <c r="AG180" i="2"/>
  <c r="AG123" i="2"/>
  <c r="AG104" i="2"/>
  <c r="P353" i="2"/>
  <c r="Y353" i="2"/>
  <c r="M353" i="2"/>
  <c r="X353" i="2"/>
  <c r="L353" i="2"/>
  <c r="T353" i="2"/>
  <c r="R353" i="2"/>
  <c r="Q353" i="2"/>
  <c r="O353" i="2"/>
  <c r="N353" i="2"/>
  <c r="K353" i="2"/>
  <c r="AD353" i="2"/>
  <c r="J353" i="2"/>
  <c r="I353" i="2"/>
  <c r="Z353" i="2"/>
  <c r="V353" i="2"/>
  <c r="W353" i="2"/>
  <c r="U353" i="2"/>
  <c r="S353" i="2"/>
  <c r="AG218" i="2"/>
  <c r="AG144" i="2"/>
  <c r="AG87" i="2"/>
  <c r="T330" i="2"/>
  <c r="Y330" i="2"/>
  <c r="X330" i="2"/>
  <c r="V330" i="2"/>
  <c r="U330" i="2"/>
  <c r="AD330" i="2"/>
  <c r="Z330" i="2"/>
  <c r="W330" i="2"/>
  <c r="S329" i="2"/>
  <c r="X329" i="2"/>
  <c r="L329" i="2"/>
  <c r="Z329" i="2"/>
  <c r="K329" i="2"/>
  <c r="Y329" i="2"/>
  <c r="J329" i="2"/>
  <c r="V329" i="2"/>
  <c r="U329" i="2"/>
  <c r="T329" i="2"/>
  <c r="R329" i="2"/>
  <c r="M329" i="2"/>
  <c r="AD329" i="2"/>
  <c r="W329" i="2"/>
  <c r="Q329" i="2"/>
  <c r="N329" i="2"/>
  <c r="I329" i="2"/>
  <c r="P329" i="2"/>
  <c r="O329" i="2"/>
  <c r="Y319" i="2"/>
  <c r="S306" i="2"/>
  <c r="L281" i="2"/>
  <c r="J281" i="2"/>
  <c r="AG253" i="2"/>
  <c r="O325" i="2"/>
  <c r="P325" i="2"/>
  <c r="L227" i="2"/>
  <c r="T278" i="2"/>
  <c r="Y198" i="2"/>
  <c r="U198" i="2"/>
  <c r="T198" i="2"/>
  <c r="Z198" i="2"/>
  <c r="X198" i="2"/>
  <c r="W198" i="2"/>
  <c r="V198" i="2"/>
  <c r="AD198" i="2"/>
  <c r="Y222" i="2"/>
  <c r="M222" i="2"/>
  <c r="X222" i="2"/>
  <c r="L222" i="2"/>
  <c r="T222" i="2"/>
  <c r="S222" i="2"/>
  <c r="R222" i="2"/>
  <c r="Q222" i="2"/>
  <c r="P222" i="2"/>
  <c r="O222" i="2"/>
  <c r="AD222" i="2"/>
  <c r="N222" i="2"/>
  <c r="J222" i="2"/>
  <c r="Z222" i="2"/>
  <c r="I222" i="2"/>
  <c r="W222" i="2"/>
  <c r="V222" i="2"/>
  <c r="U222" i="2"/>
  <c r="K222" i="2"/>
  <c r="S182" i="2"/>
  <c r="T271" i="2"/>
  <c r="AG209" i="2"/>
  <c r="R182" i="2"/>
  <c r="Y195" i="2"/>
  <c r="M195" i="2"/>
  <c r="N195" i="2"/>
  <c r="Z195" i="2"/>
  <c r="L195" i="2"/>
  <c r="X195" i="2"/>
  <c r="K195" i="2"/>
  <c r="V195" i="2"/>
  <c r="I195" i="2"/>
  <c r="T195" i="2"/>
  <c r="R195" i="2"/>
  <c r="O195" i="2"/>
  <c r="J195" i="2"/>
  <c r="AD195" i="2"/>
  <c r="W195" i="2"/>
  <c r="U195" i="2"/>
  <c r="S195" i="2"/>
  <c r="P195" i="2"/>
  <c r="Q195" i="2"/>
  <c r="U217" i="2"/>
  <c r="I217" i="2"/>
  <c r="T217" i="2"/>
  <c r="N217" i="2"/>
  <c r="M217" i="2"/>
  <c r="Z217" i="2"/>
  <c r="L217" i="2"/>
  <c r="Y217" i="2"/>
  <c r="K217" i="2"/>
  <c r="X217" i="2"/>
  <c r="J217" i="2"/>
  <c r="W217" i="2"/>
  <c r="S217" i="2"/>
  <c r="R217" i="2"/>
  <c r="Q217" i="2"/>
  <c r="V217" i="2"/>
  <c r="P217" i="2"/>
  <c r="O217" i="2"/>
  <c r="AD217" i="2"/>
  <c r="AC174" i="2"/>
  <c r="X284" i="2"/>
  <c r="L284" i="2"/>
  <c r="W284" i="2"/>
  <c r="J284" i="2"/>
  <c r="V284" i="2"/>
  <c r="I284" i="2"/>
  <c r="U284" i="2"/>
  <c r="O284" i="2"/>
  <c r="Z284" i="2"/>
  <c r="Y284" i="2"/>
  <c r="T284" i="2"/>
  <c r="S284" i="2"/>
  <c r="R284" i="2"/>
  <c r="P284" i="2"/>
  <c r="N284" i="2"/>
  <c r="M284" i="2"/>
  <c r="Q284" i="2"/>
  <c r="K284" i="2"/>
  <c r="AD284" i="2"/>
  <c r="S230" i="2"/>
  <c r="AD230" i="2"/>
  <c r="Q230" i="2"/>
  <c r="P230" i="2"/>
  <c r="X230" i="2"/>
  <c r="L230" i="2"/>
  <c r="Z230" i="2"/>
  <c r="I230" i="2"/>
  <c r="Y230" i="2"/>
  <c r="W230" i="2"/>
  <c r="V230" i="2"/>
  <c r="U230" i="2"/>
  <c r="T230" i="2"/>
  <c r="O230" i="2"/>
  <c r="N230" i="2"/>
  <c r="M230" i="2"/>
  <c r="J230" i="2"/>
  <c r="R230" i="2"/>
  <c r="K230" i="2"/>
  <c r="S206" i="2"/>
  <c r="W155" i="2"/>
  <c r="K155" i="2"/>
  <c r="T155" i="2"/>
  <c r="P155" i="2"/>
  <c r="AD155" i="2"/>
  <c r="O155" i="2"/>
  <c r="N155" i="2"/>
  <c r="M155" i="2"/>
  <c r="Z155" i="2"/>
  <c r="L155" i="2"/>
  <c r="Y155" i="2"/>
  <c r="J155" i="2"/>
  <c r="V155" i="2"/>
  <c r="U155" i="2"/>
  <c r="S155" i="2"/>
  <c r="Q155" i="2"/>
  <c r="I155" i="2"/>
  <c r="R155" i="2"/>
  <c r="X155" i="2"/>
  <c r="S199" i="2"/>
  <c r="AG128" i="2"/>
  <c r="N128" i="2" s="1"/>
  <c r="U113" i="2"/>
  <c r="T113" i="2"/>
  <c r="AD113" i="2"/>
  <c r="Z113" i="2"/>
  <c r="W113" i="2"/>
  <c r="V113" i="2"/>
  <c r="Y113" i="2"/>
  <c r="X113" i="2"/>
  <c r="L184" i="2"/>
  <c r="S184" i="2"/>
  <c r="T154" i="2"/>
  <c r="AB96" i="2"/>
  <c r="U79" i="2"/>
  <c r="I79" i="2"/>
  <c r="T79" i="2"/>
  <c r="S79" i="2"/>
  <c r="O79" i="2"/>
  <c r="P79" i="2"/>
  <c r="N79" i="2"/>
  <c r="M79" i="2"/>
  <c r="AD79" i="2"/>
  <c r="L79" i="2"/>
  <c r="X79" i="2"/>
  <c r="Z79" i="2"/>
  <c r="Y79" i="2"/>
  <c r="R79" i="2"/>
  <c r="Q79" i="2"/>
  <c r="K79" i="2"/>
  <c r="J79" i="2"/>
  <c r="W79" i="2"/>
  <c r="V79" i="2"/>
  <c r="N137" i="2"/>
  <c r="Q89" i="2"/>
  <c r="O207" i="2"/>
  <c r="AG109" i="2"/>
  <c r="U187" i="2"/>
  <c r="I187" i="2"/>
  <c r="S187" i="2"/>
  <c r="O187" i="2"/>
  <c r="AD187" i="2"/>
  <c r="M187" i="2"/>
  <c r="L187" i="2"/>
  <c r="Z187" i="2"/>
  <c r="K187" i="2"/>
  <c r="Y187" i="2"/>
  <c r="J187" i="2"/>
  <c r="X187" i="2"/>
  <c r="W187" i="2"/>
  <c r="T187" i="2"/>
  <c r="R187" i="2"/>
  <c r="Q187" i="2"/>
  <c r="V187" i="2"/>
  <c r="P187" i="2"/>
  <c r="N187" i="2"/>
  <c r="U82" i="2"/>
  <c r="T82" i="2"/>
  <c r="Z82" i="2"/>
  <c r="X82" i="2"/>
  <c r="W82" i="2"/>
  <c r="V82" i="2"/>
  <c r="AD82" i="2"/>
  <c r="Y82" i="2"/>
  <c r="V92" i="2"/>
  <c r="AG63" i="2"/>
  <c r="I69" i="2"/>
  <c r="AG48" i="2"/>
  <c r="S48" i="2" s="1"/>
  <c r="O29" i="2"/>
  <c r="J86" i="2"/>
  <c r="T285" i="2"/>
  <c r="V285" i="2"/>
  <c r="I285" i="2"/>
  <c r="U285" i="2"/>
  <c r="S285" i="2"/>
  <c r="Z285" i="2"/>
  <c r="M285" i="2"/>
  <c r="P285" i="2"/>
  <c r="O285" i="2"/>
  <c r="N285" i="2"/>
  <c r="L285" i="2"/>
  <c r="AD285" i="2"/>
  <c r="K285" i="2"/>
  <c r="J285" i="2"/>
  <c r="Y285" i="2"/>
  <c r="X285" i="2"/>
  <c r="W285" i="2"/>
  <c r="Q285" i="2"/>
  <c r="R285" i="2"/>
  <c r="S365" i="2"/>
  <c r="P365" i="2"/>
  <c r="Z365" i="2"/>
  <c r="N365" i="2"/>
  <c r="Y365" i="2"/>
  <c r="M365" i="2"/>
  <c r="X365" i="2"/>
  <c r="L365" i="2"/>
  <c r="T365" i="2"/>
  <c r="I365" i="2"/>
  <c r="AD365" i="2"/>
  <c r="W365" i="2"/>
  <c r="V365" i="2"/>
  <c r="U365" i="2"/>
  <c r="R365" i="2"/>
  <c r="O365" i="2"/>
  <c r="K365" i="2"/>
  <c r="J365" i="2"/>
  <c r="Q365" i="2"/>
  <c r="O327" i="2"/>
  <c r="T327" i="2"/>
  <c r="Y327" i="2"/>
  <c r="K327" i="2"/>
  <c r="X327" i="2"/>
  <c r="J327" i="2"/>
  <c r="V327" i="2"/>
  <c r="U327" i="2"/>
  <c r="S327" i="2"/>
  <c r="R327" i="2"/>
  <c r="N327" i="2"/>
  <c r="L327" i="2"/>
  <c r="I327" i="2"/>
  <c r="Z327" i="2"/>
  <c r="AD327" i="2"/>
  <c r="W327" i="2"/>
  <c r="Q327" i="2"/>
  <c r="P327" i="2"/>
  <c r="M327" i="2"/>
  <c r="X319" i="2"/>
  <c r="V182" i="2"/>
  <c r="U182" i="2"/>
  <c r="T182" i="2"/>
  <c r="U181" i="2"/>
  <c r="I181" i="2"/>
  <c r="O181" i="2"/>
  <c r="Q181" i="2"/>
  <c r="P181" i="2"/>
  <c r="AD181" i="2"/>
  <c r="N181" i="2"/>
  <c r="M181" i="2"/>
  <c r="Z181" i="2"/>
  <c r="L181" i="2"/>
  <c r="Y181" i="2"/>
  <c r="K181" i="2"/>
  <c r="W181" i="2"/>
  <c r="V181" i="2"/>
  <c r="T181" i="2"/>
  <c r="J181" i="2"/>
  <c r="X181" i="2"/>
  <c r="S181" i="2"/>
  <c r="R181" i="2"/>
  <c r="X26" i="2"/>
  <c r="L26" i="2"/>
  <c r="W26" i="2"/>
  <c r="J26" i="2"/>
  <c r="V26" i="2"/>
  <c r="I26" i="2"/>
  <c r="U26" i="2"/>
  <c r="Y26" i="2"/>
  <c r="T26" i="2"/>
  <c r="S26" i="2"/>
  <c r="Q26" i="2"/>
  <c r="K26" i="2"/>
  <c r="R26" i="2"/>
  <c r="AD26" i="2"/>
  <c r="P26" i="2"/>
  <c r="O26" i="2"/>
  <c r="N26" i="2"/>
  <c r="Z26" i="2"/>
  <c r="M26" i="2"/>
  <c r="AG318" i="2"/>
  <c r="AG168" i="2"/>
  <c r="AG111" i="2"/>
  <c r="Y252" i="2"/>
  <c r="X252" i="2"/>
  <c r="T252" i="2"/>
  <c r="AD252" i="2"/>
  <c r="Z252" i="2"/>
  <c r="W252" i="2"/>
  <c r="V252" i="2"/>
  <c r="U252" i="2"/>
  <c r="J245" i="2"/>
  <c r="Y271" i="2"/>
  <c r="M182" i="2"/>
  <c r="Y186" i="2"/>
  <c r="M186" i="2"/>
  <c r="W186" i="2"/>
  <c r="K186" i="2"/>
  <c r="S186" i="2"/>
  <c r="L186" i="2"/>
  <c r="J186" i="2"/>
  <c r="Z186" i="2"/>
  <c r="I186" i="2"/>
  <c r="X186" i="2"/>
  <c r="V186" i="2"/>
  <c r="U186" i="2"/>
  <c r="R186" i="2"/>
  <c r="Q186" i="2"/>
  <c r="P186" i="2"/>
  <c r="AD186" i="2"/>
  <c r="T186" i="2"/>
  <c r="O186" i="2"/>
  <c r="N186" i="2"/>
  <c r="I199" i="2"/>
  <c r="V128" i="2"/>
  <c r="U128" i="2"/>
  <c r="T128" i="2"/>
  <c r="AD128" i="2"/>
  <c r="Z128" i="2"/>
  <c r="W128" i="2"/>
  <c r="Y128" i="2"/>
  <c r="X128" i="2"/>
  <c r="Z142" i="2"/>
  <c r="N142" i="2"/>
  <c r="Y142" i="2"/>
  <c r="M142" i="2"/>
  <c r="X142" i="2"/>
  <c r="L142" i="2"/>
  <c r="W142" i="2"/>
  <c r="K142" i="2"/>
  <c r="V142" i="2"/>
  <c r="J142" i="2"/>
  <c r="T142" i="2"/>
  <c r="S142" i="2"/>
  <c r="R142" i="2"/>
  <c r="U142" i="2"/>
  <c r="Q142" i="2"/>
  <c r="P142" i="2"/>
  <c r="AD142" i="2"/>
  <c r="O142" i="2"/>
  <c r="I142" i="2"/>
  <c r="AG113" i="2"/>
  <c r="N113" i="2" s="1"/>
  <c r="U116" i="2"/>
  <c r="T116" i="2"/>
  <c r="AD116" i="2"/>
  <c r="Y116" i="2"/>
  <c r="X116" i="2"/>
  <c r="Z116" i="2"/>
  <c r="V116" i="2"/>
  <c r="W116" i="2"/>
  <c r="I184" i="2"/>
  <c r="U154" i="2"/>
  <c r="Y109" i="2"/>
  <c r="V109" i="2"/>
  <c r="J109" i="2"/>
  <c r="U109" i="2"/>
  <c r="I109" i="2"/>
  <c r="T109" i="2"/>
  <c r="S109" i="2"/>
  <c r="R109" i="2"/>
  <c r="O109" i="2"/>
  <c r="N109" i="2"/>
  <c r="M109" i="2"/>
  <c r="L109" i="2"/>
  <c r="K109" i="2"/>
  <c r="Z109" i="2"/>
  <c r="X109" i="2"/>
  <c r="W109" i="2"/>
  <c r="Q109" i="2"/>
  <c r="AD109" i="2"/>
  <c r="P109" i="2"/>
  <c r="U88" i="2"/>
  <c r="T88" i="2"/>
  <c r="Z88" i="2"/>
  <c r="X88" i="2"/>
  <c r="W88" i="2"/>
  <c r="V88" i="2"/>
  <c r="Y88" i="2"/>
  <c r="AD88" i="2"/>
  <c r="AG82" i="2"/>
  <c r="N82" i="2" s="1"/>
  <c r="AD77" i="2"/>
  <c r="W77" i="2"/>
  <c r="V77" i="2"/>
  <c r="U77" i="2"/>
  <c r="T77" i="2"/>
  <c r="X77" i="2"/>
  <c r="Z77" i="2"/>
  <c r="Y77" i="2"/>
  <c r="AG77" i="2"/>
  <c r="P77" i="2" s="1"/>
  <c r="Y78" i="2"/>
  <c r="X78" i="2"/>
  <c r="W78" i="2"/>
  <c r="AD78" i="2"/>
  <c r="Z78" i="2"/>
  <c r="V78" i="2"/>
  <c r="U78" i="2"/>
  <c r="T78" i="2"/>
  <c r="T43" i="2"/>
  <c r="O43" i="2"/>
  <c r="X43" i="2"/>
  <c r="J43" i="2"/>
  <c r="W43" i="2"/>
  <c r="I43" i="2"/>
  <c r="V43" i="2"/>
  <c r="R43" i="2"/>
  <c r="Q43" i="2"/>
  <c r="AD43" i="2"/>
  <c r="N43" i="2"/>
  <c r="L43" i="2"/>
  <c r="Z43" i="2"/>
  <c r="M43" i="2"/>
  <c r="K43" i="2"/>
  <c r="Y43" i="2"/>
  <c r="U43" i="2"/>
  <c r="S43" i="2"/>
  <c r="P43" i="2"/>
  <c r="T27" i="2"/>
  <c r="X27" i="2"/>
  <c r="V27" i="2"/>
  <c r="I27" i="2"/>
  <c r="U27" i="2"/>
  <c r="S27" i="2"/>
  <c r="AD27" i="2"/>
  <c r="R27" i="2"/>
  <c r="O27" i="2"/>
  <c r="J27" i="2"/>
  <c r="Q27" i="2"/>
  <c r="P27" i="2"/>
  <c r="N27" i="2"/>
  <c r="M27" i="2"/>
  <c r="W27" i="2"/>
  <c r="Z27" i="2"/>
  <c r="L27" i="2"/>
  <c r="Y27" i="2"/>
  <c r="K27" i="2"/>
  <c r="AG18" i="2"/>
  <c r="R18" i="2" s="1"/>
  <c r="Q29" i="2"/>
  <c r="M29" i="2"/>
  <c r="V86" i="2"/>
  <c r="W370" i="2"/>
  <c r="K370" i="2"/>
  <c r="T370" i="2"/>
  <c r="S370" i="2"/>
  <c r="R370" i="2"/>
  <c r="AD370" i="2"/>
  <c r="Q370" i="2"/>
  <c r="P370" i="2"/>
  <c r="Z370" i="2"/>
  <c r="N370" i="2"/>
  <c r="X370" i="2"/>
  <c r="L370" i="2"/>
  <c r="Y370" i="2"/>
  <c r="V370" i="2"/>
  <c r="U370" i="2"/>
  <c r="O370" i="2"/>
  <c r="M370" i="2"/>
  <c r="J370" i="2"/>
  <c r="I370" i="2"/>
  <c r="P339" i="2"/>
  <c r="O339" i="2"/>
  <c r="X339" i="2"/>
  <c r="L339" i="2"/>
  <c r="W339" i="2"/>
  <c r="K339" i="2"/>
  <c r="V339" i="2"/>
  <c r="J339" i="2"/>
  <c r="T339" i="2"/>
  <c r="M339" i="2"/>
  <c r="I339" i="2"/>
  <c r="AD339" i="2"/>
  <c r="Z339" i="2"/>
  <c r="Y339" i="2"/>
  <c r="U339" i="2"/>
  <c r="R339" i="2"/>
  <c r="S339" i="2"/>
  <c r="Q339" i="2"/>
  <c r="N339" i="2"/>
  <c r="S309" i="2"/>
  <c r="Y309" i="2"/>
  <c r="M309" i="2"/>
  <c r="N309" i="2"/>
  <c r="Z309" i="2"/>
  <c r="K309" i="2"/>
  <c r="X309" i="2"/>
  <c r="J309" i="2"/>
  <c r="W309" i="2"/>
  <c r="I309" i="2"/>
  <c r="V309" i="2"/>
  <c r="T309" i="2"/>
  <c r="R309" i="2"/>
  <c r="AD309" i="2"/>
  <c r="Q309" i="2"/>
  <c r="P309" i="2"/>
  <c r="O309" i="2"/>
  <c r="L309" i="2"/>
  <c r="U309" i="2"/>
  <c r="AG166" i="2"/>
  <c r="AG16" i="2"/>
  <c r="AG35" i="2"/>
  <c r="T335" i="2"/>
  <c r="S335" i="2"/>
  <c r="O335" i="2"/>
  <c r="Z335" i="2"/>
  <c r="N335" i="2"/>
  <c r="X335" i="2"/>
  <c r="L335" i="2"/>
  <c r="Y335" i="2"/>
  <c r="W335" i="2"/>
  <c r="V335" i="2"/>
  <c r="R335" i="2"/>
  <c r="Q335" i="2"/>
  <c r="P335" i="2"/>
  <c r="M335" i="2"/>
  <c r="J335" i="2"/>
  <c r="U335" i="2"/>
  <c r="K335" i="2"/>
  <c r="I335" i="2"/>
  <c r="AD335" i="2"/>
  <c r="U253" i="2"/>
  <c r="I253" i="2"/>
  <c r="T253" i="2"/>
  <c r="P253" i="2"/>
  <c r="X253" i="2"/>
  <c r="W253" i="2"/>
  <c r="V253" i="2"/>
  <c r="S253" i="2"/>
  <c r="R253" i="2"/>
  <c r="Q253" i="2"/>
  <c r="N253" i="2"/>
  <c r="AD253" i="2"/>
  <c r="M253" i="2"/>
  <c r="L253" i="2"/>
  <c r="Z253" i="2"/>
  <c r="Y253" i="2"/>
  <c r="K253" i="2"/>
  <c r="J253" i="2"/>
  <c r="O253" i="2"/>
  <c r="Q240" i="2"/>
  <c r="S240" i="2"/>
  <c r="U94" i="2"/>
  <c r="I94" i="2"/>
  <c r="T94" i="2"/>
  <c r="S94" i="2"/>
  <c r="O94" i="2"/>
  <c r="Z94" i="2"/>
  <c r="N94" i="2"/>
  <c r="X94" i="2"/>
  <c r="W94" i="2"/>
  <c r="V94" i="2"/>
  <c r="R94" i="2"/>
  <c r="Q94" i="2"/>
  <c r="P94" i="2"/>
  <c r="L94" i="2"/>
  <c r="K94" i="2"/>
  <c r="AD94" i="2"/>
  <c r="J94" i="2"/>
  <c r="Y94" i="2"/>
  <c r="M94" i="2"/>
  <c r="Y359" i="2"/>
  <c r="X359" i="2"/>
  <c r="T359" i="2"/>
  <c r="AD359" i="2"/>
  <c r="Z359" i="2"/>
  <c r="W359" i="2"/>
  <c r="V359" i="2"/>
  <c r="U359" i="2"/>
  <c r="AG330" i="2"/>
  <c r="L330" i="2" s="1"/>
  <c r="V272" i="2"/>
  <c r="U272" i="2"/>
  <c r="AD272" i="2"/>
  <c r="Z272" i="2"/>
  <c r="Y272" i="2"/>
  <c r="W272" i="2"/>
  <c r="T272" i="2"/>
  <c r="X272" i="2"/>
  <c r="Q325" i="2"/>
  <c r="U271" i="2"/>
  <c r="AG359" i="2"/>
  <c r="J359" i="2" s="1"/>
  <c r="AG257" i="2"/>
  <c r="AG107" i="2"/>
  <c r="M323" i="2"/>
  <c r="Q323" i="2"/>
  <c r="N323" i="2"/>
  <c r="I323" i="2"/>
  <c r="P323" i="2"/>
  <c r="O323" i="2"/>
  <c r="S332" i="2"/>
  <c r="O332" i="2"/>
  <c r="X332" i="2"/>
  <c r="L332" i="2"/>
  <c r="AD332" i="2"/>
  <c r="M332" i="2"/>
  <c r="K332" i="2"/>
  <c r="Y332" i="2"/>
  <c r="I332" i="2"/>
  <c r="W332" i="2"/>
  <c r="V332" i="2"/>
  <c r="U332" i="2"/>
  <c r="R332" i="2"/>
  <c r="J332" i="2"/>
  <c r="Z332" i="2"/>
  <c r="T332" i="2"/>
  <c r="P332" i="2"/>
  <c r="Q332" i="2"/>
  <c r="N332" i="2"/>
  <c r="T319" i="2"/>
  <c r="R286" i="2"/>
  <c r="X296" i="2"/>
  <c r="L296" i="2"/>
  <c r="W296" i="2"/>
  <c r="K296" i="2"/>
  <c r="V296" i="2"/>
  <c r="J296" i="2"/>
  <c r="M296" i="2"/>
  <c r="I296" i="2"/>
  <c r="Z296" i="2"/>
  <c r="Y296" i="2"/>
  <c r="R296" i="2"/>
  <c r="Q296" i="2"/>
  <c r="AD296" i="2"/>
  <c r="U296" i="2"/>
  <c r="S296" i="2"/>
  <c r="P296" i="2"/>
  <c r="O296" i="2"/>
  <c r="T296" i="2"/>
  <c r="N296" i="2"/>
  <c r="O308" i="2"/>
  <c r="J306" i="2"/>
  <c r="L286" i="2"/>
  <c r="Y261" i="2"/>
  <c r="X261" i="2"/>
  <c r="T261" i="2"/>
  <c r="AD261" i="2"/>
  <c r="Z261" i="2"/>
  <c r="V261" i="2"/>
  <c r="U261" i="2"/>
  <c r="W261" i="2"/>
  <c r="N281" i="2"/>
  <c r="AG271" i="2"/>
  <c r="AG252" i="2"/>
  <c r="M252" i="2" s="1"/>
  <c r="AG247" i="2"/>
  <c r="L247" i="2" s="1"/>
  <c r="R325" i="2"/>
  <c r="K325" i="2"/>
  <c r="P227" i="2"/>
  <c r="W278" i="2"/>
  <c r="Y243" i="2"/>
  <c r="M243" i="2"/>
  <c r="T243" i="2"/>
  <c r="W243" i="2"/>
  <c r="I243" i="2"/>
  <c r="V243" i="2"/>
  <c r="U243" i="2"/>
  <c r="S243" i="2"/>
  <c r="R243" i="2"/>
  <c r="Q243" i="2"/>
  <c r="AD243" i="2"/>
  <c r="O243" i="2"/>
  <c r="N243" i="2"/>
  <c r="L243" i="2"/>
  <c r="Z243" i="2"/>
  <c r="X243" i="2"/>
  <c r="P243" i="2"/>
  <c r="K243" i="2"/>
  <c r="J243" i="2"/>
  <c r="U208" i="2"/>
  <c r="T208" i="2"/>
  <c r="V208" i="2"/>
  <c r="AD208" i="2"/>
  <c r="Z208" i="2"/>
  <c r="Y208" i="2"/>
  <c r="W208" i="2"/>
  <c r="X208" i="2"/>
  <c r="AD248" i="2"/>
  <c r="Q248" i="2"/>
  <c r="X248" i="2"/>
  <c r="L248" i="2"/>
  <c r="M248" i="2"/>
  <c r="Z248" i="2"/>
  <c r="K248" i="2"/>
  <c r="Y248" i="2"/>
  <c r="J248" i="2"/>
  <c r="W248" i="2"/>
  <c r="I248" i="2"/>
  <c r="V248" i="2"/>
  <c r="U248" i="2"/>
  <c r="S248" i="2"/>
  <c r="R248" i="2"/>
  <c r="P248" i="2"/>
  <c r="T248" i="2"/>
  <c r="O248" i="2"/>
  <c r="N248" i="2"/>
  <c r="W229" i="2"/>
  <c r="K229" i="2"/>
  <c r="U229" i="2"/>
  <c r="I229" i="2"/>
  <c r="T229" i="2"/>
  <c r="P229" i="2"/>
  <c r="S229" i="2"/>
  <c r="R229" i="2"/>
  <c r="Q229" i="2"/>
  <c r="O229" i="2"/>
  <c r="N229" i="2"/>
  <c r="M229" i="2"/>
  <c r="J229" i="2"/>
  <c r="Z229" i="2"/>
  <c r="Y229" i="2"/>
  <c r="AD229" i="2"/>
  <c r="X229" i="2"/>
  <c r="L229" i="2"/>
  <c r="V229" i="2"/>
  <c r="AD254" i="2"/>
  <c r="Q254" i="2"/>
  <c r="P254" i="2"/>
  <c r="X254" i="2"/>
  <c r="L254" i="2"/>
  <c r="K254" i="2"/>
  <c r="Z254" i="2"/>
  <c r="J254" i="2"/>
  <c r="Y254" i="2"/>
  <c r="I254" i="2"/>
  <c r="W254" i="2"/>
  <c r="V254" i="2"/>
  <c r="U254" i="2"/>
  <c r="S254" i="2"/>
  <c r="R254" i="2"/>
  <c r="O254" i="2"/>
  <c r="T254" i="2"/>
  <c r="N254" i="2"/>
  <c r="M254" i="2"/>
  <c r="Y245" i="2"/>
  <c r="U212" i="2"/>
  <c r="P182" i="2"/>
  <c r="N182" i="2"/>
  <c r="P206" i="2"/>
  <c r="W152" i="2"/>
  <c r="T152" i="2"/>
  <c r="AD152" i="2"/>
  <c r="Z152" i="2"/>
  <c r="Y152" i="2"/>
  <c r="V152" i="2"/>
  <c r="U152" i="2"/>
  <c r="X152" i="2"/>
  <c r="L185" i="2"/>
  <c r="T218" i="2"/>
  <c r="K199" i="2"/>
  <c r="AG169" i="2"/>
  <c r="L169" i="2" s="1"/>
  <c r="I185" i="2"/>
  <c r="AG116" i="2"/>
  <c r="O116" i="2" s="1"/>
  <c r="M184" i="2"/>
  <c r="U184" i="2"/>
  <c r="X154" i="2"/>
  <c r="Z133" i="2"/>
  <c r="Y133" i="2"/>
  <c r="X133" i="2"/>
  <c r="W133" i="2"/>
  <c r="V133" i="2"/>
  <c r="T133" i="2"/>
  <c r="AD133" i="2"/>
  <c r="U133" i="2"/>
  <c r="Y89" i="2"/>
  <c r="T89" i="2"/>
  <c r="O137" i="2"/>
  <c r="N207" i="2"/>
  <c r="P207" i="2"/>
  <c r="AG88" i="2"/>
  <c r="R88" i="2" s="1"/>
  <c r="W92" i="2"/>
  <c r="U80" i="2"/>
  <c r="U83" i="2"/>
  <c r="AG14" i="2"/>
  <c r="O14" i="2" s="1"/>
  <c r="T33" i="2"/>
  <c r="X33" i="2"/>
  <c r="Z33" i="2"/>
  <c r="AD33" i="2"/>
  <c r="Y33" i="2"/>
  <c r="W33" i="2"/>
  <c r="V33" i="2"/>
  <c r="U33" i="2"/>
  <c r="J69" i="2"/>
  <c r="U10" i="2"/>
  <c r="T10" i="2"/>
  <c r="P28" i="2"/>
  <c r="O28" i="2"/>
  <c r="T28" i="2"/>
  <c r="X28" i="2"/>
  <c r="I28" i="2"/>
  <c r="Q28" i="2"/>
  <c r="W28" i="2"/>
  <c r="V28" i="2"/>
  <c r="U28" i="2"/>
  <c r="S28" i="2"/>
  <c r="J28" i="2"/>
  <c r="R28" i="2"/>
  <c r="Y28" i="2"/>
  <c r="N28" i="2"/>
  <c r="M28" i="2"/>
  <c r="AD28" i="2"/>
  <c r="L28" i="2"/>
  <c r="Z28" i="2"/>
  <c r="K28" i="2"/>
  <c r="AD18" i="2"/>
  <c r="X18" i="2"/>
  <c r="Z18" i="2"/>
  <c r="Y18" i="2"/>
  <c r="W18" i="2"/>
  <c r="V18" i="2"/>
  <c r="U18" i="2"/>
  <c r="T18" i="2"/>
  <c r="R29" i="2"/>
  <c r="P29" i="2"/>
  <c r="I86" i="2"/>
  <c r="K86" i="2"/>
  <c r="AG302" i="2"/>
  <c r="AG321" i="2"/>
  <c r="AG283" i="2"/>
  <c r="AG171" i="2"/>
  <c r="AG78" i="2"/>
  <c r="L78" i="2" s="1"/>
  <c r="AG12" i="2"/>
  <c r="T352" i="2"/>
  <c r="AD352" i="2"/>
  <c r="Q352" i="2"/>
  <c r="P352" i="2"/>
  <c r="X352" i="2"/>
  <c r="L352" i="2"/>
  <c r="J352" i="2"/>
  <c r="Z352" i="2"/>
  <c r="I352" i="2"/>
  <c r="Y352" i="2"/>
  <c r="W352" i="2"/>
  <c r="V352" i="2"/>
  <c r="U352" i="2"/>
  <c r="S352" i="2"/>
  <c r="R352" i="2"/>
  <c r="N352" i="2"/>
  <c r="K352" i="2"/>
  <c r="O352" i="2"/>
  <c r="M352" i="2"/>
  <c r="T340" i="2"/>
  <c r="AD340" i="2"/>
  <c r="Q340" i="2"/>
  <c r="M340" i="2"/>
  <c r="Z340" i="2"/>
  <c r="L340" i="2"/>
  <c r="W340" i="2"/>
  <c r="I340" i="2"/>
  <c r="V340" i="2"/>
  <c r="U340" i="2"/>
  <c r="R340" i="2"/>
  <c r="Y340" i="2"/>
  <c r="X340" i="2"/>
  <c r="S340" i="2"/>
  <c r="P340" i="2"/>
  <c r="N340" i="2"/>
  <c r="O340" i="2"/>
  <c r="K340" i="2"/>
  <c r="J340" i="2"/>
  <c r="U190" i="2"/>
  <c r="W190" i="2"/>
  <c r="V190" i="2"/>
  <c r="T190" i="2"/>
  <c r="AD190" i="2"/>
  <c r="Z190" i="2"/>
  <c r="Y190" i="2"/>
  <c r="X190" i="2"/>
  <c r="N190" i="2"/>
  <c r="L190" i="2"/>
  <c r="V8" i="2"/>
  <c r="J8" i="2"/>
  <c r="U8" i="2"/>
  <c r="I8" i="2"/>
  <c r="T8" i="2"/>
  <c r="S8" i="2"/>
  <c r="R8" i="2"/>
  <c r="K8" i="2"/>
  <c r="AD8" i="2"/>
  <c r="Q8" i="2"/>
  <c r="P8" i="2"/>
  <c r="W8" i="2"/>
  <c r="O8" i="2"/>
  <c r="Z8" i="2"/>
  <c r="N8" i="2"/>
  <c r="Y8" i="2"/>
  <c r="C4" i="2"/>
  <c r="X8" i="2"/>
  <c r="L8" i="2"/>
  <c r="M8" i="2"/>
  <c r="X342" i="2"/>
  <c r="U342" i="2"/>
  <c r="T342" i="2"/>
  <c r="AD342" i="2"/>
  <c r="Y342" i="2"/>
  <c r="Z342" i="2"/>
  <c r="W342" i="2"/>
  <c r="V342" i="2"/>
  <c r="L308" i="2"/>
  <c r="AD191" i="2"/>
  <c r="Q191" i="2"/>
  <c r="U191" i="2"/>
  <c r="T191" i="2"/>
  <c r="S191" i="2"/>
  <c r="P191" i="2"/>
  <c r="N191" i="2"/>
  <c r="R191" i="2"/>
  <c r="O191" i="2"/>
  <c r="M191" i="2"/>
  <c r="L191" i="2"/>
  <c r="K191" i="2"/>
  <c r="J191" i="2"/>
  <c r="Z191" i="2"/>
  <c r="Y191" i="2"/>
  <c r="X191" i="2"/>
  <c r="W191" i="2"/>
  <c r="V191" i="2"/>
  <c r="I191" i="2"/>
  <c r="X357" i="2"/>
  <c r="U357" i="2"/>
  <c r="T357" i="2"/>
  <c r="AD357" i="2"/>
  <c r="Z357" i="2"/>
  <c r="Y357" i="2"/>
  <c r="W357" i="2"/>
  <c r="V357" i="2"/>
  <c r="AG342" i="2"/>
  <c r="P342" i="2" s="1"/>
  <c r="AG363" i="2"/>
  <c r="S323" i="2"/>
  <c r="O372" i="2"/>
  <c r="Z372" i="2"/>
  <c r="N372" i="2"/>
  <c r="Y372" i="2"/>
  <c r="M372" i="2"/>
  <c r="X372" i="2"/>
  <c r="L372" i="2"/>
  <c r="W372" i="2"/>
  <c r="K372" i="2"/>
  <c r="V372" i="2"/>
  <c r="J372" i="2"/>
  <c r="U372" i="2"/>
  <c r="I372" i="2"/>
  <c r="T372" i="2"/>
  <c r="R372" i="2"/>
  <c r="P372" i="2"/>
  <c r="AD372" i="2"/>
  <c r="Q372" i="2"/>
  <c r="S372" i="2"/>
  <c r="AG357" i="2"/>
  <c r="I357" i="2" s="1"/>
  <c r="AG115" i="2"/>
  <c r="AG153" i="2"/>
  <c r="P356" i="2"/>
  <c r="Y356" i="2"/>
  <c r="M356" i="2"/>
  <c r="X356" i="2"/>
  <c r="L356" i="2"/>
  <c r="T356" i="2"/>
  <c r="W356" i="2"/>
  <c r="V356" i="2"/>
  <c r="U356" i="2"/>
  <c r="S356" i="2"/>
  <c r="R356" i="2"/>
  <c r="Q356" i="2"/>
  <c r="O356" i="2"/>
  <c r="N356" i="2"/>
  <c r="AD356" i="2"/>
  <c r="J356" i="2"/>
  <c r="Z356" i="2"/>
  <c r="K356" i="2"/>
  <c r="I356" i="2"/>
  <c r="V323" i="2"/>
  <c r="W323" i="2"/>
  <c r="Y344" i="2"/>
  <c r="X344" i="2"/>
  <c r="T344" i="2"/>
  <c r="AD344" i="2"/>
  <c r="Z344" i="2"/>
  <c r="V344" i="2"/>
  <c r="W344" i="2"/>
  <c r="U344" i="2"/>
  <c r="X326" i="2"/>
  <c r="Z326" i="2"/>
  <c r="Y326" i="2"/>
  <c r="U326" i="2"/>
  <c r="T326" i="2"/>
  <c r="AD326" i="2"/>
  <c r="W326" i="2"/>
  <c r="V326" i="2"/>
  <c r="S286" i="2"/>
  <c r="U268" i="2"/>
  <c r="I268" i="2"/>
  <c r="T268" i="2"/>
  <c r="S268" i="2"/>
  <c r="R268" i="2"/>
  <c r="P268" i="2"/>
  <c r="O268" i="2"/>
  <c r="Z268" i="2"/>
  <c r="N268" i="2"/>
  <c r="J268" i="2"/>
  <c r="AD268" i="2"/>
  <c r="Y268" i="2"/>
  <c r="X268" i="2"/>
  <c r="V268" i="2"/>
  <c r="Q268" i="2"/>
  <c r="M268" i="2"/>
  <c r="W268" i="2"/>
  <c r="K268" i="2"/>
  <c r="L268" i="2"/>
  <c r="N322" i="2"/>
  <c r="P308" i="2"/>
  <c r="N308" i="2"/>
  <c r="Y267" i="2"/>
  <c r="M267" i="2"/>
  <c r="X267" i="2"/>
  <c r="L267" i="2"/>
  <c r="W267" i="2"/>
  <c r="K267" i="2"/>
  <c r="V267" i="2"/>
  <c r="J267" i="2"/>
  <c r="T267" i="2"/>
  <c r="S267" i="2"/>
  <c r="R267" i="2"/>
  <c r="O267" i="2"/>
  <c r="N267" i="2"/>
  <c r="I267" i="2"/>
  <c r="AD267" i="2"/>
  <c r="Z267" i="2"/>
  <c r="U267" i="2"/>
  <c r="Q267" i="2"/>
  <c r="P267" i="2"/>
  <c r="W306" i="2"/>
  <c r="Z280" i="2"/>
  <c r="N280" i="2"/>
  <c r="Y280" i="2"/>
  <c r="M280" i="2"/>
  <c r="S280" i="2"/>
  <c r="R280" i="2"/>
  <c r="Q280" i="2"/>
  <c r="P280" i="2"/>
  <c r="AD280" i="2"/>
  <c r="O280" i="2"/>
  <c r="L280" i="2"/>
  <c r="X280" i="2"/>
  <c r="J280" i="2"/>
  <c r="W280" i="2"/>
  <c r="I280" i="2"/>
  <c r="V280" i="2"/>
  <c r="U280" i="2"/>
  <c r="T280" i="2"/>
  <c r="K280" i="2"/>
  <c r="AG261" i="2"/>
  <c r="S261" i="2" s="1"/>
  <c r="O234" i="2"/>
  <c r="Z234" i="2"/>
  <c r="N234" i="2"/>
  <c r="Y234" i="2"/>
  <c r="M234" i="2"/>
  <c r="X234" i="2"/>
  <c r="L234" i="2"/>
  <c r="W234" i="2"/>
  <c r="K234" i="2"/>
  <c r="T234" i="2"/>
  <c r="R234" i="2"/>
  <c r="J234" i="2"/>
  <c r="I234" i="2"/>
  <c r="AD234" i="2"/>
  <c r="V234" i="2"/>
  <c r="U234" i="2"/>
  <c r="S234" i="2"/>
  <c r="Q234" i="2"/>
  <c r="P234" i="2"/>
  <c r="V325" i="2"/>
  <c r="W325" i="2"/>
  <c r="K269" i="2"/>
  <c r="X278" i="2"/>
  <c r="U278" i="2"/>
  <c r="J240" i="2"/>
  <c r="U205" i="2"/>
  <c r="I205" i="2"/>
  <c r="T205" i="2"/>
  <c r="Q205" i="2"/>
  <c r="P205" i="2"/>
  <c r="AD205" i="2"/>
  <c r="O205" i="2"/>
  <c r="N205" i="2"/>
  <c r="M205" i="2"/>
  <c r="Y205" i="2"/>
  <c r="K205" i="2"/>
  <c r="X205" i="2"/>
  <c r="J205" i="2"/>
  <c r="W205" i="2"/>
  <c r="Z205" i="2"/>
  <c r="V205" i="2"/>
  <c r="S205" i="2"/>
  <c r="R205" i="2"/>
  <c r="L205" i="2"/>
  <c r="AG208" i="2"/>
  <c r="K208" i="2" s="1"/>
  <c r="R240" i="2"/>
  <c r="J233" i="2"/>
  <c r="U223" i="2"/>
  <c r="T223" i="2"/>
  <c r="X223" i="2"/>
  <c r="W223" i="2"/>
  <c r="V223" i="2"/>
  <c r="AD223" i="2"/>
  <c r="Z223" i="2"/>
  <c r="Y223" i="2"/>
  <c r="N245" i="2"/>
  <c r="L245" i="2"/>
  <c r="W232" i="2"/>
  <c r="U232" i="2"/>
  <c r="T232" i="2"/>
  <c r="Z232" i="2"/>
  <c r="Y232" i="2"/>
  <c r="X232" i="2"/>
  <c r="V232" i="2"/>
  <c r="AD232" i="2"/>
  <c r="W271" i="2"/>
  <c r="V212" i="2"/>
  <c r="AD209" i="2"/>
  <c r="Q209" i="2"/>
  <c r="P209" i="2"/>
  <c r="V209" i="2"/>
  <c r="U209" i="2"/>
  <c r="T209" i="2"/>
  <c r="S209" i="2"/>
  <c r="R209" i="2"/>
  <c r="O209" i="2"/>
  <c r="M209" i="2"/>
  <c r="Z209" i="2"/>
  <c r="L209" i="2"/>
  <c r="Y209" i="2"/>
  <c r="K209" i="2"/>
  <c r="X209" i="2"/>
  <c r="W209" i="2"/>
  <c r="N209" i="2"/>
  <c r="J209" i="2"/>
  <c r="I209" i="2"/>
  <c r="L189" i="2"/>
  <c r="J206" i="2"/>
  <c r="X182" i="2"/>
  <c r="AD224" i="2"/>
  <c r="Q224" i="2"/>
  <c r="P224" i="2"/>
  <c r="X224" i="2"/>
  <c r="L224" i="2"/>
  <c r="K224" i="2"/>
  <c r="Z224" i="2"/>
  <c r="J224" i="2"/>
  <c r="Y224" i="2"/>
  <c r="I224" i="2"/>
  <c r="W224" i="2"/>
  <c r="V224" i="2"/>
  <c r="U224" i="2"/>
  <c r="S224" i="2"/>
  <c r="R224" i="2"/>
  <c r="O224" i="2"/>
  <c r="M224" i="2"/>
  <c r="N224" i="2"/>
  <c r="T224" i="2"/>
  <c r="AG152" i="2"/>
  <c r="M152" i="2" s="1"/>
  <c r="U218" i="2"/>
  <c r="V125" i="2"/>
  <c r="J125" i="2"/>
  <c r="U125" i="2"/>
  <c r="I125" i="2"/>
  <c r="T125" i="2"/>
  <c r="R125" i="2"/>
  <c r="P125" i="2"/>
  <c r="O125" i="2"/>
  <c r="Y125" i="2"/>
  <c r="X125" i="2"/>
  <c r="W125" i="2"/>
  <c r="S125" i="2"/>
  <c r="Q125" i="2"/>
  <c r="L125" i="2"/>
  <c r="K125" i="2"/>
  <c r="AD125" i="2"/>
  <c r="Z125" i="2"/>
  <c r="N125" i="2"/>
  <c r="M125" i="2"/>
  <c r="N173" i="2"/>
  <c r="Z139" i="2"/>
  <c r="N139" i="2"/>
  <c r="Y139" i="2"/>
  <c r="M139" i="2"/>
  <c r="X139" i="2"/>
  <c r="L139" i="2"/>
  <c r="W139" i="2"/>
  <c r="K139" i="2"/>
  <c r="V139" i="2"/>
  <c r="J139" i="2"/>
  <c r="T139" i="2"/>
  <c r="S139" i="2"/>
  <c r="R139" i="2"/>
  <c r="AD139" i="2"/>
  <c r="U139" i="2"/>
  <c r="Q139" i="2"/>
  <c r="I139" i="2"/>
  <c r="P139" i="2"/>
  <c r="O139" i="2"/>
  <c r="X156" i="2"/>
  <c r="V119" i="2"/>
  <c r="U119" i="2"/>
  <c r="T119" i="2"/>
  <c r="AD119" i="2"/>
  <c r="Z119" i="2"/>
  <c r="W119" i="2"/>
  <c r="X119" i="2"/>
  <c r="Y119" i="2"/>
  <c r="W154" i="2"/>
  <c r="AG133" i="2"/>
  <c r="M133" i="2" s="1"/>
  <c r="N89" i="2"/>
  <c r="M89" i="2"/>
  <c r="U76" i="2"/>
  <c r="T76" i="2"/>
  <c r="AD76" i="2"/>
  <c r="X76" i="2"/>
  <c r="Y76" i="2"/>
  <c r="W76" i="2"/>
  <c r="V76" i="2"/>
  <c r="Z76" i="2"/>
  <c r="AB93" i="2"/>
  <c r="Q207" i="2"/>
  <c r="AG66" i="2"/>
  <c r="X80" i="2"/>
  <c r="Y83" i="2"/>
  <c r="V14" i="2"/>
  <c r="W14" i="2"/>
  <c r="U14" i="2"/>
  <c r="T14" i="2"/>
  <c r="R14" i="2"/>
  <c r="AD14" i="2"/>
  <c r="Q14" i="2"/>
  <c r="Z14" i="2"/>
  <c r="Y14" i="2"/>
  <c r="X14" i="2"/>
  <c r="AG33" i="2"/>
  <c r="N33" i="2" s="1"/>
  <c r="AB10" i="2"/>
  <c r="L86" i="2"/>
  <c r="T291" i="2"/>
  <c r="X291" i="2"/>
  <c r="K291" i="2"/>
  <c r="W291" i="2"/>
  <c r="J291" i="2"/>
  <c r="V291" i="2"/>
  <c r="I291" i="2"/>
  <c r="U291" i="2"/>
  <c r="O291" i="2"/>
  <c r="L291" i="2"/>
  <c r="AD291" i="2"/>
  <c r="Z291" i="2"/>
  <c r="Y291" i="2"/>
  <c r="R291" i="2"/>
  <c r="Q291" i="2"/>
  <c r="P291" i="2"/>
  <c r="S291" i="2"/>
  <c r="M291" i="2"/>
  <c r="N291" i="2"/>
  <c r="K227" i="2"/>
  <c r="O227" i="2"/>
  <c r="J227" i="2"/>
  <c r="I227" i="2"/>
  <c r="T361" i="2"/>
  <c r="AD361" i="2"/>
  <c r="Q361" i="2"/>
  <c r="P361" i="2"/>
  <c r="X361" i="2"/>
  <c r="L361" i="2"/>
  <c r="J361" i="2"/>
  <c r="Z361" i="2"/>
  <c r="I361" i="2"/>
  <c r="Y361" i="2"/>
  <c r="W361" i="2"/>
  <c r="V361" i="2"/>
  <c r="U361" i="2"/>
  <c r="S361" i="2"/>
  <c r="R361" i="2"/>
  <c r="N361" i="2"/>
  <c r="O361" i="2"/>
  <c r="M361" i="2"/>
  <c r="K361" i="2"/>
  <c r="O307" i="2"/>
  <c r="U307" i="2"/>
  <c r="I307" i="2"/>
  <c r="M307" i="2"/>
  <c r="Y307" i="2"/>
  <c r="K307" i="2"/>
  <c r="X307" i="2"/>
  <c r="J307" i="2"/>
  <c r="W307" i="2"/>
  <c r="S307" i="2"/>
  <c r="R307" i="2"/>
  <c r="AD307" i="2"/>
  <c r="Z307" i="2"/>
  <c r="V307" i="2"/>
  <c r="T307" i="2"/>
  <c r="P307" i="2"/>
  <c r="N307" i="2"/>
  <c r="L307" i="2"/>
  <c r="Q307" i="2"/>
  <c r="P350" i="2"/>
  <c r="Y350" i="2"/>
  <c r="M350" i="2"/>
  <c r="X350" i="2"/>
  <c r="L350" i="2"/>
  <c r="T350" i="2"/>
  <c r="K350" i="2"/>
  <c r="AD350" i="2"/>
  <c r="J350" i="2"/>
  <c r="I350" i="2"/>
  <c r="V350" i="2"/>
  <c r="U350" i="2"/>
  <c r="S350" i="2"/>
  <c r="Q350" i="2"/>
  <c r="Z350" i="2"/>
  <c r="W350" i="2"/>
  <c r="R350" i="2"/>
  <c r="O350" i="2"/>
  <c r="N350" i="2"/>
  <c r="AG176" i="2"/>
  <c r="AG157" i="2"/>
  <c r="AG102" i="2"/>
  <c r="P341" i="2"/>
  <c r="Y341" i="2"/>
  <c r="M341" i="2"/>
  <c r="AD341" i="2"/>
  <c r="N341" i="2"/>
  <c r="L341" i="2"/>
  <c r="W341" i="2"/>
  <c r="I341" i="2"/>
  <c r="V341" i="2"/>
  <c r="U341" i="2"/>
  <c r="S341" i="2"/>
  <c r="X341" i="2"/>
  <c r="T341" i="2"/>
  <c r="R341" i="2"/>
  <c r="Q341" i="2"/>
  <c r="K341" i="2"/>
  <c r="O341" i="2"/>
  <c r="J341" i="2"/>
  <c r="Z341" i="2"/>
  <c r="X354" i="2"/>
  <c r="U354" i="2"/>
  <c r="T354" i="2"/>
  <c r="Z354" i="2"/>
  <c r="Y354" i="2"/>
  <c r="W354" i="2"/>
  <c r="V354" i="2"/>
  <c r="AD354" i="2"/>
  <c r="O333" i="2"/>
  <c r="W333" i="2"/>
  <c r="K333" i="2"/>
  <c r="T333" i="2"/>
  <c r="P333" i="2"/>
  <c r="N333" i="2"/>
  <c r="L333" i="2"/>
  <c r="Z333" i="2"/>
  <c r="J333" i="2"/>
  <c r="Y333" i="2"/>
  <c r="I333" i="2"/>
  <c r="X333" i="2"/>
  <c r="U333" i="2"/>
  <c r="Q333" i="2"/>
  <c r="M333" i="2"/>
  <c r="AD333" i="2"/>
  <c r="S333" i="2"/>
  <c r="V333" i="2"/>
  <c r="R333" i="2"/>
  <c r="X314" i="2"/>
  <c r="U314" i="2"/>
  <c r="T314" i="2"/>
  <c r="V303" i="2"/>
  <c r="J303" i="2"/>
  <c r="T303" i="2"/>
  <c r="S303" i="2"/>
  <c r="R303" i="2"/>
  <c r="O303" i="2"/>
  <c r="Z303" i="2"/>
  <c r="N303" i="2"/>
  <c r="Y303" i="2"/>
  <c r="X303" i="2"/>
  <c r="W303" i="2"/>
  <c r="Q303" i="2"/>
  <c r="M303" i="2"/>
  <c r="L303" i="2"/>
  <c r="P303" i="2"/>
  <c r="K303" i="2"/>
  <c r="I303" i="2"/>
  <c r="AD303" i="2"/>
  <c r="U303" i="2"/>
  <c r="AG344" i="2"/>
  <c r="Q344" i="2" s="1"/>
  <c r="T343" i="2"/>
  <c r="AD343" i="2"/>
  <c r="Q343" i="2"/>
  <c r="P343" i="2"/>
  <c r="X343" i="2"/>
  <c r="L343" i="2"/>
  <c r="J343" i="2"/>
  <c r="Z343" i="2"/>
  <c r="I343" i="2"/>
  <c r="Y343" i="2"/>
  <c r="U343" i="2"/>
  <c r="S343" i="2"/>
  <c r="R343" i="2"/>
  <c r="N343" i="2"/>
  <c r="M343" i="2"/>
  <c r="K343" i="2"/>
  <c r="W343" i="2"/>
  <c r="O343" i="2"/>
  <c r="V343" i="2"/>
  <c r="O310" i="2"/>
  <c r="U310" i="2"/>
  <c r="I310" i="2"/>
  <c r="M310" i="2"/>
  <c r="Y310" i="2"/>
  <c r="K310" i="2"/>
  <c r="X310" i="2"/>
  <c r="J310" i="2"/>
  <c r="W310" i="2"/>
  <c r="V310" i="2"/>
  <c r="S310" i="2"/>
  <c r="R310" i="2"/>
  <c r="AD310" i="2"/>
  <c r="T310" i="2"/>
  <c r="Q310" i="2"/>
  <c r="Z310" i="2"/>
  <c r="P310" i="2"/>
  <c r="L310" i="2"/>
  <c r="N310" i="2"/>
  <c r="W311" i="2"/>
  <c r="K311" i="2"/>
  <c r="AD311" i="2"/>
  <c r="Q311" i="2"/>
  <c r="N311" i="2"/>
  <c r="Z311" i="2"/>
  <c r="L311" i="2"/>
  <c r="Y311" i="2"/>
  <c r="J311" i="2"/>
  <c r="X311" i="2"/>
  <c r="I311" i="2"/>
  <c r="V311" i="2"/>
  <c r="T311" i="2"/>
  <c r="S311" i="2"/>
  <c r="O311" i="2"/>
  <c r="M311" i="2"/>
  <c r="P311" i="2"/>
  <c r="U311" i="2"/>
  <c r="R311" i="2"/>
  <c r="AG265" i="2"/>
  <c r="R265" i="2" s="1"/>
  <c r="L322" i="2"/>
  <c r="AG264" i="2"/>
  <c r="S264" i="2" s="1"/>
  <c r="K306" i="2"/>
  <c r="Y255" i="2"/>
  <c r="M255" i="2"/>
  <c r="X255" i="2"/>
  <c r="L255" i="2"/>
  <c r="T255" i="2"/>
  <c r="P255" i="2"/>
  <c r="O255" i="2"/>
  <c r="AD255" i="2"/>
  <c r="N255" i="2"/>
  <c r="K255" i="2"/>
  <c r="J255" i="2"/>
  <c r="Z255" i="2"/>
  <c r="I255" i="2"/>
  <c r="V255" i="2"/>
  <c r="U255" i="2"/>
  <c r="S255" i="2"/>
  <c r="W255" i="2"/>
  <c r="R255" i="2"/>
  <c r="Q255" i="2"/>
  <c r="O281" i="2"/>
  <c r="O231" i="2"/>
  <c r="Y231" i="2"/>
  <c r="M231" i="2"/>
  <c r="X231" i="2"/>
  <c r="L231" i="2"/>
  <c r="T231" i="2"/>
  <c r="P231" i="2"/>
  <c r="N231" i="2"/>
  <c r="K231" i="2"/>
  <c r="AD231" i="2"/>
  <c r="J231" i="2"/>
  <c r="I231" i="2"/>
  <c r="Z231" i="2"/>
  <c r="V231" i="2"/>
  <c r="U231" i="2"/>
  <c r="S231" i="2"/>
  <c r="W231" i="2"/>
  <c r="R231" i="2"/>
  <c r="Q231" i="2"/>
  <c r="Q227" i="2"/>
  <c r="P240" i="2"/>
  <c r="W235" i="2"/>
  <c r="V235" i="2"/>
  <c r="U235" i="2"/>
  <c r="T235" i="2"/>
  <c r="P235" i="2"/>
  <c r="Z235" i="2"/>
  <c r="AD235" i="2"/>
  <c r="Y235" i="2"/>
  <c r="X235" i="2"/>
  <c r="AG223" i="2"/>
  <c r="L223" i="2" s="1"/>
  <c r="AG232" i="2"/>
  <c r="I232" i="2" s="1"/>
  <c r="AG210" i="2"/>
  <c r="L210" i="2" s="1"/>
  <c r="Y167" i="2"/>
  <c r="M167" i="2"/>
  <c r="W167" i="2"/>
  <c r="K167" i="2"/>
  <c r="V167" i="2"/>
  <c r="J167" i="2"/>
  <c r="U167" i="2"/>
  <c r="I167" i="2"/>
  <c r="T167" i="2"/>
  <c r="R167" i="2"/>
  <c r="Z167" i="2"/>
  <c r="X167" i="2"/>
  <c r="S167" i="2"/>
  <c r="Q167" i="2"/>
  <c r="O167" i="2"/>
  <c r="N167" i="2"/>
  <c r="L167" i="2"/>
  <c r="AD167" i="2"/>
  <c r="P167" i="2"/>
  <c r="U178" i="2"/>
  <c r="I178" i="2"/>
  <c r="O178" i="2"/>
  <c r="Q178" i="2"/>
  <c r="P178" i="2"/>
  <c r="AD178" i="2"/>
  <c r="N178" i="2"/>
  <c r="M178" i="2"/>
  <c r="Z178" i="2"/>
  <c r="L178" i="2"/>
  <c r="Y178" i="2"/>
  <c r="K178" i="2"/>
  <c r="W178" i="2"/>
  <c r="V178" i="2"/>
  <c r="T178" i="2"/>
  <c r="X178" i="2"/>
  <c r="S178" i="2"/>
  <c r="J178" i="2"/>
  <c r="R178" i="2"/>
  <c r="Q206" i="2"/>
  <c r="K182" i="2"/>
  <c r="V219" i="2"/>
  <c r="L199" i="2"/>
  <c r="AD160" i="2"/>
  <c r="Q160" i="2"/>
  <c r="O160" i="2"/>
  <c r="Z160" i="2"/>
  <c r="Y160" i="2"/>
  <c r="M160" i="2"/>
  <c r="X160" i="2"/>
  <c r="L160" i="2"/>
  <c r="K160" i="2"/>
  <c r="J160" i="2"/>
  <c r="I160" i="2"/>
  <c r="W160" i="2"/>
  <c r="V160" i="2"/>
  <c r="T160" i="2"/>
  <c r="S160" i="2"/>
  <c r="R160" i="2"/>
  <c r="P160" i="2"/>
  <c r="N160" i="2"/>
  <c r="U160" i="2"/>
  <c r="K185" i="2"/>
  <c r="T153" i="2"/>
  <c r="AG119" i="2"/>
  <c r="L119" i="2" s="1"/>
  <c r="V106" i="2"/>
  <c r="J106" i="2"/>
  <c r="U106" i="2"/>
  <c r="I106" i="2"/>
  <c r="T106" i="2"/>
  <c r="S106" i="2"/>
  <c r="R106" i="2"/>
  <c r="O106" i="2"/>
  <c r="Z106" i="2"/>
  <c r="N106" i="2"/>
  <c r="AD106" i="2"/>
  <c r="Y106" i="2"/>
  <c r="X106" i="2"/>
  <c r="Q106" i="2"/>
  <c r="P106" i="2"/>
  <c r="M106" i="2"/>
  <c r="L106" i="2"/>
  <c r="W106" i="2"/>
  <c r="K106" i="2"/>
  <c r="Z127" i="2"/>
  <c r="N127" i="2"/>
  <c r="Y127" i="2"/>
  <c r="M127" i="2"/>
  <c r="X127" i="2"/>
  <c r="L127" i="2"/>
  <c r="W127" i="2"/>
  <c r="K127" i="2"/>
  <c r="V127" i="2"/>
  <c r="J127" i="2"/>
  <c r="T127" i="2"/>
  <c r="S127" i="2"/>
  <c r="O127" i="2"/>
  <c r="I127" i="2"/>
  <c r="U127" i="2"/>
  <c r="R127" i="2"/>
  <c r="P127" i="2"/>
  <c r="AD127" i="2"/>
  <c r="Q127" i="2"/>
  <c r="P184" i="2"/>
  <c r="U91" i="2"/>
  <c r="I91" i="2"/>
  <c r="T91" i="2"/>
  <c r="S91" i="2"/>
  <c r="O91" i="2"/>
  <c r="Z91" i="2"/>
  <c r="N91" i="2"/>
  <c r="M91" i="2"/>
  <c r="L91" i="2"/>
  <c r="K91" i="2"/>
  <c r="AD91" i="2"/>
  <c r="J91" i="2"/>
  <c r="Y91" i="2"/>
  <c r="W91" i="2"/>
  <c r="V91" i="2"/>
  <c r="Q91" i="2"/>
  <c r="P91" i="2"/>
  <c r="R91" i="2"/>
  <c r="X91" i="2"/>
  <c r="AG76" i="2"/>
  <c r="L76" i="2" s="1"/>
  <c r="P137" i="2"/>
  <c r="J89" i="2"/>
  <c r="R207" i="2"/>
  <c r="Z130" i="2"/>
  <c r="N130" i="2"/>
  <c r="Y130" i="2"/>
  <c r="M130" i="2"/>
  <c r="X130" i="2"/>
  <c r="L130" i="2"/>
  <c r="W130" i="2"/>
  <c r="K130" i="2"/>
  <c r="V130" i="2"/>
  <c r="J130" i="2"/>
  <c r="T130" i="2"/>
  <c r="S130" i="2"/>
  <c r="AD130" i="2"/>
  <c r="U130" i="2"/>
  <c r="R130" i="2"/>
  <c r="O130" i="2"/>
  <c r="I130" i="2"/>
  <c r="P130" i="2"/>
  <c r="Q130" i="2"/>
  <c r="V63" i="2"/>
  <c r="U63" i="2"/>
  <c r="U67" i="2"/>
  <c r="I67" i="2"/>
  <c r="T67" i="2"/>
  <c r="S67" i="2"/>
  <c r="O67" i="2"/>
  <c r="P67" i="2"/>
  <c r="N67" i="2"/>
  <c r="AD67" i="2"/>
  <c r="L67" i="2"/>
  <c r="X67" i="2"/>
  <c r="Z67" i="2"/>
  <c r="Y67" i="2"/>
  <c r="R67" i="2"/>
  <c r="Q67" i="2"/>
  <c r="M67" i="2"/>
  <c r="K67" i="2"/>
  <c r="W67" i="2"/>
  <c r="V67" i="2"/>
  <c r="J67" i="2"/>
  <c r="Y63" i="2"/>
  <c r="Y66" i="2"/>
  <c r="M66" i="2"/>
  <c r="X66" i="2"/>
  <c r="L66" i="2"/>
  <c r="S66" i="2"/>
  <c r="AD66" i="2"/>
  <c r="N66" i="2"/>
  <c r="K66" i="2"/>
  <c r="Z66" i="2"/>
  <c r="I66" i="2"/>
  <c r="T66" i="2"/>
  <c r="O66" i="2"/>
  <c r="J66" i="2"/>
  <c r="V66" i="2"/>
  <c r="U66" i="2"/>
  <c r="R66" i="2"/>
  <c r="Q66" i="2"/>
  <c r="P66" i="2"/>
  <c r="W66" i="2"/>
  <c r="AD74" i="2"/>
  <c r="Q74" i="2"/>
  <c r="P74" i="2"/>
  <c r="O74" i="2"/>
  <c r="W74" i="2"/>
  <c r="K74" i="2"/>
  <c r="V74" i="2"/>
  <c r="U74" i="2"/>
  <c r="S74" i="2"/>
  <c r="L74" i="2"/>
  <c r="Y74" i="2"/>
  <c r="X74" i="2"/>
  <c r="T74" i="2"/>
  <c r="R74" i="2"/>
  <c r="N74" i="2"/>
  <c r="I74" i="2"/>
  <c r="J74" i="2"/>
  <c r="M74" i="2"/>
  <c r="Z74" i="2"/>
  <c r="AG45" i="2"/>
  <c r="Y80" i="2"/>
  <c r="AG68" i="2"/>
  <c r="N68" i="2" s="1"/>
  <c r="T21" i="2"/>
  <c r="Z21" i="2"/>
  <c r="AD21" i="2"/>
  <c r="U21" i="2"/>
  <c r="Y21" i="2"/>
  <c r="X21" i="2"/>
  <c r="W21" i="2"/>
  <c r="V21" i="2"/>
  <c r="X39" i="2"/>
  <c r="V39" i="2"/>
  <c r="J39" i="2"/>
  <c r="Y39" i="2"/>
  <c r="K39" i="2"/>
  <c r="W39" i="2"/>
  <c r="I39" i="2"/>
  <c r="R39" i="2"/>
  <c r="Q39" i="2"/>
  <c r="AD39" i="2"/>
  <c r="O39" i="2"/>
  <c r="N39" i="2"/>
  <c r="M39" i="2"/>
  <c r="L39" i="2"/>
  <c r="P39" i="2"/>
  <c r="Z39" i="2"/>
  <c r="U39" i="2"/>
  <c r="T39" i="2"/>
  <c r="S39" i="2"/>
  <c r="T30" i="2"/>
  <c r="X30" i="2"/>
  <c r="Z30" i="2"/>
  <c r="AD30" i="2"/>
  <c r="Y30" i="2"/>
  <c r="W30" i="2"/>
  <c r="V30" i="2"/>
  <c r="U30" i="2"/>
  <c r="S69" i="2"/>
  <c r="T24" i="2"/>
  <c r="N24" i="2"/>
  <c r="Z24" i="2"/>
  <c r="M24" i="2"/>
  <c r="U24" i="2"/>
  <c r="Y24" i="2"/>
  <c r="L24" i="2"/>
  <c r="J24" i="2"/>
  <c r="O24" i="2"/>
  <c r="X24" i="2"/>
  <c r="K24" i="2"/>
  <c r="W24" i="2"/>
  <c r="V24" i="2"/>
  <c r="I24" i="2"/>
  <c r="S24" i="2"/>
  <c r="Q24" i="2"/>
  <c r="R24" i="2"/>
  <c r="AD24" i="2"/>
  <c r="P24" i="2"/>
  <c r="S29" i="2"/>
  <c r="N86" i="2"/>
  <c r="O86" i="2"/>
  <c r="AD263" i="2"/>
  <c r="Z263" i="2"/>
  <c r="X263" i="2"/>
  <c r="W263" i="2"/>
  <c r="V263" i="2"/>
  <c r="Y263" i="2"/>
  <c r="U263" i="2"/>
  <c r="T263" i="2"/>
  <c r="Y161" i="2"/>
  <c r="M161" i="2"/>
  <c r="W161" i="2"/>
  <c r="K161" i="2"/>
  <c r="V161" i="2"/>
  <c r="J161" i="2"/>
  <c r="U161" i="2"/>
  <c r="I161" i="2"/>
  <c r="T161" i="2"/>
  <c r="Z161" i="2"/>
  <c r="X161" i="2"/>
  <c r="S161" i="2"/>
  <c r="R161" i="2"/>
  <c r="Q161" i="2"/>
  <c r="P161" i="2"/>
  <c r="N161" i="2"/>
  <c r="L161" i="2"/>
  <c r="AD161" i="2"/>
  <c r="O161" i="2"/>
  <c r="AG272" i="2"/>
  <c r="L272" i="2" s="1"/>
  <c r="AG141" i="2"/>
  <c r="U202" i="2"/>
  <c r="I202" i="2"/>
  <c r="T202" i="2"/>
  <c r="AD202" i="2"/>
  <c r="O202" i="2"/>
  <c r="N202" i="2"/>
  <c r="M202" i="2"/>
  <c r="Y202" i="2"/>
  <c r="K202" i="2"/>
  <c r="W202" i="2"/>
  <c r="V202" i="2"/>
  <c r="S202" i="2"/>
  <c r="R202" i="2"/>
  <c r="Q202" i="2"/>
  <c r="P202" i="2"/>
  <c r="L202" i="2"/>
  <c r="J202" i="2"/>
  <c r="Z202" i="2"/>
  <c r="X202" i="2"/>
  <c r="T358" i="2"/>
  <c r="AD358" i="2"/>
  <c r="X358" i="2"/>
  <c r="V358" i="2"/>
  <c r="U358" i="2"/>
  <c r="Z358" i="2"/>
  <c r="Y358" i="2"/>
  <c r="W358" i="2"/>
  <c r="V300" i="2"/>
  <c r="J300" i="2"/>
  <c r="T300" i="2"/>
  <c r="S300" i="2"/>
  <c r="R300" i="2"/>
  <c r="O300" i="2"/>
  <c r="Q300" i="2"/>
  <c r="P300" i="2"/>
  <c r="N300" i="2"/>
  <c r="M300" i="2"/>
  <c r="Z300" i="2"/>
  <c r="Y300" i="2"/>
  <c r="K300" i="2"/>
  <c r="I300" i="2"/>
  <c r="X300" i="2"/>
  <c r="W300" i="2"/>
  <c r="AD300" i="2"/>
  <c r="U300" i="2"/>
  <c r="L300" i="2"/>
  <c r="AB312" i="2"/>
  <c r="U319" i="2"/>
  <c r="AG294" i="2"/>
  <c r="U265" i="2"/>
  <c r="T265" i="2"/>
  <c r="O265" i="2"/>
  <c r="Z265" i="2"/>
  <c r="X265" i="2"/>
  <c r="W265" i="2"/>
  <c r="V265" i="2"/>
  <c r="S265" i="2"/>
  <c r="K265" i="2"/>
  <c r="AD265" i="2"/>
  <c r="Y265" i="2"/>
  <c r="M322" i="2"/>
  <c r="O322" i="2"/>
  <c r="Q308" i="2"/>
  <c r="Y264" i="2"/>
  <c r="X264" i="2"/>
  <c r="V264" i="2"/>
  <c r="T264" i="2"/>
  <c r="AD264" i="2"/>
  <c r="Z264" i="2"/>
  <c r="W264" i="2"/>
  <c r="O264" i="2"/>
  <c r="U264" i="2"/>
  <c r="Y246" i="2"/>
  <c r="M246" i="2"/>
  <c r="T246" i="2"/>
  <c r="Z246" i="2"/>
  <c r="K246" i="2"/>
  <c r="X246" i="2"/>
  <c r="J246" i="2"/>
  <c r="W246" i="2"/>
  <c r="I246" i="2"/>
  <c r="V246" i="2"/>
  <c r="U246" i="2"/>
  <c r="S246" i="2"/>
  <c r="Q246" i="2"/>
  <c r="P246" i="2"/>
  <c r="AD246" i="2"/>
  <c r="O246" i="2"/>
  <c r="R246" i="2"/>
  <c r="N246" i="2"/>
  <c r="L246" i="2"/>
  <c r="S325" i="2"/>
  <c r="L269" i="2"/>
  <c r="Y278" i="2"/>
  <c r="N233" i="2"/>
  <c r="AG235" i="2"/>
  <c r="J235" i="2" s="1"/>
  <c r="AG250" i="2"/>
  <c r="L250" i="2" s="1"/>
  <c r="K240" i="2"/>
  <c r="R227" i="2"/>
  <c r="O245" i="2"/>
  <c r="Q245" i="2"/>
  <c r="Y249" i="2"/>
  <c r="M249" i="2"/>
  <c r="T249" i="2"/>
  <c r="N249" i="2"/>
  <c r="L249" i="2"/>
  <c r="Z249" i="2"/>
  <c r="K249" i="2"/>
  <c r="X249" i="2"/>
  <c r="J249" i="2"/>
  <c r="W249" i="2"/>
  <c r="I249" i="2"/>
  <c r="V249" i="2"/>
  <c r="S249" i="2"/>
  <c r="R249" i="2"/>
  <c r="Q249" i="2"/>
  <c r="P249" i="2"/>
  <c r="O249" i="2"/>
  <c r="AD249" i="2"/>
  <c r="U249" i="2"/>
  <c r="X271" i="2"/>
  <c r="AG216" i="2"/>
  <c r="S216" i="2" s="1"/>
  <c r="W212" i="2"/>
  <c r="X213" i="2"/>
  <c r="AG164" i="2"/>
  <c r="S164" i="2" s="1"/>
  <c r="K206" i="2"/>
  <c r="W182" i="2"/>
  <c r="AD169" i="2"/>
  <c r="Z169" i="2"/>
  <c r="Y169" i="2"/>
  <c r="X169" i="2"/>
  <c r="V169" i="2"/>
  <c r="U169" i="2"/>
  <c r="T169" i="2"/>
  <c r="W169" i="2"/>
  <c r="K169" i="2"/>
  <c r="W218" i="2"/>
  <c r="Y158" i="2"/>
  <c r="M158" i="2"/>
  <c r="W158" i="2"/>
  <c r="K158" i="2"/>
  <c r="U158" i="2"/>
  <c r="T158" i="2"/>
  <c r="Q158" i="2"/>
  <c r="P158" i="2"/>
  <c r="O158" i="2"/>
  <c r="N158" i="2"/>
  <c r="AD158" i="2"/>
  <c r="L158" i="2"/>
  <c r="J158" i="2"/>
  <c r="Z158" i="2"/>
  <c r="X158" i="2"/>
  <c r="V158" i="2"/>
  <c r="I158" i="2"/>
  <c r="R158" i="2"/>
  <c r="S158" i="2"/>
  <c r="V122" i="2"/>
  <c r="J122" i="2"/>
  <c r="U122" i="2"/>
  <c r="I122" i="2"/>
  <c r="T122" i="2"/>
  <c r="P122" i="2"/>
  <c r="O122" i="2"/>
  <c r="W122" i="2"/>
  <c r="S122" i="2"/>
  <c r="R122" i="2"/>
  <c r="Q122" i="2"/>
  <c r="N122" i="2"/>
  <c r="K122" i="2"/>
  <c r="AD122" i="2"/>
  <c r="Z122" i="2"/>
  <c r="Y122" i="2"/>
  <c r="X122" i="2"/>
  <c r="M122" i="2"/>
  <c r="L122" i="2"/>
  <c r="Z136" i="2"/>
  <c r="N136" i="2"/>
  <c r="Y136" i="2"/>
  <c r="M136" i="2"/>
  <c r="X136" i="2"/>
  <c r="L136" i="2"/>
  <c r="W136" i="2"/>
  <c r="K136" i="2"/>
  <c r="V136" i="2"/>
  <c r="J136" i="2"/>
  <c r="T136" i="2"/>
  <c r="S136" i="2"/>
  <c r="AD136" i="2"/>
  <c r="U136" i="2"/>
  <c r="P136" i="2"/>
  <c r="O136" i="2"/>
  <c r="I136" i="2"/>
  <c r="R136" i="2"/>
  <c r="Q136" i="2"/>
  <c r="P150" i="2"/>
  <c r="Q150" i="2"/>
  <c r="AD150" i="2"/>
  <c r="O150" i="2"/>
  <c r="N150" i="2"/>
  <c r="Z150" i="2"/>
  <c r="M150" i="2"/>
  <c r="Y150" i="2"/>
  <c r="L150" i="2"/>
  <c r="X150" i="2"/>
  <c r="K150" i="2"/>
  <c r="V150" i="2"/>
  <c r="I150" i="2"/>
  <c r="U150" i="2"/>
  <c r="T150" i="2"/>
  <c r="W150" i="2"/>
  <c r="S150" i="2"/>
  <c r="R150" i="2"/>
  <c r="J150" i="2"/>
  <c r="U153" i="2"/>
  <c r="V103" i="2"/>
  <c r="U103" i="2"/>
  <c r="T103" i="2"/>
  <c r="Z103" i="2"/>
  <c r="Y103" i="2"/>
  <c r="X103" i="2"/>
  <c r="W103" i="2"/>
  <c r="AD103" i="2"/>
  <c r="Z118" i="2"/>
  <c r="N118" i="2"/>
  <c r="Y118" i="2"/>
  <c r="M118" i="2"/>
  <c r="X118" i="2"/>
  <c r="L118" i="2"/>
  <c r="T118" i="2"/>
  <c r="W118" i="2"/>
  <c r="V118" i="2"/>
  <c r="U118" i="2"/>
  <c r="S118" i="2"/>
  <c r="R118" i="2"/>
  <c r="O118" i="2"/>
  <c r="K118" i="2"/>
  <c r="AD118" i="2"/>
  <c r="Q118" i="2"/>
  <c r="J118" i="2"/>
  <c r="I118" i="2"/>
  <c r="P118" i="2"/>
  <c r="Q184" i="2"/>
  <c r="Y154" i="2"/>
  <c r="V89" i="2"/>
  <c r="S207" i="2"/>
  <c r="AC102" i="2"/>
  <c r="T52" i="2"/>
  <c r="AD52" i="2"/>
  <c r="P52" i="2"/>
  <c r="Y52" i="2"/>
  <c r="L52" i="2"/>
  <c r="O52" i="2"/>
  <c r="M52" i="2"/>
  <c r="K52" i="2"/>
  <c r="Z52" i="2"/>
  <c r="J52" i="2"/>
  <c r="V52" i="2"/>
  <c r="U52" i="2"/>
  <c r="S52" i="2"/>
  <c r="R52" i="2"/>
  <c r="Q52" i="2"/>
  <c r="N52" i="2"/>
  <c r="I52" i="2"/>
  <c r="W52" i="2"/>
  <c r="X52" i="2"/>
  <c r="AG60" i="2"/>
  <c r="U55" i="2"/>
  <c r="T55" i="2"/>
  <c r="N55" i="2"/>
  <c r="M55" i="2"/>
  <c r="Y55" i="2"/>
  <c r="K55" i="2"/>
  <c r="S55" i="2"/>
  <c r="O55" i="2"/>
  <c r="L55" i="2"/>
  <c r="J55" i="2"/>
  <c r="I55" i="2"/>
  <c r="AD55" i="2"/>
  <c r="W55" i="2"/>
  <c r="V55" i="2"/>
  <c r="R55" i="2"/>
  <c r="Q55" i="2"/>
  <c r="Z55" i="2"/>
  <c r="X55" i="2"/>
  <c r="P55" i="2"/>
  <c r="U64" i="2"/>
  <c r="T64" i="2"/>
  <c r="W64" i="2"/>
  <c r="V64" i="2"/>
  <c r="AD64" i="2"/>
  <c r="Y64" i="2"/>
  <c r="X64" i="2"/>
  <c r="Z64" i="2"/>
  <c r="AD68" i="2"/>
  <c r="W68" i="2"/>
  <c r="K68" i="2"/>
  <c r="V68" i="2"/>
  <c r="U68" i="2"/>
  <c r="Z68" i="2"/>
  <c r="Y68" i="2"/>
  <c r="X68" i="2"/>
  <c r="T68" i="2"/>
  <c r="X83" i="2"/>
  <c r="AG21" i="2"/>
  <c r="M21" i="2" s="1"/>
  <c r="AG30" i="2"/>
  <c r="P30" i="2" s="1"/>
  <c r="AD71" i="2"/>
  <c r="Q71" i="2"/>
  <c r="P71" i="2"/>
  <c r="O71" i="2"/>
  <c r="W71" i="2"/>
  <c r="K71" i="2"/>
  <c r="V71" i="2"/>
  <c r="U71" i="2"/>
  <c r="S71" i="2"/>
  <c r="L71" i="2"/>
  <c r="M71" i="2"/>
  <c r="J71" i="2"/>
  <c r="I71" i="2"/>
  <c r="Y71" i="2"/>
  <c r="X71" i="2"/>
  <c r="T71" i="2"/>
  <c r="R71" i="2"/>
  <c r="N71" i="2"/>
  <c r="Z71" i="2"/>
  <c r="O69" i="2"/>
  <c r="K69" i="2"/>
  <c r="N29" i="2"/>
  <c r="K29" i="2"/>
  <c r="R86" i="2"/>
  <c r="AG278" i="2"/>
  <c r="AG204" i="2"/>
  <c r="AG147" i="2"/>
  <c r="M147" i="2" s="1"/>
  <c r="AG54" i="2"/>
  <c r="T288" i="2"/>
  <c r="AD288" i="2"/>
  <c r="P288" i="2"/>
  <c r="O288" i="2"/>
  <c r="N288" i="2"/>
  <c r="Z288" i="2"/>
  <c r="M288" i="2"/>
  <c r="U288" i="2"/>
  <c r="I288" i="2"/>
  <c r="Y288" i="2"/>
  <c r="X288" i="2"/>
  <c r="W288" i="2"/>
  <c r="V288" i="2"/>
  <c r="R288" i="2"/>
  <c r="Q288" i="2"/>
  <c r="L288" i="2"/>
  <c r="S288" i="2"/>
  <c r="J288" i="2"/>
  <c r="K288" i="2"/>
  <c r="J308" i="2"/>
  <c r="P31" i="2"/>
  <c r="O31" i="2"/>
  <c r="W31" i="2"/>
  <c r="K31" i="2"/>
  <c r="T31" i="2"/>
  <c r="X31" i="2"/>
  <c r="V31" i="2"/>
  <c r="N31" i="2"/>
  <c r="U31" i="2"/>
  <c r="S31" i="2"/>
  <c r="R31" i="2"/>
  <c r="Y31" i="2"/>
  <c r="Q31" i="2"/>
  <c r="M31" i="2"/>
  <c r="L31" i="2"/>
  <c r="AD31" i="2"/>
  <c r="J31" i="2"/>
  <c r="Z31" i="2"/>
  <c r="I31" i="2"/>
  <c r="X363" i="2"/>
  <c r="L363" i="2"/>
  <c r="U363" i="2"/>
  <c r="I363" i="2"/>
  <c r="T363" i="2"/>
  <c r="P363" i="2"/>
  <c r="Z363" i="2"/>
  <c r="Y363" i="2"/>
  <c r="W363" i="2"/>
  <c r="V363" i="2"/>
  <c r="S363" i="2"/>
  <c r="R363" i="2"/>
  <c r="Q363" i="2"/>
  <c r="O363" i="2"/>
  <c r="M363" i="2"/>
  <c r="AD363" i="2"/>
  <c r="N363" i="2"/>
  <c r="K363" i="2"/>
  <c r="J363" i="2"/>
  <c r="O324" i="2"/>
  <c r="T324" i="2"/>
  <c r="Y324" i="2"/>
  <c r="K324" i="2"/>
  <c r="X324" i="2"/>
  <c r="J324" i="2"/>
  <c r="U324" i="2"/>
  <c r="S324" i="2"/>
  <c r="R324" i="2"/>
  <c r="Z324" i="2"/>
  <c r="W324" i="2"/>
  <c r="V324" i="2"/>
  <c r="P324" i="2"/>
  <c r="N324" i="2"/>
  <c r="AD324" i="2"/>
  <c r="Q324" i="2"/>
  <c r="M324" i="2"/>
  <c r="L324" i="2"/>
  <c r="I324" i="2"/>
  <c r="O369" i="2"/>
  <c r="X369" i="2"/>
  <c r="L369" i="2"/>
  <c r="W369" i="2"/>
  <c r="K369" i="2"/>
  <c r="V369" i="2"/>
  <c r="J369" i="2"/>
  <c r="U369" i="2"/>
  <c r="I369" i="2"/>
  <c r="T369" i="2"/>
  <c r="R369" i="2"/>
  <c r="P369" i="2"/>
  <c r="AD369" i="2"/>
  <c r="Z369" i="2"/>
  <c r="Y369" i="2"/>
  <c r="S369" i="2"/>
  <c r="Q369" i="2"/>
  <c r="N369" i="2"/>
  <c r="M369" i="2"/>
  <c r="T355" i="2"/>
  <c r="AD355" i="2"/>
  <c r="Q355" i="2"/>
  <c r="P355" i="2"/>
  <c r="X355" i="2"/>
  <c r="L355" i="2"/>
  <c r="O355" i="2"/>
  <c r="N355" i="2"/>
  <c r="M355" i="2"/>
  <c r="K355" i="2"/>
  <c r="J355" i="2"/>
  <c r="Z355" i="2"/>
  <c r="I355" i="2"/>
  <c r="Y355" i="2"/>
  <c r="W355" i="2"/>
  <c r="U355" i="2"/>
  <c r="V355" i="2"/>
  <c r="S355" i="2"/>
  <c r="R355" i="2"/>
  <c r="P347" i="2"/>
  <c r="Y347" i="2"/>
  <c r="M347" i="2"/>
  <c r="X347" i="2"/>
  <c r="L347" i="2"/>
  <c r="T347" i="2"/>
  <c r="W347" i="2"/>
  <c r="V347" i="2"/>
  <c r="U347" i="2"/>
  <c r="Q347" i="2"/>
  <c r="O347" i="2"/>
  <c r="N347" i="2"/>
  <c r="AD347" i="2"/>
  <c r="J347" i="2"/>
  <c r="I347" i="2"/>
  <c r="S347" i="2"/>
  <c r="Z347" i="2"/>
  <c r="K347" i="2"/>
  <c r="R347" i="2"/>
  <c r="X293" i="2"/>
  <c r="L293" i="2"/>
  <c r="V293" i="2"/>
  <c r="J293" i="2"/>
  <c r="Y293" i="2"/>
  <c r="I293" i="2"/>
  <c r="W293" i="2"/>
  <c r="U293" i="2"/>
  <c r="T293" i="2"/>
  <c r="P293" i="2"/>
  <c r="AD293" i="2"/>
  <c r="O293" i="2"/>
  <c r="S293" i="2"/>
  <c r="R293" i="2"/>
  <c r="Q293" i="2"/>
  <c r="N293" i="2"/>
  <c r="M293" i="2"/>
  <c r="K293" i="2"/>
  <c r="Z293" i="2"/>
  <c r="AG326" i="2"/>
  <c r="O326" i="2" s="1"/>
  <c r="P322" i="2"/>
  <c r="P306" i="2"/>
  <c r="L306" i="2"/>
  <c r="P281" i="2"/>
  <c r="U259" i="2"/>
  <c r="T259" i="2"/>
  <c r="AD259" i="2"/>
  <c r="Y259" i="2"/>
  <c r="X259" i="2"/>
  <c r="W259" i="2"/>
  <c r="Z259" i="2"/>
  <c r="V259" i="2"/>
  <c r="T325" i="2"/>
  <c r="U220" i="2"/>
  <c r="I220" i="2"/>
  <c r="T220" i="2"/>
  <c r="P220" i="2"/>
  <c r="AD220" i="2"/>
  <c r="O220" i="2"/>
  <c r="N220" i="2"/>
  <c r="M220" i="2"/>
  <c r="Z220" i="2"/>
  <c r="L220" i="2"/>
  <c r="Y220" i="2"/>
  <c r="K220" i="2"/>
  <c r="W220" i="2"/>
  <c r="V220" i="2"/>
  <c r="S220" i="2"/>
  <c r="X220" i="2"/>
  <c r="R220" i="2"/>
  <c r="Q220" i="2"/>
  <c r="J220" i="2"/>
  <c r="Y225" i="2"/>
  <c r="M225" i="2"/>
  <c r="X225" i="2"/>
  <c r="L225" i="2"/>
  <c r="T225" i="2"/>
  <c r="P225" i="2"/>
  <c r="O225" i="2"/>
  <c r="AD225" i="2"/>
  <c r="N225" i="2"/>
  <c r="K225" i="2"/>
  <c r="J225" i="2"/>
  <c r="Z225" i="2"/>
  <c r="I225" i="2"/>
  <c r="V225" i="2"/>
  <c r="U225" i="2"/>
  <c r="S225" i="2"/>
  <c r="W225" i="2"/>
  <c r="R225" i="2"/>
  <c r="Q225" i="2"/>
  <c r="AG198" i="2"/>
  <c r="Q198" i="2" s="1"/>
  <c r="L182" i="2"/>
  <c r="Y164" i="2"/>
  <c r="M164" i="2"/>
  <c r="W164" i="2"/>
  <c r="V164" i="2"/>
  <c r="U164" i="2"/>
  <c r="T164" i="2"/>
  <c r="Z164" i="2"/>
  <c r="X164" i="2"/>
  <c r="AD164" i="2"/>
  <c r="AB193" i="2"/>
  <c r="O182" i="2"/>
  <c r="AD215" i="2"/>
  <c r="Q215" i="2"/>
  <c r="P215" i="2"/>
  <c r="Z215" i="2"/>
  <c r="L215" i="2"/>
  <c r="Y215" i="2"/>
  <c r="K215" i="2"/>
  <c r="X215" i="2"/>
  <c r="J215" i="2"/>
  <c r="W215" i="2"/>
  <c r="I215" i="2"/>
  <c r="V215" i="2"/>
  <c r="U215" i="2"/>
  <c r="S215" i="2"/>
  <c r="R215" i="2"/>
  <c r="O215" i="2"/>
  <c r="N215" i="2"/>
  <c r="M215" i="2"/>
  <c r="T215" i="2"/>
  <c r="T219" i="2"/>
  <c r="M185" i="2"/>
  <c r="O185" i="2"/>
  <c r="Z124" i="2"/>
  <c r="N124" i="2"/>
  <c r="Y124" i="2"/>
  <c r="M124" i="2"/>
  <c r="X124" i="2"/>
  <c r="L124" i="2"/>
  <c r="V124" i="2"/>
  <c r="J124" i="2"/>
  <c r="T124" i="2"/>
  <c r="S124" i="2"/>
  <c r="AD124" i="2"/>
  <c r="W124" i="2"/>
  <c r="Q124" i="2"/>
  <c r="P124" i="2"/>
  <c r="O124" i="2"/>
  <c r="K124" i="2"/>
  <c r="I124" i="2"/>
  <c r="U124" i="2"/>
  <c r="R124" i="2"/>
  <c r="V153" i="2"/>
  <c r="T146" i="2"/>
  <c r="X146" i="2"/>
  <c r="K146" i="2"/>
  <c r="W146" i="2"/>
  <c r="J146" i="2"/>
  <c r="V146" i="2"/>
  <c r="I146" i="2"/>
  <c r="U146" i="2"/>
  <c r="S146" i="2"/>
  <c r="R146" i="2"/>
  <c r="AD146" i="2"/>
  <c r="P146" i="2"/>
  <c r="O146" i="2"/>
  <c r="N146" i="2"/>
  <c r="Z146" i="2"/>
  <c r="Y146" i="2"/>
  <c r="L146" i="2"/>
  <c r="M146" i="2"/>
  <c r="Q146" i="2"/>
  <c r="AG100" i="2"/>
  <c r="Q100" i="2" s="1"/>
  <c r="R184" i="2"/>
  <c r="T151" i="2"/>
  <c r="K137" i="2"/>
  <c r="R137" i="2"/>
  <c r="I207" i="2"/>
  <c r="P50" i="2"/>
  <c r="T50" i="2"/>
  <c r="AD50" i="2"/>
  <c r="O50" i="2"/>
  <c r="Y50" i="2"/>
  <c r="J50" i="2"/>
  <c r="W50" i="2"/>
  <c r="V50" i="2"/>
  <c r="U50" i="2"/>
  <c r="Q50" i="2"/>
  <c r="N50" i="2"/>
  <c r="M50" i="2"/>
  <c r="L50" i="2"/>
  <c r="Z50" i="2"/>
  <c r="X50" i="2"/>
  <c r="S50" i="2"/>
  <c r="R50" i="2"/>
  <c r="K50" i="2"/>
  <c r="I50" i="2"/>
  <c r="AG64" i="2"/>
  <c r="L64" i="2" s="1"/>
  <c r="P69" i="2"/>
  <c r="X23" i="2"/>
  <c r="L23" i="2"/>
  <c r="AD23" i="2"/>
  <c r="P23" i="2"/>
  <c r="O23" i="2"/>
  <c r="V23" i="2"/>
  <c r="I23" i="2"/>
  <c r="N23" i="2"/>
  <c r="Z23" i="2"/>
  <c r="M23" i="2"/>
  <c r="Y23" i="2"/>
  <c r="K23" i="2"/>
  <c r="W23" i="2"/>
  <c r="J23" i="2"/>
  <c r="U23" i="2"/>
  <c r="S23" i="2"/>
  <c r="T23" i="2"/>
  <c r="Q23" i="2"/>
  <c r="R23" i="2"/>
  <c r="U70" i="2"/>
  <c r="I70" i="2"/>
  <c r="T70" i="2"/>
  <c r="S70" i="2"/>
  <c r="O70" i="2"/>
  <c r="P70" i="2"/>
  <c r="N70" i="2"/>
  <c r="AD70" i="2"/>
  <c r="L70" i="2"/>
  <c r="X70" i="2"/>
  <c r="R70" i="2"/>
  <c r="Q70" i="2"/>
  <c r="M70" i="2"/>
  <c r="K70" i="2"/>
  <c r="J70" i="2"/>
  <c r="Z70" i="2"/>
  <c r="Y70" i="2"/>
  <c r="W70" i="2"/>
  <c r="V70" i="2"/>
  <c r="M86" i="2"/>
  <c r="P86" i="2"/>
  <c r="T338" i="2"/>
  <c r="Z338" i="2"/>
  <c r="N338" i="2"/>
  <c r="X338" i="2"/>
  <c r="AD338" i="2"/>
  <c r="W338" i="2"/>
  <c r="V338" i="2"/>
  <c r="Y338" i="2"/>
  <c r="U338" i="2"/>
  <c r="W328" i="2"/>
  <c r="K328" i="2"/>
  <c r="P328" i="2"/>
  <c r="Z328" i="2"/>
  <c r="L328" i="2"/>
  <c r="Y328" i="2"/>
  <c r="J328" i="2"/>
  <c r="V328" i="2"/>
  <c r="U328" i="2"/>
  <c r="T328" i="2"/>
  <c r="S328" i="2"/>
  <c r="N328" i="2"/>
  <c r="I328" i="2"/>
  <c r="X328" i="2"/>
  <c r="AD328" i="2"/>
  <c r="Q328" i="2"/>
  <c r="O328" i="2"/>
  <c r="R328" i="2"/>
  <c r="M328" i="2"/>
  <c r="W238" i="2"/>
  <c r="K238" i="2"/>
  <c r="V238" i="2"/>
  <c r="J238" i="2"/>
  <c r="U238" i="2"/>
  <c r="I238" i="2"/>
  <c r="T238" i="2"/>
  <c r="S238" i="2"/>
  <c r="P238" i="2"/>
  <c r="Z238" i="2"/>
  <c r="N238" i="2"/>
  <c r="Y238" i="2"/>
  <c r="X238" i="2"/>
  <c r="R238" i="2"/>
  <c r="Q238" i="2"/>
  <c r="O238" i="2"/>
  <c r="M238" i="2"/>
  <c r="AD238" i="2"/>
  <c r="L238" i="2"/>
  <c r="V131" i="2"/>
  <c r="J131" i="2"/>
  <c r="U131" i="2"/>
  <c r="I131" i="2"/>
  <c r="T131" i="2"/>
  <c r="S131" i="2"/>
  <c r="R131" i="2"/>
  <c r="P131" i="2"/>
  <c r="O131" i="2"/>
  <c r="Y131" i="2"/>
  <c r="X131" i="2"/>
  <c r="W131" i="2"/>
  <c r="Q131" i="2"/>
  <c r="N131" i="2"/>
  <c r="K131" i="2"/>
  <c r="AD131" i="2"/>
  <c r="Z131" i="2"/>
  <c r="L131" i="2"/>
  <c r="M131" i="2"/>
  <c r="O145" i="2"/>
  <c r="Z145" i="2"/>
  <c r="N145" i="2"/>
  <c r="Y145" i="2"/>
  <c r="M145" i="2"/>
  <c r="X145" i="2"/>
  <c r="L145" i="2"/>
  <c r="W145" i="2"/>
  <c r="K145" i="2"/>
  <c r="V145" i="2"/>
  <c r="J145" i="2"/>
  <c r="T145" i="2"/>
  <c r="S145" i="2"/>
  <c r="R145" i="2"/>
  <c r="AD145" i="2"/>
  <c r="U145" i="2"/>
  <c r="Q145" i="2"/>
  <c r="P145" i="2"/>
  <c r="I145" i="2"/>
  <c r="J137" i="2"/>
  <c r="V17" i="2"/>
  <c r="J17" i="2"/>
  <c r="U17" i="2"/>
  <c r="I17" i="2"/>
  <c r="P17" i="2"/>
  <c r="T17" i="2"/>
  <c r="S17" i="2"/>
  <c r="R17" i="2"/>
  <c r="W17" i="2"/>
  <c r="AD17" i="2"/>
  <c r="Q17" i="2"/>
  <c r="O17" i="2"/>
  <c r="Z17" i="2"/>
  <c r="N17" i="2"/>
  <c r="Y17" i="2"/>
  <c r="M17" i="2"/>
  <c r="K17" i="2"/>
  <c r="X17" i="2"/>
  <c r="L17" i="2"/>
  <c r="AG270" i="2"/>
  <c r="AG213" i="2"/>
  <c r="AG175" i="2"/>
  <c r="AG194" i="2"/>
  <c r="AG120" i="2"/>
  <c r="AG25" i="2"/>
  <c r="AG354" i="2"/>
  <c r="L354" i="2" s="1"/>
  <c r="M245" i="2"/>
  <c r="R245" i="2"/>
  <c r="AG358" i="2"/>
  <c r="P358" i="2" s="1"/>
  <c r="P336" i="2"/>
  <c r="O336" i="2"/>
  <c r="W336" i="2"/>
  <c r="K336" i="2"/>
  <c r="V336" i="2"/>
  <c r="J336" i="2"/>
  <c r="T336" i="2"/>
  <c r="Q336" i="2"/>
  <c r="N336" i="2"/>
  <c r="M336" i="2"/>
  <c r="I336" i="2"/>
  <c r="AD336" i="2"/>
  <c r="Z336" i="2"/>
  <c r="Y336" i="2"/>
  <c r="U336" i="2"/>
  <c r="X336" i="2"/>
  <c r="S336" i="2"/>
  <c r="R336" i="2"/>
  <c r="L336" i="2"/>
  <c r="T297" i="2"/>
  <c r="S297" i="2"/>
  <c r="R297" i="2"/>
  <c r="O297" i="2"/>
  <c r="N297" i="2"/>
  <c r="M297" i="2"/>
  <c r="AD297" i="2"/>
  <c r="L297" i="2"/>
  <c r="K297" i="2"/>
  <c r="W297" i="2"/>
  <c r="V297" i="2"/>
  <c r="I297" i="2"/>
  <c r="Z297" i="2"/>
  <c r="X297" i="2"/>
  <c r="U297" i="2"/>
  <c r="Q297" i="2"/>
  <c r="Y297" i="2"/>
  <c r="P297" i="2"/>
  <c r="J297" i="2"/>
  <c r="O366" i="2"/>
  <c r="X366" i="2"/>
  <c r="L366" i="2"/>
  <c r="V366" i="2"/>
  <c r="J366" i="2"/>
  <c r="U366" i="2"/>
  <c r="I366" i="2"/>
  <c r="T366" i="2"/>
  <c r="P366" i="2"/>
  <c r="Z366" i="2"/>
  <c r="Y366" i="2"/>
  <c r="W366" i="2"/>
  <c r="S366" i="2"/>
  <c r="R366" i="2"/>
  <c r="Q366" i="2"/>
  <c r="N366" i="2"/>
  <c r="M366" i="2"/>
  <c r="AD366" i="2"/>
  <c r="K366" i="2"/>
  <c r="AG188" i="2"/>
  <c r="AG114" i="2"/>
  <c r="AG57" i="2"/>
  <c r="AG38" i="2"/>
  <c r="AG19" i="2"/>
  <c r="X348" i="2"/>
  <c r="L348" i="2"/>
  <c r="U348" i="2"/>
  <c r="I348" i="2"/>
  <c r="T348" i="2"/>
  <c r="P348" i="2"/>
  <c r="N348" i="2"/>
  <c r="M348" i="2"/>
  <c r="AD348" i="2"/>
  <c r="K348" i="2"/>
  <c r="Y348" i="2"/>
  <c r="W348" i="2"/>
  <c r="V348" i="2"/>
  <c r="R348" i="2"/>
  <c r="S348" i="2"/>
  <c r="Q348" i="2"/>
  <c r="O348" i="2"/>
  <c r="J348" i="2"/>
  <c r="Z348" i="2"/>
  <c r="R233" i="2"/>
  <c r="I233" i="2"/>
  <c r="X360" i="2"/>
  <c r="L360" i="2"/>
  <c r="U360" i="2"/>
  <c r="I360" i="2"/>
  <c r="T360" i="2"/>
  <c r="P360" i="2"/>
  <c r="S360" i="2"/>
  <c r="R360" i="2"/>
  <c r="Q360" i="2"/>
  <c r="O360" i="2"/>
  <c r="N360" i="2"/>
  <c r="M360" i="2"/>
  <c r="AD360" i="2"/>
  <c r="K360" i="2"/>
  <c r="J360" i="2"/>
  <c r="Y360" i="2"/>
  <c r="Z360" i="2"/>
  <c r="W360" i="2"/>
  <c r="V360" i="2"/>
  <c r="T349" i="2"/>
  <c r="AD349" i="2"/>
  <c r="Q349" i="2"/>
  <c r="P349" i="2"/>
  <c r="X349" i="2"/>
  <c r="L349" i="2"/>
  <c r="V349" i="2"/>
  <c r="U349" i="2"/>
  <c r="S349" i="2"/>
  <c r="N349" i="2"/>
  <c r="M349" i="2"/>
  <c r="K349" i="2"/>
  <c r="Z349" i="2"/>
  <c r="I349" i="2"/>
  <c r="Y349" i="2"/>
  <c r="W349" i="2"/>
  <c r="R349" i="2"/>
  <c r="O349" i="2"/>
  <c r="J349" i="2"/>
  <c r="X345" i="2"/>
  <c r="L345" i="2"/>
  <c r="U345" i="2"/>
  <c r="I345" i="2"/>
  <c r="T345" i="2"/>
  <c r="P345" i="2"/>
  <c r="Z345" i="2"/>
  <c r="Y345" i="2"/>
  <c r="W345" i="2"/>
  <c r="R345" i="2"/>
  <c r="Q345" i="2"/>
  <c r="O345" i="2"/>
  <c r="M345" i="2"/>
  <c r="AD345" i="2"/>
  <c r="V345" i="2"/>
  <c r="S345" i="2"/>
  <c r="N345" i="2"/>
  <c r="K345" i="2"/>
  <c r="J345" i="2"/>
  <c r="T294" i="2"/>
  <c r="R294" i="2"/>
  <c r="Y294" i="2"/>
  <c r="K294" i="2"/>
  <c r="X294" i="2"/>
  <c r="J294" i="2"/>
  <c r="W294" i="2"/>
  <c r="I294" i="2"/>
  <c r="V294" i="2"/>
  <c r="P294" i="2"/>
  <c r="AD294" i="2"/>
  <c r="O294" i="2"/>
  <c r="Q294" i="2"/>
  <c r="N294" i="2"/>
  <c r="M294" i="2"/>
  <c r="L294" i="2"/>
  <c r="Z294" i="2"/>
  <c r="U294" i="2"/>
  <c r="S294" i="2"/>
  <c r="I286" i="2"/>
  <c r="O286" i="2"/>
  <c r="J286" i="2"/>
  <c r="U262" i="2"/>
  <c r="I262" i="2"/>
  <c r="T262" i="2"/>
  <c r="P262" i="2"/>
  <c r="O262" i="2"/>
  <c r="Z262" i="2"/>
  <c r="V262" i="2"/>
  <c r="S262" i="2"/>
  <c r="R262" i="2"/>
  <c r="Q262" i="2"/>
  <c r="N262" i="2"/>
  <c r="M262" i="2"/>
  <c r="K262" i="2"/>
  <c r="AD262" i="2"/>
  <c r="J262" i="2"/>
  <c r="Y262" i="2"/>
  <c r="X262" i="2"/>
  <c r="W262" i="2"/>
  <c r="L262" i="2"/>
  <c r="Q322" i="2"/>
  <c r="R308" i="2"/>
  <c r="S308" i="2"/>
  <c r="K308" i="2"/>
  <c r="Q306" i="2"/>
  <c r="AB276" i="2"/>
  <c r="U244" i="2"/>
  <c r="I244" i="2"/>
  <c r="P244" i="2"/>
  <c r="X244" i="2"/>
  <c r="J244" i="2"/>
  <c r="W244" i="2"/>
  <c r="V244" i="2"/>
  <c r="T244" i="2"/>
  <c r="S244" i="2"/>
  <c r="R244" i="2"/>
  <c r="O244" i="2"/>
  <c r="AD244" i="2"/>
  <c r="N244" i="2"/>
  <c r="M244" i="2"/>
  <c r="Y244" i="2"/>
  <c r="Q244" i="2"/>
  <c r="L244" i="2"/>
  <c r="K244" i="2"/>
  <c r="Z244" i="2"/>
  <c r="Q281" i="2"/>
  <c r="V275" i="2"/>
  <c r="J275" i="2"/>
  <c r="U275" i="2"/>
  <c r="I275" i="2"/>
  <c r="P275" i="2"/>
  <c r="AD275" i="2"/>
  <c r="O275" i="2"/>
  <c r="N275" i="2"/>
  <c r="M275" i="2"/>
  <c r="Z275" i="2"/>
  <c r="L275" i="2"/>
  <c r="X275" i="2"/>
  <c r="W275" i="2"/>
  <c r="T275" i="2"/>
  <c r="Y275" i="2"/>
  <c r="S275" i="2"/>
  <c r="R275" i="2"/>
  <c r="K275" i="2"/>
  <c r="Q275" i="2"/>
  <c r="AG263" i="2"/>
  <c r="R263" i="2" s="1"/>
  <c r="AG259" i="2"/>
  <c r="Q259" i="2" s="1"/>
  <c r="X325" i="2"/>
  <c r="I269" i="2"/>
  <c r="N269" i="2"/>
  <c r="U250" i="2"/>
  <c r="AD250" i="2"/>
  <c r="M250" i="2"/>
  <c r="Z250" i="2"/>
  <c r="Y250" i="2"/>
  <c r="X250" i="2"/>
  <c r="W250" i="2"/>
  <c r="T250" i="2"/>
  <c r="V250" i="2"/>
  <c r="Q250" i="2"/>
  <c r="L240" i="2"/>
  <c r="O233" i="2"/>
  <c r="S245" i="2"/>
  <c r="AG242" i="2"/>
  <c r="K242" i="2" s="1"/>
  <c r="Y216" i="2"/>
  <c r="X216" i="2"/>
  <c r="Z216" i="2"/>
  <c r="W216" i="2"/>
  <c r="V216" i="2"/>
  <c r="U216" i="2"/>
  <c r="AD216" i="2"/>
  <c r="T216" i="2"/>
  <c r="Y210" i="2"/>
  <c r="M210" i="2"/>
  <c r="X210" i="2"/>
  <c r="V210" i="2"/>
  <c r="U210" i="2"/>
  <c r="T210" i="2"/>
  <c r="AD210" i="2"/>
  <c r="N210" i="2"/>
  <c r="W210" i="2"/>
  <c r="Z210" i="2"/>
  <c r="I189" i="2"/>
  <c r="Y201" i="2"/>
  <c r="AD201" i="2"/>
  <c r="P201" i="2"/>
  <c r="X201" i="2"/>
  <c r="V201" i="2"/>
  <c r="U201" i="2"/>
  <c r="T201" i="2"/>
  <c r="R201" i="2"/>
  <c r="Q201" i="2"/>
  <c r="Z201" i="2"/>
  <c r="W201" i="2"/>
  <c r="P289" i="2"/>
  <c r="N289" i="2"/>
  <c r="Z289" i="2"/>
  <c r="M289" i="2"/>
  <c r="Y289" i="2"/>
  <c r="L289" i="2"/>
  <c r="X289" i="2"/>
  <c r="K289" i="2"/>
  <c r="S289" i="2"/>
  <c r="W289" i="2"/>
  <c r="V289" i="2"/>
  <c r="U289" i="2"/>
  <c r="T289" i="2"/>
  <c r="R289" i="2"/>
  <c r="Q289" i="2"/>
  <c r="J289" i="2"/>
  <c r="I289" i="2"/>
  <c r="O289" i="2"/>
  <c r="AD289" i="2"/>
  <c r="X218" i="2"/>
  <c r="N185" i="2"/>
  <c r="U100" i="2"/>
  <c r="T100" i="2"/>
  <c r="Z100" i="2"/>
  <c r="N100" i="2"/>
  <c r="V100" i="2"/>
  <c r="AD100" i="2"/>
  <c r="Y100" i="2"/>
  <c r="W100" i="2"/>
  <c r="X100" i="2"/>
  <c r="Y112" i="2"/>
  <c r="M112" i="2"/>
  <c r="Q112" i="2"/>
  <c r="AD112" i="2"/>
  <c r="P112" i="2"/>
  <c r="O112" i="2"/>
  <c r="N112" i="2"/>
  <c r="Z112" i="2"/>
  <c r="L112" i="2"/>
  <c r="V112" i="2"/>
  <c r="I112" i="2"/>
  <c r="U112" i="2"/>
  <c r="X112" i="2"/>
  <c r="W112" i="2"/>
  <c r="T112" i="2"/>
  <c r="R112" i="2"/>
  <c r="K112" i="2"/>
  <c r="J112" i="2"/>
  <c r="S112" i="2"/>
  <c r="U151" i="2"/>
  <c r="U58" i="2"/>
  <c r="I58" i="2"/>
  <c r="T58" i="2"/>
  <c r="P58" i="2"/>
  <c r="AD58" i="2"/>
  <c r="O58" i="2"/>
  <c r="M58" i="2"/>
  <c r="W58" i="2"/>
  <c r="Z58" i="2"/>
  <c r="Y58" i="2"/>
  <c r="X58" i="2"/>
  <c r="V58" i="2"/>
  <c r="Q58" i="2"/>
  <c r="N58" i="2"/>
  <c r="L58" i="2"/>
  <c r="K58" i="2"/>
  <c r="S58" i="2"/>
  <c r="R58" i="2"/>
  <c r="J58" i="2"/>
  <c r="S89" i="2"/>
  <c r="R89" i="2"/>
  <c r="L137" i="2"/>
  <c r="S137" i="2"/>
  <c r="W89" i="2"/>
  <c r="AG103" i="2"/>
  <c r="J103" i="2" s="1"/>
  <c r="T46" i="2"/>
  <c r="N46" i="2"/>
  <c r="W46" i="2"/>
  <c r="J46" i="2"/>
  <c r="L46" i="2"/>
  <c r="Z46" i="2"/>
  <c r="K46" i="2"/>
  <c r="Y46" i="2"/>
  <c r="I46" i="2"/>
  <c r="U46" i="2"/>
  <c r="S46" i="2"/>
  <c r="R46" i="2"/>
  <c r="Q46" i="2"/>
  <c r="AD46" i="2"/>
  <c r="X46" i="2"/>
  <c r="V46" i="2"/>
  <c r="P46" i="2"/>
  <c r="O46" i="2"/>
  <c r="M46" i="2"/>
  <c r="X54" i="2"/>
  <c r="L54" i="2"/>
  <c r="O54" i="2"/>
  <c r="Z54" i="2"/>
  <c r="M54" i="2"/>
  <c r="U54" i="2"/>
  <c r="W54" i="2"/>
  <c r="V54" i="2"/>
  <c r="T54" i="2"/>
  <c r="S54" i="2"/>
  <c r="R54" i="2"/>
  <c r="N54" i="2"/>
  <c r="K54" i="2"/>
  <c r="AD54" i="2"/>
  <c r="J54" i="2"/>
  <c r="I54" i="2"/>
  <c r="Y54" i="2"/>
  <c r="Q54" i="2"/>
  <c r="P54" i="2"/>
  <c r="T40" i="2"/>
  <c r="U40" i="2"/>
  <c r="X40" i="2"/>
  <c r="J40" i="2"/>
  <c r="W40" i="2"/>
  <c r="I40" i="2"/>
  <c r="Q40" i="2"/>
  <c r="P40" i="2"/>
  <c r="N40" i="2"/>
  <c r="AD40" i="2"/>
  <c r="Z40" i="2"/>
  <c r="Y40" i="2"/>
  <c r="S40" i="2"/>
  <c r="V40" i="2"/>
  <c r="R40" i="2"/>
  <c r="O40" i="2"/>
  <c r="K40" i="2"/>
  <c r="M40" i="2"/>
  <c r="L40" i="2"/>
  <c r="AD62" i="2"/>
  <c r="Q62" i="2"/>
  <c r="P62" i="2"/>
  <c r="T62" i="2"/>
  <c r="S62" i="2"/>
  <c r="O62" i="2"/>
  <c r="Y62" i="2"/>
  <c r="K62" i="2"/>
  <c r="R62" i="2"/>
  <c r="N62" i="2"/>
  <c r="M62" i="2"/>
  <c r="L62" i="2"/>
  <c r="J62" i="2"/>
  <c r="Z62" i="2"/>
  <c r="X62" i="2"/>
  <c r="W62" i="2"/>
  <c r="V62" i="2"/>
  <c r="U62" i="2"/>
  <c r="I62" i="2"/>
  <c r="V20" i="2"/>
  <c r="J20" i="2"/>
  <c r="W20" i="2"/>
  <c r="U20" i="2"/>
  <c r="I20" i="2"/>
  <c r="P20" i="2"/>
  <c r="T20" i="2"/>
  <c r="K20" i="2"/>
  <c r="S20" i="2"/>
  <c r="R20" i="2"/>
  <c r="AD20" i="2"/>
  <c r="Q20" i="2"/>
  <c r="O20" i="2"/>
  <c r="Y20" i="2"/>
  <c r="M20" i="2"/>
  <c r="Z20" i="2"/>
  <c r="N20" i="2"/>
  <c r="X20" i="2"/>
  <c r="L20" i="2"/>
  <c r="V11" i="2"/>
  <c r="J11" i="2"/>
  <c r="U11" i="2"/>
  <c r="I11" i="2"/>
  <c r="T11" i="2"/>
  <c r="S11" i="2"/>
  <c r="R11" i="2"/>
  <c r="AD11" i="2"/>
  <c r="Q11" i="2"/>
  <c r="P11" i="2"/>
  <c r="W11" i="2"/>
  <c r="O11" i="2"/>
  <c r="N11" i="2"/>
  <c r="M11" i="2"/>
  <c r="Z11" i="2"/>
  <c r="Y11" i="2"/>
  <c r="X11" i="2"/>
  <c r="L11" i="2"/>
  <c r="K11" i="2"/>
  <c r="Q69" i="2"/>
  <c r="AG51" i="2"/>
  <c r="M51" i="2" s="1"/>
  <c r="P41" i="2"/>
  <c r="S41" i="2"/>
  <c r="X41" i="2"/>
  <c r="J41" i="2"/>
  <c r="W41" i="2"/>
  <c r="I41" i="2"/>
  <c r="R41" i="2"/>
  <c r="Q41" i="2"/>
  <c r="AD41" i="2"/>
  <c r="N41" i="2"/>
  <c r="Y41" i="2"/>
  <c r="V41" i="2"/>
  <c r="U41" i="2"/>
  <c r="T41" i="2"/>
  <c r="O41" i="2"/>
  <c r="L41" i="2"/>
  <c r="M41" i="2"/>
  <c r="Z41" i="2"/>
  <c r="K41" i="2"/>
  <c r="AG32" i="2"/>
  <c r="L77" i="2" l="1"/>
  <c r="AC135" i="2"/>
  <c r="L128" i="2"/>
  <c r="AC132" i="2"/>
  <c r="AB53" i="2"/>
  <c r="AC337" i="2"/>
  <c r="AC42" i="2"/>
  <c r="AC240" i="2"/>
  <c r="AC269" i="2"/>
  <c r="AC282" i="2"/>
  <c r="AB15" i="2"/>
  <c r="AC196" i="2"/>
  <c r="AC199" i="2"/>
  <c r="AC159" i="2"/>
  <c r="AB305" i="2"/>
  <c r="AC120" i="2"/>
  <c r="AC104" i="2"/>
  <c r="AB197" i="2"/>
  <c r="AC25" i="2"/>
  <c r="AB282" i="2"/>
  <c r="AB170" i="2"/>
  <c r="AC53" i="2"/>
  <c r="AB317" i="2"/>
  <c r="AC168" i="2"/>
  <c r="AC302" i="2"/>
  <c r="AC266" i="2"/>
  <c r="AB81" i="2"/>
  <c r="AC56" i="2"/>
  <c r="AB236" i="2"/>
  <c r="AC273" i="2"/>
  <c r="AB337" i="2"/>
  <c r="AC60" i="2"/>
  <c r="AC141" i="2"/>
  <c r="AC317" i="2"/>
  <c r="AC170" i="2"/>
  <c r="AC304" i="2"/>
  <c r="AB162" i="2"/>
  <c r="AB154" i="2"/>
  <c r="AC32" i="2"/>
  <c r="AC166" i="2"/>
  <c r="AC16" i="2"/>
  <c r="AC72" i="2"/>
  <c r="AC204" i="2"/>
  <c r="AC171" i="2"/>
  <c r="AC137" i="2"/>
  <c r="AC279" i="2"/>
  <c r="AC7" i="2"/>
  <c r="AC305" i="2"/>
  <c r="AC110" i="2"/>
  <c r="AB105" i="2"/>
  <c r="AC207" i="2"/>
  <c r="AC101" i="2"/>
  <c r="AB334" i="2"/>
  <c r="AB292" i="2"/>
  <c r="AC59" i="2"/>
  <c r="AC197" i="2"/>
  <c r="AB72" i="2"/>
  <c r="AC179" i="2"/>
  <c r="AB151" i="2"/>
  <c r="AC301" i="2"/>
  <c r="AC236" i="2"/>
  <c r="AC308" i="2"/>
  <c r="AB196" i="2"/>
  <c r="AB179" i="2"/>
  <c r="AC13" i="2"/>
  <c r="O250" i="2"/>
  <c r="P14" i="2"/>
  <c r="Q357" i="2"/>
  <c r="O190" i="2"/>
  <c r="N250" i="2"/>
  <c r="M190" i="2"/>
  <c r="J190" i="2"/>
  <c r="N18" i="2"/>
  <c r="R73" i="2"/>
  <c r="S250" i="2"/>
  <c r="P250" i="2"/>
  <c r="S14" i="2"/>
  <c r="Q190" i="2"/>
  <c r="I190" i="2"/>
  <c r="O18" i="2"/>
  <c r="M73" i="2"/>
  <c r="AC162" i="2"/>
  <c r="R250" i="2"/>
  <c r="I250" i="2"/>
  <c r="L14" i="2"/>
  <c r="S190" i="2"/>
  <c r="L18" i="2"/>
  <c r="I14" i="2"/>
  <c r="M357" i="2"/>
  <c r="P18" i="2"/>
  <c r="M14" i="2"/>
  <c r="S18" i="2"/>
  <c r="J264" i="2"/>
  <c r="K14" i="2"/>
  <c r="I18" i="2"/>
  <c r="J250" i="2"/>
  <c r="K250" i="2"/>
  <c r="N14" i="2"/>
  <c r="L357" i="2"/>
  <c r="P190" i="2"/>
  <c r="AC322" i="2"/>
  <c r="AC277" i="2"/>
  <c r="J14" i="2"/>
  <c r="J18" i="2"/>
  <c r="O259" i="2"/>
  <c r="R68" i="2"/>
  <c r="K190" i="2"/>
  <c r="P113" i="2"/>
  <c r="N73" i="2"/>
  <c r="K64" i="2"/>
  <c r="M169" i="2"/>
  <c r="AC9" i="2"/>
  <c r="I216" i="2"/>
  <c r="R169" i="2"/>
  <c r="N169" i="2"/>
  <c r="J357" i="2"/>
  <c r="L73" i="2"/>
  <c r="J100" i="2"/>
  <c r="O100" i="2"/>
  <c r="K338" i="2"/>
  <c r="O338" i="2"/>
  <c r="L30" i="2"/>
  <c r="S169" i="2"/>
  <c r="O169" i="2"/>
  <c r="S358" i="2"/>
  <c r="AC192" i="2"/>
  <c r="AC45" i="2"/>
  <c r="P338" i="2"/>
  <c r="S100" i="2"/>
  <c r="O216" i="2"/>
  <c r="S338" i="2"/>
  <c r="P169" i="2"/>
  <c r="N119" i="2"/>
  <c r="R78" i="2"/>
  <c r="Q73" i="2"/>
  <c r="P73" i="2"/>
  <c r="P216" i="2"/>
  <c r="K216" i="2"/>
  <c r="I338" i="2"/>
  <c r="Q169" i="2"/>
  <c r="P21" i="2"/>
  <c r="K113" i="2"/>
  <c r="K100" i="2"/>
  <c r="I100" i="2"/>
  <c r="N216" i="2"/>
  <c r="J338" i="2"/>
  <c r="I169" i="2"/>
  <c r="S354" i="2"/>
  <c r="J216" i="2"/>
  <c r="L100" i="2"/>
  <c r="L216" i="2"/>
  <c r="M338" i="2"/>
  <c r="J169" i="2"/>
  <c r="M235" i="2"/>
  <c r="R100" i="2"/>
  <c r="M100" i="2"/>
  <c r="Q216" i="2"/>
  <c r="Q338" i="2"/>
  <c r="S21" i="2"/>
  <c r="R33" i="2"/>
  <c r="AC184" i="2"/>
  <c r="P116" i="2"/>
  <c r="P100" i="2"/>
  <c r="R216" i="2"/>
  <c r="M216" i="2"/>
  <c r="R338" i="2"/>
  <c r="M223" i="2"/>
  <c r="AB304" i="2"/>
  <c r="J330" i="2"/>
  <c r="L263" i="2"/>
  <c r="L103" i="2"/>
  <c r="M265" i="2"/>
  <c r="I265" i="2"/>
  <c r="K21" i="2"/>
  <c r="N76" i="2"/>
  <c r="S119" i="2"/>
  <c r="Q232" i="2"/>
  <c r="L342" i="2"/>
  <c r="S77" i="2"/>
  <c r="M128" i="2"/>
  <c r="I128" i="2"/>
  <c r="I73" i="2"/>
  <c r="AC369" i="2"/>
  <c r="Q265" i="2"/>
  <c r="P76" i="2"/>
  <c r="R232" i="2"/>
  <c r="R152" i="2"/>
  <c r="M359" i="2"/>
  <c r="I116" i="2"/>
  <c r="J82" i="2"/>
  <c r="AC79" i="2"/>
  <c r="J342" i="2"/>
  <c r="P33" i="2"/>
  <c r="N133" i="2"/>
  <c r="J128" i="2"/>
  <c r="P198" i="2"/>
  <c r="I242" i="2"/>
  <c r="K226" i="2"/>
  <c r="S259" i="2"/>
  <c r="K358" i="2"/>
  <c r="S235" i="2"/>
  <c r="I76" i="2"/>
  <c r="K357" i="2"/>
  <c r="K342" i="2"/>
  <c r="Q33" i="2"/>
  <c r="O359" i="2"/>
  <c r="M116" i="2"/>
  <c r="Q128" i="2"/>
  <c r="L113" i="2"/>
  <c r="R198" i="2"/>
  <c r="R95" i="2"/>
  <c r="N103" i="2"/>
  <c r="M358" i="2"/>
  <c r="S263" i="2"/>
  <c r="N21" i="2"/>
  <c r="Q76" i="2"/>
  <c r="M119" i="2"/>
  <c r="S223" i="2"/>
  <c r="R344" i="2"/>
  <c r="N359" i="2"/>
  <c r="M78" i="2"/>
  <c r="K77" i="2"/>
  <c r="S116" i="2"/>
  <c r="M330" i="2"/>
  <c r="N51" i="2"/>
  <c r="N147" i="2"/>
  <c r="J95" i="2"/>
  <c r="O64" i="2"/>
  <c r="M342" i="2"/>
  <c r="L208" i="2"/>
  <c r="M113" i="2"/>
  <c r="N330" i="2"/>
  <c r="R226" i="2"/>
  <c r="P247" i="2"/>
  <c r="S103" i="2"/>
  <c r="N265" i="2"/>
  <c r="J30" i="2"/>
  <c r="S357" i="2"/>
  <c r="N357" i="2"/>
  <c r="Q342" i="2"/>
  <c r="O133" i="2"/>
  <c r="Q77" i="2"/>
  <c r="O113" i="2"/>
  <c r="O49" i="2"/>
  <c r="I48" i="2"/>
  <c r="S226" i="2"/>
  <c r="L265" i="2"/>
  <c r="L235" i="2"/>
  <c r="K235" i="2"/>
  <c r="I119" i="2"/>
  <c r="O357" i="2"/>
  <c r="P357" i="2"/>
  <c r="R342" i="2"/>
  <c r="P133" i="2"/>
  <c r="N152" i="2"/>
  <c r="J116" i="2"/>
  <c r="K128" i="2"/>
  <c r="N252" i="2"/>
  <c r="N95" i="2"/>
  <c r="I263" i="2"/>
  <c r="M30" i="2"/>
  <c r="K232" i="2"/>
  <c r="AC357" i="2"/>
  <c r="S342" i="2"/>
  <c r="O128" i="2"/>
  <c r="S198" i="2"/>
  <c r="M48" i="2"/>
  <c r="I226" i="2"/>
  <c r="P265" i="2"/>
  <c r="Q358" i="2"/>
  <c r="I21" i="2"/>
  <c r="J76" i="2"/>
  <c r="I223" i="2"/>
  <c r="N344" i="2"/>
  <c r="R357" i="2"/>
  <c r="N342" i="2"/>
  <c r="J133" i="2"/>
  <c r="P152" i="2"/>
  <c r="L261" i="2"/>
  <c r="P128" i="2"/>
  <c r="R252" i="2"/>
  <c r="Q113" i="2"/>
  <c r="O247" i="2"/>
  <c r="R259" i="2"/>
  <c r="AC83" i="2"/>
  <c r="J64" i="2"/>
  <c r="J265" i="2"/>
  <c r="Q30" i="2"/>
  <c r="R235" i="2"/>
  <c r="R354" i="2"/>
  <c r="O119" i="2"/>
  <c r="AC156" i="2"/>
  <c r="S344" i="2"/>
  <c r="I342" i="2"/>
  <c r="I208" i="2"/>
  <c r="K359" i="2"/>
  <c r="I77" i="2"/>
  <c r="S128" i="2"/>
  <c r="S113" i="2"/>
  <c r="K73" i="2"/>
  <c r="J48" i="2"/>
  <c r="L242" i="2"/>
  <c r="Q247" i="2"/>
  <c r="AB369" i="2"/>
  <c r="AC219" i="2"/>
  <c r="AC253" i="2"/>
  <c r="AC293" i="2"/>
  <c r="AC136" i="2"/>
  <c r="AC91" i="2"/>
  <c r="AC350" i="2"/>
  <c r="AC109" i="2"/>
  <c r="AC338" i="2"/>
  <c r="AC349" i="2"/>
  <c r="AC323" i="2"/>
  <c r="AC51" i="2"/>
  <c r="AC121" i="2"/>
  <c r="AC215" i="2"/>
  <c r="AC118" i="2"/>
  <c r="AC343" i="2"/>
  <c r="AC76" i="2"/>
  <c r="AC365" i="2"/>
  <c r="AC247" i="2"/>
  <c r="AB89" i="2"/>
  <c r="AB294" i="2"/>
  <c r="AC324" i="2"/>
  <c r="AC231" i="2"/>
  <c r="AC307" i="2"/>
  <c r="AC190" i="2"/>
  <c r="AC10" i="2"/>
  <c r="AC243" i="2"/>
  <c r="AC296" i="2"/>
  <c r="AB187" i="2"/>
  <c r="AC61" i="2"/>
  <c r="AB40" i="2"/>
  <c r="AC112" i="2"/>
  <c r="AC201" i="2"/>
  <c r="AB70" i="2"/>
  <c r="AC52" i="2"/>
  <c r="AC265" i="2"/>
  <c r="AC8" i="2"/>
  <c r="AB186" i="2"/>
  <c r="AC181" i="2"/>
  <c r="AC352" i="2"/>
  <c r="AB229" i="2"/>
  <c r="AB253" i="2"/>
  <c r="AC281" i="2"/>
  <c r="AC54" i="2"/>
  <c r="AC46" i="2"/>
  <c r="AC70" i="2"/>
  <c r="AC74" i="2"/>
  <c r="AB167" i="2"/>
  <c r="AB209" i="2"/>
  <c r="AB205" i="2"/>
  <c r="AC367" i="2"/>
  <c r="AC328" i="2"/>
  <c r="AC363" i="2"/>
  <c r="AC103" i="2"/>
  <c r="AB364" i="2"/>
  <c r="AC361" i="2"/>
  <c r="AC125" i="2"/>
  <c r="AB149" i="2"/>
  <c r="AB360" i="2"/>
  <c r="AC255" i="2"/>
  <c r="AC259" i="2"/>
  <c r="AC158" i="2"/>
  <c r="AB300" i="2"/>
  <c r="AC124" i="2"/>
  <c r="AB150" i="2"/>
  <c r="AC358" i="2"/>
  <c r="AB98" i="2"/>
  <c r="AC149" i="2"/>
  <c r="AC50" i="2"/>
  <c r="AC311" i="2"/>
  <c r="AC370" i="2"/>
  <c r="AB299" i="2"/>
  <c r="AC289" i="2"/>
  <c r="AB297" i="2"/>
  <c r="AC336" i="2"/>
  <c r="AB231" i="2"/>
  <c r="AC217" i="2"/>
  <c r="AB329" i="2"/>
  <c r="AB173" i="2"/>
  <c r="AC40" i="2"/>
  <c r="AC355" i="2"/>
  <c r="AC250" i="2"/>
  <c r="AC275" i="2"/>
  <c r="AB131" i="2"/>
  <c r="AB238" i="2"/>
  <c r="AB215" i="2"/>
  <c r="AB363" i="2"/>
  <c r="AB288" i="2"/>
  <c r="AB71" i="2"/>
  <c r="AC68" i="2"/>
  <c r="AC30" i="2"/>
  <c r="AC130" i="2"/>
  <c r="AB160" i="2"/>
  <c r="AC303" i="2"/>
  <c r="AC232" i="2"/>
  <c r="AC205" i="2"/>
  <c r="AC212" i="2"/>
  <c r="AB309" i="2"/>
  <c r="AC77" i="2"/>
  <c r="AC116" i="2"/>
  <c r="AC142" i="2"/>
  <c r="AC113" i="2"/>
  <c r="AB222" i="2"/>
  <c r="AC368" i="2"/>
  <c r="AB351" i="2"/>
  <c r="AC49" i="2"/>
  <c r="AC211" i="2"/>
  <c r="AB258" i="2"/>
  <c r="AB47" i="2"/>
  <c r="AC245" i="2"/>
  <c r="AB291" i="2"/>
  <c r="AC128" i="2"/>
  <c r="AC362" i="2"/>
  <c r="AB346" i="2"/>
  <c r="AC244" i="2"/>
  <c r="AC360" i="2"/>
  <c r="AB145" i="2"/>
  <c r="AB50" i="2"/>
  <c r="AB324" i="2"/>
  <c r="AB130" i="2"/>
  <c r="AB333" i="2"/>
  <c r="AC209" i="2"/>
  <c r="AC223" i="2"/>
  <c r="AB8" i="2"/>
  <c r="AB340" i="2"/>
  <c r="AC18" i="2"/>
  <c r="AC261" i="2"/>
  <c r="AB332" i="2"/>
  <c r="AB94" i="2"/>
  <c r="AC26" i="2"/>
  <c r="AB181" i="2"/>
  <c r="AC284" i="2"/>
  <c r="AC346" i="2"/>
  <c r="AC37" i="2"/>
  <c r="AB37" i="2"/>
  <c r="AC260" i="2"/>
  <c r="AB274" i="2"/>
  <c r="AB34" i="2"/>
  <c r="AB343" i="2"/>
  <c r="AB234" i="2"/>
  <c r="AC268" i="2"/>
  <c r="AB43" i="2"/>
  <c r="AB79" i="2"/>
  <c r="AB195" i="2"/>
  <c r="AB228" i="2"/>
  <c r="AC371" i="2"/>
  <c r="AB41" i="2"/>
  <c r="AB289" i="2"/>
  <c r="AB349" i="2"/>
  <c r="AB23" i="2"/>
  <c r="AC347" i="2"/>
  <c r="AB355" i="2"/>
  <c r="AC31" i="2"/>
  <c r="AC169" i="2"/>
  <c r="AB202" i="2"/>
  <c r="AC161" i="2"/>
  <c r="AB24" i="2"/>
  <c r="AC127" i="2"/>
  <c r="AB125" i="2"/>
  <c r="AC224" i="2"/>
  <c r="AC33" i="2"/>
  <c r="AC332" i="2"/>
  <c r="AC94" i="2"/>
  <c r="AC252" i="2"/>
  <c r="AC285" i="2"/>
  <c r="AC187" i="2"/>
  <c r="AC330" i="2"/>
  <c r="AC36" i="2"/>
  <c r="AB214" i="2"/>
  <c r="AC95" i="2"/>
  <c r="AB97" i="2"/>
  <c r="AC226" i="2"/>
  <c r="AB367" i="2"/>
  <c r="AC34" i="2"/>
  <c r="AB328" i="2"/>
  <c r="AC164" i="2"/>
  <c r="AC225" i="2"/>
  <c r="AC64" i="2"/>
  <c r="AB246" i="2"/>
  <c r="AC202" i="2"/>
  <c r="AB39" i="2"/>
  <c r="AB91" i="2"/>
  <c r="AC178" i="2"/>
  <c r="AB178" i="2"/>
  <c r="AC341" i="2"/>
  <c r="AC291" i="2"/>
  <c r="AC119" i="2"/>
  <c r="AC139" i="2"/>
  <c r="AC356" i="2"/>
  <c r="AC80" i="2"/>
  <c r="AC133" i="2"/>
  <c r="AB370" i="2"/>
  <c r="AB142" i="2"/>
  <c r="AB327" i="2"/>
  <c r="AB285" i="2"/>
  <c r="AC230" i="2"/>
  <c r="AB61" i="2"/>
  <c r="AB362" i="2"/>
  <c r="AC258" i="2"/>
  <c r="AC86" i="2"/>
  <c r="AC97" i="2"/>
  <c r="AC242" i="2"/>
  <c r="AB136" i="2"/>
  <c r="AB267" i="2"/>
  <c r="AC342" i="2"/>
  <c r="AC248" i="2"/>
  <c r="AC208" i="2"/>
  <c r="AB323" i="2"/>
  <c r="AC43" i="2"/>
  <c r="AB281" i="2"/>
  <c r="AC331" i="2"/>
  <c r="AB368" i="2"/>
  <c r="AC73" i="2"/>
  <c r="AB66" i="2"/>
  <c r="AC11" i="2"/>
  <c r="AC58" i="2"/>
  <c r="AC210" i="2"/>
  <c r="AC366" i="2"/>
  <c r="AB347" i="2"/>
  <c r="AC264" i="2"/>
  <c r="AC300" i="2"/>
  <c r="AB161" i="2"/>
  <c r="AC66" i="2"/>
  <c r="AC67" i="2"/>
  <c r="AC167" i="2"/>
  <c r="AB255" i="2"/>
  <c r="AB350" i="2"/>
  <c r="AB139" i="2"/>
  <c r="AB224" i="2"/>
  <c r="AC267" i="2"/>
  <c r="AC372" i="2"/>
  <c r="AB352" i="2"/>
  <c r="AB28" i="2"/>
  <c r="AC152" i="2"/>
  <c r="AB248" i="2"/>
  <c r="AB109" i="2"/>
  <c r="AC186" i="2"/>
  <c r="AB365" i="2"/>
  <c r="AC155" i="2"/>
  <c r="AB284" i="2"/>
  <c r="AB217" i="2"/>
  <c r="AC316" i="2"/>
  <c r="AB241" i="2"/>
  <c r="AC351" i="2"/>
  <c r="AC92" i="2"/>
  <c r="AB260" i="2"/>
  <c r="AC274" i="2"/>
  <c r="AB307" i="2"/>
  <c r="AC280" i="2"/>
  <c r="AB268" i="2"/>
  <c r="AB372" i="2"/>
  <c r="AB191" i="2"/>
  <c r="AC340" i="2"/>
  <c r="AC28" i="2"/>
  <c r="AC254" i="2"/>
  <c r="AC359" i="2"/>
  <c r="AC339" i="2"/>
  <c r="AB27" i="2"/>
  <c r="AC329" i="2"/>
  <c r="AB353" i="2"/>
  <c r="AB316" i="2"/>
  <c r="AC147" i="2"/>
  <c r="AC256" i="2"/>
  <c r="AC241" i="2"/>
  <c r="AC98" i="2"/>
  <c r="AC23" i="2"/>
  <c r="AB74" i="2"/>
  <c r="AC294" i="2"/>
  <c r="AB356" i="2"/>
  <c r="AB244" i="2"/>
  <c r="AB366" i="2"/>
  <c r="AB336" i="2"/>
  <c r="AC288" i="2"/>
  <c r="AC21" i="2"/>
  <c r="AB67" i="2"/>
  <c r="AB106" i="2"/>
  <c r="AC160" i="2"/>
  <c r="AC354" i="2"/>
  <c r="AB262" i="2"/>
  <c r="AB345" i="2"/>
  <c r="AB17" i="2"/>
  <c r="AC145" i="2"/>
  <c r="AB225" i="2"/>
  <c r="AB293" i="2"/>
  <c r="AB55" i="2"/>
  <c r="AC106" i="2"/>
  <c r="AC235" i="2"/>
  <c r="AB310" i="2"/>
  <c r="AC333" i="2"/>
  <c r="AB361" i="2"/>
  <c r="AB280" i="2"/>
  <c r="AC272" i="2"/>
  <c r="AB339" i="2"/>
  <c r="AC27" i="2"/>
  <c r="AC78" i="2"/>
  <c r="AC222" i="2"/>
  <c r="AC353" i="2"/>
  <c r="AB36" i="2"/>
  <c r="AB256" i="2"/>
  <c r="AC364" i="2"/>
  <c r="AC48" i="2"/>
  <c r="AC47" i="2"/>
  <c r="AB85" i="2"/>
  <c r="AC228" i="2"/>
  <c r="AC306" i="2"/>
  <c r="AB127" i="2"/>
  <c r="AB58" i="2"/>
  <c r="AC249" i="2"/>
  <c r="AB311" i="2"/>
  <c r="AB54" i="2"/>
  <c r="AC100" i="2"/>
  <c r="AB220" i="2"/>
  <c r="AB11" i="2"/>
  <c r="AB20" i="2"/>
  <c r="AC216" i="2"/>
  <c r="AB275" i="2"/>
  <c r="AC297" i="2"/>
  <c r="AC17" i="2"/>
  <c r="AB146" i="2"/>
  <c r="AC150" i="2"/>
  <c r="AC122" i="2"/>
  <c r="AB249" i="2"/>
  <c r="AC310" i="2"/>
  <c r="AB341" i="2"/>
  <c r="AB335" i="2"/>
  <c r="AC309" i="2"/>
  <c r="AC88" i="2"/>
  <c r="AC327" i="2"/>
  <c r="AC82" i="2"/>
  <c r="AB155" i="2"/>
  <c r="AB230" i="2"/>
  <c r="AC195" i="2"/>
  <c r="AC214" i="2"/>
  <c r="AB331" i="2"/>
  <c r="AC345" i="2"/>
  <c r="AC62" i="2"/>
  <c r="AC55" i="2"/>
  <c r="AC39" i="2"/>
  <c r="AC234" i="2"/>
  <c r="AC262" i="2"/>
  <c r="AC238" i="2"/>
  <c r="AB124" i="2"/>
  <c r="AC71" i="2"/>
  <c r="AB62" i="2"/>
  <c r="AB46" i="2"/>
  <c r="AB112" i="2"/>
  <c r="AC348" i="2"/>
  <c r="AB245" i="2"/>
  <c r="AC41" i="2"/>
  <c r="AC20" i="2"/>
  <c r="AB348" i="2"/>
  <c r="AC131" i="2"/>
  <c r="AC146" i="2"/>
  <c r="AC220" i="2"/>
  <c r="AB31" i="2"/>
  <c r="AB52" i="2"/>
  <c r="AB118" i="2"/>
  <c r="AB122" i="2"/>
  <c r="AB158" i="2"/>
  <c r="AC246" i="2"/>
  <c r="AC263" i="2"/>
  <c r="AC24" i="2"/>
  <c r="AB303" i="2"/>
  <c r="AC14" i="2"/>
  <c r="AC326" i="2"/>
  <c r="AC344" i="2"/>
  <c r="AC191" i="2"/>
  <c r="AB254" i="2"/>
  <c r="AC229" i="2"/>
  <c r="AB243" i="2"/>
  <c r="AB296" i="2"/>
  <c r="AC335" i="2"/>
  <c r="AB26" i="2"/>
  <c r="AC198" i="2"/>
  <c r="AB121" i="2"/>
  <c r="AC299" i="2"/>
  <c r="AB211" i="2"/>
  <c r="AC85" i="2"/>
  <c r="AB371" i="2"/>
  <c r="M141" i="2"/>
  <c r="I141" i="2"/>
  <c r="R141" i="2"/>
  <c r="K141" i="2"/>
  <c r="Q141" i="2"/>
  <c r="J141" i="2"/>
  <c r="P141" i="2"/>
  <c r="O141" i="2"/>
  <c r="S141" i="2"/>
  <c r="N141" i="2"/>
  <c r="L141" i="2"/>
  <c r="K108" i="2"/>
  <c r="P108" i="2"/>
  <c r="J108" i="2"/>
  <c r="S108" i="2"/>
  <c r="M108" i="2"/>
  <c r="R108" i="2"/>
  <c r="N108" i="2"/>
  <c r="Q108" i="2"/>
  <c r="O108" i="2"/>
  <c r="L108" i="2"/>
  <c r="I108" i="2"/>
  <c r="M140" i="2"/>
  <c r="L140" i="2"/>
  <c r="J140" i="2"/>
  <c r="I140" i="2"/>
  <c r="S140" i="2"/>
  <c r="Q140" i="2"/>
  <c r="R140" i="2"/>
  <c r="K140" i="2"/>
  <c r="P140" i="2"/>
  <c r="O140" i="2"/>
  <c r="N140" i="2"/>
  <c r="M272" i="2"/>
  <c r="P242" i="2"/>
  <c r="S290" i="2"/>
  <c r="N290" i="2"/>
  <c r="M290" i="2"/>
  <c r="K290" i="2"/>
  <c r="P290" i="2"/>
  <c r="O290" i="2"/>
  <c r="J290" i="2"/>
  <c r="I290" i="2"/>
  <c r="Q290" i="2"/>
  <c r="L290" i="2"/>
  <c r="R290" i="2"/>
  <c r="AB319" i="2"/>
  <c r="AB59" i="2"/>
  <c r="M201" i="2"/>
  <c r="O210" i="2"/>
  <c r="AB207" i="2"/>
  <c r="J68" i="2"/>
  <c r="O68" i="2"/>
  <c r="P64" i="2"/>
  <c r="K60" i="2"/>
  <c r="J60" i="2"/>
  <c r="S60" i="2"/>
  <c r="P60" i="2"/>
  <c r="N60" i="2"/>
  <c r="I60" i="2"/>
  <c r="R60" i="2"/>
  <c r="M60" i="2"/>
  <c r="L60" i="2"/>
  <c r="Q60" i="2"/>
  <c r="O60" i="2"/>
  <c r="O103" i="2"/>
  <c r="Q264" i="2"/>
  <c r="L264" i="2"/>
  <c r="N358" i="2"/>
  <c r="N263" i="2"/>
  <c r="O30" i="2"/>
  <c r="O21" i="2"/>
  <c r="M45" i="2"/>
  <c r="R45" i="2"/>
  <c r="P45" i="2"/>
  <c r="N45" i="2"/>
  <c r="Q45" i="2"/>
  <c r="L45" i="2"/>
  <c r="K45" i="2"/>
  <c r="O45" i="2"/>
  <c r="J45" i="2"/>
  <c r="I45" i="2"/>
  <c r="S45" i="2"/>
  <c r="N235" i="2"/>
  <c r="R76" i="2"/>
  <c r="O76" i="2"/>
  <c r="Q119" i="2"/>
  <c r="P119" i="2"/>
  <c r="S232" i="2"/>
  <c r="N223" i="2"/>
  <c r="L344" i="2"/>
  <c r="L33" i="2"/>
  <c r="Q133" i="2"/>
  <c r="I152" i="2"/>
  <c r="M208" i="2"/>
  <c r="I261" i="2"/>
  <c r="M261" i="2"/>
  <c r="Q272" i="2"/>
  <c r="R359" i="2"/>
  <c r="M35" i="2"/>
  <c r="J35" i="2"/>
  <c r="R35" i="2"/>
  <c r="N35" i="2"/>
  <c r="Q35" i="2"/>
  <c r="O35" i="2"/>
  <c r="P35" i="2"/>
  <c r="L35" i="2"/>
  <c r="K35" i="2"/>
  <c r="S35" i="2"/>
  <c r="I35" i="2"/>
  <c r="Q116" i="2"/>
  <c r="AB199" i="2"/>
  <c r="O252" i="2"/>
  <c r="Q318" i="2"/>
  <c r="P318" i="2"/>
  <c r="S318" i="2"/>
  <c r="L318" i="2"/>
  <c r="R318" i="2"/>
  <c r="J318" i="2"/>
  <c r="O318" i="2"/>
  <c r="I318" i="2"/>
  <c r="N318" i="2"/>
  <c r="M318" i="2"/>
  <c r="K318" i="2"/>
  <c r="Q82" i="2"/>
  <c r="Q51" i="2"/>
  <c r="R51" i="2"/>
  <c r="J147" i="2"/>
  <c r="Q147" i="2"/>
  <c r="AB182" i="2"/>
  <c r="K163" i="2"/>
  <c r="N163" i="2"/>
  <c r="I163" i="2"/>
  <c r="M163" i="2"/>
  <c r="O163" i="2"/>
  <c r="R163" i="2"/>
  <c r="L163" i="2"/>
  <c r="J163" i="2"/>
  <c r="P163" i="2"/>
  <c r="Q163" i="2"/>
  <c r="S163" i="2"/>
  <c r="I266" i="2"/>
  <c r="N266" i="2"/>
  <c r="S266" i="2"/>
  <c r="L266" i="2"/>
  <c r="M266" i="2"/>
  <c r="K266" i="2"/>
  <c r="J266" i="2"/>
  <c r="Q266" i="2"/>
  <c r="R266" i="2"/>
  <c r="P266" i="2"/>
  <c r="O266" i="2"/>
  <c r="P49" i="2"/>
  <c r="S49" i="2"/>
  <c r="L48" i="2"/>
  <c r="M242" i="2"/>
  <c r="J242" i="2"/>
  <c r="P226" i="2"/>
  <c r="R247" i="2"/>
  <c r="I247" i="2"/>
  <c r="M101" i="2"/>
  <c r="S101" i="2"/>
  <c r="O101" i="2"/>
  <c r="Q101" i="2"/>
  <c r="N101" i="2"/>
  <c r="K101" i="2"/>
  <c r="I101" i="2"/>
  <c r="R101" i="2"/>
  <c r="J101" i="2"/>
  <c r="L101" i="2"/>
  <c r="P101" i="2"/>
  <c r="I68" i="2"/>
  <c r="R326" i="2"/>
  <c r="P168" i="2"/>
  <c r="R168" i="2"/>
  <c r="N168" i="2"/>
  <c r="J168" i="2"/>
  <c r="O168" i="2"/>
  <c r="M168" i="2"/>
  <c r="I168" i="2"/>
  <c r="L168" i="2"/>
  <c r="S168" i="2"/>
  <c r="K168" i="2"/>
  <c r="Q168" i="2"/>
  <c r="O82" i="2"/>
  <c r="S32" i="2"/>
  <c r="P32" i="2"/>
  <c r="R32" i="2"/>
  <c r="M32" i="2"/>
  <c r="Q32" i="2"/>
  <c r="N32" i="2"/>
  <c r="O32" i="2"/>
  <c r="J32" i="2"/>
  <c r="I32" i="2"/>
  <c r="L32" i="2"/>
  <c r="K32" i="2"/>
  <c r="P259" i="2"/>
  <c r="M68" i="2"/>
  <c r="Q64" i="2"/>
  <c r="I64" i="2"/>
  <c r="M103" i="2"/>
  <c r="O358" i="2"/>
  <c r="K30" i="2"/>
  <c r="AC153" i="2"/>
  <c r="Q223" i="2"/>
  <c r="M12" i="2"/>
  <c r="J12" i="2"/>
  <c r="R12" i="2"/>
  <c r="L12" i="2"/>
  <c r="Q12" i="2"/>
  <c r="K12" i="2"/>
  <c r="P12" i="2"/>
  <c r="I12" i="2"/>
  <c r="O12" i="2"/>
  <c r="N12" i="2"/>
  <c r="S12" i="2"/>
  <c r="J33" i="2"/>
  <c r="S133" i="2"/>
  <c r="Q152" i="2"/>
  <c r="O152" i="2"/>
  <c r="R272" i="2"/>
  <c r="N272" i="2"/>
  <c r="Q359" i="2"/>
  <c r="L359" i="2"/>
  <c r="O16" i="2"/>
  <c r="Q16" i="2"/>
  <c r="M16" i="2"/>
  <c r="N16" i="2"/>
  <c r="K16" i="2"/>
  <c r="R16" i="2"/>
  <c r="L16" i="2"/>
  <c r="P16" i="2"/>
  <c r="S16" i="2"/>
  <c r="I16" i="2"/>
  <c r="J16" i="2"/>
  <c r="N88" i="2"/>
  <c r="R116" i="2"/>
  <c r="K252" i="2"/>
  <c r="P252" i="2"/>
  <c r="S82" i="2"/>
  <c r="M198" i="2"/>
  <c r="P330" i="2"/>
  <c r="K330" i="2"/>
  <c r="S51" i="2"/>
  <c r="L51" i="2"/>
  <c r="K147" i="2"/>
  <c r="R147" i="2"/>
  <c r="AB240" i="2"/>
  <c r="M313" i="2"/>
  <c r="R313" i="2"/>
  <c r="S313" i="2"/>
  <c r="K313" i="2"/>
  <c r="Q313" i="2"/>
  <c r="J313" i="2"/>
  <c r="O313" i="2"/>
  <c r="I313" i="2"/>
  <c r="N313" i="2"/>
  <c r="P313" i="2"/>
  <c r="L313" i="2"/>
  <c r="Q90" i="2"/>
  <c r="P90" i="2"/>
  <c r="J90" i="2"/>
  <c r="K90" i="2"/>
  <c r="S90" i="2"/>
  <c r="M90" i="2"/>
  <c r="R90" i="2"/>
  <c r="O90" i="2"/>
  <c r="N90" i="2"/>
  <c r="I90" i="2"/>
  <c r="L90" i="2"/>
  <c r="K49" i="2"/>
  <c r="K48" i="2"/>
  <c r="K95" i="2"/>
  <c r="AB137" i="2"/>
  <c r="J226" i="2"/>
  <c r="AB306" i="2"/>
  <c r="R251" i="2"/>
  <c r="S251" i="2"/>
  <c r="Q251" i="2"/>
  <c r="I251" i="2"/>
  <c r="P251" i="2"/>
  <c r="L251" i="2"/>
  <c r="N251" i="2"/>
  <c r="O251" i="2"/>
  <c r="J251" i="2"/>
  <c r="M251" i="2"/>
  <c r="K251" i="2"/>
  <c r="AB237" i="2"/>
  <c r="P264" i="2"/>
  <c r="P192" i="2"/>
  <c r="N192" i="2"/>
  <c r="K192" i="2"/>
  <c r="Q192" i="2"/>
  <c r="J192" i="2"/>
  <c r="O192" i="2"/>
  <c r="L192" i="2"/>
  <c r="M192" i="2"/>
  <c r="R192" i="2"/>
  <c r="S192" i="2"/>
  <c r="I192" i="2"/>
  <c r="I201" i="2"/>
  <c r="AB189" i="2"/>
  <c r="Q210" i="2"/>
  <c r="R164" i="2"/>
  <c r="N204" i="2"/>
  <c r="S204" i="2"/>
  <c r="R204" i="2"/>
  <c r="J204" i="2"/>
  <c r="I204" i="2"/>
  <c r="P204" i="2"/>
  <c r="M204" i="2"/>
  <c r="O204" i="2"/>
  <c r="L204" i="2"/>
  <c r="K204" i="2"/>
  <c r="Q204" i="2"/>
  <c r="P68" i="2"/>
  <c r="S64" i="2"/>
  <c r="K103" i="2"/>
  <c r="R103" i="2"/>
  <c r="M264" i="2"/>
  <c r="R358" i="2"/>
  <c r="P263" i="2"/>
  <c r="S30" i="2"/>
  <c r="AC314" i="2"/>
  <c r="J354" i="2"/>
  <c r="S76" i="2"/>
  <c r="R119" i="2"/>
  <c r="R223" i="2"/>
  <c r="J326" i="2"/>
  <c r="M344" i="2"/>
  <c r="O33" i="2"/>
  <c r="AC89" i="2"/>
  <c r="S152" i="2"/>
  <c r="O208" i="2"/>
  <c r="J261" i="2"/>
  <c r="S359" i="2"/>
  <c r="N166" i="2"/>
  <c r="M166" i="2"/>
  <c r="P166" i="2"/>
  <c r="K166" i="2"/>
  <c r="L166" i="2"/>
  <c r="R166" i="2"/>
  <c r="J166" i="2"/>
  <c r="Q166" i="2"/>
  <c r="I166" i="2"/>
  <c r="S166" i="2"/>
  <c r="O166" i="2"/>
  <c r="I78" i="2"/>
  <c r="J77" i="2"/>
  <c r="J88" i="2"/>
  <c r="Q252" i="2"/>
  <c r="I113" i="2"/>
  <c r="Q330" i="2"/>
  <c r="S147" i="2"/>
  <c r="N183" i="2"/>
  <c r="R183" i="2"/>
  <c r="Q183" i="2"/>
  <c r="P183" i="2"/>
  <c r="K183" i="2"/>
  <c r="O183" i="2"/>
  <c r="L183" i="2"/>
  <c r="M183" i="2"/>
  <c r="J183" i="2"/>
  <c r="S183" i="2"/>
  <c r="I183" i="2"/>
  <c r="R49" i="2"/>
  <c r="S95" i="2"/>
  <c r="N242" i="2"/>
  <c r="Q242" i="2"/>
  <c r="AB308" i="2"/>
  <c r="AB269" i="2"/>
  <c r="AB286" i="2"/>
  <c r="N278" i="2"/>
  <c r="M278" i="2"/>
  <c r="L278" i="2"/>
  <c r="J278" i="2"/>
  <c r="K278" i="2"/>
  <c r="R278" i="2"/>
  <c r="I278" i="2"/>
  <c r="Q278" i="2"/>
  <c r="S278" i="2"/>
  <c r="P278" i="2"/>
  <c r="O278" i="2"/>
  <c r="AB206" i="2"/>
  <c r="P326" i="2"/>
  <c r="O4" i="2"/>
  <c r="K4" i="2"/>
  <c r="L171" i="2"/>
  <c r="J171" i="2"/>
  <c r="M171" i="2"/>
  <c r="I171" i="2"/>
  <c r="S171" i="2"/>
  <c r="P171" i="2"/>
  <c r="K171" i="2"/>
  <c r="R171" i="2"/>
  <c r="N171" i="2"/>
  <c r="Q171" i="2"/>
  <c r="O171" i="2"/>
  <c r="K271" i="2"/>
  <c r="S271" i="2"/>
  <c r="L271" i="2"/>
  <c r="J271" i="2"/>
  <c r="N271" i="2"/>
  <c r="I271" i="2"/>
  <c r="P271" i="2"/>
  <c r="M271" i="2"/>
  <c r="O271" i="2"/>
  <c r="R271" i="2"/>
  <c r="Q271" i="2"/>
  <c r="AC319" i="2"/>
  <c r="P272" i="2"/>
  <c r="O272" i="2"/>
  <c r="M88" i="2"/>
  <c r="O88" i="2"/>
  <c r="I82" i="2"/>
  <c r="L198" i="2"/>
  <c r="AC278" i="2"/>
  <c r="O147" i="2"/>
  <c r="AB325" i="2"/>
  <c r="L295" i="2"/>
  <c r="R295" i="2"/>
  <c r="M295" i="2"/>
  <c r="N295" i="2"/>
  <c r="K295" i="2"/>
  <c r="J295" i="2"/>
  <c r="I295" i="2"/>
  <c r="S295" i="2"/>
  <c r="Q295" i="2"/>
  <c r="O295" i="2"/>
  <c r="P295" i="2"/>
  <c r="J49" i="2"/>
  <c r="AB322" i="2"/>
  <c r="AB44" i="2"/>
  <c r="P51" i="2"/>
  <c r="R210" i="2"/>
  <c r="O19" i="2"/>
  <c r="I19" i="2"/>
  <c r="N19" i="2"/>
  <c r="M19" i="2"/>
  <c r="K19" i="2"/>
  <c r="P19" i="2"/>
  <c r="Q19" i="2"/>
  <c r="R19" i="2"/>
  <c r="S19" i="2"/>
  <c r="J19" i="2"/>
  <c r="L19" i="2"/>
  <c r="AC151" i="2"/>
  <c r="AB233" i="2"/>
  <c r="S25" i="2"/>
  <c r="M25" i="2"/>
  <c r="O25" i="2"/>
  <c r="P25" i="2"/>
  <c r="Q25" i="2"/>
  <c r="R25" i="2"/>
  <c r="J25" i="2"/>
  <c r="L25" i="2"/>
  <c r="N25" i="2"/>
  <c r="K25" i="2"/>
  <c r="I25" i="2"/>
  <c r="P164" i="2"/>
  <c r="I164" i="2"/>
  <c r="K259" i="2"/>
  <c r="I259" i="2"/>
  <c r="Q68" i="2"/>
  <c r="P103" i="2"/>
  <c r="J358" i="2"/>
  <c r="M263" i="2"/>
  <c r="Q263" i="2"/>
  <c r="R30" i="2"/>
  <c r="P354" i="2"/>
  <c r="N232" i="2"/>
  <c r="J223" i="2"/>
  <c r="K326" i="2"/>
  <c r="I344" i="2"/>
  <c r="P344" i="2"/>
  <c r="O283" i="2"/>
  <c r="K283" i="2"/>
  <c r="N283" i="2"/>
  <c r="J283" i="2"/>
  <c r="R283" i="2"/>
  <c r="M283" i="2"/>
  <c r="I283" i="2"/>
  <c r="S283" i="2"/>
  <c r="Q283" i="2"/>
  <c r="P283" i="2"/>
  <c r="L283" i="2"/>
  <c r="K33" i="2"/>
  <c r="S33" i="2"/>
  <c r="R133" i="2"/>
  <c r="P208" i="2"/>
  <c r="K261" i="2"/>
  <c r="S272" i="2"/>
  <c r="J78" i="2"/>
  <c r="P88" i="2"/>
  <c r="S252" i="2"/>
  <c r="L82" i="2"/>
  <c r="AC154" i="2"/>
  <c r="O330" i="2"/>
  <c r="I51" i="2"/>
  <c r="L314" i="2"/>
  <c r="P314" i="2"/>
  <c r="I314" i="2"/>
  <c r="S314" i="2"/>
  <c r="Q314" i="2"/>
  <c r="N314" i="2"/>
  <c r="R314" i="2"/>
  <c r="M314" i="2"/>
  <c r="O314" i="2"/>
  <c r="J314" i="2"/>
  <c r="K314" i="2"/>
  <c r="AB29" i="2"/>
  <c r="O242" i="2"/>
  <c r="J247" i="2"/>
  <c r="I176" i="2"/>
  <c r="J176" i="2"/>
  <c r="R176" i="2"/>
  <c r="Q176" i="2"/>
  <c r="N176" i="2"/>
  <c r="P176" i="2"/>
  <c r="O176" i="2"/>
  <c r="M176" i="2"/>
  <c r="K176" i="2"/>
  <c r="L176" i="2"/>
  <c r="S176" i="2"/>
  <c r="AB227" i="2"/>
  <c r="K201" i="2"/>
  <c r="S210" i="2"/>
  <c r="J38" i="2"/>
  <c r="R38" i="2"/>
  <c r="N38" i="2"/>
  <c r="P38" i="2"/>
  <c r="L38" i="2"/>
  <c r="O38" i="2"/>
  <c r="S38" i="2"/>
  <c r="M38" i="2"/>
  <c r="K38" i="2"/>
  <c r="I38" i="2"/>
  <c r="Q38" i="2"/>
  <c r="S201" i="2"/>
  <c r="J210" i="2"/>
  <c r="Q57" i="2"/>
  <c r="N57" i="2"/>
  <c r="M57" i="2"/>
  <c r="J57" i="2"/>
  <c r="I57" i="2"/>
  <c r="L57" i="2"/>
  <c r="P57" i="2"/>
  <c r="O57" i="2"/>
  <c r="K57" i="2"/>
  <c r="S57" i="2"/>
  <c r="R57" i="2"/>
  <c r="P120" i="2"/>
  <c r="I120" i="2"/>
  <c r="N120" i="2"/>
  <c r="L120" i="2"/>
  <c r="M120" i="2"/>
  <c r="R120" i="2"/>
  <c r="S120" i="2"/>
  <c r="K120" i="2"/>
  <c r="O120" i="2"/>
  <c r="Q120" i="2"/>
  <c r="J120" i="2"/>
  <c r="L164" i="2"/>
  <c r="M64" i="2"/>
  <c r="Q103" i="2"/>
  <c r="I103" i="2"/>
  <c r="O263" i="2"/>
  <c r="I30" i="2"/>
  <c r="Q21" i="2"/>
  <c r="AC63" i="2"/>
  <c r="N354" i="2"/>
  <c r="K76" i="2"/>
  <c r="J119" i="2"/>
  <c r="O232" i="2"/>
  <c r="K223" i="2"/>
  <c r="Q153" i="2"/>
  <c r="I153" i="2"/>
  <c r="J153" i="2"/>
  <c r="P153" i="2"/>
  <c r="O153" i="2"/>
  <c r="N153" i="2"/>
  <c r="M153" i="2"/>
  <c r="L153" i="2"/>
  <c r="R153" i="2"/>
  <c r="K153" i="2"/>
  <c r="S153" i="2"/>
  <c r="O342" i="2"/>
  <c r="Q321" i="2"/>
  <c r="P321" i="2"/>
  <c r="L321" i="2"/>
  <c r="K321" i="2"/>
  <c r="I321" i="2"/>
  <c r="N321" i="2"/>
  <c r="M321" i="2"/>
  <c r="S321" i="2"/>
  <c r="R321" i="2"/>
  <c r="J321" i="2"/>
  <c r="O321" i="2"/>
  <c r="K18" i="2"/>
  <c r="Q18" i="2"/>
  <c r="K133" i="2"/>
  <c r="AB185" i="2"/>
  <c r="J152" i="2"/>
  <c r="K152" i="2"/>
  <c r="J208" i="2"/>
  <c r="Q208" i="2"/>
  <c r="Q261" i="2"/>
  <c r="I272" i="2"/>
  <c r="P359" i="2"/>
  <c r="M77" i="2"/>
  <c r="O77" i="2"/>
  <c r="S88" i="2"/>
  <c r="K116" i="2"/>
  <c r="R128" i="2"/>
  <c r="AB69" i="2"/>
  <c r="R82" i="2"/>
  <c r="N198" i="2"/>
  <c r="I147" i="2"/>
  <c r="L49" i="2"/>
  <c r="Q49" i="2"/>
  <c r="P48" i="2"/>
  <c r="O95" i="2"/>
  <c r="M226" i="2"/>
  <c r="M247" i="2"/>
  <c r="N201" i="2"/>
  <c r="I194" i="2"/>
  <c r="Q194" i="2"/>
  <c r="R194" i="2"/>
  <c r="P194" i="2"/>
  <c r="O194" i="2"/>
  <c r="L194" i="2"/>
  <c r="J194" i="2"/>
  <c r="N194" i="2"/>
  <c r="M194" i="2"/>
  <c r="K194" i="2"/>
  <c r="S194" i="2"/>
  <c r="N164" i="2"/>
  <c r="J164" i="2"/>
  <c r="L259" i="2"/>
  <c r="L68" i="2"/>
  <c r="I264" i="2"/>
  <c r="L358" i="2"/>
  <c r="J263" i="2"/>
  <c r="N30" i="2"/>
  <c r="J21" i="2"/>
  <c r="R21" i="2"/>
  <c r="O235" i="2"/>
  <c r="I235" i="2"/>
  <c r="M76" i="2"/>
  <c r="K119" i="2"/>
  <c r="P232" i="2"/>
  <c r="O223" i="2"/>
  <c r="I326" i="2"/>
  <c r="L326" i="2"/>
  <c r="J344" i="2"/>
  <c r="S115" i="2"/>
  <c r="K115" i="2"/>
  <c r="L115" i="2"/>
  <c r="J115" i="2"/>
  <c r="R115" i="2"/>
  <c r="Q115" i="2"/>
  <c r="P115" i="2"/>
  <c r="O115" i="2"/>
  <c r="N115" i="2"/>
  <c r="M115" i="2"/>
  <c r="I115" i="2"/>
  <c r="Q302" i="2"/>
  <c r="R302" i="2"/>
  <c r="O302" i="2"/>
  <c r="M302" i="2"/>
  <c r="I302" i="2"/>
  <c r="N302" i="2"/>
  <c r="L302" i="2"/>
  <c r="K302" i="2"/>
  <c r="P302" i="2"/>
  <c r="J302" i="2"/>
  <c r="S302" i="2"/>
  <c r="N208" i="2"/>
  <c r="R208" i="2"/>
  <c r="P261" i="2"/>
  <c r="N261" i="2"/>
  <c r="N78" i="2"/>
  <c r="S78" i="2"/>
  <c r="N77" i="2"/>
  <c r="K88" i="2"/>
  <c r="I252" i="2"/>
  <c r="L252" i="2"/>
  <c r="J63" i="2"/>
  <c r="N63" i="2"/>
  <c r="I63" i="2"/>
  <c r="P63" i="2"/>
  <c r="S63" i="2"/>
  <c r="R63" i="2"/>
  <c r="M63" i="2"/>
  <c r="L63" i="2"/>
  <c r="Q63" i="2"/>
  <c r="K63" i="2"/>
  <c r="O63" i="2"/>
  <c r="J198" i="2"/>
  <c r="I330" i="2"/>
  <c r="Q87" i="2"/>
  <c r="K87" i="2"/>
  <c r="I87" i="2"/>
  <c r="S87" i="2"/>
  <c r="R87" i="2"/>
  <c r="P87" i="2"/>
  <c r="M87" i="2"/>
  <c r="O87" i="2"/>
  <c r="N87" i="2"/>
  <c r="J87" i="2"/>
  <c r="L87" i="2"/>
  <c r="K104" i="2"/>
  <c r="L104" i="2"/>
  <c r="R104" i="2"/>
  <c r="J104" i="2"/>
  <c r="Q104" i="2"/>
  <c r="I104" i="2"/>
  <c r="S104" i="2"/>
  <c r="P104" i="2"/>
  <c r="M104" i="2"/>
  <c r="O104" i="2"/>
  <c r="N104" i="2"/>
  <c r="K51" i="2"/>
  <c r="J51" i="2"/>
  <c r="L147" i="2"/>
  <c r="I49" i="2"/>
  <c r="Q48" i="2"/>
  <c r="AC213" i="2"/>
  <c r="R242" i="2"/>
  <c r="N247" i="2"/>
  <c r="K247" i="2"/>
  <c r="Q326" i="2"/>
  <c r="I210" i="2"/>
  <c r="K354" i="2"/>
  <c r="P210" i="2"/>
  <c r="R114" i="2"/>
  <c r="O114" i="2"/>
  <c r="I114" i="2"/>
  <c r="S114" i="2"/>
  <c r="N114" i="2"/>
  <c r="K114" i="2"/>
  <c r="J114" i="2"/>
  <c r="M114" i="2"/>
  <c r="L114" i="2"/>
  <c r="Q114" i="2"/>
  <c r="P114" i="2"/>
  <c r="Q188" i="2"/>
  <c r="I188" i="2"/>
  <c r="R188" i="2"/>
  <c r="O188" i="2"/>
  <c r="K188" i="2"/>
  <c r="P188" i="2"/>
  <c r="N188" i="2"/>
  <c r="M188" i="2"/>
  <c r="L188" i="2"/>
  <c r="S188" i="2"/>
  <c r="J188" i="2"/>
  <c r="M175" i="2"/>
  <c r="L175" i="2"/>
  <c r="K175" i="2"/>
  <c r="J175" i="2"/>
  <c r="P175" i="2"/>
  <c r="S175" i="2"/>
  <c r="Q175" i="2"/>
  <c r="N175" i="2"/>
  <c r="R175" i="2"/>
  <c r="O175" i="2"/>
  <c r="I175" i="2"/>
  <c r="O164" i="2"/>
  <c r="M259" i="2"/>
  <c r="S68" i="2"/>
  <c r="N64" i="2"/>
  <c r="R64" i="2"/>
  <c r="K264" i="2"/>
  <c r="R264" i="2"/>
  <c r="L21" i="2"/>
  <c r="Q235" i="2"/>
  <c r="M354" i="2"/>
  <c r="I354" i="2"/>
  <c r="J232" i="2"/>
  <c r="P223" i="2"/>
  <c r="M326" i="2"/>
  <c r="M18" i="2"/>
  <c r="M33" i="2"/>
  <c r="L133" i="2"/>
  <c r="L152" i="2"/>
  <c r="S208" i="2"/>
  <c r="O261" i="2"/>
  <c r="L107" i="2"/>
  <c r="R107" i="2"/>
  <c r="J107" i="2"/>
  <c r="I107" i="2"/>
  <c r="Q107" i="2"/>
  <c r="P107" i="2"/>
  <c r="S107" i="2"/>
  <c r="O107" i="2"/>
  <c r="M107" i="2"/>
  <c r="N107" i="2"/>
  <c r="K107" i="2"/>
  <c r="K272" i="2"/>
  <c r="J272" i="2"/>
  <c r="I359" i="2"/>
  <c r="O78" i="2"/>
  <c r="K78" i="2"/>
  <c r="R77" i="2"/>
  <c r="L88" i="2"/>
  <c r="I88" i="2"/>
  <c r="AB184" i="2"/>
  <c r="N116" i="2"/>
  <c r="AC182" i="2"/>
  <c r="R113" i="2"/>
  <c r="AC271" i="2"/>
  <c r="O198" i="2"/>
  <c r="R330" i="2"/>
  <c r="Q144" i="2"/>
  <c r="J144" i="2"/>
  <c r="P144" i="2"/>
  <c r="O144" i="2"/>
  <c r="M144" i="2"/>
  <c r="I144" i="2"/>
  <c r="N144" i="2"/>
  <c r="L144" i="2"/>
  <c r="K144" i="2"/>
  <c r="S144" i="2"/>
  <c r="R144" i="2"/>
  <c r="S123" i="2"/>
  <c r="K123" i="2"/>
  <c r="R123" i="2"/>
  <c r="N123" i="2"/>
  <c r="Q123" i="2"/>
  <c r="M123" i="2"/>
  <c r="P123" i="2"/>
  <c r="I123" i="2"/>
  <c r="J123" i="2"/>
  <c r="L123" i="2"/>
  <c r="O123" i="2"/>
  <c r="O51" i="2"/>
  <c r="P147" i="2"/>
  <c r="M49" i="2"/>
  <c r="N48" i="2"/>
  <c r="R48" i="2"/>
  <c r="I95" i="2"/>
  <c r="P95" i="2"/>
  <c r="S242" i="2"/>
  <c r="N226" i="2"/>
  <c r="S247" i="2"/>
  <c r="M135" i="2"/>
  <c r="J135" i="2"/>
  <c r="I135" i="2"/>
  <c r="L135" i="2"/>
  <c r="R135" i="2"/>
  <c r="K135" i="2"/>
  <c r="S135" i="2"/>
  <c r="Q135" i="2"/>
  <c r="O135" i="2"/>
  <c r="P135" i="2"/>
  <c r="N135" i="2"/>
  <c r="K82" i="2"/>
  <c r="J201" i="2"/>
  <c r="O201" i="2"/>
  <c r="K210" i="2"/>
  <c r="K213" i="2"/>
  <c r="R213" i="2"/>
  <c r="Q213" i="2"/>
  <c r="M213" i="2"/>
  <c r="P213" i="2"/>
  <c r="L213" i="2"/>
  <c r="O213" i="2"/>
  <c r="S213" i="2"/>
  <c r="J213" i="2"/>
  <c r="N213" i="2"/>
  <c r="I213" i="2"/>
  <c r="Q164" i="2"/>
  <c r="K164" i="2"/>
  <c r="AC325" i="2"/>
  <c r="N259" i="2"/>
  <c r="N264" i="2"/>
  <c r="I358" i="2"/>
  <c r="K263" i="2"/>
  <c r="O354" i="2"/>
  <c r="Q102" i="2"/>
  <c r="P102" i="2"/>
  <c r="O102" i="2"/>
  <c r="I102" i="2"/>
  <c r="L102" i="2"/>
  <c r="K102" i="2"/>
  <c r="N102" i="2"/>
  <c r="J102" i="2"/>
  <c r="S102" i="2"/>
  <c r="R102" i="2"/>
  <c r="M102" i="2"/>
  <c r="L232" i="2"/>
  <c r="N326" i="2"/>
  <c r="S326" i="2"/>
  <c r="O344" i="2"/>
  <c r="AB86" i="2"/>
  <c r="I33" i="2"/>
  <c r="AC218" i="2"/>
  <c r="R261" i="2"/>
  <c r="O257" i="2"/>
  <c r="K257" i="2"/>
  <c r="S257" i="2"/>
  <c r="R257" i="2"/>
  <c r="N257" i="2"/>
  <c r="I257" i="2"/>
  <c r="M257" i="2"/>
  <c r="P257" i="2"/>
  <c r="Q257" i="2"/>
  <c r="J257" i="2"/>
  <c r="L257" i="2"/>
  <c r="P78" i="2"/>
  <c r="Q88" i="2"/>
  <c r="J252" i="2"/>
  <c r="M82" i="2"/>
  <c r="J113" i="2"/>
  <c r="I198" i="2"/>
  <c r="S330" i="2"/>
  <c r="J218" i="2"/>
  <c r="Q218" i="2"/>
  <c r="K218" i="2"/>
  <c r="I218" i="2"/>
  <c r="P218" i="2"/>
  <c r="N218" i="2"/>
  <c r="S218" i="2"/>
  <c r="O218" i="2"/>
  <c r="M218" i="2"/>
  <c r="R218" i="2"/>
  <c r="L218" i="2"/>
  <c r="R180" i="2"/>
  <c r="J180" i="2"/>
  <c r="N180" i="2"/>
  <c r="O180" i="2"/>
  <c r="L180" i="2"/>
  <c r="I180" i="2"/>
  <c r="P180" i="2"/>
  <c r="Q180" i="2"/>
  <c r="S180" i="2"/>
  <c r="M180" i="2"/>
  <c r="K180" i="2"/>
  <c r="P9" i="2"/>
  <c r="R9" i="2"/>
  <c r="J9" i="2"/>
  <c r="O9" i="2"/>
  <c r="L9" i="2"/>
  <c r="I9" i="2"/>
  <c r="N9" i="2"/>
  <c r="M9" i="2"/>
  <c r="S9" i="2"/>
  <c r="Q9" i="2"/>
  <c r="K9" i="2"/>
  <c r="O48" i="2"/>
  <c r="L95" i="2"/>
  <c r="L226" i="2"/>
  <c r="O226" i="2"/>
  <c r="O7" i="2"/>
  <c r="K7" i="2"/>
  <c r="N7" i="2"/>
  <c r="I7" i="2"/>
  <c r="P7" i="2"/>
  <c r="R7" i="2"/>
  <c r="J7" i="2"/>
  <c r="S7" i="2"/>
  <c r="L7" i="2"/>
  <c r="M7" i="2"/>
  <c r="Q7" i="2"/>
  <c r="J111" i="2"/>
  <c r="Q111" i="2"/>
  <c r="S111" i="2"/>
  <c r="R111" i="2"/>
  <c r="P111" i="2"/>
  <c r="I111" i="2"/>
  <c r="M111" i="2"/>
  <c r="O111" i="2"/>
  <c r="L111" i="2"/>
  <c r="N111" i="2"/>
  <c r="K111" i="2"/>
  <c r="M134" i="2"/>
  <c r="L134" i="2"/>
  <c r="Q134" i="2"/>
  <c r="N134" i="2"/>
  <c r="S134" i="2"/>
  <c r="J134" i="2"/>
  <c r="R134" i="2"/>
  <c r="P134" i="2"/>
  <c r="O134" i="2"/>
  <c r="K134" i="2"/>
  <c r="I134" i="2"/>
  <c r="R270" i="2"/>
  <c r="P270" i="2"/>
  <c r="J270" i="2"/>
  <c r="S270" i="2"/>
  <c r="K270" i="2"/>
  <c r="M270" i="2"/>
  <c r="Q270" i="2"/>
  <c r="I270" i="2"/>
  <c r="O270" i="2"/>
  <c r="N270" i="2"/>
  <c r="L270" i="2"/>
  <c r="J259" i="2"/>
  <c r="Q354" i="2"/>
  <c r="L157" i="2"/>
  <c r="P157" i="2"/>
  <c r="R157" i="2"/>
  <c r="S157" i="2"/>
  <c r="N157" i="2"/>
  <c r="M157" i="2"/>
  <c r="K157" i="2"/>
  <c r="Q157" i="2"/>
  <c r="J157" i="2"/>
  <c r="I157" i="2"/>
  <c r="O157" i="2"/>
  <c r="M232" i="2"/>
  <c r="K344" i="2"/>
  <c r="I133" i="2"/>
  <c r="Q78" i="2"/>
  <c r="L116" i="2"/>
  <c r="P82" i="2"/>
  <c r="K198" i="2"/>
  <c r="M273" i="2"/>
  <c r="P273" i="2"/>
  <c r="J273" i="2"/>
  <c r="L273" i="2"/>
  <c r="O273" i="2"/>
  <c r="S273" i="2"/>
  <c r="K273" i="2"/>
  <c r="R273" i="2"/>
  <c r="I273" i="2"/>
  <c r="Q273" i="2"/>
  <c r="N273" i="2"/>
  <c r="O13" i="2"/>
  <c r="S13" i="2"/>
  <c r="K13" i="2"/>
  <c r="L13" i="2"/>
  <c r="N13" i="2"/>
  <c r="P13" i="2"/>
  <c r="I13" i="2"/>
  <c r="J13" i="2"/>
  <c r="Q13" i="2"/>
  <c r="M13" i="2"/>
  <c r="R13" i="2"/>
  <c r="K42" i="2"/>
  <c r="Q42" i="2"/>
  <c r="P42" i="2"/>
  <c r="J42" i="2"/>
  <c r="N42" i="2"/>
  <c r="I42" i="2"/>
  <c r="M42" i="2"/>
  <c r="O42" i="2"/>
  <c r="S42" i="2"/>
  <c r="R42" i="2"/>
  <c r="L42" i="2"/>
  <c r="M95" i="2"/>
  <c r="L83" i="2"/>
  <c r="Q83" i="2"/>
  <c r="I83" i="2"/>
  <c r="S83" i="2"/>
  <c r="P83" i="2"/>
  <c r="O83" i="2"/>
  <c r="R83" i="2"/>
  <c r="K83" i="2"/>
  <c r="J83" i="2"/>
  <c r="N83" i="2"/>
  <c r="M83" i="2"/>
  <c r="M159" i="2"/>
  <c r="P159" i="2"/>
  <c r="N159" i="2"/>
  <c r="J159" i="2"/>
  <c r="I159" i="2"/>
  <c r="R159" i="2"/>
  <c r="O159" i="2"/>
  <c r="S159" i="2"/>
  <c r="L159" i="2"/>
  <c r="K159" i="2"/>
  <c r="Q159" i="2"/>
  <c r="AB92" i="2"/>
  <c r="AB216" i="2" l="1"/>
  <c r="AB190" i="2"/>
  <c r="AB14" i="2"/>
  <c r="AB250" i="2"/>
  <c r="AB73" i="2"/>
  <c r="AB357" i="2"/>
  <c r="AB100" i="2"/>
  <c r="AB169" i="2"/>
  <c r="AB265" i="2"/>
  <c r="AB338" i="2"/>
  <c r="AB128" i="2"/>
  <c r="AB342" i="2"/>
  <c r="AB242" i="2"/>
  <c r="AB116" i="2"/>
  <c r="AB153" i="2"/>
  <c r="AB120" i="2"/>
  <c r="AB163" i="2"/>
  <c r="AB232" i="2"/>
  <c r="AB175" i="2"/>
  <c r="AB235" i="2"/>
  <c r="AB192" i="2"/>
  <c r="AB77" i="2"/>
  <c r="AB318" i="2"/>
  <c r="AB18" i="2"/>
  <c r="AB210" i="2"/>
  <c r="AB152" i="2"/>
  <c r="AB119" i="2"/>
  <c r="AB48" i="2"/>
  <c r="AB208" i="2"/>
  <c r="AB223" i="2"/>
  <c r="AB201" i="2"/>
  <c r="AB168" i="2"/>
  <c r="AB261" i="2"/>
  <c r="AB60" i="2"/>
  <c r="AB83" i="2"/>
  <c r="AB270" i="2"/>
  <c r="AB111" i="2"/>
  <c r="AB354" i="2"/>
  <c r="AB302" i="2"/>
  <c r="AB226" i="2"/>
  <c r="AB101" i="2"/>
  <c r="AB180" i="2"/>
  <c r="AB359" i="2"/>
  <c r="AB9" i="2"/>
  <c r="AB218" i="2"/>
  <c r="AB33" i="2"/>
  <c r="AB135" i="2"/>
  <c r="AB104" i="2"/>
  <c r="AB21" i="2"/>
  <c r="AB38" i="2"/>
  <c r="AB166" i="2"/>
  <c r="AB204" i="2"/>
  <c r="AB12" i="2"/>
  <c r="AB176" i="2"/>
  <c r="AB102" i="2"/>
  <c r="AB213" i="2"/>
  <c r="AB272" i="2"/>
  <c r="AB76" i="2"/>
  <c r="AB271" i="2"/>
  <c r="AB64" i="2"/>
  <c r="AB107" i="2"/>
  <c r="AB314" i="2"/>
  <c r="AB266" i="2"/>
  <c r="AB45" i="2"/>
  <c r="AB108" i="2"/>
  <c r="AB273" i="2"/>
  <c r="AB87" i="2"/>
  <c r="AB263" i="2"/>
  <c r="AB51" i="2"/>
  <c r="AB259" i="2"/>
  <c r="AB82" i="2"/>
  <c r="AB171" i="2"/>
  <c r="AB278" i="2"/>
  <c r="AB290" i="2"/>
  <c r="AB133" i="2"/>
  <c r="AB114" i="2"/>
  <c r="AB49" i="2"/>
  <c r="AB63" i="2"/>
  <c r="AB115" i="2"/>
  <c r="AB147" i="2"/>
  <c r="AB344" i="2"/>
  <c r="AB295" i="2"/>
  <c r="AB16" i="2"/>
  <c r="AB183" i="2"/>
  <c r="AB198" i="2"/>
  <c r="AB144" i="2"/>
  <c r="AB188" i="2"/>
  <c r="AB330" i="2"/>
  <c r="AB321" i="2"/>
  <c r="AB30" i="2"/>
  <c r="AB113" i="2"/>
  <c r="AB251" i="2"/>
  <c r="AB313" i="2"/>
  <c r="AB68" i="2"/>
  <c r="AB247" i="2"/>
  <c r="AB159" i="2"/>
  <c r="AB78" i="2"/>
  <c r="AB7" i="2"/>
  <c r="AB326" i="2"/>
  <c r="AB164" i="2"/>
  <c r="AB90" i="2"/>
  <c r="AB13" i="2"/>
  <c r="AB134" i="2"/>
  <c r="AB88" i="2"/>
  <c r="AB25" i="2"/>
  <c r="AB257" i="2"/>
  <c r="AB123" i="2"/>
  <c r="AB264" i="2"/>
  <c r="AB57" i="2"/>
  <c r="AB19" i="2"/>
  <c r="AB42" i="2"/>
  <c r="AB157" i="2"/>
  <c r="AB358" i="2"/>
  <c r="AB95" i="2"/>
  <c r="AB252" i="2"/>
  <c r="AB194" i="2"/>
  <c r="AB103" i="2"/>
  <c r="AB283" i="2"/>
  <c r="AB32" i="2"/>
  <c r="AB35" i="2"/>
  <c r="AB140" i="2"/>
  <c r="AB141" i="2"/>
</calcChain>
</file>

<file path=xl/sharedStrings.xml><?xml version="1.0" encoding="utf-8"?>
<sst xmlns="http://schemas.openxmlformats.org/spreadsheetml/2006/main" count="1027" uniqueCount="968">
  <si>
    <t>称号ステータス自動配分 ｜ TYPE × ELEMENT</t>
  </si>
  <si>
    <t>称号数</t>
  </si>
  <si>
    <t>個性タイプ数</t>
  </si>
  <si>
    <t>共通調整項目</t>
  </si>
  <si>
    <t>初期値</t>
  </si>
  <si>
    <t>称号ステータス補正の合計予算</t>
  </si>
  <si>
    <t>属性耐性の全体倍率</t>
  </si>
  <si>
    <t>素材ドロップ率の基準値</t>
  </si>
  <si>
    <t>称号個別倍率の既定値</t>
  </si>
  <si>
    <t>操作方法 ｜ 黄色＝編集可能 / 青色＝自動計算</t>
  </si>
  <si>
    <t>1. 「称号計算」E列に、モンスターの個性タイプを366件分ペーストしてください</t>
  </si>
  <si>
    <t>2. 同 F列に、属性（火・水・風・雷・光・闇）を366件分ペーストしてください</t>
  </si>
  <si>
    <t>3. H列が「OK」になった称号は、能力補正・6属性耐性・ドロップ率を自動計算します</t>
  </si>
  <si>
    <t>4. G列（個別強度倍率）は全件1.00。特殊な称号だけ変更できます</t>
  </si>
  <si>
    <t>6. 50タイプの特徴や成長方向は「個性タイプマスタ」A～P、属性傾向は「属性耐性マスタ」で調整できます</t>
  </si>
  <si>
    <t>7. 変更後、Excelを保存して閉じ、ExportTitleCSV.batで称号_計算結果.csvを出力してください</t>
  </si>
  <si>
    <t>8. 出力CSVは元の称号CSVと同じ21列・同じ順序。ID/名前/抽選ウェイトを維持します</t>
  </si>
  <si>
    <t>9. 討伐・強化等の抽選ウェイトは称号強度と別扱い。確率は勝手に変更しません</t>
  </si>
  <si>
    <t>※ 既存CSVの称号IDとモンスターIDは番号順で一致（TITLE_001→MON_001、TITLE_366→MON_366）</t>
  </si>
  <si>
    <t>※ 補正合計予算0.55は仮設定です。実際の戦闘バランスに合わせて変更してください</t>
  </si>
  <si>
    <t>※ 途中の空欄・誤ったタイプや属性がある場合、CSV出力BATは安全のため中止します</t>
  </si>
  <si>
    <t>項目</t>
  </si>
  <si>
    <t>算出方法</t>
  </si>
  <si>
    <t>例</t>
  </si>
  <si>
    <t>意味</t>
  </si>
  <si>
    <t>能力補正</t>
  </si>
  <si>
    <t>予算×個別倍率×タイプの重み÷全重み</t>
  </si>
  <si>
    <t>+0.083</t>
  </si>
  <si>
    <t>ステータスを約8.3％強化</t>
  </si>
  <si>
    <t>属性耐性</t>
  </si>
  <si>
    <t>属性マスタ値×タイプ耐性倍率×全体倍率</t>
  </si>
  <si>
    <t>+0.065</t>
  </si>
  <si>
    <t>耐性に6.5ポイントを加算</t>
  </si>
  <si>
    <t>素材ドロップ率</t>
  </si>
  <si>
    <t>基準値×個別倍率×タイプ素材適性</t>
  </si>
  <si>
    <t>+0.009</t>
  </si>
  <si>
    <t>ドロップ補正0.9％</t>
  </si>
  <si>
    <t>抽選ウェイト</t>
  </si>
  <si>
    <t>元の称号CSVからそのままコピー</t>
  </si>
  <si>
    <t>0.55</t>
  </si>
  <si>
    <t>称号の付与抽選の重み</t>
  </si>
  <si>
    <t>TITLE AUTO BALANCE | 366称号 / 50タイプ × 6属性</t>
  </si>
  <si>
    <t>E列：個性タイプ、F列：属性を貼り付けてください。黄色＝入力 / 青色＝計算 / H列がOKなら有効</t>
  </si>
  <si>
    <t>入力済み</t>
  </si>
  <si>
    <t>総件数</t>
  </si>
  <si>
    <t>要確認</t>
  </si>
  <si>
    <t>CSV出力</t>
  </si>
  <si>
    <t>称号ID</t>
  </si>
  <si>
    <t>称号名</t>
  </si>
  <si>
    <t>対応MON ID</t>
  </si>
  <si>
    <t>モンスター名</t>
  </si>
  <si>
    <t>個性タイプ（貼付）</t>
  </si>
  <si>
    <t>属性（貼付）</t>
  </si>
  <si>
    <t>個別強度倍率</t>
  </si>
  <si>
    <t>計算状態</t>
  </si>
  <si>
    <t>基礎HP</t>
  </si>
  <si>
    <t>基礎MP</t>
  </si>
  <si>
    <t>基礎攻撃力</t>
  </si>
  <si>
    <t>基礎魔力</t>
  </si>
  <si>
    <t>基礎防御力</t>
  </si>
  <si>
    <t>基礎魔防</t>
  </si>
  <si>
    <t>クリ率</t>
  </si>
  <si>
    <t>クリ倍</t>
  </si>
  <si>
    <t>移動速度</t>
  </si>
  <si>
    <t>攻撃速度</t>
  </si>
  <si>
    <t>攻撃範囲</t>
  </si>
  <si>
    <t>火耐性</t>
  </si>
  <si>
    <t>水耐性</t>
  </si>
  <si>
    <t>風耐性</t>
  </si>
  <si>
    <t>雷耐性</t>
  </si>
  <si>
    <t>光耐性</t>
  </si>
  <si>
    <t>闇耐性</t>
  </si>
  <si>
    <t>素材ドロ率</t>
  </si>
  <si>
    <t>能力補正合計</t>
  </si>
  <si>
    <t>耐性補正合計</t>
  </si>
  <si>
    <t>タイプ特徴</t>
  </si>
  <si>
    <t>タイプ行</t>
  </si>
  <si>
    <t>属性行</t>
  </si>
  <si>
    <t>重み合計</t>
  </si>
  <si>
    <t>耐性係数</t>
  </si>
  <si>
    <t>ドロップ係数</t>
  </si>
  <si>
    <t>MON_001</t>
  </si>
  <si>
    <t>ブルースライム</t>
  </si>
  <si>
    <t>魔法・軽量</t>
  </si>
  <si>
    <t>水</t>
  </si>
  <si>
    <t>MON_002</t>
  </si>
  <si>
    <t>レッドスライム</t>
  </si>
  <si>
    <t>魔法・物防障壁</t>
  </si>
  <si>
    <t>火</t>
  </si>
  <si>
    <t>MON_003</t>
  </si>
  <si>
    <t>グリーンスライム</t>
  </si>
  <si>
    <t>魔法・均衡</t>
  </si>
  <si>
    <t>風</t>
  </si>
  <si>
    <t>MON_004</t>
  </si>
  <si>
    <t>レッドボア</t>
  </si>
  <si>
    <t>近接・重撃</t>
  </si>
  <si>
    <t>MON_005</t>
  </si>
  <si>
    <t>ブルーボア</t>
  </si>
  <si>
    <t>近接・長柄</t>
  </si>
  <si>
    <t>MON_006</t>
  </si>
  <si>
    <t>スライムフォース</t>
  </si>
  <si>
    <t>魔法・重装砲</t>
  </si>
  <si>
    <t>光</t>
  </si>
  <si>
    <t>MON_007</t>
  </si>
  <si>
    <t>ゴブリン</t>
  </si>
  <si>
    <t>魔法・魔防障壁</t>
  </si>
  <si>
    <t>MON_008</t>
  </si>
  <si>
    <t>ゴブリンウォーリアー</t>
  </si>
  <si>
    <t>魔法・薄命結界</t>
  </si>
  <si>
    <t>MON_009</t>
  </si>
  <si>
    <t>ゴブリンメイジ</t>
  </si>
  <si>
    <t>魔法・支援</t>
  </si>
  <si>
    <t>雷</t>
  </si>
  <si>
    <t>MON_010</t>
  </si>
  <si>
    <t>ボブゴブリン</t>
  </si>
  <si>
    <t>近接・耐性鎧</t>
  </si>
  <si>
    <t>MON_011</t>
  </si>
  <si>
    <t>マテリアスライム</t>
  </si>
  <si>
    <t>近接・会心</t>
  </si>
  <si>
    <t>MON_012</t>
  </si>
  <si>
    <t>ゴブリンキング</t>
  </si>
  <si>
    <t>魔法・速攻</t>
  </si>
  <si>
    <t>闇</t>
  </si>
  <si>
    <t>MON_013</t>
  </si>
  <si>
    <t>ルーインズスラッグ</t>
  </si>
  <si>
    <t>魔法・鈍足賢者</t>
  </si>
  <si>
    <t>MON_014</t>
  </si>
  <si>
    <t>ライティングスラッグ</t>
  </si>
  <si>
    <t>魔法・火力</t>
  </si>
  <si>
    <t>MON_015</t>
  </si>
  <si>
    <t>幽霊</t>
  </si>
  <si>
    <t>MON_016</t>
  </si>
  <si>
    <t>怨念</t>
  </si>
  <si>
    <t>近接・巨体</t>
  </si>
  <si>
    <t>MON_017</t>
  </si>
  <si>
    <t>ドラゴンゾンビ</t>
  </si>
  <si>
    <t>近接・重装</t>
  </si>
  <si>
    <t>MON_018</t>
  </si>
  <si>
    <t>エクリス・カース</t>
  </si>
  <si>
    <t>魔法・連射</t>
  </si>
  <si>
    <t>MON_019</t>
  </si>
  <si>
    <t>コボルト</t>
  </si>
  <si>
    <t>魔法・最終層</t>
  </si>
  <si>
    <t>MON_020</t>
  </si>
  <si>
    <t>ウルフ</t>
  </si>
  <si>
    <t>魔法・超軽量</t>
  </si>
  <si>
    <t>MON_021</t>
  </si>
  <si>
    <t>ブラッドウルフ</t>
  </si>
  <si>
    <t>MON_022</t>
  </si>
  <si>
    <t>人狼</t>
  </si>
  <si>
    <t>近接・耐久</t>
  </si>
  <si>
    <t>MON_023</t>
  </si>
  <si>
    <t>ラグナ・ヴォルグ</t>
  </si>
  <si>
    <t>MON_024</t>
  </si>
  <si>
    <t>ヴォルグ・スカー</t>
  </si>
  <si>
    <t>魔法・近距離</t>
  </si>
  <si>
    <t>MON_025</t>
  </si>
  <si>
    <t>ドレッドハンター</t>
  </si>
  <si>
    <t>魔法・砲撃</t>
  </si>
  <si>
    <t>MON_026</t>
  </si>
  <si>
    <t>アシッドスライム</t>
  </si>
  <si>
    <t>MON_027</t>
  </si>
  <si>
    <t>浮遊甲冑</t>
  </si>
  <si>
    <t>MON_028</t>
  </si>
  <si>
    <t>グラーヴナイト</t>
  </si>
  <si>
    <t>近接・狂戦士</t>
  </si>
  <si>
    <t>MON_029</t>
  </si>
  <si>
    <t>ネクロウィスプ</t>
  </si>
  <si>
    <t>MON_030</t>
  </si>
  <si>
    <t>ボーンアバドン</t>
  </si>
  <si>
    <t>魔法・高MP</t>
  </si>
  <si>
    <t>MON_031</t>
  </si>
  <si>
    <t>スケルトン</t>
  </si>
  <si>
    <t>魔法・会心一撃</t>
  </si>
  <si>
    <t>MON_032</t>
  </si>
  <si>
    <t>サンドワーム</t>
  </si>
  <si>
    <t>MON_033</t>
  </si>
  <si>
    <t>ブラックサンドワーム</t>
  </si>
  <si>
    <t>MON_034</t>
  </si>
  <si>
    <t>ブラックコボルト</t>
  </si>
  <si>
    <t>近接・魔法盾</t>
  </si>
  <si>
    <t>MON_035</t>
  </si>
  <si>
    <t>ヴォルドーム</t>
  </si>
  <si>
    <t>MON_036</t>
  </si>
  <si>
    <t>ラヴァスコール</t>
  </si>
  <si>
    <t>MON_037</t>
  </si>
  <si>
    <t>魔法使い</t>
  </si>
  <si>
    <t>魔法・疾走</t>
  </si>
  <si>
    <t>MON_038</t>
  </si>
  <si>
    <t>魔女</t>
  </si>
  <si>
    <t>MON_039</t>
  </si>
  <si>
    <t>カーラ＆ヴィクトリア</t>
  </si>
  <si>
    <t>MON_040</t>
  </si>
  <si>
    <t>セリウス・アークレイン</t>
  </si>
  <si>
    <t>近接・強襲</t>
  </si>
  <si>
    <t>MON_041</t>
  </si>
  <si>
    <t>マグナ・アルセリオン</t>
  </si>
  <si>
    <t>MON_042</t>
  </si>
  <si>
    <t>アルカ・マギウス</t>
  </si>
  <si>
    <t>魔法・万能</t>
  </si>
  <si>
    <t>MON_043</t>
  </si>
  <si>
    <t>ゴーレムナイト</t>
  </si>
  <si>
    <t>魔法・守護</t>
  </si>
  <si>
    <t>MON_044</t>
  </si>
  <si>
    <t>溶岩魔人</t>
  </si>
  <si>
    <t>MON_045</t>
  </si>
  <si>
    <t>蒼溶岩魔人</t>
  </si>
  <si>
    <t>MON_046</t>
  </si>
  <si>
    <t>魔人の土偶</t>
  </si>
  <si>
    <t>近接・軽装強打</t>
  </si>
  <si>
    <t>MON_047</t>
  </si>
  <si>
    <t>グラヴィアズール</t>
  </si>
  <si>
    <t>MON_048</t>
  </si>
  <si>
    <t>ヴォルザロック</t>
  </si>
  <si>
    <t>魔法・長射程</t>
  </si>
  <si>
    <t>MON_049</t>
  </si>
  <si>
    <t>ゴーレムガーディアン</t>
  </si>
  <si>
    <t>魔法・狙撃</t>
  </si>
  <si>
    <t>MON_050</t>
  </si>
  <si>
    <t>シルバーゴーレム</t>
  </si>
  <si>
    <t>MON_051</t>
  </si>
  <si>
    <t>ゴールドゴーレム</t>
  </si>
  <si>
    <t>MON_052</t>
  </si>
  <si>
    <t>シルバースライム</t>
  </si>
  <si>
    <t>近接・守護</t>
  </si>
  <si>
    <t>MON_053</t>
  </si>
  <si>
    <t>アストラ・コロッサス</t>
  </si>
  <si>
    <t>MON_054</t>
  </si>
  <si>
    <t>グラヴェルノス</t>
  </si>
  <si>
    <t>魔法・耐性特化</t>
  </si>
  <si>
    <t>MON_055</t>
  </si>
  <si>
    <t>ファイヤリザード</t>
  </si>
  <si>
    <t>魔法・高会心</t>
  </si>
  <si>
    <t>MON_056</t>
  </si>
  <si>
    <t>サイクロプス</t>
  </si>
  <si>
    <t>MON_057</t>
  </si>
  <si>
    <t>ソルドリム・アイアンハート</t>
  </si>
  <si>
    <t>MON_058</t>
  </si>
  <si>
    <t>ヴァルサイクロプス</t>
  </si>
  <si>
    <t>近接・鉄壁</t>
  </si>
  <si>
    <t>MON_059</t>
  </si>
  <si>
    <t>グラウンドタイタン</t>
  </si>
  <si>
    <t>MON_060</t>
  </si>
  <si>
    <t>煌獄騎デュザリオン</t>
  </si>
  <si>
    <t>MON_061</t>
  </si>
  <si>
    <t>ゴーレムメーカー</t>
  </si>
  <si>
    <t>魔法・探索</t>
  </si>
  <si>
    <t>MON_062</t>
  </si>
  <si>
    <t>リヴィア・ハートライン</t>
  </si>
  <si>
    <t>MON_063</t>
  </si>
  <si>
    <t>アクア・レギュレイター</t>
  </si>
  <si>
    <t>MON_064</t>
  </si>
  <si>
    <t>フォレスト・ガンナー</t>
  </si>
  <si>
    <t>近接・堅実</t>
  </si>
  <si>
    <t>MON_065</t>
  </si>
  <si>
    <t>レジスト・ゴレイオン</t>
  </si>
  <si>
    <t>MON_066</t>
  </si>
  <si>
    <t>インフェルノ・ギア</t>
  </si>
  <si>
    <t>MON_067</t>
  </si>
  <si>
    <t>サラマンダー</t>
  </si>
  <si>
    <t>MON_068</t>
  </si>
  <si>
    <t>赤竜</t>
  </si>
  <si>
    <t>MON_069</t>
  </si>
  <si>
    <t>エンシェント・レッド</t>
  </si>
  <si>
    <t>MON_070</t>
  </si>
  <si>
    <t>ヴァルイグニス</t>
  </si>
  <si>
    <t>近接・槍盾</t>
  </si>
  <si>
    <t>MON_071</t>
  </si>
  <si>
    <t>ヘルグラッド</t>
  </si>
  <si>
    <t>MON_072</t>
  </si>
  <si>
    <t>グラン・スライオス</t>
  </si>
  <si>
    <t>MON_073</t>
  </si>
  <si>
    <t>スイマーゴブリン</t>
  </si>
  <si>
    <t>MON_074</t>
  </si>
  <si>
    <t>漕手ゴブリン</t>
  </si>
  <si>
    <t>MON_075</t>
  </si>
  <si>
    <t>メガロドン</t>
  </si>
  <si>
    <t>MON_076</t>
  </si>
  <si>
    <t>ブルオメガ</t>
  </si>
  <si>
    <t>近接・速攻</t>
  </si>
  <si>
    <t>MON_077</t>
  </si>
  <si>
    <t>ネプチ・アブル</t>
  </si>
  <si>
    <t>MON_078</t>
  </si>
  <si>
    <t>アビサル・ネプトゥス</t>
  </si>
  <si>
    <t>MON_079</t>
  </si>
  <si>
    <t>狩猟ゴブリン</t>
  </si>
  <si>
    <t>MON_080</t>
  </si>
  <si>
    <t>フェアリー</t>
  </si>
  <si>
    <t>MON_081</t>
  </si>
  <si>
    <t>長老ゴブリン</t>
  </si>
  <si>
    <t>MON_082</t>
  </si>
  <si>
    <t>リザ・ヴァルク</t>
  </si>
  <si>
    <t>近接・機動</t>
  </si>
  <si>
    <t>MON_083</t>
  </si>
  <si>
    <t>ボル・グルナ</t>
  </si>
  <si>
    <t>MON_084</t>
  </si>
  <si>
    <t>ガル・フェンリオ</t>
  </si>
  <si>
    <t>MON_085</t>
  </si>
  <si>
    <t>人食いキノコ</t>
  </si>
  <si>
    <t>MON_086</t>
  </si>
  <si>
    <t>ゴールドスライム</t>
  </si>
  <si>
    <t>MON_087</t>
  </si>
  <si>
    <t>スライムキング</t>
  </si>
  <si>
    <t>MON_088</t>
  </si>
  <si>
    <t>マグ・スライム</t>
  </si>
  <si>
    <t>近接・捨身</t>
  </si>
  <si>
    <t>MON_089</t>
  </si>
  <si>
    <t>キング・グリット</t>
  </si>
  <si>
    <t>MON_090</t>
  </si>
  <si>
    <t>ルクス・ジェリー</t>
  </si>
  <si>
    <t>MON_091</t>
  </si>
  <si>
    <t>キラーマンティス</t>
  </si>
  <si>
    <t>MON_092</t>
  </si>
  <si>
    <t>スタグビートル</t>
  </si>
  <si>
    <t>MON_093</t>
  </si>
  <si>
    <t>キラーセンチピード</t>
  </si>
  <si>
    <t>MON_094</t>
  </si>
  <si>
    <t>ヴェス・カリバー</t>
  </si>
  <si>
    <t>近接・斥候</t>
  </si>
  <si>
    <t>MON_095</t>
  </si>
  <si>
    <t>インフェル・ビートル</t>
  </si>
  <si>
    <t>MON_096</t>
  </si>
  <si>
    <t>ルミナ・ミラージュ</t>
  </si>
  <si>
    <t>MON_097</t>
  </si>
  <si>
    <t>ラストコア</t>
  </si>
  <si>
    <t>MON_098</t>
  </si>
  <si>
    <t>ターミナス・ギアロード</t>
  </si>
  <si>
    <t>MON_099</t>
  </si>
  <si>
    <t>インフェルナル・オーバードライブ</t>
  </si>
  <si>
    <t>MON_100</t>
  </si>
  <si>
    <t>ブルー・ヴォルテクス</t>
  </si>
  <si>
    <t>近接・火力</t>
  </si>
  <si>
    <t>MON_101</t>
  </si>
  <si>
    <t>マグナ・ギアゴーレム</t>
  </si>
  <si>
    <t>MON_102</t>
  </si>
  <si>
    <t>アーク・セラフィオン</t>
  </si>
  <si>
    <t>MON_103</t>
  </si>
  <si>
    <t>ラグス</t>
  </si>
  <si>
    <t>MON_104</t>
  </si>
  <si>
    <t>バルド</t>
  </si>
  <si>
    <t>MON_105</t>
  </si>
  <si>
    <t>バルザック</t>
  </si>
  <si>
    <t>MON_106</t>
  </si>
  <si>
    <t>ゴルダン</t>
  </si>
  <si>
    <t>近接・連撃</t>
  </si>
  <si>
    <t>MON_107</t>
  </si>
  <si>
    <t>カーンヴァル</t>
  </si>
  <si>
    <t>MON_108</t>
  </si>
  <si>
    <t>グリモルダン</t>
  </si>
  <si>
    <t>MON_109</t>
  </si>
  <si>
    <t>ライトワーム</t>
  </si>
  <si>
    <t>MON_110</t>
  </si>
  <si>
    <t>ケイブスパイダー</t>
  </si>
  <si>
    <t>MON_111</t>
  </si>
  <si>
    <t>亡霊鉱夫</t>
  </si>
  <si>
    <t>MON_112</t>
  </si>
  <si>
    <t>マイコドレイク</t>
  </si>
  <si>
    <t>近接・短剣</t>
  </si>
  <si>
    <t>MON_113</t>
  </si>
  <si>
    <t>アースドラゴン</t>
  </si>
  <si>
    <t>MON_114</t>
  </si>
  <si>
    <t>アビスドラゴン</t>
  </si>
  <si>
    <t>MON_115</t>
  </si>
  <si>
    <t>フィローナ</t>
  </si>
  <si>
    <t>MON_116</t>
  </si>
  <si>
    <t>キューㇾリス</t>
  </si>
  <si>
    <t>MON_117</t>
  </si>
  <si>
    <t>コランチュラ</t>
  </si>
  <si>
    <t>MON_118</t>
  </si>
  <si>
    <t>ダルンドゥ</t>
  </si>
  <si>
    <t>近接・高魔防</t>
  </si>
  <si>
    <t>MON_119</t>
  </si>
  <si>
    <t>ガルブロッサ</t>
  </si>
  <si>
    <t>MON_120</t>
  </si>
  <si>
    <t>ドレインタス</t>
  </si>
  <si>
    <t>MON_121</t>
  </si>
  <si>
    <t>スカイレイヴン</t>
  </si>
  <si>
    <t>MON_122</t>
  </si>
  <si>
    <t>ガレウィングホーク</t>
  </si>
  <si>
    <t>MON_123</t>
  </si>
  <si>
    <t>フェザードヴァルチャー</t>
  </si>
  <si>
    <t>MON_124</t>
  </si>
  <si>
    <t>ハーピー</t>
  </si>
  <si>
    <t>近接・最終層</t>
  </si>
  <si>
    <t>MON_125</t>
  </si>
  <si>
    <t>ストームコンドル</t>
  </si>
  <si>
    <t>MON_126</t>
  </si>
  <si>
    <t>アル・ヴォレオス</t>
  </si>
  <si>
    <t>MON_127</t>
  </si>
  <si>
    <t>魔導覇鬼ゴルヴァス</t>
  </si>
  <si>
    <t>MON_128</t>
  </si>
  <si>
    <t>マキナレクス</t>
  </si>
  <si>
    <t>MON_129</t>
  </si>
  <si>
    <t>ヴェルザーク</t>
  </si>
  <si>
    <t>MON_130</t>
  </si>
  <si>
    <t>灼岩王グレアラグ</t>
  </si>
  <si>
    <t>近接・刺突</t>
  </si>
  <si>
    <t>MON_131</t>
  </si>
  <si>
    <t>アヴィドゥス・マグマ―ル</t>
  </si>
  <si>
    <t>MON_132</t>
  </si>
  <si>
    <t>雷牙王ヴァルドゥーン</t>
  </si>
  <si>
    <t>MON_133</t>
  </si>
  <si>
    <t>ネグロスパイダー</t>
  </si>
  <si>
    <t>MON_134</t>
  </si>
  <si>
    <t>リッチ・モルディガン</t>
  </si>
  <si>
    <t>MON_135</t>
  </si>
  <si>
    <t>ネクロ・ドラグニル</t>
  </si>
  <si>
    <t>MON_136</t>
  </si>
  <si>
    <t>ヴァル・ディアブロ</t>
  </si>
  <si>
    <t>MON_137</t>
  </si>
  <si>
    <t>ブラッド・ミノタウロス</t>
  </si>
  <si>
    <t>MON_138</t>
  </si>
  <si>
    <t>アズラ・ヒュドラ</t>
  </si>
  <si>
    <t>MON_139</t>
  </si>
  <si>
    <t>マグ・ヴォルム</t>
  </si>
  <si>
    <t>MON_140</t>
  </si>
  <si>
    <t>フロスティア・レクイエム</t>
  </si>
  <si>
    <t>MON_141</t>
  </si>
  <si>
    <t>インフェルノ・バルガス</t>
  </si>
  <si>
    <t>MON_142</t>
  </si>
  <si>
    <t>ネフェル・アンムート</t>
  </si>
  <si>
    <t>MON_143</t>
  </si>
  <si>
    <t>ヴァル・ノクティス</t>
  </si>
  <si>
    <t>MON_144</t>
  </si>
  <si>
    <t>モル・カヴァリエ</t>
  </si>
  <si>
    <t>MON_145</t>
  </si>
  <si>
    <t>グリーン・カタストラ</t>
  </si>
  <si>
    <t>MON_146</t>
  </si>
  <si>
    <t>タラッサ・ミルディア</t>
  </si>
  <si>
    <t>MON_147</t>
  </si>
  <si>
    <t>スカルロード</t>
  </si>
  <si>
    <t>MON_148</t>
  </si>
  <si>
    <t>アシュタロス・リリア</t>
  </si>
  <si>
    <t>MON_149</t>
  </si>
  <si>
    <t>ブッチャー・ゴルム</t>
  </si>
  <si>
    <t>MON_150</t>
  </si>
  <si>
    <t>ヴォイド・バルザーク</t>
  </si>
  <si>
    <t>MON_151</t>
  </si>
  <si>
    <t>錆びた坑夫スケルトン</t>
  </si>
  <si>
    <t>MON_152</t>
  </si>
  <si>
    <t>掘削ゴブリン</t>
  </si>
  <si>
    <t>MON_153</t>
  </si>
  <si>
    <t>鉄屑スライム</t>
  </si>
  <si>
    <t>MON_154</t>
  </si>
  <si>
    <t>崩落モール</t>
  </si>
  <si>
    <t>MON_155</t>
  </si>
  <si>
    <t>煤まみれの幽霊</t>
  </si>
  <si>
    <t>MON_156</t>
  </si>
  <si>
    <t>坑道王・アイアンレイバー</t>
  </si>
  <si>
    <t>MON_157</t>
  </si>
  <si>
    <t>水苔スライム</t>
  </si>
  <si>
    <t>MON_158</t>
  </si>
  <si>
    <t>湿潤ラット</t>
  </si>
  <si>
    <t>MON_159</t>
  </si>
  <si>
    <t>水没スケルトン</t>
  </si>
  <si>
    <t>MON_160</t>
  </si>
  <si>
    <t>沼トカゲ</t>
  </si>
  <si>
    <t>MON_161</t>
  </si>
  <si>
    <t>下水ワーム</t>
  </si>
  <si>
    <t>MON_162</t>
  </si>
  <si>
    <t>水路の守護獣・モスガーディアン</t>
  </si>
  <si>
    <t>MON_163</t>
  </si>
  <si>
    <t>腐骨スケルトン</t>
  </si>
  <si>
    <t>MON_164</t>
  </si>
  <si>
    <t>墓守ゾンビ</t>
  </si>
  <si>
    <t>MON_165</t>
  </si>
  <si>
    <t>霊火ウィスプ</t>
  </si>
  <si>
    <t>MON_166</t>
  </si>
  <si>
    <t>墓標ゴーレム</t>
  </si>
  <si>
    <t>MON_167</t>
  </si>
  <si>
    <t>彷徨う亡霊</t>
  </si>
  <si>
    <t>MON_168</t>
  </si>
  <si>
    <t>死霊侯・ネクロロード</t>
  </si>
  <si>
    <t>MON_169</t>
  </si>
  <si>
    <t>落石クラブ</t>
  </si>
  <si>
    <t>MON_170</t>
  </si>
  <si>
    <t>岩皮バット</t>
  </si>
  <si>
    <t>MON_171</t>
  </si>
  <si>
    <t>洞穴トロール</t>
  </si>
  <si>
    <t>MON_172</t>
  </si>
  <si>
    <t>地割れスライム</t>
  </si>
  <si>
    <t>MON_173</t>
  </si>
  <si>
    <t>採掘ビートル</t>
  </si>
  <si>
    <t>MON_174</t>
  </si>
  <si>
    <t>洞窟崩壊獣・ロックタイタン</t>
  </si>
  <si>
    <t>MON_175</t>
  </si>
  <si>
    <t>火花インプ</t>
  </si>
  <si>
    <t>MON_176</t>
  </si>
  <si>
    <t>溶岩スライム</t>
  </si>
  <si>
    <t>MON_177</t>
  </si>
  <si>
    <t>焼骨スケルトン</t>
  </si>
  <si>
    <t>MON_178</t>
  </si>
  <si>
    <t>火蜥蜴</t>
  </si>
  <si>
    <t>MON_179</t>
  </si>
  <si>
    <t>灰翼コウモリ</t>
  </si>
  <si>
    <t>MON_180</t>
  </si>
  <si>
    <t>灼熱竜・マグナ＝ドラコ</t>
  </si>
  <si>
    <t>MON_181</t>
  </si>
  <si>
    <t>氷晶スライム</t>
  </si>
  <si>
    <t>MON_182</t>
  </si>
  <si>
    <t>凍骨スケルトン</t>
  </si>
  <si>
    <t>MON_183</t>
  </si>
  <si>
    <t>雪皮ウルフ</t>
  </si>
  <si>
    <t>MON_184</t>
  </si>
  <si>
    <t>氷刃バット</t>
  </si>
  <si>
    <t>MON_185</t>
  </si>
  <si>
    <t>霜ゴーレム</t>
  </si>
  <si>
    <t>MON_186</t>
  </si>
  <si>
    <t>氷王・フロストコロッサス</t>
  </si>
  <si>
    <t>MON_187</t>
  </si>
  <si>
    <t>風刃バード</t>
  </si>
  <si>
    <t>MON_188</t>
  </si>
  <si>
    <t>峡谷ゴブリン</t>
  </si>
  <si>
    <t>MON_189</t>
  </si>
  <si>
    <t>突風スライム</t>
  </si>
  <si>
    <t>MON_190</t>
  </si>
  <si>
    <t>崖跳ねヤギ</t>
  </si>
  <si>
    <t>MON_191</t>
  </si>
  <si>
    <t>空裂ウィスプ</t>
  </si>
  <si>
    <t>MON_192</t>
  </si>
  <si>
    <t>暴風獣・テンペストハウル</t>
  </si>
  <si>
    <t>MON_193</t>
  </si>
  <si>
    <t>放電スライム</t>
  </si>
  <si>
    <t>MON_194</t>
  </si>
  <si>
    <t>雷骨スケルトン</t>
  </si>
  <si>
    <t>MON_195</t>
  </si>
  <si>
    <t>スパークインプ</t>
  </si>
  <si>
    <t>MON_196</t>
  </si>
  <si>
    <t>電撃ビートル</t>
  </si>
  <si>
    <t>MON_197</t>
  </si>
  <si>
    <t>雷羽バード</t>
  </si>
  <si>
    <t>MON_198</t>
  </si>
  <si>
    <t>雷帝・ヴォルトタイラント</t>
  </si>
  <si>
    <t>MON_199</t>
  </si>
  <si>
    <t>砂塵スケルトン</t>
  </si>
  <si>
    <t>MON_200</t>
  </si>
  <si>
    <t>遺跡スカラベ</t>
  </si>
  <si>
    <t>MON_201</t>
  </si>
  <si>
    <t>砂蛇</t>
  </si>
  <si>
    <t>MON_202</t>
  </si>
  <si>
    <t>石像ガーディアン</t>
  </si>
  <si>
    <t>MON_203</t>
  </si>
  <si>
    <t>流砂スライム</t>
  </si>
  <si>
    <t>MON_204</t>
  </si>
  <si>
    <t>砂王・デザートファラオ</t>
  </si>
  <si>
    <t>MON_205</t>
  </si>
  <si>
    <t>毒胞スライム</t>
  </si>
  <si>
    <t>MON_206</t>
  </si>
  <si>
    <t>腐葉スケルトン</t>
  </si>
  <si>
    <t>MON_207</t>
  </si>
  <si>
    <t>毒牙ウルフ</t>
  </si>
  <si>
    <t>MON_208</t>
  </si>
  <si>
    <t>毒霧ウィスプ</t>
  </si>
  <si>
    <t>MON_209</t>
  </si>
  <si>
    <t>腐根トレント</t>
  </si>
  <si>
    <t>MON_210</t>
  </si>
  <si>
    <t>瘴気王・ヴェノムドライアド</t>
  </si>
  <si>
    <t>MON_211</t>
  </si>
  <si>
    <t>呪符スケルトン</t>
  </si>
  <si>
    <t>MON_212</t>
  </si>
  <si>
    <t>暴走グリモア</t>
  </si>
  <si>
    <t>MON_213</t>
  </si>
  <si>
    <t>インクスライム</t>
  </si>
  <si>
    <t>MON_214</t>
  </si>
  <si>
    <t>魔導ゴーレム</t>
  </si>
  <si>
    <t>MON_215</t>
  </si>
  <si>
    <t>詠唱ウィスプ</t>
  </si>
  <si>
    <t>MON_216</t>
  </si>
  <si>
    <t>禁書管理者・アーカイヴロード</t>
  </si>
  <si>
    <t>MON_217</t>
  </si>
  <si>
    <t>影兵スケルトン</t>
  </si>
  <si>
    <t>MON_218</t>
  </si>
  <si>
    <t>シャドウインプ</t>
  </si>
  <si>
    <t>MON_219</t>
  </si>
  <si>
    <t>闇染みスライム</t>
  </si>
  <si>
    <t>MON_220</t>
  </si>
  <si>
    <t>影走りハウンド</t>
  </si>
  <si>
    <t>MON_221</t>
  </si>
  <si>
    <t>暗幕ウィスプ</t>
  </si>
  <si>
    <t>MON_222</t>
  </si>
  <si>
    <t>影王・ナイトステッチャー</t>
  </si>
  <si>
    <t>MON_223</t>
  </si>
  <si>
    <t>鏡像スケルトン</t>
  </si>
  <si>
    <t>MON_224</t>
  </si>
  <si>
    <t>分裂スライム</t>
  </si>
  <si>
    <t>MON_225</t>
  </si>
  <si>
    <t>反射ビートル</t>
  </si>
  <si>
    <t>MON_226</t>
  </si>
  <si>
    <t>虚像インプ</t>
  </si>
  <si>
    <t>MON_227</t>
  </si>
  <si>
    <t>鏡霊ウィスプ</t>
  </si>
  <si>
    <t>MON_228</t>
  </si>
  <si>
    <t>迷宮主・リフレクタス</t>
  </si>
  <si>
    <t>MON_229</t>
  </si>
  <si>
    <t>血晶スケルトン</t>
  </si>
  <si>
    <t>MON_230</t>
  </si>
  <si>
    <t>供物ゾンビ</t>
  </si>
  <si>
    <t>MON_231</t>
  </si>
  <si>
    <t>血滴スライム</t>
  </si>
  <si>
    <t>MON_232</t>
  </si>
  <si>
    <t>血祭インプ</t>
  </si>
  <si>
    <t>MON_233</t>
  </si>
  <si>
    <t>結晶ゴーレム</t>
  </si>
  <si>
    <t>MON_234</t>
  </si>
  <si>
    <t>血王・サクリファイスロード</t>
  </si>
  <si>
    <t>MON_235</t>
  </si>
  <si>
    <t>結界兵スケルトン</t>
  </si>
  <si>
    <t>MON_236</t>
  </si>
  <si>
    <t>結界スライム</t>
  </si>
  <si>
    <t>MON_237</t>
  </si>
  <si>
    <t>深層インプ</t>
  </si>
  <si>
    <t>MON_238</t>
  </si>
  <si>
    <t>結界ビートル</t>
  </si>
  <si>
    <t>MON_239</t>
  </si>
  <si>
    <t>防護ウィスプ</t>
  </si>
  <si>
    <t>MON_240</t>
  </si>
  <si>
    <t>結界核・プロテクトコア</t>
  </si>
  <si>
    <t>MON_241</t>
  </si>
  <si>
    <t>歪時スケルトン</t>
  </si>
  <si>
    <t>MON_242</t>
  </si>
  <si>
    <t>加速インプ</t>
  </si>
  <si>
    <t>MON_243</t>
  </si>
  <si>
    <t>減速スライム</t>
  </si>
  <si>
    <t>MON_244</t>
  </si>
  <si>
    <t>時喰いワーム</t>
  </si>
  <si>
    <t>MON_245</t>
  </si>
  <si>
    <t>歪曲ウィスプ</t>
  </si>
  <si>
    <t>MON_246</t>
  </si>
  <si>
    <t>時王・クロノディストータ</t>
  </si>
  <si>
    <t>MON_247</t>
  </si>
  <si>
    <t>星殻スケルトン</t>
  </si>
  <si>
    <t>MON_248</t>
  </si>
  <si>
    <t>星光スライム</t>
  </si>
  <si>
    <t>MON_249</t>
  </si>
  <si>
    <t>宇宙インプ</t>
  </si>
  <si>
    <t>MON_250</t>
  </si>
  <si>
    <t>重力ビートル</t>
  </si>
  <si>
    <t>MON_251</t>
  </si>
  <si>
    <t>星霊ウィスプ</t>
  </si>
  <si>
    <t>MON_252</t>
  </si>
  <si>
    <t>星喰獣・アストラデヴァウラー</t>
  </si>
  <si>
    <t>MON_253</t>
  </si>
  <si>
    <t>契約兵スケルトン</t>
  </si>
  <si>
    <t>MON_254</t>
  </si>
  <si>
    <t>契約インプ</t>
  </si>
  <si>
    <t>MON_255</t>
  </si>
  <si>
    <t>誓約スライム</t>
  </si>
  <si>
    <t>MON_256</t>
  </si>
  <si>
    <t>試練ゴーレム</t>
  </si>
  <si>
    <t>MON_257</t>
  </si>
  <si>
    <t>契約ウィスプ</t>
  </si>
  <si>
    <t>MON_258</t>
  </si>
  <si>
    <t>契約王・オースブリンガー</t>
  </si>
  <si>
    <t>MON_259</t>
  </si>
  <si>
    <t>反復スケルトン</t>
  </si>
  <si>
    <t>MON_260</t>
  </si>
  <si>
    <t>無限スライム</t>
  </si>
  <si>
    <t>MON_261</t>
  </si>
  <si>
    <t>反復インプ</t>
  </si>
  <si>
    <t>MON_262</t>
  </si>
  <si>
    <t>ループビートル</t>
  </si>
  <si>
    <t>MON_263</t>
  </si>
  <si>
    <t>回廊ウィスプ</t>
  </si>
  <si>
    <t>MON_264</t>
  </si>
  <si>
    <t>循環王・インフィニティループ</t>
  </si>
  <si>
    <t>MON_265</t>
  </si>
  <si>
    <t>混成スケルトン</t>
  </si>
  <si>
    <t>MON_266</t>
  </si>
  <si>
    <t>破滅インプ</t>
  </si>
  <si>
    <t>MON_267</t>
  </si>
  <si>
    <t>暴走スライム</t>
  </si>
  <si>
    <t>MON_268</t>
  </si>
  <si>
    <t>前哨ゴーレム</t>
  </si>
  <si>
    <t>MON_269</t>
  </si>
  <si>
    <t>崩壊ウィスプ</t>
  </si>
  <si>
    <t>MON_270</t>
  </si>
  <si>
    <t>破滅将・アポカリプスガード</t>
  </si>
  <si>
    <t>MON_271</t>
  </si>
  <si>
    <t>深淵骨スケルトン</t>
  </si>
  <si>
    <t>MON_272</t>
  </si>
  <si>
    <t>侵食スライム</t>
  </si>
  <si>
    <t>MON_273</t>
  </si>
  <si>
    <t>深淵インプ</t>
  </si>
  <si>
    <t>MON_274</t>
  </si>
  <si>
    <t>侵食ビートル</t>
  </si>
  <si>
    <t>MON_275</t>
  </si>
  <si>
    <t>深淵ウィスプ</t>
  </si>
  <si>
    <t>MON_276</t>
  </si>
  <si>
    <t>深淵王・アビスオーバーロード</t>
  </si>
  <si>
    <t>MON_277</t>
  </si>
  <si>
    <t>無色スケルトン</t>
  </si>
  <si>
    <t>MON_278</t>
  </si>
  <si>
    <t>虚無スライム</t>
  </si>
  <si>
    <t>MON_279</t>
  </si>
  <si>
    <t>無音インプ</t>
  </si>
  <si>
    <t>MON_280</t>
  </si>
  <si>
    <t>虚無ゴーレム</t>
  </si>
  <si>
    <t>MON_281</t>
  </si>
  <si>
    <t>空白ウィスプ</t>
  </si>
  <si>
    <t>MON_282</t>
  </si>
  <si>
    <t>虚無監視者・ナッシングウォーデン</t>
  </si>
  <si>
    <t>MON_283</t>
  </si>
  <si>
    <t>黒曜骨兵</t>
  </si>
  <si>
    <t>MON_284</t>
  </si>
  <si>
    <t>戦場インプ</t>
  </si>
  <si>
    <t>MON_285</t>
  </si>
  <si>
    <t>黒刃スライム</t>
  </si>
  <si>
    <t>MON_286</t>
  </si>
  <si>
    <t>黒曜ビートル</t>
  </si>
  <si>
    <t>MON_287</t>
  </si>
  <si>
    <t>血煙ウィスプ</t>
  </si>
  <si>
    <t>MON_288</t>
  </si>
  <si>
    <t>戦王・オブシディアンロード</t>
  </si>
  <si>
    <t>MON_289</t>
  </si>
  <si>
    <t>神骨スケルトン</t>
  </si>
  <si>
    <t>MON_290</t>
  </si>
  <si>
    <t>神骸スライム</t>
  </si>
  <si>
    <t>MON_291</t>
  </si>
  <si>
    <t>眷属インプ</t>
  </si>
  <si>
    <t>MON_292</t>
  </si>
  <si>
    <t>神殻ゴーレム</t>
  </si>
  <si>
    <t>MON_293</t>
  </si>
  <si>
    <t>神光ウィスプ</t>
  </si>
  <si>
    <t>MON_294</t>
  </si>
  <si>
    <t>神骸王・ディヴァインレムナント</t>
  </si>
  <si>
    <t>MON_295</t>
  </si>
  <si>
    <t>混沌骨スケルトン</t>
  </si>
  <si>
    <t>MON_296</t>
  </si>
  <si>
    <t>混沌スライム</t>
  </si>
  <si>
    <t>MON_297</t>
  </si>
  <si>
    <t>終焉インプ</t>
  </si>
  <si>
    <t>MON_298</t>
  </si>
  <si>
    <t>崩壊ゴーレム</t>
  </si>
  <si>
    <t>MON_299</t>
  </si>
  <si>
    <t>終焉ウィスプ</t>
  </si>
  <si>
    <t>MON_300</t>
  </si>
  <si>
    <t>終焉竜・エンドオブカタストロフ</t>
  </si>
  <si>
    <t>MON_301</t>
  </si>
  <si>
    <t>スライム・ルミナ</t>
  </si>
  <si>
    <t>MON_302</t>
  </si>
  <si>
    <t>若葉精モックル</t>
  </si>
  <si>
    <t>MON_303</t>
  </si>
  <si>
    <t>棍棒ゴブリン・ガズ</t>
  </si>
  <si>
    <t>MON_304</t>
  </si>
  <si>
    <t>灰牙狼ヴァルグ</t>
  </si>
  <si>
    <t>MON_305</t>
  </si>
  <si>
    <t>剛牙猪グランボア</t>
  </si>
  <si>
    <t>MON_306</t>
  </si>
  <si>
    <t>翠羽ハーピー・フィアナ</t>
  </si>
  <si>
    <t>MON_307</t>
  </si>
  <si>
    <t>リフィル</t>
  </si>
  <si>
    <t>MON_308</t>
  </si>
  <si>
    <t>モスガルド</t>
  </si>
  <si>
    <t>MON_309</t>
  </si>
  <si>
    <t>エルドラン樹王</t>
  </si>
  <si>
    <t>MON_310</t>
  </si>
  <si>
    <t>シルヴェリオン</t>
  </si>
  <si>
    <t>MON_311</t>
  </si>
  <si>
    <t>ヴァルグリーフ</t>
  </si>
  <si>
    <t>MON_312</t>
  </si>
  <si>
    <t>ルミフェリア</t>
  </si>
  <si>
    <t>MON_313</t>
  </si>
  <si>
    <t>ポポグリ</t>
  </si>
  <si>
    <t>MON_314</t>
  </si>
  <si>
    <t>フィルゼッタ</t>
  </si>
  <si>
    <t>MON_315</t>
  </si>
  <si>
    <t>ガンロック</t>
  </si>
  <si>
    <t>MON_316</t>
  </si>
  <si>
    <t>ヴェルナガ</t>
  </si>
  <si>
    <t>MON_317</t>
  </si>
  <si>
    <t>嶺殻獣グランモルド</t>
  </si>
  <si>
    <t>MON_318</t>
  </si>
  <si>
    <t>ガルド・ヴァラン</t>
  </si>
  <si>
    <t>MON_319</t>
  </si>
  <si>
    <t>苔耳獣モスピコ</t>
  </si>
  <si>
    <t>MON_320</t>
  </si>
  <si>
    <t>灯茸精チロルーム</t>
  </si>
  <si>
    <t>MON_321</t>
  </si>
  <si>
    <t>裂晶獣クラグレイス</t>
  </si>
  <si>
    <t>MON_322</t>
  </si>
  <si>
    <t>古灯機兵ガルドランプ</t>
  </si>
  <si>
    <t>MON_323</t>
  </si>
  <si>
    <t>鍾甲巨獣グラドガーン</t>
  </si>
  <si>
    <t>MON_324</t>
  </si>
  <si>
    <t>封晶古竜ヴァル＝セレグナ</t>
  </si>
  <si>
    <t>MON_325</t>
  </si>
  <si>
    <t>ミストフェルム</t>
  </si>
  <si>
    <t>MON_326</t>
  </si>
  <si>
    <t>ヴォルガスト</t>
  </si>
  <si>
    <t>MON_327</t>
  </si>
  <si>
    <t>ライゼルヴァーン</t>
  </si>
  <si>
    <t>MON_328</t>
  </si>
  <si>
    <t>フロレシア</t>
  </si>
  <si>
    <t>MON_329</t>
  </si>
  <si>
    <t>グランテラドン</t>
  </si>
  <si>
    <t>MON_330</t>
  </si>
  <si>
    <t>セレスクリオス</t>
  </si>
  <si>
    <t>MON_331</t>
  </si>
  <si>
    <t>クリスタモ</t>
  </si>
  <si>
    <t>MON_332</t>
  </si>
  <si>
    <t>ガレキモグリ</t>
  </si>
  <si>
    <t>MON_333</t>
  </si>
  <si>
    <t>裂晶翼ヴェルキア</t>
  </si>
  <si>
    <t>MON_334</t>
  </si>
  <si>
    <t>封鎖魔兵ガルドーン</t>
  </si>
  <si>
    <t>MON_335</t>
  </si>
  <si>
    <t>迷宮喰獣ラビリオス</t>
  </si>
  <si>
    <t>MON_336</t>
  </si>
  <si>
    <t>破界王ゼル＝アビス</t>
  </si>
  <si>
    <t>MON_337</t>
  </si>
  <si>
    <t>ルミネグラ</t>
  </si>
  <si>
    <t>MON_338</t>
  </si>
  <si>
    <t>ヴァルゼイン</t>
  </si>
  <si>
    <t>MON_339</t>
  </si>
  <si>
    <t>ネフィレイア</t>
  </si>
  <si>
    <t>MON_340</t>
  </si>
  <si>
    <t>グラディオル</t>
  </si>
  <si>
    <t>MON_341</t>
  </si>
  <si>
    <t>ゼルガディス</t>
  </si>
  <si>
    <t>MON_342</t>
  </si>
  <si>
    <t>フィルメリア</t>
  </si>
  <si>
    <t>MON_343</t>
  </si>
  <si>
    <t>アズレフィア</t>
  </si>
  <si>
    <t>MON_344</t>
  </si>
  <si>
    <t>ヴァルグレイド</t>
  </si>
  <si>
    <t>MON_345</t>
  </si>
  <si>
    <t>ノクティレム</t>
  </si>
  <si>
    <t>MON_346</t>
  </si>
  <si>
    <t>シェルディア</t>
  </si>
  <si>
    <t>MON_347</t>
  </si>
  <si>
    <t>リュセリアス</t>
  </si>
  <si>
    <t>MON_348</t>
  </si>
  <si>
    <t>ヴェルグノア</t>
  </si>
  <si>
    <t>MON_349</t>
  </si>
  <si>
    <t>グラヴェリア</t>
  </si>
  <si>
    <t>MON_350</t>
  </si>
  <si>
    <t>エルドレシア</t>
  </si>
  <si>
    <t>MON_351</t>
  </si>
  <si>
    <t>オルフェギオン</t>
  </si>
  <si>
    <t>MON_352</t>
  </si>
  <si>
    <t>セレグノス</t>
  </si>
  <si>
    <t>MON_353</t>
  </si>
  <si>
    <t>ヴァルディオス</t>
  </si>
  <si>
    <t>MON_354</t>
  </si>
  <si>
    <t>ネブラキア</t>
  </si>
  <si>
    <t>MON_355</t>
  </si>
  <si>
    <t>ゼフィラグナ</t>
  </si>
  <si>
    <t>MON_356</t>
  </si>
  <si>
    <t>ヴェルセディオ</t>
  </si>
  <si>
    <t>MON_357</t>
  </si>
  <si>
    <t>グロメディア</t>
  </si>
  <si>
    <t>MON_358</t>
  </si>
  <si>
    <t>ルクシエル</t>
  </si>
  <si>
    <t>MON_359</t>
  </si>
  <si>
    <t>ザルヴェイン</t>
  </si>
  <si>
    <t>MON_360</t>
  </si>
  <si>
    <t>バルグレシオ</t>
  </si>
  <si>
    <t>MON_361</t>
  </si>
  <si>
    <t>セレフィネア</t>
  </si>
  <si>
    <t>MON_362</t>
  </si>
  <si>
    <t>グランヴェリオ</t>
  </si>
  <si>
    <t>MON_363</t>
  </si>
  <si>
    <t>ゼルアラクス</t>
  </si>
  <si>
    <t>MON_364</t>
  </si>
  <si>
    <t>ノクティエル</t>
  </si>
  <si>
    <t>MON_365</t>
  </si>
  <si>
    <t>ヴァルグディア</t>
  </si>
  <si>
    <t>MON_366</t>
  </si>
  <si>
    <t>アステルヴェイン</t>
  </si>
  <si>
    <t>TYPE MASTER | 50個性タイプから称号補正を決定</t>
  </si>
  <si>
    <t>A～Pはモンスター版の元50タイプ設定。Q～ADが称号用計算です。</t>
  </si>
  <si>
    <t>個性タイプ</t>
  </si>
  <si>
    <t>攻撃方式</t>
  </si>
  <si>
    <t>HP倍率</t>
  </si>
  <si>
    <t>物防倍率</t>
  </si>
  <si>
    <t>魔防倍率</t>
  </si>
  <si>
    <t>攻速倍率</t>
  </si>
  <si>
    <t>射程倍率</t>
  </si>
  <si>
    <t>親密Lv1比</t>
  </si>
  <si>
    <t>耐性一律補正</t>
  </si>
  <si>
    <t>索敵倍率</t>
  </si>
  <si>
    <t>MP倍率</t>
  </si>
  <si>
    <t>副攻撃倍率</t>
  </si>
  <si>
    <t>設計メモ</t>
  </si>
  <si>
    <t>称号HP重み</t>
  </si>
  <si>
    <t>称号MP重み</t>
  </si>
  <si>
    <t>称号攻撃重み</t>
  </si>
  <si>
    <t>称号魔力重み</t>
  </si>
  <si>
    <t>称号物防重み</t>
  </si>
  <si>
    <t>称号魔防重み</t>
  </si>
  <si>
    <t>称号クリ率重み</t>
  </si>
  <si>
    <t>称号クリ倍重み</t>
  </si>
  <si>
    <t>称号移動重み</t>
  </si>
  <si>
    <t>称号攻速重み</t>
  </si>
  <si>
    <t>称号射程重み</t>
  </si>
  <si>
    <t>称号耐性倍率</t>
  </si>
  <si>
    <t>称号素材適性</t>
  </si>
  <si>
    <t>Ranged</t>
  </si>
  <si>
    <t>軽快な魔法型。耐久控えめ・成長余地大</t>
  </si>
  <si>
    <t>標準的な魔法型</t>
  </si>
  <si>
    <t>高速の魔法型。攻速と射程が優秀</t>
  </si>
  <si>
    <t>Melee</t>
  </si>
  <si>
    <t>HP・物防寄りの近接型</t>
  </si>
  <si>
    <t>高耐久の近接型。耐性も高め</t>
  </si>
  <si>
    <t>HP・防御・耐性の高い魔法型</t>
  </si>
  <si>
    <t>終盤近接の特別配分</t>
  </si>
  <si>
    <t>終盤魔法の特別配分</t>
  </si>
  <si>
    <t>火力偏重。反撃に弱い</t>
  </si>
  <si>
    <t>MPと魔防寄りの支援型</t>
  </si>
  <si>
    <t>攻撃とクリティカル特化</t>
  </si>
  <si>
    <t>手数と移動重視</t>
  </si>
  <si>
    <t>高防御・低攻速の盾役</t>
  </si>
  <si>
    <t>バランス重視</t>
  </si>
  <si>
    <t>手数重視。ひと撃ちは軽いが高速</t>
  </si>
  <si>
    <t>長射程・高会心。接近戦に弱い</t>
  </si>
  <si>
    <t>低速高威力の遠距離砲台</t>
  </si>
  <si>
    <t>超高速移動・極低耐久</t>
  </si>
  <si>
    <t>高耐久・射撃間隔は長い</t>
  </si>
  <si>
    <t>射程を優先した後衛</t>
  </si>
  <si>
    <t>短射程の連発型</t>
  </si>
  <si>
    <t>高い会心率で平均火力を確保</t>
  </si>
  <si>
    <t>会心倍率が極めて高い一撃型</t>
  </si>
  <si>
    <t>魔法防御に偏重した耐久型</t>
  </si>
  <si>
    <t>物理防御を集中的に強化</t>
  </si>
  <si>
    <t>属性耐性重視・他能力は平均</t>
  </si>
  <si>
    <t>MP容量を重視する後衛</t>
  </si>
  <si>
    <t>高索敵・長射程寄りの探索型</t>
  </si>
  <si>
    <t>移動と攻撃速度に特化</t>
  </si>
  <si>
    <t>低機動・高MP・高魔防</t>
  </si>
  <si>
    <t>低HPだが防御・耐性が高い極端な守護型</t>
  </si>
  <si>
    <t>紙耐久の高回転会心型</t>
  </si>
  <si>
    <t>一撃重視の低速型</t>
  </si>
  <si>
    <t>近接としては長めの射程</t>
  </si>
  <si>
    <t>高攻速・短射程の手数型</t>
  </si>
  <si>
    <t>高移動速度で接敵に優れる</t>
  </si>
  <si>
    <t>物防とHPが突出した防壁型</t>
  </si>
  <si>
    <t>魔法耐久を重視した近接</t>
  </si>
  <si>
    <t>属性耐性重視の堅実型</t>
  </si>
  <si>
    <t>攻撃範囲の広い近接</t>
  </si>
  <si>
    <t>短射程・高機動・会心型</t>
  </si>
  <si>
    <t>極端な低耐久・攻撃重視</t>
  </si>
  <si>
    <t>手堅いステータスの安定型</t>
  </si>
  <si>
    <t>速い接近・間合い広めの強襲型</t>
  </si>
  <si>
    <t>巨大なHPと極端な鈍足</t>
  </si>
  <si>
    <t>クリティカル確率に特化</t>
  </si>
  <si>
    <t>物理に弱い魔法防御型</t>
  </si>
  <si>
    <t>索敵能力・機動力が高い</t>
  </si>
  <si>
    <t>長い射程と物防を両立</t>
  </si>
  <si>
    <t>高い会心倍率と中距離の強打</t>
  </si>
  <si>
    <t>ELEMENT MASTER | 属性から称号耐性を自動設定</t>
  </si>
  <si>
    <t>0.060＝タイトル耐性+6ポイント。属性マスタはモンスター属性耐性とは独立して調整します。</t>
  </si>
  <si>
    <t>属性</t>
  </si>
  <si>
    <t>メモ</t>
  </si>
  <si>
    <t>火を重点強化</t>
  </si>
  <si>
    <t>水を重点強化</t>
  </si>
  <si>
    <t>風重視・雷も補助</t>
  </si>
  <si>
    <t>雷重視・風も補助</t>
  </si>
  <si>
    <t>光重視・闇も補助</t>
  </si>
  <si>
    <t>闇重視・光も補助</t>
  </si>
  <si>
    <t>ステージ成長倍率（編集可）</t>
  </si>
  <si>
    <t>Stage 1 の称号倍率</t>
  </si>
  <si>
    <t>Stage 10 の称号倍率</t>
  </si>
  <si>
    <t>Stage 30 の称号倍率</t>
  </si>
  <si>
    <t>Stage 61 の称号倍率</t>
  </si>
  <si>
    <t>5. 共通予算・耐性倍率・ドロップ率はB7～B9、ステージ成長倍率はE6で調整できます</t>
  </si>
  <si>
    <t>※ ステージは「称号計算」AJ列で個別変更可能。Stage1＝×1、Stage n＝E6^(n－1)。称号の抽選ウェイトには影響しません。</t>
  </si>
  <si>
    <t>出現ステージ（編集可）</t>
  </si>
  <si>
    <t>ステージ強度倍率（自動）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</si>
</sst>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&quot;倍&quot;"/>
  </numFmts>
  <fonts count="14">
    <font>
      <sz val="11"/>
      <name val="Carlito"/>
    </font>
    <font>
      <b/>
      <sz val="17"/>
      <color rgb="FFFFFFFF"/>
      <name val="Carlito"/>
    </font>
    <font>
      <b/>
      <sz val="11"/>
      <color rgb="FFFFFFFF"/>
      <name val="Carlito"/>
    </font>
    <font>
      <sz val="11"/>
      <color rgb="FF8A500F"/>
      <name val="Carlito"/>
    </font>
    <font>
      <sz val="11"/>
      <color rgb="FF0F607F"/>
      <name val="Carlito"/>
    </font>
    <font>
      <b/>
      <sz val="11"/>
      <color rgb="FF225B60"/>
      <name val="Carlito"/>
    </font>
    <font>
      <b/>
      <sz val="11"/>
      <color rgb="FF234F63"/>
      <name val="Carlito"/>
    </font>
    <font>
      <sz val="11"/>
      <color rgb="FF3E557A"/>
      <name val="Carlito"/>
    </font>
    <font>
      <sz val="11"/>
      <name val="Carlito"/>
    </font>
    <font>
      <sz val="6"/>
      <name val="ＭＳ Ｐゴシック"/>
      <family val="3"/>
      <charset val="128"/>
    </font>
    <font>
      <b/>
      <sz val="11"/>
      <color rgb="FF8A500F"/>
      <name val="Carlito"/>
    </font>
    <font>
      <sz val="11"/>
      <color rgb="FF244765"/>
      <name val="Carlito"/>
    </font>
    <font>
      <b/>
      <sz val="11"/>
      <color rgb="FF205B89"/>
      <name val="Carlito"/>
    </font>
    <font>
      <sz val="11"/>
      <color rgb="FF205B89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0F2F45"/>
      </patternFill>
    </fill>
    <fill>
      <patternFill patternType="solid">
        <fgColor rgb="FF17344C"/>
      </patternFill>
    </fill>
    <fill>
      <patternFill patternType="solid">
        <fgColor rgb="FFFFF1D2"/>
      </patternFill>
    </fill>
    <fill>
      <patternFill patternType="solid">
        <fgColor rgb="FFEAF5FB"/>
      </patternFill>
    </fill>
    <fill>
      <patternFill patternType="solid">
        <fgColor rgb="FFDCEDEA"/>
      </patternFill>
    </fill>
    <fill>
      <patternFill patternType="solid">
        <fgColor rgb="FFEFF6F8"/>
      </patternFill>
    </fill>
    <fill>
      <patternFill patternType="solid">
        <fgColor rgb="FFEAF0F9"/>
      </patternFill>
    </fill>
    <fill>
      <patternFill patternType="solid">
        <fgColor rgb="FF17344C"/>
      </patternFill>
    </fill>
    <fill>
      <patternFill patternType="solid">
        <fgColor rgb="FFFFF1D2"/>
      </patternFill>
    </fill>
    <fill>
      <patternFill patternType="solid">
        <fgColor rgb="FFEBF3FA"/>
      </patternFill>
    </fill>
    <fill>
      <patternFill patternType="solid">
        <fgColor rgb="FFE8F3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1">
    <xf numFmtId="0" fontId="0" fillId="0" borderId="0" xfId="0"/>
    <xf numFmtId="0" fontId="2" fillId="3" borderId="0" xfId="1" applyFont="1" applyFill="1" applyAlignment="1">
      <alignment vertical="center"/>
    </xf>
    <xf numFmtId="0" fontId="3" fillId="4" borderId="0" xfId="1" applyFont="1" applyFill="1"/>
    <xf numFmtId="176" fontId="3" fillId="4" borderId="0" xfId="1" applyNumberFormat="1" applyFont="1" applyFill="1"/>
    <xf numFmtId="176" fontId="4" fillId="5" borderId="0" xfId="1" applyNumberFormat="1" applyFont="1" applyFill="1"/>
    <xf numFmtId="10" fontId="3" fillId="4" borderId="0" xfId="1" applyNumberFormat="1" applyFont="1" applyFill="1"/>
    <xf numFmtId="0" fontId="6" fillId="7" borderId="0" xfId="1" applyFont="1" applyFill="1"/>
    <xf numFmtId="0" fontId="7" fillId="8" borderId="0" xfId="1" applyFont="1" applyFill="1"/>
    <xf numFmtId="2" fontId="3" fillId="4" borderId="0" xfId="1" applyNumberFormat="1" applyFont="1" applyFill="1"/>
    <xf numFmtId="10" fontId="4" fillId="5" borderId="0" xfId="1" applyNumberFormat="1" applyFont="1" applyFill="1"/>
    <xf numFmtId="2" fontId="0" fillId="0" borderId="0" xfId="1" applyNumberFormat="1" applyFont="1"/>
    <xf numFmtId="10" fontId="7" fillId="8" borderId="0" xfId="1" applyNumberFormat="1" applyFont="1" applyFill="1"/>
    <xf numFmtId="0" fontId="2" fillId="9" borderId="0" xfId="0" applyFont="1" applyFill="1"/>
    <xf numFmtId="176" fontId="10" fillId="10" borderId="0" xfId="0" applyNumberFormat="1" applyFont="1" applyFill="1"/>
    <xf numFmtId="0" fontId="11" fillId="11" borderId="0" xfId="0" applyFont="1" applyFill="1"/>
    <xf numFmtId="177" fontId="12" fillId="12" borderId="0" xfId="0" applyNumberFormat="1" applyFont="1" applyFill="1"/>
    <xf numFmtId="1" fontId="3" fillId="10" borderId="0" xfId="0" applyNumberFormat="1" applyFont="1" applyFill="1"/>
    <xf numFmtId="177" fontId="13" fillId="12" borderId="0" xfId="0" applyNumberFormat="1" applyFont="1" applyFill="1"/>
    <xf numFmtId="0" fontId="1" fillId="2" borderId="0" xfId="1" applyFont="1" applyFill="1" applyAlignment="1">
      <alignment vertical="center"/>
    </xf>
    <xf numFmtId="0" fontId="5" fillId="6" borderId="0" xfId="1" applyFont="1" applyFill="1"/>
    <xf numFmtId="0" fontId="2" fillId="3" borderId="0" xfId="1" applyFont="1" applyFill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IYA\Documents\GitHub\MixMaster\Assets\DataCSV\&#12514;&#12531;&#12473;&#12479;&#12540;&#25126;&#38360;&#21147;&#35336;&#31639;&#12471;&#12540;&#12488;.xlsx" TargetMode="External"/><Relationship Id="rId1" Type="http://schemas.openxmlformats.org/officeDocument/2006/relationships/externalLinkPath" Target="&#12514;&#12531;&#12473;&#12479;&#12540;&#25126;&#38360;&#21147;&#35336;&#31639;&#12471;&#12540;&#12488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IYA\Documents\GitHub\MixMaster\Assets\DataCSV\MixMaster.xlsx" TargetMode="External"/><Relationship Id="rId1" Type="http://schemas.openxmlformats.org/officeDocument/2006/relationships/externalLinkPath" Target="Mix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い方"/>
      <sheetName val="設定"/>
      <sheetName val="モンスター計算"/>
      <sheetName val="Stage比較"/>
      <sheetName val="個性タイプマスタ"/>
      <sheetName val="属性耐性マスタ"/>
    </sheetNames>
    <sheetDataSet>
      <sheetData sheetId="0" refreshError="1"/>
      <sheetData sheetId="1" refreshError="1"/>
      <sheetData sheetId="2">
        <row r="5">
          <cell r="C5" t="str">
            <v>水</v>
          </cell>
          <cell r="AM5" t="str">
            <v>魔法・軽量</v>
          </cell>
        </row>
        <row r="6">
          <cell r="C6" t="str">
            <v>火</v>
          </cell>
          <cell r="AM6" t="str">
            <v>魔法・物防障壁</v>
          </cell>
        </row>
        <row r="7">
          <cell r="C7" t="str">
            <v>風</v>
          </cell>
          <cell r="AM7" t="str">
            <v>魔法・均衡</v>
          </cell>
        </row>
        <row r="8">
          <cell r="C8" t="str">
            <v>火</v>
          </cell>
          <cell r="AM8" t="str">
            <v>近接・重撃</v>
          </cell>
        </row>
        <row r="9">
          <cell r="C9" t="str">
            <v>水</v>
          </cell>
          <cell r="AM9" t="str">
            <v>近接・長柄</v>
          </cell>
        </row>
        <row r="10">
          <cell r="C10" t="str">
            <v>光</v>
          </cell>
          <cell r="AM10" t="str">
            <v>魔法・重装砲</v>
          </cell>
        </row>
        <row r="11">
          <cell r="C11" t="str">
            <v>風</v>
          </cell>
          <cell r="AM11" t="str">
            <v>魔法・魔防障壁</v>
          </cell>
        </row>
        <row r="12">
          <cell r="C12" t="str">
            <v>火</v>
          </cell>
          <cell r="AM12" t="str">
            <v>魔法・薄命結界</v>
          </cell>
        </row>
        <row r="13">
          <cell r="C13" t="str">
            <v>雷</v>
          </cell>
          <cell r="AM13" t="str">
            <v>魔法・支援</v>
          </cell>
        </row>
        <row r="14">
          <cell r="C14" t="str">
            <v>雷</v>
          </cell>
          <cell r="AM14" t="str">
            <v>近接・耐性鎧</v>
          </cell>
        </row>
        <row r="15">
          <cell r="C15" t="str">
            <v>雷</v>
          </cell>
          <cell r="AM15" t="str">
            <v>近接・会心</v>
          </cell>
        </row>
        <row r="16">
          <cell r="C16" t="str">
            <v>闇</v>
          </cell>
          <cell r="AM16" t="str">
            <v>魔法・速攻</v>
          </cell>
        </row>
        <row r="17">
          <cell r="C17" t="str">
            <v>闇</v>
          </cell>
          <cell r="AM17" t="str">
            <v>魔法・鈍足賢者</v>
          </cell>
        </row>
        <row r="18">
          <cell r="C18" t="str">
            <v>雷</v>
          </cell>
          <cell r="AM18" t="str">
            <v>魔法・火力</v>
          </cell>
        </row>
        <row r="19">
          <cell r="C19" t="str">
            <v>闇</v>
          </cell>
          <cell r="AM19" t="str">
            <v>魔法・重装砲</v>
          </cell>
        </row>
        <row r="20">
          <cell r="C20" t="str">
            <v>闇</v>
          </cell>
          <cell r="AM20" t="str">
            <v>近接・巨体</v>
          </cell>
        </row>
        <row r="21">
          <cell r="C21" t="str">
            <v>闇</v>
          </cell>
          <cell r="AM21" t="str">
            <v>近接・重装</v>
          </cell>
        </row>
        <row r="22">
          <cell r="C22" t="str">
            <v>闇</v>
          </cell>
          <cell r="AM22" t="str">
            <v>魔法・連射</v>
          </cell>
        </row>
        <row r="23">
          <cell r="C23" t="str">
            <v>風</v>
          </cell>
          <cell r="AM23" t="str">
            <v>魔法・最終層</v>
          </cell>
        </row>
        <row r="24">
          <cell r="C24" t="str">
            <v>風</v>
          </cell>
          <cell r="AM24" t="str">
            <v>魔法・超軽量</v>
          </cell>
        </row>
        <row r="25">
          <cell r="C25" t="str">
            <v>闇</v>
          </cell>
          <cell r="AM25" t="str">
            <v>魔法・物防障壁</v>
          </cell>
        </row>
        <row r="26">
          <cell r="C26" t="str">
            <v>闇</v>
          </cell>
          <cell r="AM26" t="str">
            <v>近接・耐久</v>
          </cell>
        </row>
        <row r="27">
          <cell r="C27" t="str">
            <v>火</v>
          </cell>
          <cell r="AM27" t="str">
            <v>近接・重撃</v>
          </cell>
        </row>
        <row r="28">
          <cell r="C28" t="str">
            <v>闇</v>
          </cell>
          <cell r="AM28" t="str">
            <v>魔法・近距離</v>
          </cell>
        </row>
        <row r="29">
          <cell r="C29" t="str">
            <v>闇</v>
          </cell>
          <cell r="AM29" t="str">
            <v>魔法・砲撃</v>
          </cell>
        </row>
        <row r="30">
          <cell r="C30" t="str">
            <v>水</v>
          </cell>
          <cell r="AM30" t="str">
            <v>魔法・魔防障壁</v>
          </cell>
        </row>
        <row r="31">
          <cell r="C31" t="str">
            <v>雷</v>
          </cell>
          <cell r="AM31" t="str">
            <v>魔法・薄命結界</v>
          </cell>
        </row>
        <row r="32">
          <cell r="C32" t="str">
            <v>闇</v>
          </cell>
          <cell r="AM32" t="str">
            <v>近接・狂戦士</v>
          </cell>
        </row>
        <row r="33">
          <cell r="C33" t="str">
            <v>闇</v>
          </cell>
          <cell r="AM33" t="str">
            <v>近接・耐性鎧</v>
          </cell>
        </row>
        <row r="34">
          <cell r="C34" t="str">
            <v>闇</v>
          </cell>
          <cell r="AM34" t="str">
            <v>魔法・高MP</v>
          </cell>
        </row>
        <row r="35">
          <cell r="C35" t="str">
            <v>闇</v>
          </cell>
          <cell r="AM35" t="str">
            <v>魔法・会心一撃</v>
          </cell>
        </row>
        <row r="36">
          <cell r="C36" t="str">
            <v>風</v>
          </cell>
          <cell r="AM36" t="str">
            <v>魔法・鈍足賢者</v>
          </cell>
        </row>
        <row r="37">
          <cell r="C37" t="str">
            <v>闇</v>
          </cell>
          <cell r="AM37" t="str">
            <v>魔法・火力</v>
          </cell>
        </row>
        <row r="38">
          <cell r="C38" t="str">
            <v>闇</v>
          </cell>
          <cell r="AM38" t="str">
            <v>近接・魔法盾</v>
          </cell>
        </row>
        <row r="39">
          <cell r="C39" t="str">
            <v>雷</v>
          </cell>
          <cell r="AM39" t="str">
            <v>近接・巨体</v>
          </cell>
        </row>
        <row r="40">
          <cell r="C40" t="str">
            <v>火</v>
          </cell>
          <cell r="AM40" t="str">
            <v>魔法・均衡</v>
          </cell>
        </row>
        <row r="41">
          <cell r="C41" t="str">
            <v>雷</v>
          </cell>
          <cell r="AM41" t="str">
            <v>魔法・疾走</v>
          </cell>
        </row>
        <row r="42">
          <cell r="C42" t="str">
            <v>闇</v>
          </cell>
          <cell r="AM42" t="str">
            <v>魔法・最終層</v>
          </cell>
        </row>
        <row r="43">
          <cell r="C43" t="str">
            <v>光</v>
          </cell>
          <cell r="AM43" t="str">
            <v>魔法・超軽量</v>
          </cell>
        </row>
        <row r="44">
          <cell r="C44" t="str">
            <v>光</v>
          </cell>
          <cell r="AM44" t="str">
            <v>近接・強襲</v>
          </cell>
        </row>
        <row r="45">
          <cell r="C45" t="str">
            <v>火</v>
          </cell>
          <cell r="AM45" t="str">
            <v>近接・耐久</v>
          </cell>
        </row>
        <row r="46">
          <cell r="C46" t="str">
            <v>光</v>
          </cell>
          <cell r="AM46" t="str">
            <v>魔法・万能</v>
          </cell>
        </row>
        <row r="47">
          <cell r="C47" t="str">
            <v>雷</v>
          </cell>
          <cell r="AM47" t="str">
            <v>魔法・守護</v>
          </cell>
        </row>
        <row r="48">
          <cell r="C48" t="str">
            <v>火</v>
          </cell>
          <cell r="AM48" t="str">
            <v>魔法・砲撃</v>
          </cell>
        </row>
        <row r="49">
          <cell r="C49" t="str">
            <v>火</v>
          </cell>
          <cell r="AM49" t="str">
            <v>魔法・魔防障壁</v>
          </cell>
        </row>
        <row r="50">
          <cell r="C50" t="str">
            <v>雷</v>
          </cell>
          <cell r="AM50" t="str">
            <v>近接・軽装強打</v>
          </cell>
        </row>
        <row r="51">
          <cell r="C51" t="str">
            <v>水</v>
          </cell>
          <cell r="AM51" t="str">
            <v>近接・狂戦士</v>
          </cell>
        </row>
        <row r="52">
          <cell r="C52" t="str">
            <v>火</v>
          </cell>
          <cell r="AM52" t="str">
            <v>魔法・長射程</v>
          </cell>
        </row>
        <row r="53">
          <cell r="C53" t="str">
            <v>雷</v>
          </cell>
          <cell r="AM53" t="str">
            <v>魔法・狙撃</v>
          </cell>
        </row>
        <row r="54">
          <cell r="C54" t="str">
            <v>雷</v>
          </cell>
          <cell r="AM54" t="str">
            <v>魔法・会心一撃</v>
          </cell>
        </row>
        <row r="55">
          <cell r="C55" t="str">
            <v>光</v>
          </cell>
          <cell r="AM55" t="str">
            <v>魔法・鈍足賢者</v>
          </cell>
        </row>
        <row r="56">
          <cell r="C56" t="str">
            <v>光</v>
          </cell>
          <cell r="AM56" t="str">
            <v>近接・守護</v>
          </cell>
        </row>
        <row r="57">
          <cell r="C57" t="str">
            <v>光</v>
          </cell>
          <cell r="AM57" t="str">
            <v>近接・魔法盾</v>
          </cell>
        </row>
        <row r="58">
          <cell r="C58" t="str">
            <v>雷</v>
          </cell>
          <cell r="AM58" t="str">
            <v>魔法・耐性特化</v>
          </cell>
        </row>
        <row r="59">
          <cell r="C59" t="str">
            <v>火</v>
          </cell>
          <cell r="AM59" t="str">
            <v>魔法・高会心</v>
          </cell>
        </row>
        <row r="60">
          <cell r="C60" t="str">
            <v>雷</v>
          </cell>
          <cell r="AM60" t="str">
            <v>魔法・疾走</v>
          </cell>
        </row>
        <row r="61">
          <cell r="C61" t="str">
            <v>雷</v>
          </cell>
          <cell r="AM61" t="str">
            <v>魔法・最終層</v>
          </cell>
        </row>
        <row r="62">
          <cell r="C62" t="str">
            <v>火</v>
          </cell>
          <cell r="AM62" t="str">
            <v>近接・鉄壁</v>
          </cell>
        </row>
        <row r="63">
          <cell r="C63" t="str">
            <v>雷</v>
          </cell>
          <cell r="AM63" t="str">
            <v>近接・強襲</v>
          </cell>
        </row>
        <row r="64">
          <cell r="C64" t="str">
            <v>火</v>
          </cell>
          <cell r="AM64" t="str">
            <v>魔法・軽量</v>
          </cell>
        </row>
        <row r="65">
          <cell r="C65" t="str">
            <v>雷</v>
          </cell>
          <cell r="AM65" t="str">
            <v>魔法・探索</v>
          </cell>
        </row>
        <row r="66">
          <cell r="C66" t="str">
            <v>光</v>
          </cell>
          <cell r="AM66" t="str">
            <v>魔法・守護</v>
          </cell>
        </row>
        <row r="67">
          <cell r="C67" t="str">
            <v>水</v>
          </cell>
          <cell r="AM67" t="str">
            <v>魔法・砲撃</v>
          </cell>
        </row>
        <row r="68">
          <cell r="C68" t="str">
            <v>風</v>
          </cell>
          <cell r="AM68" t="str">
            <v>近接・堅実</v>
          </cell>
        </row>
        <row r="69">
          <cell r="C69" t="str">
            <v>雷</v>
          </cell>
          <cell r="AM69" t="str">
            <v>近接・軽装強打</v>
          </cell>
        </row>
        <row r="70">
          <cell r="C70" t="str">
            <v>火</v>
          </cell>
          <cell r="AM70" t="str">
            <v>魔法・支援</v>
          </cell>
        </row>
        <row r="71">
          <cell r="C71" t="str">
            <v>火</v>
          </cell>
          <cell r="AM71" t="str">
            <v>魔法・速攻</v>
          </cell>
        </row>
        <row r="72">
          <cell r="C72" t="str">
            <v>火</v>
          </cell>
          <cell r="AM72" t="str">
            <v>魔法・狙撃</v>
          </cell>
        </row>
        <row r="73">
          <cell r="C73" t="str">
            <v>火</v>
          </cell>
          <cell r="AM73" t="str">
            <v>魔法・会心一撃</v>
          </cell>
        </row>
        <row r="74">
          <cell r="C74" t="str">
            <v>火</v>
          </cell>
          <cell r="AM74" t="str">
            <v>近接・槍盾</v>
          </cell>
        </row>
        <row r="75">
          <cell r="C75" t="str">
            <v>火</v>
          </cell>
          <cell r="AM75" t="str">
            <v>近接・守護</v>
          </cell>
        </row>
        <row r="76">
          <cell r="C76" t="str">
            <v>光</v>
          </cell>
          <cell r="AM76" t="str">
            <v>魔法・重装砲</v>
          </cell>
        </row>
        <row r="77">
          <cell r="C77" t="str">
            <v>水</v>
          </cell>
          <cell r="AM77" t="str">
            <v>魔法・連射</v>
          </cell>
        </row>
        <row r="78">
          <cell r="C78" t="str">
            <v>水</v>
          </cell>
          <cell r="AM78" t="str">
            <v>魔法・高会心</v>
          </cell>
        </row>
        <row r="79">
          <cell r="C79" t="str">
            <v>水</v>
          </cell>
          <cell r="AM79" t="str">
            <v>魔法・疾走</v>
          </cell>
        </row>
        <row r="80">
          <cell r="C80" t="str">
            <v>水</v>
          </cell>
          <cell r="AM80" t="str">
            <v>近接・速攻</v>
          </cell>
        </row>
        <row r="81">
          <cell r="C81" t="str">
            <v>水</v>
          </cell>
          <cell r="AM81" t="str">
            <v>近接・鉄壁</v>
          </cell>
        </row>
        <row r="82">
          <cell r="C82" t="str">
            <v>闇</v>
          </cell>
          <cell r="AM82" t="str">
            <v>魔法・物防障壁</v>
          </cell>
        </row>
        <row r="83">
          <cell r="C83" t="str">
            <v>風</v>
          </cell>
          <cell r="AM83" t="str">
            <v>魔法・近距離</v>
          </cell>
        </row>
        <row r="84">
          <cell r="C84" t="str">
            <v>光</v>
          </cell>
          <cell r="AM84" t="str">
            <v>魔法・探索</v>
          </cell>
        </row>
        <row r="85">
          <cell r="C85" t="str">
            <v>風</v>
          </cell>
          <cell r="AM85" t="str">
            <v>魔法・守護</v>
          </cell>
        </row>
        <row r="86">
          <cell r="C86" t="str">
            <v>火</v>
          </cell>
          <cell r="AM86" t="str">
            <v>近接・機動</v>
          </cell>
        </row>
        <row r="87">
          <cell r="C87" t="str">
            <v>雷</v>
          </cell>
          <cell r="AM87" t="str">
            <v>近接・堅実</v>
          </cell>
        </row>
        <row r="88">
          <cell r="C88" t="str">
            <v>風</v>
          </cell>
          <cell r="AM88" t="str">
            <v>魔法・薄命結界</v>
          </cell>
        </row>
        <row r="89">
          <cell r="C89" t="str">
            <v>風</v>
          </cell>
          <cell r="AM89" t="str">
            <v>魔法・高MP</v>
          </cell>
        </row>
        <row r="90">
          <cell r="C90" t="str">
            <v>光</v>
          </cell>
          <cell r="AM90" t="str">
            <v>魔法・速攻</v>
          </cell>
        </row>
        <row r="91">
          <cell r="C91" t="str">
            <v>水</v>
          </cell>
          <cell r="AM91" t="str">
            <v>魔法・狙撃</v>
          </cell>
        </row>
        <row r="92">
          <cell r="C92" t="str">
            <v>火</v>
          </cell>
          <cell r="AM92" t="str">
            <v>近接・捨身</v>
          </cell>
        </row>
        <row r="93">
          <cell r="C93" t="str">
            <v>雷</v>
          </cell>
          <cell r="AM93" t="str">
            <v>近接・槍盾</v>
          </cell>
        </row>
        <row r="94">
          <cell r="C94" t="str">
            <v>光</v>
          </cell>
          <cell r="AM94" t="str">
            <v>魔法・火力</v>
          </cell>
        </row>
        <row r="95">
          <cell r="C95" t="str">
            <v>風</v>
          </cell>
          <cell r="AM95" t="str">
            <v>魔法・均衡</v>
          </cell>
        </row>
        <row r="96">
          <cell r="C96" t="str">
            <v>雷</v>
          </cell>
          <cell r="AM96" t="str">
            <v>魔法・連射</v>
          </cell>
        </row>
        <row r="97">
          <cell r="C97" t="str">
            <v>闇</v>
          </cell>
          <cell r="AM97" t="str">
            <v>魔法・高会心</v>
          </cell>
        </row>
        <row r="98">
          <cell r="C98" t="str">
            <v>雷</v>
          </cell>
          <cell r="AM98" t="str">
            <v>近接・斥候</v>
          </cell>
        </row>
        <row r="99">
          <cell r="C99" t="str">
            <v>火</v>
          </cell>
          <cell r="AM99" t="str">
            <v>近接・速攻</v>
          </cell>
        </row>
        <row r="100">
          <cell r="C100" t="str">
            <v>光</v>
          </cell>
          <cell r="AM100" t="str">
            <v>魔法・超軽量</v>
          </cell>
        </row>
        <row r="101">
          <cell r="C101" t="str">
            <v>雷</v>
          </cell>
          <cell r="AM101" t="str">
            <v>魔法・万能</v>
          </cell>
        </row>
        <row r="102">
          <cell r="C102" t="str">
            <v>雷</v>
          </cell>
          <cell r="AM102" t="str">
            <v>魔法・近距離</v>
          </cell>
        </row>
        <row r="103">
          <cell r="C103" t="str">
            <v>火</v>
          </cell>
          <cell r="AM103" t="str">
            <v>魔法・探索</v>
          </cell>
        </row>
        <row r="104">
          <cell r="C104" t="str">
            <v>水</v>
          </cell>
          <cell r="AM104" t="str">
            <v>近接・火力</v>
          </cell>
        </row>
        <row r="105">
          <cell r="C105" t="str">
            <v>雷</v>
          </cell>
          <cell r="AM105" t="str">
            <v>近接・機動</v>
          </cell>
        </row>
        <row r="106">
          <cell r="C106" t="str">
            <v>光</v>
          </cell>
          <cell r="AM106" t="str">
            <v>魔法・魔防障壁</v>
          </cell>
        </row>
        <row r="107">
          <cell r="C107" t="str">
            <v>水</v>
          </cell>
          <cell r="AM107" t="str">
            <v>魔法・長射程</v>
          </cell>
        </row>
        <row r="108">
          <cell r="C108" t="str">
            <v>雷</v>
          </cell>
          <cell r="AM108" t="str">
            <v>魔法・高MP</v>
          </cell>
        </row>
        <row r="109">
          <cell r="C109" t="str">
            <v>火</v>
          </cell>
          <cell r="AM109" t="str">
            <v>魔法・速攻</v>
          </cell>
        </row>
        <row r="110">
          <cell r="C110" t="str">
            <v>光</v>
          </cell>
          <cell r="AM110" t="str">
            <v>近接・連撃</v>
          </cell>
        </row>
        <row r="111">
          <cell r="C111" t="str">
            <v>闇</v>
          </cell>
          <cell r="AM111" t="str">
            <v>近接・捨身</v>
          </cell>
        </row>
        <row r="112">
          <cell r="C112" t="str">
            <v>闇</v>
          </cell>
          <cell r="AM112" t="str">
            <v>魔法・鈍足賢者</v>
          </cell>
        </row>
        <row r="113">
          <cell r="C113" t="str">
            <v>光</v>
          </cell>
          <cell r="AM113" t="str">
            <v>魔法・耐性特化</v>
          </cell>
        </row>
        <row r="114">
          <cell r="C114" t="str">
            <v>闇</v>
          </cell>
          <cell r="AM114" t="str">
            <v>魔法・均衡</v>
          </cell>
        </row>
        <row r="115">
          <cell r="C115" t="str">
            <v>闇</v>
          </cell>
          <cell r="AM115" t="str">
            <v>魔法・連射</v>
          </cell>
        </row>
        <row r="116">
          <cell r="C116" t="str">
            <v>風</v>
          </cell>
          <cell r="AM116" t="str">
            <v>近接・短剣</v>
          </cell>
        </row>
        <row r="117">
          <cell r="C117" t="str">
            <v>雷</v>
          </cell>
          <cell r="AM117" t="str">
            <v>近接・斥候</v>
          </cell>
        </row>
        <row r="118">
          <cell r="C118" t="str">
            <v>闇</v>
          </cell>
          <cell r="AM118" t="str">
            <v>魔法・最終層</v>
          </cell>
        </row>
        <row r="119">
          <cell r="C119" t="str">
            <v>風</v>
          </cell>
          <cell r="AM119" t="str">
            <v>魔法・軽量</v>
          </cell>
        </row>
        <row r="120">
          <cell r="C120" t="str">
            <v>水</v>
          </cell>
          <cell r="AM120" t="str">
            <v>魔法・万能</v>
          </cell>
        </row>
        <row r="121">
          <cell r="C121" t="str">
            <v>闇</v>
          </cell>
          <cell r="AM121" t="str">
            <v>魔法・近距離</v>
          </cell>
        </row>
        <row r="122">
          <cell r="C122" t="str">
            <v>雷</v>
          </cell>
          <cell r="AM122" t="str">
            <v>近接・高魔防</v>
          </cell>
        </row>
        <row r="123">
          <cell r="C123" t="str">
            <v>風</v>
          </cell>
          <cell r="AM123" t="str">
            <v>近接・火力</v>
          </cell>
        </row>
        <row r="124">
          <cell r="C124" t="str">
            <v>闇</v>
          </cell>
          <cell r="AM124" t="str">
            <v>魔法・砲撃</v>
          </cell>
        </row>
        <row r="125">
          <cell r="C125" t="str">
            <v>風</v>
          </cell>
          <cell r="AM125" t="str">
            <v>魔法・支援</v>
          </cell>
        </row>
        <row r="126">
          <cell r="C126" t="str">
            <v>風</v>
          </cell>
          <cell r="AM126" t="str">
            <v>魔法・長射程</v>
          </cell>
        </row>
        <row r="127">
          <cell r="C127" t="str">
            <v>風</v>
          </cell>
          <cell r="AM127" t="str">
            <v>魔法・高MP</v>
          </cell>
        </row>
        <row r="128">
          <cell r="C128" t="str">
            <v>風</v>
          </cell>
          <cell r="AM128" t="str">
            <v>近接・最終層</v>
          </cell>
        </row>
        <row r="129">
          <cell r="C129" t="str">
            <v>雷</v>
          </cell>
          <cell r="AM129" t="str">
            <v>近接・連撃</v>
          </cell>
        </row>
        <row r="130">
          <cell r="C130" t="str">
            <v>光</v>
          </cell>
          <cell r="AM130" t="str">
            <v>魔法・会心一撃</v>
          </cell>
        </row>
        <row r="131">
          <cell r="C131" t="str">
            <v>闇</v>
          </cell>
          <cell r="AM131" t="str">
            <v>魔法・重装砲</v>
          </cell>
        </row>
        <row r="132">
          <cell r="C132" t="str">
            <v>雷</v>
          </cell>
          <cell r="AM132" t="str">
            <v>魔法・耐性特化</v>
          </cell>
        </row>
        <row r="133">
          <cell r="C133" t="str">
            <v>闇</v>
          </cell>
          <cell r="AM133" t="str">
            <v>魔法・均衡</v>
          </cell>
        </row>
        <row r="134">
          <cell r="C134" t="str">
            <v>火</v>
          </cell>
          <cell r="AM134" t="str">
            <v>近接・刺突</v>
          </cell>
        </row>
        <row r="135">
          <cell r="C135" t="str">
            <v>火</v>
          </cell>
          <cell r="AM135" t="str">
            <v>近接・短剣</v>
          </cell>
        </row>
        <row r="136">
          <cell r="C136" t="str">
            <v>雷</v>
          </cell>
          <cell r="AM136" t="str">
            <v>魔法・疾走</v>
          </cell>
        </row>
        <row r="137">
          <cell r="C137" t="str">
            <v>闇</v>
          </cell>
          <cell r="AM137" t="str">
            <v>魔法・物防障壁</v>
          </cell>
        </row>
        <row r="138">
          <cell r="C138" t="str">
            <v>闇</v>
          </cell>
          <cell r="AM138" t="str">
            <v>魔法・軽量</v>
          </cell>
        </row>
        <row r="139">
          <cell r="C139" t="str">
            <v>闇</v>
          </cell>
          <cell r="AM139" t="str">
            <v>魔法・万能</v>
          </cell>
        </row>
        <row r="140">
          <cell r="C140" t="str">
            <v>闇</v>
          </cell>
          <cell r="AM140" t="str">
            <v>近接・長柄</v>
          </cell>
        </row>
        <row r="141">
          <cell r="C141" t="str">
            <v>闇</v>
          </cell>
          <cell r="AM141" t="str">
            <v>近接・高魔防</v>
          </cell>
        </row>
        <row r="142">
          <cell r="C142" t="str">
            <v>水</v>
          </cell>
          <cell r="AM142" t="str">
            <v>魔法・守護</v>
          </cell>
        </row>
        <row r="143">
          <cell r="C143" t="str">
            <v>火</v>
          </cell>
          <cell r="AM143" t="str">
            <v>魔法・薄命結界</v>
          </cell>
        </row>
        <row r="144">
          <cell r="C144" t="str">
            <v>水</v>
          </cell>
          <cell r="AM144" t="str">
            <v>魔法・支援</v>
          </cell>
        </row>
        <row r="145">
          <cell r="C145" t="str">
            <v>火</v>
          </cell>
          <cell r="AM145" t="str">
            <v>魔法・長射程</v>
          </cell>
        </row>
        <row r="146">
          <cell r="C146" t="str">
            <v>闇</v>
          </cell>
          <cell r="AM146" t="str">
            <v>近接・会心</v>
          </cell>
        </row>
        <row r="147">
          <cell r="C147" t="str">
            <v>闇</v>
          </cell>
          <cell r="AM147" t="str">
            <v>近接・最終層</v>
          </cell>
        </row>
        <row r="148">
          <cell r="C148" t="str">
            <v>闇</v>
          </cell>
          <cell r="AM148" t="str">
            <v>魔法・狙撃</v>
          </cell>
        </row>
        <row r="149">
          <cell r="C149" t="str">
            <v>風</v>
          </cell>
          <cell r="AM149" t="str">
            <v>魔法・火力</v>
          </cell>
        </row>
        <row r="150">
          <cell r="C150" t="str">
            <v>水</v>
          </cell>
          <cell r="AM150" t="str">
            <v>魔法・重装砲</v>
          </cell>
        </row>
        <row r="151">
          <cell r="C151" t="str">
            <v>闇</v>
          </cell>
          <cell r="AM151" t="str">
            <v>魔法・耐性特化</v>
          </cell>
        </row>
        <row r="152">
          <cell r="C152" t="str">
            <v>闇</v>
          </cell>
          <cell r="AM152" t="str">
            <v>近接・重装</v>
          </cell>
        </row>
        <row r="153">
          <cell r="C153" t="str">
            <v>闇</v>
          </cell>
          <cell r="AM153" t="str">
            <v>近接・刺突</v>
          </cell>
        </row>
        <row r="154">
          <cell r="C154" t="str">
            <v>闇</v>
          </cell>
          <cell r="AM154" t="str">
            <v>魔法・高会心</v>
          </cell>
        </row>
        <row r="155">
          <cell r="C155" t="str">
            <v>闇</v>
          </cell>
          <cell r="AM155" t="str">
            <v>魔法・超軽量</v>
          </cell>
        </row>
        <row r="156">
          <cell r="C156" t="str">
            <v>雷</v>
          </cell>
          <cell r="AM156" t="str">
            <v>魔法・物防障壁</v>
          </cell>
        </row>
        <row r="157">
          <cell r="C157" t="str">
            <v>雷</v>
          </cell>
          <cell r="AM157" t="str">
            <v>魔法・軽量</v>
          </cell>
        </row>
        <row r="158">
          <cell r="C158" t="str">
            <v>雷</v>
          </cell>
          <cell r="AM158" t="str">
            <v>近接・重撃</v>
          </cell>
        </row>
        <row r="159">
          <cell r="C159" t="str">
            <v>闇</v>
          </cell>
          <cell r="AM159" t="str">
            <v>近接・長柄</v>
          </cell>
        </row>
        <row r="160">
          <cell r="C160" t="str">
            <v>雷</v>
          </cell>
          <cell r="AM160" t="str">
            <v>魔法・探索</v>
          </cell>
        </row>
        <row r="161">
          <cell r="C161" t="str">
            <v>水</v>
          </cell>
          <cell r="AM161" t="str">
            <v>魔法・魔防障壁</v>
          </cell>
        </row>
        <row r="162">
          <cell r="C162" t="str">
            <v>水</v>
          </cell>
          <cell r="AM162" t="str">
            <v>魔法・薄命結界</v>
          </cell>
        </row>
        <row r="163">
          <cell r="C163" t="str">
            <v>水</v>
          </cell>
          <cell r="AM163" t="str">
            <v>魔法・支援</v>
          </cell>
        </row>
        <row r="164">
          <cell r="C164" t="str">
            <v>水</v>
          </cell>
          <cell r="AM164" t="str">
            <v>近接・耐性鎧</v>
          </cell>
        </row>
        <row r="165">
          <cell r="C165" t="str">
            <v>水</v>
          </cell>
          <cell r="AM165" t="str">
            <v>近接・会心</v>
          </cell>
        </row>
        <row r="166">
          <cell r="C166" t="str">
            <v>風</v>
          </cell>
          <cell r="AM166" t="str">
            <v>魔法・速攻</v>
          </cell>
        </row>
        <row r="167">
          <cell r="C167" t="str">
            <v>闇</v>
          </cell>
          <cell r="AM167" t="str">
            <v>魔法・鈍足賢者</v>
          </cell>
        </row>
        <row r="168">
          <cell r="C168" t="str">
            <v>闇</v>
          </cell>
          <cell r="AM168" t="str">
            <v>魔法・火力</v>
          </cell>
        </row>
        <row r="169">
          <cell r="C169" t="str">
            <v>火</v>
          </cell>
          <cell r="AM169" t="str">
            <v>魔法・重装砲</v>
          </cell>
        </row>
        <row r="170">
          <cell r="C170" t="str">
            <v>闇</v>
          </cell>
          <cell r="AM170" t="str">
            <v>近接・巨体</v>
          </cell>
        </row>
        <row r="171">
          <cell r="C171" t="str">
            <v>闇</v>
          </cell>
          <cell r="AM171" t="str">
            <v>近接・重装</v>
          </cell>
        </row>
        <row r="172">
          <cell r="C172" t="str">
            <v>闇</v>
          </cell>
          <cell r="AM172" t="str">
            <v>魔法・連射</v>
          </cell>
        </row>
        <row r="173">
          <cell r="C173" t="str">
            <v>雷</v>
          </cell>
          <cell r="AM173" t="str">
            <v>魔法・最終層</v>
          </cell>
        </row>
        <row r="174">
          <cell r="C174" t="str">
            <v>闇</v>
          </cell>
          <cell r="AM174" t="str">
            <v>魔法・超軽量</v>
          </cell>
        </row>
        <row r="175">
          <cell r="C175" t="str">
            <v>雷</v>
          </cell>
          <cell r="AM175" t="str">
            <v>魔法・物防障壁</v>
          </cell>
        </row>
        <row r="176">
          <cell r="C176" t="str">
            <v>雷</v>
          </cell>
          <cell r="AM176" t="str">
            <v>近接・耐久</v>
          </cell>
        </row>
        <row r="177">
          <cell r="C177" t="str">
            <v>雷</v>
          </cell>
          <cell r="AM177" t="str">
            <v>近接・重撃</v>
          </cell>
        </row>
        <row r="178">
          <cell r="C178" t="str">
            <v>雷</v>
          </cell>
          <cell r="AM178" t="str">
            <v>魔法・近距離</v>
          </cell>
        </row>
        <row r="179">
          <cell r="C179" t="str">
            <v>火</v>
          </cell>
          <cell r="AM179" t="str">
            <v>魔法・砲撃</v>
          </cell>
        </row>
        <row r="180">
          <cell r="C180" t="str">
            <v>火</v>
          </cell>
          <cell r="AM180" t="str">
            <v>魔法・魔防障壁</v>
          </cell>
        </row>
        <row r="181">
          <cell r="C181" t="str">
            <v>火</v>
          </cell>
          <cell r="AM181" t="str">
            <v>魔法・薄命結界</v>
          </cell>
        </row>
        <row r="182">
          <cell r="C182" t="str">
            <v>火</v>
          </cell>
          <cell r="AM182" t="str">
            <v>近接・狂戦士</v>
          </cell>
        </row>
        <row r="183">
          <cell r="C183" t="str">
            <v>火</v>
          </cell>
          <cell r="AM183" t="str">
            <v>近接・耐性鎧</v>
          </cell>
        </row>
        <row r="184">
          <cell r="C184" t="str">
            <v>火</v>
          </cell>
          <cell r="AM184" t="str">
            <v>魔法・高MP</v>
          </cell>
        </row>
        <row r="185">
          <cell r="C185" t="str">
            <v>水</v>
          </cell>
          <cell r="AM185" t="str">
            <v>魔法・会心一撃</v>
          </cell>
        </row>
        <row r="186">
          <cell r="C186" t="str">
            <v>水</v>
          </cell>
          <cell r="AM186" t="str">
            <v>魔法・鈍足賢者</v>
          </cell>
        </row>
        <row r="187">
          <cell r="C187" t="str">
            <v>水</v>
          </cell>
          <cell r="AM187" t="str">
            <v>魔法・火力</v>
          </cell>
        </row>
        <row r="188">
          <cell r="C188" t="str">
            <v>水</v>
          </cell>
          <cell r="AM188" t="str">
            <v>近接・魔法盾</v>
          </cell>
        </row>
        <row r="189">
          <cell r="C189" t="str">
            <v>水</v>
          </cell>
          <cell r="AM189" t="str">
            <v>近接・巨体</v>
          </cell>
        </row>
        <row r="190">
          <cell r="C190" t="str">
            <v>水</v>
          </cell>
          <cell r="AM190" t="str">
            <v>魔法・均衡</v>
          </cell>
        </row>
        <row r="191">
          <cell r="C191" t="str">
            <v>風</v>
          </cell>
          <cell r="AM191" t="str">
            <v>魔法・疾走</v>
          </cell>
        </row>
        <row r="192">
          <cell r="C192" t="str">
            <v>風</v>
          </cell>
          <cell r="AM192" t="str">
            <v>魔法・最終層</v>
          </cell>
        </row>
        <row r="193">
          <cell r="C193" t="str">
            <v>風</v>
          </cell>
          <cell r="AM193" t="str">
            <v>魔法・超軽量</v>
          </cell>
        </row>
        <row r="194">
          <cell r="C194" t="str">
            <v>風</v>
          </cell>
          <cell r="AM194" t="str">
            <v>近接・強襲</v>
          </cell>
        </row>
        <row r="195">
          <cell r="C195" t="str">
            <v>風</v>
          </cell>
          <cell r="AM195" t="str">
            <v>近接・耐久</v>
          </cell>
        </row>
        <row r="196">
          <cell r="C196" t="str">
            <v>風</v>
          </cell>
          <cell r="AM196" t="str">
            <v>魔法・万能</v>
          </cell>
        </row>
        <row r="197">
          <cell r="C197" t="str">
            <v>雷</v>
          </cell>
          <cell r="AM197" t="str">
            <v>魔法・守護</v>
          </cell>
        </row>
        <row r="198">
          <cell r="C198" t="str">
            <v>雷</v>
          </cell>
          <cell r="AM198" t="str">
            <v>魔法・砲撃</v>
          </cell>
        </row>
        <row r="199">
          <cell r="C199" t="str">
            <v>雷</v>
          </cell>
          <cell r="AM199" t="str">
            <v>魔法・魔防障壁</v>
          </cell>
        </row>
        <row r="200">
          <cell r="C200" t="str">
            <v>雷</v>
          </cell>
          <cell r="AM200" t="str">
            <v>近接・軽装強打</v>
          </cell>
        </row>
        <row r="201">
          <cell r="C201" t="str">
            <v>雷</v>
          </cell>
          <cell r="AM201" t="str">
            <v>近接・狂戦士</v>
          </cell>
        </row>
        <row r="202">
          <cell r="C202" t="str">
            <v>雷</v>
          </cell>
          <cell r="AM202" t="str">
            <v>魔法・長射程</v>
          </cell>
        </row>
        <row r="203">
          <cell r="C203" t="str">
            <v>風</v>
          </cell>
          <cell r="AM203" t="str">
            <v>魔法・狙撃</v>
          </cell>
        </row>
        <row r="204">
          <cell r="C204" t="str">
            <v>雷</v>
          </cell>
          <cell r="AM204" t="str">
            <v>魔法・会心一撃</v>
          </cell>
        </row>
        <row r="205">
          <cell r="C205" t="str">
            <v>風</v>
          </cell>
          <cell r="AM205" t="str">
            <v>魔法・鈍足賢者</v>
          </cell>
        </row>
        <row r="206">
          <cell r="C206" t="str">
            <v>雷</v>
          </cell>
          <cell r="AM206" t="str">
            <v>近接・守護</v>
          </cell>
        </row>
        <row r="207">
          <cell r="C207" t="str">
            <v>風</v>
          </cell>
          <cell r="AM207" t="str">
            <v>近接・魔法盾</v>
          </cell>
        </row>
        <row r="208">
          <cell r="C208" t="str">
            <v>光</v>
          </cell>
          <cell r="AM208" t="str">
            <v>魔法・耐性特化</v>
          </cell>
        </row>
        <row r="209">
          <cell r="C209" t="str">
            <v>闇</v>
          </cell>
          <cell r="AM209" t="str">
            <v>魔法・高会心</v>
          </cell>
        </row>
        <row r="210">
          <cell r="C210" t="str">
            <v>闇</v>
          </cell>
          <cell r="AM210" t="str">
            <v>魔法・疾走</v>
          </cell>
        </row>
        <row r="211">
          <cell r="C211" t="str">
            <v>闇</v>
          </cell>
          <cell r="AM211" t="str">
            <v>魔法・最終層</v>
          </cell>
        </row>
        <row r="212">
          <cell r="C212" t="str">
            <v>闇</v>
          </cell>
          <cell r="AM212" t="str">
            <v>近接・鉄壁</v>
          </cell>
        </row>
        <row r="213">
          <cell r="C213" t="str">
            <v>闇</v>
          </cell>
          <cell r="AM213" t="str">
            <v>近接・強襲</v>
          </cell>
        </row>
        <row r="214">
          <cell r="C214" t="str">
            <v>闇</v>
          </cell>
          <cell r="AM214" t="str">
            <v>魔法・軽量</v>
          </cell>
        </row>
        <row r="215">
          <cell r="C215" t="str">
            <v>闇</v>
          </cell>
          <cell r="AM215" t="str">
            <v>魔法・探索</v>
          </cell>
        </row>
        <row r="216">
          <cell r="C216" t="str">
            <v>雷</v>
          </cell>
          <cell r="AM216" t="str">
            <v>魔法・守護</v>
          </cell>
        </row>
        <row r="217">
          <cell r="C217" t="str">
            <v>闇</v>
          </cell>
          <cell r="AM217" t="str">
            <v>魔法・砲撃</v>
          </cell>
        </row>
        <row r="218">
          <cell r="C218" t="str">
            <v>雷</v>
          </cell>
          <cell r="AM218" t="str">
            <v>近接・堅実</v>
          </cell>
        </row>
        <row r="219">
          <cell r="C219" t="str">
            <v>光</v>
          </cell>
          <cell r="AM219" t="str">
            <v>近接・軽装強打</v>
          </cell>
        </row>
        <row r="220">
          <cell r="C220" t="str">
            <v>光</v>
          </cell>
          <cell r="AM220" t="str">
            <v>魔法・支援</v>
          </cell>
        </row>
        <row r="221">
          <cell r="C221" t="str">
            <v>闇</v>
          </cell>
          <cell r="AM221" t="str">
            <v>魔法・速攻</v>
          </cell>
        </row>
        <row r="222">
          <cell r="C222" t="str">
            <v>闇</v>
          </cell>
          <cell r="AM222" t="str">
            <v>魔法・狙撃</v>
          </cell>
        </row>
        <row r="223">
          <cell r="C223" t="str">
            <v>闇</v>
          </cell>
          <cell r="AM223" t="str">
            <v>魔法・会心一撃</v>
          </cell>
        </row>
        <row r="224">
          <cell r="C224" t="str">
            <v>闇</v>
          </cell>
          <cell r="AM224" t="str">
            <v>近接・槍盾</v>
          </cell>
        </row>
        <row r="225">
          <cell r="C225" t="str">
            <v>闇</v>
          </cell>
          <cell r="AM225" t="str">
            <v>近接・守護</v>
          </cell>
        </row>
        <row r="226">
          <cell r="C226" t="str">
            <v>闇</v>
          </cell>
          <cell r="AM226" t="str">
            <v>魔法・重装砲</v>
          </cell>
        </row>
        <row r="227">
          <cell r="C227" t="str">
            <v>光</v>
          </cell>
          <cell r="AM227" t="str">
            <v>魔法・連射</v>
          </cell>
        </row>
        <row r="228">
          <cell r="C228" t="str">
            <v>水</v>
          </cell>
          <cell r="AM228" t="str">
            <v>魔法・高会心</v>
          </cell>
        </row>
        <row r="229">
          <cell r="C229" t="str">
            <v>光</v>
          </cell>
          <cell r="AM229" t="str">
            <v>魔法・疾走</v>
          </cell>
        </row>
        <row r="230">
          <cell r="C230" t="str">
            <v>闇</v>
          </cell>
          <cell r="AM230" t="str">
            <v>近接・速攻</v>
          </cell>
        </row>
        <row r="231">
          <cell r="C231" t="str">
            <v>光</v>
          </cell>
          <cell r="AM231" t="str">
            <v>近接・鉄壁</v>
          </cell>
        </row>
        <row r="232">
          <cell r="C232" t="str">
            <v>光</v>
          </cell>
          <cell r="AM232" t="str">
            <v>魔法・物防障壁</v>
          </cell>
        </row>
        <row r="233">
          <cell r="C233" t="str">
            <v>闇</v>
          </cell>
          <cell r="AM233" t="str">
            <v>魔法・近距離</v>
          </cell>
        </row>
        <row r="234">
          <cell r="C234" t="str">
            <v>闇</v>
          </cell>
          <cell r="AM234" t="str">
            <v>魔法・探索</v>
          </cell>
        </row>
        <row r="235">
          <cell r="C235" t="str">
            <v>闇</v>
          </cell>
          <cell r="AM235" t="str">
            <v>魔法・守護</v>
          </cell>
        </row>
        <row r="236">
          <cell r="C236" t="str">
            <v>火</v>
          </cell>
          <cell r="AM236" t="str">
            <v>近接・機動</v>
          </cell>
        </row>
        <row r="237">
          <cell r="C237" t="str">
            <v>光</v>
          </cell>
          <cell r="AM237" t="str">
            <v>近接・堅実</v>
          </cell>
        </row>
        <row r="238">
          <cell r="C238" t="str">
            <v>闇</v>
          </cell>
          <cell r="AM238" t="str">
            <v>魔法・薄命結界</v>
          </cell>
        </row>
        <row r="239">
          <cell r="C239" t="str">
            <v>光</v>
          </cell>
          <cell r="AM239" t="str">
            <v>魔法・高MP</v>
          </cell>
        </row>
        <row r="240">
          <cell r="C240" t="str">
            <v>光</v>
          </cell>
          <cell r="AM240" t="str">
            <v>魔法・速攻</v>
          </cell>
        </row>
        <row r="241">
          <cell r="C241" t="str">
            <v>闇</v>
          </cell>
          <cell r="AM241" t="str">
            <v>魔法・狙撃</v>
          </cell>
        </row>
        <row r="242">
          <cell r="C242" t="str">
            <v>光</v>
          </cell>
          <cell r="AM242" t="str">
            <v>近接・捨身</v>
          </cell>
        </row>
        <row r="243">
          <cell r="C243" t="str">
            <v>光</v>
          </cell>
          <cell r="AM243" t="str">
            <v>近接・槍盾</v>
          </cell>
        </row>
        <row r="244">
          <cell r="C244" t="str">
            <v>光</v>
          </cell>
          <cell r="AM244" t="str">
            <v>魔法・火力</v>
          </cell>
        </row>
        <row r="245">
          <cell r="C245" t="str">
            <v>闇</v>
          </cell>
          <cell r="AM245" t="str">
            <v>魔法・均衡</v>
          </cell>
        </row>
        <row r="246">
          <cell r="C246" t="str">
            <v>雷</v>
          </cell>
          <cell r="AM246" t="str">
            <v>魔法・連射</v>
          </cell>
        </row>
        <row r="247">
          <cell r="C247" t="str">
            <v>水</v>
          </cell>
          <cell r="AM247" t="str">
            <v>魔法・高会心</v>
          </cell>
        </row>
        <row r="248">
          <cell r="C248" t="str">
            <v>闇</v>
          </cell>
          <cell r="AM248" t="str">
            <v>近接・斥候</v>
          </cell>
        </row>
        <row r="249">
          <cell r="C249" t="str">
            <v>闇</v>
          </cell>
          <cell r="AM249" t="str">
            <v>近接・速攻</v>
          </cell>
        </row>
        <row r="250">
          <cell r="C250" t="str">
            <v>雷</v>
          </cell>
          <cell r="AM250" t="str">
            <v>魔法・超軽量</v>
          </cell>
        </row>
        <row r="251">
          <cell r="C251" t="str">
            <v>光</v>
          </cell>
          <cell r="AM251" t="str">
            <v>魔法・万能</v>
          </cell>
        </row>
        <row r="252">
          <cell r="C252" t="str">
            <v>光</v>
          </cell>
          <cell r="AM252" t="str">
            <v>魔法・近距離</v>
          </cell>
        </row>
        <row r="253">
          <cell r="C253" t="str">
            <v>闇</v>
          </cell>
          <cell r="AM253" t="str">
            <v>魔法・探索</v>
          </cell>
        </row>
        <row r="254">
          <cell r="C254" t="str">
            <v>雷</v>
          </cell>
          <cell r="AM254" t="str">
            <v>近接・火力</v>
          </cell>
        </row>
        <row r="255">
          <cell r="C255" t="str">
            <v>光</v>
          </cell>
          <cell r="AM255" t="str">
            <v>近接・機動</v>
          </cell>
        </row>
        <row r="256">
          <cell r="C256" t="str">
            <v>闇</v>
          </cell>
          <cell r="AM256" t="str">
            <v>魔法・魔防障壁</v>
          </cell>
        </row>
        <row r="257">
          <cell r="C257" t="str">
            <v>闇</v>
          </cell>
          <cell r="AM257" t="str">
            <v>魔法・長射程</v>
          </cell>
        </row>
        <row r="258">
          <cell r="C258" t="str">
            <v>闇</v>
          </cell>
          <cell r="AM258" t="str">
            <v>魔法・高MP</v>
          </cell>
        </row>
        <row r="259">
          <cell r="C259" t="str">
            <v>光</v>
          </cell>
          <cell r="AM259" t="str">
            <v>魔法・速攻</v>
          </cell>
        </row>
        <row r="260">
          <cell r="C260" t="str">
            <v>光</v>
          </cell>
          <cell r="AM260" t="str">
            <v>近接・連撃</v>
          </cell>
        </row>
        <row r="261">
          <cell r="C261" t="str">
            <v>闇</v>
          </cell>
          <cell r="AM261" t="str">
            <v>近接・捨身</v>
          </cell>
        </row>
        <row r="262">
          <cell r="C262" t="str">
            <v>光</v>
          </cell>
          <cell r="AM262" t="str">
            <v>魔法・鈍足賢者</v>
          </cell>
        </row>
        <row r="263">
          <cell r="C263" t="str">
            <v>闇</v>
          </cell>
          <cell r="AM263" t="str">
            <v>魔法・耐性特化</v>
          </cell>
        </row>
        <row r="264">
          <cell r="C264" t="str">
            <v>光</v>
          </cell>
          <cell r="AM264" t="str">
            <v>魔法・均衡</v>
          </cell>
        </row>
        <row r="265">
          <cell r="C265" t="str">
            <v>雷</v>
          </cell>
          <cell r="AM265" t="str">
            <v>魔法・連射</v>
          </cell>
        </row>
        <row r="266">
          <cell r="C266" t="str">
            <v>雷</v>
          </cell>
          <cell r="AM266" t="str">
            <v>近接・短剣</v>
          </cell>
        </row>
        <row r="267">
          <cell r="C267" t="str">
            <v>光</v>
          </cell>
          <cell r="AM267" t="str">
            <v>近接・斥候</v>
          </cell>
        </row>
        <row r="268">
          <cell r="C268" t="str">
            <v>光</v>
          </cell>
          <cell r="AM268" t="str">
            <v>魔法・最終層</v>
          </cell>
        </row>
        <row r="269">
          <cell r="C269" t="str">
            <v>闇</v>
          </cell>
          <cell r="AM269" t="str">
            <v>魔法・軽量</v>
          </cell>
        </row>
        <row r="270">
          <cell r="C270" t="str">
            <v>火</v>
          </cell>
          <cell r="AM270" t="str">
            <v>魔法・万能</v>
          </cell>
        </row>
        <row r="271">
          <cell r="C271" t="str">
            <v>火</v>
          </cell>
          <cell r="AM271" t="str">
            <v>魔法・近距離</v>
          </cell>
        </row>
        <row r="272">
          <cell r="C272" t="str">
            <v>雷</v>
          </cell>
          <cell r="AM272" t="str">
            <v>近接・高魔防</v>
          </cell>
        </row>
        <row r="273">
          <cell r="C273" t="str">
            <v>闇</v>
          </cell>
          <cell r="AM273" t="str">
            <v>近接・火力</v>
          </cell>
        </row>
        <row r="274">
          <cell r="C274" t="str">
            <v>闇</v>
          </cell>
          <cell r="AM274" t="str">
            <v>魔法・砲撃</v>
          </cell>
        </row>
        <row r="275">
          <cell r="C275" t="str">
            <v>闇</v>
          </cell>
          <cell r="AM275" t="str">
            <v>魔法・支援</v>
          </cell>
        </row>
        <row r="276">
          <cell r="C276" t="str">
            <v>闇</v>
          </cell>
          <cell r="AM276" t="str">
            <v>魔法・長射程</v>
          </cell>
        </row>
        <row r="277">
          <cell r="C277" t="str">
            <v>闇</v>
          </cell>
          <cell r="AM277" t="str">
            <v>魔法・高MP</v>
          </cell>
        </row>
        <row r="278">
          <cell r="C278" t="str">
            <v>闇</v>
          </cell>
          <cell r="AM278" t="str">
            <v>近接・最終層</v>
          </cell>
        </row>
        <row r="279">
          <cell r="C279" t="str">
            <v>闇</v>
          </cell>
          <cell r="AM279" t="str">
            <v>近接・連撃</v>
          </cell>
        </row>
        <row r="280">
          <cell r="C280" t="str">
            <v>闇</v>
          </cell>
          <cell r="AM280" t="str">
            <v>魔法・会心一撃</v>
          </cell>
        </row>
        <row r="281">
          <cell r="C281" t="str">
            <v>闇</v>
          </cell>
          <cell r="AM281" t="str">
            <v>魔法・重装砲</v>
          </cell>
        </row>
        <row r="282">
          <cell r="C282" t="str">
            <v>闇</v>
          </cell>
          <cell r="AM282" t="str">
            <v>魔法・耐性特化</v>
          </cell>
        </row>
        <row r="283">
          <cell r="C283" t="str">
            <v>闇</v>
          </cell>
          <cell r="AM283" t="str">
            <v>魔法・均衡</v>
          </cell>
        </row>
        <row r="284">
          <cell r="C284" t="str">
            <v>闇</v>
          </cell>
          <cell r="AM284" t="str">
            <v>近接・刺突</v>
          </cell>
        </row>
        <row r="285">
          <cell r="C285" t="str">
            <v>闇</v>
          </cell>
          <cell r="AM285" t="str">
            <v>近接・短剣</v>
          </cell>
        </row>
        <row r="286">
          <cell r="C286" t="str">
            <v>闇</v>
          </cell>
          <cell r="AM286" t="str">
            <v>魔法・疾走</v>
          </cell>
        </row>
        <row r="287">
          <cell r="C287" t="str">
            <v>闇</v>
          </cell>
          <cell r="AM287" t="str">
            <v>魔法・物防障壁</v>
          </cell>
        </row>
        <row r="288">
          <cell r="C288" t="str">
            <v>闇</v>
          </cell>
          <cell r="AM288" t="str">
            <v>魔法・軽量</v>
          </cell>
        </row>
        <row r="289">
          <cell r="C289" t="str">
            <v>火</v>
          </cell>
          <cell r="AM289" t="str">
            <v>魔法・万能</v>
          </cell>
        </row>
        <row r="290">
          <cell r="C290" t="str">
            <v>闇</v>
          </cell>
          <cell r="AM290" t="str">
            <v>近接・長柄</v>
          </cell>
        </row>
        <row r="291">
          <cell r="C291" t="str">
            <v>闇</v>
          </cell>
          <cell r="AM291" t="str">
            <v>近接・高魔防</v>
          </cell>
        </row>
        <row r="292">
          <cell r="C292" t="str">
            <v>闇</v>
          </cell>
          <cell r="AM292" t="str">
            <v>魔法・守護</v>
          </cell>
        </row>
        <row r="293">
          <cell r="C293" t="str">
            <v>闇</v>
          </cell>
          <cell r="AM293" t="str">
            <v>魔法・薄命結界</v>
          </cell>
        </row>
        <row r="294">
          <cell r="C294" t="str">
            <v>光</v>
          </cell>
          <cell r="AM294" t="str">
            <v>魔法・支援</v>
          </cell>
        </row>
        <row r="295">
          <cell r="C295" t="str">
            <v>闇</v>
          </cell>
          <cell r="AM295" t="str">
            <v>魔法・長射程</v>
          </cell>
        </row>
        <row r="296">
          <cell r="C296" t="str">
            <v>闇</v>
          </cell>
          <cell r="AM296" t="str">
            <v>近接・会心</v>
          </cell>
        </row>
        <row r="297">
          <cell r="C297" t="str">
            <v>光</v>
          </cell>
          <cell r="AM297" t="str">
            <v>近接・最終層</v>
          </cell>
        </row>
        <row r="298">
          <cell r="C298" t="str">
            <v>光</v>
          </cell>
          <cell r="AM298" t="str">
            <v>魔法・狙撃</v>
          </cell>
        </row>
        <row r="299">
          <cell r="C299" t="str">
            <v>光</v>
          </cell>
          <cell r="AM299" t="str">
            <v>魔法・火力</v>
          </cell>
        </row>
        <row r="300">
          <cell r="C300" t="str">
            <v>闇</v>
          </cell>
          <cell r="AM300" t="str">
            <v>魔法・重装砲</v>
          </cell>
        </row>
        <row r="301">
          <cell r="C301" t="str">
            <v>闇</v>
          </cell>
          <cell r="AM301" t="str">
            <v>魔法・耐性特化</v>
          </cell>
        </row>
        <row r="302">
          <cell r="C302" t="str">
            <v>火</v>
          </cell>
          <cell r="AM302" t="str">
            <v>近接・重装</v>
          </cell>
        </row>
        <row r="303">
          <cell r="C303" t="str">
            <v>雷</v>
          </cell>
          <cell r="AM303" t="str">
            <v>近接・刺突</v>
          </cell>
        </row>
        <row r="304">
          <cell r="C304" t="str">
            <v>闇</v>
          </cell>
          <cell r="AM304" t="str">
            <v>魔法・高会心</v>
          </cell>
        </row>
        <row r="305">
          <cell r="C305" t="str">
            <v>闇</v>
          </cell>
          <cell r="AM305" t="str">
            <v>魔法・超軽量</v>
          </cell>
        </row>
        <row r="306">
          <cell r="C306" t="str">
            <v>光</v>
          </cell>
          <cell r="AM306" t="str">
            <v>魔法・物防障壁</v>
          </cell>
        </row>
        <row r="307">
          <cell r="C307" t="str">
            <v>風</v>
          </cell>
          <cell r="AM307" t="str">
            <v>魔法・軽量</v>
          </cell>
        </row>
        <row r="308">
          <cell r="C308" t="str">
            <v>風</v>
          </cell>
          <cell r="AM308" t="str">
            <v>近接・重撃</v>
          </cell>
        </row>
        <row r="309">
          <cell r="C309" t="str">
            <v>闇</v>
          </cell>
          <cell r="AM309" t="str">
            <v>近接・長柄</v>
          </cell>
        </row>
        <row r="310">
          <cell r="C310" t="str">
            <v>風</v>
          </cell>
          <cell r="AM310" t="str">
            <v>魔法・探索</v>
          </cell>
        </row>
        <row r="311">
          <cell r="C311" t="str">
            <v>風</v>
          </cell>
          <cell r="AM311" t="str">
            <v>魔法・魔防障壁</v>
          </cell>
        </row>
        <row r="312">
          <cell r="C312" t="str">
            <v>風</v>
          </cell>
          <cell r="AM312" t="str">
            <v>魔法・薄命結界</v>
          </cell>
        </row>
        <row r="313">
          <cell r="C313" t="str">
            <v>風</v>
          </cell>
          <cell r="AM313" t="str">
            <v>魔法・支援</v>
          </cell>
        </row>
        <row r="314">
          <cell r="C314" t="str">
            <v>風</v>
          </cell>
          <cell r="AM314" t="str">
            <v>近接・耐性鎧</v>
          </cell>
        </row>
        <row r="315">
          <cell r="C315" t="str">
            <v>光</v>
          </cell>
          <cell r="AM315" t="str">
            <v>近接・会心</v>
          </cell>
        </row>
        <row r="316">
          <cell r="C316" t="str">
            <v>闇</v>
          </cell>
          <cell r="AM316" t="str">
            <v>魔法・速攻</v>
          </cell>
        </row>
        <row r="317">
          <cell r="C317" t="str">
            <v>水</v>
          </cell>
          <cell r="AM317" t="str">
            <v>魔法・鈍足賢者</v>
          </cell>
        </row>
        <row r="318">
          <cell r="C318" t="str">
            <v>火</v>
          </cell>
          <cell r="AM318" t="str">
            <v>魔法・火力</v>
          </cell>
        </row>
        <row r="319">
          <cell r="C319" t="str">
            <v>風</v>
          </cell>
          <cell r="AM319" t="str">
            <v>魔法・重装砲</v>
          </cell>
        </row>
        <row r="320">
          <cell r="C320" t="str">
            <v>火</v>
          </cell>
          <cell r="AM320" t="str">
            <v>近接・巨体</v>
          </cell>
        </row>
        <row r="321">
          <cell r="C321" t="str">
            <v>水</v>
          </cell>
          <cell r="AM321" t="str">
            <v>近接・重装</v>
          </cell>
        </row>
        <row r="322">
          <cell r="C322" t="str">
            <v>光</v>
          </cell>
          <cell r="AM322" t="str">
            <v>魔法・連射</v>
          </cell>
        </row>
        <row r="323">
          <cell r="C323" t="str">
            <v>水</v>
          </cell>
          <cell r="AM323" t="str">
            <v>魔法・最終層</v>
          </cell>
        </row>
        <row r="324">
          <cell r="C324" t="str">
            <v>火</v>
          </cell>
          <cell r="AM324" t="str">
            <v>魔法・超軽量</v>
          </cell>
        </row>
        <row r="325">
          <cell r="C325" t="str">
            <v>風</v>
          </cell>
          <cell r="AM325" t="str">
            <v>魔法・物防障壁</v>
          </cell>
        </row>
        <row r="326">
          <cell r="C326" t="str">
            <v>火</v>
          </cell>
          <cell r="AM326" t="str">
            <v>近接・耐久</v>
          </cell>
        </row>
        <row r="327">
          <cell r="C327" t="str">
            <v>水</v>
          </cell>
          <cell r="AM327" t="str">
            <v>近接・重撃</v>
          </cell>
        </row>
        <row r="328">
          <cell r="C328" t="str">
            <v>光</v>
          </cell>
          <cell r="AM328" t="str">
            <v>魔法・近距離</v>
          </cell>
        </row>
        <row r="329">
          <cell r="C329" t="str">
            <v>水</v>
          </cell>
          <cell r="AM329" t="str">
            <v>魔法・砲撃</v>
          </cell>
        </row>
        <row r="330">
          <cell r="C330" t="str">
            <v>火</v>
          </cell>
          <cell r="AM330" t="str">
            <v>魔法・魔防障壁</v>
          </cell>
        </row>
        <row r="331">
          <cell r="C331" t="str">
            <v>風</v>
          </cell>
          <cell r="AM331" t="str">
            <v>魔法・薄命結界</v>
          </cell>
        </row>
        <row r="332">
          <cell r="C332" t="str">
            <v>火</v>
          </cell>
          <cell r="AM332" t="str">
            <v>近接・狂戦士</v>
          </cell>
        </row>
        <row r="333">
          <cell r="C333" t="str">
            <v>水</v>
          </cell>
          <cell r="AM333" t="str">
            <v>近接・耐性鎧</v>
          </cell>
        </row>
        <row r="334">
          <cell r="C334" t="str">
            <v>光</v>
          </cell>
          <cell r="AM334" t="str">
            <v>魔法・高MP</v>
          </cell>
        </row>
        <row r="335">
          <cell r="C335" t="str">
            <v>火</v>
          </cell>
          <cell r="AM335" t="str">
            <v>魔法・会心一撃</v>
          </cell>
        </row>
        <row r="336">
          <cell r="C336" t="str">
            <v>水</v>
          </cell>
          <cell r="AM336" t="str">
            <v>魔法・鈍足賢者</v>
          </cell>
        </row>
        <row r="337">
          <cell r="C337" t="str">
            <v>光</v>
          </cell>
          <cell r="AM337" t="str">
            <v>魔法・火力</v>
          </cell>
        </row>
        <row r="338">
          <cell r="C338" t="str">
            <v>水</v>
          </cell>
          <cell r="AM338" t="str">
            <v>近接・魔法盾</v>
          </cell>
        </row>
        <row r="339">
          <cell r="C339" t="str">
            <v>火</v>
          </cell>
          <cell r="AM339" t="str">
            <v>近接・巨体</v>
          </cell>
        </row>
        <row r="340">
          <cell r="C340" t="str">
            <v>風</v>
          </cell>
          <cell r="AM340" t="str">
            <v>魔法・均衡</v>
          </cell>
        </row>
        <row r="341">
          <cell r="C341" t="str">
            <v>火</v>
          </cell>
          <cell r="AM341" t="str">
            <v>魔法・疾走</v>
          </cell>
        </row>
        <row r="342">
          <cell r="C342" t="str">
            <v>水</v>
          </cell>
          <cell r="AM342" t="str">
            <v>魔法・最終層</v>
          </cell>
        </row>
        <row r="343">
          <cell r="C343" t="str">
            <v>光</v>
          </cell>
          <cell r="AM343" t="str">
            <v>魔法・超軽量</v>
          </cell>
        </row>
        <row r="344">
          <cell r="C344" t="str">
            <v>水</v>
          </cell>
          <cell r="AM344" t="str">
            <v>近接・強襲</v>
          </cell>
        </row>
        <row r="345">
          <cell r="C345" t="str">
            <v>火</v>
          </cell>
          <cell r="AM345" t="str">
            <v>近接・耐久</v>
          </cell>
        </row>
        <row r="346">
          <cell r="C346" t="str">
            <v>風</v>
          </cell>
          <cell r="AM346" t="str">
            <v>魔法・万能</v>
          </cell>
        </row>
        <row r="347">
          <cell r="C347" t="str">
            <v>火</v>
          </cell>
          <cell r="AM347" t="str">
            <v>魔法・守護</v>
          </cell>
        </row>
        <row r="348">
          <cell r="C348" t="str">
            <v>水</v>
          </cell>
          <cell r="AM348" t="str">
            <v>魔法・砲撃</v>
          </cell>
        </row>
        <row r="349">
          <cell r="C349" t="str">
            <v>光</v>
          </cell>
          <cell r="AM349" t="str">
            <v>魔法・魔防障壁</v>
          </cell>
        </row>
        <row r="350">
          <cell r="C350" t="str">
            <v>水</v>
          </cell>
          <cell r="AM350" t="str">
            <v>近接・軽装強打</v>
          </cell>
        </row>
        <row r="351">
          <cell r="C351" t="str">
            <v>火</v>
          </cell>
          <cell r="AM351" t="str">
            <v>近接・狂戦士</v>
          </cell>
        </row>
        <row r="352">
          <cell r="C352" t="str">
            <v>風</v>
          </cell>
          <cell r="AM352" t="str">
            <v>魔法・長射程</v>
          </cell>
        </row>
        <row r="353">
          <cell r="C353" t="str">
            <v>火</v>
          </cell>
          <cell r="AM353" t="str">
            <v>魔法・狙撃</v>
          </cell>
        </row>
        <row r="354">
          <cell r="C354" t="str">
            <v>水</v>
          </cell>
          <cell r="AM354" t="str">
            <v>魔法・会心一撃</v>
          </cell>
        </row>
        <row r="355">
          <cell r="C355" t="str">
            <v>光</v>
          </cell>
          <cell r="AM355" t="str">
            <v>魔法・鈍足賢者</v>
          </cell>
        </row>
        <row r="356">
          <cell r="C356" t="str">
            <v>水</v>
          </cell>
          <cell r="AM356" t="str">
            <v>近接・守護</v>
          </cell>
        </row>
        <row r="357">
          <cell r="C357" t="str">
            <v>火</v>
          </cell>
          <cell r="AM357" t="str">
            <v>近接・魔法盾</v>
          </cell>
        </row>
        <row r="358">
          <cell r="C358" t="str">
            <v>風</v>
          </cell>
          <cell r="AM358" t="str">
            <v>魔法・耐性特化</v>
          </cell>
        </row>
        <row r="359">
          <cell r="C359" t="str">
            <v>火</v>
          </cell>
          <cell r="AM359" t="str">
            <v>魔法・高会心</v>
          </cell>
        </row>
        <row r="360">
          <cell r="C360" t="str">
            <v>水</v>
          </cell>
          <cell r="AM360" t="str">
            <v>魔法・疾走</v>
          </cell>
        </row>
        <row r="361">
          <cell r="C361" t="str">
            <v>光</v>
          </cell>
          <cell r="AM361" t="str">
            <v>魔法・最終層</v>
          </cell>
        </row>
        <row r="362">
          <cell r="C362" t="str">
            <v>水</v>
          </cell>
          <cell r="AM362" t="str">
            <v>近接・鉄壁</v>
          </cell>
        </row>
        <row r="363">
          <cell r="C363" t="str">
            <v>火</v>
          </cell>
          <cell r="AM363" t="str">
            <v>近接・強襲</v>
          </cell>
        </row>
        <row r="364">
          <cell r="C364" t="str">
            <v>風</v>
          </cell>
          <cell r="AM364" t="str">
            <v>魔法・軽量</v>
          </cell>
        </row>
        <row r="365">
          <cell r="C365" t="str">
            <v>火</v>
          </cell>
          <cell r="AM365" t="str">
            <v>近接・高魔防</v>
          </cell>
        </row>
        <row r="366">
          <cell r="C366" t="str">
            <v>水</v>
          </cell>
          <cell r="AM366" t="str">
            <v>近接・火力</v>
          </cell>
        </row>
        <row r="367">
          <cell r="C367" t="str">
            <v>光</v>
          </cell>
          <cell r="AM367" t="str">
            <v>近接・機動</v>
          </cell>
        </row>
        <row r="368">
          <cell r="C368" t="str">
            <v>水</v>
          </cell>
          <cell r="AM368" t="str">
            <v>魔法・魔防障壁</v>
          </cell>
        </row>
        <row r="369">
          <cell r="C369" t="str">
            <v>火</v>
          </cell>
          <cell r="AM369" t="str">
            <v>近接・軽装強打</v>
          </cell>
        </row>
        <row r="370">
          <cell r="C370" t="str">
            <v>風</v>
          </cell>
          <cell r="AM370" t="str">
            <v>魔法・支援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称号"/>
    </sheetNames>
    <sheetDataSet>
      <sheetData sheetId="0">
        <row r="2">
          <cell r="A2" t="str">
            <v>TITLE_001</v>
          </cell>
          <cell r="B2" t="str">
            <v>静水の微笑み</v>
          </cell>
        </row>
        <row r="3">
          <cell r="A3" t="str">
            <v>TITLE_002</v>
          </cell>
          <cell r="B3" t="str">
            <v>灼熱のご機嫌</v>
          </cell>
        </row>
        <row r="4">
          <cell r="A4" t="str">
            <v>TITLE_003</v>
          </cell>
          <cell r="B4" t="str">
            <v>芽吹く生命の笑顔</v>
          </cell>
        </row>
        <row r="5">
          <cell r="A5" t="str">
            <v>TITLE_004</v>
          </cell>
          <cell r="B5" t="str">
            <v>紅蓮に吼える突進獣</v>
          </cell>
        </row>
        <row r="6">
          <cell r="A6" t="str">
            <v>TITLE_005</v>
          </cell>
          <cell r="B6" t="str">
            <v>蒼氷を纏う沈黙の獣</v>
          </cell>
        </row>
        <row r="7">
          <cell r="A7" t="str">
            <v>TITLE_006</v>
          </cell>
          <cell r="B7" t="str">
            <v>重なりし彩層の主</v>
          </cell>
        </row>
        <row r="8">
          <cell r="A8" t="str">
            <v>TITLE_007</v>
          </cell>
          <cell r="B8" t="str">
            <v>緑影の小狩人</v>
          </cell>
        </row>
        <row r="9">
          <cell r="A9" t="str">
            <v>TITLE_008</v>
          </cell>
          <cell r="B9" t="str">
            <v>鉄刃の蛮戦士</v>
          </cell>
        </row>
        <row r="10">
          <cell r="A10" t="str">
            <v>TITLE_009</v>
          </cell>
          <cell r="B10" t="str">
            <v>呪紋の邪術士</v>
          </cell>
        </row>
        <row r="11">
          <cell r="A11" t="str">
            <v>TITLE_010</v>
          </cell>
          <cell r="B11" t="str">
            <v>肥大せし凶腕</v>
          </cell>
        </row>
        <row r="12">
          <cell r="A12" t="str">
            <v>TITLE_011</v>
          </cell>
          <cell r="B12" t="str">
            <v>錬成されし粘塊</v>
          </cell>
        </row>
        <row r="13">
          <cell r="A13" t="str">
            <v>TITLE_012</v>
          </cell>
          <cell r="B13" t="str">
            <v>王冠を戴く略奪王</v>
          </cell>
        </row>
        <row r="14">
          <cell r="A14" t="str">
            <v>TITLE_013</v>
          </cell>
          <cell r="B14" t="str">
            <v>朽塔を這う影</v>
          </cell>
        </row>
        <row r="15">
          <cell r="A15" t="str">
            <v>TITLE_014</v>
          </cell>
          <cell r="B15" t="str">
            <v>雷光を纏う粘獣</v>
          </cell>
        </row>
        <row r="16">
          <cell r="A16" t="str">
            <v>TITLE_015</v>
          </cell>
          <cell r="B16" t="str">
            <v>薄闇の彷徨い</v>
          </cell>
        </row>
        <row r="17">
          <cell r="A17" t="str">
            <v>TITLE_016</v>
          </cell>
          <cell r="B17" t="str">
            <v>嘆きの残響</v>
          </cell>
        </row>
        <row r="18">
          <cell r="A18" t="str">
            <v>TITLE_017</v>
          </cell>
          <cell r="B18" t="str">
            <v>屍竜の咆哮</v>
          </cell>
        </row>
        <row r="19">
          <cell r="A19" t="str">
            <v>TITLE_018</v>
          </cell>
          <cell r="B19" t="str">
            <v>終焉を告げる呪詛</v>
          </cell>
        </row>
        <row r="20">
          <cell r="A20" t="str">
            <v>TITLE_019</v>
          </cell>
          <cell r="B20" t="str">
            <v>洞穴の俊牙</v>
          </cell>
        </row>
        <row r="21">
          <cell r="A21" t="str">
            <v>TITLE_020</v>
          </cell>
          <cell r="B21" t="str">
            <v>月影の疾走</v>
          </cell>
        </row>
        <row r="22">
          <cell r="A22" t="str">
            <v>TITLE_021</v>
          </cell>
          <cell r="B22" t="str">
            <v>紅牙の狩人</v>
          </cell>
        </row>
        <row r="23">
          <cell r="A23" t="str">
            <v>TITLE_022</v>
          </cell>
          <cell r="B23" t="str">
            <v>満月に狂う獣</v>
          </cell>
        </row>
        <row r="24">
          <cell r="A24" t="str">
            <v>TITLE_023</v>
          </cell>
          <cell r="B24" t="str">
            <v>氷嵐の魔狼</v>
          </cell>
        </row>
        <row r="25">
          <cell r="A25" t="str">
            <v>TITLE_024</v>
          </cell>
          <cell r="B25" t="str">
            <v>傷痕を刻む獣王</v>
          </cell>
        </row>
        <row r="26">
          <cell r="A26" t="str">
            <v>TITLE_025</v>
          </cell>
          <cell r="B26" t="str">
            <v>恐怖を狩る影</v>
          </cell>
        </row>
        <row r="27">
          <cell r="A27" t="str">
            <v>TITLE_026</v>
          </cell>
          <cell r="B27" t="str">
            <v>腐蝕の粘液</v>
          </cell>
        </row>
        <row r="28">
          <cell r="A28" t="str">
            <v>TITLE_027</v>
          </cell>
          <cell r="B28" t="str">
            <v>漂う亡騎士</v>
          </cell>
        </row>
        <row r="29">
          <cell r="A29" t="str">
            <v>TITLE_028</v>
          </cell>
          <cell r="B29" t="str">
            <v>墓守の鉄騎</v>
          </cell>
        </row>
        <row r="30">
          <cell r="A30" t="str">
            <v>TITLE_029</v>
          </cell>
          <cell r="B30" t="str">
            <v>冥火の小鬼灯</v>
          </cell>
        </row>
        <row r="31">
          <cell r="A31" t="str">
            <v>TITLE_030</v>
          </cell>
          <cell r="B31" t="str">
            <v>骨界の終焉獣</v>
          </cell>
        </row>
        <row r="32">
          <cell r="A32" t="str">
            <v>TITLE_031</v>
          </cell>
          <cell r="B32" t="str">
            <v>白骨の兵卒</v>
          </cell>
        </row>
        <row r="33">
          <cell r="A33" t="str">
            <v>TITLE_032</v>
          </cell>
          <cell r="B33" t="str">
            <v>砂海の捕食者</v>
          </cell>
        </row>
        <row r="34">
          <cell r="A34" t="str">
            <v>TITLE_033</v>
          </cell>
          <cell r="B34" t="str">
            <v>黒砂の深淵</v>
          </cell>
        </row>
        <row r="35">
          <cell r="A35" t="str">
            <v>TITLE_034</v>
          </cell>
          <cell r="B35" t="str">
            <v>暗牙の伏兵</v>
          </cell>
        </row>
        <row r="36">
          <cell r="A36" t="str">
            <v>TITLE_035</v>
          </cell>
          <cell r="B36" t="str">
            <v>封印されし巨殻</v>
          </cell>
        </row>
        <row r="37">
          <cell r="A37" t="str">
            <v>TITLE_036</v>
          </cell>
          <cell r="B37" t="str">
            <v>溶岩奔流の獄獣</v>
          </cell>
        </row>
        <row r="38">
          <cell r="A38" t="str">
            <v>TITLE_037</v>
          </cell>
          <cell r="B38" t="str">
            <v>秘奥を識る者</v>
          </cell>
        </row>
        <row r="39">
          <cell r="A39" t="str">
            <v>TITLE_038</v>
          </cell>
          <cell r="B39" t="str">
            <v>黒森の妖婦</v>
          </cell>
        </row>
        <row r="40">
          <cell r="A40" t="str">
            <v>TITLE_039</v>
          </cell>
          <cell r="B40" t="str">
            <v>双星の魔姉妹</v>
          </cell>
        </row>
        <row r="41">
          <cell r="A41" t="str">
            <v>TITLE_040</v>
          </cell>
          <cell r="B41" t="str">
            <v>蒼天の魔導王</v>
          </cell>
        </row>
        <row r="42">
          <cell r="A42" t="str">
            <v>TITLE_041</v>
          </cell>
          <cell r="B42" t="str">
            <v>大賢者の系譜</v>
          </cell>
        </row>
        <row r="43">
          <cell r="A43" t="str">
            <v>TITLE_042</v>
          </cell>
          <cell r="B43" t="str">
            <v>魔術学院の首席</v>
          </cell>
        </row>
        <row r="44">
          <cell r="A44" t="str">
            <v>TITLE_043</v>
          </cell>
          <cell r="B44" t="str">
            <v>岩鋼の騎士</v>
          </cell>
        </row>
        <row r="45">
          <cell r="A45" t="str">
            <v>TITLE_044</v>
          </cell>
          <cell r="B45" t="str">
            <v>灼熱の巨神</v>
          </cell>
        </row>
        <row r="46">
          <cell r="A46" t="str">
            <v>TITLE_045</v>
          </cell>
          <cell r="B46" t="str">
            <v>蒼焔の魔躯</v>
          </cell>
        </row>
        <row r="47">
          <cell r="A47" t="str">
            <v>TITLE_046</v>
          </cell>
          <cell r="B47" t="str">
            <v>呪土の偶像</v>
          </cell>
        </row>
        <row r="48">
          <cell r="A48" t="str">
            <v>TITLE_047</v>
          </cell>
          <cell r="B48" t="str">
            <v>蒼重力の支配者</v>
          </cell>
        </row>
        <row r="49">
          <cell r="A49" t="str">
            <v>TITLE_048</v>
          </cell>
          <cell r="B49" t="str">
            <v>裂岩の猛将</v>
          </cell>
        </row>
        <row r="50">
          <cell r="A50" t="str">
            <v>TITLE_049</v>
          </cell>
          <cell r="B50" t="str">
            <v>守護岩壁</v>
          </cell>
        </row>
        <row r="51">
          <cell r="A51" t="str">
            <v>TITLE_050</v>
          </cell>
          <cell r="B51" t="str">
            <v>銀鉄の巨兵</v>
          </cell>
        </row>
        <row r="52">
          <cell r="A52" t="str">
            <v>TITLE_051</v>
          </cell>
          <cell r="B52" t="str">
            <v>黄金機神</v>
          </cell>
        </row>
        <row r="53">
          <cell r="A53" t="str">
            <v>TITLE_052</v>
          </cell>
          <cell r="B53" t="str">
            <v>銀光の希少種</v>
          </cell>
        </row>
        <row r="54">
          <cell r="A54" t="str">
            <v>TITLE_053</v>
          </cell>
          <cell r="B54" t="str">
            <v>星砕きの巨像</v>
          </cell>
        </row>
        <row r="55">
          <cell r="A55" t="str">
            <v>TITLE_054</v>
          </cell>
          <cell r="B55" t="str">
            <v>砕石の暴君</v>
          </cell>
        </row>
        <row r="56">
          <cell r="A56" t="str">
            <v>TITLE_055</v>
          </cell>
          <cell r="B56" t="str">
            <v>炎鱗の蜥蜴</v>
          </cell>
        </row>
        <row r="57">
          <cell r="A57" t="str">
            <v>TITLE_056</v>
          </cell>
          <cell r="B57" t="str">
            <v>独眼の巨槌</v>
          </cell>
        </row>
        <row r="58">
          <cell r="A58" t="str">
            <v>TITLE_057</v>
          </cell>
          <cell r="B58" t="str">
            <v>鋼心の守護巨人</v>
          </cell>
        </row>
        <row r="59">
          <cell r="A59" t="str">
            <v>TITLE_058</v>
          </cell>
          <cell r="B59" t="str">
            <v>戦禍の独眼王</v>
          </cell>
        </row>
        <row r="60">
          <cell r="A60" t="str">
            <v>TITLE_059</v>
          </cell>
          <cell r="B60" t="str">
            <v>大地の神拳</v>
          </cell>
        </row>
        <row r="61">
          <cell r="A61" t="str">
            <v>TITLE_060</v>
          </cell>
          <cell r="B61" t="str">
            <v>煌炎の獄騎士</v>
          </cell>
        </row>
        <row r="62">
          <cell r="A62" t="str">
            <v>TITLE_061</v>
          </cell>
          <cell r="B62" t="str">
            <v>造岩の工匠</v>
          </cell>
        </row>
        <row r="63">
          <cell r="A63" t="str">
            <v>TITLE_062</v>
          </cell>
          <cell r="B63" t="str">
            <v>深海を統べる蒼姫</v>
          </cell>
        </row>
        <row r="64">
          <cell r="A64" t="str">
            <v>TITLE_063</v>
          </cell>
          <cell r="B64" t="str">
            <v>水律の調停者</v>
          </cell>
        </row>
        <row r="65">
          <cell r="A65" t="str">
            <v>TITLE_064</v>
          </cell>
          <cell r="B65" t="str">
            <v>翠森の射手</v>
          </cell>
        </row>
        <row r="66">
          <cell r="A66" t="str">
            <v>TITLE_065</v>
          </cell>
          <cell r="B66" t="str">
            <v>拒絶の要塞獣</v>
          </cell>
        </row>
        <row r="67">
          <cell r="A67" t="str">
            <v>TITLE_066</v>
          </cell>
          <cell r="B67" t="str">
            <v>獄炎機装</v>
          </cell>
        </row>
        <row r="68">
          <cell r="A68" t="str">
            <v>TITLE_067</v>
          </cell>
          <cell r="B68" t="str">
            <v>火精の眷属</v>
          </cell>
        </row>
        <row r="69">
          <cell r="A69" t="str">
            <v>TITLE_068</v>
          </cell>
          <cell r="B69" t="str">
            <v>紅天の暴帝</v>
          </cell>
        </row>
        <row r="70">
          <cell r="A70" t="str">
            <v>TITLE_069</v>
          </cell>
          <cell r="B70" t="str">
            <v>古紅竜の伝説</v>
          </cell>
        </row>
        <row r="71">
          <cell r="A71" t="str">
            <v>TITLE_070</v>
          </cell>
          <cell r="B71" t="str">
            <v>焔王の化身</v>
          </cell>
        </row>
        <row r="72">
          <cell r="A72" t="str">
            <v>TITLE_071</v>
          </cell>
          <cell r="B72" t="str">
            <v>地獄鉄の竜</v>
          </cell>
        </row>
        <row r="73">
          <cell r="A73" t="str">
            <v>TITLE_072</v>
          </cell>
          <cell r="B73" t="str">
            <v>粘界の大公</v>
          </cell>
        </row>
        <row r="74">
          <cell r="A74" t="str">
            <v>TITLE_073</v>
          </cell>
          <cell r="B74" t="str">
            <v>水路の略奪者</v>
          </cell>
        </row>
        <row r="75">
          <cell r="A75" t="str">
            <v>TITLE_074</v>
          </cell>
          <cell r="B75" t="str">
            <v>激流の操舟鬼</v>
          </cell>
        </row>
        <row r="76">
          <cell r="A76" t="str">
            <v>TITLE_075</v>
          </cell>
          <cell r="B76" t="str">
            <v>深淵の裂牙</v>
          </cell>
        </row>
        <row r="77">
          <cell r="A77" t="str">
            <v>TITLE_076</v>
          </cell>
          <cell r="B77" t="str">
            <v>蒼海の終極獣</v>
          </cell>
        </row>
        <row r="78">
          <cell r="A78" t="str">
            <v>TITLE_077</v>
          </cell>
          <cell r="B78" t="str">
            <v>海神の眷属</v>
          </cell>
        </row>
        <row r="79">
          <cell r="A79" t="str">
            <v>TITLE_078</v>
          </cell>
          <cell r="B79" t="str">
            <v>深海王の咆哮</v>
          </cell>
        </row>
        <row r="80">
          <cell r="A80" t="str">
            <v>TITLE_079</v>
          </cell>
          <cell r="B80" t="str">
            <v>血追いの追跡者</v>
          </cell>
        </row>
        <row r="81">
          <cell r="A81" t="str">
            <v>TITLE_080</v>
          </cell>
          <cell r="B81" t="str">
            <v>夢光の小妖精</v>
          </cell>
        </row>
        <row r="82">
          <cell r="A82" t="str">
            <v>TITLE_081</v>
          </cell>
          <cell r="B82" t="str">
            <v>老練なる策謀者</v>
          </cell>
        </row>
        <row r="83">
          <cell r="A83" t="str">
            <v>TITLE_082</v>
          </cell>
          <cell r="B83" t="str">
            <v>蒼鱗の戦姫</v>
          </cell>
        </row>
        <row r="84">
          <cell r="A84" t="str">
            <v>TITLE_083</v>
          </cell>
          <cell r="B84" t="str">
            <v>牙角の猛将</v>
          </cell>
        </row>
        <row r="85">
          <cell r="A85" t="str">
            <v>TITLE_084</v>
          </cell>
          <cell r="B85" t="str">
            <v>狼帝の眷属</v>
          </cell>
        </row>
        <row r="86">
          <cell r="A86" t="str">
            <v>TITLE_085</v>
          </cell>
          <cell r="B86" t="str">
            <v>胞子の捕食花</v>
          </cell>
        </row>
        <row r="87">
          <cell r="A87" t="str">
            <v>TITLE_086</v>
          </cell>
          <cell r="B87" t="str">
            <v>黄金の奇跡</v>
          </cell>
        </row>
        <row r="88">
          <cell r="A88" t="str">
            <v>TITLE_087</v>
          </cell>
          <cell r="B88" t="str">
            <v>粘界の王冠</v>
          </cell>
        </row>
        <row r="89">
          <cell r="A89" t="str">
            <v>TITLE_088</v>
          </cell>
          <cell r="B89" t="str">
            <v>溶融する王泥</v>
          </cell>
        </row>
        <row r="90">
          <cell r="A90" t="str">
            <v>TITLE_089</v>
          </cell>
          <cell r="B90" t="str">
            <v>鉄泥の支配者</v>
          </cell>
        </row>
        <row r="91">
          <cell r="A91" t="str">
            <v>TITLE_090</v>
          </cell>
          <cell r="B91" t="str">
            <v>光滴の幻獣</v>
          </cell>
        </row>
        <row r="92">
          <cell r="A92" t="str">
            <v>TITLE_091</v>
          </cell>
          <cell r="B92" t="str">
            <v>死鎌の狩人</v>
          </cell>
        </row>
        <row r="93">
          <cell r="A93" t="str">
            <v>TITLE_092</v>
          </cell>
          <cell r="B93" t="str">
            <v>角鎧の猛虫</v>
          </cell>
        </row>
        <row r="94">
          <cell r="A94" t="str">
            <v>TITLE_093</v>
          </cell>
          <cell r="B94" t="str">
            <v>百脚の恐怖</v>
          </cell>
        </row>
        <row r="95">
          <cell r="A95" t="str">
            <v>TITLE_094</v>
          </cell>
          <cell r="B95" t="str">
            <v>毒剣の女王蜂</v>
          </cell>
        </row>
        <row r="96">
          <cell r="A96" t="str">
            <v>TITLE_095</v>
          </cell>
          <cell r="B96" t="str">
            <v>獄炎の甲虫王</v>
          </cell>
        </row>
        <row r="97">
          <cell r="A97" t="str">
            <v>TITLE_096</v>
          </cell>
          <cell r="B97" t="str">
            <v>光幻の妖影</v>
          </cell>
        </row>
        <row r="98">
          <cell r="A98" t="str">
            <v>TITLE_097</v>
          </cell>
          <cell r="B98" t="str">
            <v>終末の核</v>
          </cell>
        </row>
        <row r="99">
          <cell r="A99" t="str">
            <v>TITLE_098</v>
          </cell>
          <cell r="B99" t="str">
            <v>終端機神王</v>
          </cell>
        </row>
        <row r="100">
          <cell r="A100" t="str">
            <v>TITLE_099</v>
          </cell>
          <cell r="B100" t="str">
            <v>暴走する地獄炉</v>
          </cell>
        </row>
        <row r="101">
          <cell r="A101" t="str">
            <v>TITLE_100</v>
          </cell>
          <cell r="B101" t="str">
            <v>蒼嵐の渦王</v>
          </cell>
        </row>
        <row r="102">
          <cell r="A102" t="str">
            <v>TITLE_101</v>
          </cell>
          <cell r="B102" t="str">
            <v>機鋼の巨神</v>
          </cell>
        </row>
        <row r="103">
          <cell r="A103" t="str">
            <v>TITLE_102</v>
          </cell>
          <cell r="B103" t="str">
            <v>聖弧の熾天使</v>
          </cell>
        </row>
        <row r="104">
          <cell r="A104" t="str">
            <v>TITLE_103</v>
          </cell>
          <cell r="B104" t="str">
            <v>荒野の牙兵</v>
          </cell>
        </row>
        <row r="105">
          <cell r="A105" t="str">
            <v>TITLE_104</v>
          </cell>
          <cell r="B105" t="str">
            <v>戦歌の蛮勇</v>
          </cell>
        </row>
        <row r="106">
          <cell r="A106" t="str">
            <v>TITLE_105</v>
          </cell>
          <cell r="B106" t="str">
            <v>血塗れの巨漢</v>
          </cell>
        </row>
        <row r="107">
          <cell r="A107" t="str">
            <v>TITLE_106</v>
          </cell>
          <cell r="B107" t="str">
            <v>黄金を喰らう者</v>
          </cell>
        </row>
        <row r="108">
          <cell r="A108" t="str">
            <v>TITLE_107</v>
          </cell>
          <cell r="B108" t="str">
            <v>戦宴の魔将</v>
          </cell>
        </row>
        <row r="109">
          <cell r="A109" t="str">
            <v>TITLE_108</v>
          </cell>
          <cell r="B109" t="str">
            <v>呪書の主</v>
          </cell>
        </row>
        <row r="110">
          <cell r="A110" t="str">
            <v>TITLE_109</v>
          </cell>
          <cell r="B110" t="str">
            <v>光穴の這い虫</v>
          </cell>
        </row>
        <row r="111">
          <cell r="A111" t="str">
            <v>TITLE_110</v>
          </cell>
          <cell r="B111" t="str">
            <v>洞窟の毒糸</v>
          </cell>
        </row>
        <row r="112">
          <cell r="A112" t="str">
            <v>TITLE_111</v>
          </cell>
          <cell r="B112" t="str">
            <v>冥坑の労働霊</v>
          </cell>
        </row>
        <row r="113">
          <cell r="A113" t="str">
            <v>TITLE_112</v>
          </cell>
          <cell r="B113" t="str">
            <v>菌翼の小竜</v>
          </cell>
        </row>
        <row r="114">
          <cell r="A114" t="str">
            <v>TITLE_113</v>
          </cell>
          <cell r="B114" t="str">
            <v>地脈の竜王</v>
          </cell>
        </row>
        <row r="115">
          <cell r="A115" t="str">
            <v>TITLE_114</v>
          </cell>
          <cell r="B115" t="str">
            <v>深淵の黒竜</v>
          </cell>
        </row>
        <row r="116">
          <cell r="A116" t="str">
            <v>TITLE_115</v>
          </cell>
          <cell r="B116" t="str">
            <v>翠花の守り手</v>
          </cell>
        </row>
        <row r="117">
          <cell r="A117" t="str">
            <v>TITLE_116</v>
          </cell>
          <cell r="B117" t="str">
            <v>霊樹の歌姫</v>
          </cell>
        </row>
        <row r="118">
          <cell r="A118" t="str">
            <v>TITLE_117</v>
          </cell>
          <cell r="B118" t="str">
            <v>毒宴の蜘蛛姫</v>
          </cell>
        </row>
        <row r="119">
          <cell r="A119" t="str">
            <v>TITLE_118</v>
          </cell>
          <cell r="B119" t="str">
            <v>砂嵐の魔獣</v>
          </cell>
        </row>
        <row r="120">
          <cell r="A120" t="str">
            <v>TITLE_119</v>
          </cell>
          <cell r="B120" t="str">
            <v>暴風の巨翼</v>
          </cell>
        </row>
        <row r="121">
          <cell r="A121" t="str">
            <v>TITLE_120</v>
          </cell>
          <cell r="B121" t="str">
            <v>生命を啜る影</v>
          </cell>
        </row>
        <row r="122">
          <cell r="A122" t="str">
            <v>TITLE_121</v>
          </cell>
          <cell r="B122" t="str">
            <v>蒼空の黒翼</v>
          </cell>
        </row>
        <row r="123">
          <cell r="A123" t="str">
            <v>TITLE_122</v>
          </cell>
          <cell r="B123" t="str">
            <v>裂風の猛禽</v>
          </cell>
        </row>
        <row r="124">
          <cell r="A124" t="str">
            <v>TITLE_123</v>
          </cell>
          <cell r="B124" t="str">
            <v>骨啄む死鳥</v>
          </cell>
        </row>
        <row r="125">
          <cell r="A125" t="str">
            <v>TITLE_124</v>
          </cell>
          <cell r="B125" t="str">
            <v>妖歌の翼女</v>
          </cell>
        </row>
        <row r="126">
          <cell r="A126" t="str">
            <v>TITLE_125</v>
          </cell>
          <cell r="B126" t="str">
            <v>雷嵐の王鳥</v>
          </cell>
        </row>
        <row r="127">
          <cell r="A127" t="str">
            <v>TITLE_126</v>
          </cell>
          <cell r="B127" t="str">
            <v>天翔ける覇鳥</v>
          </cell>
        </row>
        <row r="128">
          <cell r="A128" t="str">
            <v>TITLE_127</v>
          </cell>
          <cell r="B128" t="str">
            <v>魔覇の鬼神</v>
          </cell>
        </row>
        <row r="129">
          <cell r="A129" t="str">
            <v>TITLE_128</v>
          </cell>
          <cell r="B129" t="str">
            <v>機械王の咆哮</v>
          </cell>
        </row>
        <row r="130">
          <cell r="A130" t="str">
            <v>TITLE_129</v>
          </cell>
          <cell r="B130" t="str">
            <v>黒鋼の破壊者</v>
          </cell>
        </row>
        <row r="131">
          <cell r="A131" t="str">
            <v>TITLE_130</v>
          </cell>
          <cell r="B131" t="str">
            <v>灼熱岩の王</v>
          </cell>
        </row>
        <row r="132">
          <cell r="A132" t="str">
            <v>TITLE_131</v>
          </cell>
          <cell r="B132" t="str">
            <v>貪欲なる溶岩王</v>
          </cell>
        </row>
        <row r="133">
          <cell r="A133" t="str">
            <v>TITLE_132</v>
          </cell>
          <cell r="B133" t="str">
            <v>雷牙の覇王</v>
          </cell>
        </row>
        <row r="134">
          <cell r="A134" t="str">
            <v>TITLE_133</v>
          </cell>
          <cell r="B134" t="str">
            <v>漆黒の毒母</v>
          </cell>
        </row>
        <row r="135">
          <cell r="A135" t="str">
            <v>TITLE_134</v>
          </cell>
          <cell r="B135" t="str">
            <v>死霊王の秘宝</v>
          </cell>
        </row>
        <row r="136">
          <cell r="A136" t="str">
            <v>TITLE_135</v>
          </cell>
          <cell r="B136" t="str">
            <v>冥竜の咆哮</v>
          </cell>
        </row>
        <row r="137">
          <cell r="A137" t="str">
            <v>TITLE_136</v>
          </cell>
          <cell r="B137" t="str">
            <v>魔獄の大君</v>
          </cell>
        </row>
        <row r="138">
          <cell r="A138" t="str">
            <v>TITLE_137</v>
          </cell>
          <cell r="B138" t="str">
            <v>血槌の猛牛王</v>
          </cell>
        </row>
        <row r="139">
          <cell r="A139" t="str">
            <v>TITLE_138</v>
          </cell>
          <cell r="B139" t="str">
            <v>蒼蛇の災厄</v>
          </cell>
        </row>
        <row r="140">
          <cell r="A140" t="str">
            <v>TITLE_139</v>
          </cell>
          <cell r="B140" t="str">
            <v>灼泥の地龍</v>
          </cell>
        </row>
        <row r="141">
          <cell r="A141" t="str">
            <v>TITLE_140</v>
          </cell>
          <cell r="B141" t="str">
            <v>氷葬の鎮魂歌</v>
          </cell>
        </row>
        <row r="142">
          <cell r="A142" t="str">
            <v>TITLE_141</v>
          </cell>
          <cell r="B142" t="str">
            <v>獄炎の暴将</v>
          </cell>
        </row>
        <row r="143">
          <cell r="A143" t="str">
            <v>TITLE_142</v>
          </cell>
          <cell r="B143" t="str">
            <v>冥砂の巨象神</v>
          </cell>
        </row>
        <row r="144">
          <cell r="A144" t="str">
            <v>TITLE_143</v>
          </cell>
          <cell r="B144" t="str">
            <v>夜王の化身</v>
          </cell>
        </row>
        <row r="145">
          <cell r="A145" t="str">
            <v>TITLE_144</v>
          </cell>
          <cell r="B145" t="str">
            <v>冥騎士団長</v>
          </cell>
        </row>
        <row r="146">
          <cell r="A146" t="str">
            <v>TITLE_145</v>
          </cell>
          <cell r="B146" t="str">
            <v>翠災の終末</v>
          </cell>
        </row>
        <row r="147">
          <cell r="A147" t="str">
            <v>TITLE_146</v>
          </cell>
          <cell r="B147" t="str">
            <v>深海の静謐姫</v>
          </cell>
        </row>
        <row r="148">
          <cell r="A148" t="str">
            <v>TITLE_147</v>
          </cell>
          <cell r="B148" t="str">
            <v>骸骨の覇王</v>
          </cell>
        </row>
        <row r="149">
          <cell r="A149" t="str">
            <v>TITLE_148</v>
          </cell>
          <cell r="B149" t="str">
            <v>堕天の魔華</v>
          </cell>
        </row>
        <row r="150">
          <cell r="A150" t="str">
            <v>TITLE_149</v>
          </cell>
          <cell r="B150" t="str">
            <v>屠殺の巨鬼</v>
          </cell>
        </row>
        <row r="151">
          <cell r="A151" t="str">
            <v>TITLE_150</v>
          </cell>
          <cell r="B151" t="str">
            <v>虚無の暴王</v>
          </cell>
        </row>
        <row r="152">
          <cell r="A152" t="str">
            <v>TITLE_151</v>
          </cell>
          <cell r="B152" t="str">
            <v>朽鉄を啜る坑骸</v>
          </cell>
        </row>
        <row r="153">
          <cell r="A153" t="str">
            <v>TITLE_152</v>
          </cell>
          <cell r="B153" t="str">
            <v>鉱欲を担う屈背の穿掘鬼</v>
          </cell>
        </row>
        <row r="154">
          <cell r="A154" t="str">
            <v>TITLE_153</v>
          </cell>
          <cell r="B154" t="str">
            <v>屑鋼を呑み込む漂灰核</v>
          </cell>
        </row>
        <row r="155">
          <cell r="A155" t="str">
            <v>TITLE_154</v>
          </cell>
          <cell r="B155" t="str">
            <v>大地を噛み砕く崩岩獣</v>
          </cell>
        </row>
        <row r="156">
          <cell r="A156" t="str">
            <v>TITLE_155</v>
          </cell>
          <cell r="B156" t="str">
            <v>煤界より滲み出る揺影</v>
          </cell>
        </row>
        <row r="157">
          <cell r="A157" t="str">
            <v>TITLE_156</v>
          </cell>
          <cell r="B157" t="str">
            <v>万鉱を統べる骸晶の王</v>
          </cell>
        </row>
        <row r="158">
          <cell r="A158" t="str">
            <v>TITLE_157</v>
          </cell>
          <cell r="B158" t="str">
            <v>滲緑の溶解核</v>
          </cell>
        </row>
        <row r="159">
          <cell r="A159" t="str">
            <v>TITLE_158</v>
          </cell>
          <cell r="B159" t="str">
            <v>腐水を駆ける濡牙</v>
          </cell>
        </row>
        <row r="160">
          <cell r="A160" t="str">
            <v>TITLE_159</v>
          </cell>
          <cell r="B160" t="str">
            <v>藻骸の漂流戦士</v>
          </cell>
        </row>
        <row r="161">
          <cell r="A161" t="str">
            <v>TITLE_160</v>
          </cell>
          <cell r="B161" t="str">
            <v>泥鱗の潜伏者</v>
          </cell>
        </row>
        <row r="162">
          <cell r="A162" t="str">
            <v>TITLE_161</v>
          </cell>
          <cell r="B162" t="str">
            <v>滴水の深穴喰い</v>
          </cell>
        </row>
        <row r="163">
          <cell r="A163" t="str">
            <v>TITLE_162</v>
          </cell>
          <cell r="B163" t="str">
            <v>苔濤を統べる深渠王</v>
          </cell>
        </row>
        <row r="164">
          <cell r="A164" t="str">
            <v>TITLE_163</v>
          </cell>
          <cell r="B164" t="str">
            <v>朽墓の骸兵</v>
          </cell>
        </row>
        <row r="165">
          <cell r="A165" t="str">
            <v>TITLE_164</v>
          </cell>
          <cell r="B165" t="str">
            <v>鎧墓の守屍</v>
          </cell>
        </row>
        <row r="166">
          <cell r="A166" t="str">
            <v>TITLE_165</v>
          </cell>
          <cell r="B166" t="str">
            <v>蒼焔の魂火</v>
          </cell>
        </row>
        <row r="167">
          <cell r="A167" t="str">
            <v>TITLE_166</v>
          </cell>
          <cell r="B167" t="str">
            <v>石葬の巨像</v>
          </cell>
        </row>
        <row r="168">
          <cell r="A168" t="str">
            <v>TITLE_167</v>
          </cell>
          <cell r="B168" t="str">
            <v>霧哭の漂霊</v>
          </cell>
        </row>
        <row r="169">
          <cell r="A169" t="str">
            <v>TITLE_168</v>
          </cell>
          <cell r="B169" t="str">
            <v>冥冠の死侯</v>
          </cell>
        </row>
        <row r="170">
          <cell r="A170" t="str">
            <v>TITLE_169</v>
          </cell>
          <cell r="B170" t="str">
            <v>殻岩の守蟹</v>
          </cell>
        </row>
        <row r="171">
          <cell r="A171" t="str">
            <v>TITLE_170</v>
          </cell>
          <cell r="B171" t="str">
            <v>硬翼の裂蝠</v>
          </cell>
        </row>
        <row r="172">
          <cell r="A172" t="str">
            <v>TITLE_171</v>
          </cell>
          <cell r="B172" t="str">
            <v>岩膚の暴鬼</v>
          </cell>
        </row>
        <row r="173">
          <cell r="A173" t="str">
            <v>TITLE_172</v>
          </cell>
          <cell r="B173" t="str">
            <v>裂地の泥核</v>
          </cell>
        </row>
        <row r="174">
          <cell r="A174" t="str">
            <v>TITLE_173</v>
          </cell>
          <cell r="B174" t="str">
            <v>穿角の掘甲</v>
          </cell>
        </row>
        <row r="175">
          <cell r="A175" t="str">
            <v>TITLE_174</v>
          </cell>
          <cell r="B175" t="str">
            <v>崩山の巨骸</v>
          </cell>
        </row>
        <row r="176">
          <cell r="A176" t="str">
            <v>TITLE_175</v>
          </cell>
          <cell r="B176" t="str">
            <v>尾火の悪戯者</v>
          </cell>
        </row>
        <row r="177">
          <cell r="A177" t="str">
            <v>TITLE_176</v>
          </cell>
          <cell r="B177" t="str">
            <v>熔心胎動体</v>
          </cell>
        </row>
        <row r="178">
          <cell r="A178" t="str">
            <v>TITLE_177</v>
          </cell>
          <cell r="B178" t="str">
            <v>紅骸の戦鬼</v>
          </cell>
        </row>
        <row r="179">
          <cell r="A179" t="str">
            <v>TITLE_178</v>
          </cell>
          <cell r="B179" t="str">
            <v>灼鱗の地走者</v>
          </cell>
        </row>
        <row r="180">
          <cell r="A180" t="str">
            <v>TITLE_179</v>
          </cell>
          <cell r="B180" t="str">
            <v>灰翼の夜翔</v>
          </cell>
        </row>
        <row r="181">
          <cell r="A181" t="str">
            <v>TITLE_180</v>
          </cell>
          <cell r="B181" t="str">
            <v>熔界の覇竜</v>
          </cell>
        </row>
        <row r="182">
          <cell r="A182" t="str">
            <v>TITLE_181</v>
          </cell>
          <cell r="B182" t="str">
            <v>氷晶核宿</v>
          </cell>
        </row>
        <row r="183">
          <cell r="A183" t="str">
            <v>TITLE_182</v>
          </cell>
          <cell r="B183" t="str">
            <v>凍骨統率者</v>
          </cell>
        </row>
        <row r="184">
          <cell r="A184" t="str">
            <v>TITLE_183</v>
          </cell>
          <cell r="B184" t="str">
            <v>白銀狩人</v>
          </cell>
        </row>
        <row r="185">
          <cell r="A185" t="str">
            <v>TITLE_184</v>
          </cell>
          <cell r="B185" t="str">
            <v>氷翼夜行</v>
          </cell>
        </row>
        <row r="186">
          <cell r="A186" t="str">
            <v>TITLE_185</v>
          </cell>
          <cell r="B186" t="str">
            <v>霜巨踏破</v>
          </cell>
        </row>
        <row r="187">
          <cell r="A187" t="str">
            <v>TITLE_186</v>
          </cell>
          <cell r="B187" t="str">
            <v>氷王覇者</v>
          </cell>
        </row>
        <row r="188">
          <cell r="A188" t="str">
            <v>TITLE_187</v>
          </cell>
          <cell r="B188" t="str">
            <v>刃翼の疾風</v>
          </cell>
        </row>
        <row r="189">
          <cell r="A189" t="str">
            <v>TITLE_188</v>
          </cell>
          <cell r="B189" t="str">
            <v>峡影の潜徒</v>
          </cell>
        </row>
        <row r="190">
          <cell r="A190" t="str">
            <v>TITLE_189</v>
          </cell>
          <cell r="B190" t="str">
            <v>揺嵐の核体</v>
          </cell>
        </row>
        <row r="191">
          <cell r="A191" t="str">
            <v>TITLE_190</v>
          </cell>
          <cell r="B191" t="str">
            <v>断崖の跳獣</v>
          </cell>
        </row>
        <row r="192">
          <cell r="A192" t="str">
            <v>TITLE_191</v>
          </cell>
          <cell r="B192" t="str">
            <v>裂空の残光</v>
          </cell>
        </row>
        <row r="193">
          <cell r="A193" t="str">
            <v>TITLE_192</v>
          </cell>
          <cell r="B193" t="str">
            <v>暴嵐の覇狼</v>
          </cell>
        </row>
        <row r="194">
          <cell r="A194" t="str">
            <v>TITLE_193</v>
          </cell>
          <cell r="B194" t="str">
            <v>雷脈踏破者</v>
          </cell>
        </row>
        <row r="195">
          <cell r="A195" t="str">
            <v>TITLE_194</v>
          </cell>
          <cell r="B195" t="str">
            <v>骸雷征服者</v>
          </cell>
        </row>
        <row r="196">
          <cell r="A196" t="str">
            <v>TITLE_195</v>
          </cell>
          <cell r="B196" t="str">
            <v>火花妖統率者</v>
          </cell>
        </row>
        <row r="197">
          <cell r="A197" t="str">
            <v>TITLE_196</v>
          </cell>
          <cell r="B197" t="str">
            <v>電殻破壊者</v>
          </cell>
        </row>
        <row r="198">
          <cell r="A198" t="str">
            <v>TITLE_197</v>
          </cell>
          <cell r="B198" t="str">
            <v>雷翼翔覇者</v>
          </cell>
        </row>
        <row r="199">
          <cell r="A199" t="str">
            <v>TITLE_198</v>
          </cell>
          <cell r="B199" t="str">
            <v>雷帝討滅者</v>
          </cell>
        </row>
        <row r="200">
          <cell r="A200" t="str">
            <v>TITLE_199</v>
          </cell>
          <cell r="B200" t="str">
            <v>砂骸亡者</v>
          </cell>
        </row>
        <row r="201">
          <cell r="A201" t="str">
            <v>TITLE_200</v>
          </cell>
          <cell r="B201" t="str">
            <v>煌殻秘虫</v>
          </cell>
        </row>
        <row r="202">
          <cell r="A202" t="str">
            <v>TITLE_201</v>
          </cell>
          <cell r="B202" t="str">
            <v>流牙砂蛇</v>
          </cell>
        </row>
        <row r="203">
          <cell r="A203" t="str">
            <v>TITLE_202</v>
          </cell>
          <cell r="B203" t="str">
            <v>古碑守護像</v>
          </cell>
        </row>
        <row r="204">
          <cell r="A204" t="str">
            <v>TITLE_203</v>
          </cell>
          <cell r="B204" t="str">
            <v>飢渇砂魂</v>
          </cell>
        </row>
        <row r="205">
          <cell r="A205" t="str">
            <v>TITLE_204</v>
          </cell>
          <cell r="B205" t="str">
            <v>砂漠冥王</v>
          </cell>
        </row>
        <row r="206">
          <cell r="A206" t="str">
            <v>TITLE_205</v>
          </cell>
          <cell r="B206" t="str">
            <v>紫泡魔核</v>
          </cell>
        </row>
        <row r="207">
          <cell r="A207" t="str">
            <v>TITLE_206</v>
          </cell>
          <cell r="B207" t="str">
            <v>朽葉骸兵</v>
          </cell>
        </row>
        <row r="208">
          <cell r="A208" t="str">
            <v>TITLE_207</v>
          </cell>
          <cell r="B208" t="str">
            <v>碧牙毒狼</v>
          </cell>
        </row>
        <row r="209">
          <cell r="A209" t="str">
            <v>TITLE_208</v>
          </cell>
          <cell r="B209" t="str">
            <v>紫煙妖霊</v>
          </cell>
        </row>
        <row r="210">
          <cell r="A210" t="str">
            <v>TITLE_209</v>
          </cell>
          <cell r="B210" t="str">
            <v>歪根樹王</v>
          </cell>
        </row>
        <row r="211">
          <cell r="A211" t="str">
            <v>TITLE_210</v>
          </cell>
          <cell r="B211" t="str">
            <v>瘴森女王</v>
          </cell>
        </row>
        <row r="212">
          <cell r="A212" t="str">
            <v>TITLE_211</v>
          </cell>
          <cell r="B212" t="str">
            <v>封骸司書</v>
          </cell>
        </row>
        <row r="213">
          <cell r="A213" t="str">
            <v>TITLE_212</v>
          </cell>
          <cell r="B213" t="str">
            <v>頁喰暴典</v>
          </cell>
        </row>
        <row r="214">
          <cell r="A214" t="str">
            <v>TITLE_213</v>
          </cell>
          <cell r="B214" t="str">
            <v>漆黒滴王</v>
          </cell>
        </row>
        <row r="215">
          <cell r="A215" t="str">
            <v>TITLE_214</v>
          </cell>
          <cell r="B215" t="str">
            <v>書楼巨兵</v>
          </cell>
        </row>
        <row r="216">
          <cell r="A216" t="str">
            <v>TITLE_215</v>
          </cell>
          <cell r="B216" t="str">
            <v>詠環幽灯</v>
          </cell>
        </row>
        <row r="217">
          <cell r="A217" t="str">
            <v>TITLE_216</v>
          </cell>
          <cell r="B217" t="str">
            <v>禁架冥主</v>
          </cell>
        </row>
        <row r="218">
          <cell r="A218" t="str">
            <v>TITLE_217</v>
          </cell>
          <cell r="B218" t="str">
            <v>濃影に侵された骸剣士</v>
          </cell>
        </row>
        <row r="219">
          <cell r="A219" t="str">
            <v>TITLE_218</v>
          </cell>
          <cell r="B219" t="str">
            <v>揺らぎ嗤う影戯の小悪魔</v>
          </cell>
        </row>
        <row r="220">
          <cell r="A220" t="str">
            <v>TITLE_219</v>
          </cell>
          <cell r="B220" t="str">
            <v>光を呑む黒淵の滴王</v>
          </cell>
        </row>
        <row r="221">
          <cell r="A221" t="str">
            <v>TITLE_220</v>
          </cell>
          <cell r="B221" t="str">
            <v>残影を裂く夜駆けの魔獣</v>
          </cell>
        </row>
        <row r="222">
          <cell r="A222" t="str">
            <v>TITLE_221</v>
          </cell>
          <cell r="B222" t="str">
            <v>幽布を漂う沈黙の灯霊</v>
          </cell>
        </row>
        <row r="223">
          <cell r="A223" t="str">
            <v>TITLE_222</v>
          </cell>
          <cell r="B223" t="str">
            <v>断章を縫い統べる冥影の王</v>
          </cell>
        </row>
        <row r="224">
          <cell r="A224" t="str">
            <v>TITLE_223</v>
          </cell>
          <cell r="B224" t="str">
            <v>反転世界の蒼眼骸</v>
          </cell>
        </row>
        <row r="225">
          <cell r="A225" t="str">
            <v>TITLE_224</v>
          </cell>
          <cell r="B225" t="str">
            <v>無限増映の粘核体</v>
          </cell>
        </row>
        <row r="226">
          <cell r="A226" t="str">
            <v>TITLE_225</v>
          </cell>
          <cell r="B226" t="str">
            <v>鏡殻閃光の多面蟲</v>
          </cell>
        </row>
        <row r="227">
          <cell r="A227" t="str">
            <v>TITLE_226</v>
          </cell>
          <cell r="B227" t="str">
            <v>影歩きの双生魔</v>
          </cell>
        </row>
        <row r="228">
          <cell r="A228" t="str">
            <v>TITLE_227</v>
          </cell>
          <cell r="B228" t="str">
            <v>破鏡彷徨の燐光霊</v>
          </cell>
        </row>
        <row r="229">
          <cell r="A229" t="str">
            <v>TITLE_228</v>
          </cell>
          <cell r="B229" t="str">
            <v>万象を歪める鏡界王</v>
          </cell>
        </row>
        <row r="230">
          <cell r="A230" t="str">
            <v>TITLE_229</v>
          </cell>
          <cell r="B230" t="str">
            <v>血骨穿つ晶骸兵</v>
          </cell>
        </row>
        <row r="231">
          <cell r="A231" t="str">
            <v>TITLE_230</v>
          </cell>
          <cell r="B231" t="str">
            <v>紅核を抱く供儀屍者</v>
          </cell>
        </row>
        <row r="232">
          <cell r="A232" t="str">
            <v>TITLE_231</v>
          </cell>
          <cell r="B232" t="str">
            <v>滴命を喰らう紅濁体</v>
          </cell>
        </row>
        <row r="233">
          <cell r="A233" t="str">
            <v>TITLE_232</v>
          </cell>
          <cell r="B233" t="str">
            <v>刃祀る狂血の信徒</v>
          </cell>
        </row>
        <row r="234">
          <cell r="A234" t="str">
            <v>TITLE_233</v>
          </cell>
          <cell r="B234" t="str">
            <v>万晶重殻の紅巨兵</v>
          </cell>
        </row>
        <row r="235">
          <cell r="A235" t="str">
            <v>TITLE_234</v>
          </cell>
          <cell r="B235" t="str">
            <v>万血統べる晶王魔皇</v>
          </cell>
        </row>
        <row r="236">
          <cell r="A236" t="str">
            <v>TITLE_235</v>
          </cell>
          <cell r="B236" t="str">
            <v>蒼光の守衛骸</v>
          </cell>
        </row>
        <row r="237">
          <cell r="A237" t="str">
            <v>TITLE_236</v>
          </cell>
          <cell r="B237" t="str">
            <v>流動結界の水晶核</v>
          </cell>
        </row>
        <row r="238">
          <cell r="A238" t="str">
            <v>TITLE_237</v>
          </cell>
          <cell r="B238" t="str">
            <v>紫冥の小悪魔導師</v>
          </cell>
        </row>
        <row r="239">
          <cell r="A239" t="str">
            <v>TITLE_238</v>
          </cell>
          <cell r="B239" t="str">
            <v>盾殻の結界重騎</v>
          </cell>
        </row>
        <row r="240">
          <cell r="A240" t="str">
            <v>TITLE_239</v>
          </cell>
          <cell r="B240" t="str">
            <v>紋章を巡る蒼霊灯</v>
          </cell>
        </row>
        <row r="241">
          <cell r="A241" t="str">
            <v>TITLE_240</v>
          </cell>
          <cell r="B241" t="str">
            <v>深層結界の統括機関</v>
          </cell>
        </row>
        <row r="242">
          <cell r="A242" t="str">
            <v>TITLE_241</v>
          </cell>
          <cell r="B242" t="str">
            <v>断層を歩む骸刻兵</v>
          </cell>
        </row>
        <row r="243">
          <cell r="A243" t="str">
            <v>TITLE_242</v>
          </cell>
          <cell r="B243" t="str">
            <v>瞬界を裂く紅閃鬼</v>
          </cell>
        </row>
        <row r="244">
          <cell r="A244" t="str">
            <v>TITLE_243</v>
          </cell>
          <cell r="B244" t="str">
            <v>停滞に沈む粘時核</v>
          </cell>
        </row>
        <row r="245">
          <cell r="A245" t="str">
            <v>TITLE_244</v>
          </cell>
          <cell r="B245" t="str">
            <v>砂命を呑む環喰獣</v>
          </cell>
        </row>
        <row r="246">
          <cell r="A246" t="str">
            <v>TITLE_245</v>
          </cell>
          <cell r="B246" t="str">
            <v>盤界を漂う歪光精</v>
          </cell>
        </row>
        <row r="247">
          <cell r="A247" t="str">
            <v>TITLE_246</v>
          </cell>
          <cell r="B247" t="str">
            <v>崩刻を統べる終焉王</v>
          </cell>
        </row>
        <row r="248">
          <cell r="A248" t="str">
            <v>TITLE_247</v>
          </cell>
          <cell r="B248" t="str">
            <v>星墓を歩む骸骨兵</v>
          </cell>
        </row>
        <row r="249">
          <cell r="A249" t="str">
            <v>TITLE_248</v>
          </cell>
          <cell r="B249" t="str">
            <v>瞬星を宿す流体核</v>
          </cell>
        </row>
        <row r="250">
          <cell r="A250" t="str">
            <v>TITLE_249</v>
          </cell>
          <cell r="B250" t="str">
            <v>闇天を嗤う微光の悪戯者</v>
          </cell>
        </row>
        <row r="251">
          <cell r="A251" t="str">
            <v>TITLE_250</v>
          </cell>
          <cell r="B251" t="str">
            <v>歪重を纏う星殻甲虫</v>
          </cell>
        </row>
        <row r="252">
          <cell r="A252" t="str">
            <v>TITLE_251</v>
          </cell>
          <cell r="B252" t="str">
            <v>流星の残響たる蒼き精霊</v>
          </cell>
        </row>
        <row r="253">
          <cell r="A253" t="str">
            <v>TITLE_252</v>
          </cell>
          <cell r="B253" t="str">
            <v>天星を呑む虚無の顎</v>
          </cell>
        </row>
        <row r="254">
          <cell r="A254" t="str">
            <v>TITLE_253</v>
          </cell>
          <cell r="B254" t="str">
            <v>刻印に縛られし永劫の処刑兵</v>
          </cell>
        </row>
        <row r="255">
          <cell r="A255" t="str">
            <v>TITLE_254</v>
          </cell>
          <cell r="B255" t="str">
            <v>紅鎖に繋がれた狡知の使徒</v>
          </cell>
        </row>
        <row r="256">
          <cell r="A256" t="str">
            <v>TITLE_255</v>
          </cell>
          <cell r="B256" t="str">
            <v>流転紋章を宿す粘核の盟主</v>
          </cell>
        </row>
        <row r="257">
          <cell r="A257" t="str">
            <v>TITLE_256</v>
          </cell>
          <cell r="B257" t="str">
            <v>闘技場を踏破する無欠の石巨像</v>
          </cell>
        </row>
        <row r="258">
          <cell r="A258" t="str">
            <v>TITLE_257</v>
          </cell>
          <cell r="B258" t="str">
            <v>誓文を囁く蒼炎の漂霊</v>
          </cell>
        </row>
        <row r="259">
          <cell r="A259" t="str">
            <v>TITLE_258</v>
          </cell>
          <cell r="B259" t="str">
            <v>万契を統べる誓約絶対王</v>
          </cell>
        </row>
        <row r="260">
          <cell r="A260" t="str">
            <v>TITLE_259</v>
          </cell>
          <cell r="B260" t="str">
            <v>亡骸の量産者</v>
          </cell>
        </row>
        <row r="261">
          <cell r="A261" t="str">
            <v>TITLE_260</v>
          </cell>
          <cell r="B261" t="str">
            <v>再生する原初粘体</v>
          </cell>
        </row>
        <row r="262">
          <cell r="A262" t="str">
            <v>TITLE_261</v>
          </cell>
          <cell r="B262" t="str">
            <v>模倣の小悪魔</v>
          </cell>
        </row>
        <row r="263">
          <cell r="A263" t="str">
            <v>TITLE_262</v>
          </cell>
          <cell r="B263" t="str">
            <v>円環甲殻の巡行者</v>
          </cell>
        </row>
        <row r="264">
          <cell r="A264" t="str">
            <v>TITLE_263</v>
          </cell>
          <cell r="B264" t="str">
            <v>無窮の青霊灯</v>
          </cell>
        </row>
        <row r="265">
          <cell r="A265" t="str">
            <v>TITLE_264</v>
          </cell>
          <cell r="B265" t="str">
            <v>永劫を統べる循環王</v>
          </cell>
        </row>
        <row r="266">
          <cell r="A266" t="str">
            <v>TITLE_265</v>
          </cell>
          <cell r="B266" t="str">
            <v>禁忌縫合の屍骨王</v>
          </cell>
        </row>
        <row r="267">
          <cell r="A267" t="str">
            <v>TITLE_266</v>
          </cell>
          <cell r="B267" t="str">
            <v>灼装乱撃の小魔侯</v>
          </cell>
        </row>
        <row r="268">
          <cell r="A268" t="str">
            <v>TITLE_267</v>
          </cell>
          <cell r="B268" t="str">
            <v>融界崩蝕の暴核体</v>
          </cell>
        </row>
        <row r="269">
          <cell r="A269" t="str">
            <v>TITLE_268</v>
          </cell>
          <cell r="B269" t="str">
            <v>砲壁鎮座の石塞兵</v>
          </cell>
        </row>
        <row r="270">
          <cell r="A270" t="str">
            <v>TITLE_269</v>
          </cell>
          <cell r="B270" t="str">
            <v>紅冥漂界の滅灯霊</v>
          </cell>
        </row>
        <row r="271">
          <cell r="A271" t="str">
            <v>TITLE_270</v>
          </cell>
          <cell r="B271" t="str">
            <v>終焉要塞の断罪巨将</v>
          </cell>
        </row>
        <row r="272">
          <cell r="A272" t="str">
            <v>TITLE_271</v>
          </cell>
          <cell r="B272" t="str">
            <v>冥界を彷徨う紫骸の断罪者</v>
          </cell>
        </row>
        <row r="273">
          <cell r="A273" t="str">
            <v>TITLE_272</v>
          </cell>
          <cell r="B273" t="str">
            <v>万物を黒へ還す侵触核体</v>
          </cell>
        </row>
        <row r="274">
          <cell r="A274" t="str">
            <v>TITLE_273</v>
          </cell>
          <cell r="B274" t="str">
            <v>妖眼瞬く奈落の尖兵</v>
          </cell>
        </row>
        <row r="275">
          <cell r="A275" t="str">
            <v>TITLE_274</v>
          </cell>
          <cell r="B275" t="str">
            <v>腐界を穿つ甲殻侵滅虫</v>
          </cell>
        </row>
        <row r="276">
          <cell r="A276" t="str">
            <v>TITLE_275</v>
          </cell>
          <cell r="B276" t="str">
            <v>闇渦に揺蕩う無明の灯</v>
          </cell>
        </row>
        <row r="277">
          <cell r="A277" t="str">
            <v>TITLE_276</v>
          </cell>
          <cell r="B277" t="str">
            <v>万象を呑み込む深淵顕現王</v>
          </cell>
        </row>
        <row r="278">
          <cell r="A278" t="str">
            <v>TITLE_277</v>
          </cell>
          <cell r="B278" t="str">
            <v>色彩喪失の骸兵</v>
          </cell>
        </row>
        <row r="279">
          <cell r="A279" t="str">
            <v>TITLE_278</v>
          </cell>
          <cell r="B279" t="str">
            <v>透界の溶核体</v>
          </cell>
        </row>
        <row r="280">
          <cell r="A280" t="str">
            <v>TITLE_279</v>
          </cell>
          <cell r="B280" t="str">
            <v>静寂断絶の影鬼</v>
          </cell>
        </row>
        <row r="281">
          <cell r="A281" t="str">
            <v>TITLE_280</v>
          </cell>
          <cell r="B281" t="str">
            <v>境界崩落の虚構兵</v>
          </cell>
        </row>
        <row r="282">
          <cell r="A282" t="str">
            <v>TITLE_281</v>
          </cell>
          <cell r="B282" t="str">
            <v>希薄存在の残光霊</v>
          </cell>
        </row>
        <row r="283">
          <cell r="A283" t="str">
            <v>TITLE_282</v>
          </cell>
          <cell r="B283" t="str">
            <v>無面統治の監獄主</v>
          </cell>
        </row>
        <row r="284">
          <cell r="A284" t="str">
            <v>TITLE_283</v>
          </cell>
          <cell r="B284" t="str">
            <v>漆黒骸の前線断罪者</v>
          </cell>
        </row>
        <row r="285">
          <cell r="A285" t="str">
            <v>TITLE_284</v>
          </cell>
          <cell r="B285" t="str">
            <v>千刃乱舞の戦禍小鬼</v>
          </cell>
        </row>
        <row r="286">
          <cell r="A286" t="str">
            <v>TITLE_285</v>
          </cell>
          <cell r="B286" t="str">
            <v>侵蝕する流黒刃核</v>
          </cell>
        </row>
        <row r="287">
          <cell r="A287" t="str">
            <v>TITLE_286</v>
          </cell>
          <cell r="B287" t="str">
            <v>尖殻蹂躙の黒鋼甲虫</v>
          </cell>
        </row>
        <row r="288">
          <cell r="A288" t="str">
            <v>TITLE_287</v>
          </cell>
          <cell r="B288" t="str">
            <v>戦塵を纏う紅怨霊</v>
          </cell>
        </row>
        <row r="289">
          <cell r="A289" t="str">
            <v>TITLE_288</v>
          </cell>
          <cell r="B289" t="str">
            <v>黒曜覇軍の終焉将王</v>
          </cell>
        </row>
        <row r="290">
          <cell r="A290" t="str">
            <v>TITLE_289</v>
          </cell>
          <cell r="B290" t="str">
            <v>金骸の聖戦骸騎</v>
          </cell>
        </row>
        <row r="291">
          <cell r="A291" t="str">
            <v>TITLE_290</v>
          </cell>
          <cell r="B291" t="str">
            <v>流転する神性核</v>
          </cell>
        </row>
        <row r="292">
          <cell r="A292" t="str">
            <v>TITLE_291</v>
          </cell>
          <cell r="B292" t="str">
            <v>堕光の幼き代行者</v>
          </cell>
        </row>
        <row r="293">
          <cell r="A293" t="str">
            <v>TITLE_292</v>
          </cell>
          <cell r="B293" t="str">
            <v>破像の神殻守護兵</v>
          </cell>
        </row>
        <row r="294">
          <cell r="A294" t="str">
            <v>TITLE_293</v>
          </cell>
          <cell r="B294" t="str">
            <v>白金の導き霊灯</v>
          </cell>
        </row>
        <row r="295">
          <cell r="A295" t="str">
            <v>TITLE_294</v>
          </cell>
          <cell r="B295" t="str">
            <v>終焉を纏う堕神残滓王</v>
          </cell>
        </row>
        <row r="296">
          <cell r="A296" t="str">
            <v>TITLE_295</v>
          </cell>
          <cell r="B296" t="str">
            <v>万象崩骸の彩滅者</v>
          </cell>
        </row>
        <row r="297">
          <cell r="A297" t="str">
            <v>TITLE_296</v>
          </cell>
          <cell r="B297" t="str">
            <v>流転万色の原初胎動</v>
          </cell>
        </row>
        <row r="298">
          <cell r="A298" t="str">
            <v>TITLE_297</v>
          </cell>
          <cell r="B298" t="str">
            <v>歪界嗤笑の断末魔</v>
          </cell>
        </row>
        <row r="299">
          <cell r="A299" t="str">
            <v>TITLE_298</v>
          </cell>
          <cell r="B299" t="str">
            <v>崩星震殻の断層王</v>
          </cell>
        </row>
        <row r="300">
          <cell r="A300" t="str">
            <v>TITLE_299</v>
          </cell>
          <cell r="B300" t="str">
            <v>虚無蒼焔の終極導霊</v>
          </cell>
        </row>
        <row r="301">
          <cell r="A301" t="str">
            <v>TITLE_300</v>
          </cell>
          <cell r="B301" t="str">
            <v>全界終焉の絶対災禍</v>
          </cell>
        </row>
        <row r="302">
          <cell r="A302" t="str">
            <v>TITLE_301</v>
          </cell>
          <cell r="B302" t="str">
            <v>草露を喰む蒼雫</v>
          </cell>
        </row>
        <row r="303">
          <cell r="A303" t="str">
            <v>TITLE_302</v>
          </cell>
          <cell r="B303" t="str">
            <v>芽吹きを守る小さき精</v>
          </cell>
        </row>
        <row r="304">
          <cell r="A304" t="str">
            <v>TITLE_303</v>
          </cell>
          <cell r="B304" t="str">
            <v>草原荒らしの小鬼</v>
          </cell>
        </row>
        <row r="305">
          <cell r="A305" t="str">
            <v>TITLE_304</v>
          </cell>
          <cell r="B305" t="str">
            <v>風を裂く灰色の牙</v>
          </cell>
        </row>
        <row r="306">
          <cell r="A306" t="str">
            <v>TITLE_305</v>
          </cell>
          <cell r="B306" t="str">
            <v>大地を穿つ猛牙</v>
          </cell>
        </row>
        <row r="307">
          <cell r="A307" t="str">
            <v>TITLE_306</v>
          </cell>
          <cell r="B307" t="str">
            <v>草風に舞う翠翼</v>
          </cell>
        </row>
        <row r="308">
          <cell r="A308" t="str">
            <v>TITLE_307</v>
          </cell>
          <cell r="B308" t="str">
            <v>芽吹きを告げる森童</v>
          </cell>
        </row>
        <row r="309">
          <cell r="A309" t="str">
            <v>TITLE_308</v>
          </cell>
          <cell r="B309" t="str">
            <v>苔牙の森荒らし</v>
          </cell>
        </row>
        <row r="310">
          <cell r="A310" t="str">
            <v>TITLE_309</v>
          </cell>
          <cell r="B310" t="str">
            <v>悠久を歩む古樹巨人</v>
          </cell>
        </row>
        <row r="311">
          <cell r="A311" t="str">
            <v>TITLE_310</v>
          </cell>
          <cell r="B311" t="str">
            <v>白翠に祝福されし花角鹿</v>
          </cell>
        </row>
        <row r="312">
          <cell r="A312" t="str">
            <v>TITLE_311</v>
          </cell>
          <cell r="B312" t="str">
            <v>深緑を喰らう森牙</v>
          </cell>
        </row>
        <row r="313">
          <cell r="A313" t="str">
            <v>TITLE_312</v>
          </cell>
          <cell r="B313" t="str">
            <v>翠晶翅の導き妖精</v>
          </cell>
        </row>
        <row r="314">
          <cell r="A314" t="str">
            <v>TITLE_313</v>
          </cell>
          <cell r="B314" t="str">
            <v>小さな丘の幸運</v>
          </cell>
        </row>
        <row r="315">
          <cell r="A315" t="str">
            <v>TITLE_314</v>
          </cell>
          <cell r="B315" t="str">
            <v>丘風を射抜く翼</v>
          </cell>
        </row>
        <row r="316">
          <cell r="A316" t="str">
            <v>TITLE_315</v>
          </cell>
          <cell r="B316" t="str">
            <v>砕けぬ石角の胸壁</v>
          </cell>
        </row>
        <row r="317">
          <cell r="A317" t="str">
            <v>TITLE_316</v>
          </cell>
          <cell r="B317" t="str">
            <v>風路を読む護り</v>
          </cell>
        </row>
        <row r="318">
          <cell r="A318" t="str">
            <v>TITLE_317</v>
          </cell>
          <cell r="B318" t="str">
            <v>千年を背負う巨殻</v>
          </cell>
        </row>
        <row r="319">
          <cell r="A319" t="str">
            <v>TITLE_318</v>
          </cell>
          <cell r="B319" t="str">
            <v>鬼将が掲げし風冠</v>
          </cell>
        </row>
        <row r="320">
          <cell r="A320" t="str">
            <v>TITLE_319</v>
          </cell>
          <cell r="B320" t="str">
            <v>岩音を聴く護り</v>
          </cell>
        </row>
        <row r="321">
          <cell r="A321" t="str">
            <v>TITLE_320</v>
          </cell>
          <cell r="B321" t="str">
            <v>迷い路を照らす翠灯</v>
          </cell>
        </row>
        <row r="322">
          <cell r="A322" t="str">
            <v>TITLE_321</v>
          </cell>
          <cell r="B322" t="str">
            <v>蒼牙走る黒晶刃</v>
          </cell>
        </row>
        <row r="323">
          <cell r="A323" t="str">
            <v>TITLE_322</v>
          </cell>
          <cell r="B323" t="str">
            <v>消えざる守人の炉心</v>
          </cell>
        </row>
        <row r="324">
          <cell r="A324" t="str">
            <v>TITLE_323</v>
          </cell>
          <cell r="B324" t="str">
            <v>大洞を受け止める壁</v>
          </cell>
        </row>
        <row r="325">
          <cell r="A325" t="str">
            <v>TITLE_324</v>
          </cell>
          <cell r="B325" t="str">
            <v>封脈を統べる王晶</v>
          </cell>
        </row>
        <row r="326">
          <cell r="A326" t="str">
            <v>TITLE_325</v>
          </cell>
          <cell r="B326" t="str">
            <v>風綿と戯れし者</v>
          </cell>
        </row>
        <row r="327">
          <cell r="A327" t="str">
            <v>TITLE_326</v>
          </cell>
          <cell r="B327" t="str">
            <v>岩殻の轟炉を砕きし者</v>
          </cell>
        </row>
        <row r="328">
          <cell r="A328" t="str">
            <v>TITLE_327</v>
          </cell>
          <cell r="B328" t="str">
            <v>蒼天を翔ける風竜の征服者</v>
          </cell>
        </row>
        <row r="329">
          <cell r="A329" t="str">
            <v>TITLE_328</v>
          </cell>
          <cell r="B329" t="str">
            <v>花妖の祝福を授かりし者</v>
          </cell>
        </row>
        <row r="330">
          <cell r="A330" t="str">
            <v>TITLE_329</v>
          </cell>
          <cell r="B330" t="str">
            <v>大地を背負う巨獣を屠りし者</v>
          </cell>
        </row>
        <row r="331">
          <cell r="A331" t="str">
            <v>TITLE_330</v>
          </cell>
          <cell r="B331" t="str">
            <v>天輪を破りし蒼晶の英雄</v>
          </cell>
        </row>
        <row r="332">
          <cell r="A332" t="str">
            <v>TITLE_331</v>
          </cell>
          <cell r="B332" t="str">
            <v>晶駆けの追跡者</v>
          </cell>
        </row>
        <row r="333">
          <cell r="A333" t="str">
            <v>TITLE_332</v>
          </cell>
          <cell r="B333" t="str">
            <v>瓦礫に眼あり</v>
          </cell>
        </row>
        <row r="334">
          <cell r="A334" t="str">
            <v>TITLE_333</v>
          </cell>
          <cell r="B334" t="str">
            <v>裂空の晶翼</v>
          </cell>
        </row>
        <row r="335">
          <cell r="A335" t="str">
            <v>TITLE_334</v>
          </cell>
          <cell r="B335" t="str">
            <v>封鎖を断つ者</v>
          </cell>
        </row>
        <row r="336">
          <cell r="A336" t="str">
            <v>TITLE_335</v>
          </cell>
          <cell r="B336" t="str">
            <v>迷宮喰らいを屠りし者</v>
          </cell>
        </row>
        <row r="337">
          <cell r="A337" t="str">
            <v>TITLE_336</v>
          </cell>
          <cell r="B337" t="str">
            <v>世界の亀裂を越えし英雄</v>
          </cell>
        </row>
        <row r="338">
          <cell r="A338" t="str">
            <v>TITLE_337</v>
          </cell>
          <cell r="B338" t="str">
            <v>深晶を抱く者</v>
          </cell>
        </row>
        <row r="339">
          <cell r="A339" t="str">
            <v>TITLE_338</v>
          </cell>
          <cell r="B339" t="str">
            <v>蒼牙を従えし者</v>
          </cell>
        </row>
        <row r="340">
          <cell r="A340" t="str">
            <v>TITLE_339</v>
          </cell>
          <cell r="B340" t="str">
            <v>骸翼を越えし者</v>
          </cell>
        </row>
        <row r="341">
          <cell r="A341" t="str">
            <v>TITLE_340</v>
          </cell>
          <cell r="B341" t="str">
            <v>晶殻を穿つ者</v>
          </cell>
        </row>
        <row r="342">
          <cell r="A342" t="str">
            <v>TITLE_341</v>
          </cell>
          <cell r="B342" t="str">
            <v>古晶巨躯を砕きし者</v>
          </cell>
        </row>
        <row r="343">
          <cell r="A343" t="str">
            <v>TITLE_342</v>
          </cell>
          <cell r="B343" t="str">
            <v>燐晶の祝福を受けし者</v>
          </cell>
        </row>
        <row r="344">
          <cell r="A344" t="str">
            <v>TITLE_343</v>
          </cell>
          <cell r="B344" t="str">
            <v>幽海を漂う者</v>
          </cell>
        </row>
        <row r="345">
          <cell r="A345" t="str">
            <v>TITLE_344</v>
          </cell>
          <cell r="B345" t="str">
            <v>紅晶牙を折りし者</v>
          </cell>
        </row>
        <row r="346">
          <cell r="A346" t="str">
            <v>TITLE_345</v>
          </cell>
          <cell r="B346" t="str">
            <v>深紫の魔導を暴きし者</v>
          </cell>
        </row>
        <row r="347">
          <cell r="A347" t="str">
            <v>TITLE_346</v>
          </cell>
          <cell r="B347" t="str">
            <v>晶刃を掻い潜る者</v>
          </cell>
        </row>
        <row r="348">
          <cell r="A348" t="str">
            <v>TITLE_347</v>
          </cell>
          <cell r="B348" t="str">
            <v>蒼晶海を制する者</v>
          </cell>
        </row>
        <row r="349">
          <cell r="A349" t="str">
            <v>TITLE_348</v>
          </cell>
          <cell r="B349" t="str">
            <v>冥翼の闇を裂く者</v>
          </cell>
        </row>
        <row r="350">
          <cell r="A350" t="str">
            <v>TITLE_349</v>
          </cell>
          <cell r="B350" t="str">
            <v>晶甲を打ち砕きし者</v>
          </cell>
        </row>
        <row r="351">
          <cell r="A351" t="str">
            <v>TITLE_350</v>
          </cell>
          <cell r="B351" t="str">
            <v>深界樹の加護を継ぐ者</v>
          </cell>
        </row>
        <row r="352">
          <cell r="A352" t="str">
            <v>TITLE_351</v>
          </cell>
          <cell r="B352" t="str">
            <v>万眼に睨まれし者</v>
          </cell>
        </row>
        <row r="353">
          <cell r="A353" t="str">
            <v>TITLE_352</v>
          </cell>
          <cell r="B353" t="str">
            <v>蛇晶の深淵を渡る者</v>
          </cell>
        </row>
        <row r="354">
          <cell r="A354" t="str">
            <v>TITLE_353</v>
          </cell>
          <cell r="B354" t="str">
            <v>幽炎騎士を退けし者</v>
          </cell>
        </row>
        <row r="355">
          <cell r="A355" t="str">
            <v>TITLE_354</v>
          </cell>
          <cell r="B355" t="str">
            <v>晶卵の巣を滅ぼし者</v>
          </cell>
        </row>
        <row r="356">
          <cell r="A356" t="str">
            <v>TITLE_355</v>
          </cell>
          <cell r="B356" t="str">
            <v>蒼竜の咆哮を越えし者</v>
          </cell>
        </row>
        <row r="357">
          <cell r="A357" t="str">
            <v>TITLE_356</v>
          </cell>
          <cell r="B357" t="str">
            <v>幽晶槍を折りし者</v>
          </cell>
        </row>
        <row r="358">
          <cell r="A358" t="str">
            <v>TITLE_357</v>
          </cell>
          <cell r="B358" t="str">
            <v>紫殻を崩せし者</v>
          </cell>
        </row>
        <row r="359">
          <cell r="A359" t="str">
            <v>TITLE_358</v>
          </cell>
          <cell r="B359" t="str">
            <v>月眼に選ばれし者</v>
          </cell>
        </row>
        <row r="360">
          <cell r="A360" t="str">
            <v>TITLE_359</v>
          </cell>
          <cell r="B360" t="str">
            <v>百晶刃を踏破せし者</v>
          </cell>
        </row>
        <row r="361">
          <cell r="A361" t="str">
            <v>TITLE_360</v>
          </cell>
          <cell r="B361" t="str">
            <v>獄角の鎖を断ちし者</v>
          </cell>
        </row>
        <row r="362">
          <cell r="A362" t="str">
            <v>TITLE_361</v>
          </cell>
          <cell r="B362" t="str">
            <v>黒翼と舞いし者</v>
          </cell>
        </row>
        <row r="363">
          <cell r="A363" t="str">
            <v>TITLE_362</v>
          </cell>
          <cell r="B363" t="str">
            <v>熔晶を鎮めし者</v>
          </cell>
        </row>
        <row r="364">
          <cell r="A364" t="str">
            <v>TITLE_363</v>
          </cell>
          <cell r="B364" t="str">
            <v>邪眼の糸を断つ者</v>
          </cell>
        </row>
        <row r="365">
          <cell r="A365" t="str">
            <v>TITLE_364</v>
          </cell>
          <cell r="B365" t="str">
            <v>冥祷を退けし者</v>
          </cell>
        </row>
        <row r="366">
          <cell r="A366" t="str">
            <v>TITLE_365</v>
          </cell>
          <cell r="B366" t="str">
            <v>双獣を屈服させし者</v>
          </cell>
        </row>
        <row r="367">
          <cell r="A367" t="str">
            <v>TITLE_366</v>
          </cell>
          <cell r="B367" t="str">
            <v>終晶を超越せし者</v>
          </cell>
        </row>
      </sheetData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pane ySplit="2" topLeftCell="A16" activePane="bottomLeft" state="frozen"/>
      <selection pane="bottomLeft" activeCell="B9" sqref="B9"/>
    </sheetView>
  </sheetViews>
  <sheetFormatPr defaultRowHeight="14.25"/>
  <cols>
    <col min="1" max="1" width="31" customWidth="1"/>
    <col min="2" max="2" width="59" customWidth="1"/>
    <col min="3" max="3" width="24" customWidth="1"/>
    <col min="4" max="4" width="31" customWidth="1"/>
    <col min="5" max="5" width="17" customWidth="1"/>
    <col min="6" max="8" width="18" customWidth="1"/>
  </cols>
  <sheetData>
    <row r="1" spans="1:8">
      <c r="A1" s="18" t="s">
        <v>0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4" spans="1:8">
      <c r="A4" t="s">
        <v>1</v>
      </c>
      <c r="B4">
        <v>366</v>
      </c>
      <c r="D4" t="s">
        <v>2</v>
      </c>
      <c r="E4">
        <v>50</v>
      </c>
    </row>
    <row r="6" spans="1:8" ht="24" customHeight="1">
      <c r="A6" s="1" t="s">
        <v>3</v>
      </c>
      <c r="B6" s="1" t="s">
        <v>4</v>
      </c>
      <c r="D6" s="12" t="s">
        <v>959</v>
      </c>
      <c r="E6" s="13">
        <v>1.04</v>
      </c>
    </row>
    <row r="7" spans="1:8" ht="23.1" customHeight="1">
      <c r="A7" t="s">
        <v>5</v>
      </c>
      <c r="B7" s="3">
        <v>1.5</v>
      </c>
      <c r="D7" s="14" t="s">
        <v>960</v>
      </c>
      <c r="E7" s="15">
        <f>POWER($E$6,0)</f>
        <v>1</v>
      </c>
    </row>
    <row r="8" spans="1:8" ht="23.1" customHeight="1">
      <c r="A8" t="s">
        <v>6</v>
      </c>
      <c r="B8" s="3">
        <v>1</v>
      </c>
      <c r="D8" s="14" t="s">
        <v>961</v>
      </c>
      <c r="E8" s="15">
        <f>POWER($E$6,9)</f>
        <v>1.4233118124214852</v>
      </c>
    </row>
    <row r="9" spans="1:8" ht="23.1" customHeight="1">
      <c r="A9" t="s">
        <v>7</v>
      </c>
      <c r="B9" s="3">
        <v>0.5</v>
      </c>
      <c r="D9" s="14" t="s">
        <v>962</v>
      </c>
      <c r="E9" s="15">
        <f>POWER($E$6,29)</f>
        <v>3.1186514519495603</v>
      </c>
    </row>
    <row r="10" spans="1:8" ht="23.1" customHeight="1">
      <c r="A10" t="s">
        <v>8</v>
      </c>
      <c r="B10" s="3">
        <v>1</v>
      </c>
      <c r="D10" s="14" t="s">
        <v>963</v>
      </c>
      <c r="E10" s="15">
        <f>POWER($E$6,60)</f>
        <v>10.519627408052864</v>
      </c>
    </row>
    <row r="12" spans="1:8" ht="29.1" customHeight="1">
      <c r="A12" s="20" t="s">
        <v>9</v>
      </c>
      <c r="B12" s="20"/>
      <c r="C12" s="20"/>
      <c r="D12" s="20"/>
      <c r="E12" s="20"/>
      <c r="F12" s="20"/>
      <c r="G12" s="20"/>
      <c r="H12" s="20"/>
    </row>
    <row r="13" spans="1:8" ht="24.95" customHeight="1">
      <c r="A13" t="s">
        <v>10</v>
      </c>
    </row>
    <row r="14" spans="1:8" ht="24.95" customHeight="1">
      <c r="A14" t="s">
        <v>11</v>
      </c>
    </row>
    <row r="15" spans="1:8" ht="24.95" customHeight="1">
      <c r="A15" t="s">
        <v>12</v>
      </c>
    </row>
    <row r="16" spans="1:8" ht="24.95" customHeight="1">
      <c r="A16" t="s">
        <v>13</v>
      </c>
    </row>
    <row r="17" spans="1:4" ht="24.95" customHeight="1">
      <c r="A17" t="s">
        <v>964</v>
      </c>
    </row>
    <row r="18" spans="1:4" ht="24.95" customHeight="1">
      <c r="A18" t="s">
        <v>14</v>
      </c>
    </row>
    <row r="19" spans="1:4" ht="24.95" customHeight="1">
      <c r="A19" t="s">
        <v>15</v>
      </c>
    </row>
    <row r="20" spans="1:4" ht="24.95" customHeight="1">
      <c r="A20" t="s">
        <v>16</v>
      </c>
    </row>
    <row r="21" spans="1:4" ht="24.95" customHeight="1">
      <c r="A21" t="s">
        <v>17</v>
      </c>
    </row>
    <row r="22" spans="1:4" ht="24.95" customHeight="1">
      <c r="A22" t="s">
        <v>18</v>
      </c>
    </row>
    <row r="23" spans="1:4" ht="24.95" customHeight="1">
      <c r="A23" t="s">
        <v>19</v>
      </c>
    </row>
    <row r="24" spans="1:4" ht="24.95" customHeight="1">
      <c r="A24" t="s">
        <v>20</v>
      </c>
    </row>
    <row r="25" spans="1:4">
      <c r="A25" t="s">
        <v>965</v>
      </c>
    </row>
    <row r="26" spans="1:4" ht="29.1" customHeight="1">
      <c r="A26" s="1" t="s">
        <v>21</v>
      </c>
      <c r="B26" s="1" t="s">
        <v>22</v>
      </c>
      <c r="C26" s="1" t="s">
        <v>23</v>
      </c>
      <c r="D26" s="1" t="s">
        <v>24</v>
      </c>
    </row>
    <row r="27" spans="1:4">
      <c r="A27" t="s">
        <v>25</v>
      </c>
      <c r="B27" t="s">
        <v>26</v>
      </c>
      <c r="C27" t="s">
        <v>27</v>
      </c>
      <c r="D27" t="s">
        <v>28</v>
      </c>
    </row>
    <row r="28" spans="1:4">
      <c r="A28" t="s">
        <v>29</v>
      </c>
      <c r="B28" t="s">
        <v>30</v>
      </c>
      <c r="C28" t="s">
        <v>31</v>
      </c>
      <c r="D28" t="s">
        <v>32</v>
      </c>
    </row>
    <row r="29" spans="1:4">
      <c r="A29" t="s">
        <v>33</v>
      </c>
      <c r="B29" t="s">
        <v>34</v>
      </c>
      <c r="C29" t="s">
        <v>35</v>
      </c>
      <c r="D29" t="s">
        <v>36</v>
      </c>
    </row>
    <row r="30" spans="1:4">
      <c r="A30" t="s">
        <v>37</v>
      </c>
      <c r="B30" t="s">
        <v>38</v>
      </c>
      <c r="C30" t="s">
        <v>39</v>
      </c>
      <c r="D30" t="s">
        <v>40</v>
      </c>
    </row>
  </sheetData>
  <mergeCells count="2">
    <mergeCell ref="A1:H2"/>
    <mergeCell ref="A12:H12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72"/>
  <sheetViews>
    <sheetView tabSelected="1" workbookViewId="0">
      <pane ySplit="6" topLeftCell="A7" activePane="bottomLeft" state="frozen"/>
      <selection pane="bottomLeft" activeCell="E22" sqref="E22"/>
    </sheetView>
  </sheetViews>
  <sheetFormatPr defaultRowHeight="14.25"/>
  <cols>
    <col min="1" max="1" width="17" customWidth="1"/>
    <col min="2" max="2" width="33" customWidth="1"/>
    <col min="3" max="3" width="19" customWidth="1"/>
    <col min="4" max="4" width="28" customWidth="1"/>
    <col min="5" max="5" width="24" customWidth="1"/>
    <col min="6" max="6" width="14" customWidth="1"/>
    <col min="7" max="8" width="18" customWidth="1"/>
    <col min="9" max="10" width="13" customWidth="1"/>
    <col min="11" max="11" width="15" customWidth="1"/>
    <col min="12" max="12" width="13" customWidth="1"/>
    <col min="13" max="13" width="15" customWidth="1"/>
    <col min="14" max="14" width="13" customWidth="1"/>
    <col min="15" max="19" width="12" customWidth="1"/>
    <col min="20" max="25" width="13" customWidth="1"/>
    <col min="26" max="27" width="15" customWidth="1"/>
    <col min="28" max="29" width="18" customWidth="1"/>
    <col min="30" max="30" width="40" customWidth="1"/>
    <col min="36" max="36" width="24" customWidth="1"/>
    <col min="37" max="37" width="25" customWidth="1"/>
  </cols>
  <sheetData>
    <row r="1" spans="1:37">
      <c r="A1" s="18" t="s">
        <v>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7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7" ht="27" customHeight="1">
      <c r="A3" s="19" t="s">
        <v>42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37" ht="27" customHeight="1">
      <c r="A4" s="6" t="s">
        <v>43</v>
      </c>
      <c r="B4" s="6"/>
      <c r="C4" s="6">
        <f>COUNTIF(H7:H372,"OK")</f>
        <v>366</v>
      </c>
      <c r="D4" s="6"/>
      <c r="E4" s="6" t="s">
        <v>44</v>
      </c>
      <c r="F4" s="6"/>
      <c r="G4" s="6">
        <v>366</v>
      </c>
      <c r="H4" s="6"/>
      <c r="I4" s="6" t="s">
        <v>45</v>
      </c>
      <c r="J4" s="6"/>
      <c r="K4" s="6">
        <f>G4-C4</f>
        <v>0</v>
      </c>
      <c r="L4" s="6"/>
      <c r="M4" s="6" t="s">
        <v>46</v>
      </c>
      <c r="N4" s="6"/>
      <c r="O4" s="6" t="str">
        <f>IF(C4=G4,"出力可能","未入力あり")</f>
        <v>出力可能</v>
      </c>
    </row>
    <row r="6" spans="1:37" ht="30" customHeight="1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  <c r="N6" s="1" t="s">
        <v>60</v>
      </c>
      <c r="O6" s="1" t="s">
        <v>61</v>
      </c>
      <c r="P6" s="1" t="s">
        <v>62</v>
      </c>
      <c r="Q6" s="1" t="s">
        <v>63</v>
      </c>
      <c r="R6" s="1" t="s">
        <v>64</v>
      </c>
      <c r="S6" s="1" t="s">
        <v>65</v>
      </c>
      <c r="T6" s="1" t="s">
        <v>66</v>
      </c>
      <c r="U6" s="1" t="s">
        <v>67</v>
      </c>
      <c r="V6" s="1" t="s">
        <v>68</v>
      </c>
      <c r="W6" s="1" t="s">
        <v>69</v>
      </c>
      <c r="X6" s="1" t="s">
        <v>70</v>
      </c>
      <c r="Y6" s="1" t="s">
        <v>71</v>
      </c>
      <c r="Z6" s="1" t="s">
        <v>72</v>
      </c>
      <c r="AA6" s="1" t="s">
        <v>37</v>
      </c>
      <c r="AB6" s="1" t="s">
        <v>73</v>
      </c>
      <c r="AC6" s="1" t="s">
        <v>74</v>
      </c>
      <c r="AD6" s="1" t="s">
        <v>75</v>
      </c>
      <c r="AE6" s="1" t="s">
        <v>76</v>
      </c>
      <c r="AF6" s="1" t="s">
        <v>77</v>
      </c>
      <c r="AG6" s="1" t="s">
        <v>78</v>
      </c>
      <c r="AH6" s="1" t="s">
        <v>79</v>
      </c>
      <c r="AI6" s="1" t="s">
        <v>80</v>
      </c>
      <c r="AJ6" s="12" t="s">
        <v>966</v>
      </c>
      <c r="AK6" s="12" t="s">
        <v>967</v>
      </c>
    </row>
    <row r="7" spans="1:37">
      <c r="A7" t="str">
        <f>+[2]称号!A2</f>
        <v>TITLE_001</v>
      </c>
      <c r="B7" t="str">
        <f>+[2]称号!B2</f>
        <v>静水の微笑み</v>
      </c>
      <c r="C7" t="s">
        <v>81</v>
      </c>
      <c r="D7" t="s">
        <v>82</v>
      </c>
      <c r="E7" s="2" t="str">
        <f>[1]モンスター計算!AM5</f>
        <v>魔法・軽量</v>
      </c>
      <c r="F7" s="2" t="str">
        <f>[1]モンスター計算!C5</f>
        <v>水</v>
      </c>
      <c r="G7" s="8">
        <v>1</v>
      </c>
      <c r="H7" t="str">
        <f t="shared" ref="H7:H70" si="0">IF(OR(E7="",F7=""),"未入力",IF(IFERROR(AND(ISNUMBER(AJ7),AJ7&gt;=1,AJ7=INT(AJ7)),FALSE),IF(AE7=0,"タイプ未登録",IF(AF7=0,"属性未登録","OK")),"ステージ未設定"))</f>
        <v>OK</v>
      </c>
      <c r="I7" s="9">
        <f>IF($H7&lt;&gt;"OK","",ROUND($G7*使い方と設定!$B$7*$AK7*INDEX(個性タイプマスタ!$Q$5:$AA$54,$AE7,1)/$AG7,4))</f>
        <v>0.1416</v>
      </c>
      <c r="J7" s="9">
        <f>IF($H7&lt;&gt;"OK","",ROUND($G7*使い方と設定!$B$7*$AK7*INDEX(個性タイプマスタ!$Q$5:$AA$54,$AE7,2)/$AG7,4))</f>
        <v>0.15540000000000001</v>
      </c>
      <c r="K7" s="9">
        <f>IF($H7&lt;&gt;"OK","",ROUND($G7*使い方と設定!$B$7*$AK7*INDEX(個性タイプマスタ!$Q$5:$AA$54,$AE7,3)/$AG7,4))</f>
        <v>3.9199999999999999E-2</v>
      </c>
      <c r="L7" s="9">
        <f>IF($H7&lt;&gt;"OK","",ROUND($G7*使い方と設定!$B$7*$AK7*INDEX(個性タイプマスタ!$Q$5:$AA$54,$AE7,4)/$AG7,4))</f>
        <v>0.39250000000000002</v>
      </c>
      <c r="M7" s="9">
        <f>IF($H7&lt;&gt;"OK","",ROUND($G7*使い方と設定!$B$7*$AK7*INDEX(個性タイプマスタ!$Q$5:$AA$54,$AE7,5)/$AG7,4))</f>
        <v>0.1134</v>
      </c>
      <c r="N7" s="9">
        <f>IF($H7&lt;&gt;"OK","",ROUND($G7*使い方と設定!$B$7*$AK7*INDEX(個性タイプマスタ!$Q$5:$AA$54,$AE7,6)/$AG7,4))</f>
        <v>0.13339999999999999</v>
      </c>
      <c r="O7" s="9">
        <f>IF($H7&lt;&gt;"OK","",ROUND($G7*使い方と設定!$B$7*$AK7*INDEX(個性タイプマスタ!$Q$5:$AA$54,$AE7,7)/$AG7,4))</f>
        <v>8.6300000000000002E-2</v>
      </c>
      <c r="P7" s="9">
        <f>IF($H7&lt;&gt;"OK","",ROUND($G7*使い方と設定!$B$7*$AK7*INDEX(個性タイプマスタ!$Q$5:$AA$54,$AE7,8)/$AG7,4))</f>
        <v>0.10199999999999999</v>
      </c>
      <c r="Q7" s="9">
        <f>IF($H7&lt;&gt;"OK","",ROUND($G7*使い方と設定!$B$7*$AK7*INDEX(個性タイプマスタ!$Q$5:$AA$54,$AE7,9)/$AG7,4))</f>
        <v>6.9099999999999995E-2</v>
      </c>
      <c r="R7" s="9">
        <f>IF($H7&lt;&gt;"OK","",ROUND($G7*使い方と設定!$B$7*$AK7*INDEX(個性タイプマスタ!$Q$5:$AA$54,$AE7,10)/$AG7,4))</f>
        <v>0.157</v>
      </c>
      <c r="S7" s="9">
        <f>IF($H7&lt;&gt;"OK","",ROUND($G7*使い方と設定!$B$7*$AK7*INDEX(個性タイプマスタ!$Q$5:$AA$54,$AE7,11)/$AG7,4))</f>
        <v>0.1099</v>
      </c>
      <c r="T7" s="9">
        <f>IF($H7&lt;&gt;"OK","",ROUND($G7*使い方と設定!$B$8*$AK7*$AH7*INDEX(属性耐性マスタ!$B$5:$G$10,$AF7,1),4))</f>
        <v>1.0999999999999999E-2</v>
      </c>
      <c r="U7" s="9">
        <f>IF($H7&lt;&gt;"OK","",ROUND($G7*使い方と設定!$B$8*$AK7*$AH7*INDEX(属性耐性マスタ!$B$5:$G$10,$AF7,2),4))</f>
        <v>5.5199999999999999E-2</v>
      </c>
      <c r="V7" s="9">
        <f>IF($H7&lt;&gt;"OK","",ROUND($G7*使い方と設定!$B$8*$AK7*$AH7*INDEX(属性耐性マスタ!$B$5:$G$10,$AF7,3),4))</f>
        <v>3.7000000000000002E-3</v>
      </c>
      <c r="W7" s="9">
        <f>IF($H7&lt;&gt;"OK","",ROUND($G7*使い方と設定!$B$8*$AK7*$AH7*INDEX(属性耐性マスタ!$B$5:$G$10,$AF7,4),4))</f>
        <v>3.7000000000000002E-3</v>
      </c>
      <c r="X7" s="9">
        <f>IF($H7&lt;&gt;"OK","",ROUND($G7*使い方と設定!$B$8*$AK7*$AH7*INDEX(属性耐性マスタ!$B$5:$G$10,$AF7,5),4))</f>
        <v>2.8E-3</v>
      </c>
      <c r="Y7" s="9">
        <f>IF($H7&lt;&gt;"OK","",ROUND($G7*使い方と設定!$B$8*$AK7*$AH7*INDEX(属性耐性マスタ!$B$5:$G$10,$AF7,6),4))</f>
        <v>2.8E-3</v>
      </c>
      <c r="Z7" s="9">
        <f>IF($H7&lt;&gt;"OK","",ROUND($G7*使い方と設定!$B$9*$AK7*$AI7,4))</f>
        <v>0.4667</v>
      </c>
      <c r="AA7" s="10">
        <v>1</v>
      </c>
      <c r="AB7" s="11">
        <f t="shared" ref="AB7:AB70" si="1">IF($H7&lt;&gt;"OK","",ROUND(SUM(I7:S7),4))</f>
        <v>1.4998</v>
      </c>
      <c r="AC7" s="11">
        <f t="shared" ref="AC7:AC70" si="2">IF($H7&lt;&gt;"OK","",ROUND(SUM(T7:Y7),4))</f>
        <v>7.9200000000000007E-2</v>
      </c>
      <c r="AD7" s="7" t="str">
        <f>IF($H7&lt;&gt;"OK","",INDEX(個性タイプマスタ!$P$5:$P$54,$AE7))</f>
        <v>軽快な魔法型。耐久控えめ・成長余地大</v>
      </c>
      <c r="AE7">
        <f>IFERROR(MATCH(E7,個性タイプマスタ!$A$5:$A$54,0),0)</f>
        <v>1</v>
      </c>
      <c r="AF7">
        <f>IFERROR(MATCH(F7,属性耐性マスタ!$A$5:$A$10,0),0)</f>
        <v>2</v>
      </c>
      <c r="AG7">
        <f>IF(AE7=0,1,INDEX(個性タイプマスタ!$AB$5:$AB$54,AE7))</f>
        <v>9.5545000000000009</v>
      </c>
      <c r="AH7">
        <f>IF(AE7=0,1,INDEX(個性タイプマスタ!$AC$5:$AC$54,AE7))</f>
        <v>0.92</v>
      </c>
      <c r="AI7">
        <f>IF(AE7=0,0,INDEX(個性タイプマスタ!$AD$5:$AD$54,AE7))</f>
        <v>0.93333333333333335</v>
      </c>
      <c r="AJ7" s="16">
        <v>1</v>
      </c>
      <c r="AK7" s="17">
        <f>IF(OR(AJ7="",AJ7&lt;1),"",POWER(使い方と設定!$E$6,AJ7-1))</f>
        <v>1</v>
      </c>
    </row>
    <row r="8" spans="1:37">
      <c r="A8" t="str">
        <f>+[2]称号!A3</f>
        <v>TITLE_002</v>
      </c>
      <c r="B8" t="str">
        <f>+[2]称号!B3</f>
        <v>灼熱のご機嫌</v>
      </c>
      <c r="C8" t="s">
        <v>85</v>
      </c>
      <c r="D8" t="s">
        <v>86</v>
      </c>
      <c r="E8" s="2" t="str">
        <f>[1]モンスター計算!AM6</f>
        <v>魔法・物防障壁</v>
      </c>
      <c r="F8" s="2" t="str">
        <f>[1]モンスター計算!C6</f>
        <v>火</v>
      </c>
      <c r="G8" s="8">
        <v>1.05</v>
      </c>
      <c r="H8" t="str">
        <f t="shared" si="0"/>
        <v>OK</v>
      </c>
      <c r="I8" s="9">
        <f>IF($H8&lt;&gt;"OK","",ROUND($G8*使い方と設定!$B$7*$AK8*INDEX(個性タイプマスタ!$Q$5:$AA$54,$AE8,1)/$AG8,4))</f>
        <v>0.17899999999999999</v>
      </c>
      <c r="J8" s="9">
        <f>IF($H8&lt;&gt;"OK","",ROUND($G8*使い方と設定!$B$7*$AK8*INDEX(個性タイプマスタ!$Q$5:$AA$54,$AE8,2)/$AG8,4))</f>
        <v>0.2157</v>
      </c>
      <c r="K8" s="9">
        <f>IF($H8&lt;&gt;"OK","",ROUND($G8*使い方と設定!$B$7*$AK8*INDEX(個性タイプマスタ!$Q$5:$AA$54,$AE8,3)/$AG8,4))</f>
        <v>2.4E-2</v>
      </c>
      <c r="L8" s="9">
        <f>IF($H8&lt;&gt;"OK","",ROUND($G8*使い方と設定!$B$7*$AK8*INDEX(個性タイプマスタ!$Q$5:$AA$54,$AE8,4)/$AG8,4))</f>
        <v>0.36320000000000002</v>
      </c>
      <c r="M8" s="9">
        <f>IF($H8&lt;&gt;"OK","",ROUND($G8*使い方と設定!$B$7*$AK8*INDEX(個性タイプマスタ!$Q$5:$AA$54,$AE8,5)/$AG8,4))</f>
        <v>0.24079999999999999</v>
      </c>
      <c r="N8" s="9">
        <f>IF($H8&lt;&gt;"OK","",ROUND($G8*使い方と設定!$B$7*$AK8*INDEX(個性タイプマスタ!$Q$5:$AA$54,$AE8,6)/$AG8,4))</f>
        <v>8.8900000000000007E-2</v>
      </c>
      <c r="O8" s="9">
        <f>IF($H8&lt;&gt;"OK","",ROUND($G8*使い方と設定!$B$7*$AK8*INDEX(個性タイプマスタ!$Q$5:$AA$54,$AE8,7)/$AG8,4))</f>
        <v>8.7900000000000006E-2</v>
      </c>
      <c r="P8" s="9">
        <f>IF($H8&lt;&gt;"OK","",ROUND($G8*使い方と設定!$B$7*$AK8*INDEX(個性タイプマスタ!$Q$5:$AA$54,$AE8,8)/$AG8,4))</f>
        <v>9.4399999999999998E-2</v>
      </c>
      <c r="Q8" s="9">
        <f>IF($H8&lt;&gt;"OK","",ROUND($G8*使い方と設定!$B$7*$AK8*INDEX(個性タイプマスタ!$Q$5:$AA$54,$AE8,9)/$AG8,4))</f>
        <v>5.91E-2</v>
      </c>
      <c r="R8" s="9">
        <f>IF($H8&lt;&gt;"OK","",ROUND($G8*使い方と設定!$B$7*$AK8*INDEX(個性タイプマスタ!$Q$5:$AA$54,$AE8,10)/$AG8,4))</f>
        <v>0.12640000000000001</v>
      </c>
      <c r="S8" s="9">
        <f>IF($H8&lt;&gt;"OK","",ROUND($G8*使い方と設定!$B$7*$AK8*INDEX(個性タイプマスタ!$Q$5:$AA$54,$AE8,11)/$AG8,4))</f>
        <v>9.5600000000000004E-2</v>
      </c>
      <c r="T8" s="9">
        <f>IF($H8&lt;&gt;"OK","",ROUND($G8*使い方と設定!$B$8*$AK8*$AH8*INDEX(属性耐性マスタ!$B$5:$G$10,$AF8,1),4))</f>
        <v>7.9399999999999998E-2</v>
      </c>
      <c r="U8" s="9">
        <f>IF($H8&lt;&gt;"OK","",ROUND($G8*使い方と設定!$B$8*$AK8*$AH8*INDEX(属性耐性マスタ!$B$5:$G$10,$AF8,2),4))</f>
        <v>1.5900000000000001E-2</v>
      </c>
      <c r="V8" s="9">
        <f>IF($H8&lt;&gt;"OK","",ROUND($G8*使い方と設定!$B$8*$AK8*$AH8*INDEX(属性耐性マスタ!$B$5:$G$10,$AF8,3),4))</f>
        <v>5.3E-3</v>
      </c>
      <c r="W8" s="9">
        <f>IF($H8&lt;&gt;"OK","",ROUND($G8*使い方と設定!$B$8*$AK8*$AH8*INDEX(属性耐性マスタ!$B$5:$G$10,$AF8,4),4))</f>
        <v>5.3E-3</v>
      </c>
      <c r="X8" s="9">
        <f>IF($H8&lt;&gt;"OK","",ROUND($G8*使い方と設定!$B$8*$AK8*$AH8*INDEX(属性耐性マスタ!$B$5:$G$10,$AF8,5),4))</f>
        <v>4.0000000000000001E-3</v>
      </c>
      <c r="Y8" s="9">
        <f>IF($H8&lt;&gt;"OK","",ROUND($G8*使い方と設定!$B$8*$AK8*$AH8*INDEX(属性耐性マスタ!$B$5:$G$10,$AF8,6),4))</f>
        <v>4.0000000000000001E-3</v>
      </c>
      <c r="Z8" s="9">
        <f>IF($H8&lt;&gt;"OK","",ROUND($G8*使い方と設定!$B$9*$AK8*$AI8,4))</f>
        <v>0.47689999999999999</v>
      </c>
      <c r="AA8" s="10">
        <v>1</v>
      </c>
      <c r="AB8" s="11">
        <f t="shared" si="1"/>
        <v>1.575</v>
      </c>
      <c r="AC8" s="11">
        <f t="shared" si="2"/>
        <v>0.1139</v>
      </c>
      <c r="AD8" s="7" t="str">
        <f>IF($H8&lt;&gt;"OK","",INDEX(個性タイプマスタ!$P$5:$P$54,$AE8))</f>
        <v>物理防御を集中的に強化</v>
      </c>
      <c r="AE8">
        <f>IFERROR(MATCH(E8,個性タイプマスタ!$A$5:$A$54,0),0)</f>
        <v>25</v>
      </c>
      <c r="AF8">
        <f>IFERROR(MATCH(F8,属性耐性マスタ!$A$5:$A$10,0),0)</f>
        <v>1</v>
      </c>
      <c r="AG8">
        <f>IF(AE8=0,1,INDEX(個性タイプマスタ!$AB$5:$AB$54,AE8))</f>
        <v>10.8415</v>
      </c>
      <c r="AH8">
        <f>IF(AE8=0,1,INDEX(個性タイプマスタ!$AC$5:$AC$54,AE8))</f>
        <v>1.26</v>
      </c>
      <c r="AI8">
        <f>IF(AE8=0,0,INDEX(個性タイプマスタ!$AD$5:$AD$54,AE8))</f>
        <v>0.90833333333333333</v>
      </c>
      <c r="AJ8" s="16">
        <v>1</v>
      </c>
      <c r="AK8" s="17">
        <f>IF(OR(AJ8="",AJ8&lt;1),"",POWER(使い方と設定!$E$6,AJ8-1))</f>
        <v>1</v>
      </c>
    </row>
    <row r="9" spans="1:37">
      <c r="A9" t="str">
        <f>+[2]称号!A4</f>
        <v>TITLE_003</v>
      </c>
      <c r="B9" t="str">
        <f>+[2]称号!B4</f>
        <v>芽吹く生命の笑顔</v>
      </c>
      <c r="C9" t="s">
        <v>89</v>
      </c>
      <c r="D9" t="s">
        <v>90</v>
      </c>
      <c r="E9" s="2" t="str">
        <f>[1]モンスター計算!AM7</f>
        <v>魔法・均衡</v>
      </c>
      <c r="F9" s="2" t="str">
        <f>[1]モンスター計算!C7</f>
        <v>風</v>
      </c>
      <c r="G9" s="8">
        <v>1.1000000000000001</v>
      </c>
      <c r="H9" t="str">
        <f t="shared" si="0"/>
        <v>OK</v>
      </c>
      <c r="I9" s="9">
        <f>IF($H9&lt;&gt;"OK","",ROUND($G9*使い方と設定!$B$7*$AK9*INDEX(個性タイプマスタ!$Q$5:$AA$54,$AE9,1)/$AG9,4))</f>
        <v>0.1678</v>
      </c>
      <c r="J9" s="9">
        <f>IF($H9&lt;&gt;"OK","",ROUND($G9*使い方と設定!$B$7*$AK9*INDEX(個性タイプマスタ!$Q$5:$AA$54,$AE9,2)/$AG9,4))</f>
        <v>0.18240000000000001</v>
      </c>
      <c r="K9" s="9">
        <f>IF($H9&lt;&gt;"OK","",ROUND($G9*使い方と設定!$B$7*$AK9*INDEX(個性タイプマスタ!$Q$5:$AA$54,$AE9,3)/$AG9,4))</f>
        <v>4.1399999999999999E-2</v>
      </c>
      <c r="L9" s="9">
        <f>IF($H9&lt;&gt;"OK","",ROUND($G9*使い方と設定!$B$7*$AK9*INDEX(個性タイプマスタ!$Q$5:$AA$54,$AE9,4)/$AG9,4))</f>
        <v>0.41449999999999998</v>
      </c>
      <c r="M9" s="9">
        <f>IF($H9&lt;&gt;"OK","",ROUND($G9*使い方と設定!$B$7*$AK9*INDEX(個性タイプマスタ!$Q$5:$AA$54,$AE9,5)/$AG9,4))</f>
        <v>0.13389999999999999</v>
      </c>
      <c r="N9" s="9">
        <f>IF($H9&lt;&gt;"OK","",ROUND($G9*使い方と設定!$B$7*$AK9*INDEX(個性タイプマスタ!$Q$5:$AA$54,$AE9,6)/$AG9,4))</f>
        <v>0.14799999999999999</v>
      </c>
      <c r="O9" s="9">
        <f>IF($H9&lt;&gt;"OK","",ROUND($G9*使い方と設定!$B$7*$AK9*INDEX(個性タイプマスタ!$Q$5:$AA$54,$AE9,7)/$AG9,4))</f>
        <v>9.1200000000000003E-2</v>
      </c>
      <c r="P9" s="9">
        <f>IF($H9&lt;&gt;"OK","",ROUND($G9*使い方と設定!$B$7*$AK9*INDEX(個性タイプマスタ!$Q$5:$AA$54,$AE9,8)/$AG9,4))</f>
        <v>0.10780000000000001</v>
      </c>
      <c r="Q9" s="9">
        <f>IF($H9&lt;&gt;"OK","",ROUND($G9*使い方と設定!$B$7*$AK9*INDEX(個性タイプマスタ!$Q$5:$AA$54,$AE9,9)/$AG9,4))</f>
        <v>7.2999999999999995E-2</v>
      </c>
      <c r="R9" s="9">
        <f>IF($H9&lt;&gt;"OK","",ROUND($G9*使い方と設定!$B$7*$AK9*INDEX(個性タイプマスタ!$Q$5:$AA$54,$AE9,10)/$AG9,4))</f>
        <v>0.1741</v>
      </c>
      <c r="S9" s="9">
        <f>IF($H9&lt;&gt;"OK","",ROUND($G9*使い方と設定!$B$7*$AK9*INDEX(個性タイプマスタ!$Q$5:$AA$54,$AE9,11)/$AG9,4))</f>
        <v>0.11609999999999999</v>
      </c>
      <c r="T9" s="9">
        <f>IF($H9&lt;&gt;"OK","",ROUND($G9*使い方と設定!$B$8*$AK9*$AH9*INDEX(属性耐性マスタ!$B$5:$G$10,$AF9,1),4))</f>
        <v>4.4000000000000003E-3</v>
      </c>
      <c r="U9" s="9">
        <f>IF($H9&lt;&gt;"OK","",ROUND($G9*使い方と設定!$B$8*$AK9*$AH9*INDEX(属性耐性マスタ!$B$5:$G$10,$AF9,2),4))</f>
        <v>4.4000000000000003E-3</v>
      </c>
      <c r="V9" s="9">
        <f>IF($H9&lt;&gt;"OK","",ROUND($G9*使い方と設定!$B$8*$AK9*$AH9*INDEX(属性耐性マスタ!$B$5:$G$10,$AF9,3),4))</f>
        <v>6.6000000000000003E-2</v>
      </c>
      <c r="W9" s="9">
        <f>IF($H9&lt;&gt;"OK","",ROUND($G9*使い方と設定!$B$8*$AK9*$AH9*INDEX(属性耐性マスタ!$B$5:$G$10,$AF9,4),4))</f>
        <v>1.6500000000000001E-2</v>
      </c>
      <c r="X9" s="9">
        <f>IF($H9&lt;&gt;"OK","",ROUND($G9*使い方と設定!$B$8*$AK9*$AH9*INDEX(属性耐性マスタ!$B$5:$G$10,$AF9,5),4))</f>
        <v>3.3E-3</v>
      </c>
      <c r="Y9" s="9">
        <f>IF($H9&lt;&gt;"OK","",ROUND($G9*使い方と設定!$B$8*$AK9*$AH9*INDEX(属性耐性マスタ!$B$5:$G$10,$AF9,6),4))</f>
        <v>3.3E-3</v>
      </c>
      <c r="Z9" s="9">
        <f>IF($H9&lt;&gt;"OK","",ROUND($G9*使い方と設定!$B$9*$AK9*$AI9,4))</f>
        <v>0.51329999999999998</v>
      </c>
      <c r="AA9" s="10">
        <v>0.9</v>
      </c>
      <c r="AB9" s="11">
        <f t="shared" si="1"/>
        <v>1.6501999999999999</v>
      </c>
      <c r="AC9" s="11">
        <f t="shared" si="2"/>
        <v>9.7900000000000001E-2</v>
      </c>
      <c r="AD9" s="7" t="str">
        <f>IF($H9&lt;&gt;"OK","",INDEX(個性タイプマスタ!$P$5:$P$54,$AE9))</f>
        <v>標準的な魔法型</v>
      </c>
      <c r="AE9">
        <f>IFERROR(MATCH(E9,個性タイプマスタ!$A$5:$A$54,0),0)</f>
        <v>2</v>
      </c>
      <c r="AF9">
        <f>IFERROR(MATCH(F9,属性耐性マスタ!$A$5:$A$10,0),0)</f>
        <v>3</v>
      </c>
      <c r="AG9">
        <f>IF(AE9=0,1,INDEX(個性タイプマスタ!$AB$5:$AB$54,AE9))</f>
        <v>9.952</v>
      </c>
      <c r="AH9">
        <f>IF(AE9=0,1,INDEX(個性タイプマスタ!$AC$5:$AC$54,AE9))</f>
        <v>1</v>
      </c>
      <c r="AI9">
        <f>IF(AE9=0,0,INDEX(個性タイプマスタ!$AD$5:$AD$54,AE9))</f>
        <v>0.93333333333333335</v>
      </c>
      <c r="AJ9" s="16">
        <v>1</v>
      </c>
      <c r="AK9" s="17">
        <f>IF(OR(AJ9="",AJ9&lt;1),"",POWER(使い方と設定!$E$6,AJ9-1))</f>
        <v>1</v>
      </c>
    </row>
    <row r="10" spans="1:37">
      <c r="A10" t="str">
        <f>+[2]称号!A5</f>
        <v>TITLE_004</v>
      </c>
      <c r="B10" t="str">
        <f>+[2]称号!B5</f>
        <v>紅蓮に吼える突進獣</v>
      </c>
      <c r="C10" t="s">
        <v>93</v>
      </c>
      <c r="D10" t="s">
        <v>94</v>
      </c>
      <c r="E10" s="2" t="str">
        <f>[1]モンスター計算!AM8</f>
        <v>近接・重撃</v>
      </c>
      <c r="F10" s="2" t="str">
        <f>[1]モンスター計算!C8</f>
        <v>火</v>
      </c>
      <c r="G10" s="8">
        <v>1.1499999999999999</v>
      </c>
      <c r="H10" t="str">
        <f t="shared" si="0"/>
        <v>OK</v>
      </c>
      <c r="I10" s="9">
        <f>IF($H10&lt;&gt;"OK","",ROUND($G10*使い方と設定!$B$7*$AK10*INDEX(個性タイプマスタ!$Q$5:$AA$54,$AE10,1)/$AG10,4))</f>
        <v>0.25530000000000003</v>
      </c>
      <c r="J10" s="9">
        <f>IF($H10&lt;&gt;"OK","",ROUND($G10*使い方と設定!$B$7*$AK10*INDEX(個性タイプマスタ!$Q$5:$AA$54,$AE10,2)/$AG10,4))</f>
        <v>7.0400000000000004E-2</v>
      </c>
      <c r="K10" s="9">
        <f>IF($H10&lt;&gt;"OK","",ROUND($G10*使い方と設定!$B$7*$AK10*INDEX(個性タイプマスタ!$Q$5:$AA$54,$AE10,3)/$AG10,4))</f>
        <v>0.45689999999999997</v>
      </c>
      <c r="L10" s="9">
        <f>IF($H10&lt;&gt;"OK","",ROUND($G10*使い方と設定!$B$7*$AK10*INDEX(個性タイプマスタ!$Q$5:$AA$54,$AE10,4)/$AG10,4))</f>
        <v>2.9700000000000001E-2</v>
      </c>
      <c r="M10" s="9">
        <f>IF($H10&lt;&gt;"OK","",ROUND($G10*使い方と設定!$B$7*$AK10*INDEX(個性タイプマスタ!$Q$5:$AA$54,$AE10,5)/$AG10,4))</f>
        <v>0.16309999999999999</v>
      </c>
      <c r="N10" s="9">
        <f>IF($H10&lt;&gt;"OK","",ROUND($G10*使い方と設定!$B$7*$AK10*INDEX(個性タイプマスタ!$Q$5:$AA$54,$AE10,6)/$AG10,4))</f>
        <v>0.13669999999999999</v>
      </c>
      <c r="O10" s="9">
        <f>IF($H10&lt;&gt;"OK","",ROUND($G10*使い方と設定!$B$7*$AK10*INDEX(個性タイプマスタ!$Q$5:$AA$54,$AE10,7)/$AG10,4))</f>
        <v>0.1206</v>
      </c>
      <c r="P10" s="9">
        <f>IF($H10&lt;&gt;"OK","",ROUND($G10*使い方と設定!$B$7*$AK10*INDEX(個性タイプマスタ!$Q$5:$AA$54,$AE10,8)/$AG10,4))</f>
        <v>0.17030000000000001</v>
      </c>
      <c r="Q10" s="9">
        <f>IF($H10&lt;&gt;"OK","",ROUND($G10*使い方と設定!$B$7*$AK10*INDEX(個性タイプマスタ!$Q$5:$AA$54,$AE10,9)/$AG10,4))</f>
        <v>6.6299999999999998E-2</v>
      </c>
      <c r="R10" s="9">
        <f>IF($H10&lt;&gt;"OK","",ROUND($G10*使い方と設定!$B$7*$AK10*INDEX(個性タイプマスタ!$Q$5:$AA$54,$AE10,10)/$AG10,4))</f>
        <v>9.69E-2</v>
      </c>
      <c r="S10" s="9">
        <f>IF($H10&lt;&gt;"OK","",ROUND($G10*使い方と設定!$B$7*$AK10*INDEX(個性タイプマスタ!$Q$5:$AA$54,$AE10,11)/$AG10,4))</f>
        <v>0.15870000000000001</v>
      </c>
      <c r="T10" s="9">
        <f>IF($H10&lt;&gt;"OK","",ROUND($G10*使い方と設定!$B$8*$AK10*$AH10*INDEX(属性耐性マスタ!$B$5:$G$10,$AF10,1),4))</f>
        <v>6.2100000000000002E-2</v>
      </c>
      <c r="U10" s="9">
        <f>IF($H10&lt;&gt;"OK","",ROUND($G10*使い方と設定!$B$8*$AK10*$AH10*INDEX(属性耐性マスタ!$B$5:$G$10,$AF10,2),4))</f>
        <v>1.24E-2</v>
      </c>
      <c r="V10" s="9">
        <f>IF($H10&lt;&gt;"OK","",ROUND($G10*使い方と設定!$B$8*$AK10*$AH10*INDEX(属性耐性マスタ!$B$5:$G$10,$AF10,3),4))</f>
        <v>4.1000000000000003E-3</v>
      </c>
      <c r="W10" s="9">
        <f>IF($H10&lt;&gt;"OK","",ROUND($G10*使い方と設定!$B$8*$AK10*$AH10*INDEX(属性耐性マスタ!$B$5:$G$10,$AF10,4),4))</f>
        <v>4.1000000000000003E-3</v>
      </c>
      <c r="X10" s="9">
        <f>IF($H10&lt;&gt;"OK","",ROUND($G10*使い方と設定!$B$8*$AK10*$AH10*INDEX(属性耐性マスタ!$B$5:$G$10,$AF10,5),4))</f>
        <v>3.0999999999999999E-3</v>
      </c>
      <c r="Y10" s="9">
        <f>IF($H10&lt;&gt;"OK","",ROUND($G10*使い方と設定!$B$8*$AK10*$AH10*INDEX(属性耐性マスタ!$B$5:$G$10,$AF10,6),4))</f>
        <v>3.0999999999999999E-3</v>
      </c>
      <c r="Z10" s="9">
        <f>IF($H10&lt;&gt;"OK","",ROUND($G10*使い方と設定!$B$9*$AK10*$AI10,4))</f>
        <v>0.50309999999999999</v>
      </c>
      <c r="AA10" s="10">
        <v>0.55000000000000004</v>
      </c>
      <c r="AB10" s="11">
        <f t="shared" si="1"/>
        <v>1.7249000000000001</v>
      </c>
      <c r="AC10" s="11">
        <f t="shared" si="2"/>
        <v>8.8900000000000007E-2</v>
      </c>
      <c r="AD10" s="7" t="str">
        <f>IF($H10&lt;&gt;"OK","",INDEX(個性タイプマスタ!$P$5:$P$54,$AE10))</f>
        <v>一撃重視の低速型</v>
      </c>
      <c r="AE10">
        <f>IFERROR(MATCH(E10,個性タイプマスタ!$A$5:$A$54,0),0)</f>
        <v>33</v>
      </c>
      <c r="AF10">
        <f>IFERROR(MATCH(F10,属性耐性マスタ!$A$5:$A$10,0),0)</f>
        <v>1</v>
      </c>
      <c r="AG10">
        <f>IF(AE10=0,1,INDEX(個性タイプマスタ!$AB$5:$AB$54,AE10))</f>
        <v>9.4376666666666669</v>
      </c>
      <c r="AH10">
        <f>IF(AE10=0,1,INDEX(個性タイプマスタ!$AC$5:$AC$54,AE10))</f>
        <v>0.9</v>
      </c>
      <c r="AI10">
        <f>IF(AE10=0,0,INDEX(個性タイプマスタ!$AD$5:$AD$54,AE10))</f>
        <v>0.875</v>
      </c>
      <c r="AJ10" s="16">
        <v>1</v>
      </c>
      <c r="AK10" s="17">
        <f>IF(OR(AJ10="",AJ10&lt;1),"",POWER(使い方と設定!$E$6,AJ10-1))</f>
        <v>1</v>
      </c>
    </row>
    <row r="11" spans="1:37">
      <c r="A11" t="str">
        <f>+[2]称号!A6</f>
        <v>TITLE_005</v>
      </c>
      <c r="B11" t="str">
        <f>+[2]称号!B6</f>
        <v>蒼氷を纏う沈黙の獣</v>
      </c>
      <c r="C11" t="s">
        <v>96</v>
      </c>
      <c r="D11" t="s">
        <v>97</v>
      </c>
      <c r="E11" s="2" t="str">
        <f>[1]モンスター計算!AM9</f>
        <v>近接・長柄</v>
      </c>
      <c r="F11" s="2" t="str">
        <f>[1]モンスター計算!C9</f>
        <v>水</v>
      </c>
      <c r="G11" s="8">
        <v>1.2</v>
      </c>
      <c r="H11" t="str">
        <f t="shared" si="0"/>
        <v>OK</v>
      </c>
      <c r="I11" s="9">
        <f>IF($H11&lt;&gt;"OK","",ROUND($G11*使い方と設定!$B$7*$AK11*INDEX(個性タイプマスタ!$Q$5:$AA$54,$AE11,1)/$AG11,4))</f>
        <v>0.1835</v>
      </c>
      <c r="J11" s="9">
        <f>IF($H11&lt;&gt;"OK","",ROUND($G11*使い方と設定!$B$7*$AK11*INDEX(個性タイプマスタ!$Q$5:$AA$54,$AE11,2)/$AG11,4))</f>
        <v>8.9700000000000002E-2</v>
      </c>
      <c r="K11" s="9">
        <f>IF($H11&lt;&gt;"OK","",ROUND($G11*使い方と設定!$B$7*$AK11*INDEX(個性タイプマスタ!$Q$5:$AA$54,$AE11,3)/$AG11,4))</f>
        <v>0.45329999999999998</v>
      </c>
      <c r="L11" s="9">
        <f>IF($H11&lt;&gt;"OK","",ROUND($G11*使い方と設定!$B$7*$AK11*INDEX(個性タイプマスタ!$Q$5:$AA$54,$AE11,4)/$AG11,4))</f>
        <v>3.6299999999999999E-2</v>
      </c>
      <c r="M11" s="9">
        <f>IF($H11&lt;&gt;"OK","",ROUND($G11*使い方と設定!$B$7*$AK11*INDEX(個性タイプマスタ!$Q$5:$AA$54,$AE11,5)/$AG11,4))</f>
        <v>0.14180000000000001</v>
      </c>
      <c r="N11" s="9">
        <f>IF($H11&lt;&gt;"OK","",ROUND($G11*使い方と設定!$B$7*$AK11*INDEX(個性タイプマスタ!$Q$5:$AA$54,$AE11,6)/$AG11,4))</f>
        <v>0.13100000000000001</v>
      </c>
      <c r="O11" s="9">
        <f>IF($H11&lt;&gt;"OK","",ROUND($G11*使い方と設定!$B$7*$AK11*INDEX(個性タイプマスタ!$Q$5:$AA$54,$AE11,7)/$AG11,4))</f>
        <v>0.1396</v>
      </c>
      <c r="P11" s="9">
        <f>IF($H11&lt;&gt;"OK","",ROUND($G11*使い方と設定!$B$7*$AK11*INDEX(個性タイプマスタ!$Q$5:$AA$54,$AE11,8)/$AG11,4))</f>
        <v>0.12570000000000001</v>
      </c>
      <c r="Q11" s="9">
        <f>IF($H11&lt;&gt;"OK","",ROUND($G11*使い方と設定!$B$7*$AK11*INDEX(個性タイプマスタ!$Q$5:$AA$54,$AE11,9)/$AG11,4))</f>
        <v>9.7699999999999995E-2</v>
      </c>
      <c r="R11" s="9">
        <f>IF($H11&lt;&gt;"OK","",ROUND($G11*使い方と設定!$B$7*$AK11*INDEX(個性タイプマスタ!$Q$5:$AA$54,$AE11,10)/$AG11,4))</f>
        <v>0.1704</v>
      </c>
      <c r="S11" s="9">
        <f>IF($H11&lt;&gt;"OK","",ROUND($G11*使い方と設定!$B$7*$AK11*INDEX(個性タイプマスタ!$Q$5:$AA$54,$AE11,11)/$AG11,4))</f>
        <v>0.23100000000000001</v>
      </c>
      <c r="T11" s="9">
        <f>IF($H11&lt;&gt;"OK","",ROUND($G11*使い方と設定!$B$8*$AK11*$AH11*INDEX(属性耐性マスタ!$B$5:$G$10,$AF11,1),4))</f>
        <v>1.24E-2</v>
      </c>
      <c r="U11" s="9">
        <f>IF($H11&lt;&gt;"OK","",ROUND($G11*使い方と設定!$B$8*$AK11*$AH11*INDEX(属性耐性マスタ!$B$5:$G$10,$AF11,2),4))</f>
        <v>6.1899999999999997E-2</v>
      </c>
      <c r="V11" s="9">
        <f>IF($H11&lt;&gt;"OK","",ROUND($G11*使い方と設定!$B$8*$AK11*$AH11*INDEX(属性耐性マスタ!$B$5:$G$10,$AF11,3),4))</f>
        <v>4.1000000000000003E-3</v>
      </c>
      <c r="W11" s="9">
        <f>IF($H11&lt;&gt;"OK","",ROUND($G11*使い方と設定!$B$8*$AK11*$AH11*INDEX(属性耐性マスタ!$B$5:$G$10,$AF11,4),4))</f>
        <v>4.1000000000000003E-3</v>
      </c>
      <c r="X11" s="9">
        <f>IF($H11&lt;&gt;"OK","",ROUND($G11*使い方と設定!$B$8*$AK11*$AH11*INDEX(属性耐性マスタ!$B$5:$G$10,$AF11,5),4))</f>
        <v>3.0999999999999999E-3</v>
      </c>
      <c r="Y11" s="9">
        <f>IF($H11&lt;&gt;"OK","",ROUND($G11*使い方と設定!$B$8*$AK11*$AH11*INDEX(属性耐性マスタ!$B$5:$G$10,$AF11,6),4))</f>
        <v>3.0999999999999999E-3</v>
      </c>
      <c r="Z11" s="9">
        <f>IF($H11&lt;&gt;"OK","",ROUND($G11*使い方と設定!$B$9*$AK11*$AI11,4))</f>
        <v>0.60499999999999998</v>
      </c>
      <c r="AA11" s="10">
        <v>0.5</v>
      </c>
      <c r="AB11" s="11">
        <f t="shared" si="1"/>
        <v>1.8</v>
      </c>
      <c r="AC11" s="11">
        <f t="shared" si="2"/>
        <v>8.8700000000000001E-2</v>
      </c>
      <c r="AD11" s="7" t="str">
        <f>IF($H11&lt;&gt;"OK","",INDEX(個性タイプマスタ!$P$5:$P$54,$AE11))</f>
        <v>攻撃範囲の広い近接</v>
      </c>
      <c r="AE11">
        <f>IFERROR(MATCH(E11,個性タイプマスタ!$A$5:$A$54,0),0)</f>
        <v>40</v>
      </c>
      <c r="AF11">
        <f>IFERROR(MATCH(F11,属性耐性マスタ!$A$5:$A$10,0),0)</f>
        <v>2</v>
      </c>
      <c r="AG11">
        <f>IF(AE11=0,1,INDEX(個性タイプマスタ!$AB$5:$AB$54,AE11))</f>
        <v>9.9278333333333357</v>
      </c>
      <c r="AH11">
        <f>IF(AE11=0,1,INDEX(個性タイプマスタ!$AC$5:$AC$54,AE11))</f>
        <v>0.86</v>
      </c>
      <c r="AI11">
        <f>IF(AE11=0,0,INDEX(個性タイプマスタ!$AD$5:$AD$54,AE11))</f>
        <v>1.0083333333333333</v>
      </c>
      <c r="AJ11" s="16">
        <v>1</v>
      </c>
      <c r="AK11" s="17">
        <f>IF(OR(AJ11="",AJ11&lt;1),"",POWER(使い方と設定!$E$6,AJ11-1))</f>
        <v>1</v>
      </c>
    </row>
    <row r="12" spans="1:37">
      <c r="A12" t="str">
        <f>+[2]称号!A7</f>
        <v>TITLE_006</v>
      </c>
      <c r="B12" t="str">
        <f>+[2]称号!B7</f>
        <v>重なりし彩層の主</v>
      </c>
      <c r="C12" t="s">
        <v>99</v>
      </c>
      <c r="D12" t="s">
        <v>100</v>
      </c>
      <c r="E12" s="2" t="str">
        <f>[1]モンスター計算!AM10</f>
        <v>魔法・重装砲</v>
      </c>
      <c r="F12" s="2" t="str">
        <f>[1]モンスター計算!C10</f>
        <v>光</v>
      </c>
      <c r="G12" s="8">
        <v>1.25</v>
      </c>
      <c r="H12" t="str">
        <f t="shared" si="0"/>
        <v>OK</v>
      </c>
      <c r="I12" s="9">
        <f>IF($H12&lt;&gt;"OK","",ROUND($G12*使い方と設定!$B$7*$AK12*INDEX(個性タイプマスタ!$Q$5:$AA$54,$AE12,1)/$AG12,4))</f>
        <v>0.30740000000000001</v>
      </c>
      <c r="J12" s="9">
        <f>IF($H12&lt;&gt;"OK","",ROUND($G12*使い方と設定!$B$7*$AK12*INDEX(個性タイプマスタ!$Q$5:$AA$54,$AE12,2)/$AG12,4))</f>
        <v>0.24129999999999999</v>
      </c>
      <c r="K12" s="9">
        <f>IF($H12&lt;&gt;"OK","",ROUND($G12*使い方と設定!$B$7*$AK12*INDEX(個性タイプマスタ!$Q$5:$AA$54,$AE12,3)/$AG12,4))</f>
        <v>2.64E-2</v>
      </c>
      <c r="L12" s="9">
        <f>IF($H12&lt;&gt;"OK","",ROUND($G12*使い方と設定!$B$7*$AK12*INDEX(個性タイプマスタ!$Q$5:$AA$54,$AE12,4)/$AG12,4))</f>
        <v>0.40620000000000001</v>
      </c>
      <c r="M12" s="9">
        <f>IF($H12&lt;&gt;"OK","",ROUND($G12*使い方と設定!$B$7*$AK12*INDEX(個性タイプマスタ!$Q$5:$AA$54,$AE12,5)/$AG12,4))</f>
        <v>0.22650000000000001</v>
      </c>
      <c r="N12" s="9">
        <f>IF($H12&lt;&gt;"OK","",ROUND($G12*使い方と設定!$B$7*$AK12*INDEX(個性タイプマスタ!$Q$5:$AA$54,$AE12,6)/$AG12,4))</f>
        <v>0.21410000000000001</v>
      </c>
      <c r="O12" s="9">
        <f>IF($H12&lt;&gt;"OK","",ROUND($G12*使い方と設定!$B$7*$AK12*INDEX(個性タイプマスタ!$Q$5:$AA$54,$AE12,7)/$AG12,4))</f>
        <v>6.2600000000000003E-2</v>
      </c>
      <c r="P12" s="9">
        <f>IF($H12&lt;&gt;"OK","",ROUND($G12*使い方と設定!$B$7*$AK12*INDEX(個性タイプマスタ!$Q$5:$AA$54,$AE12,8)/$AG12,4))</f>
        <v>9.8599999999999993E-2</v>
      </c>
      <c r="Q12" s="9">
        <f>IF($H12&lt;&gt;"OK","",ROUND($G12*使い方と設定!$B$7*$AK12*INDEX(個性タイプマスタ!$Q$5:$AA$54,$AE12,9)/$AG12,4))</f>
        <v>5.3600000000000002E-2</v>
      </c>
      <c r="R12" s="9">
        <f>IF($H12&lt;&gt;"OK","",ROUND($G12*使い方と設定!$B$7*$AK12*INDEX(個性タイプマスタ!$Q$5:$AA$54,$AE12,10)/$AG12,4))</f>
        <v>9.7500000000000003E-2</v>
      </c>
      <c r="S12" s="9">
        <f>IF($H12&lt;&gt;"OK","",ROUND($G12*使い方と設定!$B$7*$AK12*INDEX(個性タイプマスタ!$Q$5:$AA$54,$AE12,11)/$AG12,4))</f>
        <v>0.14099999999999999</v>
      </c>
      <c r="T12" s="9">
        <f>IF($H12&lt;&gt;"OK","",ROUND($G12*使い方と設定!$B$8*$AK12*$AH12*INDEX(属性耐性マスタ!$B$5:$G$10,$AF12,1),4))</f>
        <v>5.5999999999999999E-3</v>
      </c>
      <c r="U12" s="9">
        <f>IF($H12&lt;&gt;"OK","",ROUND($G12*使い方と設定!$B$8*$AK12*$AH12*INDEX(属性耐性マスタ!$B$5:$G$10,$AF12,2),4))</f>
        <v>5.5999999999999999E-3</v>
      </c>
      <c r="V12" s="9">
        <f>IF($H12&lt;&gt;"OK","",ROUND($G12*使い方と設定!$B$8*$AK12*$AH12*INDEX(属性耐性マスタ!$B$5:$G$10,$AF12,3),4))</f>
        <v>5.5999999999999999E-3</v>
      </c>
      <c r="W12" s="9">
        <f>IF($H12&lt;&gt;"OK","",ROUND($G12*使い方と設定!$B$8*$AK12*$AH12*INDEX(属性耐性マスタ!$B$5:$G$10,$AF12,4),4))</f>
        <v>5.5999999999999999E-3</v>
      </c>
      <c r="X12" s="9">
        <f>IF($H12&lt;&gt;"OK","",ROUND($G12*使い方と設定!$B$8*$AK12*$AH12*INDEX(属性耐性マスタ!$B$5:$G$10,$AF12,5),4))</f>
        <v>0.111</v>
      </c>
      <c r="Y12" s="9">
        <f>IF($H12&lt;&gt;"OK","",ROUND($G12*使い方と設定!$B$8*$AK12*$AH12*INDEX(属性耐性マスタ!$B$5:$G$10,$AF12,6),4))</f>
        <v>1.4800000000000001E-2</v>
      </c>
      <c r="Z12" s="9">
        <f>IF($H12&lt;&gt;"OK","",ROUND($G12*使い方と設定!$B$9*$AK12*$AI12,4))</f>
        <v>0.53129999999999999</v>
      </c>
      <c r="AA12" s="10">
        <v>0.25</v>
      </c>
      <c r="AB12" s="11">
        <f t="shared" si="1"/>
        <v>1.8752</v>
      </c>
      <c r="AC12" s="11">
        <f t="shared" si="2"/>
        <v>0.1482</v>
      </c>
      <c r="AD12" s="7" t="str">
        <f>IF($H12&lt;&gt;"OK","",INDEX(個性タイプマスタ!$P$5:$P$54,$AE12))</f>
        <v>高耐久・射撃間隔は長い</v>
      </c>
      <c r="AE12">
        <f>IFERROR(MATCH(E12,個性タイプマスタ!$A$5:$A$54,0),0)</f>
        <v>19</v>
      </c>
      <c r="AF12">
        <f>IFERROR(MATCH(F12,属性耐性マスタ!$A$5:$A$10,0),0)</f>
        <v>5</v>
      </c>
      <c r="AG12">
        <f>IF(AE12=0,1,INDEX(個性タイプマスタ!$AB$5:$AB$54,AE12))</f>
        <v>11.540666666666668</v>
      </c>
      <c r="AH12">
        <f>IF(AE12=0,1,INDEX(個性タイプマスタ!$AC$5:$AC$54,AE12))</f>
        <v>1.48</v>
      </c>
      <c r="AI12">
        <f>IF(AE12=0,0,INDEX(個性タイプマスタ!$AD$5:$AD$54,AE12))</f>
        <v>0.85</v>
      </c>
      <c r="AJ12" s="16">
        <v>1</v>
      </c>
      <c r="AK12" s="17">
        <f>IF(OR(AJ12="",AJ12&lt;1),"",POWER(使い方と設定!$E$6,AJ12-1))</f>
        <v>1</v>
      </c>
    </row>
    <row r="13" spans="1:37">
      <c r="A13" t="str">
        <f>+[2]称号!A8</f>
        <v>TITLE_007</v>
      </c>
      <c r="B13" t="str">
        <f>+[2]称号!B8</f>
        <v>緑影の小狩人</v>
      </c>
      <c r="C13" t="s">
        <v>103</v>
      </c>
      <c r="D13" t="s">
        <v>104</v>
      </c>
      <c r="E13" s="2" t="str">
        <f>[1]モンスター計算!AM11</f>
        <v>魔法・魔防障壁</v>
      </c>
      <c r="F13" s="2" t="str">
        <f>[1]モンスター計算!C11</f>
        <v>風</v>
      </c>
      <c r="G13" s="8">
        <v>1</v>
      </c>
      <c r="H13" t="str">
        <f t="shared" si="0"/>
        <v>OK</v>
      </c>
      <c r="I13" s="9">
        <f>IF($H13&lt;&gt;"OK","",ROUND($G13*使い方と設定!$B$7*$AK13*INDEX(個性タイプマスタ!$Q$5:$AA$54,$AE13,1)/$AG13,4))</f>
        <v>0.1613</v>
      </c>
      <c r="J13" s="9">
        <f>IF($H13&lt;&gt;"OK","",ROUND($G13*使い方と設定!$B$7*$AK13*INDEX(個性タイプマスタ!$Q$5:$AA$54,$AE13,2)/$AG13,4))</f>
        <v>0.26640000000000003</v>
      </c>
      <c r="K13" s="9">
        <f>IF($H13&lt;&gt;"OK","",ROUND($G13*使い方と設定!$B$7*$AK13*INDEX(個性タイプマスタ!$Q$5:$AA$54,$AE13,3)/$AG13,4))</f>
        <v>2.2499999999999999E-2</v>
      </c>
      <c r="L13" s="9">
        <f>IF($H13&lt;&gt;"OK","",ROUND($G13*使い方と設定!$B$7*$AK13*INDEX(個性タイプマスタ!$Q$5:$AA$54,$AE13,4)/$AG13,4))</f>
        <v>0.34589999999999999</v>
      </c>
      <c r="M13" s="9">
        <f>IF($H13&lt;&gt;"OK","",ROUND($G13*使い方と設定!$B$7*$AK13*INDEX(個性タイプマスタ!$Q$5:$AA$54,$AE13,5)/$AG13,4))</f>
        <v>9.06E-2</v>
      </c>
      <c r="N13" s="9">
        <f>IF($H13&lt;&gt;"OK","",ROUND($G13*使い方と設定!$B$7*$AK13*INDEX(個性タイプマスタ!$Q$5:$AA$54,$AE13,6)/$AG13,4))</f>
        <v>0.24110000000000001</v>
      </c>
      <c r="O13" s="9">
        <f>IF($H13&lt;&gt;"OK","",ROUND($G13*使い方と設定!$B$7*$AK13*INDEX(個性タイプマスタ!$Q$5:$AA$54,$AE13,7)/$AG13,4))</f>
        <v>6.8500000000000005E-2</v>
      </c>
      <c r="P13" s="9">
        <f>IF($H13&lt;&gt;"OK","",ROUND($G13*使い方と設定!$B$7*$AK13*INDEX(個性タイプマスタ!$Q$5:$AA$54,$AE13,8)/$AG13,4))</f>
        <v>8.6900000000000005E-2</v>
      </c>
      <c r="Q13" s="9">
        <f>IF($H13&lt;&gt;"OK","",ROUND($G13*使い方と設定!$B$7*$AK13*INDEX(個性タイプマスタ!$Q$5:$AA$54,$AE13,9)/$AG13,4))</f>
        <v>5.7799999999999997E-2</v>
      </c>
      <c r="R13" s="9">
        <f>IF($H13&lt;&gt;"OK","",ROUND($G13*使い方と設定!$B$7*$AK13*INDEX(個性タイプマスタ!$Q$5:$AA$54,$AE13,10)/$AG13,4))</f>
        <v>0.1162</v>
      </c>
      <c r="S13" s="9">
        <f>IF($H13&lt;&gt;"OK","",ROUND($G13*使い方と設定!$B$7*$AK13*INDEX(個性タイプマスタ!$Q$5:$AA$54,$AE13,11)/$AG13,4))</f>
        <v>0.1027</v>
      </c>
      <c r="T13" s="9">
        <f>IF($H13&lt;&gt;"OK","",ROUND($G13*使い方と設定!$B$8*$AK13*$AH13*INDEX(属性耐性マスタ!$B$5:$G$10,$AF13,1),4))</f>
        <v>5.7000000000000002E-3</v>
      </c>
      <c r="U13" s="9">
        <f>IF($H13&lt;&gt;"OK","",ROUND($G13*使い方と設定!$B$8*$AK13*$AH13*INDEX(属性耐性マスタ!$B$5:$G$10,$AF13,2),4))</f>
        <v>5.7000000000000002E-3</v>
      </c>
      <c r="V13" s="9">
        <f>IF($H13&lt;&gt;"OK","",ROUND($G13*使い方と設定!$B$8*$AK13*$AH13*INDEX(属性耐性マスタ!$B$5:$G$10,$AF13,3),4))</f>
        <v>8.4900000000000003E-2</v>
      </c>
      <c r="W13" s="9">
        <f>IF($H13&lt;&gt;"OK","",ROUND($G13*使い方と設定!$B$8*$AK13*$AH13*INDEX(属性耐性マスタ!$B$5:$G$10,$AF13,4),4))</f>
        <v>2.12E-2</v>
      </c>
      <c r="X13" s="9">
        <f>IF($H13&lt;&gt;"OK","",ROUND($G13*使い方と設定!$B$8*$AK13*$AH13*INDEX(属性耐性マスタ!$B$5:$G$10,$AF13,5),4))</f>
        <v>4.1999999999999997E-3</v>
      </c>
      <c r="Y13" s="9">
        <f>IF($H13&lt;&gt;"OK","",ROUND($G13*使い方と設定!$B$8*$AK13*$AH13*INDEX(属性耐性マスタ!$B$5:$G$10,$AF13,6),4))</f>
        <v>4.1999999999999997E-3</v>
      </c>
      <c r="Z13" s="9">
        <f>IF($H13&lt;&gt;"OK","",ROUND($G13*使い方と設定!$B$9*$AK13*$AI13,4))</f>
        <v>0.47670000000000001</v>
      </c>
      <c r="AA13" s="10">
        <v>1</v>
      </c>
      <c r="AB13" s="11">
        <f t="shared" si="1"/>
        <v>1.5599000000000001</v>
      </c>
      <c r="AC13" s="11">
        <f t="shared" si="2"/>
        <v>0.12590000000000001</v>
      </c>
      <c r="AD13" s="7" t="str">
        <f>IF($H13&lt;&gt;"OK","",INDEX(個性タイプマスタ!$P$5:$P$54,$AE13))</f>
        <v>魔法防御に偏重した耐久型</v>
      </c>
      <c r="AE13">
        <f>IFERROR(MATCH(E13,個性タイプマスタ!$A$5:$A$54,0),0)</f>
        <v>24</v>
      </c>
      <c r="AF13">
        <f>IFERROR(MATCH(F13,属性耐性マスタ!$A$5:$A$10,0),0)</f>
        <v>3</v>
      </c>
      <c r="AG13">
        <f>IF(AE13=0,1,INDEX(個性タイプマスタ!$AB$5:$AB$54,AE13))</f>
        <v>11.273833333333332</v>
      </c>
      <c r="AH13">
        <f>IF(AE13=0,1,INDEX(個性タイプマスタ!$AC$5:$AC$54,AE13))</f>
        <v>1.3599999999999999</v>
      </c>
      <c r="AI13">
        <f>IF(AE13=0,0,INDEX(個性タイプマスタ!$AD$5:$AD$54,AE13))</f>
        <v>0.91666666666666663</v>
      </c>
      <c r="AJ13" s="16">
        <v>2</v>
      </c>
      <c r="AK13" s="17">
        <f>IF(OR(AJ13="",AJ13&lt;1),"",POWER(使い方と設定!$E$6,AJ13-1))</f>
        <v>1.04</v>
      </c>
    </row>
    <row r="14" spans="1:37">
      <c r="A14" t="str">
        <f>+[2]称号!A9</f>
        <v>TITLE_008</v>
      </c>
      <c r="B14" t="str">
        <f>+[2]称号!B9</f>
        <v>鉄刃の蛮戦士</v>
      </c>
      <c r="C14" t="s">
        <v>106</v>
      </c>
      <c r="D14" t="s">
        <v>107</v>
      </c>
      <c r="E14" s="2" t="str">
        <f>[1]モンスター計算!AM12</f>
        <v>魔法・薄命結界</v>
      </c>
      <c r="F14" s="2" t="str">
        <f>[1]モンスター計算!C12</f>
        <v>火</v>
      </c>
      <c r="G14" s="8">
        <v>1.05</v>
      </c>
      <c r="H14" t="str">
        <f t="shared" si="0"/>
        <v>OK</v>
      </c>
      <c r="I14" s="9">
        <f>IF($H14&lt;&gt;"OK","",ROUND($G14*使い方と設定!$B$7*$AK14*INDEX(個性タイプマスタ!$Q$5:$AA$54,$AE14,1)/$AG14,4))</f>
        <v>8.7099999999999997E-2</v>
      </c>
      <c r="J14" s="9">
        <f>IF($H14&lt;&gt;"OK","",ROUND($G14*使い方と設定!$B$7*$AK14*INDEX(個性タイプマスタ!$Q$5:$AA$54,$AE14,2)/$AG14,4))</f>
        <v>0.2374</v>
      </c>
      <c r="K14" s="9">
        <f>IF($H14&lt;&gt;"OK","",ROUND($G14*使い方と設定!$B$7*$AK14*INDEX(個性タイプマスタ!$Q$5:$AA$54,$AE14,3)/$AG14,4))</f>
        <v>2.8799999999999999E-2</v>
      </c>
      <c r="L14" s="9">
        <f>IF($H14&lt;&gt;"OK","",ROUND($G14*使い方と設定!$B$7*$AK14*INDEX(個性タイプマスタ!$Q$5:$AA$54,$AE14,4)/$AG14,4))</f>
        <v>0.35970000000000002</v>
      </c>
      <c r="M14" s="9">
        <f>IF($H14&lt;&gt;"OK","",ROUND($G14*使い方と設定!$B$7*$AK14*INDEX(個性タイプマスタ!$Q$5:$AA$54,$AE14,5)/$AG14,4))</f>
        <v>0.17730000000000001</v>
      </c>
      <c r="N14" s="9">
        <f>IF($H14&lt;&gt;"OK","",ROUND($G14*使い方と設定!$B$7*$AK14*INDEX(個性タイプマスタ!$Q$5:$AA$54,$AE14,6)/$AG14,4))</f>
        <v>0.2752</v>
      </c>
      <c r="O14" s="9">
        <f>IF($H14&lt;&gt;"OK","",ROUND($G14*使い方と設定!$B$7*$AK14*INDEX(個性タイプマスタ!$Q$5:$AA$54,$AE14,7)/$AG14,4))</f>
        <v>6.3299999999999995E-2</v>
      </c>
      <c r="P14" s="9">
        <f>IF($H14&lt;&gt;"OK","",ROUND($G14*使い方と設定!$B$7*$AK14*INDEX(個性タイプマスタ!$Q$5:$AA$54,$AE14,8)/$AG14,4))</f>
        <v>8.5999999999999993E-2</v>
      </c>
      <c r="Q14" s="9">
        <f>IF($H14&lt;&gt;"OK","",ROUND($G14*使い方と設定!$B$7*$AK14*INDEX(個性タイプマスタ!$Q$5:$AA$54,$AE14,9)/$AG14,4))</f>
        <v>6.9599999999999995E-2</v>
      </c>
      <c r="R14" s="9">
        <f>IF($H14&lt;&gt;"OK","",ROUND($G14*使い方と設定!$B$7*$AK14*INDEX(個性タイプマスタ!$Q$5:$AA$54,$AE14,10)/$AG14,4))</f>
        <v>0.12659999999999999</v>
      </c>
      <c r="S14" s="9">
        <f>IF($H14&lt;&gt;"OK","",ROUND($G14*使い方と設定!$B$7*$AK14*INDEX(個性タイプマスタ!$Q$5:$AA$54,$AE14,11)/$AG14,4))</f>
        <v>0.12690000000000001</v>
      </c>
      <c r="T14" s="9">
        <f>IF($H14&lt;&gt;"OK","",ROUND($G14*使い方と設定!$B$8*$AK14*$AH14*INDEX(属性耐性マスタ!$B$5:$G$10,$AF14,1),4))</f>
        <v>9.8299999999999998E-2</v>
      </c>
      <c r="U14" s="9">
        <f>IF($H14&lt;&gt;"OK","",ROUND($G14*使い方と設定!$B$8*$AK14*$AH14*INDEX(属性耐性マスタ!$B$5:$G$10,$AF14,2),4))</f>
        <v>1.9699999999999999E-2</v>
      </c>
      <c r="V14" s="9">
        <f>IF($H14&lt;&gt;"OK","",ROUND($G14*使い方と設定!$B$8*$AK14*$AH14*INDEX(属性耐性マスタ!$B$5:$G$10,$AF14,3),4))</f>
        <v>6.6E-3</v>
      </c>
      <c r="W14" s="9">
        <f>IF($H14&lt;&gt;"OK","",ROUND($G14*使い方と設定!$B$8*$AK14*$AH14*INDEX(属性耐性マスタ!$B$5:$G$10,$AF14,4),4))</f>
        <v>6.6E-3</v>
      </c>
      <c r="X14" s="9">
        <f>IF($H14&lt;&gt;"OK","",ROUND($G14*使い方と設定!$B$8*$AK14*$AH14*INDEX(属性耐性マスタ!$B$5:$G$10,$AF14,5),4))</f>
        <v>4.8999999999999998E-3</v>
      </c>
      <c r="Y14" s="9">
        <f>IF($H14&lt;&gt;"OK","",ROUND($G14*使い方と設定!$B$8*$AK14*$AH14*INDEX(属性耐性マスタ!$B$5:$G$10,$AF14,6),4))</f>
        <v>4.8999999999999998E-3</v>
      </c>
      <c r="Z14" s="9">
        <f>IF($H14&lt;&gt;"OK","",ROUND($G14*使い方と設定!$B$9*$AK14*$AI14,4))</f>
        <v>0.52780000000000005</v>
      </c>
      <c r="AA14" s="10">
        <v>1</v>
      </c>
      <c r="AB14" s="11">
        <f t="shared" si="1"/>
        <v>1.6378999999999999</v>
      </c>
      <c r="AC14" s="11">
        <f t="shared" si="2"/>
        <v>0.14099999999999999</v>
      </c>
      <c r="AD14" s="7" t="str">
        <f>IF($H14&lt;&gt;"OK","",INDEX(個性タイプマスタ!$P$5:$P$54,$AE14))</f>
        <v>低HPだが防御・耐性が高い極端な守護型</v>
      </c>
      <c r="AE14">
        <f>IFERROR(MATCH(E14,個性タイプマスタ!$A$5:$A$54,0),0)</f>
        <v>31</v>
      </c>
      <c r="AF14">
        <f>IFERROR(MATCH(F14,属性耐性マスタ!$A$5:$A$10,0),0)</f>
        <v>1</v>
      </c>
      <c r="AG14">
        <f>IF(AE14=0,1,INDEX(個性タイプマスタ!$AB$5:$AB$54,AE14))</f>
        <v>11.384</v>
      </c>
      <c r="AH14">
        <f>IF(AE14=0,1,INDEX(個性タイプマスタ!$AC$5:$AC$54,AE14))</f>
        <v>1.5</v>
      </c>
      <c r="AI14">
        <f>IF(AE14=0,0,INDEX(個性タイプマスタ!$AD$5:$AD$54,AE14))</f>
        <v>0.96666666666666667</v>
      </c>
      <c r="AJ14" s="16">
        <v>2</v>
      </c>
      <c r="AK14" s="17">
        <f>IF(OR(AJ14="",AJ14&lt;1),"",POWER(使い方と設定!$E$6,AJ14-1))</f>
        <v>1.04</v>
      </c>
    </row>
    <row r="15" spans="1:37">
      <c r="A15" t="str">
        <f>+[2]称号!A10</f>
        <v>TITLE_009</v>
      </c>
      <c r="B15" t="str">
        <f>+[2]称号!B10</f>
        <v>呪紋の邪術士</v>
      </c>
      <c r="C15" t="s">
        <v>109</v>
      </c>
      <c r="D15" t="s">
        <v>110</v>
      </c>
      <c r="E15" s="2" t="str">
        <f>[1]モンスター計算!AM13</f>
        <v>魔法・支援</v>
      </c>
      <c r="F15" s="2" t="str">
        <f>[1]モンスター計算!C13</f>
        <v>雷</v>
      </c>
      <c r="G15" s="8">
        <v>1.1000000000000001</v>
      </c>
      <c r="H15" t="str">
        <f t="shared" si="0"/>
        <v>OK</v>
      </c>
      <c r="I15" s="9">
        <f>IF($H15&lt;&gt;"OK","",ROUND($G15*使い方と設定!$B$7*$AK15*INDEX(個性タイプマスタ!$Q$5:$AA$54,$AE15,1)/$AG15,4))</f>
        <v>0.17480000000000001</v>
      </c>
      <c r="J15" s="9">
        <f>IF($H15&lt;&gt;"OK","",ROUND($G15*使い方と設定!$B$7*$AK15*INDEX(個性タイプマスタ!$Q$5:$AA$54,$AE15,2)/$AG15,4))</f>
        <v>0.2535</v>
      </c>
      <c r="K15" s="9">
        <f>IF($H15&lt;&gt;"OK","",ROUND($G15*使い方と設定!$B$7*$AK15*INDEX(個性タイプマスタ!$Q$5:$AA$54,$AE15,3)/$AG15,4))</f>
        <v>3.9699999999999999E-2</v>
      </c>
      <c r="L15" s="9">
        <f>IF($H15&lt;&gt;"OK","",ROUND($G15*使い方と設定!$B$7*$AK15*INDEX(個性タイプマスタ!$Q$5:$AA$54,$AE15,4)/$AG15,4))</f>
        <v>0.39729999999999999</v>
      </c>
      <c r="M15" s="9">
        <f>IF($H15&lt;&gt;"OK","",ROUND($G15*使い方と設定!$B$7*$AK15*INDEX(個性タイプマスタ!$Q$5:$AA$54,$AE15,5)/$AG15,4))</f>
        <v>0.1351</v>
      </c>
      <c r="N15" s="9">
        <f>IF($H15&lt;&gt;"OK","",ROUND($G15*使い方と設定!$B$7*$AK15*INDEX(個性タイプマスタ!$Q$5:$AA$54,$AE15,6)/$AG15,4))</f>
        <v>0.16209999999999999</v>
      </c>
      <c r="O15" s="9">
        <f>IF($H15&lt;&gt;"OK","",ROUND($G15*使い方と設定!$B$7*$AK15*INDEX(個性タイプマスタ!$Q$5:$AA$54,$AE15,7)/$AG15,4))</f>
        <v>0.10489999999999999</v>
      </c>
      <c r="P15" s="9">
        <f>IF($H15&lt;&gt;"OK","",ROUND($G15*使い方と設定!$B$7*$AK15*INDEX(個性タイプマスタ!$Q$5:$AA$54,$AE15,8)/$AG15,4))</f>
        <v>9.64E-2</v>
      </c>
      <c r="Q15" s="9">
        <f>IF($H15&lt;&gt;"OK","",ROUND($G15*使い方と設定!$B$7*$AK15*INDEX(個性タイプマスタ!$Q$5:$AA$54,$AE15,9)/$AG15,4))</f>
        <v>7.3400000000000007E-2</v>
      </c>
      <c r="R15" s="9">
        <f>IF($H15&lt;&gt;"OK","",ROUND($G15*使い方と設定!$B$7*$AK15*INDEX(個性タイプマスタ!$Q$5:$AA$54,$AE15,10)/$AG15,4))</f>
        <v>0.151</v>
      </c>
      <c r="S15" s="9">
        <f>IF($H15&lt;&gt;"OK","",ROUND($G15*使い方と設定!$B$7*$AK15*INDEX(個性タイプマスタ!$Q$5:$AA$54,$AE15,11)/$AG15,4))</f>
        <v>0.12790000000000001</v>
      </c>
      <c r="T15" s="9">
        <f>IF($H15&lt;&gt;"OK","",ROUND($G15*使い方と設定!$B$8*$AK15*$AH15*INDEX(属性耐性マスタ!$B$5:$G$10,$AF15,1),4))</f>
        <v>5.1000000000000004E-3</v>
      </c>
      <c r="U15" s="9">
        <f>IF($H15&lt;&gt;"OK","",ROUND($G15*使い方と設定!$B$8*$AK15*$AH15*INDEX(属性耐性マスタ!$B$5:$G$10,$AF15,2),4))</f>
        <v>5.1000000000000004E-3</v>
      </c>
      <c r="V15" s="9">
        <f>IF($H15&lt;&gt;"OK","",ROUND($G15*使い方と設定!$B$8*$AK15*$AH15*INDEX(属性耐性マスタ!$B$5:$G$10,$AF15,3),4))</f>
        <v>1.9199999999999998E-2</v>
      </c>
      <c r="W15" s="9">
        <f>IF($H15&lt;&gt;"OK","",ROUND($G15*使い方と設定!$B$8*$AK15*$AH15*INDEX(属性耐性マスタ!$B$5:$G$10,$AF15,4),4))</f>
        <v>7.6899999999999996E-2</v>
      </c>
      <c r="X15" s="9">
        <f>IF($H15&lt;&gt;"OK","",ROUND($G15*使い方と設定!$B$8*$AK15*$AH15*INDEX(属性耐性マスタ!$B$5:$G$10,$AF15,5),4))</f>
        <v>3.8E-3</v>
      </c>
      <c r="Y15" s="9">
        <f>IF($H15&lt;&gt;"OK","",ROUND($G15*使い方と設定!$B$8*$AK15*$AH15*INDEX(属性耐性マスタ!$B$5:$G$10,$AF15,6),4))</f>
        <v>3.8E-3</v>
      </c>
      <c r="Z15" s="9">
        <f>IF($H15&lt;&gt;"OK","",ROUND($G15*使い方と設定!$B$9*$AK15*$AI15,4))</f>
        <v>0.54339999999999999</v>
      </c>
      <c r="AA15" s="10">
        <v>0.9</v>
      </c>
      <c r="AB15" s="11">
        <f t="shared" si="1"/>
        <v>1.7161</v>
      </c>
      <c r="AC15" s="11">
        <f t="shared" si="2"/>
        <v>0.1139</v>
      </c>
      <c r="AD15" s="7" t="str">
        <f>IF($H15&lt;&gt;"OK","",INDEX(個性タイプマスタ!$P$5:$P$54,$AE15))</f>
        <v>MPと魔防寄りの支援型</v>
      </c>
      <c r="AE15">
        <f>IFERROR(MATCH(E15,個性タイプマスタ!$A$5:$A$54,0),0)</f>
        <v>10</v>
      </c>
      <c r="AF15">
        <f>IFERROR(MATCH(F15,属性耐性マスタ!$A$5:$A$10,0),0)</f>
        <v>4</v>
      </c>
      <c r="AG15">
        <f>IF(AE15=0,1,INDEX(個性タイプマスタ!$AB$5:$AB$54,AE15))</f>
        <v>10.798666666666666</v>
      </c>
      <c r="AH15">
        <f>IF(AE15=0,1,INDEX(個性タイプマスタ!$AC$5:$AC$54,AE15))</f>
        <v>1.1200000000000001</v>
      </c>
      <c r="AI15">
        <f>IF(AE15=0,0,INDEX(個性タイプマスタ!$AD$5:$AD$54,AE15))</f>
        <v>0.95</v>
      </c>
      <c r="AJ15" s="16">
        <v>2</v>
      </c>
      <c r="AK15" s="17">
        <f>IF(OR(AJ15="",AJ15&lt;1),"",POWER(使い方と設定!$E$6,AJ15-1))</f>
        <v>1.04</v>
      </c>
    </row>
    <row r="16" spans="1:37">
      <c r="A16" t="str">
        <f>+[2]称号!A11</f>
        <v>TITLE_010</v>
      </c>
      <c r="B16" t="str">
        <f>+[2]称号!B11</f>
        <v>肥大せし凶腕</v>
      </c>
      <c r="C16" t="s">
        <v>113</v>
      </c>
      <c r="D16" t="s">
        <v>114</v>
      </c>
      <c r="E16" s="2" t="str">
        <f>[1]モンスター計算!AM14</f>
        <v>近接・耐性鎧</v>
      </c>
      <c r="F16" s="2" t="str">
        <f>[1]モンスター計算!C14</f>
        <v>雷</v>
      </c>
      <c r="G16" s="8">
        <v>1.1499999999999999</v>
      </c>
      <c r="H16" t="str">
        <f t="shared" si="0"/>
        <v>OK</v>
      </c>
      <c r="I16" s="9">
        <f>IF($H16&lt;&gt;"OK","",ROUND($G16*使い方と設定!$B$7*$AK16*INDEX(個性タイプマスタ!$Q$5:$AA$54,$AE16,1)/$AG16,4))</f>
        <v>0.24340000000000001</v>
      </c>
      <c r="J16" s="9">
        <f>IF($H16&lt;&gt;"OK","",ROUND($G16*使い方と設定!$B$7*$AK16*INDEX(個性タイプマスタ!$Q$5:$AA$54,$AE16,2)/$AG16,4))</f>
        <v>0.10829999999999999</v>
      </c>
      <c r="K16" s="9">
        <f>IF($H16&lt;&gt;"OK","",ROUND($G16*使い方と設定!$B$7*$AK16*INDEX(個性タイプマスタ!$Q$5:$AA$54,$AE16,3)/$AG16,4))</f>
        <v>0.46879999999999999</v>
      </c>
      <c r="L16" s="9">
        <f>IF($H16&lt;&gt;"OK","",ROUND($G16*使い方と設定!$B$7*$AK16*INDEX(個性タイプマスタ!$Q$5:$AA$54,$AE16,4)/$AG16,4))</f>
        <v>3.2800000000000003E-2</v>
      </c>
      <c r="M16" s="9">
        <f>IF($H16&lt;&gt;"OK","",ROUND($G16*使い方と設定!$B$7*$AK16*INDEX(個性タイプマスタ!$Q$5:$AA$54,$AE16,5)/$AG16,4))</f>
        <v>0.1817</v>
      </c>
      <c r="N16" s="9">
        <f>IF($H16&lt;&gt;"OK","",ROUND($G16*使い方と設定!$B$7*$AK16*INDEX(個性タイプマスタ!$Q$5:$AA$54,$AE16,6)/$AG16,4))</f>
        <v>0.1817</v>
      </c>
      <c r="O16" s="9">
        <f>IF($H16&lt;&gt;"OK","",ROUND($G16*使い方と設定!$B$7*$AK16*INDEX(個性タイプマスタ!$Q$5:$AA$54,$AE16,7)/$AG16,4))</f>
        <v>8.2500000000000004E-2</v>
      </c>
      <c r="P16" s="9">
        <f>IF($H16&lt;&gt;"OK","",ROUND($G16*使い方と設定!$B$7*$AK16*INDEX(個性タイプマスタ!$Q$5:$AA$54,$AE16,8)/$AG16,4))</f>
        <v>0.1162</v>
      </c>
      <c r="Q16" s="9">
        <f>IF($H16&lt;&gt;"OK","",ROUND($G16*使い方と設定!$B$7*$AK16*INDEX(個性タイプマスタ!$Q$5:$AA$54,$AE16,9)/$AG16,4))</f>
        <v>8.8700000000000001E-2</v>
      </c>
      <c r="R16" s="9">
        <f>IF($H16&lt;&gt;"OK","",ROUND($G16*使い方と設定!$B$7*$AK16*INDEX(個性タイプマスタ!$Q$5:$AA$54,$AE16,10)/$AG16,4))</f>
        <v>0.16500000000000001</v>
      </c>
      <c r="S16" s="9">
        <f>IF($H16&lt;&gt;"OK","",ROUND($G16*使い方と設定!$B$7*$AK16*INDEX(個性タイプマスタ!$Q$5:$AA$54,$AE16,11)/$AG16,4))</f>
        <v>0.12470000000000001</v>
      </c>
      <c r="T16" s="9">
        <f>IF($H16&lt;&gt;"OK","",ROUND($G16*使い方と設定!$B$8*$AK16*$AH16*INDEX(属性耐性マスタ!$B$5:$G$10,$AF16,1),4))</f>
        <v>7.1999999999999998E-3</v>
      </c>
      <c r="U16" s="9">
        <f>IF($H16&lt;&gt;"OK","",ROUND($G16*使い方と設定!$B$8*$AK16*$AH16*INDEX(属性耐性マスタ!$B$5:$G$10,$AF16,2),4))</f>
        <v>7.1999999999999998E-3</v>
      </c>
      <c r="V16" s="9">
        <f>IF($H16&lt;&gt;"OK","",ROUND($G16*使い方と設定!$B$8*$AK16*$AH16*INDEX(属性耐性マスタ!$B$5:$G$10,$AF16,3),4))</f>
        <v>2.69E-2</v>
      </c>
      <c r="W16" s="9">
        <f>IF($H16&lt;&gt;"OK","",ROUND($G16*使い方と設定!$B$8*$AK16*$AH16*INDEX(属性耐性マスタ!$B$5:$G$10,$AF16,4),4))</f>
        <v>0.1076</v>
      </c>
      <c r="X16" s="9">
        <f>IF($H16&lt;&gt;"OK","",ROUND($G16*使い方と設定!$B$8*$AK16*$AH16*INDEX(属性耐性マスタ!$B$5:$G$10,$AF16,5),4))</f>
        <v>5.4000000000000003E-3</v>
      </c>
      <c r="Y16" s="9">
        <f>IF($H16&lt;&gt;"OK","",ROUND($G16*使い方と設定!$B$8*$AK16*$AH16*INDEX(属性耐性マスタ!$B$5:$G$10,$AF16,6),4))</f>
        <v>5.4000000000000003E-3</v>
      </c>
      <c r="Z16" s="9">
        <f>IF($H16&lt;&gt;"OK","",ROUND($G16*使い方と設定!$B$9*$AK16*$AI16,4))</f>
        <v>0.57310000000000005</v>
      </c>
      <c r="AA16" s="10">
        <v>0.55000000000000004</v>
      </c>
      <c r="AB16" s="11">
        <f t="shared" si="1"/>
        <v>1.7938000000000001</v>
      </c>
      <c r="AC16" s="11">
        <f t="shared" si="2"/>
        <v>0.15970000000000001</v>
      </c>
      <c r="AD16" s="7" t="str">
        <f>IF($H16&lt;&gt;"OK","",INDEX(個性タイプマスタ!$P$5:$P$54,$AE16))</f>
        <v>属性耐性重視の堅実型</v>
      </c>
      <c r="AE16">
        <f>IFERROR(MATCH(E16,個性タイプマスタ!$A$5:$A$54,0),0)</f>
        <v>39</v>
      </c>
      <c r="AF16">
        <f>IFERROR(MATCH(F16,属性耐性マスタ!$A$5:$A$10,0),0)</f>
        <v>4</v>
      </c>
      <c r="AG16">
        <f>IF(AE16=0,1,INDEX(個性タイプマスタ!$AB$5:$AB$54,AE16))</f>
        <v>9.5661666666666676</v>
      </c>
      <c r="AH16">
        <f>IF(AE16=0,1,INDEX(個性タイプマスタ!$AC$5:$AC$54,AE16))</f>
        <v>1.5</v>
      </c>
      <c r="AI16">
        <f>IF(AE16=0,0,INDEX(個性タイプマスタ!$AD$5:$AD$54,AE16))</f>
        <v>0.95833333333333326</v>
      </c>
      <c r="AJ16" s="16">
        <v>2</v>
      </c>
      <c r="AK16" s="17">
        <f>IF(OR(AJ16="",AJ16&lt;1),"",POWER(使い方と設定!$E$6,AJ16-1))</f>
        <v>1.04</v>
      </c>
    </row>
    <row r="17" spans="1:37">
      <c r="A17" t="str">
        <f>+[2]称号!A12</f>
        <v>TITLE_011</v>
      </c>
      <c r="B17" t="str">
        <f>+[2]称号!B12</f>
        <v>錬成されし粘塊</v>
      </c>
      <c r="C17" t="s">
        <v>116</v>
      </c>
      <c r="D17" t="s">
        <v>117</v>
      </c>
      <c r="E17" s="2" t="str">
        <f>[1]モンスター計算!AM15</f>
        <v>近接・会心</v>
      </c>
      <c r="F17" s="2" t="str">
        <f>[1]モンスター計算!C15</f>
        <v>雷</v>
      </c>
      <c r="G17" s="8">
        <v>1.2</v>
      </c>
      <c r="H17" t="str">
        <f t="shared" si="0"/>
        <v>OK</v>
      </c>
      <c r="I17" s="9">
        <f>IF($H17&lt;&gt;"OK","",ROUND($G17*使い方と設定!$B$7*$AK17*INDEX(個性タイプマスタ!$Q$5:$AA$54,$AE17,1)/$AG17,4))</f>
        <v>0.15429999999999999</v>
      </c>
      <c r="J17" s="9">
        <f>IF($H17&lt;&gt;"OK","",ROUND($G17*使い方と設定!$B$7*$AK17*INDEX(個性タイプマスタ!$Q$5:$AA$54,$AE17,2)/$AG17,4))</f>
        <v>6.3899999999999998E-2</v>
      </c>
      <c r="K17" s="9">
        <f>IF($H17&lt;&gt;"OK","",ROUND($G17*使い方と設定!$B$7*$AK17*INDEX(個性タイプマスタ!$Q$5:$AA$54,$AE17,3)/$AG17,4))</f>
        <v>0.40310000000000001</v>
      </c>
      <c r="L17" s="9">
        <f>IF($H17&lt;&gt;"OK","",ROUND($G17*使い方と設定!$B$7*$AK17*INDEX(個性タイプマスタ!$Q$5:$AA$54,$AE17,4)/$AG17,4))</f>
        <v>2.6200000000000001E-2</v>
      </c>
      <c r="M17" s="9">
        <f>IF($H17&lt;&gt;"OK","",ROUND($G17*使い方と設定!$B$7*$AK17*INDEX(個性タイプマスタ!$Q$5:$AA$54,$AE17,5)/$AG17,4))</f>
        <v>0.1179</v>
      </c>
      <c r="N17" s="9">
        <f>IF($H17&lt;&gt;"OK","",ROUND($G17*使い方と設定!$B$7*$AK17*INDEX(個性タイプマスタ!$Q$5:$AA$54,$AE17,6)/$AG17,4))</f>
        <v>0.1055</v>
      </c>
      <c r="O17" s="9">
        <f>IF($H17&lt;&gt;"OK","",ROUND($G17*使い方と設定!$B$7*$AK17*INDEX(個性タイプマスタ!$Q$5:$AA$54,$AE17,7)/$AG17,4))</f>
        <v>0.47889999999999999</v>
      </c>
      <c r="P17" s="9">
        <f>IF($H17&lt;&gt;"OK","",ROUND($G17*使い方と設定!$B$7*$AK17*INDEX(個性タイプマスタ!$Q$5:$AA$54,$AE17,8)/$AG17,4))</f>
        <v>0.14180000000000001</v>
      </c>
      <c r="Q17" s="9">
        <f>IF($H17&lt;&gt;"OK","",ROUND($G17*使い方と設定!$B$7*$AK17*INDEX(個性タイプマスタ!$Q$5:$AA$54,$AE17,9)/$AG17,4))</f>
        <v>9.7600000000000006E-2</v>
      </c>
      <c r="R17" s="9">
        <f>IF($H17&lt;&gt;"OK","",ROUND($G17*使い方と設定!$B$7*$AK17*INDEX(個性タイプマスタ!$Q$5:$AA$54,$AE17,10)/$AG17,4))</f>
        <v>0.16769999999999999</v>
      </c>
      <c r="S17" s="9">
        <f>IF($H17&lt;&gt;"OK","",ROUND($G17*使い方と設定!$B$7*$AK17*INDEX(個性タイプマスタ!$Q$5:$AA$54,$AE17,11)/$AG17,4))</f>
        <v>0.11509999999999999</v>
      </c>
      <c r="T17" s="9">
        <f>IF($H17&lt;&gt;"OK","",ROUND($G17*使い方と設定!$B$8*$AK17*$AH17*INDEX(属性耐性マスタ!$B$5:$G$10,$AF17,1),4))</f>
        <v>3.8E-3</v>
      </c>
      <c r="U17" s="9">
        <f>IF($H17&lt;&gt;"OK","",ROUND($G17*使い方と設定!$B$8*$AK17*$AH17*INDEX(属性耐性マスタ!$B$5:$G$10,$AF17,2),4))</f>
        <v>3.8E-3</v>
      </c>
      <c r="V17" s="9">
        <f>IF($H17&lt;&gt;"OK","",ROUND($G17*使い方と設定!$B$8*$AK17*$AH17*INDEX(属性耐性マスタ!$B$5:$G$10,$AF17,3),4))</f>
        <v>1.4200000000000001E-2</v>
      </c>
      <c r="W17" s="9">
        <f>IF($H17&lt;&gt;"OK","",ROUND($G17*使い方と設定!$B$8*$AK17*$AH17*INDEX(属性耐性マスタ!$B$5:$G$10,$AF17,4),4))</f>
        <v>5.6899999999999999E-2</v>
      </c>
      <c r="X17" s="9">
        <f>IF($H17&lt;&gt;"OK","",ROUND($G17*使い方と設定!$B$8*$AK17*$AH17*INDEX(属性耐性マスタ!$B$5:$G$10,$AF17,5),4))</f>
        <v>2.8E-3</v>
      </c>
      <c r="Y17" s="9">
        <f>IF($H17&lt;&gt;"OK","",ROUND($G17*使い方と設定!$B$8*$AK17*$AH17*INDEX(属性耐性マスタ!$B$5:$G$10,$AF17,6),4))</f>
        <v>2.8E-3</v>
      </c>
      <c r="Z17" s="9">
        <f>IF($H17&lt;&gt;"OK","",ROUND($G17*使い方と設定!$B$9*$AK17*$AI17,4))</f>
        <v>0.66039999999999999</v>
      </c>
      <c r="AA17" s="10">
        <v>0.5</v>
      </c>
      <c r="AB17" s="11">
        <f t="shared" si="1"/>
        <v>1.8720000000000001</v>
      </c>
      <c r="AC17" s="11">
        <f t="shared" si="2"/>
        <v>8.43E-2</v>
      </c>
      <c r="AD17" s="7" t="str">
        <f>IF($H17&lt;&gt;"OK","",INDEX(個性タイプマスタ!$P$5:$P$54,$AE17))</f>
        <v>クリティカル確率に特化</v>
      </c>
      <c r="AE17">
        <f>IFERROR(MATCH(E17,個性タイプマスタ!$A$5:$A$54,0),0)</f>
        <v>46</v>
      </c>
      <c r="AF17">
        <f>IFERROR(MATCH(F17,属性耐性マスタ!$A$5:$A$10,0),0)</f>
        <v>4</v>
      </c>
      <c r="AG17">
        <f>IF(AE17=0,1,INDEX(個性タイプマスタ!$AB$5:$AB$54,AE17))</f>
        <v>11.609666666666667</v>
      </c>
      <c r="AH17">
        <f>IF(AE17=0,1,INDEX(個性タイプマスタ!$AC$5:$AC$54,AE17))</f>
        <v>0.76</v>
      </c>
      <c r="AI17">
        <f>IF(AE17=0,0,INDEX(個性タイプマスタ!$AD$5:$AD$54,AE17))</f>
        <v>1.0583333333333333</v>
      </c>
      <c r="AJ17" s="16">
        <v>2</v>
      </c>
      <c r="AK17" s="17">
        <f>IF(OR(AJ17="",AJ17&lt;1),"",POWER(使い方と設定!$E$6,AJ17-1))</f>
        <v>1.04</v>
      </c>
    </row>
    <row r="18" spans="1:37">
      <c r="A18" t="str">
        <f>+[2]称号!A13</f>
        <v>TITLE_012</v>
      </c>
      <c r="B18" t="str">
        <f>+[2]称号!B13</f>
        <v>王冠を戴く略奪王</v>
      </c>
      <c r="C18" t="s">
        <v>119</v>
      </c>
      <c r="D18" t="s">
        <v>120</v>
      </c>
      <c r="E18" s="2" t="str">
        <f>[1]モンスター計算!AM16</f>
        <v>魔法・速攻</v>
      </c>
      <c r="F18" s="2" t="str">
        <f>[1]モンスター計算!C16</f>
        <v>闇</v>
      </c>
      <c r="G18" s="8">
        <v>1.25</v>
      </c>
      <c r="H18" t="str">
        <f t="shared" si="0"/>
        <v>OK</v>
      </c>
      <c r="I18" s="9">
        <f>IF($H18&lt;&gt;"OK","",ROUND($G18*使い方と設定!$B$7*$AK18*INDEX(個性タイプマスタ!$Q$5:$AA$54,$AE18,1)/$AG18,4))</f>
        <v>0.20219999999999999</v>
      </c>
      <c r="J18" s="9">
        <f>IF($H18&lt;&gt;"OK","",ROUND($G18*使い方と設定!$B$7*$AK18*INDEX(個性タイプマスタ!$Q$5:$AA$54,$AE18,2)/$AG18,4))</f>
        <v>0.2225</v>
      </c>
      <c r="K18" s="9">
        <f>IF($H18&lt;&gt;"OK","",ROUND($G18*使い方と設定!$B$7*$AK18*INDEX(個性タイプマスタ!$Q$5:$AA$54,$AE18,3)/$AG18,4))</f>
        <v>4.5999999999999999E-2</v>
      </c>
      <c r="L18" s="9">
        <f>IF($H18&lt;&gt;"OK","",ROUND($G18*使い方と設定!$B$7*$AK18*INDEX(個性タイプマスタ!$Q$5:$AA$54,$AE18,4)/$AG18,4))</f>
        <v>0.45960000000000001</v>
      </c>
      <c r="M18" s="9">
        <f>IF($H18&lt;&gt;"OK","",ROUND($G18*使い方と設定!$B$7*$AK18*INDEX(個性タイプマスタ!$Q$5:$AA$54,$AE18,5)/$AG18,4))</f>
        <v>0.14849999999999999</v>
      </c>
      <c r="N18" s="9">
        <f>IF($H18&lt;&gt;"OK","",ROUND($G18*使い方と設定!$B$7*$AK18*INDEX(個性タイプマスタ!$Q$5:$AA$54,$AE18,6)/$AG18,4))</f>
        <v>0.1719</v>
      </c>
      <c r="O18" s="9">
        <f>IF($H18&lt;&gt;"OK","",ROUND($G18*使い方と設定!$B$7*$AK18*INDEX(個性タイプマスタ!$Q$5:$AA$54,$AE18,7)/$AG18,4))</f>
        <v>0.1416</v>
      </c>
      <c r="P18" s="9">
        <f>IF($H18&lt;&gt;"OK","",ROUND($G18*使い方と設定!$B$7*$AK18*INDEX(個性タイプマスタ!$Q$5:$AA$54,$AE18,8)/$AG18,4))</f>
        <v>0.1235</v>
      </c>
      <c r="Q18" s="9">
        <f>IF($H18&lt;&gt;"OK","",ROUND($G18*使い方と設定!$B$7*$AK18*INDEX(個性タイプマスタ!$Q$5:$AA$54,$AE18,9)/$AG18,4))</f>
        <v>9.2999999999999999E-2</v>
      </c>
      <c r="R18" s="9">
        <f>IF($H18&lt;&gt;"OK","",ROUND($G18*使い方と設定!$B$7*$AK18*INDEX(個性タイプマスタ!$Q$5:$AA$54,$AE18,10)/$AG18,4))</f>
        <v>0.20219999999999999</v>
      </c>
      <c r="S18" s="9">
        <f>IF($H18&lt;&gt;"OK","",ROUND($G18*使い方と設定!$B$7*$AK18*INDEX(個性タイプマスタ!$Q$5:$AA$54,$AE18,11)/$AG18,4))</f>
        <v>0.13900000000000001</v>
      </c>
      <c r="T18" s="9">
        <f>IF($H18&lt;&gt;"OK","",ROUND($G18*使い方と設定!$B$8*$AK18*$AH18*INDEX(属性耐性マスタ!$B$5:$G$10,$AF18,1),4))</f>
        <v>3.3999999999999998E-3</v>
      </c>
      <c r="U18" s="9">
        <f>IF($H18&lt;&gt;"OK","",ROUND($G18*使い方と設定!$B$8*$AK18*$AH18*INDEX(属性耐性マスタ!$B$5:$G$10,$AF18,2),4))</f>
        <v>3.3999999999999998E-3</v>
      </c>
      <c r="V18" s="9">
        <f>IF($H18&lt;&gt;"OK","",ROUND($G18*使い方と設定!$B$8*$AK18*$AH18*INDEX(属性耐性マスタ!$B$5:$G$10,$AF18,3),4))</f>
        <v>3.3999999999999998E-3</v>
      </c>
      <c r="W18" s="9">
        <f>IF($H18&lt;&gt;"OK","",ROUND($G18*使い方と設定!$B$8*$AK18*$AH18*INDEX(属性耐性マスタ!$B$5:$G$10,$AF18,4),4))</f>
        <v>3.3999999999999998E-3</v>
      </c>
      <c r="X18" s="9">
        <f>IF($H18&lt;&gt;"OK","",ROUND($G18*使い方と設定!$B$8*$AK18*$AH18*INDEX(属性耐性マスタ!$B$5:$G$10,$AF18,5),4))</f>
        <v>9.1999999999999998E-3</v>
      </c>
      <c r="Y18" s="9">
        <f>IF($H18&lt;&gt;"OK","",ROUND($G18*使い方と設定!$B$8*$AK18*$AH18*INDEX(属性耐性マスタ!$B$5:$G$10,$AF18,6),4))</f>
        <v>6.8599999999999994E-2</v>
      </c>
      <c r="Z18" s="9">
        <f>IF($H18&lt;&gt;"OK","",ROUND($G18*使い方と設定!$B$9*$AK18*$AI18,4))</f>
        <v>0.63919999999999999</v>
      </c>
      <c r="AA18" s="10">
        <v>0.25</v>
      </c>
      <c r="AB18" s="11">
        <f t="shared" si="1"/>
        <v>1.95</v>
      </c>
      <c r="AC18" s="11">
        <f t="shared" si="2"/>
        <v>9.1399999999999995E-2</v>
      </c>
      <c r="AD18" s="7" t="str">
        <f>IF($H18&lt;&gt;"OK","",INDEX(個性タイプマスタ!$P$5:$P$54,$AE18))</f>
        <v>高速の魔法型。攻速と射程が優秀</v>
      </c>
      <c r="AE18">
        <f>IFERROR(MATCH(E18,個性タイプマスタ!$A$5:$A$54,0),0)</f>
        <v>3</v>
      </c>
      <c r="AF18">
        <f>IFERROR(MATCH(F18,属性耐性マスタ!$A$5:$A$10,0),0)</f>
        <v>6</v>
      </c>
      <c r="AG18">
        <f>IF(AE18=0,1,INDEX(個性タイプマスタ!$AB$5:$AB$54,AE18))</f>
        <v>10.606166666666667</v>
      </c>
      <c r="AH18">
        <f>IF(AE18=0,1,INDEX(個性タイプマスタ!$AC$5:$AC$54,AE18))</f>
        <v>0.88</v>
      </c>
      <c r="AI18">
        <f>IF(AE18=0,0,INDEX(個性タイプマスタ!$AD$5:$AD$54,AE18))</f>
        <v>0.98333333333333328</v>
      </c>
      <c r="AJ18" s="16">
        <v>2</v>
      </c>
      <c r="AK18" s="17">
        <f>IF(OR(AJ18="",AJ18&lt;1),"",POWER(使い方と設定!$E$6,AJ18-1))</f>
        <v>1.04</v>
      </c>
    </row>
    <row r="19" spans="1:37">
      <c r="A19" t="str">
        <f>+[2]称号!A14</f>
        <v>TITLE_013</v>
      </c>
      <c r="B19" t="str">
        <f>+[2]称号!B14</f>
        <v>朽塔を這う影</v>
      </c>
      <c r="C19" t="s">
        <v>123</v>
      </c>
      <c r="D19" t="s">
        <v>124</v>
      </c>
      <c r="E19" s="2" t="str">
        <f>[1]モンスター計算!AM17</f>
        <v>魔法・鈍足賢者</v>
      </c>
      <c r="F19" s="2" t="str">
        <f>[1]モンスター計算!C17</f>
        <v>闇</v>
      </c>
      <c r="G19" s="8">
        <v>1</v>
      </c>
      <c r="H19" t="str">
        <f t="shared" si="0"/>
        <v>OK</v>
      </c>
      <c r="I19" s="9">
        <f>IF($H19&lt;&gt;"OK","",ROUND($G19*使い方と設定!$B$7*$AK19*INDEX(個性タイプマスタ!$Q$5:$AA$54,$AE19,1)/$AG19,4))</f>
        <v>0.19320000000000001</v>
      </c>
      <c r="J19" s="9">
        <f>IF($H19&lt;&gt;"OK","",ROUND($G19*使い方と設定!$B$7*$AK19*INDEX(個性タイプマスタ!$Q$5:$AA$54,$AE19,2)/$AG19,4))</f>
        <v>0.30359999999999998</v>
      </c>
      <c r="K19" s="9">
        <f>IF($H19&lt;&gt;"OK","",ROUND($G19*使い方と設定!$B$7*$AK19*INDEX(個性タイプマスタ!$Q$5:$AA$54,$AE19,3)/$AG19,4))</f>
        <v>2.63E-2</v>
      </c>
      <c r="L19" s="9">
        <f>IF($H19&lt;&gt;"OK","",ROUND($G19*使い方と設定!$B$7*$AK19*INDEX(個性タイプマスタ!$Q$5:$AA$54,$AE19,4)/$AG19,4))</f>
        <v>0.31369999999999998</v>
      </c>
      <c r="M19" s="9">
        <f>IF($H19&lt;&gt;"OK","",ROUND($G19*使い方と設定!$B$7*$AK19*INDEX(個性タイプマスタ!$Q$5:$AA$54,$AE19,5)/$AG19,4))</f>
        <v>0.1013</v>
      </c>
      <c r="N19" s="9">
        <f>IF($H19&lt;&gt;"OK","",ROUND($G19*使い方と設定!$B$7*$AK19*INDEX(個性タイプマスタ!$Q$5:$AA$54,$AE19,6)/$AG19,4))</f>
        <v>0.1792</v>
      </c>
      <c r="O19" s="9">
        <f>IF($H19&lt;&gt;"OK","",ROUND($G19*使い方と設定!$B$7*$AK19*INDEX(個性タイプマスタ!$Q$5:$AA$54,$AE19,7)/$AG19,4))</f>
        <v>0.15870000000000001</v>
      </c>
      <c r="P19" s="9">
        <f>IF($H19&lt;&gt;"OK","",ROUND($G19*使い方と設定!$B$7*$AK19*INDEX(個性タイプマスタ!$Q$5:$AA$54,$AE19,8)/$AG19,4))</f>
        <v>0.106</v>
      </c>
      <c r="Q19" s="9">
        <f>IF($H19&lt;&gt;"OK","",ROUND($G19*使い方と設定!$B$7*$AK19*INDEX(個性タイプマスタ!$Q$5:$AA$54,$AE19,9)/$AG19,4))</f>
        <v>3.3099999999999997E-2</v>
      </c>
      <c r="R19" s="9">
        <f>IF($H19&lt;&gt;"OK","",ROUND($G19*使い方と設定!$B$7*$AK19*INDEX(個性タイプマスタ!$Q$5:$AA$54,$AE19,10)/$AG19,4))</f>
        <v>9.0300000000000005E-2</v>
      </c>
      <c r="S19" s="9">
        <f>IF($H19&lt;&gt;"OK","",ROUND($G19*使い方と設定!$B$7*$AK19*INDEX(個性タイプマスタ!$Q$5:$AA$54,$AE19,11)/$AG19,4))</f>
        <v>0.1168</v>
      </c>
      <c r="T19" s="9">
        <f>IF($H19&lt;&gt;"OK","",ROUND($G19*使い方と設定!$B$8*$AK19*$AH19*INDEX(属性耐性マスタ!$B$5:$G$10,$AF19,1),4))</f>
        <v>4.3E-3</v>
      </c>
      <c r="U19" s="9">
        <f>IF($H19&lt;&gt;"OK","",ROUND($G19*使い方と設定!$B$8*$AK19*$AH19*INDEX(属性耐性マスタ!$B$5:$G$10,$AF19,2),4))</f>
        <v>4.3E-3</v>
      </c>
      <c r="V19" s="9">
        <f>IF($H19&lt;&gt;"OK","",ROUND($G19*使い方と設定!$B$8*$AK19*$AH19*INDEX(属性耐性マスタ!$B$5:$G$10,$AF19,3),4))</f>
        <v>4.3E-3</v>
      </c>
      <c r="W19" s="9">
        <f>IF($H19&lt;&gt;"OK","",ROUND($G19*使い方と設定!$B$8*$AK19*$AH19*INDEX(属性耐性マスタ!$B$5:$G$10,$AF19,4),4))</f>
        <v>4.3E-3</v>
      </c>
      <c r="X19" s="9">
        <f>IF($H19&lt;&gt;"OK","",ROUND($G19*使い方と設定!$B$8*$AK19*$AH19*INDEX(属性耐性マスタ!$B$5:$G$10,$AF19,5),4))</f>
        <v>1.14E-2</v>
      </c>
      <c r="Y19" s="9">
        <f>IF($H19&lt;&gt;"OK","",ROUND($G19*使い方と設定!$B$8*$AK19*$AH19*INDEX(属性耐性マスタ!$B$5:$G$10,$AF19,6),4))</f>
        <v>8.5699999999999998E-2</v>
      </c>
      <c r="Z19" s="9">
        <f>IF($H19&lt;&gt;"OK","",ROUND($G19*使い方と設定!$B$9*$AK19*$AI19,4))</f>
        <v>0.43259999999999998</v>
      </c>
      <c r="AA19" s="10">
        <v>1</v>
      </c>
      <c r="AB19" s="11">
        <f t="shared" si="1"/>
        <v>1.6222000000000001</v>
      </c>
      <c r="AC19" s="11">
        <f t="shared" si="2"/>
        <v>0.1143</v>
      </c>
      <c r="AD19" s="7" t="str">
        <f>IF($H19&lt;&gt;"OK","",INDEX(個性タイプマスタ!$P$5:$P$54,$AE19))</f>
        <v>低機動・高MP・高魔防</v>
      </c>
      <c r="AE19">
        <f>IFERROR(MATCH(E19,個性タイプマスタ!$A$5:$A$54,0),0)</f>
        <v>30</v>
      </c>
      <c r="AF19">
        <f>IFERROR(MATCH(F19,属性耐性マスタ!$A$5:$A$10,0),0)</f>
        <v>6</v>
      </c>
      <c r="AG19">
        <f>IF(AE19=0,1,INDEX(個性タイプマスタ!$AB$5:$AB$54,AE19))</f>
        <v>12.9305</v>
      </c>
      <c r="AH19">
        <f>IF(AE19=0,1,INDEX(個性タイプマスタ!$AC$5:$AC$54,AE19))</f>
        <v>1.32</v>
      </c>
      <c r="AI19">
        <f>IF(AE19=0,0,INDEX(個性タイプマスタ!$AD$5:$AD$54,AE19))</f>
        <v>0.79999999999999993</v>
      </c>
      <c r="AJ19" s="16">
        <v>3</v>
      </c>
      <c r="AK19" s="17">
        <f>IF(OR(AJ19="",AJ19&lt;1),"",POWER(使い方と設定!$E$6,AJ19-1))</f>
        <v>1.0816000000000001</v>
      </c>
    </row>
    <row r="20" spans="1:37">
      <c r="A20" t="str">
        <f>+[2]称号!A15</f>
        <v>TITLE_014</v>
      </c>
      <c r="B20" t="str">
        <f>+[2]称号!B15</f>
        <v>雷光を纏う粘獣</v>
      </c>
      <c r="C20" t="s">
        <v>126</v>
      </c>
      <c r="D20" t="s">
        <v>127</v>
      </c>
      <c r="E20" s="2" t="str">
        <f>[1]モンスター計算!AM18</f>
        <v>魔法・火力</v>
      </c>
      <c r="F20" s="2" t="str">
        <f>[1]モンスター計算!C18</f>
        <v>雷</v>
      </c>
      <c r="G20" s="8">
        <v>1.05</v>
      </c>
      <c r="H20" t="str">
        <f t="shared" si="0"/>
        <v>OK</v>
      </c>
      <c r="I20" s="9">
        <f>IF($H20&lt;&gt;"OK","",ROUND($G20*使い方と設定!$B$7*$AK20*INDEX(個性タイプマスタ!$Q$5:$AA$54,$AE20,1)/$AG20,4))</f>
        <v>0.1396</v>
      </c>
      <c r="J20" s="9">
        <f>IF($H20&lt;&gt;"OK","",ROUND($G20*使い方と設定!$B$7*$AK20*INDEX(個性タイプマスタ!$Q$5:$AA$54,$AE20,2)/$AG20,4))</f>
        <v>0.20580000000000001</v>
      </c>
      <c r="K20" s="9">
        <f>IF($H20&lt;&gt;"OK","",ROUND($G20*使い方と設定!$B$7*$AK20*INDEX(個性タイプマスタ!$Q$5:$AA$54,$AE20,3)/$AG20,4))</f>
        <v>4.07E-2</v>
      </c>
      <c r="L20" s="9">
        <f>IF($H20&lt;&gt;"OK","",ROUND($G20*使い方と設定!$B$7*$AK20*INDEX(個性タイプマスタ!$Q$5:$AA$54,$AE20,4)/$AG20,4))</f>
        <v>0.40679999999999999</v>
      </c>
      <c r="M20" s="9">
        <f>IF($H20&lt;&gt;"OK","",ROUND($G20*使い方と設定!$B$7*$AK20*INDEX(個性タイプマスタ!$Q$5:$AA$54,$AE20,5)/$AG20,4))</f>
        <v>0.1037</v>
      </c>
      <c r="N20" s="9">
        <f>IF($H20&lt;&gt;"OK","",ROUND($G20*使い方と設定!$B$7*$AK20*INDEX(個性タイプマスタ!$Q$5:$AA$54,$AE20,6)/$AG20,4))</f>
        <v>0.1106</v>
      </c>
      <c r="O20" s="9">
        <f>IF($H20&lt;&gt;"OK","",ROUND($G20*使い方と設定!$B$7*$AK20*INDEX(個性タイプマスタ!$Q$5:$AA$54,$AE20,7)/$AG20,4))</f>
        <v>0.19689999999999999</v>
      </c>
      <c r="P20" s="9">
        <f>IF($H20&lt;&gt;"OK","",ROUND($G20*使い方と設定!$B$7*$AK20*INDEX(個性タイプマスタ!$Q$5:$AA$54,$AE20,8)/$AG20,4))</f>
        <v>0.1163</v>
      </c>
      <c r="Q20" s="9">
        <f>IF($H20&lt;&gt;"OK","",ROUND($G20*使い方と設定!$B$7*$AK20*INDEX(個性タイプマスタ!$Q$5:$AA$54,$AE20,9)/$AG20,4))</f>
        <v>7.8799999999999995E-2</v>
      </c>
      <c r="R20" s="9">
        <f>IF($H20&lt;&gt;"OK","",ROUND($G20*使い方と設定!$B$7*$AK20*INDEX(個性タイプマスタ!$Q$5:$AA$54,$AE20,10)/$AG20,4))</f>
        <v>0.17899999999999999</v>
      </c>
      <c r="S20" s="9">
        <f>IF($H20&lt;&gt;"OK","",ROUND($G20*使い方と設定!$B$7*$AK20*INDEX(個性タイプマスタ!$Q$5:$AA$54,$AE20,11)/$AG20,4))</f>
        <v>0.12529999999999999</v>
      </c>
      <c r="T20" s="9">
        <f>IF($H20&lt;&gt;"OK","",ROUND($G20*使い方と設定!$B$8*$AK20*$AH20*INDEX(属性耐性マスタ!$B$5:$G$10,$AF20,1),4))</f>
        <v>3.8E-3</v>
      </c>
      <c r="U20" s="9">
        <f>IF($H20&lt;&gt;"OK","",ROUND($G20*使い方と設定!$B$8*$AK20*$AH20*INDEX(属性耐性マスタ!$B$5:$G$10,$AF20,2),4))</f>
        <v>3.8E-3</v>
      </c>
      <c r="V20" s="9">
        <f>IF($H20&lt;&gt;"OK","",ROUND($G20*使い方と設定!$B$8*$AK20*$AH20*INDEX(属性耐性マスタ!$B$5:$G$10,$AF20,3),4))</f>
        <v>1.43E-2</v>
      </c>
      <c r="W20" s="9">
        <f>IF($H20&lt;&gt;"OK","",ROUND($G20*使い方と設定!$B$8*$AK20*$AH20*INDEX(属性耐性マスタ!$B$5:$G$10,$AF20,4),4))</f>
        <v>5.7200000000000001E-2</v>
      </c>
      <c r="X20" s="9">
        <f>IF($H20&lt;&gt;"OK","",ROUND($G20*使い方と設定!$B$8*$AK20*$AH20*INDEX(属性耐性マスタ!$B$5:$G$10,$AF20,5),4))</f>
        <v>2.8999999999999998E-3</v>
      </c>
      <c r="Y20" s="9">
        <f>IF($H20&lt;&gt;"OK","",ROUND($G20*使い方と設定!$B$8*$AK20*$AH20*INDEX(属性耐性マスタ!$B$5:$G$10,$AF20,6),4))</f>
        <v>2.8999999999999998E-3</v>
      </c>
      <c r="Z20" s="9">
        <f>IF($H20&lt;&gt;"OK","",ROUND($G20*使い方と設定!$B$9*$AK20*$AI20,4))</f>
        <v>0.54890000000000005</v>
      </c>
      <c r="AA20" s="10">
        <v>1</v>
      </c>
      <c r="AB20" s="11">
        <f t="shared" si="1"/>
        <v>1.7035</v>
      </c>
      <c r="AC20" s="11">
        <f t="shared" si="2"/>
        <v>8.4900000000000003E-2</v>
      </c>
      <c r="AD20" s="7" t="str">
        <f>IF($H20&lt;&gt;"OK","",INDEX(個性タイプマスタ!$P$5:$P$54,$AE20))</f>
        <v>火力偏重。反撃に弱い</v>
      </c>
      <c r="AE20">
        <f>IFERROR(MATCH(E20,個性タイプマスタ!$A$5:$A$54,0),0)</f>
        <v>9</v>
      </c>
      <c r="AF20">
        <f>IFERROR(MATCH(F20,属性耐性マスタ!$A$5:$A$10,0),0)</f>
        <v>4</v>
      </c>
      <c r="AG20">
        <f>IF(AE20=0,1,INDEX(個性タイプマスタ!$AB$5:$AB$54,AE20))</f>
        <v>10.4695</v>
      </c>
      <c r="AH20">
        <f>IF(AE20=0,1,INDEX(個性タイプマスタ!$AC$5:$AC$54,AE20))</f>
        <v>0.84</v>
      </c>
      <c r="AI20">
        <f>IF(AE20=0,0,INDEX(個性タイプマスタ!$AD$5:$AD$54,AE20))</f>
        <v>0.96666666666666667</v>
      </c>
      <c r="AJ20" s="16">
        <v>3</v>
      </c>
      <c r="AK20" s="17">
        <f>IF(OR(AJ20="",AJ20&lt;1),"",POWER(使い方と設定!$E$6,AJ20-1))</f>
        <v>1.0816000000000001</v>
      </c>
    </row>
    <row r="21" spans="1:37">
      <c r="A21" t="str">
        <f>+[2]称号!A16</f>
        <v>TITLE_015</v>
      </c>
      <c r="B21" t="str">
        <f>+[2]称号!B16</f>
        <v>薄闇の彷徨い</v>
      </c>
      <c r="C21" t="s">
        <v>129</v>
      </c>
      <c r="D21" t="s">
        <v>130</v>
      </c>
      <c r="E21" s="2" t="str">
        <f>[1]モンスター計算!AM19</f>
        <v>魔法・重装砲</v>
      </c>
      <c r="F21" s="2" t="str">
        <f>[1]モンスター計算!C19</f>
        <v>闇</v>
      </c>
      <c r="G21" s="8">
        <v>1.1000000000000001</v>
      </c>
      <c r="H21" t="str">
        <f t="shared" si="0"/>
        <v>OK</v>
      </c>
      <c r="I21" s="9">
        <f>IF($H21&lt;&gt;"OK","",ROUND($G21*使い方と設定!$B$7*$AK21*INDEX(個性タイプマスタ!$Q$5:$AA$54,$AE21,1)/$AG21,4))</f>
        <v>0.29260000000000003</v>
      </c>
      <c r="J21" s="9">
        <f>IF($H21&lt;&gt;"OK","",ROUND($G21*使い方と設定!$B$7*$AK21*INDEX(個性タイプマスタ!$Q$5:$AA$54,$AE21,2)/$AG21,4))</f>
        <v>0.2296</v>
      </c>
      <c r="K21" s="9">
        <f>IF($H21&lt;&gt;"OK","",ROUND($G21*使い方と設定!$B$7*$AK21*INDEX(個性タイプマスタ!$Q$5:$AA$54,$AE21,3)/$AG21,4))</f>
        <v>2.5100000000000001E-2</v>
      </c>
      <c r="L21" s="9">
        <f>IF($H21&lt;&gt;"OK","",ROUND($G21*使い方と設定!$B$7*$AK21*INDEX(個性タイプマスタ!$Q$5:$AA$54,$AE21,4)/$AG21,4))</f>
        <v>0.3866</v>
      </c>
      <c r="M21" s="9">
        <f>IF($H21&lt;&gt;"OK","",ROUND($G21*使い方と設定!$B$7*$AK21*INDEX(個性タイプマスタ!$Q$5:$AA$54,$AE21,5)/$AG21,4))</f>
        <v>0.21560000000000001</v>
      </c>
      <c r="N21" s="9">
        <f>IF($H21&lt;&gt;"OK","",ROUND($G21*使い方と設定!$B$7*$AK21*INDEX(個性タイプマスタ!$Q$5:$AA$54,$AE21,6)/$AG21,4))</f>
        <v>0.20369999999999999</v>
      </c>
      <c r="O21" s="9">
        <f>IF($H21&lt;&gt;"OK","",ROUND($G21*使い方と設定!$B$7*$AK21*INDEX(個性タイプマスタ!$Q$5:$AA$54,$AE21,7)/$AG21,4))</f>
        <v>5.9499999999999997E-2</v>
      </c>
      <c r="P21" s="9">
        <f>IF($H21&lt;&gt;"OK","",ROUND($G21*使い方と設定!$B$7*$AK21*INDEX(個性タイプマスタ!$Q$5:$AA$54,$AE21,8)/$AG21,4))</f>
        <v>9.3799999999999994E-2</v>
      </c>
      <c r="Q21" s="9">
        <f>IF($H21&lt;&gt;"OK","",ROUND($G21*使い方と設定!$B$7*$AK21*INDEX(個性タイプマスタ!$Q$5:$AA$54,$AE21,9)/$AG21,4))</f>
        <v>5.0999999999999997E-2</v>
      </c>
      <c r="R21" s="9">
        <f>IF($H21&lt;&gt;"OK","",ROUND($G21*使い方と設定!$B$7*$AK21*INDEX(個性タイプマスタ!$Q$5:$AA$54,$AE21,10)/$AG21,4))</f>
        <v>9.2799999999999994E-2</v>
      </c>
      <c r="S21" s="9">
        <f>IF($H21&lt;&gt;"OK","",ROUND($G21*使い方と設定!$B$7*$AK21*INDEX(個性タイプマスタ!$Q$5:$AA$54,$AE21,11)/$AG21,4))</f>
        <v>0.13420000000000001</v>
      </c>
      <c r="T21" s="9">
        <f>IF($H21&lt;&gt;"OK","",ROUND($G21*使い方と設定!$B$8*$AK21*$AH21*INDEX(属性耐性マスタ!$B$5:$G$10,$AF21,1),4))</f>
        <v>5.3E-3</v>
      </c>
      <c r="U21" s="9">
        <f>IF($H21&lt;&gt;"OK","",ROUND($G21*使い方と設定!$B$8*$AK21*$AH21*INDEX(属性耐性マスタ!$B$5:$G$10,$AF21,2),4))</f>
        <v>5.3E-3</v>
      </c>
      <c r="V21" s="9">
        <f>IF($H21&lt;&gt;"OK","",ROUND($G21*使い方と設定!$B$8*$AK21*$AH21*INDEX(属性耐性マスタ!$B$5:$G$10,$AF21,3),4))</f>
        <v>5.3E-3</v>
      </c>
      <c r="W21" s="9">
        <f>IF($H21&lt;&gt;"OK","",ROUND($G21*使い方と設定!$B$8*$AK21*$AH21*INDEX(属性耐性マスタ!$B$5:$G$10,$AF21,4),4))</f>
        <v>5.3E-3</v>
      </c>
      <c r="X21" s="9">
        <f>IF($H21&lt;&gt;"OK","",ROUND($G21*使い方と設定!$B$8*$AK21*$AH21*INDEX(属性耐性マスタ!$B$5:$G$10,$AF21,5),4))</f>
        <v>1.41E-2</v>
      </c>
      <c r="Y21" s="9">
        <f>IF($H21&lt;&gt;"OK","",ROUND($G21*使い方と設定!$B$8*$AK21*$AH21*INDEX(属性耐性マスタ!$B$5:$G$10,$AF21,6),4))</f>
        <v>0.1057</v>
      </c>
      <c r="Z21" s="9">
        <f>IF($H21&lt;&gt;"OK","",ROUND($G21*使い方と設定!$B$9*$AK21*$AI21,4))</f>
        <v>0.50560000000000005</v>
      </c>
      <c r="AA21" s="10">
        <v>0.9</v>
      </c>
      <c r="AB21" s="11">
        <f t="shared" si="1"/>
        <v>1.7845</v>
      </c>
      <c r="AC21" s="11">
        <f t="shared" si="2"/>
        <v>0.14099999999999999</v>
      </c>
      <c r="AD21" s="7" t="str">
        <f>IF($H21&lt;&gt;"OK","",INDEX(個性タイプマスタ!$P$5:$P$54,$AE21))</f>
        <v>高耐久・射撃間隔は長い</v>
      </c>
      <c r="AE21">
        <f>IFERROR(MATCH(E21,個性タイプマスタ!$A$5:$A$54,0),0)</f>
        <v>19</v>
      </c>
      <c r="AF21">
        <f>IFERROR(MATCH(F21,属性耐性マスタ!$A$5:$A$10,0),0)</f>
        <v>6</v>
      </c>
      <c r="AG21">
        <f>IF(AE21=0,1,INDEX(個性タイプマスタ!$AB$5:$AB$54,AE21))</f>
        <v>11.540666666666668</v>
      </c>
      <c r="AH21">
        <f>IF(AE21=0,1,INDEX(個性タイプマスタ!$AC$5:$AC$54,AE21))</f>
        <v>1.48</v>
      </c>
      <c r="AI21">
        <f>IF(AE21=0,0,INDEX(個性タイプマスタ!$AD$5:$AD$54,AE21))</f>
        <v>0.85</v>
      </c>
      <c r="AJ21" s="16">
        <v>3</v>
      </c>
      <c r="AK21" s="17">
        <f>IF(OR(AJ21="",AJ21&lt;1),"",POWER(使い方と設定!$E$6,AJ21-1))</f>
        <v>1.0816000000000001</v>
      </c>
    </row>
    <row r="22" spans="1:37">
      <c r="A22" t="str">
        <f>+[2]称号!A17</f>
        <v>TITLE_016</v>
      </c>
      <c r="B22" t="str">
        <f>+[2]称号!B17</f>
        <v>嘆きの残響</v>
      </c>
      <c r="C22" t="s">
        <v>131</v>
      </c>
      <c r="D22" t="s">
        <v>132</v>
      </c>
      <c r="E22" s="2" t="str">
        <f>[1]モンスター計算!AM20</f>
        <v>近接・巨体</v>
      </c>
      <c r="F22" s="2" t="str">
        <f>[1]モンスター計算!C20</f>
        <v>闇</v>
      </c>
      <c r="G22" s="8">
        <v>1.1499999999999999</v>
      </c>
      <c r="H22" t="str">
        <f t="shared" si="0"/>
        <v>OK</v>
      </c>
      <c r="I22" s="9">
        <f>IF($H22&lt;&gt;"OK","",ROUND($G22*使い方と設定!$B$7*$AK22*INDEX(個性タイプマスタ!$Q$5:$AA$54,$AE22,1)/$AG22,4))</f>
        <v>0.4239</v>
      </c>
      <c r="J22" s="9">
        <f>IF($H22&lt;&gt;"OK","",ROUND($G22*使い方と設定!$B$7*$AK22*INDEX(個性タイプマスタ!$Q$5:$AA$54,$AE22,2)/$AG22,4))</f>
        <v>6.2E-2</v>
      </c>
      <c r="K22" s="9">
        <f>IF($H22&lt;&gt;"OK","",ROUND($G22*使い方と設定!$B$7*$AK22*INDEX(個性タイプマスタ!$Q$5:$AA$54,$AE22,3)/$AG22,4))</f>
        <v>0.47</v>
      </c>
      <c r="L22" s="9">
        <f>IF($H22&lt;&gt;"OK","",ROUND($G22*使い方と設定!$B$7*$AK22*INDEX(個性タイプマスタ!$Q$5:$AA$54,$AE22,4)/$AG22,4))</f>
        <v>4.2299999999999997E-2</v>
      </c>
      <c r="M22" s="9">
        <f>IF($H22&lt;&gt;"OK","",ROUND($G22*使い方と設定!$B$7*$AK22*INDEX(個性タイプマスタ!$Q$5:$AA$54,$AE22,5)/$AG22,4))</f>
        <v>0.2429</v>
      </c>
      <c r="N22" s="9">
        <f>IF($H22&lt;&gt;"OK","",ROUND($G22*使い方と設定!$B$7*$AK22*INDEX(個性タイプマスタ!$Q$5:$AA$54,$AE22,6)/$AG22,4))</f>
        <v>0.2077</v>
      </c>
      <c r="O22" s="9">
        <f>IF($H22&lt;&gt;"OK","",ROUND($G22*使い方と設定!$B$7*$AK22*INDEX(個性タイプマスタ!$Q$5:$AA$54,$AE22,7)/$AG22,4))</f>
        <v>5.1700000000000003E-2</v>
      </c>
      <c r="P22" s="9">
        <f>IF($H22&lt;&gt;"OK","",ROUND($G22*使い方と設定!$B$7*$AK22*INDEX(個性タイプマスタ!$Q$5:$AA$54,$AE22,8)/$AG22,4))</f>
        <v>0.11</v>
      </c>
      <c r="Q22" s="9">
        <f>IF($H22&lt;&gt;"OK","",ROUND($G22*使い方と設定!$B$7*$AK22*INDEX(個性タイプマスタ!$Q$5:$AA$54,$AE22,9)/$AG22,4))</f>
        <v>4.7600000000000003E-2</v>
      </c>
      <c r="R22" s="9">
        <f>IF($H22&lt;&gt;"OK","",ROUND($G22*使い方と設定!$B$7*$AK22*INDEX(個性タイプマスタ!$Q$5:$AA$54,$AE22,10)/$AG22,4))</f>
        <v>9.5899999999999999E-2</v>
      </c>
      <c r="S22" s="9">
        <f>IF($H22&lt;&gt;"OK","",ROUND($G22*使い方と設定!$B$7*$AK22*INDEX(個性タイプマスタ!$Q$5:$AA$54,$AE22,11)/$AG22,4))</f>
        <v>0.1119</v>
      </c>
      <c r="T22" s="9">
        <f>IF($H22&lt;&gt;"OK","",ROUND($G22*使い方と設定!$B$8*$AK22*$AH22*INDEX(属性耐性マスタ!$B$5:$G$10,$AF22,1),4))</f>
        <v>4.4999999999999997E-3</v>
      </c>
      <c r="U22" s="9">
        <f>IF($H22&lt;&gt;"OK","",ROUND($G22*使い方と設定!$B$8*$AK22*$AH22*INDEX(属性耐性マスタ!$B$5:$G$10,$AF22,2),4))</f>
        <v>4.4999999999999997E-3</v>
      </c>
      <c r="V22" s="9">
        <f>IF($H22&lt;&gt;"OK","",ROUND($G22*使い方と設定!$B$8*$AK22*$AH22*INDEX(属性耐性マスタ!$B$5:$G$10,$AF22,3),4))</f>
        <v>4.4999999999999997E-3</v>
      </c>
      <c r="W22" s="9">
        <f>IF($H22&lt;&gt;"OK","",ROUND($G22*使い方と設定!$B$8*$AK22*$AH22*INDEX(属性耐性マスタ!$B$5:$G$10,$AF22,4),4))</f>
        <v>4.4999999999999997E-3</v>
      </c>
      <c r="X22" s="9">
        <f>IF($H22&lt;&gt;"OK","",ROUND($G22*使い方と設定!$B$8*$AK22*$AH22*INDEX(属性耐性マスタ!$B$5:$G$10,$AF22,5),4))</f>
        <v>1.1900000000000001E-2</v>
      </c>
      <c r="Y22" s="9">
        <f>IF($H22&lt;&gt;"OK","",ROUND($G22*使い方と設定!$B$8*$AK22*$AH22*INDEX(属性耐性マスタ!$B$5:$G$10,$AF22,6),4))</f>
        <v>8.9599999999999999E-2</v>
      </c>
      <c r="Z22" s="9">
        <f>IF($H22&lt;&gt;"OK","",ROUND($G22*使い方と設定!$B$9*$AK22*$AI22,4))</f>
        <v>0.4924</v>
      </c>
      <c r="AA22" s="10">
        <v>0.55000000000000004</v>
      </c>
      <c r="AB22" s="11">
        <f t="shared" si="1"/>
        <v>1.8658999999999999</v>
      </c>
      <c r="AC22" s="11">
        <f t="shared" si="2"/>
        <v>0.1195</v>
      </c>
      <c r="AD22" s="7" t="str">
        <f>IF($H22&lt;&gt;"OK","",INDEX(個性タイプマスタ!$P$5:$P$54,$AE22))</f>
        <v>巨大なHPと極端な鈍足</v>
      </c>
      <c r="AE22">
        <f>IFERROR(MATCH(E22,個性タイプマスタ!$A$5:$A$54,0),0)</f>
        <v>45</v>
      </c>
      <c r="AF22">
        <f>IFERROR(MATCH(F22,属性耐性マスタ!$A$5:$A$10,0),0)</f>
        <v>6</v>
      </c>
      <c r="AG22">
        <f>IF(AE22=0,1,INDEX(個性タイプマスタ!$AB$5:$AB$54,AE22))</f>
        <v>9.9250000000000007</v>
      </c>
      <c r="AH22">
        <f>IF(AE22=0,1,INDEX(個性タイプマスタ!$AC$5:$AC$54,AE22))</f>
        <v>1.2</v>
      </c>
      <c r="AI22">
        <f>IF(AE22=0,0,INDEX(個性タイプマスタ!$AD$5:$AD$54,AE22))</f>
        <v>0.79166666666666663</v>
      </c>
      <c r="AJ22" s="16">
        <v>3</v>
      </c>
      <c r="AK22" s="17">
        <f>IF(OR(AJ22="",AJ22&lt;1),"",POWER(使い方と設定!$E$6,AJ22-1))</f>
        <v>1.0816000000000001</v>
      </c>
    </row>
    <row r="23" spans="1:37">
      <c r="A23" t="str">
        <f>+[2]称号!A18</f>
        <v>TITLE_017</v>
      </c>
      <c r="B23" t="str">
        <f>+[2]称号!B18</f>
        <v>屍竜の咆哮</v>
      </c>
      <c r="C23" t="s">
        <v>134</v>
      </c>
      <c r="D23" t="s">
        <v>135</v>
      </c>
      <c r="E23" s="2" t="str">
        <f>[1]モンスター計算!AM21</f>
        <v>近接・重装</v>
      </c>
      <c r="F23" s="2" t="str">
        <f>[1]モンスター計算!C21</f>
        <v>闇</v>
      </c>
      <c r="G23" s="8">
        <v>1.2</v>
      </c>
      <c r="H23" t="str">
        <f t="shared" si="0"/>
        <v>OK</v>
      </c>
      <c r="I23" s="9">
        <f>IF($H23&lt;&gt;"OK","",ROUND($G23*使い方と設定!$B$7*$AK23*INDEX(個性タイプマスタ!$Q$5:$AA$54,$AE23,1)/$AG23,4))</f>
        <v>0.27410000000000001</v>
      </c>
      <c r="J23" s="9">
        <f>IF($H23&lt;&gt;"OK","",ROUND($G23*使い方と設定!$B$7*$AK23*INDEX(個性タイプマスタ!$Q$5:$AA$54,$AE23,2)/$AG23,4))</f>
        <v>9.1399999999999995E-2</v>
      </c>
      <c r="K23" s="9">
        <f>IF($H23&lt;&gt;"OK","",ROUND($G23*使い方と設定!$B$7*$AK23*INDEX(個性タイプマスタ!$Q$5:$AA$54,$AE23,3)/$AG23,4))</f>
        <v>0.46150000000000002</v>
      </c>
      <c r="L23" s="9">
        <f>IF($H23&lt;&gt;"OK","",ROUND($G23*使い方と設定!$B$7*$AK23*INDEX(個性タイプマスタ!$Q$5:$AA$54,$AE23,4)/$AG23,4))</f>
        <v>4.6100000000000002E-2</v>
      </c>
      <c r="M23" s="9">
        <f>IF($H23&lt;&gt;"OK","",ROUND($G23*使い方と設定!$B$7*$AK23*INDEX(個性タイプマスタ!$Q$5:$AA$54,$AE23,5)/$AG23,4))</f>
        <v>0.21970000000000001</v>
      </c>
      <c r="N23" s="9">
        <f>IF($H23&lt;&gt;"OK","",ROUND($G23*使い方と設定!$B$7*$AK23*INDEX(個性タイプマスタ!$Q$5:$AA$54,$AE23,6)/$AG23,4))</f>
        <v>0.15690000000000001</v>
      </c>
      <c r="O23" s="9">
        <f>IF($H23&lt;&gt;"OK","",ROUND($G23*使い方と設定!$B$7*$AK23*INDEX(個性タイプマスタ!$Q$5:$AA$54,$AE23,7)/$AG23,4))</f>
        <v>0.16239999999999999</v>
      </c>
      <c r="P23" s="9">
        <f>IF($H23&lt;&gt;"OK","",ROUND($G23*使い方と設定!$B$7*$AK23*INDEX(個性タイプマスタ!$Q$5:$AA$54,$AE23,8)/$AG23,4))</f>
        <v>0.128</v>
      </c>
      <c r="Q23" s="9">
        <f>IF($H23&lt;&gt;"OK","",ROUND($G23*使い方と設定!$B$7*$AK23*INDEX(個性タイプマスタ!$Q$5:$AA$54,$AE23,9)/$AG23,4))</f>
        <v>0.1096</v>
      </c>
      <c r="R23" s="9">
        <f>IF($H23&lt;&gt;"OK","",ROUND($G23*使い方と設定!$B$7*$AK23*INDEX(個性タイプマスタ!$Q$5:$AA$54,$AE23,10)/$AG23,4))</f>
        <v>0.1938</v>
      </c>
      <c r="S23" s="9">
        <f>IF($H23&lt;&gt;"OK","",ROUND($G23*使い方と設定!$B$7*$AK23*INDEX(個性タイプマスタ!$Q$5:$AA$54,$AE23,11)/$AG23,4))</f>
        <v>0.10340000000000001</v>
      </c>
      <c r="T23" s="9">
        <f>IF($H23&lt;&gt;"OK","",ROUND($G23*使い方と設定!$B$8*$AK23*$AH23*INDEX(属性耐性マスタ!$B$5:$G$10,$AF23,1),4))</f>
        <v>4.8999999999999998E-3</v>
      </c>
      <c r="U23" s="9">
        <f>IF($H23&lt;&gt;"OK","",ROUND($G23*使い方と設定!$B$8*$AK23*$AH23*INDEX(属性耐性マスタ!$B$5:$G$10,$AF23,2),4))</f>
        <v>4.8999999999999998E-3</v>
      </c>
      <c r="V23" s="9">
        <f>IF($H23&lt;&gt;"OK","",ROUND($G23*使い方と設定!$B$8*$AK23*$AH23*INDEX(属性耐性マスタ!$B$5:$G$10,$AF23,3),4))</f>
        <v>4.8999999999999998E-3</v>
      </c>
      <c r="W23" s="9">
        <f>IF($H23&lt;&gt;"OK","",ROUND($G23*使い方と設定!$B$8*$AK23*$AH23*INDEX(属性耐性マスタ!$B$5:$G$10,$AF23,4),4))</f>
        <v>4.8999999999999998E-3</v>
      </c>
      <c r="X23" s="9">
        <f>IF($H23&lt;&gt;"OK","",ROUND($G23*使い方と設定!$B$8*$AK23*$AH23*INDEX(属性耐性マスタ!$B$5:$G$10,$AF23,5),4))</f>
        <v>1.3100000000000001E-2</v>
      </c>
      <c r="Y23" s="9">
        <f>IF($H23&lt;&gt;"OK","",ROUND($G23*使い方と設定!$B$8*$AK23*$AH23*INDEX(属性耐性マスタ!$B$5:$G$10,$AF23,6),4))</f>
        <v>9.8100000000000007E-2</v>
      </c>
      <c r="Z23" s="9">
        <f>IF($H23&lt;&gt;"OK","",ROUND($G23*使い方と設定!$B$9*$AK23*$AI23,4))</f>
        <v>0.68140000000000001</v>
      </c>
      <c r="AA23" s="10">
        <v>0.5</v>
      </c>
      <c r="AB23" s="11">
        <f t="shared" si="1"/>
        <v>1.9469000000000001</v>
      </c>
      <c r="AC23" s="11">
        <f t="shared" si="2"/>
        <v>0.1308</v>
      </c>
      <c r="AD23" s="7" t="str">
        <f>IF($H23&lt;&gt;"OK","",INDEX(個性タイプマスタ!$P$5:$P$54,$AE23))</f>
        <v>高耐久の近接型。耐性も高め</v>
      </c>
      <c r="AE23">
        <f>IFERROR(MATCH(E23,個性タイプマスタ!$A$5:$A$54,0),0)</f>
        <v>5</v>
      </c>
      <c r="AF23">
        <f>IFERROR(MATCH(F23,属性耐性マスタ!$A$5:$A$10,0),0)</f>
        <v>6</v>
      </c>
      <c r="AG23">
        <f>IF(AE23=0,1,INDEX(個性タイプマスタ!$AB$5:$AB$54,AE23))</f>
        <v>10.547333333333334</v>
      </c>
      <c r="AH23">
        <f>IF(AE23=0,1,INDEX(個性タイプマスタ!$AC$5:$AC$54,AE23))</f>
        <v>1.26</v>
      </c>
      <c r="AI23">
        <f>IF(AE23=0,0,INDEX(個性タイプマスタ!$AD$5:$AD$54,AE23))</f>
        <v>1.05</v>
      </c>
      <c r="AJ23" s="16">
        <v>3</v>
      </c>
      <c r="AK23" s="17">
        <f>IF(OR(AJ23="",AJ23&lt;1),"",POWER(使い方と設定!$E$6,AJ23-1))</f>
        <v>1.0816000000000001</v>
      </c>
    </row>
    <row r="24" spans="1:37">
      <c r="A24" t="str">
        <f>+[2]称号!A19</f>
        <v>TITLE_018</v>
      </c>
      <c r="B24" t="str">
        <f>+[2]称号!B19</f>
        <v>終焉を告げる呪詛</v>
      </c>
      <c r="C24" t="s">
        <v>137</v>
      </c>
      <c r="D24" t="s">
        <v>138</v>
      </c>
      <c r="E24" s="2" t="str">
        <f>[1]モンスター計算!AM22</f>
        <v>魔法・連射</v>
      </c>
      <c r="F24" s="2" t="str">
        <f>[1]モンスター計算!C22</f>
        <v>闇</v>
      </c>
      <c r="G24" s="8">
        <v>1.25</v>
      </c>
      <c r="H24" t="str">
        <f t="shared" si="0"/>
        <v>OK</v>
      </c>
      <c r="I24" s="9">
        <f>IF($H24&lt;&gt;"OK","",ROUND($G24*使い方と設定!$B$7*$AK24*INDEX(個性タイプマスタ!$Q$5:$AA$54,$AE24,1)/$AG24,4))</f>
        <v>0.16619999999999999</v>
      </c>
      <c r="J24" s="9">
        <f>IF($H24&lt;&gt;"OK","",ROUND($G24*使い方と設定!$B$7*$AK24*INDEX(個性タイプマスタ!$Q$5:$AA$54,$AE24,2)/$AG24,4))</f>
        <v>0.21329999999999999</v>
      </c>
      <c r="K24" s="9">
        <f>IF($H24&lt;&gt;"OK","",ROUND($G24*使い方と設定!$B$7*$AK24*INDEX(個性タイプマスタ!$Q$5:$AA$54,$AE24,3)/$AG24,4))</f>
        <v>3.32E-2</v>
      </c>
      <c r="L24" s="9">
        <f>IF($H24&lt;&gt;"OK","",ROUND($G24*使い方と設定!$B$7*$AK24*INDEX(個性タイプマスタ!$Q$5:$AA$54,$AE24,4)/$AG24,4))</f>
        <v>0.51029999999999998</v>
      </c>
      <c r="M24" s="9">
        <f>IF($H24&lt;&gt;"OK","",ROUND($G24*使い方と設定!$B$7*$AK24*INDEX(個性タイプマスタ!$Q$5:$AA$54,$AE24,5)/$AG24,4))</f>
        <v>0.1249</v>
      </c>
      <c r="N24" s="9">
        <f>IF($H24&lt;&gt;"OK","",ROUND($G24*使い方と設定!$B$7*$AK24*INDEX(個性タイプマスタ!$Q$5:$AA$54,$AE24,6)/$AG24,4))</f>
        <v>0.1457</v>
      </c>
      <c r="O24" s="9">
        <f>IF($H24&lt;&gt;"OK","",ROUND($G24*使い方と設定!$B$7*$AK24*INDEX(個性タイプマスタ!$Q$5:$AA$54,$AE24,7)/$AG24,4))</f>
        <v>0.1123</v>
      </c>
      <c r="P24" s="9">
        <f>IF($H24&lt;&gt;"OK","",ROUND($G24*使い方と設定!$B$7*$AK24*INDEX(個性タイプマスタ!$Q$5:$AA$54,$AE24,8)/$AG24,4))</f>
        <v>0.12379999999999999</v>
      </c>
      <c r="Q24" s="9">
        <f>IF($H24&lt;&gt;"OK","",ROUND($G24*使い方と設定!$B$7*$AK24*INDEX(個性タイプマスタ!$Q$5:$AA$54,$AE24,9)/$AG24,4))</f>
        <v>0.15040000000000001</v>
      </c>
      <c r="R24" s="9">
        <f>IF($H24&lt;&gt;"OK","",ROUND($G24*使い方と設定!$B$7*$AK24*INDEX(個性タイプマスタ!$Q$5:$AA$54,$AE24,10)/$AG24,4))</f>
        <v>0.31640000000000001</v>
      </c>
      <c r="S24" s="9">
        <f>IF($H24&lt;&gt;"OK","",ROUND($G24*使い方と設定!$B$7*$AK24*INDEX(個性タイプマスタ!$Q$5:$AA$54,$AE24,11)/$AG24,4))</f>
        <v>0.13150000000000001</v>
      </c>
      <c r="T24" s="9">
        <f>IF($H24&lt;&gt;"OK","",ROUND($G24*使い方と設定!$B$8*$AK24*$AH24*INDEX(属性耐性マスタ!$B$5:$G$10,$AF24,1),4))</f>
        <v>2.8999999999999998E-3</v>
      </c>
      <c r="U24" s="9">
        <f>IF($H24&lt;&gt;"OK","",ROUND($G24*使い方と設定!$B$8*$AK24*$AH24*INDEX(属性耐性マスタ!$B$5:$G$10,$AF24,2),4))</f>
        <v>2.8999999999999998E-3</v>
      </c>
      <c r="V24" s="9">
        <f>IF($H24&lt;&gt;"OK","",ROUND($G24*使い方と設定!$B$8*$AK24*$AH24*INDEX(属性耐性マスタ!$B$5:$G$10,$AF24,3),4))</f>
        <v>2.8999999999999998E-3</v>
      </c>
      <c r="W24" s="9">
        <f>IF($H24&lt;&gt;"OK","",ROUND($G24*使い方と設定!$B$8*$AK24*$AH24*INDEX(属性耐性マスタ!$B$5:$G$10,$AF24,4),4))</f>
        <v>2.8999999999999998E-3</v>
      </c>
      <c r="X24" s="9">
        <f>IF($H24&lt;&gt;"OK","",ROUND($G24*使い方と設定!$B$8*$AK24*$AH24*INDEX(属性耐性マスタ!$B$5:$G$10,$AF24,5),4))</f>
        <v>7.7999999999999996E-3</v>
      </c>
      <c r="Y24" s="9">
        <f>IF($H24&lt;&gt;"OK","",ROUND($G24*使い方と設定!$B$8*$AK24*$AH24*INDEX(属性耐性マスタ!$B$5:$G$10,$AF24,6),4))</f>
        <v>5.8400000000000001E-2</v>
      </c>
      <c r="Z24" s="9">
        <f>IF($H24&lt;&gt;"OK","",ROUND($G24*使い方と設定!$B$9*$AK24*$AI24,4))</f>
        <v>0.78300000000000003</v>
      </c>
      <c r="AA24" s="10">
        <v>0.25</v>
      </c>
      <c r="AB24" s="11">
        <f t="shared" si="1"/>
        <v>2.028</v>
      </c>
      <c r="AC24" s="11">
        <f t="shared" si="2"/>
        <v>7.7799999999999994E-2</v>
      </c>
      <c r="AD24" s="7" t="str">
        <f>IF($H24&lt;&gt;"OK","",INDEX(個性タイプマスタ!$P$5:$P$54,$AE24))</f>
        <v>手数重視。ひと撃ちは軽いが高速</v>
      </c>
      <c r="AE24">
        <f>IFERROR(MATCH(E24,個性タイプマスタ!$A$5:$A$54,0),0)</f>
        <v>15</v>
      </c>
      <c r="AF24">
        <f>IFERROR(MATCH(F24,属性耐性マスタ!$A$5:$A$10,0),0)</f>
        <v>6</v>
      </c>
      <c r="AG24">
        <f>IF(AE24=0,1,INDEX(個性タイプマスタ!$AB$5:$AB$54,AE24))</f>
        <v>9.9351666666666674</v>
      </c>
      <c r="AH24">
        <f>IF(AE24=0,1,INDEX(個性タイプマスタ!$AC$5:$AC$54,AE24))</f>
        <v>0.72</v>
      </c>
      <c r="AI24">
        <f>IF(AE24=0,0,INDEX(個性タイプマスタ!$AD$5:$AD$54,AE24))</f>
        <v>1.1583333333333332</v>
      </c>
      <c r="AJ24" s="16">
        <v>3</v>
      </c>
      <c r="AK24" s="17">
        <f>IF(OR(AJ24="",AJ24&lt;1),"",POWER(使い方と設定!$E$6,AJ24-1))</f>
        <v>1.0816000000000001</v>
      </c>
    </row>
    <row r="25" spans="1:37">
      <c r="A25" t="str">
        <f>+[2]称号!A20</f>
        <v>TITLE_019</v>
      </c>
      <c r="B25" t="str">
        <f>+[2]称号!B20</f>
        <v>洞穴の俊牙</v>
      </c>
      <c r="C25" t="s">
        <v>140</v>
      </c>
      <c r="D25" t="s">
        <v>141</v>
      </c>
      <c r="E25" s="2" t="str">
        <f>[1]モンスター計算!AM23</f>
        <v>魔法・最終層</v>
      </c>
      <c r="F25" s="2" t="str">
        <f>[1]モンスター計算!C23</f>
        <v>風</v>
      </c>
      <c r="G25" s="8">
        <v>1</v>
      </c>
      <c r="H25" t="str">
        <f t="shared" si="0"/>
        <v>OK</v>
      </c>
      <c r="I25" s="9">
        <f>IF($H25&lt;&gt;"OK","",ROUND($G25*使い方と設定!$B$7*$AK25*INDEX(個性タイプマスタ!$Q$5:$AA$54,$AE25,1)/$AG25,4))</f>
        <v>0.2046</v>
      </c>
      <c r="J25" s="9">
        <f>IF($H25&lt;&gt;"OK","",ROUND($G25*使い方と設定!$B$7*$AK25*INDEX(個性タイプマスタ!$Q$5:$AA$54,$AE25,2)/$AG25,4))</f>
        <v>0.17050000000000001</v>
      </c>
      <c r="K25" s="9">
        <f>IF($H25&lt;&gt;"OK","",ROUND($G25*使い方と設定!$B$7*$AK25*INDEX(個性タイプマスタ!$Q$5:$AA$54,$AE25,3)/$AG25,4))</f>
        <v>3.8699999999999998E-2</v>
      </c>
      <c r="L25" s="9">
        <f>IF($H25&lt;&gt;"OK","",ROUND($G25*使い方と設定!$B$7*$AK25*INDEX(個性タイプマスタ!$Q$5:$AA$54,$AE25,4)/$AG25,4))</f>
        <v>0.38750000000000001</v>
      </c>
      <c r="M25" s="9">
        <f>IF($H25&lt;&gt;"OK","",ROUND($G25*使い方と設定!$B$7*$AK25*INDEX(個性タイプマスタ!$Q$5:$AA$54,$AE25,5)/$AG25,4))</f>
        <v>0.17130000000000001</v>
      </c>
      <c r="N25" s="9">
        <f>IF($H25&lt;&gt;"OK","",ROUND($G25*使い方と設定!$B$7*$AK25*INDEX(個性タイプマスタ!$Q$5:$AA$54,$AE25,6)/$AG25,4))</f>
        <v>0.112</v>
      </c>
      <c r="O25" s="9">
        <f>IF($H25&lt;&gt;"OK","",ROUND($G25*使い方と設定!$B$7*$AK25*INDEX(個性タイプマスタ!$Q$5:$AA$54,$AE25,7)/$AG25,4))</f>
        <v>0.13639999999999999</v>
      </c>
      <c r="P25" s="9">
        <f>IF($H25&lt;&gt;"OK","",ROUND($G25*使い方と設定!$B$7*$AK25*INDEX(個性タイプマスタ!$Q$5:$AA$54,$AE25,8)/$AG25,4))</f>
        <v>0.1075</v>
      </c>
      <c r="Q25" s="9">
        <f>IF($H25&lt;&gt;"OK","",ROUND($G25*使い方と設定!$B$7*$AK25*INDEX(個性タイプマスタ!$Q$5:$AA$54,$AE25,9)/$AG25,4))</f>
        <v>9.5500000000000002E-2</v>
      </c>
      <c r="R25" s="9">
        <f>IF($H25&lt;&gt;"OK","",ROUND($G25*使い方と設定!$B$7*$AK25*INDEX(個性タイプマスタ!$Q$5:$AA$54,$AE25,10)/$AG25,4))</f>
        <v>0.155</v>
      </c>
      <c r="S25" s="9">
        <f>IF($H25&lt;&gt;"OK","",ROUND($G25*使い方と設定!$B$7*$AK25*INDEX(個性タイプマスタ!$Q$5:$AA$54,$AE25,11)/$AG25,4))</f>
        <v>0.1085</v>
      </c>
      <c r="T25" s="9">
        <f>IF($H25&lt;&gt;"OK","",ROUND($G25*使い方と設定!$B$8*$AK25*$AH25*INDEX(属性耐性マスタ!$B$5:$G$10,$AF25,1),4))</f>
        <v>4.7999999999999996E-3</v>
      </c>
      <c r="U25" s="9">
        <f>IF($H25&lt;&gt;"OK","",ROUND($G25*使い方と設定!$B$8*$AK25*$AH25*INDEX(属性耐性マスタ!$B$5:$G$10,$AF25,2),4))</f>
        <v>4.7999999999999996E-3</v>
      </c>
      <c r="V25" s="9">
        <f>IF($H25&lt;&gt;"OK","",ROUND($G25*使い方と設定!$B$8*$AK25*$AH25*INDEX(属性耐性マスタ!$B$5:$G$10,$AF25,3),4))</f>
        <v>7.1499999999999994E-2</v>
      </c>
      <c r="W25" s="9">
        <f>IF($H25&lt;&gt;"OK","",ROUND($G25*使い方と設定!$B$8*$AK25*$AH25*INDEX(属性耐性マスタ!$B$5:$G$10,$AF25,4),4))</f>
        <v>1.7899999999999999E-2</v>
      </c>
      <c r="X25" s="9">
        <f>IF($H25&lt;&gt;"OK","",ROUND($G25*使い方と設定!$B$8*$AK25*$AH25*INDEX(属性耐性マスタ!$B$5:$G$10,$AF25,5),4))</f>
        <v>3.5999999999999999E-3</v>
      </c>
      <c r="Y25" s="9">
        <f>IF($H25&lt;&gt;"OK","",ROUND($G25*使い方と設定!$B$8*$AK25*$AH25*INDEX(属性耐性マスタ!$B$5:$G$10,$AF25,6),4))</f>
        <v>3.5999999999999999E-3</v>
      </c>
      <c r="Z25" s="9">
        <f>IF($H25&lt;&gt;"OK","",ROUND($G25*使い方と設定!$B$9*$AK25*$AI25,4))</f>
        <v>0.59989999999999999</v>
      </c>
      <c r="AA25" s="10">
        <v>1</v>
      </c>
      <c r="AB25" s="11">
        <f t="shared" si="1"/>
        <v>1.6875</v>
      </c>
      <c r="AC25" s="11">
        <f t="shared" si="2"/>
        <v>0.1062</v>
      </c>
      <c r="AD25" s="7" t="str">
        <f>IF($H25&lt;&gt;"OK","",INDEX(個性タイプマスタ!$P$5:$P$54,$AE25))</f>
        <v>終盤魔法の特別配分</v>
      </c>
      <c r="AE25">
        <f>IFERROR(MATCH(E25,個性タイプマスタ!$A$5:$A$54,0),0)</f>
        <v>8</v>
      </c>
      <c r="AF25">
        <f>IFERROR(MATCH(F25,属性耐性マスタ!$A$5:$A$10,0),0)</f>
        <v>3</v>
      </c>
      <c r="AG25">
        <f>IF(AE25=0,1,INDEX(個性タイプマスタ!$AB$5:$AB$54,AE25))</f>
        <v>10.886833333333332</v>
      </c>
      <c r="AH25">
        <f>IF(AE25=0,1,INDEX(個性タイプマスタ!$AC$5:$AC$54,AE25))</f>
        <v>1.06</v>
      </c>
      <c r="AI25">
        <f>IF(AE25=0,0,INDEX(個性タイプマスタ!$AD$5:$AD$54,AE25))</f>
        <v>1.0666666666666667</v>
      </c>
      <c r="AJ25" s="16">
        <v>4</v>
      </c>
      <c r="AK25" s="17">
        <f>IF(OR(AJ25="",AJ25&lt;1),"",POWER(使い方と設定!$E$6,AJ25-1))</f>
        <v>1.1248640000000001</v>
      </c>
    </row>
    <row r="26" spans="1:37">
      <c r="A26" t="str">
        <f>+[2]称号!A21</f>
        <v>TITLE_020</v>
      </c>
      <c r="B26" t="str">
        <f>+[2]称号!B21</f>
        <v>月影の疾走</v>
      </c>
      <c r="C26" t="s">
        <v>143</v>
      </c>
      <c r="D26" t="s">
        <v>144</v>
      </c>
      <c r="E26" s="2" t="str">
        <f>[1]モンスター計算!AM24</f>
        <v>魔法・超軽量</v>
      </c>
      <c r="F26" s="2" t="str">
        <f>[1]モンスター計算!C24</f>
        <v>風</v>
      </c>
      <c r="G26" s="8">
        <v>1.05</v>
      </c>
      <c r="H26" t="str">
        <f t="shared" si="0"/>
        <v>OK</v>
      </c>
      <c r="I26" s="9">
        <f>IF($H26&lt;&gt;"OK","",ROUND($G26*使い方と設定!$B$7*$AK26*INDEX(個性タイプマスタ!$Q$5:$AA$54,$AE26,1)/$AG26,4))</f>
        <v>0.1166</v>
      </c>
      <c r="J26" s="9">
        <f>IF($H26&lt;&gt;"OK","",ROUND($G26*使い方と設定!$B$7*$AK26*INDEX(個性タイプマスタ!$Q$5:$AA$54,$AE26,2)/$AG26,4))</f>
        <v>0.15679999999999999</v>
      </c>
      <c r="K26" s="9">
        <f>IF($H26&lt;&gt;"OK","",ROUND($G26*使い方と設定!$B$7*$AK26*INDEX(個性タイプマスタ!$Q$5:$AA$54,$AE26,3)/$AG26,4))</f>
        <v>2.2800000000000001E-2</v>
      </c>
      <c r="L26" s="9">
        <f>IF($H26&lt;&gt;"OK","",ROUND($G26*使い方と設定!$B$7*$AK26*INDEX(個性タイプマスタ!$Q$5:$AA$54,$AE26,4)/$AG26,4))</f>
        <v>0.45689999999999997</v>
      </c>
      <c r="M26" s="9">
        <f>IF($H26&lt;&gt;"OK","",ROUND($G26*使い方と設定!$B$7*$AK26*INDEX(個性タイプマスタ!$Q$5:$AA$54,$AE26,5)/$AG26,4))</f>
        <v>9.9400000000000002E-2</v>
      </c>
      <c r="N26" s="9">
        <f>IF($H26&lt;&gt;"OK","",ROUND($G26*使い方と設定!$B$7*$AK26*INDEX(個性タイプマスタ!$Q$5:$AA$54,$AE26,6)/$AG26,4))</f>
        <v>0.10100000000000001</v>
      </c>
      <c r="O26" s="9">
        <f>IF($H26&lt;&gt;"OK","",ROUND($G26*使い方と設定!$B$7*$AK26*INDEX(個性タイプマスタ!$Q$5:$AA$54,$AE26,7)/$AG26,4))</f>
        <v>0.1608</v>
      </c>
      <c r="P26" s="9">
        <f>IF($H26&lt;&gt;"OK","",ROUND($G26*使い方と設定!$B$7*$AK26*INDEX(個性タイプマスタ!$Q$5:$AA$54,$AE26,8)/$AG26,4))</f>
        <v>0.12280000000000001</v>
      </c>
      <c r="Q26" s="9">
        <f>IF($H26&lt;&gt;"OK","",ROUND($G26*使い方と設定!$B$7*$AK26*INDEX(個性タイプマスタ!$Q$5:$AA$54,$AE26,9)/$AG26,4))</f>
        <v>0.16889999999999999</v>
      </c>
      <c r="R26" s="9">
        <f>IF($H26&lt;&gt;"OK","",ROUND($G26*使い方と設定!$B$7*$AK26*INDEX(個性タイプマスタ!$Q$5:$AA$54,$AE26,10)/$AG26,4))</f>
        <v>0.23760000000000001</v>
      </c>
      <c r="S26" s="9">
        <f>IF($H26&lt;&gt;"OK","",ROUND($G26*使い方と設定!$B$7*$AK26*INDEX(個性タイプマスタ!$Q$5:$AA$54,$AE26,11)/$AG26,4))</f>
        <v>0.12790000000000001</v>
      </c>
      <c r="T26" s="9">
        <f>IF($H26&lt;&gt;"OK","",ROUND($G26*使い方と設定!$B$8*$AK26*$AH26*INDEX(属性耐性マスタ!$B$5:$G$10,$AF26,1),4))</f>
        <v>3.0000000000000001E-3</v>
      </c>
      <c r="U26" s="9">
        <f>IF($H26&lt;&gt;"OK","",ROUND($G26*使い方と設定!$B$8*$AK26*$AH26*INDEX(属性耐性マスタ!$B$5:$G$10,$AF26,2),4))</f>
        <v>3.0000000000000001E-3</v>
      </c>
      <c r="V26" s="9">
        <f>IF($H26&lt;&gt;"OK","",ROUND($G26*使い方と設定!$B$8*$AK26*$AH26*INDEX(属性耐性マスタ!$B$5:$G$10,$AF26,3),4))</f>
        <v>4.5400000000000003E-2</v>
      </c>
      <c r="W26" s="9">
        <f>IF($H26&lt;&gt;"OK","",ROUND($G26*使い方と設定!$B$8*$AK26*$AH26*INDEX(属性耐性マスタ!$B$5:$G$10,$AF26,4),4))</f>
        <v>1.1299999999999999E-2</v>
      </c>
      <c r="X26" s="9">
        <f>IF($H26&lt;&gt;"OK","",ROUND($G26*使い方と設定!$B$8*$AK26*$AH26*INDEX(属性耐性マスタ!$B$5:$G$10,$AF26,5),4))</f>
        <v>2.3E-3</v>
      </c>
      <c r="Y26" s="9">
        <f>IF($H26&lt;&gt;"OK","",ROUND($G26*使い方と設定!$B$8*$AK26*$AH26*INDEX(属性耐性マスタ!$B$5:$G$10,$AF26,6),4))</f>
        <v>2.3E-3</v>
      </c>
      <c r="Z26" s="9">
        <f>IF($H26&lt;&gt;"OK","",ROUND($G26*使い方と設定!$B$9*$AK26*$AI26,4))</f>
        <v>0.76770000000000005</v>
      </c>
      <c r="AA26" s="10">
        <v>1</v>
      </c>
      <c r="AB26" s="11">
        <f t="shared" si="1"/>
        <v>1.7715000000000001</v>
      </c>
      <c r="AC26" s="11">
        <f t="shared" si="2"/>
        <v>6.7299999999999999E-2</v>
      </c>
      <c r="AD26" s="7" t="str">
        <f>IF($H26&lt;&gt;"OK","",INDEX(個性タイプマスタ!$P$5:$P$54,$AE26))</f>
        <v>超高速移動・極低耐久</v>
      </c>
      <c r="AE26">
        <f>IFERROR(MATCH(E26,個性タイプマスタ!$A$5:$A$54,0),0)</f>
        <v>18</v>
      </c>
      <c r="AF26">
        <f>IFERROR(MATCH(F26,属性耐性マスタ!$A$5:$A$10,0),0)</f>
        <v>3</v>
      </c>
      <c r="AG26">
        <f>IF(AE26=0,1,INDEX(個性タイプマスタ!$AB$5:$AB$54,AE26))</f>
        <v>9.6931666666666683</v>
      </c>
      <c r="AH26">
        <f>IF(AE26=0,1,INDEX(個性タイプマスタ!$AC$5:$AC$54,AE26))</f>
        <v>0.64</v>
      </c>
      <c r="AI26">
        <f>IF(AE26=0,0,INDEX(個性タイプマスタ!$AD$5:$AD$54,AE26))</f>
        <v>1.3</v>
      </c>
      <c r="AJ26" s="16">
        <v>4</v>
      </c>
      <c r="AK26" s="17">
        <f>IF(OR(AJ26="",AJ26&lt;1),"",POWER(使い方と設定!$E$6,AJ26-1))</f>
        <v>1.1248640000000001</v>
      </c>
    </row>
    <row r="27" spans="1:37">
      <c r="A27" t="str">
        <f>+[2]称号!A22</f>
        <v>TITLE_021</v>
      </c>
      <c r="B27" t="str">
        <f>+[2]称号!B22</f>
        <v>紅牙の狩人</v>
      </c>
      <c r="C27" t="s">
        <v>146</v>
      </c>
      <c r="D27" t="s">
        <v>147</v>
      </c>
      <c r="E27" s="2" t="str">
        <f>[1]モンスター計算!AM25</f>
        <v>魔法・物防障壁</v>
      </c>
      <c r="F27" s="2" t="str">
        <f>[1]モンスター計算!C25</f>
        <v>闇</v>
      </c>
      <c r="G27" s="8">
        <v>1.1000000000000001</v>
      </c>
      <c r="H27" t="str">
        <f t="shared" si="0"/>
        <v>OK</v>
      </c>
      <c r="I27" s="9">
        <f>IF($H27&lt;&gt;"OK","",ROUND($G27*使い方と設定!$B$7*$AK27*INDEX(個性タイプマスタ!$Q$5:$AA$54,$AE27,1)/$AG27,4))</f>
        <v>0.2109</v>
      </c>
      <c r="J27" s="9">
        <f>IF($H27&lt;&gt;"OK","",ROUND($G27*使い方と設定!$B$7*$AK27*INDEX(個性タイプマスタ!$Q$5:$AA$54,$AE27,2)/$AG27,4))</f>
        <v>0.25419999999999998</v>
      </c>
      <c r="K27" s="9">
        <f>IF($H27&lt;&gt;"OK","",ROUND($G27*使い方と設定!$B$7*$AK27*INDEX(個性タイプマスタ!$Q$5:$AA$54,$AE27,3)/$AG27,4))</f>
        <v>2.8199999999999999E-2</v>
      </c>
      <c r="L27" s="9">
        <f>IF($H27&lt;&gt;"OK","",ROUND($G27*使い方と設定!$B$7*$AK27*INDEX(個性タイプマスタ!$Q$5:$AA$54,$AE27,4)/$AG27,4))</f>
        <v>0.42799999999999999</v>
      </c>
      <c r="M27" s="9">
        <f>IF($H27&lt;&gt;"OK","",ROUND($G27*使い方と設定!$B$7*$AK27*INDEX(個性タイプマスタ!$Q$5:$AA$54,$AE27,5)/$AG27,4))</f>
        <v>0.2838</v>
      </c>
      <c r="N27" s="9">
        <f>IF($H27&lt;&gt;"OK","",ROUND($G27*使い方と設定!$B$7*$AK27*INDEX(個性タイプマスタ!$Q$5:$AA$54,$AE27,6)/$AG27,4))</f>
        <v>0.1048</v>
      </c>
      <c r="O27" s="9">
        <f>IF($H27&lt;&gt;"OK","",ROUND($G27*使い方と設定!$B$7*$AK27*INDEX(個性タイプマスタ!$Q$5:$AA$54,$AE27,7)/$AG27,4))</f>
        <v>0.1036</v>
      </c>
      <c r="P27" s="9">
        <f>IF($H27&lt;&gt;"OK","",ROUND($G27*使い方と設定!$B$7*$AK27*INDEX(個性タイプマスタ!$Q$5:$AA$54,$AE27,8)/$AG27,4))</f>
        <v>0.1113</v>
      </c>
      <c r="Q27" s="9">
        <f>IF($H27&lt;&gt;"OK","",ROUND($G27*使い方と設定!$B$7*$AK27*INDEX(個性タイプマスタ!$Q$5:$AA$54,$AE27,9)/$AG27,4))</f>
        <v>6.9699999999999998E-2</v>
      </c>
      <c r="R27" s="9">
        <f>IF($H27&lt;&gt;"OK","",ROUND($G27*使い方と設定!$B$7*$AK27*INDEX(個性タイプマスタ!$Q$5:$AA$54,$AE27,10)/$AG27,4))</f>
        <v>0.1489</v>
      </c>
      <c r="S27" s="9">
        <f>IF($H27&lt;&gt;"OK","",ROUND($G27*使い方と設定!$B$7*$AK27*INDEX(個性タイプマスタ!$Q$5:$AA$54,$AE27,11)/$AG27,4))</f>
        <v>0.11260000000000001</v>
      </c>
      <c r="T27" s="9">
        <f>IF($H27&lt;&gt;"OK","",ROUND($G27*使い方と設定!$B$8*$AK27*$AH27*INDEX(属性耐性マスタ!$B$5:$G$10,$AF27,1),4))</f>
        <v>4.7000000000000002E-3</v>
      </c>
      <c r="U27" s="9">
        <f>IF($H27&lt;&gt;"OK","",ROUND($G27*使い方と設定!$B$8*$AK27*$AH27*INDEX(属性耐性マスタ!$B$5:$G$10,$AF27,2),4))</f>
        <v>4.7000000000000002E-3</v>
      </c>
      <c r="V27" s="9">
        <f>IF($H27&lt;&gt;"OK","",ROUND($G27*使い方と設定!$B$8*$AK27*$AH27*INDEX(属性耐性マスタ!$B$5:$G$10,$AF27,3),4))</f>
        <v>4.7000000000000002E-3</v>
      </c>
      <c r="W27" s="9">
        <f>IF($H27&lt;&gt;"OK","",ROUND($G27*使い方と設定!$B$8*$AK27*$AH27*INDEX(属性耐性マスタ!$B$5:$G$10,$AF27,4),4))</f>
        <v>4.7000000000000002E-3</v>
      </c>
      <c r="X27" s="9">
        <f>IF($H27&lt;&gt;"OK","",ROUND($G27*使い方と設定!$B$8*$AK27*$AH27*INDEX(属性耐性マスタ!$B$5:$G$10,$AF27,5),4))</f>
        <v>1.2500000000000001E-2</v>
      </c>
      <c r="Y27" s="9">
        <f>IF($H27&lt;&gt;"OK","",ROUND($G27*使い方と設定!$B$8*$AK27*$AH27*INDEX(属性耐性マスタ!$B$5:$G$10,$AF27,6),4))</f>
        <v>9.35E-2</v>
      </c>
      <c r="Z27" s="9">
        <f>IF($H27&lt;&gt;"OK","",ROUND($G27*使い方と設定!$B$9*$AK27*$AI27,4))</f>
        <v>0.56200000000000006</v>
      </c>
      <c r="AA27" s="10">
        <v>0.9</v>
      </c>
      <c r="AB27" s="11">
        <f t="shared" si="1"/>
        <v>1.8560000000000001</v>
      </c>
      <c r="AC27" s="11">
        <f t="shared" si="2"/>
        <v>0.12479999999999999</v>
      </c>
      <c r="AD27" s="7" t="str">
        <f>IF($H27&lt;&gt;"OK","",INDEX(個性タイプマスタ!$P$5:$P$54,$AE27))</f>
        <v>物理防御を集中的に強化</v>
      </c>
      <c r="AE27">
        <f>IFERROR(MATCH(E27,個性タイプマスタ!$A$5:$A$54,0),0)</f>
        <v>25</v>
      </c>
      <c r="AF27">
        <f>IFERROR(MATCH(F27,属性耐性マスタ!$A$5:$A$10,0),0)</f>
        <v>6</v>
      </c>
      <c r="AG27">
        <f>IF(AE27=0,1,INDEX(個性タイプマスタ!$AB$5:$AB$54,AE27))</f>
        <v>10.8415</v>
      </c>
      <c r="AH27">
        <f>IF(AE27=0,1,INDEX(個性タイプマスタ!$AC$5:$AC$54,AE27))</f>
        <v>1.26</v>
      </c>
      <c r="AI27">
        <f>IF(AE27=0,0,INDEX(個性タイプマスタ!$AD$5:$AD$54,AE27))</f>
        <v>0.90833333333333333</v>
      </c>
      <c r="AJ27" s="16">
        <v>4</v>
      </c>
      <c r="AK27" s="17">
        <f>IF(OR(AJ27="",AJ27&lt;1),"",POWER(使い方と設定!$E$6,AJ27-1))</f>
        <v>1.1248640000000001</v>
      </c>
    </row>
    <row r="28" spans="1:37">
      <c r="A28" t="str">
        <f>+[2]称号!A23</f>
        <v>TITLE_022</v>
      </c>
      <c r="B28" t="str">
        <f>+[2]称号!B23</f>
        <v>満月に狂う獣</v>
      </c>
      <c r="C28" t="s">
        <v>148</v>
      </c>
      <c r="D28" t="s">
        <v>149</v>
      </c>
      <c r="E28" s="2" t="str">
        <f>[1]モンスター計算!AM26</f>
        <v>近接・耐久</v>
      </c>
      <c r="F28" s="2" t="str">
        <f>[1]モンスター計算!C26</f>
        <v>闇</v>
      </c>
      <c r="G28" s="8">
        <v>1.1499999999999999</v>
      </c>
      <c r="H28" t="str">
        <f t="shared" si="0"/>
        <v>OK</v>
      </c>
      <c r="I28" s="9">
        <f>IF($H28&lt;&gt;"OK","",ROUND($G28*使い方と設定!$B$7*$AK28*INDEX(個性タイプマスタ!$Q$5:$AA$54,$AE28,1)/$AG28,4))</f>
        <v>0.25319999999999998</v>
      </c>
      <c r="J28" s="9">
        <f>IF($H28&lt;&gt;"OK","",ROUND($G28*使い方と設定!$B$7*$AK28*INDEX(個性タイプマスタ!$Q$5:$AA$54,$AE28,2)/$AG28,4))</f>
        <v>8.9700000000000002E-2</v>
      </c>
      <c r="K28" s="9">
        <f>IF($H28&lt;&gt;"OK","",ROUND($G28*使い方と設定!$B$7*$AK28*INDEX(個性タイプマスタ!$Q$5:$AA$54,$AE28,3)/$AG28,4))</f>
        <v>0.47960000000000003</v>
      </c>
      <c r="L28" s="9">
        <f>IF($H28&lt;&gt;"OK","",ROUND($G28*使い方と設定!$B$7*$AK28*INDEX(個性タイプマスタ!$Q$5:$AA$54,$AE28,4)/$AG28,4))</f>
        <v>4.8000000000000001E-2</v>
      </c>
      <c r="M28" s="9">
        <f>IF($H28&lt;&gt;"OK","",ROUND($G28*使い方と設定!$B$7*$AK28*INDEX(個性タイプマスタ!$Q$5:$AA$54,$AE28,5)/$AG28,4))</f>
        <v>0.21199999999999999</v>
      </c>
      <c r="N28" s="9">
        <f>IF($H28&lt;&gt;"OK","",ROUND($G28*使い方と設定!$B$7*$AK28*INDEX(個性タイプマスタ!$Q$5:$AA$54,$AE28,6)/$AG28,4))</f>
        <v>0.1386</v>
      </c>
      <c r="O28" s="9">
        <f>IF($H28&lt;&gt;"OK","",ROUND($G28*使い方と設定!$B$7*$AK28*INDEX(個性タイプマスタ!$Q$5:$AA$54,$AE28,7)/$AG28,4))</f>
        <v>0.16880000000000001</v>
      </c>
      <c r="P28" s="9">
        <f>IF($H28&lt;&gt;"OK","",ROUND($G28*使い方と設定!$B$7*$AK28*INDEX(個性タイプマスタ!$Q$5:$AA$54,$AE28,8)/$AG28,4))</f>
        <v>0.13300000000000001</v>
      </c>
      <c r="Q28" s="9">
        <f>IF($H28&lt;&gt;"OK","",ROUND($G28*使い方と設定!$B$7*$AK28*INDEX(個性タイプマスタ!$Q$5:$AA$54,$AE28,9)/$AG28,4))</f>
        <v>0.1182</v>
      </c>
      <c r="R28" s="9">
        <f>IF($H28&lt;&gt;"OK","",ROUND($G28*使い方と設定!$B$7*$AK28*INDEX(個性タイプマスタ!$Q$5:$AA$54,$AE28,10)/$AG28,4))</f>
        <v>0.1918</v>
      </c>
      <c r="S28" s="9">
        <f>IF($H28&lt;&gt;"OK","",ROUND($G28*使い方と設定!$B$7*$AK28*INDEX(個性タイプマスタ!$Q$5:$AA$54,$AE28,11)/$AG28,4))</f>
        <v>0.1074</v>
      </c>
      <c r="T28" s="9">
        <f>IF($H28&lt;&gt;"OK","",ROUND($G28*使い方と設定!$B$8*$AK28*$AH28*INDEX(属性耐性マスタ!$B$5:$G$10,$AF28,1),4))</f>
        <v>4.4000000000000003E-3</v>
      </c>
      <c r="U28" s="9">
        <f>IF($H28&lt;&gt;"OK","",ROUND($G28*使い方と設定!$B$8*$AK28*$AH28*INDEX(属性耐性マスタ!$B$5:$G$10,$AF28,2),4))</f>
        <v>4.4000000000000003E-3</v>
      </c>
      <c r="V28" s="9">
        <f>IF($H28&lt;&gt;"OK","",ROUND($G28*使い方と設定!$B$8*$AK28*$AH28*INDEX(属性耐性マスタ!$B$5:$G$10,$AF28,3),4))</f>
        <v>4.4000000000000003E-3</v>
      </c>
      <c r="W28" s="9">
        <f>IF($H28&lt;&gt;"OK","",ROUND($G28*使い方と設定!$B$8*$AK28*$AH28*INDEX(属性耐性マスタ!$B$5:$G$10,$AF28,4),4))</f>
        <v>4.4000000000000003E-3</v>
      </c>
      <c r="X28" s="9">
        <f>IF($H28&lt;&gt;"OK","",ROUND($G28*使い方と設定!$B$8*$AK28*$AH28*INDEX(属性耐性マスタ!$B$5:$G$10,$AF28,5),4))</f>
        <v>1.18E-2</v>
      </c>
      <c r="Y28" s="9">
        <f>IF($H28&lt;&gt;"OK","",ROUND($G28*使い方と設定!$B$8*$AK28*$AH28*INDEX(属性耐性マスタ!$B$5:$G$10,$AF28,6),4))</f>
        <v>8.8499999999999995E-2</v>
      </c>
      <c r="Z28" s="9">
        <f>IF($H28&lt;&gt;"OK","",ROUND($G28*使い方と設定!$B$9*$AK28*$AI28,4))</f>
        <v>0.68989999999999996</v>
      </c>
      <c r="AA28" s="10">
        <v>0.55000000000000004</v>
      </c>
      <c r="AB28" s="11">
        <f t="shared" si="1"/>
        <v>1.9402999999999999</v>
      </c>
      <c r="AC28" s="11">
        <f t="shared" si="2"/>
        <v>0.1179</v>
      </c>
      <c r="AD28" s="7" t="str">
        <f>IF($H28&lt;&gt;"OK","",INDEX(個性タイプマスタ!$P$5:$P$54,$AE28))</f>
        <v>HP・物防寄りの近接型</v>
      </c>
      <c r="AE28">
        <f>IFERROR(MATCH(E28,個性タイプマスタ!$A$5:$A$54,0),0)</f>
        <v>4</v>
      </c>
      <c r="AF28">
        <f>IFERROR(MATCH(F28,属性耐性マスタ!$A$5:$A$10,0),0)</f>
        <v>6</v>
      </c>
      <c r="AG28">
        <f>IF(AE28=0,1,INDEX(個性タイプマスタ!$AB$5:$AB$54,AE28))</f>
        <v>10.114333333333335</v>
      </c>
      <c r="AH28">
        <f>IF(AE28=0,1,INDEX(個性タイプマスタ!$AC$5:$AC$54,AE28))</f>
        <v>1.1400000000000001</v>
      </c>
      <c r="AI28">
        <f>IF(AE28=0,0,INDEX(個性タイプマスタ!$AD$5:$AD$54,AE28))</f>
        <v>1.0666666666666667</v>
      </c>
      <c r="AJ28" s="16">
        <v>4</v>
      </c>
      <c r="AK28" s="17">
        <f>IF(OR(AJ28="",AJ28&lt;1),"",POWER(使い方と設定!$E$6,AJ28-1))</f>
        <v>1.1248640000000001</v>
      </c>
    </row>
    <row r="29" spans="1:37">
      <c r="A29" t="str">
        <f>+[2]称号!A24</f>
        <v>TITLE_023</v>
      </c>
      <c r="B29" t="str">
        <f>+[2]称号!B24</f>
        <v>氷嵐の魔狼</v>
      </c>
      <c r="C29" t="s">
        <v>151</v>
      </c>
      <c r="D29" t="s">
        <v>152</v>
      </c>
      <c r="E29" s="2" t="str">
        <f>[1]モンスター計算!AM27</f>
        <v>近接・重撃</v>
      </c>
      <c r="F29" s="2" t="str">
        <f>[1]モンスター計算!C27</f>
        <v>火</v>
      </c>
      <c r="G29" s="8">
        <v>1.2</v>
      </c>
      <c r="H29" t="str">
        <f t="shared" si="0"/>
        <v>OK</v>
      </c>
      <c r="I29" s="9">
        <f>IF($H29&lt;&gt;"OK","",ROUND($G29*使い方と設定!$B$7*$AK29*INDEX(個性タイプマスタ!$Q$5:$AA$54,$AE29,1)/$AG29,4))</f>
        <v>0.29970000000000002</v>
      </c>
      <c r="J29" s="9">
        <f>IF($H29&lt;&gt;"OK","",ROUND($G29*使い方と設定!$B$7*$AK29*INDEX(個性タイプマスタ!$Q$5:$AA$54,$AE29,2)/$AG29,4))</f>
        <v>8.2600000000000007E-2</v>
      </c>
      <c r="K29" s="9">
        <f>IF($H29&lt;&gt;"OK","",ROUND($G29*使い方と設定!$B$7*$AK29*INDEX(個性タイプマスタ!$Q$5:$AA$54,$AE29,3)/$AG29,4))</f>
        <v>0.5363</v>
      </c>
      <c r="L29" s="9">
        <f>IF($H29&lt;&gt;"OK","",ROUND($G29*使い方と設定!$B$7*$AK29*INDEX(個性タイプマスタ!$Q$5:$AA$54,$AE29,4)/$AG29,4))</f>
        <v>3.49E-2</v>
      </c>
      <c r="M29" s="9">
        <f>IF($H29&lt;&gt;"OK","",ROUND($G29*使い方と設定!$B$7*$AK29*INDEX(個性タイプマスタ!$Q$5:$AA$54,$AE29,5)/$AG29,4))</f>
        <v>0.1915</v>
      </c>
      <c r="N29" s="9">
        <f>IF($H29&lt;&gt;"OK","",ROUND($G29*使い方と設定!$B$7*$AK29*INDEX(個性タイプマスタ!$Q$5:$AA$54,$AE29,6)/$AG29,4))</f>
        <v>0.1605</v>
      </c>
      <c r="O29" s="9">
        <f>IF($H29&lt;&gt;"OK","",ROUND($G29*使い方と設定!$B$7*$AK29*INDEX(個性タイプマスタ!$Q$5:$AA$54,$AE29,7)/$AG29,4))</f>
        <v>0.1416</v>
      </c>
      <c r="P29" s="9">
        <f>IF($H29&lt;&gt;"OK","",ROUND($G29*使い方と設定!$B$7*$AK29*INDEX(個性タイプマスタ!$Q$5:$AA$54,$AE29,8)/$AG29,4))</f>
        <v>0.19989999999999999</v>
      </c>
      <c r="Q29" s="9">
        <f>IF($H29&lt;&gt;"OK","",ROUND($G29*使い方と設定!$B$7*$AK29*INDEX(個性タイプマスタ!$Q$5:$AA$54,$AE29,9)/$AG29,4))</f>
        <v>7.7899999999999997E-2</v>
      </c>
      <c r="R29" s="9">
        <f>IF($H29&lt;&gt;"OK","",ROUND($G29*使い方と設定!$B$7*$AK29*INDEX(個性タイプマスタ!$Q$5:$AA$54,$AE29,10)/$AG29,4))</f>
        <v>0.1137</v>
      </c>
      <c r="S29" s="9">
        <f>IF($H29&lt;&gt;"OK","",ROUND($G29*使い方と設定!$B$7*$AK29*INDEX(個性タイプマスタ!$Q$5:$AA$54,$AE29,11)/$AG29,4))</f>
        <v>0.1862</v>
      </c>
      <c r="T29" s="9">
        <f>IF($H29&lt;&gt;"OK","",ROUND($G29*使い方と設定!$B$8*$AK29*$AH29*INDEX(属性耐性マスタ!$B$5:$G$10,$AF29,1),4))</f>
        <v>7.2900000000000006E-2</v>
      </c>
      <c r="U29" s="9">
        <f>IF($H29&lt;&gt;"OK","",ROUND($G29*使い方と設定!$B$8*$AK29*$AH29*INDEX(属性耐性マスタ!$B$5:$G$10,$AF29,2),4))</f>
        <v>1.46E-2</v>
      </c>
      <c r="V29" s="9">
        <f>IF($H29&lt;&gt;"OK","",ROUND($G29*使い方と設定!$B$8*$AK29*$AH29*INDEX(属性耐性マスタ!$B$5:$G$10,$AF29,3),4))</f>
        <v>4.8999999999999998E-3</v>
      </c>
      <c r="W29" s="9">
        <f>IF($H29&lt;&gt;"OK","",ROUND($G29*使い方と設定!$B$8*$AK29*$AH29*INDEX(属性耐性マスタ!$B$5:$G$10,$AF29,4),4))</f>
        <v>4.8999999999999998E-3</v>
      </c>
      <c r="X29" s="9">
        <f>IF($H29&lt;&gt;"OK","",ROUND($G29*使い方と設定!$B$8*$AK29*$AH29*INDEX(属性耐性マスタ!$B$5:$G$10,$AF29,5),4))</f>
        <v>3.5999999999999999E-3</v>
      </c>
      <c r="Y29" s="9">
        <f>IF($H29&lt;&gt;"OK","",ROUND($G29*使い方と設定!$B$8*$AK29*$AH29*INDEX(属性耐性マスタ!$B$5:$G$10,$AF29,6),4))</f>
        <v>3.5999999999999999E-3</v>
      </c>
      <c r="Z29" s="9">
        <f>IF($H29&lt;&gt;"OK","",ROUND($G29*使い方と設定!$B$9*$AK29*$AI29,4))</f>
        <v>0.59060000000000001</v>
      </c>
      <c r="AA29" s="10">
        <v>0.5</v>
      </c>
      <c r="AB29" s="11">
        <f t="shared" si="1"/>
        <v>2.0247999999999999</v>
      </c>
      <c r="AC29" s="11">
        <f t="shared" si="2"/>
        <v>0.1045</v>
      </c>
      <c r="AD29" s="7" t="str">
        <f>IF($H29&lt;&gt;"OK","",INDEX(個性タイプマスタ!$P$5:$P$54,$AE29))</f>
        <v>一撃重視の低速型</v>
      </c>
      <c r="AE29">
        <f>IFERROR(MATCH(E29,個性タイプマスタ!$A$5:$A$54,0),0)</f>
        <v>33</v>
      </c>
      <c r="AF29">
        <f>IFERROR(MATCH(F29,属性耐性マスタ!$A$5:$A$10,0),0)</f>
        <v>1</v>
      </c>
      <c r="AG29">
        <f>IF(AE29=0,1,INDEX(個性タイプマスタ!$AB$5:$AB$54,AE29))</f>
        <v>9.4376666666666669</v>
      </c>
      <c r="AH29">
        <f>IF(AE29=0,1,INDEX(個性タイプマスタ!$AC$5:$AC$54,AE29))</f>
        <v>0.9</v>
      </c>
      <c r="AI29">
        <f>IF(AE29=0,0,INDEX(個性タイプマスタ!$AD$5:$AD$54,AE29))</f>
        <v>0.875</v>
      </c>
      <c r="AJ29" s="16">
        <v>4</v>
      </c>
      <c r="AK29" s="17">
        <f>IF(OR(AJ29="",AJ29&lt;1),"",POWER(使い方と設定!$E$6,AJ29-1))</f>
        <v>1.1248640000000001</v>
      </c>
    </row>
    <row r="30" spans="1:37">
      <c r="A30" t="str">
        <f>+[2]称号!A25</f>
        <v>TITLE_024</v>
      </c>
      <c r="B30" t="str">
        <f>+[2]称号!B25</f>
        <v>傷痕を刻む獣王</v>
      </c>
      <c r="C30" t="s">
        <v>153</v>
      </c>
      <c r="D30" t="s">
        <v>154</v>
      </c>
      <c r="E30" s="2" t="str">
        <f>[1]モンスター計算!AM28</f>
        <v>魔法・近距離</v>
      </c>
      <c r="F30" s="2" t="str">
        <f>[1]モンスター計算!C28</f>
        <v>闇</v>
      </c>
      <c r="G30" s="8">
        <v>1.25</v>
      </c>
      <c r="H30" t="str">
        <f t="shared" si="0"/>
        <v>OK</v>
      </c>
      <c r="I30" s="9">
        <f>IF($H30&lt;&gt;"OK","",ROUND($G30*使い方と設定!$B$7*$AK30*INDEX(個性タイプマスタ!$Q$5:$AA$54,$AE30,1)/$AG30,4))</f>
        <v>0.26790000000000003</v>
      </c>
      <c r="J30" s="9">
        <f>IF($H30&lt;&gt;"OK","",ROUND($G30*使い方と設定!$B$7*$AK30*INDEX(個性タイプマスタ!$Q$5:$AA$54,$AE30,2)/$AG30,4))</f>
        <v>0.19889999999999999</v>
      </c>
      <c r="K30" s="9">
        <f>IF($H30&lt;&gt;"OK","",ROUND($G30*使い方と設定!$B$7*$AK30*INDEX(個性タイプマスタ!$Q$5:$AA$54,$AE30,3)/$AG30,4))</f>
        <v>4.0399999999999998E-2</v>
      </c>
      <c r="L30" s="9">
        <f>IF($H30&lt;&gt;"OK","",ROUND($G30*使い方と設定!$B$7*$AK30*INDEX(個性タイプマスタ!$Q$5:$AA$54,$AE30,4)/$AG30,4))</f>
        <v>0.4758</v>
      </c>
      <c r="M30" s="9">
        <f>IF($H30&lt;&gt;"OK","",ROUND($G30*使い方と設定!$B$7*$AK30*INDEX(個性タイプマスタ!$Q$5:$AA$54,$AE30,5)/$AG30,4))</f>
        <v>0.19900000000000001</v>
      </c>
      <c r="N30" s="9">
        <f>IF($H30&lt;&gt;"OK","",ROUND($G30*使い方と設定!$B$7*$AK30*INDEX(個性タイプマスタ!$Q$5:$AA$54,$AE30,6)/$AG30,4))</f>
        <v>0.1812</v>
      </c>
      <c r="O30" s="9">
        <f>IF($H30&lt;&gt;"OK","",ROUND($G30*使い方と設定!$B$7*$AK30*INDEX(個性タイプマスタ!$Q$5:$AA$54,$AE30,7)/$AG30,4))</f>
        <v>0.14649999999999999</v>
      </c>
      <c r="P30" s="9">
        <f>IF($H30&lt;&gt;"OK","",ROUND($G30*使い方と設定!$B$7*$AK30*INDEX(個性タイプマスタ!$Q$5:$AA$54,$AE30,8)/$AG30,4))</f>
        <v>0.1237</v>
      </c>
      <c r="Q30" s="9">
        <f>IF($H30&lt;&gt;"OK","",ROUND($G30*使い方と設定!$B$7*$AK30*INDEX(個性タイプマスタ!$Q$5:$AA$54,$AE30,9)/$AG30,4))</f>
        <v>0.1172</v>
      </c>
      <c r="R30" s="9">
        <f>IF($H30&lt;&gt;"OK","",ROUND($G30*使い方と設定!$B$7*$AK30*INDEX(個性タイプマスタ!$Q$5:$AA$54,$AE30,10)/$AG30,4))</f>
        <v>0.27589999999999998</v>
      </c>
      <c r="S30" s="9">
        <f>IF($H30&lt;&gt;"OK","",ROUND($G30*使い方と設定!$B$7*$AK30*INDEX(個性タイプマスタ!$Q$5:$AA$54,$AE30,11)/$AG30,4))</f>
        <v>8.2600000000000007E-2</v>
      </c>
      <c r="T30" s="9">
        <f>IF($H30&lt;&gt;"OK","",ROUND($G30*使い方と設定!$B$8*$AK30*$AH30*INDEX(属性耐性マスタ!$B$5:$G$10,$AF30,1),4))</f>
        <v>4.7000000000000002E-3</v>
      </c>
      <c r="U30" s="9">
        <f>IF($H30&lt;&gt;"OK","",ROUND($G30*使い方と設定!$B$8*$AK30*$AH30*INDEX(属性耐性マスタ!$B$5:$G$10,$AF30,2),4))</f>
        <v>4.7000000000000002E-3</v>
      </c>
      <c r="V30" s="9">
        <f>IF($H30&lt;&gt;"OK","",ROUND($G30*使い方と設定!$B$8*$AK30*$AH30*INDEX(属性耐性マスタ!$B$5:$G$10,$AF30,3),4))</f>
        <v>4.7000000000000002E-3</v>
      </c>
      <c r="W30" s="9">
        <f>IF($H30&lt;&gt;"OK","",ROUND($G30*使い方と設定!$B$8*$AK30*$AH30*INDEX(属性耐性マスタ!$B$5:$G$10,$AF30,4),4))</f>
        <v>4.7000000000000002E-3</v>
      </c>
      <c r="X30" s="9">
        <f>IF($H30&lt;&gt;"OK","",ROUND($G30*使い方と設定!$B$8*$AK30*$AH30*INDEX(属性耐性マスタ!$B$5:$G$10,$AF30,5),4))</f>
        <v>1.26E-2</v>
      </c>
      <c r="Y30" s="9">
        <f>IF($H30&lt;&gt;"OK","",ROUND($G30*使い方と設定!$B$8*$AK30*$AH30*INDEX(属性耐性マスタ!$B$5:$G$10,$AF30,6),4))</f>
        <v>9.4500000000000001E-2</v>
      </c>
      <c r="Z30" s="9">
        <f>IF($H30&lt;&gt;"OK","",ROUND($G30*使い方と設定!$B$9*$AK30*$AI30,4))</f>
        <v>0.74990000000000001</v>
      </c>
      <c r="AA30" s="10">
        <v>0.25</v>
      </c>
      <c r="AB30" s="11">
        <f t="shared" si="1"/>
        <v>2.1091000000000002</v>
      </c>
      <c r="AC30" s="11">
        <f t="shared" si="2"/>
        <v>0.12590000000000001</v>
      </c>
      <c r="AD30" s="7" t="str">
        <f>IF($H30&lt;&gt;"OK","",INDEX(個性タイプマスタ!$P$5:$P$54,$AE30))</f>
        <v>短射程の連発型</v>
      </c>
      <c r="AE30">
        <f>IFERROR(MATCH(E30,個性タイプマスタ!$A$5:$A$54,0),0)</f>
        <v>21</v>
      </c>
      <c r="AF30">
        <f>IFERROR(MATCH(F30,属性耐性マスタ!$A$5:$A$10,0),0)</f>
        <v>6</v>
      </c>
      <c r="AG30">
        <f>IF(AE30=0,1,INDEX(個性タイプマスタ!$AB$5:$AB$54,AE30))</f>
        <v>11.082999999999998</v>
      </c>
      <c r="AH30">
        <f>IF(AE30=0,1,INDEX(個性タイプマスタ!$AC$5:$AC$54,AE30))</f>
        <v>1.1200000000000001</v>
      </c>
      <c r="AI30">
        <f>IF(AE30=0,0,INDEX(個性タイプマスタ!$AD$5:$AD$54,AE30))</f>
        <v>1.0666666666666667</v>
      </c>
      <c r="AJ30" s="16">
        <v>4</v>
      </c>
      <c r="AK30" s="17">
        <f>IF(OR(AJ30="",AJ30&lt;1),"",POWER(使い方と設定!$E$6,AJ30-1))</f>
        <v>1.1248640000000001</v>
      </c>
    </row>
    <row r="31" spans="1:37">
      <c r="A31" t="str">
        <f>+[2]称号!A26</f>
        <v>TITLE_025</v>
      </c>
      <c r="B31" t="str">
        <f>+[2]称号!B26</f>
        <v>恐怖を狩る影</v>
      </c>
      <c r="C31" t="s">
        <v>156</v>
      </c>
      <c r="D31" t="s">
        <v>157</v>
      </c>
      <c r="E31" s="2" t="str">
        <f>[1]モンスター計算!AM29</f>
        <v>魔法・砲撃</v>
      </c>
      <c r="F31" s="2" t="str">
        <f>[1]モンスター計算!C29</f>
        <v>闇</v>
      </c>
      <c r="G31" s="8">
        <v>1</v>
      </c>
      <c r="H31" t="str">
        <f t="shared" si="0"/>
        <v>OK</v>
      </c>
      <c r="I31" s="9">
        <f>IF($H31&lt;&gt;"OK","",ROUND($G31*使い方と設定!$B$7*$AK31*INDEX(個性タイプマスタ!$Q$5:$AA$54,$AE31,1)/$AG31,4))</f>
        <v>0.16830000000000001</v>
      </c>
      <c r="J31" s="9">
        <f>IF($H31&lt;&gt;"OK","",ROUND($G31*使い方と設定!$B$7*$AK31*INDEX(個性タイプマスタ!$Q$5:$AA$54,$AE31,2)/$AG31,4))</f>
        <v>0.2959</v>
      </c>
      <c r="K31" s="9">
        <f>IF($H31&lt;&gt;"OK","",ROUND($G31*使い方と設定!$B$7*$AK31*INDEX(個性タイプマスタ!$Q$5:$AA$54,$AE31,3)/$AG31,4))</f>
        <v>3.15E-2</v>
      </c>
      <c r="L31" s="9">
        <f>IF($H31&lt;&gt;"OK","",ROUND($G31*使い方と設定!$B$7*$AK31*INDEX(個性タイプマスタ!$Q$5:$AA$54,$AE31,4)/$AG31,4))</f>
        <v>0.4204</v>
      </c>
      <c r="M31" s="9">
        <f>IF($H31&lt;&gt;"OK","",ROUND($G31*使い方と設定!$B$7*$AK31*INDEX(個性タイプマスタ!$Q$5:$AA$54,$AE31,5)/$AG31,4))</f>
        <v>0.1258</v>
      </c>
      <c r="N31" s="9">
        <f>IF($H31&lt;&gt;"OK","",ROUND($G31*使い方と設定!$B$7*$AK31*INDEX(個性タイプマスタ!$Q$5:$AA$54,$AE31,6)/$AG31,4))</f>
        <v>0.1358</v>
      </c>
      <c r="O31" s="9">
        <f>IF($H31&lt;&gt;"OK","",ROUND($G31*使い方と設定!$B$7*$AK31*INDEX(個性タイプマスタ!$Q$5:$AA$54,$AE31,7)/$AG31,4))</f>
        <v>7.3999999999999996E-2</v>
      </c>
      <c r="P31" s="9">
        <f>IF($H31&lt;&gt;"OK","",ROUND($G31*使い方と設定!$B$7*$AK31*INDEX(個性タイプマスタ!$Q$5:$AA$54,$AE31,8)/$AG31,4))</f>
        <v>0.1603</v>
      </c>
      <c r="Q31" s="9">
        <f>IF($H31&lt;&gt;"OK","",ROUND($G31*使い方と設定!$B$7*$AK31*INDEX(個性タイプマスタ!$Q$5:$AA$54,$AE31,9)/$AG31,4))</f>
        <v>6.0999999999999999E-2</v>
      </c>
      <c r="R31" s="9">
        <f>IF($H31&lt;&gt;"OK","",ROUND($G31*使い方と設定!$B$7*$AK31*INDEX(個性タイプマスタ!$Q$5:$AA$54,$AE31,10)/$AG31,4))</f>
        <v>0.1076</v>
      </c>
      <c r="S31" s="9">
        <f>IF($H31&lt;&gt;"OK","",ROUND($G31*使い方と設定!$B$7*$AK31*INDEX(個性タイプマスタ!$Q$5:$AA$54,$AE31,11)/$AG31,4))</f>
        <v>0.17419999999999999</v>
      </c>
      <c r="T31" s="9">
        <f>IF($H31&lt;&gt;"OK","",ROUND($G31*使い方と設定!$B$8*$AK31*$AH31*INDEX(属性耐性マスタ!$B$5:$G$10,$AF31,1),4))</f>
        <v>3.2000000000000002E-3</v>
      </c>
      <c r="U31" s="9">
        <f>IF($H31&lt;&gt;"OK","",ROUND($G31*使い方と設定!$B$8*$AK31*$AH31*INDEX(属性耐性マスタ!$B$5:$G$10,$AF31,2),4))</f>
        <v>3.2000000000000002E-3</v>
      </c>
      <c r="V31" s="9">
        <f>IF($H31&lt;&gt;"OK","",ROUND($G31*使い方と設定!$B$8*$AK31*$AH31*INDEX(属性耐性マスタ!$B$5:$G$10,$AF31,3),4))</f>
        <v>3.2000000000000002E-3</v>
      </c>
      <c r="W31" s="9">
        <f>IF($H31&lt;&gt;"OK","",ROUND($G31*使い方と設定!$B$8*$AK31*$AH31*INDEX(属性耐性マスタ!$B$5:$G$10,$AF31,4),4))</f>
        <v>3.2000000000000002E-3</v>
      </c>
      <c r="X31" s="9">
        <f>IF($H31&lt;&gt;"OK","",ROUND($G31*使い方と設定!$B$8*$AK31*$AH31*INDEX(属性耐性マスタ!$B$5:$G$10,$AF31,5),4))</f>
        <v>8.3999999999999995E-3</v>
      </c>
      <c r="Y31" s="9">
        <f>IF($H31&lt;&gt;"OK","",ROUND($G31*使い方と設定!$B$8*$AK31*$AH31*INDEX(属性耐性マスタ!$B$5:$G$10,$AF31,6),4))</f>
        <v>6.3200000000000006E-2</v>
      </c>
      <c r="Z31" s="9">
        <f>IF($H31&lt;&gt;"OK","",ROUND($G31*使い方と設定!$B$9*$AK31*$AI31,4))</f>
        <v>0.51180000000000003</v>
      </c>
      <c r="AA31" s="10">
        <v>1</v>
      </c>
      <c r="AB31" s="11">
        <f t="shared" si="1"/>
        <v>1.7547999999999999</v>
      </c>
      <c r="AC31" s="11">
        <f t="shared" si="2"/>
        <v>8.4400000000000003E-2</v>
      </c>
      <c r="AD31" s="7" t="str">
        <f>IF($H31&lt;&gt;"OK","",INDEX(個性タイプマスタ!$P$5:$P$54,$AE31))</f>
        <v>低速高威力の遠距離砲台</v>
      </c>
      <c r="AE31">
        <f>IFERROR(MATCH(E31,個性タイプマスタ!$A$5:$A$54,0),0)</f>
        <v>17</v>
      </c>
      <c r="AF31">
        <f>IFERROR(MATCH(F31,属性耐性マスタ!$A$5:$A$10,0),0)</f>
        <v>6</v>
      </c>
      <c r="AG31">
        <f>IF(AE31=0,1,INDEX(個性タイプマスタ!$AB$5:$AB$54,AE31))</f>
        <v>10.436333333333334</v>
      </c>
      <c r="AH31">
        <f>IF(AE31=0,1,INDEX(個性タイプマスタ!$AC$5:$AC$54,AE31))</f>
        <v>0.9</v>
      </c>
      <c r="AI31">
        <f>IF(AE31=0,0,INDEX(個性タイプマスタ!$AD$5:$AD$54,AE31))</f>
        <v>0.875</v>
      </c>
      <c r="AJ31" s="16">
        <v>5</v>
      </c>
      <c r="AK31" s="17">
        <f>IF(OR(AJ31="",AJ31&lt;1),"",POWER(使い方と設定!$E$6,AJ31-1))</f>
        <v>1.1698585600000002</v>
      </c>
    </row>
    <row r="32" spans="1:37">
      <c r="A32" t="str">
        <f>+[2]称号!A27</f>
        <v>TITLE_026</v>
      </c>
      <c r="B32" t="str">
        <f>+[2]称号!B27</f>
        <v>腐蝕の粘液</v>
      </c>
      <c r="C32" t="s">
        <v>159</v>
      </c>
      <c r="D32" t="s">
        <v>160</v>
      </c>
      <c r="E32" s="2" t="str">
        <f>[1]モンスター計算!AM30</f>
        <v>魔法・魔防障壁</v>
      </c>
      <c r="F32" s="2" t="str">
        <f>[1]モンスター計算!C30</f>
        <v>水</v>
      </c>
      <c r="G32" s="8">
        <v>1.05</v>
      </c>
      <c r="H32" t="str">
        <f t="shared" si="0"/>
        <v>OK</v>
      </c>
      <c r="I32" s="9">
        <f>IF($H32&lt;&gt;"OK","",ROUND($G32*使い方と設定!$B$7*$AK32*INDEX(個性タイプマスタ!$Q$5:$AA$54,$AE32,1)/$AG32,4))</f>
        <v>0.19059999999999999</v>
      </c>
      <c r="J32" s="9">
        <f>IF($H32&lt;&gt;"OK","",ROUND($G32*使い方と設定!$B$7*$AK32*INDEX(個性タイプマスタ!$Q$5:$AA$54,$AE32,2)/$AG32,4))</f>
        <v>0.31459999999999999</v>
      </c>
      <c r="K32" s="9">
        <f>IF($H32&lt;&gt;"OK","",ROUND($G32*使い方と設定!$B$7*$AK32*INDEX(個性タイプマスタ!$Q$5:$AA$54,$AE32,3)/$AG32,4))</f>
        <v>2.6599999999999999E-2</v>
      </c>
      <c r="L32" s="9">
        <f>IF($H32&lt;&gt;"OK","",ROUND($G32*使い方と設定!$B$7*$AK32*INDEX(個性タイプマスタ!$Q$5:$AA$54,$AE32,4)/$AG32,4))</f>
        <v>0.40860000000000002</v>
      </c>
      <c r="M32" s="9">
        <f>IF($H32&lt;&gt;"OK","",ROUND($G32*使い方と設定!$B$7*$AK32*INDEX(個性タイプマスタ!$Q$5:$AA$54,$AE32,5)/$AG32,4))</f>
        <v>0.107</v>
      </c>
      <c r="N32" s="9">
        <f>IF($H32&lt;&gt;"OK","",ROUND($G32*使い方と設定!$B$7*$AK32*INDEX(個性タイプマスタ!$Q$5:$AA$54,$AE32,6)/$AG32,4))</f>
        <v>0.2848</v>
      </c>
      <c r="O32" s="9">
        <f>IF($H32&lt;&gt;"OK","",ROUND($G32*使い方と設定!$B$7*$AK32*INDEX(個性タイプマスタ!$Q$5:$AA$54,$AE32,7)/$AG32,4))</f>
        <v>8.09E-2</v>
      </c>
      <c r="P32" s="9">
        <f>IF($H32&lt;&gt;"OK","",ROUND($G32*使い方と設定!$B$7*$AK32*INDEX(個性タイプマスタ!$Q$5:$AA$54,$AE32,8)/$AG32,4))</f>
        <v>0.1027</v>
      </c>
      <c r="Q32" s="9">
        <f>IF($H32&lt;&gt;"OK","",ROUND($G32*使い方と設定!$B$7*$AK32*INDEX(個性タイプマスタ!$Q$5:$AA$54,$AE32,9)/$AG32,4))</f>
        <v>6.83E-2</v>
      </c>
      <c r="R32" s="9">
        <f>IF($H32&lt;&gt;"OK","",ROUND($G32*使い方と設定!$B$7*$AK32*INDEX(個性タイプマスタ!$Q$5:$AA$54,$AE32,10)/$AG32,4))</f>
        <v>0.13730000000000001</v>
      </c>
      <c r="S32" s="9">
        <f>IF($H32&lt;&gt;"OK","",ROUND($G32*使い方と設定!$B$7*$AK32*INDEX(個性タイプマスタ!$Q$5:$AA$54,$AE32,11)/$AG32,4))</f>
        <v>0.12130000000000001</v>
      </c>
      <c r="T32" s="9">
        <f>IF($H32&lt;&gt;"OK","",ROUND($G32*使い方と設定!$B$8*$AK32*$AH32*INDEX(属性耐性マスタ!$B$5:$G$10,$AF32,1),4))</f>
        <v>0.02</v>
      </c>
      <c r="U32" s="9">
        <f>IF($H32&lt;&gt;"OK","",ROUND($G32*使い方と設定!$B$8*$AK32*$AH32*INDEX(属性耐性マスタ!$B$5:$G$10,$AF32,2),4))</f>
        <v>0.1002</v>
      </c>
      <c r="V32" s="9">
        <f>IF($H32&lt;&gt;"OK","",ROUND($G32*使い方と設定!$B$8*$AK32*$AH32*INDEX(属性耐性マスタ!$B$5:$G$10,$AF32,3),4))</f>
        <v>6.7000000000000002E-3</v>
      </c>
      <c r="W32" s="9">
        <f>IF($H32&lt;&gt;"OK","",ROUND($G32*使い方と設定!$B$8*$AK32*$AH32*INDEX(属性耐性マスタ!$B$5:$G$10,$AF32,4),4))</f>
        <v>6.7000000000000002E-3</v>
      </c>
      <c r="X32" s="9">
        <f>IF($H32&lt;&gt;"OK","",ROUND($G32*使い方と設定!$B$8*$AK32*$AH32*INDEX(属性耐性マスタ!$B$5:$G$10,$AF32,5),4))</f>
        <v>5.0000000000000001E-3</v>
      </c>
      <c r="Y32" s="9">
        <f>IF($H32&lt;&gt;"OK","",ROUND($G32*使い方と設定!$B$8*$AK32*$AH32*INDEX(属性耐性マスタ!$B$5:$G$10,$AF32,6),4))</f>
        <v>5.0000000000000001E-3</v>
      </c>
      <c r="Z32" s="9">
        <f>IF($H32&lt;&gt;"OK","",ROUND($G32*使い方と設定!$B$9*$AK32*$AI32,4))</f>
        <v>0.56299999999999994</v>
      </c>
      <c r="AA32" s="10">
        <v>1</v>
      </c>
      <c r="AB32" s="11">
        <f t="shared" si="1"/>
        <v>1.8427</v>
      </c>
      <c r="AC32" s="11">
        <f t="shared" si="2"/>
        <v>0.14360000000000001</v>
      </c>
      <c r="AD32" s="7" t="str">
        <f>IF($H32&lt;&gt;"OK","",INDEX(個性タイプマスタ!$P$5:$P$54,$AE32))</f>
        <v>魔法防御に偏重した耐久型</v>
      </c>
      <c r="AE32">
        <f>IFERROR(MATCH(E32,個性タイプマスタ!$A$5:$A$54,0),0)</f>
        <v>24</v>
      </c>
      <c r="AF32">
        <f>IFERROR(MATCH(F32,属性耐性マスタ!$A$5:$A$10,0),0)</f>
        <v>2</v>
      </c>
      <c r="AG32">
        <f>IF(AE32=0,1,INDEX(個性タイプマスタ!$AB$5:$AB$54,AE32))</f>
        <v>11.273833333333332</v>
      </c>
      <c r="AH32">
        <f>IF(AE32=0,1,INDEX(個性タイプマスタ!$AC$5:$AC$54,AE32))</f>
        <v>1.3599999999999999</v>
      </c>
      <c r="AI32">
        <f>IF(AE32=0,0,INDEX(個性タイプマスタ!$AD$5:$AD$54,AE32))</f>
        <v>0.91666666666666663</v>
      </c>
      <c r="AJ32" s="16">
        <v>5</v>
      </c>
      <c r="AK32" s="17">
        <f>IF(OR(AJ32="",AJ32&lt;1),"",POWER(使い方と設定!$E$6,AJ32-1))</f>
        <v>1.1698585600000002</v>
      </c>
    </row>
    <row r="33" spans="1:37">
      <c r="A33" t="str">
        <f>+[2]称号!A28</f>
        <v>TITLE_027</v>
      </c>
      <c r="B33" t="str">
        <f>+[2]称号!B28</f>
        <v>漂う亡騎士</v>
      </c>
      <c r="C33" t="s">
        <v>161</v>
      </c>
      <c r="D33" t="s">
        <v>162</v>
      </c>
      <c r="E33" s="2" t="str">
        <f>[1]モンスター計算!AM31</f>
        <v>魔法・薄命結界</v>
      </c>
      <c r="F33" s="2" t="str">
        <f>[1]モンスター計算!C31</f>
        <v>雷</v>
      </c>
      <c r="G33" s="8">
        <v>1.1000000000000001</v>
      </c>
      <c r="H33" t="str">
        <f t="shared" si="0"/>
        <v>OK</v>
      </c>
      <c r="I33" s="9">
        <f>IF($H33&lt;&gt;"OK","",ROUND($G33*使い方と設定!$B$7*$AK33*INDEX(個性タイプマスタ!$Q$5:$AA$54,$AE33,1)/$AG33,4))</f>
        <v>0.1026</v>
      </c>
      <c r="J33" s="9">
        <f>IF($H33&lt;&gt;"OK","",ROUND($G33*使い方と設定!$B$7*$AK33*INDEX(個性タイプマスタ!$Q$5:$AA$54,$AE33,2)/$AG33,4))</f>
        <v>0.27979999999999999</v>
      </c>
      <c r="K33" s="9">
        <f>IF($H33&lt;&gt;"OK","",ROUND($G33*使い方と設定!$B$7*$AK33*INDEX(個性タイプマスタ!$Q$5:$AA$54,$AE33,3)/$AG33,4))</f>
        <v>3.39E-2</v>
      </c>
      <c r="L33" s="9">
        <f>IF($H33&lt;&gt;"OK","",ROUND($G33*使い方と設定!$B$7*$AK33*INDEX(個性タイプマスタ!$Q$5:$AA$54,$AE33,4)/$AG33,4))</f>
        <v>0.4239</v>
      </c>
      <c r="M33" s="9">
        <f>IF($H33&lt;&gt;"OK","",ROUND($G33*使い方と設定!$B$7*$AK33*INDEX(個性タイプマスタ!$Q$5:$AA$54,$AE33,5)/$AG33,4))</f>
        <v>0.20899999999999999</v>
      </c>
      <c r="N33" s="9">
        <f>IF($H33&lt;&gt;"OK","",ROUND($G33*使い方と設定!$B$7*$AK33*INDEX(個性タイプマスタ!$Q$5:$AA$54,$AE33,6)/$AG33,4))</f>
        <v>0.32429999999999998</v>
      </c>
      <c r="O33" s="9">
        <f>IF($H33&lt;&gt;"OK","",ROUND($G33*使い方と設定!$B$7*$AK33*INDEX(個性タイプマスタ!$Q$5:$AA$54,$AE33,7)/$AG33,4))</f>
        <v>7.46E-2</v>
      </c>
      <c r="P33" s="9">
        <f>IF($H33&lt;&gt;"OK","",ROUND($G33*使い方と設定!$B$7*$AK33*INDEX(個性タイプマスタ!$Q$5:$AA$54,$AE33,8)/$AG33,4))</f>
        <v>0.1014</v>
      </c>
      <c r="Q33" s="9">
        <f>IF($H33&lt;&gt;"OK","",ROUND($G33*使い方と設定!$B$7*$AK33*INDEX(個性タイプマスタ!$Q$5:$AA$54,$AE33,9)/$AG33,4))</f>
        <v>8.2100000000000006E-2</v>
      </c>
      <c r="R33" s="9">
        <f>IF($H33&lt;&gt;"OK","",ROUND($G33*使い方と設定!$B$7*$AK33*INDEX(個性タイプマスタ!$Q$5:$AA$54,$AE33,10)/$AG33,4))</f>
        <v>0.1492</v>
      </c>
      <c r="S33" s="9">
        <f>IF($H33&lt;&gt;"OK","",ROUND($G33*使い方と設定!$B$7*$AK33*INDEX(個性タイプマスタ!$Q$5:$AA$54,$AE33,11)/$AG33,4))</f>
        <v>0.14960000000000001</v>
      </c>
      <c r="T33" s="9">
        <f>IF($H33&lt;&gt;"OK","",ROUND($G33*使い方と設定!$B$8*$AK33*$AH33*INDEX(属性耐性マスタ!$B$5:$G$10,$AF33,1),4))</f>
        <v>7.7000000000000002E-3</v>
      </c>
      <c r="U33" s="9">
        <f>IF($H33&lt;&gt;"OK","",ROUND($G33*使い方と設定!$B$8*$AK33*$AH33*INDEX(属性耐性マスタ!$B$5:$G$10,$AF33,2),4))</f>
        <v>7.7000000000000002E-3</v>
      </c>
      <c r="V33" s="9">
        <f>IF($H33&lt;&gt;"OK","",ROUND($G33*使い方と設定!$B$8*$AK33*$AH33*INDEX(属性耐性マスタ!$B$5:$G$10,$AF33,3),4))</f>
        <v>2.9000000000000001E-2</v>
      </c>
      <c r="W33" s="9">
        <f>IF($H33&lt;&gt;"OK","",ROUND($G33*使い方と設定!$B$8*$AK33*$AH33*INDEX(属性耐性マスタ!$B$5:$G$10,$AF33,4),4))</f>
        <v>0.1158</v>
      </c>
      <c r="X33" s="9">
        <f>IF($H33&lt;&gt;"OK","",ROUND($G33*使い方と設定!$B$8*$AK33*$AH33*INDEX(属性耐性マスタ!$B$5:$G$10,$AF33,5),4))</f>
        <v>5.7999999999999996E-3</v>
      </c>
      <c r="Y33" s="9">
        <f>IF($H33&lt;&gt;"OK","",ROUND($G33*使い方と設定!$B$8*$AK33*$AH33*INDEX(属性耐性マスタ!$B$5:$G$10,$AF33,6),4))</f>
        <v>5.7999999999999996E-3</v>
      </c>
      <c r="Z33" s="9">
        <f>IF($H33&lt;&gt;"OK","",ROUND($G33*使い方と設定!$B$9*$AK33*$AI33,4))</f>
        <v>0.622</v>
      </c>
      <c r="AA33" s="10">
        <v>0.9</v>
      </c>
      <c r="AB33" s="11">
        <f t="shared" si="1"/>
        <v>1.9303999999999999</v>
      </c>
      <c r="AC33" s="11">
        <f t="shared" si="2"/>
        <v>0.17180000000000001</v>
      </c>
      <c r="AD33" s="7" t="str">
        <f>IF($H33&lt;&gt;"OK","",INDEX(個性タイプマスタ!$P$5:$P$54,$AE33))</f>
        <v>低HPだが防御・耐性が高い極端な守護型</v>
      </c>
      <c r="AE33">
        <f>IFERROR(MATCH(E33,個性タイプマスタ!$A$5:$A$54,0),0)</f>
        <v>31</v>
      </c>
      <c r="AF33">
        <f>IFERROR(MATCH(F33,属性耐性マスタ!$A$5:$A$10,0),0)</f>
        <v>4</v>
      </c>
      <c r="AG33">
        <f>IF(AE33=0,1,INDEX(個性タイプマスタ!$AB$5:$AB$54,AE33))</f>
        <v>11.384</v>
      </c>
      <c r="AH33">
        <f>IF(AE33=0,1,INDEX(個性タイプマスタ!$AC$5:$AC$54,AE33))</f>
        <v>1.5</v>
      </c>
      <c r="AI33">
        <f>IF(AE33=0,0,INDEX(個性タイプマスタ!$AD$5:$AD$54,AE33))</f>
        <v>0.96666666666666667</v>
      </c>
      <c r="AJ33" s="16">
        <v>5</v>
      </c>
      <c r="AK33" s="17">
        <f>IF(OR(AJ33="",AJ33&lt;1),"",POWER(使い方と設定!$E$6,AJ33-1))</f>
        <v>1.1698585600000002</v>
      </c>
    </row>
    <row r="34" spans="1:37">
      <c r="A34" t="str">
        <f>+[2]称号!A29</f>
        <v>TITLE_028</v>
      </c>
      <c r="B34" t="str">
        <f>+[2]称号!B29</f>
        <v>墓守の鉄騎</v>
      </c>
      <c r="C34" t="s">
        <v>163</v>
      </c>
      <c r="D34" t="s">
        <v>164</v>
      </c>
      <c r="E34" s="2" t="str">
        <f>[1]モンスター計算!AM32</f>
        <v>近接・狂戦士</v>
      </c>
      <c r="F34" s="2" t="str">
        <f>[1]モンスター計算!C32</f>
        <v>闇</v>
      </c>
      <c r="G34" s="8">
        <v>1.1499999999999999</v>
      </c>
      <c r="H34" t="str">
        <f t="shared" si="0"/>
        <v>OK</v>
      </c>
      <c r="I34" s="9">
        <f>IF($H34&lt;&gt;"OK","",ROUND($G34*使い方と設定!$B$7*$AK34*INDEX(個性タイプマスタ!$Q$5:$AA$54,$AE34,1)/$AG34,4))</f>
        <v>0.14030000000000001</v>
      </c>
      <c r="J34" s="9">
        <f>IF($H34&lt;&gt;"OK","",ROUND($G34*使い方と設定!$B$7*$AK34*INDEX(個性タイプマスタ!$Q$5:$AA$54,$AE34,2)/$AG34,4))</f>
        <v>5.1799999999999999E-2</v>
      </c>
      <c r="K34" s="9">
        <f>IF($H34&lt;&gt;"OK","",ROUND($G34*使い方と設定!$B$7*$AK34*INDEX(個性タイプマスタ!$Q$5:$AA$54,$AE34,3)/$AG34,4))</f>
        <v>0.49070000000000003</v>
      </c>
      <c r="L34" s="9">
        <f>IF($H34&lt;&gt;"OK","",ROUND($G34*使い方と設定!$B$7*$AK34*INDEX(個性タイプマスタ!$Q$5:$AA$54,$AE34,4)/$AG34,4))</f>
        <v>3.1899999999999998E-2</v>
      </c>
      <c r="M34" s="9">
        <f>IF($H34&lt;&gt;"OK","",ROUND($G34*使い方と設定!$B$7*$AK34*INDEX(個性タイプマスタ!$Q$5:$AA$54,$AE34,5)/$AG34,4))</f>
        <v>0.10340000000000001</v>
      </c>
      <c r="N34" s="9">
        <f>IF($H34&lt;&gt;"OK","",ROUND($G34*使い方と設定!$B$7*$AK34*INDEX(個性タイプマスタ!$Q$5:$AA$54,$AE34,6)/$AG34,4))</f>
        <v>0.1134</v>
      </c>
      <c r="O34" s="9">
        <f>IF($H34&lt;&gt;"OK","",ROUND($G34*使い方と設定!$B$7*$AK34*INDEX(個性タイプマスタ!$Q$5:$AA$54,$AE34,7)/$AG34,4))</f>
        <v>0.3886</v>
      </c>
      <c r="P34" s="9">
        <f>IF($H34&lt;&gt;"OK","",ROUND($G34*使い方と設定!$B$7*$AK34*INDEX(個性タイプマスタ!$Q$5:$AA$54,$AE34,8)/$AG34,4))</f>
        <v>0.17860000000000001</v>
      </c>
      <c r="Q34" s="9">
        <f>IF($H34&lt;&gt;"OK","",ROUND($G34*使い方と設定!$B$7*$AK34*INDEX(個性タイプマスタ!$Q$5:$AA$54,$AE34,9)/$AG34,4))</f>
        <v>0.13600000000000001</v>
      </c>
      <c r="R34" s="9">
        <f>IF($H34&lt;&gt;"OK","",ROUND($G34*使い方と設定!$B$7*$AK34*INDEX(個性タイプマスタ!$Q$5:$AA$54,$AE34,10)/$AG34,4))</f>
        <v>0.26500000000000001</v>
      </c>
      <c r="S34" s="9">
        <f>IF($H34&lt;&gt;"OK","",ROUND($G34*使い方と設定!$B$7*$AK34*INDEX(個性タイプマスタ!$Q$5:$AA$54,$AE34,11)/$AG34,4))</f>
        <v>0.1182</v>
      </c>
      <c r="T34" s="9">
        <f>IF($H34&lt;&gt;"OK","",ROUND($G34*使い方と設定!$B$8*$AK34*$AH34*INDEX(属性耐性マスタ!$B$5:$G$10,$AF34,1),4))</f>
        <v>2.7000000000000001E-3</v>
      </c>
      <c r="U34" s="9">
        <f>IF($H34&lt;&gt;"OK","",ROUND($G34*使い方と設定!$B$8*$AK34*$AH34*INDEX(属性耐性マスタ!$B$5:$G$10,$AF34,2),4))</f>
        <v>2.7000000000000001E-3</v>
      </c>
      <c r="V34" s="9">
        <f>IF($H34&lt;&gt;"OK","",ROUND($G34*使い方と設定!$B$8*$AK34*$AH34*INDEX(属性耐性マスタ!$B$5:$G$10,$AF34,3),4))</f>
        <v>2.7000000000000001E-3</v>
      </c>
      <c r="W34" s="9">
        <f>IF($H34&lt;&gt;"OK","",ROUND($G34*使い方と設定!$B$8*$AK34*$AH34*INDEX(属性耐性マスタ!$B$5:$G$10,$AF34,4),4))</f>
        <v>2.7000000000000001E-3</v>
      </c>
      <c r="X34" s="9">
        <f>IF($H34&lt;&gt;"OK","",ROUND($G34*使い方と設定!$B$8*$AK34*$AH34*INDEX(属性耐性マスタ!$B$5:$G$10,$AF34,5),4))</f>
        <v>7.3000000000000001E-3</v>
      </c>
      <c r="Y34" s="9">
        <f>IF($H34&lt;&gt;"OK","",ROUND($G34*使い方と設定!$B$8*$AK34*$AH34*INDEX(属性耐性マスタ!$B$5:$G$10,$AF34,6),4))</f>
        <v>5.4899999999999997E-2</v>
      </c>
      <c r="Z34" s="9">
        <f>IF($H34&lt;&gt;"OK","",ROUND($G34*使い方と設定!$B$9*$AK34*$AI34,4))</f>
        <v>0.75680000000000003</v>
      </c>
      <c r="AA34" s="10">
        <v>0.55000000000000004</v>
      </c>
      <c r="AB34" s="11">
        <f t="shared" si="1"/>
        <v>2.0179</v>
      </c>
      <c r="AC34" s="11">
        <f t="shared" si="2"/>
        <v>7.2999999999999995E-2</v>
      </c>
      <c r="AD34" s="7" t="str">
        <f>IF($H34&lt;&gt;"OK","",INDEX(個性タイプマスタ!$P$5:$P$54,$AE34))</f>
        <v>紙耐久の高回転会心型</v>
      </c>
      <c r="AE34">
        <f>IFERROR(MATCH(E34,個性タイプマスタ!$A$5:$A$54,0),0)</f>
        <v>32</v>
      </c>
      <c r="AF34">
        <f>IFERROR(MATCH(F34,属性耐性マスタ!$A$5:$A$10,0),0)</f>
        <v>6</v>
      </c>
      <c r="AG34">
        <f>IF(AE34=0,1,INDEX(個性タイプマスタ!$AB$5:$AB$54,AE34))</f>
        <v>10.281499999999999</v>
      </c>
      <c r="AH34">
        <f>IF(AE34=0,1,INDEX(個性タイプマスタ!$AC$5:$AC$54,AE34))</f>
        <v>0.67999999999999994</v>
      </c>
      <c r="AI34">
        <f>IF(AE34=0,0,INDEX(個性タイプマスタ!$AD$5:$AD$54,AE34))</f>
        <v>1.125</v>
      </c>
      <c r="AJ34" s="16">
        <v>5</v>
      </c>
      <c r="AK34" s="17">
        <f>IF(OR(AJ34="",AJ34&lt;1),"",POWER(使い方と設定!$E$6,AJ34-1))</f>
        <v>1.1698585600000002</v>
      </c>
    </row>
    <row r="35" spans="1:37">
      <c r="A35" t="str">
        <f>+[2]称号!A30</f>
        <v>TITLE_029</v>
      </c>
      <c r="B35" t="str">
        <f>+[2]称号!B30</f>
        <v>冥火の小鬼灯</v>
      </c>
      <c r="C35" t="s">
        <v>166</v>
      </c>
      <c r="D35" t="s">
        <v>167</v>
      </c>
      <c r="E35" s="2" t="str">
        <f>[1]モンスター計算!AM33</f>
        <v>近接・耐性鎧</v>
      </c>
      <c r="F35" s="2" t="str">
        <f>[1]モンスター計算!C33</f>
        <v>闇</v>
      </c>
      <c r="G35" s="8">
        <v>1.2</v>
      </c>
      <c r="H35" t="str">
        <f t="shared" si="0"/>
        <v>OK</v>
      </c>
      <c r="I35" s="9">
        <f>IF($H35&lt;&gt;"OK","",ROUND($G35*使い方と設定!$B$7*$AK35*INDEX(個性タイプマスタ!$Q$5:$AA$54,$AE35,1)/$AG35,4))</f>
        <v>0.28570000000000001</v>
      </c>
      <c r="J35" s="9">
        <f>IF($H35&lt;&gt;"OK","",ROUND($G35*使い方と設定!$B$7*$AK35*INDEX(個性タイプマスタ!$Q$5:$AA$54,$AE35,2)/$AG35,4))</f>
        <v>0.12709999999999999</v>
      </c>
      <c r="K35" s="9">
        <f>IF($H35&lt;&gt;"OK","",ROUND($G35*使い方と設定!$B$7*$AK35*INDEX(個性タイプマスタ!$Q$5:$AA$54,$AE35,3)/$AG35,4))</f>
        <v>0.55030000000000001</v>
      </c>
      <c r="L35" s="9">
        <f>IF($H35&lt;&gt;"OK","",ROUND($G35*使い方と設定!$B$7*$AK35*INDEX(個性タイプマスタ!$Q$5:$AA$54,$AE35,4)/$AG35,4))</f>
        <v>3.85E-2</v>
      </c>
      <c r="M35" s="9">
        <f>IF($H35&lt;&gt;"OK","",ROUND($G35*使い方と設定!$B$7*$AK35*INDEX(個性タイプマスタ!$Q$5:$AA$54,$AE35,5)/$AG35,4))</f>
        <v>0.21329999999999999</v>
      </c>
      <c r="N35" s="9">
        <f>IF($H35&lt;&gt;"OK","",ROUND($G35*使い方と設定!$B$7*$AK35*INDEX(個性タイプマスタ!$Q$5:$AA$54,$AE35,6)/$AG35,4))</f>
        <v>0.21329999999999999</v>
      </c>
      <c r="O35" s="9">
        <f>IF($H35&lt;&gt;"OK","",ROUND($G35*使い方と設定!$B$7*$AK35*INDEX(個性タイプマスタ!$Q$5:$AA$54,$AE35,7)/$AG35,4))</f>
        <v>9.69E-2</v>
      </c>
      <c r="P35" s="9">
        <f>IF($H35&lt;&gt;"OK","",ROUND($G35*使い方と設定!$B$7*$AK35*INDEX(個性タイプマスタ!$Q$5:$AA$54,$AE35,8)/$AG35,4))</f>
        <v>0.13639999999999999</v>
      </c>
      <c r="Q35" s="9">
        <f>IF($H35&lt;&gt;"OK","",ROUND($G35*使い方と設定!$B$7*$AK35*INDEX(個性タイプマスタ!$Q$5:$AA$54,$AE35,9)/$AG35,4))</f>
        <v>0.1041</v>
      </c>
      <c r="R35" s="9">
        <f>IF($H35&lt;&gt;"OK","",ROUND($G35*使い方と設定!$B$7*$AK35*INDEX(個性タイプマスタ!$Q$5:$AA$54,$AE35,10)/$AG35,4))</f>
        <v>0.19370000000000001</v>
      </c>
      <c r="S35" s="9">
        <f>IF($H35&lt;&gt;"OK","",ROUND($G35*使い方と設定!$B$7*$AK35*INDEX(個性タイプマスタ!$Q$5:$AA$54,$AE35,11)/$AG35,4))</f>
        <v>0.1464</v>
      </c>
      <c r="T35" s="9">
        <f>IF($H35&lt;&gt;"OK","",ROUND($G35*使い方と設定!$B$8*$AK35*$AH35*INDEX(属性耐性マスタ!$B$5:$G$10,$AF35,1),4))</f>
        <v>6.3E-3</v>
      </c>
      <c r="U35" s="9">
        <f>IF($H35&lt;&gt;"OK","",ROUND($G35*使い方と設定!$B$8*$AK35*$AH35*INDEX(属性耐性マスタ!$B$5:$G$10,$AF35,2),4))</f>
        <v>6.3E-3</v>
      </c>
      <c r="V35" s="9">
        <f>IF($H35&lt;&gt;"OK","",ROUND($G35*使い方と設定!$B$8*$AK35*$AH35*INDEX(属性耐性マスタ!$B$5:$G$10,$AF35,3),4))</f>
        <v>6.3E-3</v>
      </c>
      <c r="W35" s="9">
        <f>IF($H35&lt;&gt;"OK","",ROUND($G35*使い方と設定!$B$8*$AK35*$AH35*INDEX(属性耐性マスタ!$B$5:$G$10,$AF35,4),4))</f>
        <v>6.3E-3</v>
      </c>
      <c r="X35" s="9">
        <f>IF($H35&lt;&gt;"OK","",ROUND($G35*使い方と設定!$B$8*$AK35*$AH35*INDEX(属性耐性マスタ!$B$5:$G$10,$AF35,5),4))</f>
        <v>1.6799999999999999E-2</v>
      </c>
      <c r="Y35" s="9">
        <f>IF($H35&lt;&gt;"OK","",ROUND($G35*使い方と設定!$B$8*$AK35*$AH35*INDEX(属性耐性マスタ!$B$5:$G$10,$AF35,6),4))</f>
        <v>0.1263</v>
      </c>
      <c r="Z35" s="9">
        <f>IF($H35&lt;&gt;"OK","",ROUND($G35*使い方と設定!$B$9*$AK35*$AI35,4))</f>
        <v>0.67269999999999996</v>
      </c>
      <c r="AA35" s="10">
        <v>0.5</v>
      </c>
      <c r="AB35" s="11">
        <f t="shared" si="1"/>
        <v>2.1057000000000001</v>
      </c>
      <c r="AC35" s="11">
        <f t="shared" si="2"/>
        <v>0.16830000000000001</v>
      </c>
      <c r="AD35" s="7" t="str">
        <f>IF($H35&lt;&gt;"OK","",INDEX(個性タイプマスタ!$P$5:$P$54,$AE35))</f>
        <v>属性耐性重視の堅実型</v>
      </c>
      <c r="AE35">
        <f>IFERROR(MATCH(E35,個性タイプマスタ!$A$5:$A$54,0),0)</f>
        <v>39</v>
      </c>
      <c r="AF35">
        <f>IFERROR(MATCH(F35,属性耐性マスタ!$A$5:$A$10,0),0)</f>
        <v>6</v>
      </c>
      <c r="AG35">
        <f>IF(AE35=0,1,INDEX(個性タイプマスタ!$AB$5:$AB$54,AE35))</f>
        <v>9.5661666666666676</v>
      </c>
      <c r="AH35">
        <f>IF(AE35=0,1,INDEX(個性タイプマスタ!$AC$5:$AC$54,AE35))</f>
        <v>1.5</v>
      </c>
      <c r="AI35">
        <f>IF(AE35=0,0,INDEX(個性タイプマスタ!$AD$5:$AD$54,AE35))</f>
        <v>0.95833333333333326</v>
      </c>
      <c r="AJ35" s="16">
        <v>5</v>
      </c>
      <c r="AK35" s="17">
        <f>IF(OR(AJ35="",AJ35&lt;1),"",POWER(使い方と設定!$E$6,AJ35-1))</f>
        <v>1.1698585600000002</v>
      </c>
    </row>
    <row r="36" spans="1:37">
      <c r="A36" t="str">
        <f>+[2]称号!A31</f>
        <v>TITLE_030</v>
      </c>
      <c r="B36" t="str">
        <f>+[2]称号!B31</f>
        <v>骨界の終焉獣</v>
      </c>
      <c r="C36" t="s">
        <v>168</v>
      </c>
      <c r="D36" t="s">
        <v>169</v>
      </c>
      <c r="E36" s="2" t="str">
        <f>[1]モンスター計算!AM34</f>
        <v>魔法・高MP</v>
      </c>
      <c r="F36" s="2" t="str">
        <f>[1]モンスター計算!C34</f>
        <v>闇</v>
      </c>
      <c r="G36" s="8">
        <v>1.25</v>
      </c>
      <c r="H36" t="str">
        <f t="shared" si="0"/>
        <v>OK</v>
      </c>
      <c r="I36" s="9">
        <f>IF($H36&lt;&gt;"OK","",ROUND($G36*使い方と設定!$B$7*$AK36*INDEX(個性タイプマスタ!$Q$5:$AA$54,$AE36,1)/$AG36,4))</f>
        <v>0.20660000000000001</v>
      </c>
      <c r="J36" s="9">
        <f>IF($H36&lt;&gt;"OK","",ROUND($G36*使い方と設定!$B$7*$AK36*INDEX(個性タイプマスタ!$Q$5:$AA$54,$AE36,2)/$AG36,4))</f>
        <v>0.53139999999999998</v>
      </c>
      <c r="K36" s="9">
        <f>IF($H36&lt;&gt;"OK","",ROUND($G36*使い方と設定!$B$7*$AK36*INDEX(個性タイプマスタ!$Q$5:$AA$54,$AE36,3)/$AG36,4))</f>
        <v>3.1899999999999998E-2</v>
      </c>
      <c r="L36" s="9">
        <f>IF($H36&lt;&gt;"OK","",ROUND($G36*使い方と設定!$B$7*$AK36*INDEX(個性タイプマスタ!$Q$5:$AA$54,$AE36,4)/$AG36,4))</f>
        <v>0.45579999999999998</v>
      </c>
      <c r="M36" s="9">
        <f>IF($H36&lt;&gt;"OK","",ROUND($G36*使い方と設定!$B$7*$AK36*INDEX(個性タイプマスタ!$Q$5:$AA$54,$AE36,5)/$AG36,4))</f>
        <v>0.14879999999999999</v>
      </c>
      <c r="N36" s="9">
        <f>IF($H36&lt;&gt;"OK","",ROUND($G36*使い方と設定!$B$7*$AK36*INDEX(個性タイプマスタ!$Q$5:$AA$54,$AE36,6)/$AG36,4))</f>
        <v>0.18290000000000001</v>
      </c>
      <c r="O36" s="9">
        <f>IF($H36&lt;&gt;"OK","",ROUND($G36*使い方と設定!$B$7*$AK36*INDEX(個性タイプマスタ!$Q$5:$AA$54,$AE36,7)/$AG36,4))</f>
        <v>0.13039999999999999</v>
      </c>
      <c r="P36" s="9">
        <f>IF($H36&lt;&gt;"OK","",ROUND($G36*使い方と設定!$B$7*$AK36*INDEX(個性タイプマスタ!$Q$5:$AA$54,$AE36,8)/$AG36,4))</f>
        <v>0.11459999999999999</v>
      </c>
      <c r="Q36" s="9">
        <f>IF($H36&lt;&gt;"OK","",ROUND($G36*使い方と設定!$B$7*$AK36*INDEX(個性タイプマスタ!$Q$5:$AA$54,$AE36,9)/$AG36,4))</f>
        <v>8.4199999999999997E-2</v>
      </c>
      <c r="R36" s="9">
        <f>IF($H36&lt;&gt;"OK","",ROUND($G36*使い方と設定!$B$7*$AK36*INDEX(個性タイプマスタ!$Q$5:$AA$54,$AE36,10)/$AG36,4))</f>
        <v>0.1641</v>
      </c>
      <c r="S36" s="9">
        <f>IF($H36&lt;&gt;"OK","",ROUND($G36*使い方と設定!$B$7*$AK36*INDEX(個性タイプマスタ!$Q$5:$AA$54,$AE36,11)/$AG36,4))</f>
        <v>0.1429</v>
      </c>
      <c r="T36" s="9">
        <f>IF($H36&lt;&gt;"OK","",ROUND($G36*使い方と設定!$B$8*$AK36*$AH36*INDEX(属性耐性マスタ!$B$5:$G$10,$AF36,1),4))</f>
        <v>4.7000000000000002E-3</v>
      </c>
      <c r="U36" s="9">
        <f>IF($H36&lt;&gt;"OK","",ROUND($G36*使い方と設定!$B$8*$AK36*$AH36*INDEX(属性耐性マスタ!$B$5:$G$10,$AF36,2),4))</f>
        <v>4.7000000000000002E-3</v>
      </c>
      <c r="V36" s="9">
        <f>IF($H36&lt;&gt;"OK","",ROUND($G36*使い方と設定!$B$8*$AK36*$AH36*INDEX(属性耐性マスタ!$B$5:$G$10,$AF36,3),4))</f>
        <v>4.7000000000000002E-3</v>
      </c>
      <c r="W36" s="9">
        <f>IF($H36&lt;&gt;"OK","",ROUND($G36*使い方と設定!$B$8*$AK36*$AH36*INDEX(属性耐性マスタ!$B$5:$G$10,$AF36,4),4))</f>
        <v>4.7000000000000002E-3</v>
      </c>
      <c r="X36" s="9">
        <f>IF($H36&lt;&gt;"OK","",ROUND($G36*使い方と設定!$B$8*$AK36*$AH36*INDEX(属性耐性マスタ!$B$5:$G$10,$AF36,5),4))</f>
        <v>1.26E-2</v>
      </c>
      <c r="Y36" s="9">
        <f>IF($H36&lt;&gt;"OK","",ROUND($G36*使い方と設定!$B$8*$AK36*$AH36*INDEX(属性耐性マスタ!$B$5:$G$10,$AF36,6),4))</f>
        <v>9.4799999999999995E-2</v>
      </c>
      <c r="Z36" s="9">
        <f>IF($H36&lt;&gt;"OK","",ROUND($G36*使い方と設定!$B$9*$AK36*$AI36,4))</f>
        <v>0.6946</v>
      </c>
      <c r="AA36" s="10">
        <v>0.25</v>
      </c>
      <c r="AB36" s="11">
        <f t="shared" si="1"/>
        <v>2.1936</v>
      </c>
      <c r="AC36" s="11">
        <f t="shared" si="2"/>
        <v>0.12620000000000001</v>
      </c>
      <c r="AD36" s="7" t="str">
        <f>IF($H36&lt;&gt;"OK","",INDEX(個性タイプマスタ!$P$5:$P$54,$AE36))</f>
        <v>MP容量を重視する後衛</v>
      </c>
      <c r="AE36">
        <f>IFERROR(MATCH(E36,個性タイプマスタ!$A$5:$A$54,0),0)</f>
        <v>27</v>
      </c>
      <c r="AF36">
        <f>IFERROR(MATCH(F36,属性耐性マスタ!$A$5:$A$10,0),0)</f>
        <v>6</v>
      </c>
      <c r="AG36">
        <f>IF(AE36=0,1,INDEX(個性タイプマスタ!$AB$5:$AB$54,AE36))</f>
        <v>12.031333333333334</v>
      </c>
      <c r="AH36">
        <f>IF(AE36=0,1,INDEX(個性タイプマスタ!$AC$5:$AC$54,AE36))</f>
        <v>1.08</v>
      </c>
      <c r="AI36">
        <f>IF(AE36=0,0,INDEX(個性タイプマスタ!$AD$5:$AD$54,AE36))</f>
        <v>0.95</v>
      </c>
      <c r="AJ36" s="16">
        <v>5</v>
      </c>
      <c r="AK36" s="17">
        <f>IF(OR(AJ36="",AJ36&lt;1),"",POWER(使い方と設定!$E$6,AJ36-1))</f>
        <v>1.1698585600000002</v>
      </c>
    </row>
    <row r="37" spans="1:37">
      <c r="A37" t="str">
        <f>+[2]称号!A32</f>
        <v>TITLE_031</v>
      </c>
      <c r="B37" t="str">
        <f>+[2]称号!B32</f>
        <v>白骨の兵卒</v>
      </c>
      <c r="C37" t="s">
        <v>171</v>
      </c>
      <c r="D37" t="s">
        <v>172</v>
      </c>
      <c r="E37" s="2" t="str">
        <f>[1]モンスター計算!AM35</f>
        <v>魔法・会心一撃</v>
      </c>
      <c r="F37" s="2" t="str">
        <f>[1]モンスター計算!C35</f>
        <v>闇</v>
      </c>
      <c r="G37" s="8">
        <v>1</v>
      </c>
      <c r="H37" t="str">
        <f t="shared" si="0"/>
        <v>OK</v>
      </c>
      <c r="I37" s="9">
        <f>IF($H37&lt;&gt;"OK","",ROUND($G37*使い方と設定!$B$7*$AK37*INDEX(個性タイプマスタ!$Q$5:$AA$54,$AE37,1)/$AG37,4))</f>
        <v>0.1487</v>
      </c>
      <c r="J37" s="9">
        <f>IF($H37&lt;&gt;"OK","",ROUND($G37*使い方と設定!$B$7*$AK37*INDEX(個性タイプマスタ!$Q$5:$AA$54,$AE37,2)/$AG37,4))</f>
        <v>0.24479999999999999</v>
      </c>
      <c r="K37" s="9">
        <f>IF($H37&lt;&gt;"OK","",ROUND($G37*使い方と設定!$B$7*$AK37*INDEX(個性タイプマスタ!$Q$5:$AA$54,$AE37,3)/$AG37,4))</f>
        <v>2.47E-2</v>
      </c>
      <c r="L37" s="9">
        <f>IF($H37&lt;&gt;"OK","",ROUND($G37*使い方と設定!$B$7*$AK37*INDEX(個性タイプマスタ!$Q$5:$AA$54,$AE37,4)/$AG37,4))</f>
        <v>0.41210000000000002</v>
      </c>
      <c r="M37" s="9">
        <f>IF($H37&lt;&gt;"OK","",ROUND($G37*使い方と設定!$B$7*$AK37*INDEX(個性タイプマスタ!$Q$5:$AA$54,$AE37,5)/$AG37,4))</f>
        <v>0.1135</v>
      </c>
      <c r="N37" s="9">
        <f>IF($H37&lt;&gt;"OK","",ROUND($G37*使い方と設定!$B$7*$AK37*INDEX(個性タイプマスタ!$Q$5:$AA$54,$AE37,6)/$AG37,4))</f>
        <v>0.12189999999999999</v>
      </c>
      <c r="O37" s="9">
        <f>IF($H37&lt;&gt;"OK","",ROUND($G37*使い方と設定!$B$7*$AK37*INDEX(個性タイプマスタ!$Q$5:$AA$54,$AE37,7)/$AG37,4))</f>
        <v>0.21759999999999999</v>
      </c>
      <c r="P37" s="9">
        <f>IF($H37&lt;&gt;"OK","",ROUND($G37*使い方と設定!$B$7*$AK37*INDEX(個性タイプマスタ!$Q$5:$AA$54,$AE37,8)/$AG37,4))</f>
        <v>0.1822</v>
      </c>
      <c r="Q37" s="9">
        <f>IF($H37&lt;&gt;"OK","",ROUND($G37*使い方と設定!$B$7*$AK37*INDEX(個性タイプマスタ!$Q$5:$AA$54,$AE37,9)/$AG37,4))</f>
        <v>8.3400000000000002E-2</v>
      </c>
      <c r="R37" s="9">
        <f>IF($H37&lt;&gt;"OK","",ROUND($G37*使い方と設定!$B$7*$AK37*INDEX(個性タイプマスタ!$Q$5:$AA$54,$AE37,10)/$AG37,4))</f>
        <v>0.11210000000000001</v>
      </c>
      <c r="S37" s="9">
        <f>IF($H37&lt;&gt;"OK","",ROUND($G37*使い方と設定!$B$7*$AK37*INDEX(個性タイプマスタ!$Q$5:$AA$54,$AE37,11)/$AG37,4))</f>
        <v>0.16389999999999999</v>
      </c>
      <c r="T37" s="9">
        <f>IF($H37&lt;&gt;"OK","",ROUND($G37*使い方と設定!$B$8*$AK37*$AH37*INDEX(属性耐性マスタ!$B$5:$G$10,$AF37,1),4))</f>
        <v>2.8E-3</v>
      </c>
      <c r="U37" s="9">
        <f>IF($H37&lt;&gt;"OK","",ROUND($G37*使い方と設定!$B$8*$AK37*$AH37*INDEX(属性耐性マスタ!$B$5:$G$10,$AF37,2),4))</f>
        <v>2.8E-3</v>
      </c>
      <c r="V37" s="9">
        <f>IF($H37&lt;&gt;"OK","",ROUND($G37*使い方と設定!$B$8*$AK37*$AH37*INDEX(属性耐性マスタ!$B$5:$G$10,$AF37,3),4))</f>
        <v>2.8E-3</v>
      </c>
      <c r="W37" s="9">
        <f>IF($H37&lt;&gt;"OK","",ROUND($G37*使い方と設定!$B$8*$AK37*$AH37*INDEX(属性耐性マスタ!$B$5:$G$10,$AF37,4),4))</f>
        <v>2.8E-3</v>
      </c>
      <c r="X37" s="9">
        <f>IF($H37&lt;&gt;"OK","",ROUND($G37*使い方と設定!$B$8*$AK37*$AH37*INDEX(属性耐性マスタ!$B$5:$G$10,$AF37,5),4))</f>
        <v>7.6E-3</v>
      </c>
      <c r="Y37" s="9">
        <f>IF($H37&lt;&gt;"OK","",ROUND($G37*使い方と設定!$B$8*$AK37*$AH37*INDEX(属性耐性マスタ!$B$5:$G$10,$AF37,6),4))</f>
        <v>5.6899999999999999E-2</v>
      </c>
      <c r="Z37" s="9">
        <f>IF($H37&lt;&gt;"OK","",ROUND($G37*使い方と設定!$B$9*$AK37*$AI37,4))</f>
        <v>0.59819999999999995</v>
      </c>
      <c r="AA37" s="10">
        <v>1</v>
      </c>
      <c r="AB37" s="11">
        <f t="shared" si="1"/>
        <v>1.8249</v>
      </c>
      <c r="AC37" s="11">
        <f t="shared" si="2"/>
        <v>7.5700000000000003E-2</v>
      </c>
      <c r="AD37" s="7" t="str">
        <f>IF($H37&lt;&gt;"OK","",INDEX(個性タイプマスタ!$P$5:$P$54,$AE37))</f>
        <v>会心倍率が極めて高い一撃型</v>
      </c>
      <c r="AE37">
        <f>IFERROR(MATCH(E37,個性タイプマスタ!$A$5:$A$54,0),0)</f>
        <v>23</v>
      </c>
      <c r="AF37">
        <f>IFERROR(MATCH(F37,属性耐性マスタ!$A$5:$A$10,0),0)</f>
        <v>6</v>
      </c>
      <c r="AG37">
        <f>IF(AE37=0,1,INDEX(個性タイプマスタ!$AB$5:$AB$54,AE37))</f>
        <v>11.07</v>
      </c>
      <c r="AH37">
        <f>IF(AE37=0,1,INDEX(個性タイプマスタ!$AC$5:$AC$54,AE37))</f>
        <v>0.78</v>
      </c>
      <c r="AI37">
        <f>IF(AE37=0,0,INDEX(個性タイプマスタ!$AD$5:$AD$54,AE37))</f>
        <v>0.98333333333333328</v>
      </c>
      <c r="AJ37" s="16">
        <v>6</v>
      </c>
      <c r="AK37" s="17">
        <f>IF(OR(AJ37="",AJ37&lt;1),"",POWER(使い方と設定!$E$6,AJ37-1))</f>
        <v>1.2166529024000003</v>
      </c>
    </row>
    <row r="38" spans="1:37">
      <c r="A38" t="str">
        <f>+[2]称号!A33</f>
        <v>TITLE_032</v>
      </c>
      <c r="B38" t="str">
        <f>+[2]称号!B33</f>
        <v>砂海の捕食者</v>
      </c>
      <c r="C38" t="s">
        <v>174</v>
      </c>
      <c r="D38" t="s">
        <v>175</v>
      </c>
      <c r="E38" s="2" t="str">
        <f>[1]モンスター計算!AM36</f>
        <v>魔法・鈍足賢者</v>
      </c>
      <c r="F38" s="2" t="str">
        <f>[1]モンスター計算!C36</f>
        <v>風</v>
      </c>
      <c r="G38" s="8">
        <v>1.05</v>
      </c>
      <c r="H38" t="str">
        <f t="shared" si="0"/>
        <v>OK</v>
      </c>
      <c r="I38" s="9">
        <f>IF($H38&lt;&gt;"OK","",ROUND($G38*使い方と設定!$B$7*$AK38*INDEX(個性タイプマスタ!$Q$5:$AA$54,$AE38,1)/$AG38,4))</f>
        <v>0.22819999999999999</v>
      </c>
      <c r="J38" s="9">
        <f>IF($H38&lt;&gt;"OK","",ROUND($G38*使い方と設定!$B$7*$AK38*INDEX(個性タイプマスタ!$Q$5:$AA$54,$AE38,2)/$AG38,4))</f>
        <v>0.35859999999999997</v>
      </c>
      <c r="K38" s="9">
        <f>IF($H38&lt;&gt;"OK","",ROUND($G38*使い方と設定!$B$7*$AK38*INDEX(個性タイプマスタ!$Q$5:$AA$54,$AE38,3)/$AG38,4))</f>
        <v>3.1099999999999999E-2</v>
      </c>
      <c r="L38" s="9">
        <f>IF($H38&lt;&gt;"OK","",ROUND($G38*使い方と設定!$B$7*$AK38*INDEX(個性タイプマスタ!$Q$5:$AA$54,$AE38,4)/$AG38,4))</f>
        <v>0.3705</v>
      </c>
      <c r="M38" s="9">
        <f>IF($H38&lt;&gt;"OK","",ROUND($G38*使い方と設定!$B$7*$AK38*INDEX(個性タイプマスタ!$Q$5:$AA$54,$AE38,5)/$AG38,4))</f>
        <v>0.1197</v>
      </c>
      <c r="N38" s="9">
        <f>IF($H38&lt;&gt;"OK","",ROUND($G38*使い方と設定!$B$7*$AK38*INDEX(個性タイプマスタ!$Q$5:$AA$54,$AE38,6)/$AG38,4))</f>
        <v>0.21160000000000001</v>
      </c>
      <c r="O38" s="9">
        <f>IF($H38&lt;&gt;"OK","",ROUND($G38*使い方と設定!$B$7*$AK38*INDEX(個性タイプマスタ!$Q$5:$AA$54,$AE38,7)/$AG38,4))</f>
        <v>0.1875</v>
      </c>
      <c r="P38" s="9">
        <f>IF($H38&lt;&gt;"OK","",ROUND($G38*使い方と設定!$B$7*$AK38*INDEX(個性タイプマスタ!$Q$5:$AA$54,$AE38,8)/$AG38,4))</f>
        <v>0.12520000000000001</v>
      </c>
      <c r="Q38" s="9">
        <f>IF($H38&lt;&gt;"OK","",ROUND($G38*使い方と設定!$B$7*$AK38*INDEX(個性タイプマスタ!$Q$5:$AA$54,$AE38,9)/$AG38,4))</f>
        <v>3.9100000000000003E-2</v>
      </c>
      <c r="R38" s="9">
        <f>IF($H38&lt;&gt;"OK","",ROUND($G38*使い方と設定!$B$7*$AK38*INDEX(個性タイプマスタ!$Q$5:$AA$54,$AE38,10)/$AG38,4))</f>
        <v>0.1067</v>
      </c>
      <c r="S38" s="9">
        <f>IF($H38&lt;&gt;"OK","",ROUND($G38*使い方と設定!$B$7*$AK38*INDEX(個性タイプマスタ!$Q$5:$AA$54,$AE38,11)/$AG38,4))</f>
        <v>0.13800000000000001</v>
      </c>
      <c r="T38" s="9">
        <f>IF($H38&lt;&gt;"OK","",ROUND($G38*使い方と設定!$B$8*$AK38*$AH38*INDEX(属性耐性マスタ!$B$5:$G$10,$AF38,1),4))</f>
        <v>6.7000000000000002E-3</v>
      </c>
      <c r="U38" s="9">
        <f>IF($H38&lt;&gt;"OK","",ROUND($G38*使い方と設定!$B$8*$AK38*$AH38*INDEX(属性耐性マスタ!$B$5:$G$10,$AF38,2),4))</f>
        <v>6.7000000000000002E-3</v>
      </c>
      <c r="V38" s="9">
        <f>IF($H38&lt;&gt;"OK","",ROUND($G38*使い方と設定!$B$8*$AK38*$AH38*INDEX(属性耐性マスタ!$B$5:$G$10,$AF38,3),4))</f>
        <v>0.1012</v>
      </c>
      <c r="W38" s="9">
        <f>IF($H38&lt;&gt;"OK","",ROUND($G38*使い方と設定!$B$8*$AK38*$AH38*INDEX(属性耐性マスタ!$B$5:$G$10,$AF38,4),4))</f>
        <v>2.53E-2</v>
      </c>
      <c r="X38" s="9">
        <f>IF($H38&lt;&gt;"OK","",ROUND($G38*使い方と設定!$B$8*$AK38*$AH38*INDEX(属性耐性マスタ!$B$5:$G$10,$AF38,5),4))</f>
        <v>5.1000000000000004E-3</v>
      </c>
      <c r="Y38" s="9">
        <f>IF($H38&lt;&gt;"OK","",ROUND($G38*使い方と設定!$B$8*$AK38*$AH38*INDEX(属性耐性マスタ!$B$5:$G$10,$AF38,6),4))</f>
        <v>5.1000000000000004E-3</v>
      </c>
      <c r="Z38" s="9">
        <f>IF($H38&lt;&gt;"OK","",ROUND($G38*使い方と設定!$B$9*$AK38*$AI38,4))</f>
        <v>0.51100000000000001</v>
      </c>
      <c r="AA38" s="10">
        <v>1</v>
      </c>
      <c r="AB38" s="11">
        <f t="shared" si="1"/>
        <v>1.9161999999999999</v>
      </c>
      <c r="AC38" s="11">
        <f t="shared" si="2"/>
        <v>0.15010000000000001</v>
      </c>
      <c r="AD38" s="7" t="str">
        <f>IF($H38&lt;&gt;"OK","",INDEX(個性タイプマスタ!$P$5:$P$54,$AE38))</f>
        <v>低機動・高MP・高魔防</v>
      </c>
      <c r="AE38">
        <f>IFERROR(MATCH(E38,個性タイプマスタ!$A$5:$A$54,0),0)</f>
        <v>30</v>
      </c>
      <c r="AF38">
        <f>IFERROR(MATCH(F38,属性耐性マスタ!$A$5:$A$10,0),0)</f>
        <v>3</v>
      </c>
      <c r="AG38">
        <f>IF(AE38=0,1,INDEX(個性タイプマスタ!$AB$5:$AB$54,AE38))</f>
        <v>12.9305</v>
      </c>
      <c r="AH38">
        <f>IF(AE38=0,1,INDEX(個性タイプマスタ!$AC$5:$AC$54,AE38))</f>
        <v>1.32</v>
      </c>
      <c r="AI38">
        <f>IF(AE38=0,0,INDEX(個性タイプマスタ!$AD$5:$AD$54,AE38))</f>
        <v>0.79999999999999993</v>
      </c>
      <c r="AJ38" s="16">
        <v>6</v>
      </c>
      <c r="AK38" s="17">
        <f>IF(OR(AJ38="",AJ38&lt;1),"",POWER(使い方と設定!$E$6,AJ38-1))</f>
        <v>1.2166529024000003</v>
      </c>
    </row>
    <row r="39" spans="1:37">
      <c r="A39" t="str">
        <f>+[2]称号!A34</f>
        <v>TITLE_033</v>
      </c>
      <c r="B39" t="str">
        <f>+[2]称号!B34</f>
        <v>黒砂の深淵</v>
      </c>
      <c r="C39" t="s">
        <v>176</v>
      </c>
      <c r="D39" t="s">
        <v>177</v>
      </c>
      <c r="E39" s="2" t="str">
        <f>[1]モンスター計算!AM37</f>
        <v>魔法・火力</v>
      </c>
      <c r="F39" s="2" t="str">
        <f>[1]モンスター計算!C37</f>
        <v>闇</v>
      </c>
      <c r="G39" s="8">
        <v>1.1000000000000001</v>
      </c>
      <c r="H39" t="str">
        <f t="shared" si="0"/>
        <v>OK</v>
      </c>
      <c r="I39" s="9">
        <f>IF($H39&lt;&gt;"OK","",ROUND($G39*使い方と設定!$B$7*$AK39*INDEX(個性タイプマスタ!$Q$5:$AA$54,$AE39,1)/$AG39,4))</f>
        <v>0.16450000000000001</v>
      </c>
      <c r="J39" s="9">
        <f>IF($H39&lt;&gt;"OK","",ROUND($G39*使い方と設定!$B$7*$AK39*INDEX(個性タイプマスタ!$Q$5:$AA$54,$AE39,2)/$AG39,4))</f>
        <v>0.24260000000000001</v>
      </c>
      <c r="K39" s="9">
        <f>IF($H39&lt;&gt;"OK","",ROUND($G39*使い方と設定!$B$7*$AK39*INDEX(個性タイプマスタ!$Q$5:$AA$54,$AE39,3)/$AG39,4))</f>
        <v>4.7899999999999998E-2</v>
      </c>
      <c r="L39" s="9">
        <f>IF($H39&lt;&gt;"OK","",ROUND($G39*使い方と設定!$B$7*$AK39*INDEX(個性タイプマスタ!$Q$5:$AA$54,$AE39,4)/$AG39,4))</f>
        <v>0.47939999999999999</v>
      </c>
      <c r="M39" s="9">
        <f>IF($H39&lt;&gt;"OK","",ROUND($G39*使い方と設定!$B$7*$AK39*INDEX(個性タイプマスタ!$Q$5:$AA$54,$AE39,5)/$AG39,4))</f>
        <v>0.1222</v>
      </c>
      <c r="N39" s="9">
        <f>IF($H39&lt;&gt;"OK","",ROUND($G39*使い方と設定!$B$7*$AK39*INDEX(個性タイプマスタ!$Q$5:$AA$54,$AE39,6)/$AG39,4))</f>
        <v>0.13039999999999999</v>
      </c>
      <c r="O39" s="9">
        <f>IF($H39&lt;&gt;"OK","",ROUND($G39*使い方と設定!$B$7*$AK39*INDEX(個性タイプマスタ!$Q$5:$AA$54,$AE39,7)/$AG39,4))</f>
        <v>0.23200000000000001</v>
      </c>
      <c r="P39" s="9">
        <f>IF($H39&lt;&gt;"OK","",ROUND($G39*使い方と設定!$B$7*$AK39*INDEX(個性タイプマスタ!$Q$5:$AA$54,$AE39,8)/$AG39,4))</f>
        <v>0.1371</v>
      </c>
      <c r="Q39" s="9">
        <f>IF($H39&lt;&gt;"OK","",ROUND($G39*使い方と設定!$B$7*$AK39*INDEX(個性タイプマスタ!$Q$5:$AA$54,$AE39,9)/$AG39,4))</f>
        <v>9.2799999999999994E-2</v>
      </c>
      <c r="R39" s="9">
        <f>IF($H39&lt;&gt;"OK","",ROUND($G39*使い方と設定!$B$7*$AK39*INDEX(個性タイプマスタ!$Q$5:$AA$54,$AE39,10)/$AG39,4))</f>
        <v>0.2109</v>
      </c>
      <c r="S39" s="9">
        <f>IF($H39&lt;&gt;"OK","",ROUND($G39*使い方と設定!$B$7*$AK39*INDEX(個性タイプマスタ!$Q$5:$AA$54,$AE39,11)/$AG39,4))</f>
        <v>0.14760000000000001</v>
      </c>
      <c r="T39" s="9">
        <f>IF($H39&lt;&gt;"OK","",ROUND($G39*使い方と設定!$B$8*$AK39*$AH39*INDEX(属性耐性マスタ!$B$5:$G$10,$AF39,1),4))</f>
        <v>3.3999999999999998E-3</v>
      </c>
      <c r="U39" s="9">
        <f>IF($H39&lt;&gt;"OK","",ROUND($G39*使い方と設定!$B$8*$AK39*$AH39*INDEX(属性耐性マスタ!$B$5:$G$10,$AF39,2),4))</f>
        <v>3.3999999999999998E-3</v>
      </c>
      <c r="V39" s="9">
        <f>IF($H39&lt;&gt;"OK","",ROUND($G39*使い方と設定!$B$8*$AK39*$AH39*INDEX(属性耐性マスタ!$B$5:$G$10,$AF39,3),4))</f>
        <v>3.3999999999999998E-3</v>
      </c>
      <c r="W39" s="9">
        <f>IF($H39&lt;&gt;"OK","",ROUND($G39*使い方と設定!$B$8*$AK39*$AH39*INDEX(属性耐性マスタ!$B$5:$G$10,$AF39,4),4))</f>
        <v>3.3999999999999998E-3</v>
      </c>
      <c r="X39" s="9">
        <f>IF($H39&lt;&gt;"OK","",ROUND($G39*使い方と設定!$B$8*$AK39*$AH39*INDEX(属性耐性マスタ!$B$5:$G$10,$AF39,5),4))</f>
        <v>8.9999999999999993E-3</v>
      </c>
      <c r="Y39" s="9">
        <f>IF($H39&lt;&gt;"OK","",ROUND($G39*使い方と設定!$B$8*$AK39*$AH39*INDEX(属性耐性マスタ!$B$5:$G$10,$AF39,6),4))</f>
        <v>6.7500000000000004E-2</v>
      </c>
      <c r="Z39" s="9">
        <f>IF($H39&lt;&gt;"OK","",ROUND($G39*使い方と設定!$B$9*$AK39*$AI39,4))</f>
        <v>0.64690000000000003</v>
      </c>
      <c r="AA39" s="10">
        <v>0.9</v>
      </c>
      <c r="AB39" s="11">
        <f t="shared" si="1"/>
        <v>2.0074000000000001</v>
      </c>
      <c r="AC39" s="11">
        <f t="shared" si="2"/>
        <v>9.01E-2</v>
      </c>
      <c r="AD39" s="7" t="str">
        <f>IF($H39&lt;&gt;"OK","",INDEX(個性タイプマスタ!$P$5:$P$54,$AE39))</f>
        <v>火力偏重。反撃に弱い</v>
      </c>
      <c r="AE39">
        <f>IFERROR(MATCH(E39,個性タイプマスタ!$A$5:$A$54,0),0)</f>
        <v>9</v>
      </c>
      <c r="AF39">
        <f>IFERROR(MATCH(F39,属性耐性マスタ!$A$5:$A$10,0),0)</f>
        <v>6</v>
      </c>
      <c r="AG39">
        <f>IF(AE39=0,1,INDEX(個性タイプマスタ!$AB$5:$AB$54,AE39))</f>
        <v>10.4695</v>
      </c>
      <c r="AH39">
        <f>IF(AE39=0,1,INDEX(個性タイプマスタ!$AC$5:$AC$54,AE39))</f>
        <v>0.84</v>
      </c>
      <c r="AI39">
        <f>IF(AE39=0,0,INDEX(個性タイプマスタ!$AD$5:$AD$54,AE39))</f>
        <v>0.96666666666666667</v>
      </c>
      <c r="AJ39" s="16">
        <v>6</v>
      </c>
      <c r="AK39" s="17">
        <f>IF(OR(AJ39="",AJ39&lt;1),"",POWER(使い方と設定!$E$6,AJ39-1))</f>
        <v>1.2166529024000003</v>
      </c>
    </row>
    <row r="40" spans="1:37">
      <c r="A40" t="str">
        <f>+[2]称号!A35</f>
        <v>TITLE_034</v>
      </c>
      <c r="B40" t="str">
        <f>+[2]称号!B35</f>
        <v>暗牙の伏兵</v>
      </c>
      <c r="C40" t="s">
        <v>178</v>
      </c>
      <c r="D40" t="s">
        <v>179</v>
      </c>
      <c r="E40" s="2" t="str">
        <f>[1]モンスター計算!AM38</f>
        <v>近接・魔法盾</v>
      </c>
      <c r="F40" s="2" t="str">
        <f>[1]モンスター計算!C38</f>
        <v>闇</v>
      </c>
      <c r="G40" s="8">
        <v>1.1499999999999999</v>
      </c>
      <c r="H40" t="str">
        <f t="shared" si="0"/>
        <v>OK</v>
      </c>
      <c r="I40" s="9">
        <f>IF($H40&lt;&gt;"OK","",ROUND($G40*使い方と設定!$B$7*$AK40*INDEX(個性タイプマスタ!$Q$5:$AA$54,$AE40,1)/$AG40,4))</f>
        <v>0.32200000000000001</v>
      </c>
      <c r="J40" s="9">
        <f>IF($H40&lt;&gt;"OK","",ROUND($G40*使い方と設定!$B$7*$AK40*INDEX(個性タイプマスタ!$Q$5:$AA$54,$AE40,2)/$AG40,4))</f>
        <v>0.1095</v>
      </c>
      <c r="K40" s="9">
        <f>IF($H40&lt;&gt;"OK","",ROUND($G40*使い方と設定!$B$7*$AK40*INDEX(個性タイプマスタ!$Q$5:$AA$54,$AE40,3)/$AG40,4))</f>
        <v>0.49790000000000001</v>
      </c>
      <c r="L40" s="9">
        <f>IF($H40&lt;&gt;"OK","",ROUND($G40*使い方と設定!$B$7*$AK40*INDEX(個性タイプマスタ!$Q$5:$AA$54,$AE40,4)/$AG40,4))</f>
        <v>3.78E-2</v>
      </c>
      <c r="M40" s="9">
        <f>IF($H40&lt;&gt;"OK","",ROUND($G40*使い方と設定!$B$7*$AK40*INDEX(個性タイプマスタ!$Q$5:$AA$54,$AE40,5)/$AG40,4))</f>
        <v>0.15570000000000001</v>
      </c>
      <c r="N40" s="9">
        <f>IF($H40&lt;&gt;"OK","",ROUND($G40*使い方と設定!$B$7*$AK40*INDEX(個性タイプマスタ!$Q$5:$AA$54,$AE40,6)/$AG40,4))</f>
        <v>0.37240000000000001</v>
      </c>
      <c r="O40" s="9">
        <f>IF($H40&lt;&gt;"OK","",ROUND($G40*使い方と設定!$B$7*$AK40*INDEX(個性タイプマスタ!$Q$5:$AA$54,$AE40,7)/$AG40,4))</f>
        <v>0.1095</v>
      </c>
      <c r="P40" s="9">
        <f>IF($H40&lt;&gt;"OK","",ROUND($G40*使い方と設定!$B$7*$AK40*INDEX(個性タイプマスタ!$Q$5:$AA$54,$AE40,8)/$AG40,4))</f>
        <v>0.1295</v>
      </c>
      <c r="Q40" s="9">
        <f>IF($H40&lt;&gt;"OK","",ROUND($G40*使い方と設定!$B$7*$AK40*INDEX(個性タイプマスタ!$Q$5:$AA$54,$AE40,9)/$AG40,4))</f>
        <v>8.9800000000000005E-2</v>
      </c>
      <c r="R40" s="9">
        <f>IF($H40&lt;&gt;"OK","",ROUND($G40*使い方と設定!$B$7*$AK40*INDEX(個性タイプマスタ!$Q$5:$AA$54,$AE40,10)/$AG40,4))</f>
        <v>0.1573</v>
      </c>
      <c r="S40" s="9">
        <f>IF($H40&lt;&gt;"OK","",ROUND($G40*使い方と設定!$B$7*$AK40*INDEX(個性タイプマスタ!$Q$5:$AA$54,$AE40,11)/$AG40,4))</f>
        <v>0.1171</v>
      </c>
      <c r="T40" s="9">
        <f>IF($H40&lt;&gt;"OK","",ROUND($G40*使い方と設定!$B$8*$AK40*$AH40*INDEX(属性耐性マスタ!$B$5:$G$10,$AF40,1),4))</f>
        <v>5.4000000000000003E-3</v>
      </c>
      <c r="U40" s="9">
        <f>IF($H40&lt;&gt;"OK","",ROUND($G40*使い方と設定!$B$8*$AK40*$AH40*INDEX(属性耐性マスタ!$B$5:$G$10,$AF40,2),4))</f>
        <v>5.4000000000000003E-3</v>
      </c>
      <c r="V40" s="9">
        <f>IF($H40&lt;&gt;"OK","",ROUND($G40*使い方と設定!$B$8*$AK40*$AH40*INDEX(属性耐性マスタ!$B$5:$G$10,$AF40,3),4))</f>
        <v>5.4000000000000003E-3</v>
      </c>
      <c r="W40" s="9">
        <f>IF($H40&lt;&gt;"OK","",ROUND($G40*使い方と設定!$B$8*$AK40*$AH40*INDEX(属性耐性マスタ!$B$5:$G$10,$AF40,4),4))</f>
        <v>5.4000000000000003E-3</v>
      </c>
      <c r="X40" s="9">
        <f>IF($H40&lt;&gt;"OK","",ROUND($G40*使い方と設定!$B$8*$AK40*$AH40*INDEX(属性耐性マスタ!$B$5:$G$10,$AF40,5),4))</f>
        <v>1.43E-2</v>
      </c>
      <c r="Y40" s="9">
        <f>IF($H40&lt;&gt;"OK","",ROUND($G40*使い方と設定!$B$8*$AK40*$AH40*INDEX(属性耐性マスタ!$B$5:$G$10,$AF40,6),4))</f>
        <v>0.1075</v>
      </c>
      <c r="Z40" s="9">
        <f>IF($H40&lt;&gt;"OK","",ROUND($G40*使い方と設定!$B$9*$AK40*$AI40,4))</f>
        <v>0.65880000000000005</v>
      </c>
      <c r="AA40" s="10">
        <v>0.55000000000000004</v>
      </c>
      <c r="AB40" s="11">
        <f t="shared" si="1"/>
        <v>2.0985</v>
      </c>
      <c r="AC40" s="11">
        <f t="shared" si="2"/>
        <v>0.1434</v>
      </c>
      <c r="AD40" s="7" t="str">
        <f>IF($H40&lt;&gt;"OK","",INDEX(個性タイプマスタ!$P$5:$P$54,$AE40))</f>
        <v>魔法耐久を重視した近接</v>
      </c>
      <c r="AE40">
        <f>IFERROR(MATCH(E40,個性タイプマスタ!$A$5:$A$54,0),0)</f>
        <v>38</v>
      </c>
      <c r="AF40">
        <f>IFERROR(MATCH(F40,属性耐性マスタ!$A$5:$A$10,0),0)</f>
        <v>6</v>
      </c>
      <c r="AG40">
        <f>IF(AE40=0,1,INDEX(個性タイプマスタ!$AB$5:$AB$54,AE40))</f>
        <v>10.538000000000002</v>
      </c>
      <c r="AH40">
        <f>IF(AE40=0,1,INDEX(個性タイプマスタ!$AC$5:$AC$54,AE40))</f>
        <v>1.28</v>
      </c>
      <c r="AI40">
        <f>IF(AE40=0,0,INDEX(個性タイプマスタ!$AD$5:$AD$54,AE40))</f>
        <v>0.94166666666666665</v>
      </c>
      <c r="AJ40" s="16">
        <v>6</v>
      </c>
      <c r="AK40" s="17">
        <f>IF(OR(AJ40="",AJ40&lt;1),"",POWER(使い方と設定!$E$6,AJ40-1))</f>
        <v>1.2166529024000003</v>
      </c>
    </row>
    <row r="41" spans="1:37">
      <c r="A41" t="str">
        <f>+[2]称号!A36</f>
        <v>TITLE_035</v>
      </c>
      <c r="B41" t="str">
        <f>+[2]称号!B36</f>
        <v>封印されし巨殻</v>
      </c>
      <c r="C41" t="s">
        <v>181</v>
      </c>
      <c r="D41" t="s">
        <v>182</v>
      </c>
      <c r="E41" s="2" t="str">
        <f>[1]モンスター計算!AM39</f>
        <v>近接・巨体</v>
      </c>
      <c r="F41" s="2" t="str">
        <f>[1]モンスター計算!C39</f>
        <v>雷</v>
      </c>
      <c r="G41" s="8">
        <v>1.2</v>
      </c>
      <c r="H41" t="str">
        <f t="shared" si="0"/>
        <v>OK</v>
      </c>
      <c r="I41" s="9">
        <f>IF($H41&lt;&gt;"OK","",ROUND($G41*使い方と設定!$B$7*$AK41*INDEX(個性タイプマスタ!$Q$5:$AA$54,$AE41,1)/$AG41,4))</f>
        <v>0.49759999999999999</v>
      </c>
      <c r="J41" s="9">
        <f>IF($H41&lt;&gt;"OK","",ROUND($G41*使い方と設定!$B$7*$AK41*INDEX(個性タイプマスタ!$Q$5:$AA$54,$AE41,2)/$AG41,4))</f>
        <v>7.2800000000000004E-2</v>
      </c>
      <c r="K41" s="9">
        <f>IF($H41&lt;&gt;"OK","",ROUND($G41*使い方と設定!$B$7*$AK41*INDEX(個性タイプマスタ!$Q$5:$AA$54,$AE41,3)/$AG41,4))</f>
        <v>0.55159999999999998</v>
      </c>
      <c r="L41" s="9">
        <f>IF($H41&lt;&gt;"OK","",ROUND($G41*使い方と設定!$B$7*$AK41*INDEX(個性タイプマスタ!$Q$5:$AA$54,$AE41,4)/$AG41,4))</f>
        <v>4.9599999999999998E-2</v>
      </c>
      <c r="M41" s="9">
        <f>IF($H41&lt;&gt;"OK","",ROUND($G41*使い方と設定!$B$7*$AK41*INDEX(個性タイプマスタ!$Q$5:$AA$54,$AE41,5)/$AG41,4))</f>
        <v>0.28510000000000002</v>
      </c>
      <c r="N41" s="9">
        <f>IF($H41&lt;&gt;"OK","",ROUND($G41*使い方と設定!$B$7*$AK41*INDEX(個性タイプマスタ!$Q$5:$AA$54,$AE41,6)/$AG41,4))</f>
        <v>0.24379999999999999</v>
      </c>
      <c r="O41" s="9">
        <f>IF($H41&lt;&gt;"OK","",ROUND($G41*使い方と設定!$B$7*$AK41*INDEX(個性タイプマスタ!$Q$5:$AA$54,$AE41,7)/$AG41,4))</f>
        <v>6.0699999999999997E-2</v>
      </c>
      <c r="P41" s="9">
        <f>IF($H41&lt;&gt;"OK","",ROUND($G41*使い方と設定!$B$7*$AK41*INDEX(個性タイプマスタ!$Q$5:$AA$54,$AE41,8)/$AG41,4))</f>
        <v>0.12909999999999999</v>
      </c>
      <c r="Q41" s="9">
        <f>IF($H41&lt;&gt;"OK","",ROUND($G41*使い方と設定!$B$7*$AK41*INDEX(個性タイプマスタ!$Q$5:$AA$54,$AE41,9)/$AG41,4))</f>
        <v>5.5800000000000002E-2</v>
      </c>
      <c r="R41" s="9">
        <f>IF($H41&lt;&gt;"OK","",ROUND($G41*使い方と設定!$B$7*$AK41*INDEX(個性タイプマスタ!$Q$5:$AA$54,$AE41,10)/$AG41,4))</f>
        <v>0.1125</v>
      </c>
      <c r="S41" s="9">
        <f>IF($H41&lt;&gt;"OK","",ROUND($G41*使い方と設定!$B$7*$AK41*INDEX(個性タイプマスタ!$Q$5:$AA$54,$AE41,11)/$AG41,4))</f>
        <v>0.1313</v>
      </c>
      <c r="T41" s="9">
        <f>IF($H41&lt;&gt;"OK","",ROUND($G41*使い方と設定!$B$8*$AK41*$AH41*INDEX(属性耐性マスタ!$B$5:$G$10,$AF41,1),4))</f>
        <v>7.0000000000000001E-3</v>
      </c>
      <c r="U41" s="9">
        <f>IF($H41&lt;&gt;"OK","",ROUND($G41*使い方と設定!$B$8*$AK41*$AH41*INDEX(属性耐性マスタ!$B$5:$G$10,$AF41,2),4))</f>
        <v>7.0000000000000001E-3</v>
      </c>
      <c r="V41" s="9">
        <f>IF($H41&lt;&gt;"OK","",ROUND($G41*使い方と設定!$B$8*$AK41*$AH41*INDEX(属性耐性マスタ!$B$5:$G$10,$AF41,3),4))</f>
        <v>2.63E-2</v>
      </c>
      <c r="W41" s="9">
        <f>IF($H41&lt;&gt;"OK","",ROUND($G41*使い方と設定!$B$8*$AK41*$AH41*INDEX(属性耐性マスタ!$B$5:$G$10,$AF41,4),4))</f>
        <v>0.1051</v>
      </c>
      <c r="X41" s="9">
        <f>IF($H41&lt;&gt;"OK","",ROUND($G41*使い方と設定!$B$8*$AK41*$AH41*INDEX(属性耐性マスタ!$B$5:$G$10,$AF41,5),4))</f>
        <v>5.3E-3</v>
      </c>
      <c r="Y41" s="9">
        <f>IF($H41&lt;&gt;"OK","",ROUND($G41*使い方と設定!$B$8*$AK41*$AH41*INDEX(属性耐性マスタ!$B$5:$G$10,$AF41,6),4))</f>
        <v>5.3E-3</v>
      </c>
      <c r="Z41" s="9">
        <f>IF($H41&lt;&gt;"OK","",ROUND($G41*使い方と設定!$B$9*$AK41*$AI41,4))</f>
        <v>0.57789999999999997</v>
      </c>
      <c r="AA41" s="10">
        <v>0.5</v>
      </c>
      <c r="AB41" s="11">
        <f t="shared" si="1"/>
        <v>2.1899000000000002</v>
      </c>
      <c r="AC41" s="11">
        <f t="shared" si="2"/>
        <v>0.156</v>
      </c>
      <c r="AD41" s="7" t="str">
        <f>IF($H41&lt;&gt;"OK","",INDEX(個性タイプマスタ!$P$5:$P$54,$AE41))</f>
        <v>巨大なHPと極端な鈍足</v>
      </c>
      <c r="AE41">
        <f>IFERROR(MATCH(E41,個性タイプマスタ!$A$5:$A$54,0),0)</f>
        <v>45</v>
      </c>
      <c r="AF41">
        <f>IFERROR(MATCH(F41,属性耐性マスタ!$A$5:$A$10,0),0)</f>
        <v>4</v>
      </c>
      <c r="AG41">
        <f>IF(AE41=0,1,INDEX(個性タイプマスタ!$AB$5:$AB$54,AE41))</f>
        <v>9.9250000000000007</v>
      </c>
      <c r="AH41">
        <f>IF(AE41=0,1,INDEX(個性タイプマスタ!$AC$5:$AC$54,AE41))</f>
        <v>1.2</v>
      </c>
      <c r="AI41">
        <f>IF(AE41=0,0,INDEX(個性タイプマスタ!$AD$5:$AD$54,AE41))</f>
        <v>0.79166666666666663</v>
      </c>
      <c r="AJ41" s="16">
        <v>6</v>
      </c>
      <c r="AK41" s="17">
        <f>IF(OR(AJ41="",AJ41&lt;1),"",POWER(使い方と設定!$E$6,AJ41-1))</f>
        <v>1.2166529024000003</v>
      </c>
    </row>
    <row r="42" spans="1:37">
      <c r="A42" t="str">
        <f>+[2]称号!A37</f>
        <v>TITLE_036</v>
      </c>
      <c r="B42" t="str">
        <f>+[2]称号!B37</f>
        <v>溶岩奔流の獄獣</v>
      </c>
      <c r="C42" t="s">
        <v>183</v>
      </c>
      <c r="D42" t="s">
        <v>184</v>
      </c>
      <c r="E42" s="2" t="str">
        <f>[1]モンスター計算!AM40</f>
        <v>魔法・均衡</v>
      </c>
      <c r="F42" s="2" t="str">
        <f>[1]モンスター計算!C40</f>
        <v>火</v>
      </c>
      <c r="G42" s="8">
        <v>1.25</v>
      </c>
      <c r="H42" t="str">
        <f t="shared" si="0"/>
        <v>OK</v>
      </c>
      <c r="I42" s="9">
        <f>IF($H42&lt;&gt;"OK","",ROUND($G42*使い方と設定!$B$7*$AK42*INDEX(個性タイプマスタ!$Q$5:$AA$54,$AE42,1)/$AG42,4))</f>
        <v>0.23200000000000001</v>
      </c>
      <c r="J42" s="9">
        <f>IF($H42&lt;&gt;"OK","",ROUND($G42*使い方と設定!$B$7*$AK42*INDEX(個性タイプマスタ!$Q$5:$AA$54,$AE42,2)/$AG42,4))</f>
        <v>0.25209999999999999</v>
      </c>
      <c r="K42" s="9">
        <f>IF($H42&lt;&gt;"OK","",ROUND($G42*使い方と設定!$B$7*$AK42*INDEX(個性タイプマスタ!$Q$5:$AA$54,$AE42,3)/$AG42,4))</f>
        <v>5.7299999999999997E-2</v>
      </c>
      <c r="L42" s="9">
        <f>IF($H42&lt;&gt;"OK","",ROUND($G42*使い方と設定!$B$7*$AK42*INDEX(個性タイプマスタ!$Q$5:$AA$54,$AE42,4)/$AG42,4))</f>
        <v>0.57310000000000005</v>
      </c>
      <c r="M42" s="9">
        <f>IF($H42&lt;&gt;"OK","",ROUND($G42*使い方と設定!$B$7*$AK42*INDEX(個性タイプマスタ!$Q$5:$AA$54,$AE42,5)/$AG42,4))</f>
        <v>0.18509999999999999</v>
      </c>
      <c r="N42" s="9">
        <f>IF($H42&lt;&gt;"OK","",ROUND($G42*使い方と設定!$B$7*$AK42*INDEX(個性タイプマスタ!$Q$5:$AA$54,$AE42,6)/$AG42,4))</f>
        <v>0.2046</v>
      </c>
      <c r="O42" s="9">
        <f>IF($H42&lt;&gt;"OK","",ROUND($G42*使い方と設定!$B$7*$AK42*INDEX(個性タイプマスタ!$Q$5:$AA$54,$AE42,7)/$AG42,4))</f>
        <v>0.12609999999999999</v>
      </c>
      <c r="P42" s="9">
        <f>IF($H42&lt;&gt;"OK","",ROUND($G42*使い方と設定!$B$7*$AK42*INDEX(個性タイプマスタ!$Q$5:$AA$54,$AE42,8)/$AG42,4))</f>
        <v>0.14899999999999999</v>
      </c>
      <c r="Q42" s="9">
        <f>IF($H42&lt;&gt;"OK","",ROUND($G42*使い方と設定!$B$7*$AK42*INDEX(個性タイプマスタ!$Q$5:$AA$54,$AE42,9)/$AG42,4))</f>
        <v>0.1009</v>
      </c>
      <c r="R42" s="9">
        <f>IF($H42&lt;&gt;"OK","",ROUND($G42*使い方と設定!$B$7*$AK42*INDEX(個性タイプマスタ!$Q$5:$AA$54,$AE42,10)/$AG42,4))</f>
        <v>0.2407</v>
      </c>
      <c r="S42" s="9">
        <f>IF($H42&lt;&gt;"OK","",ROUND($G42*使い方と設定!$B$7*$AK42*INDEX(個性タイプマスタ!$Q$5:$AA$54,$AE42,11)/$AG42,4))</f>
        <v>0.1605</v>
      </c>
      <c r="T42" s="9">
        <f>IF($H42&lt;&gt;"OK","",ROUND($G42*使い方と設定!$B$8*$AK42*$AH42*INDEX(属性耐性マスタ!$B$5:$G$10,$AF42,1),4))</f>
        <v>9.1200000000000003E-2</v>
      </c>
      <c r="U42" s="9">
        <f>IF($H42&lt;&gt;"OK","",ROUND($G42*使い方と設定!$B$8*$AK42*$AH42*INDEX(属性耐性マスタ!$B$5:$G$10,$AF42,2),4))</f>
        <v>1.8200000000000001E-2</v>
      </c>
      <c r="V42" s="9">
        <f>IF($H42&lt;&gt;"OK","",ROUND($G42*使い方と設定!$B$8*$AK42*$AH42*INDEX(属性耐性マスタ!$B$5:$G$10,$AF42,3),4))</f>
        <v>6.1000000000000004E-3</v>
      </c>
      <c r="W42" s="9">
        <f>IF($H42&lt;&gt;"OK","",ROUND($G42*使い方と設定!$B$8*$AK42*$AH42*INDEX(属性耐性マスタ!$B$5:$G$10,$AF42,4),4))</f>
        <v>6.1000000000000004E-3</v>
      </c>
      <c r="X42" s="9">
        <f>IF($H42&lt;&gt;"OK","",ROUND($G42*使い方と設定!$B$8*$AK42*$AH42*INDEX(属性耐性マスタ!$B$5:$G$10,$AF42,5),4))</f>
        <v>4.5999999999999999E-3</v>
      </c>
      <c r="Y42" s="9">
        <f>IF($H42&lt;&gt;"OK","",ROUND($G42*使い方と設定!$B$8*$AK42*$AH42*INDEX(属性耐性マスタ!$B$5:$G$10,$AF42,6),4))</f>
        <v>4.5999999999999999E-3</v>
      </c>
      <c r="Z42" s="9">
        <f>IF($H42&lt;&gt;"OK","",ROUND($G42*使い方と設定!$B$9*$AK42*$AI42,4))</f>
        <v>0.7097</v>
      </c>
      <c r="AA42" s="10">
        <v>0.25</v>
      </c>
      <c r="AB42" s="11">
        <f t="shared" si="1"/>
        <v>2.2814000000000001</v>
      </c>
      <c r="AC42" s="11">
        <f t="shared" si="2"/>
        <v>0.1308</v>
      </c>
      <c r="AD42" s="7" t="str">
        <f>IF($H42&lt;&gt;"OK","",INDEX(個性タイプマスタ!$P$5:$P$54,$AE42))</f>
        <v>標準的な魔法型</v>
      </c>
      <c r="AE42">
        <f>IFERROR(MATCH(E42,個性タイプマスタ!$A$5:$A$54,0),0)</f>
        <v>2</v>
      </c>
      <c r="AF42">
        <f>IFERROR(MATCH(F42,属性耐性マスタ!$A$5:$A$10,0),0)</f>
        <v>1</v>
      </c>
      <c r="AG42">
        <f>IF(AE42=0,1,INDEX(個性タイプマスタ!$AB$5:$AB$54,AE42))</f>
        <v>9.952</v>
      </c>
      <c r="AH42">
        <f>IF(AE42=0,1,INDEX(個性タイプマスタ!$AC$5:$AC$54,AE42))</f>
        <v>1</v>
      </c>
      <c r="AI42">
        <f>IF(AE42=0,0,INDEX(個性タイプマスタ!$AD$5:$AD$54,AE42))</f>
        <v>0.93333333333333335</v>
      </c>
      <c r="AJ42" s="16">
        <v>6</v>
      </c>
      <c r="AK42" s="17">
        <f>IF(OR(AJ42="",AJ42&lt;1),"",POWER(使い方と設定!$E$6,AJ42-1))</f>
        <v>1.2166529024000003</v>
      </c>
    </row>
    <row r="43" spans="1:37">
      <c r="A43" t="str">
        <f>+[2]称号!A38</f>
        <v>TITLE_037</v>
      </c>
      <c r="B43" t="str">
        <f>+[2]称号!B38</f>
        <v>秘奥を識る者</v>
      </c>
      <c r="C43" t="s">
        <v>185</v>
      </c>
      <c r="D43" t="s">
        <v>186</v>
      </c>
      <c r="E43" s="2" t="str">
        <f>[1]モンスター計算!AM41</f>
        <v>魔法・疾走</v>
      </c>
      <c r="F43" s="2" t="str">
        <f>[1]モンスター計算!C41</f>
        <v>雷</v>
      </c>
      <c r="G43" s="8">
        <v>1</v>
      </c>
      <c r="H43" t="str">
        <f t="shared" si="0"/>
        <v>OK</v>
      </c>
      <c r="I43" s="9">
        <f>IF($H43&lt;&gt;"OK","",ROUND($G43*使い方と設定!$B$7*$AK43*INDEX(個性タイプマスタ!$Q$5:$AA$54,$AE43,1)/$AG43,4))</f>
        <v>0.15890000000000001</v>
      </c>
      <c r="J43" s="9">
        <f>IF($H43&lt;&gt;"OK","",ROUND($G43*使い方と設定!$B$7*$AK43*INDEX(個性タイプマスタ!$Q$5:$AA$54,$AE43,2)/$AG43,4))</f>
        <v>0.18110000000000001</v>
      </c>
      <c r="K43" s="9">
        <f>IF($H43&lt;&gt;"OK","",ROUND($G43*使い方と設定!$B$7*$AK43*INDEX(個性タイプマスタ!$Q$5:$AA$54,$AE43,3)/$AG43,4))</f>
        <v>2.4199999999999999E-2</v>
      </c>
      <c r="L43" s="9">
        <f>IF($H43&lt;&gt;"OK","",ROUND($G43*使い方と設定!$B$7*$AK43*INDEX(個性タイプマスタ!$Q$5:$AA$54,$AE43,4)/$AG43,4))</f>
        <v>0.4572</v>
      </c>
      <c r="M43" s="9">
        <f>IF($H43&lt;&gt;"OK","",ROUND($G43*使い方と設定!$B$7*$AK43*INDEX(個性タイプマスタ!$Q$5:$AA$54,$AE43,5)/$AG43,4))</f>
        <v>0.1321</v>
      </c>
      <c r="N43" s="9">
        <f>IF($H43&lt;&gt;"OK","",ROUND($G43*使い方と設定!$B$7*$AK43*INDEX(個性タイプマスタ!$Q$5:$AA$54,$AE43,6)/$AG43,4))</f>
        <v>0.12590000000000001</v>
      </c>
      <c r="O43" s="9">
        <f>IF($H43&lt;&gt;"OK","",ROUND($G43*使い方と設定!$B$7*$AK43*INDEX(個性タイプマスタ!$Q$5:$AA$54,$AE43,7)/$AG43,4))</f>
        <v>0.1308</v>
      </c>
      <c r="P43" s="9">
        <f>IF($H43&lt;&gt;"OK","",ROUND($G43*使い方と設定!$B$7*$AK43*INDEX(個性タイプマスタ!$Q$5:$AA$54,$AE43,8)/$AG43,4))</f>
        <v>0.1149</v>
      </c>
      <c r="Q43" s="9">
        <f>IF($H43&lt;&gt;"OK","",ROUND($G43*使い方と設定!$B$7*$AK43*INDEX(個性タイプマスタ!$Q$5:$AA$54,$AE43,9)/$AG43,4))</f>
        <v>0.16089999999999999</v>
      </c>
      <c r="R43" s="9">
        <f>IF($H43&lt;&gt;"OK","",ROUND($G43*使い方と設定!$B$7*$AK43*INDEX(個性タイプマスタ!$Q$5:$AA$54,$AE43,10)/$AG43,4))</f>
        <v>0.31459999999999999</v>
      </c>
      <c r="S43" s="9">
        <f>IF($H43&lt;&gt;"OK","",ROUND($G43*使い方と設定!$B$7*$AK43*INDEX(個性タイプマスタ!$Q$5:$AA$54,$AE43,11)/$AG43,4))</f>
        <v>9.7299999999999998E-2</v>
      </c>
      <c r="T43" s="9">
        <f>IF($H43&lt;&gt;"OK","",ROUND($G43*使い方と設定!$B$8*$AK43*$AH43*INDEX(属性耐性マスタ!$B$5:$G$10,$AF43,1),4))</f>
        <v>3.5999999999999999E-3</v>
      </c>
      <c r="U43" s="9">
        <f>IF($H43&lt;&gt;"OK","",ROUND($G43*使い方と設定!$B$8*$AK43*$AH43*INDEX(属性耐性マスタ!$B$5:$G$10,$AF43,2),4))</f>
        <v>3.5999999999999999E-3</v>
      </c>
      <c r="V43" s="9">
        <f>IF($H43&lt;&gt;"OK","",ROUND($G43*使い方と設定!$B$8*$AK43*$AH43*INDEX(属性耐性マスタ!$B$5:$G$10,$AF43,3),4))</f>
        <v>1.37E-2</v>
      </c>
      <c r="W43" s="9">
        <f>IF($H43&lt;&gt;"OK","",ROUND($G43*使い方と設定!$B$8*$AK43*$AH43*INDEX(属性耐性マスタ!$B$5:$G$10,$AF43,4),4))</f>
        <v>5.4699999999999999E-2</v>
      </c>
      <c r="X43" s="9">
        <f>IF($H43&lt;&gt;"OK","",ROUND($G43*使い方と設定!$B$8*$AK43*$AH43*INDEX(属性耐性マスタ!$B$5:$G$10,$AF43,5),4))</f>
        <v>2.7000000000000001E-3</v>
      </c>
      <c r="Y43" s="9">
        <f>IF($H43&lt;&gt;"OK","",ROUND($G43*使い方と設定!$B$8*$AK43*$AH43*INDEX(属性耐性マスタ!$B$5:$G$10,$AF43,6),4))</f>
        <v>2.7000000000000001E-3</v>
      </c>
      <c r="Z43" s="9">
        <f>IF($H43&lt;&gt;"OK","",ROUND($G43*使い方と設定!$B$9*$AK43*$AI43,4))</f>
        <v>0.8014</v>
      </c>
      <c r="AA43" s="10">
        <v>1</v>
      </c>
      <c r="AB43" s="11">
        <f t="shared" si="1"/>
        <v>1.8978999999999999</v>
      </c>
      <c r="AC43" s="11">
        <f t="shared" si="2"/>
        <v>8.1000000000000003E-2</v>
      </c>
      <c r="AD43" s="7" t="str">
        <f>IF($H43&lt;&gt;"OK","",INDEX(個性タイプマスタ!$P$5:$P$54,$AE43))</f>
        <v>移動と攻撃速度に特化</v>
      </c>
      <c r="AE43">
        <f>IFERROR(MATCH(E43,個性タイプマスタ!$A$5:$A$54,0),0)</f>
        <v>29</v>
      </c>
      <c r="AF43">
        <f>IFERROR(MATCH(F43,属性耐性マスタ!$A$5:$A$10,0),0)</f>
        <v>4</v>
      </c>
      <c r="AG43">
        <f>IF(AE43=0,1,INDEX(個性タイプマスタ!$AB$5:$AB$54,AE43))</f>
        <v>10.377833333333335</v>
      </c>
      <c r="AH43">
        <f>IF(AE43=0,1,INDEX(個性タイプマスタ!$AC$5:$AC$54,AE43))</f>
        <v>0.72</v>
      </c>
      <c r="AI43">
        <f>IF(AE43=0,0,INDEX(個性タイプマスタ!$AD$5:$AD$54,AE43))</f>
        <v>1.2666666666666666</v>
      </c>
      <c r="AJ43" s="16">
        <v>7</v>
      </c>
      <c r="AK43" s="17">
        <f>IF(OR(AJ43="",AJ43&lt;1),"",POWER(使い方と設定!$E$6,AJ43-1))</f>
        <v>1.2653190184960004</v>
      </c>
    </row>
    <row r="44" spans="1:37">
      <c r="A44" t="str">
        <f>+[2]称号!A39</f>
        <v>TITLE_038</v>
      </c>
      <c r="B44" t="str">
        <f>+[2]称号!B39</f>
        <v>黒森の妖婦</v>
      </c>
      <c r="C44" t="s">
        <v>188</v>
      </c>
      <c r="D44" t="s">
        <v>189</v>
      </c>
      <c r="E44" s="2" t="str">
        <f>[1]モンスター計算!AM42</f>
        <v>魔法・最終層</v>
      </c>
      <c r="F44" s="2" t="str">
        <f>[1]モンスター計算!C42</f>
        <v>闇</v>
      </c>
      <c r="G44" s="8">
        <v>1.05</v>
      </c>
      <c r="H44" t="str">
        <f t="shared" si="0"/>
        <v>OK</v>
      </c>
      <c r="I44" s="9">
        <f>IF($H44&lt;&gt;"OK","",ROUND($G44*使い方と設定!$B$7*$AK44*INDEX(個性タイプマスタ!$Q$5:$AA$54,$AE44,1)/$AG44,4))</f>
        <v>0.24160000000000001</v>
      </c>
      <c r="J44" s="9">
        <f>IF($H44&lt;&gt;"OK","",ROUND($G44*使い方と設定!$B$7*$AK44*INDEX(個性タイプマスタ!$Q$5:$AA$54,$AE44,2)/$AG44,4))</f>
        <v>0.2014</v>
      </c>
      <c r="K44" s="9">
        <f>IF($H44&lt;&gt;"OK","",ROUND($G44*使い方と設定!$B$7*$AK44*INDEX(個性タイプマスタ!$Q$5:$AA$54,$AE44,3)/$AG44,4))</f>
        <v>4.58E-2</v>
      </c>
      <c r="L44" s="9">
        <f>IF($H44&lt;&gt;"OK","",ROUND($G44*使い方と設定!$B$7*$AK44*INDEX(個性タイプマスタ!$Q$5:$AA$54,$AE44,4)/$AG44,4))</f>
        <v>0.45760000000000001</v>
      </c>
      <c r="M44" s="9">
        <f>IF($H44&lt;&gt;"OK","",ROUND($G44*使い方と設定!$B$7*$AK44*INDEX(個性タイプマスタ!$Q$5:$AA$54,$AE44,5)/$AG44,4))</f>
        <v>0.20230000000000001</v>
      </c>
      <c r="N44" s="9">
        <f>IF($H44&lt;&gt;"OK","",ROUND($G44*使い方と設定!$B$7*$AK44*INDEX(個性タイプマスタ!$Q$5:$AA$54,$AE44,6)/$AG44,4))</f>
        <v>0.1323</v>
      </c>
      <c r="O44" s="9">
        <f>IF($H44&lt;&gt;"OK","",ROUND($G44*使い方と設定!$B$7*$AK44*INDEX(個性タイプマスタ!$Q$5:$AA$54,$AE44,7)/$AG44,4))</f>
        <v>0.16109999999999999</v>
      </c>
      <c r="P44" s="9">
        <f>IF($H44&lt;&gt;"OK","",ROUND($G44*使い方と設定!$B$7*$AK44*INDEX(個性タイプマスタ!$Q$5:$AA$54,$AE44,8)/$AG44,4))</f>
        <v>0.12690000000000001</v>
      </c>
      <c r="Q44" s="9">
        <f>IF($H44&lt;&gt;"OK","",ROUND($G44*使い方と設定!$B$7*$AK44*INDEX(個性タイプマスタ!$Q$5:$AA$54,$AE44,9)/$AG44,4))</f>
        <v>0.1128</v>
      </c>
      <c r="R44" s="9">
        <f>IF($H44&lt;&gt;"OK","",ROUND($G44*使い方と設定!$B$7*$AK44*INDEX(個性タイプマスタ!$Q$5:$AA$54,$AE44,10)/$AG44,4))</f>
        <v>0.18310000000000001</v>
      </c>
      <c r="S44" s="9">
        <f>IF($H44&lt;&gt;"OK","",ROUND($G44*使い方と設定!$B$7*$AK44*INDEX(個性タイプマスタ!$Q$5:$AA$54,$AE44,11)/$AG44,4))</f>
        <v>0.12809999999999999</v>
      </c>
      <c r="T44" s="9">
        <f>IF($H44&lt;&gt;"OK","",ROUND($G44*使い方と設定!$B$8*$AK44*$AH44*INDEX(属性耐性マスタ!$B$5:$G$10,$AF44,1),4))</f>
        <v>4.1999999999999997E-3</v>
      </c>
      <c r="U44" s="9">
        <f>IF($H44&lt;&gt;"OK","",ROUND($G44*使い方と設定!$B$8*$AK44*$AH44*INDEX(属性耐性マスタ!$B$5:$G$10,$AF44,2),4))</f>
        <v>4.1999999999999997E-3</v>
      </c>
      <c r="V44" s="9">
        <f>IF($H44&lt;&gt;"OK","",ROUND($G44*使い方と設定!$B$8*$AK44*$AH44*INDEX(属性耐性マスタ!$B$5:$G$10,$AF44,3),4))</f>
        <v>4.1999999999999997E-3</v>
      </c>
      <c r="W44" s="9">
        <f>IF($H44&lt;&gt;"OK","",ROUND($G44*使い方と設定!$B$8*$AK44*$AH44*INDEX(属性耐性マスタ!$B$5:$G$10,$AF44,4),4))</f>
        <v>4.1999999999999997E-3</v>
      </c>
      <c r="X44" s="9">
        <f>IF($H44&lt;&gt;"OK","",ROUND($G44*使い方と設定!$B$8*$AK44*$AH44*INDEX(属性耐性マスタ!$B$5:$G$10,$AF44,5),4))</f>
        <v>1.1299999999999999E-2</v>
      </c>
      <c r="Y44" s="9">
        <f>IF($H44&lt;&gt;"OK","",ROUND($G44*使い方と設定!$B$8*$AK44*$AH44*INDEX(属性耐性マスタ!$B$5:$G$10,$AF44,6),4))</f>
        <v>8.4500000000000006E-2</v>
      </c>
      <c r="Z44" s="9">
        <f>IF($H44&lt;&gt;"OK","",ROUND($G44*使い方と設定!$B$9*$AK44*$AI44,4))</f>
        <v>0.70860000000000001</v>
      </c>
      <c r="AA44" s="10">
        <v>1</v>
      </c>
      <c r="AB44" s="11">
        <f t="shared" si="1"/>
        <v>1.9930000000000001</v>
      </c>
      <c r="AC44" s="11">
        <f t="shared" si="2"/>
        <v>0.11260000000000001</v>
      </c>
      <c r="AD44" s="7" t="str">
        <f>IF($H44&lt;&gt;"OK","",INDEX(個性タイプマスタ!$P$5:$P$54,$AE44))</f>
        <v>終盤魔法の特別配分</v>
      </c>
      <c r="AE44">
        <f>IFERROR(MATCH(E44,個性タイプマスタ!$A$5:$A$54,0),0)</f>
        <v>8</v>
      </c>
      <c r="AF44">
        <f>IFERROR(MATCH(F44,属性耐性マスタ!$A$5:$A$10,0),0)</f>
        <v>6</v>
      </c>
      <c r="AG44">
        <f>IF(AE44=0,1,INDEX(個性タイプマスタ!$AB$5:$AB$54,AE44))</f>
        <v>10.886833333333332</v>
      </c>
      <c r="AH44">
        <f>IF(AE44=0,1,INDEX(個性タイプマスタ!$AC$5:$AC$54,AE44))</f>
        <v>1.06</v>
      </c>
      <c r="AI44">
        <f>IF(AE44=0,0,INDEX(個性タイプマスタ!$AD$5:$AD$54,AE44))</f>
        <v>1.0666666666666667</v>
      </c>
      <c r="AJ44" s="16">
        <v>7</v>
      </c>
      <c r="AK44" s="17">
        <f>IF(OR(AJ44="",AJ44&lt;1),"",POWER(使い方と設定!$E$6,AJ44-1))</f>
        <v>1.2653190184960004</v>
      </c>
    </row>
    <row r="45" spans="1:37">
      <c r="A45" t="str">
        <f>+[2]称号!A40</f>
        <v>TITLE_039</v>
      </c>
      <c r="B45" t="str">
        <f>+[2]称号!B40</f>
        <v>双星の魔姉妹</v>
      </c>
      <c r="C45" t="s">
        <v>190</v>
      </c>
      <c r="D45" t="s">
        <v>191</v>
      </c>
      <c r="E45" s="2" t="str">
        <f>[1]モンスター計算!AM43</f>
        <v>魔法・超軽量</v>
      </c>
      <c r="F45" s="2" t="str">
        <f>[1]モンスター計算!C43</f>
        <v>光</v>
      </c>
      <c r="G45" s="8">
        <v>1.1000000000000001</v>
      </c>
      <c r="H45" t="str">
        <f t="shared" si="0"/>
        <v>OK</v>
      </c>
      <c r="I45" s="9">
        <f>IF($H45&lt;&gt;"OK","",ROUND($G45*使い方と設定!$B$7*$AK45*INDEX(個性タイプマスタ!$Q$5:$AA$54,$AE45,1)/$AG45,4))</f>
        <v>0.13739999999999999</v>
      </c>
      <c r="J45" s="9">
        <f>IF($H45&lt;&gt;"OK","",ROUND($G45*使い方と設定!$B$7*$AK45*INDEX(個性タイプマスタ!$Q$5:$AA$54,$AE45,2)/$AG45,4))</f>
        <v>0.18479999999999999</v>
      </c>
      <c r="K45" s="9">
        <f>IF($H45&lt;&gt;"OK","",ROUND($G45*使い方と設定!$B$7*$AK45*INDEX(個性タイプマスタ!$Q$5:$AA$54,$AE45,3)/$AG45,4))</f>
        <v>2.69E-2</v>
      </c>
      <c r="L45" s="9">
        <f>IF($H45&lt;&gt;"OK","",ROUND($G45*使い方と設定!$B$7*$AK45*INDEX(個性タイプマスタ!$Q$5:$AA$54,$AE45,4)/$AG45,4))</f>
        <v>0.53849999999999998</v>
      </c>
      <c r="M45" s="9">
        <f>IF($H45&lt;&gt;"OK","",ROUND($G45*使い方と設定!$B$7*$AK45*INDEX(個性タイプマスタ!$Q$5:$AA$54,$AE45,5)/$AG45,4))</f>
        <v>0.1172</v>
      </c>
      <c r="N45" s="9">
        <f>IF($H45&lt;&gt;"OK","",ROUND($G45*使い方と設定!$B$7*$AK45*INDEX(個性タイプマスタ!$Q$5:$AA$54,$AE45,6)/$AG45,4))</f>
        <v>0.11899999999999999</v>
      </c>
      <c r="O45" s="9">
        <f>IF($H45&lt;&gt;"OK","",ROUND($G45*使い方と設定!$B$7*$AK45*INDEX(個性タイプマスタ!$Q$5:$AA$54,$AE45,7)/$AG45,4))</f>
        <v>0.1895</v>
      </c>
      <c r="P45" s="9">
        <f>IF($H45&lt;&gt;"OK","",ROUND($G45*使い方と設定!$B$7*$AK45*INDEX(個性タイプマスタ!$Q$5:$AA$54,$AE45,8)/$AG45,4))</f>
        <v>0.1447</v>
      </c>
      <c r="Q45" s="9">
        <f>IF($H45&lt;&gt;"OK","",ROUND($G45*使い方と設定!$B$7*$AK45*INDEX(個性タイプマスタ!$Q$5:$AA$54,$AE45,9)/$AG45,4))</f>
        <v>0.19900000000000001</v>
      </c>
      <c r="R45" s="9">
        <f>IF($H45&lt;&gt;"OK","",ROUND($G45*使い方と設定!$B$7*$AK45*INDEX(個性タイプマスタ!$Q$5:$AA$54,$AE45,10)/$AG45,4))</f>
        <v>0.28000000000000003</v>
      </c>
      <c r="S45" s="9">
        <f>IF($H45&lt;&gt;"OK","",ROUND($G45*使い方と設定!$B$7*$AK45*INDEX(個性タイプマスタ!$Q$5:$AA$54,$AE45,11)/$AG45,4))</f>
        <v>0.15079999999999999</v>
      </c>
      <c r="T45" s="9">
        <f>IF($H45&lt;&gt;"OK","",ROUND($G45*使い方と設定!$B$8*$AK45*$AH45*INDEX(属性耐性マスタ!$B$5:$G$10,$AF45,1),4))</f>
        <v>2.7000000000000001E-3</v>
      </c>
      <c r="U45" s="9">
        <f>IF($H45&lt;&gt;"OK","",ROUND($G45*使い方と設定!$B$8*$AK45*$AH45*INDEX(属性耐性マスタ!$B$5:$G$10,$AF45,2),4))</f>
        <v>2.7000000000000001E-3</v>
      </c>
      <c r="V45" s="9">
        <f>IF($H45&lt;&gt;"OK","",ROUND($G45*使い方と設定!$B$8*$AK45*$AH45*INDEX(属性耐性マスタ!$B$5:$G$10,$AF45,3),4))</f>
        <v>2.7000000000000001E-3</v>
      </c>
      <c r="W45" s="9">
        <f>IF($H45&lt;&gt;"OK","",ROUND($G45*使い方と設定!$B$8*$AK45*$AH45*INDEX(属性耐性マスタ!$B$5:$G$10,$AF45,4),4))</f>
        <v>2.7000000000000001E-3</v>
      </c>
      <c r="X45" s="9">
        <f>IF($H45&lt;&gt;"OK","",ROUND($G45*使い方と設定!$B$8*$AK45*$AH45*INDEX(属性耐性マスタ!$B$5:$G$10,$AF45,5),4))</f>
        <v>5.3400000000000003E-2</v>
      </c>
      <c r="Y45" s="9">
        <f>IF($H45&lt;&gt;"OK","",ROUND($G45*使い方と設定!$B$8*$AK45*$AH45*INDEX(属性耐性マスタ!$B$5:$G$10,$AF45,6),4))</f>
        <v>7.1000000000000004E-3</v>
      </c>
      <c r="Z45" s="9">
        <f>IF($H45&lt;&gt;"OK","",ROUND($G45*使い方と設定!$B$9*$AK45*$AI45,4))</f>
        <v>0.90469999999999995</v>
      </c>
      <c r="AA45" s="10">
        <v>0.9</v>
      </c>
      <c r="AB45" s="11">
        <f t="shared" si="1"/>
        <v>2.0878000000000001</v>
      </c>
      <c r="AC45" s="11">
        <f t="shared" si="2"/>
        <v>7.1300000000000002E-2</v>
      </c>
      <c r="AD45" s="7" t="str">
        <f>IF($H45&lt;&gt;"OK","",INDEX(個性タイプマスタ!$P$5:$P$54,$AE45))</f>
        <v>超高速移動・極低耐久</v>
      </c>
      <c r="AE45">
        <f>IFERROR(MATCH(E45,個性タイプマスタ!$A$5:$A$54,0),0)</f>
        <v>18</v>
      </c>
      <c r="AF45">
        <f>IFERROR(MATCH(F45,属性耐性マスタ!$A$5:$A$10,0),0)</f>
        <v>5</v>
      </c>
      <c r="AG45">
        <f>IF(AE45=0,1,INDEX(個性タイプマスタ!$AB$5:$AB$54,AE45))</f>
        <v>9.6931666666666683</v>
      </c>
      <c r="AH45">
        <f>IF(AE45=0,1,INDEX(個性タイプマスタ!$AC$5:$AC$54,AE45))</f>
        <v>0.64</v>
      </c>
      <c r="AI45">
        <f>IF(AE45=0,0,INDEX(個性タイプマスタ!$AD$5:$AD$54,AE45))</f>
        <v>1.3</v>
      </c>
      <c r="AJ45" s="16">
        <v>7</v>
      </c>
      <c r="AK45" s="17">
        <f>IF(OR(AJ45="",AJ45&lt;1),"",POWER(使い方と設定!$E$6,AJ45-1))</f>
        <v>1.2653190184960004</v>
      </c>
    </row>
    <row r="46" spans="1:37">
      <c r="A46" t="str">
        <f>+[2]称号!A41</f>
        <v>TITLE_040</v>
      </c>
      <c r="B46" t="str">
        <f>+[2]称号!B41</f>
        <v>蒼天の魔導王</v>
      </c>
      <c r="C46" t="s">
        <v>192</v>
      </c>
      <c r="D46" t="s">
        <v>193</v>
      </c>
      <c r="E46" s="2" t="str">
        <f>[1]モンスター計算!AM44</f>
        <v>近接・強襲</v>
      </c>
      <c r="F46" s="2" t="str">
        <f>[1]モンスター計算!C44</f>
        <v>光</v>
      </c>
      <c r="G46" s="8">
        <v>1.1499999999999999</v>
      </c>
      <c r="H46" t="str">
        <f t="shared" si="0"/>
        <v>OK</v>
      </c>
      <c r="I46" s="9">
        <f>IF($H46&lt;&gt;"OK","",ROUND($G46*使い方と設定!$B$7*$AK46*INDEX(個性タイプマスタ!$Q$5:$AA$54,$AE46,1)/$AG46,4))</f>
        <v>0.1835</v>
      </c>
      <c r="J46" s="9">
        <f>IF($H46&lt;&gt;"OK","",ROUND($G46*使い方と設定!$B$7*$AK46*INDEX(個性タイプマスタ!$Q$5:$AA$54,$AE46,2)/$AG46,4))</f>
        <v>9.8699999999999996E-2</v>
      </c>
      <c r="K46" s="9">
        <f>IF($H46&lt;&gt;"OK","",ROUND($G46*使い方と設定!$B$7*$AK46*INDEX(個性タイプマスタ!$Q$5:$AA$54,$AE46,3)/$AG46,4))</f>
        <v>0.52800000000000002</v>
      </c>
      <c r="L46" s="9">
        <f>IF($H46&lt;&gt;"OK","",ROUND($G46*使い方と設定!$B$7*$AK46*INDEX(個性タイプマスタ!$Q$5:$AA$54,$AE46,4)/$AG46,4))</f>
        <v>3.6999999999999998E-2</v>
      </c>
      <c r="M46" s="9">
        <f>IF($H46&lt;&gt;"OK","",ROUND($G46*使い方と設定!$B$7*$AK46*INDEX(個性タイプマスタ!$Q$5:$AA$54,$AE46,5)/$AG46,4))</f>
        <v>0.14180000000000001</v>
      </c>
      <c r="N46" s="9">
        <f>IF($H46&lt;&gt;"OK","",ROUND($G46*使い方と設定!$B$7*$AK46*INDEX(個性タイプマスタ!$Q$5:$AA$54,$AE46,6)/$AG46,4))</f>
        <v>0.13100000000000001</v>
      </c>
      <c r="O46" s="9">
        <f>IF($H46&lt;&gt;"OK","",ROUND($G46*使い方と設定!$B$7*$AK46*INDEX(個性タイプマスタ!$Q$5:$AA$54,$AE46,7)/$AG46,4))</f>
        <v>0.23230000000000001</v>
      </c>
      <c r="P46" s="9">
        <f>IF($H46&lt;&gt;"OK","",ROUND($G46*使い方と設定!$B$7*$AK46*INDEX(個性タイプマスタ!$Q$5:$AA$54,$AE46,8)/$AG46,4))</f>
        <v>0.16930000000000001</v>
      </c>
      <c r="Q46" s="9">
        <f>IF($H46&lt;&gt;"OK","",ROUND($G46*使い方と設定!$B$7*$AK46*INDEX(個性タイプマスタ!$Q$5:$AA$54,$AE46,9)/$AG46,4))</f>
        <v>0.18579999999999999</v>
      </c>
      <c r="R46" s="9">
        <f>IF($H46&lt;&gt;"OK","",ROUND($G46*使い方と設定!$B$7*$AK46*INDEX(個性タイプマスタ!$Q$5:$AA$54,$AE46,10)/$AG46,4))</f>
        <v>0.29780000000000001</v>
      </c>
      <c r="S46" s="9">
        <f>IF($H46&lt;&gt;"OK","",ROUND($G46*使い方と設定!$B$7*$AK46*INDEX(個性タイプマスタ!$Q$5:$AA$54,$AE46,11)/$AG46,4))</f>
        <v>0.1774</v>
      </c>
      <c r="T46" s="9">
        <f>IF($H46&lt;&gt;"OK","",ROUND($G46*使い方と設定!$B$8*$AK46*$AH46*INDEX(属性耐性マスタ!$B$5:$G$10,$AF46,1),4))</f>
        <v>3.3999999999999998E-3</v>
      </c>
      <c r="U46" s="9">
        <f>IF($H46&lt;&gt;"OK","",ROUND($G46*使い方と設定!$B$8*$AK46*$AH46*INDEX(属性耐性マスタ!$B$5:$G$10,$AF46,2),4))</f>
        <v>3.3999999999999998E-3</v>
      </c>
      <c r="V46" s="9">
        <f>IF($H46&lt;&gt;"OK","",ROUND($G46*使い方と設定!$B$8*$AK46*$AH46*INDEX(属性耐性マスタ!$B$5:$G$10,$AF46,3),4))</f>
        <v>3.3999999999999998E-3</v>
      </c>
      <c r="W46" s="9">
        <f>IF($H46&lt;&gt;"OK","",ROUND($G46*使い方と設定!$B$8*$AK46*$AH46*INDEX(属性耐性マスタ!$B$5:$G$10,$AF46,4),4))</f>
        <v>3.3999999999999998E-3</v>
      </c>
      <c r="X46" s="9">
        <f>IF($H46&lt;&gt;"OK","",ROUND($G46*使い方と設定!$B$8*$AK46*$AH46*INDEX(属性耐性マスタ!$B$5:$G$10,$AF46,5),4))</f>
        <v>6.8099999999999994E-2</v>
      </c>
      <c r="Y46" s="9">
        <f>IF($H46&lt;&gt;"OK","",ROUND($G46*使い方と設定!$B$8*$AK46*$AH46*INDEX(属性耐性マスタ!$B$5:$G$10,$AF46,6),4))</f>
        <v>9.1000000000000004E-3</v>
      </c>
      <c r="Z46" s="9">
        <f>IF($H46&lt;&gt;"OK","",ROUND($G46*使い方と設定!$B$9*$AK46*$AI46,4))</f>
        <v>0.92159999999999997</v>
      </c>
      <c r="AA46" s="10">
        <v>0.55000000000000004</v>
      </c>
      <c r="AB46" s="11">
        <f t="shared" si="1"/>
        <v>2.1825999999999999</v>
      </c>
      <c r="AC46" s="11">
        <f t="shared" si="2"/>
        <v>9.0800000000000006E-2</v>
      </c>
      <c r="AD46" s="7" t="str">
        <f>IF($H46&lt;&gt;"OK","",INDEX(個性タイプマスタ!$P$5:$P$54,$AE46))</f>
        <v>速い接近・間合い広めの強襲型</v>
      </c>
      <c r="AE46">
        <f>IFERROR(MATCH(E46,個性タイプマスタ!$A$5:$A$54,0),0)</f>
        <v>44</v>
      </c>
      <c r="AF46">
        <f>IFERROR(MATCH(F46,属性耐性マスタ!$A$5:$A$10,0),0)</f>
        <v>5</v>
      </c>
      <c r="AG46">
        <f>IF(AE46=0,1,INDEX(個性タイプマスタ!$AB$5:$AB$54,AE46))</f>
        <v>10.335166666666666</v>
      </c>
      <c r="AH46">
        <f>IF(AE46=0,1,INDEX(個性タイプマスタ!$AC$5:$AC$54,AE46))</f>
        <v>0.78</v>
      </c>
      <c r="AI46">
        <f>IF(AE46=0,0,INDEX(個性タイプマスタ!$AD$5:$AD$54,AE46))</f>
        <v>1.2666666666666666</v>
      </c>
      <c r="AJ46" s="16">
        <v>7</v>
      </c>
      <c r="AK46" s="17">
        <f>IF(OR(AJ46="",AJ46&lt;1),"",POWER(使い方と設定!$E$6,AJ46-1))</f>
        <v>1.2653190184960004</v>
      </c>
    </row>
    <row r="47" spans="1:37">
      <c r="A47" t="str">
        <f>+[2]称号!A42</f>
        <v>TITLE_041</v>
      </c>
      <c r="B47" t="str">
        <f>+[2]称号!B42</f>
        <v>大賢者の系譜</v>
      </c>
      <c r="C47" t="s">
        <v>195</v>
      </c>
      <c r="D47" t="s">
        <v>196</v>
      </c>
      <c r="E47" s="2" t="str">
        <f>[1]モンスター計算!AM45</f>
        <v>近接・耐久</v>
      </c>
      <c r="F47" s="2" t="str">
        <f>[1]モンスター計算!C45</f>
        <v>火</v>
      </c>
      <c r="G47" s="8">
        <v>1.2</v>
      </c>
      <c r="H47" t="str">
        <f t="shared" si="0"/>
        <v>OK</v>
      </c>
      <c r="I47" s="9">
        <f>IF($H47&lt;&gt;"OK","",ROUND($G47*使い方と設定!$B$7*$AK47*INDEX(個性タイプマスタ!$Q$5:$AA$54,$AE47,1)/$AG47,4))</f>
        <v>0.29720000000000002</v>
      </c>
      <c r="J47" s="9">
        <f>IF($H47&lt;&gt;"OK","",ROUND($G47*使い方と設定!$B$7*$AK47*INDEX(個性タイプマスタ!$Q$5:$AA$54,$AE47,2)/$AG47,4))</f>
        <v>0.1053</v>
      </c>
      <c r="K47" s="9">
        <f>IF($H47&lt;&gt;"OK","",ROUND($G47*使い方と設定!$B$7*$AK47*INDEX(個性タイプマスタ!$Q$5:$AA$54,$AE47,3)/$AG47,4))</f>
        <v>0.56299999999999994</v>
      </c>
      <c r="L47" s="9">
        <f>IF($H47&lt;&gt;"OK","",ROUND($G47*使い方と設定!$B$7*$AK47*INDEX(個性タイプマスタ!$Q$5:$AA$54,$AE47,4)/$AG47,4))</f>
        <v>5.6300000000000003E-2</v>
      </c>
      <c r="M47" s="9">
        <f>IF($H47&lt;&gt;"OK","",ROUND($G47*使い方と設定!$B$7*$AK47*INDEX(個性タイプマスタ!$Q$5:$AA$54,$AE47,5)/$AG47,4))</f>
        <v>0.24879999999999999</v>
      </c>
      <c r="N47" s="9">
        <f>IF($H47&lt;&gt;"OK","",ROUND($G47*使い方と設定!$B$7*$AK47*INDEX(個性タイプマスタ!$Q$5:$AA$54,$AE47,6)/$AG47,4))</f>
        <v>0.16270000000000001</v>
      </c>
      <c r="O47" s="9">
        <f>IF($H47&lt;&gt;"OK","",ROUND($G47*使い方と設定!$B$7*$AK47*INDEX(個性タイプマスタ!$Q$5:$AA$54,$AE47,7)/$AG47,4))</f>
        <v>0.19819999999999999</v>
      </c>
      <c r="P47" s="9">
        <f>IF($H47&lt;&gt;"OK","",ROUND($G47*使い方と設定!$B$7*$AK47*INDEX(個性タイプマスタ!$Q$5:$AA$54,$AE47,8)/$AG47,4))</f>
        <v>0.15609999999999999</v>
      </c>
      <c r="Q47" s="9">
        <f>IF($H47&lt;&gt;"OK","",ROUND($G47*使い方と設定!$B$7*$AK47*INDEX(個性タイプマスタ!$Q$5:$AA$54,$AE47,9)/$AG47,4))</f>
        <v>0.13869999999999999</v>
      </c>
      <c r="R47" s="9">
        <f>IF($H47&lt;&gt;"OK","",ROUND($G47*使い方と設定!$B$7*$AK47*INDEX(個性タイプマスタ!$Q$5:$AA$54,$AE47,10)/$AG47,4))</f>
        <v>0.22520000000000001</v>
      </c>
      <c r="S47" s="9">
        <f>IF($H47&lt;&gt;"OK","",ROUND($G47*使い方と設定!$B$7*$AK47*INDEX(個性タイプマスタ!$Q$5:$AA$54,$AE47,11)/$AG47,4))</f>
        <v>0.12609999999999999</v>
      </c>
      <c r="T47" s="9">
        <f>IF($H47&lt;&gt;"OK","",ROUND($G47*使い方と設定!$B$8*$AK47*$AH47*INDEX(属性耐性マスタ!$B$5:$G$10,$AF47,1),4))</f>
        <v>0.10390000000000001</v>
      </c>
      <c r="U47" s="9">
        <f>IF($H47&lt;&gt;"OK","",ROUND($G47*使い方と設定!$B$8*$AK47*$AH47*INDEX(属性耐性マスタ!$B$5:$G$10,$AF47,2),4))</f>
        <v>2.0799999999999999E-2</v>
      </c>
      <c r="V47" s="9">
        <f>IF($H47&lt;&gt;"OK","",ROUND($G47*使い方と設定!$B$8*$AK47*$AH47*INDEX(属性耐性マスタ!$B$5:$G$10,$AF47,3),4))</f>
        <v>6.8999999999999999E-3</v>
      </c>
      <c r="W47" s="9">
        <f>IF($H47&lt;&gt;"OK","",ROUND($G47*使い方と設定!$B$8*$AK47*$AH47*INDEX(属性耐性マスタ!$B$5:$G$10,$AF47,4),4))</f>
        <v>6.8999999999999999E-3</v>
      </c>
      <c r="X47" s="9">
        <f>IF($H47&lt;&gt;"OK","",ROUND($G47*使い方と設定!$B$8*$AK47*$AH47*INDEX(属性耐性マスタ!$B$5:$G$10,$AF47,5),4))</f>
        <v>5.1999999999999998E-3</v>
      </c>
      <c r="Y47" s="9">
        <f>IF($H47&lt;&gt;"OK","",ROUND($G47*使い方と設定!$B$8*$AK47*$AH47*INDEX(属性耐性マスタ!$B$5:$G$10,$AF47,6),4))</f>
        <v>5.1999999999999998E-3</v>
      </c>
      <c r="Z47" s="9">
        <f>IF($H47&lt;&gt;"OK","",ROUND($G47*使い方と設定!$B$9*$AK47*$AI47,4))</f>
        <v>0.80979999999999996</v>
      </c>
      <c r="AA47" s="10">
        <v>0.5</v>
      </c>
      <c r="AB47" s="11">
        <f t="shared" si="1"/>
        <v>2.2776000000000001</v>
      </c>
      <c r="AC47" s="11">
        <f t="shared" si="2"/>
        <v>0.1489</v>
      </c>
      <c r="AD47" s="7" t="str">
        <f>IF($H47&lt;&gt;"OK","",INDEX(個性タイプマスタ!$P$5:$P$54,$AE47))</f>
        <v>HP・物防寄りの近接型</v>
      </c>
      <c r="AE47">
        <f>IFERROR(MATCH(E47,個性タイプマスタ!$A$5:$A$54,0),0)</f>
        <v>4</v>
      </c>
      <c r="AF47">
        <f>IFERROR(MATCH(F47,属性耐性マスタ!$A$5:$A$10,0),0)</f>
        <v>1</v>
      </c>
      <c r="AG47">
        <f>IF(AE47=0,1,INDEX(個性タイプマスタ!$AB$5:$AB$54,AE47))</f>
        <v>10.114333333333335</v>
      </c>
      <c r="AH47">
        <f>IF(AE47=0,1,INDEX(個性タイプマスタ!$AC$5:$AC$54,AE47))</f>
        <v>1.1400000000000001</v>
      </c>
      <c r="AI47">
        <f>IF(AE47=0,0,INDEX(個性タイプマスタ!$AD$5:$AD$54,AE47))</f>
        <v>1.0666666666666667</v>
      </c>
      <c r="AJ47" s="16">
        <v>7</v>
      </c>
      <c r="AK47" s="17">
        <f>IF(OR(AJ47="",AJ47&lt;1),"",POWER(使い方と設定!$E$6,AJ47-1))</f>
        <v>1.2653190184960004</v>
      </c>
    </row>
    <row r="48" spans="1:37">
      <c r="A48" t="str">
        <f>+[2]称号!A43</f>
        <v>TITLE_042</v>
      </c>
      <c r="B48" t="str">
        <f>+[2]称号!B43</f>
        <v>魔術学院の首席</v>
      </c>
      <c r="C48" t="s">
        <v>197</v>
      </c>
      <c r="D48" t="s">
        <v>198</v>
      </c>
      <c r="E48" s="2" t="str">
        <f>[1]モンスター計算!AM46</f>
        <v>魔法・万能</v>
      </c>
      <c r="F48" s="2" t="str">
        <f>[1]モンスター計算!C46</f>
        <v>光</v>
      </c>
      <c r="G48" s="8">
        <v>1.25</v>
      </c>
      <c r="H48" t="str">
        <f t="shared" si="0"/>
        <v>OK</v>
      </c>
      <c r="I48" s="9">
        <f>IF($H48&lt;&gt;"OK","",ROUND($G48*使い方と設定!$B$7*$AK48*INDEX(個性タイプマスタ!$Q$5:$AA$54,$AE48,1)/$AG48,4))</f>
        <v>0.26939999999999997</v>
      </c>
      <c r="J48" s="9">
        <f>IF($H48&lt;&gt;"OK","",ROUND($G48*使い方と設定!$B$7*$AK48*INDEX(個性タイプマスタ!$Q$5:$AA$54,$AE48,2)/$AG48,4))</f>
        <v>0.25719999999999998</v>
      </c>
      <c r="K48" s="9">
        <f>IF($H48&lt;&gt;"OK","",ROUND($G48*使い方と設定!$B$7*$AK48*INDEX(個性タイプマスタ!$Q$5:$AA$54,$AE48,3)/$AG48,4))</f>
        <v>5.57E-2</v>
      </c>
      <c r="L48" s="9">
        <f>IF($H48&lt;&gt;"OK","",ROUND($G48*使い方と設定!$B$7*$AK48*INDEX(個性タイプマスタ!$Q$5:$AA$54,$AE48,4)/$AG48,4))</f>
        <v>0.55669999999999997</v>
      </c>
      <c r="M48" s="9">
        <f>IF($H48&lt;&gt;"OK","",ROUND($G48*使い方と設定!$B$7*$AK48*INDEX(個性タイプマスタ!$Q$5:$AA$54,$AE48,5)/$AG48,4))</f>
        <v>0.2082</v>
      </c>
      <c r="N48" s="9">
        <f>IF($H48&lt;&gt;"OK","",ROUND($G48*使い方と設定!$B$7*$AK48*INDEX(個性タイプマスタ!$Q$5:$AA$54,$AE48,6)/$AG48,4))</f>
        <v>0.2082</v>
      </c>
      <c r="O48" s="9">
        <f>IF($H48&lt;&gt;"OK","",ROUND($G48*使い方と設定!$B$7*$AK48*INDEX(個性タイプマスタ!$Q$5:$AA$54,$AE48,7)/$AG48,4))</f>
        <v>0.17150000000000001</v>
      </c>
      <c r="P48" s="9">
        <f>IF($H48&lt;&gt;"OK","",ROUND($G48*使い方と設定!$B$7*$AK48*INDEX(個性タイプマスタ!$Q$5:$AA$54,$AE48,8)/$AG48,4))</f>
        <v>0.14960000000000001</v>
      </c>
      <c r="Q48" s="9">
        <f>IF($H48&lt;&gt;"OK","",ROUND($G48*使い方と設定!$B$7*$AK48*INDEX(個性タイプマスタ!$Q$5:$AA$54,$AE48,9)/$AG48,4))</f>
        <v>0.1176</v>
      </c>
      <c r="R48" s="9">
        <f>IF($H48&lt;&gt;"OK","",ROUND($G48*使い方と設定!$B$7*$AK48*INDEX(個性タイプマスタ!$Q$5:$AA$54,$AE48,10)/$AG48,4))</f>
        <v>0.22270000000000001</v>
      </c>
      <c r="S48" s="9">
        <f>IF($H48&lt;&gt;"OK","",ROUND($G48*使い方と設定!$B$7*$AK48*INDEX(個性タイプマスタ!$Q$5:$AA$54,$AE48,11)/$AG48,4))</f>
        <v>0.15590000000000001</v>
      </c>
      <c r="T48" s="9">
        <f>IF($H48&lt;&gt;"OK","",ROUND($G48*使い方と設定!$B$8*$AK48*$AH48*INDEX(属性耐性マスタ!$B$5:$G$10,$AF48,1),4))</f>
        <v>5.1000000000000004E-3</v>
      </c>
      <c r="U48" s="9">
        <f>IF($H48&lt;&gt;"OK","",ROUND($G48*使い方と設定!$B$8*$AK48*$AH48*INDEX(属性耐性マスタ!$B$5:$G$10,$AF48,2),4))</f>
        <v>5.1000000000000004E-3</v>
      </c>
      <c r="V48" s="9">
        <f>IF($H48&lt;&gt;"OK","",ROUND($G48*使い方と設定!$B$8*$AK48*$AH48*INDEX(属性耐性マスタ!$B$5:$G$10,$AF48,3),4))</f>
        <v>5.1000000000000004E-3</v>
      </c>
      <c r="W48" s="9">
        <f>IF($H48&lt;&gt;"OK","",ROUND($G48*使い方と設定!$B$8*$AK48*$AH48*INDEX(属性耐性マスタ!$B$5:$G$10,$AF48,4),4))</f>
        <v>5.1000000000000004E-3</v>
      </c>
      <c r="X48" s="9">
        <f>IF($H48&lt;&gt;"OK","",ROUND($G48*使い方と設定!$B$8*$AK48*$AH48*INDEX(属性耐性マスタ!$B$5:$G$10,$AF48,5),4))</f>
        <v>0.10249999999999999</v>
      </c>
      <c r="Y48" s="9">
        <f>IF($H48&lt;&gt;"OK","",ROUND($G48*使い方と設定!$B$8*$AK48*$AH48*INDEX(属性耐性マスタ!$B$5:$G$10,$AF48,6),4))</f>
        <v>1.37E-2</v>
      </c>
      <c r="Z48" s="9">
        <f>IF($H48&lt;&gt;"OK","",ROUND($G48*使い方と設定!$B$9*$AK48*$AI48,4))</f>
        <v>0.79079999999999995</v>
      </c>
      <c r="AA48" s="10">
        <v>0.25</v>
      </c>
      <c r="AB48" s="11">
        <f t="shared" si="1"/>
        <v>2.3727</v>
      </c>
      <c r="AC48" s="11">
        <f t="shared" si="2"/>
        <v>0.1366</v>
      </c>
      <c r="AD48" s="7" t="str">
        <f>IF($H48&lt;&gt;"OK","",INDEX(個性タイプマスタ!$P$5:$P$54,$AE48))</f>
        <v>バランス重視</v>
      </c>
      <c r="AE48">
        <f>IFERROR(MATCH(E48,個性タイプマスタ!$A$5:$A$54,0),0)</f>
        <v>14</v>
      </c>
      <c r="AF48">
        <f>IFERROR(MATCH(F48,属性耐性マスタ!$A$5:$A$10,0),0)</f>
        <v>5</v>
      </c>
      <c r="AG48">
        <f>IF(AE48=0,1,INDEX(個性タイプマスタ!$AB$5:$AB$54,AE48))</f>
        <v>10.654666666666667</v>
      </c>
      <c r="AH48">
        <f>IF(AE48=0,1,INDEX(個性タイプマスタ!$AC$5:$AC$54,AE48))</f>
        <v>1.08</v>
      </c>
      <c r="AI48">
        <f>IF(AE48=0,0,INDEX(個性タイプマスタ!$AD$5:$AD$54,AE48))</f>
        <v>1</v>
      </c>
      <c r="AJ48" s="16">
        <v>7</v>
      </c>
      <c r="AK48" s="17">
        <f>IF(OR(AJ48="",AJ48&lt;1),"",POWER(使い方と設定!$E$6,AJ48-1))</f>
        <v>1.2653190184960004</v>
      </c>
    </row>
    <row r="49" spans="1:37">
      <c r="A49" t="str">
        <f>+[2]称号!A44</f>
        <v>TITLE_043</v>
      </c>
      <c r="B49" t="str">
        <f>+[2]称号!B44</f>
        <v>岩鋼の騎士</v>
      </c>
      <c r="C49" t="s">
        <v>200</v>
      </c>
      <c r="D49" t="s">
        <v>201</v>
      </c>
      <c r="E49" s="2" t="str">
        <f>[1]モンスター計算!AM47</f>
        <v>魔法・守護</v>
      </c>
      <c r="F49" s="2" t="str">
        <f>[1]モンスター計算!C47</f>
        <v>雷</v>
      </c>
      <c r="G49" s="8">
        <v>1</v>
      </c>
      <c r="H49" t="str">
        <f t="shared" si="0"/>
        <v>OK</v>
      </c>
      <c r="I49" s="9">
        <f>IF($H49&lt;&gt;"OK","",ROUND($G49*使い方と設定!$B$7*$AK49*INDEX(個性タイプマスタ!$Q$5:$AA$54,$AE49,1)/$AG49,4))</f>
        <v>0.2571</v>
      </c>
      <c r="J49" s="9">
        <f>IF($H49&lt;&gt;"OK","",ROUND($G49*使い方と設定!$B$7*$AK49*INDEX(個性タイプマスタ!$Q$5:$AA$54,$AE49,2)/$AG49,4))</f>
        <v>0.21429999999999999</v>
      </c>
      <c r="K49" s="9">
        <f>IF($H49&lt;&gt;"OK","",ROUND($G49*使い方と設定!$B$7*$AK49*INDEX(個性タイプマスタ!$Q$5:$AA$54,$AE49,3)/$AG49,4))</f>
        <v>3.9E-2</v>
      </c>
      <c r="L49" s="9">
        <f>IF($H49&lt;&gt;"OK","",ROUND($G49*使い方と設定!$B$7*$AK49*INDEX(個性タイプマスタ!$Q$5:$AA$54,$AE49,4)/$AG49,4))</f>
        <v>0.3896</v>
      </c>
      <c r="M49" s="9">
        <f>IF($H49&lt;&gt;"OK","",ROUND($G49*使い方と設定!$B$7*$AK49*INDEX(個性タイプマスタ!$Q$5:$AA$54,$AE49,5)/$AG49,4))</f>
        <v>0.19869999999999999</v>
      </c>
      <c r="N49" s="9">
        <f>IF($H49&lt;&gt;"OK","",ROUND($G49*使い方と設定!$B$7*$AK49*INDEX(個性タイプマスタ!$Q$5:$AA$54,$AE49,6)/$AG49,4))</f>
        <v>0.18540000000000001</v>
      </c>
      <c r="O49" s="9">
        <f>IF($H49&lt;&gt;"OK","",ROUND($G49*使い方と設定!$B$7*$AK49*INDEX(個性タイプマスタ!$Q$5:$AA$54,$AE49,7)/$AG49,4))</f>
        <v>0.1714</v>
      </c>
      <c r="P49" s="9">
        <f>IF($H49&lt;&gt;"OK","",ROUND($G49*使い方と設定!$B$7*$AK49*INDEX(個性タイプマスタ!$Q$5:$AA$54,$AE49,8)/$AG49,4))</f>
        <v>0.1182</v>
      </c>
      <c r="Q49" s="9">
        <f>IF($H49&lt;&gt;"OK","",ROUND($G49*使い方と設定!$B$7*$AK49*INDEX(個性タイプマスタ!$Q$5:$AA$54,$AE49,9)/$AG49,4))</f>
        <v>8.2299999999999998E-2</v>
      </c>
      <c r="R49" s="9">
        <f>IF($H49&lt;&gt;"OK","",ROUND($G49*使い方と設定!$B$7*$AK49*INDEX(個性タイプマスタ!$Q$5:$AA$54,$AE49,10)/$AG49,4))</f>
        <v>0.187</v>
      </c>
      <c r="S49" s="9">
        <f>IF($H49&lt;&gt;"OK","",ROUND($G49*使い方と設定!$B$7*$AK49*INDEX(個性タイプマスタ!$Q$5:$AA$54,$AE49,11)/$AG49,4))</f>
        <v>0.13089999999999999</v>
      </c>
      <c r="T49" s="9">
        <f>IF($H49&lt;&gt;"OK","",ROUND($G49*使い方と設定!$B$8*$AK49*$AH49*INDEX(属性耐性マスタ!$B$5:$G$10,$AF49,1),4))</f>
        <v>6.8999999999999999E-3</v>
      </c>
      <c r="U49" s="9">
        <f>IF($H49&lt;&gt;"OK","",ROUND($G49*使い方と設定!$B$8*$AK49*$AH49*INDEX(属性耐性マスタ!$B$5:$G$10,$AF49,2),4))</f>
        <v>6.8999999999999999E-3</v>
      </c>
      <c r="V49" s="9">
        <f>IF($H49&lt;&gt;"OK","",ROUND($G49*使い方と設定!$B$8*$AK49*$AH49*INDEX(属性耐性マスタ!$B$5:$G$10,$AF49,3),4))</f>
        <v>2.6100000000000002E-2</v>
      </c>
      <c r="W49" s="9">
        <f>IF($H49&lt;&gt;"OK","",ROUND($G49*使い方と設定!$B$8*$AK49*$AH49*INDEX(属性耐性マスタ!$B$5:$G$10,$AF49,4),4))</f>
        <v>0.1042</v>
      </c>
      <c r="X49" s="9">
        <f>IF($H49&lt;&gt;"OK","",ROUND($G49*使い方と設定!$B$8*$AK49*$AH49*INDEX(属性耐性マスタ!$B$5:$G$10,$AF49,5),4))</f>
        <v>5.1999999999999998E-3</v>
      </c>
      <c r="Y49" s="9">
        <f>IF($H49&lt;&gt;"OK","",ROUND($G49*使い方と設定!$B$8*$AK49*$AH49*INDEX(属性耐性マスタ!$B$5:$G$10,$AF49,6),4))</f>
        <v>5.1999999999999998E-3</v>
      </c>
      <c r="Z49" s="9">
        <f>IF($H49&lt;&gt;"OK","",ROUND($G49*使い方と設定!$B$9*$AK49*$AI49,4))</f>
        <v>0.65800000000000003</v>
      </c>
      <c r="AA49" s="10">
        <v>1</v>
      </c>
      <c r="AB49" s="11">
        <f t="shared" si="1"/>
        <v>1.9739</v>
      </c>
      <c r="AC49" s="11">
        <f t="shared" si="2"/>
        <v>0.1545</v>
      </c>
      <c r="AD49" s="7" t="str">
        <f>IF($H49&lt;&gt;"OK","",INDEX(個性タイプマスタ!$P$5:$P$54,$AE49))</f>
        <v>HP・防御・耐性の高い魔法型</v>
      </c>
      <c r="AE49">
        <f>IFERROR(MATCH(E49,個性タイプマスタ!$A$5:$A$54,0),0)</f>
        <v>6</v>
      </c>
      <c r="AF49">
        <f>IFERROR(MATCH(F49,属性耐性マスタ!$A$5:$A$10,0),0)</f>
        <v>4</v>
      </c>
      <c r="AG49">
        <f>IF(AE49=0,1,INDEX(個性タイプマスタ!$AB$5:$AB$54,AE49))</f>
        <v>12.666333333333332</v>
      </c>
      <c r="AH49">
        <f>IF(AE49=0,1,INDEX(個性タイプマスタ!$AC$5:$AC$54,AE49))</f>
        <v>1.32</v>
      </c>
      <c r="AI49">
        <f>IF(AE49=0,0,INDEX(個性タイプマスタ!$AD$5:$AD$54,AE49))</f>
        <v>1</v>
      </c>
      <c r="AJ49" s="16">
        <v>8</v>
      </c>
      <c r="AK49" s="17">
        <f>IF(OR(AJ49="",AJ49&lt;1),"",POWER(使い方と設定!$E$6,AJ49-1))</f>
        <v>1.3159317792358403</v>
      </c>
    </row>
    <row r="50" spans="1:37">
      <c r="A50" t="str">
        <f>+[2]称号!A45</f>
        <v>TITLE_044</v>
      </c>
      <c r="B50" t="str">
        <f>+[2]称号!B45</f>
        <v>灼熱の巨神</v>
      </c>
      <c r="C50" t="s">
        <v>203</v>
      </c>
      <c r="D50" t="s">
        <v>204</v>
      </c>
      <c r="E50" s="2" t="str">
        <f>[1]モンスター計算!AM48</f>
        <v>魔法・砲撃</v>
      </c>
      <c r="F50" s="2" t="str">
        <f>[1]モンスター計算!C48</f>
        <v>火</v>
      </c>
      <c r="G50" s="8">
        <v>1.05</v>
      </c>
      <c r="H50" t="str">
        <f t="shared" si="0"/>
        <v>OK</v>
      </c>
      <c r="I50" s="9">
        <f>IF($H50&lt;&gt;"OK","",ROUND($G50*使い方と設定!$B$7*$AK50*INDEX(個性タイプマスタ!$Q$5:$AA$54,$AE50,1)/$AG50,4))</f>
        <v>0.1988</v>
      </c>
      <c r="J50" s="9">
        <f>IF($H50&lt;&gt;"OK","",ROUND($G50*使い方と設定!$B$7*$AK50*INDEX(個性タイプマスタ!$Q$5:$AA$54,$AE50,2)/$AG50,4))</f>
        <v>0.34949999999999998</v>
      </c>
      <c r="K50" s="9">
        <f>IF($H50&lt;&gt;"OK","",ROUND($G50*使い方と設定!$B$7*$AK50*INDEX(個性タイプマスタ!$Q$5:$AA$54,$AE50,3)/$AG50,4))</f>
        <v>3.7199999999999997E-2</v>
      </c>
      <c r="L50" s="9">
        <f>IF($H50&lt;&gt;"OK","",ROUND($G50*使い方と設定!$B$7*$AK50*INDEX(個性タイプマスタ!$Q$5:$AA$54,$AE50,4)/$AG50,4))</f>
        <v>0.4965</v>
      </c>
      <c r="M50" s="9">
        <f>IF($H50&lt;&gt;"OK","",ROUND($G50*使い方と設定!$B$7*$AK50*INDEX(個性タイプマスタ!$Q$5:$AA$54,$AE50,5)/$AG50,4))</f>
        <v>0.14849999999999999</v>
      </c>
      <c r="N50" s="9">
        <f>IF($H50&lt;&gt;"OK","",ROUND($G50*使い方と設定!$B$7*$AK50*INDEX(個性タイプマスタ!$Q$5:$AA$54,$AE50,6)/$AG50,4))</f>
        <v>0.16039999999999999</v>
      </c>
      <c r="O50" s="9">
        <f>IF($H50&lt;&gt;"OK","",ROUND($G50*使い方と設定!$B$7*$AK50*INDEX(個性タイプマスタ!$Q$5:$AA$54,$AE50,7)/$AG50,4))</f>
        <v>8.7400000000000005E-2</v>
      </c>
      <c r="P50" s="9">
        <f>IF($H50&lt;&gt;"OK","",ROUND($G50*使い方と設定!$B$7*$AK50*INDEX(個性タイプマスタ!$Q$5:$AA$54,$AE50,8)/$AG50,4))</f>
        <v>0.1893</v>
      </c>
      <c r="Q50" s="9">
        <f>IF($H50&lt;&gt;"OK","",ROUND($G50*使い方と設定!$B$7*$AK50*INDEX(個性タイプマスタ!$Q$5:$AA$54,$AE50,9)/$AG50,4))</f>
        <v>7.2099999999999997E-2</v>
      </c>
      <c r="R50" s="9">
        <f>IF($H50&lt;&gt;"OK","",ROUND($G50*使い方と設定!$B$7*$AK50*INDEX(個性タイプマスタ!$Q$5:$AA$54,$AE50,10)/$AG50,4))</f>
        <v>0.12709999999999999</v>
      </c>
      <c r="S50" s="9">
        <f>IF($H50&lt;&gt;"OK","",ROUND($G50*使い方と設定!$B$7*$AK50*INDEX(個性タイプマスタ!$Q$5:$AA$54,$AE50,11)/$AG50,4))</f>
        <v>0.20569999999999999</v>
      </c>
      <c r="T50" s="9">
        <f>IF($H50&lt;&gt;"OK","",ROUND($G50*使い方と設定!$B$8*$AK50*$AH50*INDEX(属性耐性マスタ!$B$5:$G$10,$AF50,1),4))</f>
        <v>7.46E-2</v>
      </c>
      <c r="U50" s="9">
        <f>IF($H50&lt;&gt;"OK","",ROUND($G50*使い方と設定!$B$8*$AK50*$AH50*INDEX(属性耐性マスタ!$B$5:$G$10,$AF50,2),4))</f>
        <v>1.49E-2</v>
      </c>
      <c r="V50" s="9">
        <f>IF($H50&lt;&gt;"OK","",ROUND($G50*使い方と設定!$B$8*$AK50*$AH50*INDEX(属性耐性マスタ!$B$5:$G$10,$AF50,3),4))</f>
        <v>5.0000000000000001E-3</v>
      </c>
      <c r="W50" s="9">
        <f>IF($H50&lt;&gt;"OK","",ROUND($G50*使い方と設定!$B$8*$AK50*$AH50*INDEX(属性耐性マスタ!$B$5:$G$10,$AF50,4),4))</f>
        <v>5.0000000000000001E-3</v>
      </c>
      <c r="X50" s="9">
        <f>IF($H50&lt;&gt;"OK","",ROUND($G50*使い方と設定!$B$8*$AK50*$AH50*INDEX(属性耐性マスタ!$B$5:$G$10,$AF50,5),4))</f>
        <v>3.7000000000000002E-3</v>
      </c>
      <c r="Y50" s="9">
        <f>IF($H50&lt;&gt;"OK","",ROUND($G50*使い方と設定!$B$8*$AK50*$AH50*INDEX(属性耐性マスタ!$B$5:$G$10,$AF50,6),4))</f>
        <v>3.7000000000000002E-3</v>
      </c>
      <c r="Z50" s="9">
        <f>IF($H50&lt;&gt;"OK","",ROUND($G50*使い方と設定!$B$9*$AK50*$AI50,4))</f>
        <v>0.60450000000000004</v>
      </c>
      <c r="AA50" s="10">
        <v>1</v>
      </c>
      <c r="AB50" s="11">
        <f t="shared" si="1"/>
        <v>2.0724999999999998</v>
      </c>
      <c r="AC50" s="11">
        <f t="shared" si="2"/>
        <v>0.1069</v>
      </c>
      <c r="AD50" s="7" t="str">
        <f>IF($H50&lt;&gt;"OK","",INDEX(個性タイプマスタ!$P$5:$P$54,$AE50))</f>
        <v>低速高威力の遠距離砲台</v>
      </c>
      <c r="AE50">
        <f>IFERROR(MATCH(E50,個性タイプマスタ!$A$5:$A$54,0),0)</f>
        <v>17</v>
      </c>
      <c r="AF50">
        <f>IFERROR(MATCH(F50,属性耐性マスタ!$A$5:$A$10,0),0)</f>
        <v>1</v>
      </c>
      <c r="AG50">
        <f>IF(AE50=0,1,INDEX(個性タイプマスタ!$AB$5:$AB$54,AE50))</f>
        <v>10.436333333333334</v>
      </c>
      <c r="AH50">
        <f>IF(AE50=0,1,INDEX(個性タイプマスタ!$AC$5:$AC$54,AE50))</f>
        <v>0.9</v>
      </c>
      <c r="AI50">
        <f>IF(AE50=0,0,INDEX(個性タイプマスタ!$AD$5:$AD$54,AE50))</f>
        <v>0.875</v>
      </c>
      <c r="AJ50" s="16">
        <v>8</v>
      </c>
      <c r="AK50" s="17">
        <f>IF(OR(AJ50="",AJ50&lt;1),"",POWER(使い方と設定!$E$6,AJ50-1))</f>
        <v>1.3159317792358403</v>
      </c>
    </row>
    <row r="51" spans="1:37">
      <c r="A51" t="str">
        <f>+[2]称号!A46</f>
        <v>TITLE_045</v>
      </c>
      <c r="B51" t="str">
        <f>+[2]称号!B46</f>
        <v>蒼焔の魔躯</v>
      </c>
      <c r="C51" t="s">
        <v>205</v>
      </c>
      <c r="D51" t="s">
        <v>206</v>
      </c>
      <c r="E51" s="2" t="str">
        <f>[1]モンスター計算!AM49</f>
        <v>魔法・魔防障壁</v>
      </c>
      <c r="F51" s="2" t="str">
        <f>[1]モンスター計算!C49</f>
        <v>火</v>
      </c>
      <c r="G51" s="8">
        <v>1.1000000000000001</v>
      </c>
      <c r="H51" t="str">
        <f t="shared" si="0"/>
        <v>OK</v>
      </c>
      <c r="I51" s="9">
        <f>IF($H51&lt;&gt;"OK","",ROUND($G51*使い方と設定!$B$7*$AK51*INDEX(個性タイプマスタ!$Q$5:$AA$54,$AE51,1)/$AG51,4))</f>
        <v>0.22459999999999999</v>
      </c>
      <c r="J51" s="9">
        <f>IF($H51&lt;&gt;"OK","",ROUND($G51*使い方と設定!$B$7*$AK51*INDEX(個性タイプマスタ!$Q$5:$AA$54,$AE51,2)/$AG51,4))</f>
        <v>0.37069999999999997</v>
      </c>
      <c r="K51" s="9">
        <f>IF($H51&lt;&gt;"OK","",ROUND($G51*使い方と設定!$B$7*$AK51*INDEX(個性タイプマスタ!$Q$5:$AA$54,$AE51,3)/$AG51,4))</f>
        <v>3.1300000000000001E-2</v>
      </c>
      <c r="L51" s="9">
        <f>IF($H51&lt;&gt;"OK","",ROUND($G51*使い方と設定!$B$7*$AK51*INDEX(個性タイプマスタ!$Q$5:$AA$54,$AE51,4)/$AG51,4))</f>
        <v>0.48149999999999998</v>
      </c>
      <c r="M51" s="9">
        <f>IF($H51&lt;&gt;"OK","",ROUND($G51*使い方と設定!$B$7*$AK51*INDEX(個性タイプマスタ!$Q$5:$AA$54,$AE51,5)/$AG51,4))</f>
        <v>0.12609999999999999</v>
      </c>
      <c r="N51" s="9">
        <f>IF($H51&lt;&gt;"OK","",ROUND($G51*使い方と設定!$B$7*$AK51*INDEX(個性タイプマスタ!$Q$5:$AA$54,$AE51,6)/$AG51,4))</f>
        <v>0.33560000000000001</v>
      </c>
      <c r="O51" s="9">
        <f>IF($H51&lt;&gt;"OK","",ROUND($G51*使い方と設定!$B$7*$AK51*INDEX(個性タイプマスタ!$Q$5:$AA$54,$AE51,7)/$AG51,4))</f>
        <v>9.5299999999999996E-2</v>
      </c>
      <c r="P51" s="9">
        <f>IF($H51&lt;&gt;"OK","",ROUND($G51*使い方と設定!$B$7*$AK51*INDEX(個性タイプマスタ!$Q$5:$AA$54,$AE51,8)/$AG51,4))</f>
        <v>0.121</v>
      </c>
      <c r="Q51" s="9">
        <f>IF($H51&lt;&gt;"OK","",ROUND($G51*使い方と設定!$B$7*$AK51*INDEX(個性タイプマスタ!$Q$5:$AA$54,$AE51,9)/$AG51,4))</f>
        <v>8.0500000000000002E-2</v>
      </c>
      <c r="R51" s="9">
        <f>IF($H51&lt;&gt;"OK","",ROUND($G51*使い方と設定!$B$7*$AK51*INDEX(個性タイプマスタ!$Q$5:$AA$54,$AE51,10)/$AG51,4))</f>
        <v>0.1618</v>
      </c>
      <c r="S51" s="9">
        <f>IF($H51&lt;&gt;"OK","",ROUND($G51*使い方と設定!$B$7*$AK51*INDEX(個性タイプマスタ!$Q$5:$AA$54,$AE51,11)/$AG51,4))</f>
        <v>0.1429</v>
      </c>
      <c r="T51" s="9">
        <f>IF($H51&lt;&gt;"OK","",ROUND($G51*使い方と設定!$B$8*$AK51*$AH51*INDEX(属性耐性マスタ!$B$5:$G$10,$AF51,1),4))</f>
        <v>0.1181</v>
      </c>
      <c r="U51" s="9">
        <f>IF($H51&lt;&gt;"OK","",ROUND($G51*使い方と設定!$B$8*$AK51*$AH51*INDEX(属性耐性マスタ!$B$5:$G$10,$AF51,2),4))</f>
        <v>2.3599999999999999E-2</v>
      </c>
      <c r="V51" s="9">
        <f>IF($H51&lt;&gt;"OK","",ROUND($G51*使い方と設定!$B$8*$AK51*$AH51*INDEX(属性耐性マスタ!$B$5:$G$10,$AF51,3),4))</f>
        <v>7.9000000000000008E-3</v>
      </c>
      <c r="W51" s="9">
        <f>IF($H51&lt;&gt;"OK","",ROUND($G51*使い方と設定!$B$8*$AK51*$AH51*INDEX(属性耐性マスタ!$B$5:$G$10,$AF51,4),4))</f>
        <v>7.9000000000000008E-3</v>
      </c>
      <c r="X51" s="9">
        <f>IF($H51&lt;&gt;"OK","",ROUND($G51*使い方と設定!$B$8*$AK51*$AH51*INDEX(属性耐性マスタ!$B$5:$G$10,$AF51,5),4))</f>
        <v>5.8999999999999999E-3</v>
      </c>
      <c r="Y51" s="9">
        <f>IF($H51&lt;&gt;"OK","",ROUND($G51*使い方と設定!$B$8*$AK51*$AH51*INDEX(属性耐性マスタ!$B$5:$G$10,$AF51,6),4))</f>
        <v>5.8999999999999999E-3</v>
      </c>
      <c r="Z51" s="9">
        <f>IF($H51&lt;&gt;"OK","",ROUND($G51*使い方と設定!$B$9*$AK51*$AI51,4))</f>
        <v>0.66339999999999999</v>
      </c>
      <c r="AA51" s="10">
        <v>0.9</v>
      </c>
      <c r="AB51" s="11">
        <f t="shared" si="1"/>
        <v>2.1713</v>
      </c>
      <c r="AC51" s="11">
        <f t="shared" si="2"/>
        <v>0.16930000000000001</v>
      </c>
      <c r="AD51" s="7" t="str">
        <f>IF($H51&lt;&gt;"OK","",INDEX(個性タイプマスタ!$P$5:$P$54,$AE51))</f>
        <v>魔法防御に偏重した耐久型</v>
      </c>
      <c r="AE51">
        <f>IFERROR(MATCH(E51,個性タイプマスタ!$A$5:$A$54,0),0)</f>
        <v>24</v>
      </c>
      <c r="AF51">
        <f>IFERROR(MATCH(F51,属性耐性マスタ!$A$5:$A$10,0),0)</f>
        <v>1</v>
      </c>
      <c r="AG51">
        <f>IF(AE51=0,1,INDEX(個性タイプマスタ!$AB$5:$AB$54,AE51))</f>
        <v>11.273833333333332</v>
      </c>
      <c r="AH51">
        <f>IF(AE51=0,1,INDEX(個性タイプマスタ!$AC$5:$AC$54,AE51))</f>
        <v>1.3599999999999999</v>
      </c>
      <c r="AI51">
        <f>IF(AE51=0,0,INDEX(個性タイプマスタ!$AD$5:$AD$54,AE51))</f>
        <v>0.91666666666666663</v>
      </c>
      <c r="AJ51" s="16">
        <v>8</v>
      </c>
      <c r="AK51" s="17">
        <f>IF(OR(AJ51="",AJ51&lt;1),"",POWER(使い方と設定!$E$6,AJ51-1))</f>
        <v>1.3159317792358403</v>
      </c>
    </row>
    <row r="52" spans="1:37">
      <c r="A52" t="str">
        <f>+[2]称号!A47</f>
        <v>TITLE_046</v>
      </c>
      <c r="B52" t="str">
        <f>+[2]称号!B47</f>
        <v>呪土の偶像</v>
      </c>
      <c r="C52" t="s">
        <v>207</v>
      </c>
      <c r="D52" t="s">
        <v>208</v>
      </c>
      <c r="E52" s="2" t="str">
        <f>[1]モンスター計算!AM50</f>
        <v>近接・軽装強打</v>
      </c>
      <c r="F52" s="2" t="str">
        <f>[1]モンスター計算!C50</f>
        <v>雷</v>
      </c>
      <c r="G52" s="8">
        <v>1.1499999999999999</v>
      </c>
      <c r="H52" t="str">
        <f t="shared" si="0"/>
        <v>OK</v>
      </c>
      <c r="I52" s="9">
        <f>IF($H52&lt;&gt;"OK","",ROUND($G52*使い方と設定!$B$7*$AK52*INDEX(個性タイプマスタ!$Q$5:$AA$54,$AE52,1)/$AG52,4))</f>
        <v>0.19589999999999999</v>
      </c>
      <c r="J52" s="9">
        <f>IF($H52&lt;&gt;"OK","",ROUND($G52*使い方と設定!$B$7*$AK52*INDEX(個性タイプマスタ!$Q$5:$AA$54,$AE52,2)/$AG52,4))</f>
        <v>7.9899999999999999E-2</v>
      </c>
      <c r="K52" s="9">
        <f>IF($H52&lt;&gt;"OK","",ROUND($G52*使い方と設定!$B$7*$AK52*INDEX(個性タイプマスタ!$Q$5:$AA$54,$AE52,3)/$AG52,4))</f>
        <v>0.58589999999999998</v>
      </c>
      <c r="L52" s="9">
        <f>IF($H52&lt;&gt;"OK","",ROUND($G52*使い方と設定!$B$7*$AK52*INDEX(個性タイプマスタ!$Q$5:$AA$54,$AE52,4)/$AG52,4))</f>
        <v>3.6299999999999999E-2</v>
      </c>
      <c r="M52" s="9">
        <f>IF($H52&lt;&gt;"OK","",ROUND($G52*使い方と設定!$B$7*$AK52*INDEX(個性タイプマスタ!$Q$5:$AA$54,$AE52,5)/$AG52,4))</f>
        <v>0.15140000000000001</v>
      </c>
      <c r="N52" s="9">
        <f>IF($H52&lt;&gt;"OK","",ROUND($G52*使い方と設定!$B$7*$AK52*INDEX(個性タイプマスタ!$Q$5:$AA$54,$AE52,6)/$AG52,4))</f>
        <v>0.1394</v>
      </c>
      <c r="O52" s="9">
        <f>IF($H52&lt;&gt;"OK","",ROUND($G52*使い方と設定!$B$7*$AK52*INDEX(個性タイプマスタ!$Q$5:$AA$54,$AE52,7)/$AG52,4))</f>
        <v>0.24490000000000001</v>
      </c>
      <c r="P52" s="9">
        <f>IF($H52&lt;&gt;"OK","",ROUND($G52*使い方と設定!$B$7*$AK52*INDEX(個性タイプマスタ!$Q$5:$AA$54,$AE52,8)/$AG52,4))</f>
        <v>0.2437</v>
      </c>
      <c r="Q52" s="9">
        <f>IF($H52&lt;&gt;"OK","",ROUND($G52*使い方と設定!$B$7*$AK52*INDEX(個性タイプマスタ!$Q$5:$AA$54,$AE52,9)/$AG52,4))</f>
        <v>0.17269999999999999</v>
      </c>
      <c r="R52" s="9">
        <f>IF($H52&lt;&gt;"OK","",ROUND($G52*使い方と設定!$B$7*$AK52*INDEX(個性タイプマスタ!$Q$5:$AA$54,$AE52,10)/$AG52,4))</f>
        <v>0.20150000000000001</v>
      </c>
      <c r="S52" s="9">
        <f>IF($H52&lt;&gt;"OK","",ROUND($G52*使い方と設定!$B$7*$AK52*INDEX(個性タイプマスタ!$Q$5:$AA$54,$AE52,11)/$AG52,4))</f>
        <v>0.21820000000000001</v>
      </c>
      <c r="T52" s="9">
        <f>IF($H52&lt;&gt;"OK","",ROUND($G52*使い方と設定!$B$8*$AK52*$AH52*INDEX(属性耐性マスタ!$B$5:$G$10,$AF52,1),4))</f>
        <v>4.4000000000000003E-3</v>
      </c>
      <c r="U52" s="9">
        <f>IF($H52&lt;&gt;"OK","",ROUND($G52*使い方と設定!$B$8*$AK52*$AH52*INDEX(属性耐性マスタ!$B$5:$G$10,$AF52,2),4))</f>
        <v>4.4000000000000003E-3</v>
      </c>
      <c r="V52" s="9">
        <f>IF($H52&lt;&gt;"OK","",ROUND($G52*使い方と設定!$B$8*$AK52*$AH52*INDEX(属性耐性マスタ!$B$5:$G$10,$AF52,3),4))</f>
        <v>1.6299999999999999E-2</v>
      </c>
      <c r="W52" s="9">
        <f>IF($H52&lt;&gt;"OK","",ROUND($G52*使い方と設定!$B$8*$AK52*$AH52*INDEX(属性耐性マスタ!$B$5:$G$10,$AF52,4),4))</f>
        <v>6.54E-2</v>
      </c>
      <c r="X52" s="9">
        <f>IF($H52&lt;&gt;"OK","",ROUND($G52*使い方と設定!$B$8*$AK52*$AH52*INDEX(属性耐性マスタ!$B$5:$G$10,$AF52,5),4))</f>
        <v>3.3E-3</v>
      </c>
      <c r="Y52" s="9">
        <f>IF($H52&lt;&gt;"OK","",ROUND($G52*使い方と設定!$B$8*$AK52*$AH52*INDEX(属性耐性マスタ!$B$5:$G$10,$AF52,6),4))</f>
        <v>3.3E-3</v>
      </c>
      <c r="Z52" s="9">
        <f>IF($H52&lt;&gt;"OK","",ROUND($G52*使い方と設定!$B$9*$AK52*$AI52,4))</f>
        <v>0.87649999999999995</v>
      </c>
      <c r="AA52" s="10">
        <v>0.55000000000000004</v>
      </c>
      <c r="AB52" s="11">
        <f t="shared" si="1"/>
        <v>2.2698</v>
      </c>
      <c r="AC52" s="11">
        <f t="shared" si="2"/>
        <v>9.7100000000000006E-2</v>
      </c>
      <c r="AD52" s="7" t="str">
        <f>IF($H52&lt;&gt;"OK","",INDEX(個性タイプマスタ!$P$5:$P$54,$AE52))</f>
        <v>高い会心倍率と中距離の強打</v>
      </c>
      <c r="AE52">
        <f>IFERROR(MATCH(E52,個性タイプマスタ!$A$5:$A$54,0),0)</f>
        <v>50</v>
      </c>
      <c r="AF52">
        <f>IFERROR(MATCH(F52,属性耐性マスタ!$A$5:$A$10,0),0)</f>
        <v>4</v>
      </c>
      <c r="AG52">
        <f>IF(AE52=0,1,INDEX(個性タイプマスタ!$AB$5:$AB$54,AE52))</f>
        <v>9.6859999999999982</v>
      </c>
      <c r="AH52">
        <f>IF(AE52=0,1,INDEX(個性タイプマスタ!$AC$5:$AC$54,AE52))</f>
        <v>0.72</v>
      </c>
      <c r="AI52">
        <f>IF(AE52=0,0,INDEX(個性タイプマスタ!$AD$5:$AD$54,AE52))</f>
        <v>1.1583333333333332</v>
      </c>
      <c r="AJ52" s="16">
        <v>8</v>
      </c>
      <c r="AK52" s="17">
        <f>IF(OR(AJ52="",AJ52&lt;1),"",POWER(使い方と設定!$E$6,AJ52-1))</f>
        <v>1.3159317792358403</v>
      </c>
    </row>
    <row r="53" spans="1:37">
      <c r="A53" t="str">
        <f>+[2]称号!A48</f>
        <v>TITLE_047</v>
      </c>
      <c r="B53" t="str">
        <f>+[2]称号!B48</f>
        <v>蒼重力の支配者</v>
      </c>
      <c r="C53" t="s">
        <v>210</v>
      </c>
      <c r="D53" t="s">
        <v>211</v>
      </c>
      <c r="E53" s="2" t="str">
        <f>[1]モンスター計算!AM51</f>
        <v>近接・狂戦士</v>
      </c>
      <c r="F53" s="2" t="str">
        <f>[1]モンスター計算!C51</f>
        <v>水</v>
      </c>
      <c r="G53" s="8">
        <v>1.2</v>
      </c>
      <c r="H53" t="str">
        <f t="shared" si="0"/>
        <v>OK</v>
      </c>
      <c r="I53" s="9">
        <f>IF($H53&lt;&gt;"OK","",ROUND($G53*使い方と設定!$B$7*$AK53*INDEX(個性タイプマスタ!$Q$5:$AA$54,$AE53,1)/$AG53,4))</f>
        <v>0.16470000000000001</v>
      </c>
      <c r="J53" s="9">
        <f>IF($H53&lt;&gt;"OK","",ROUND($G53*使い方と設定!$B$7*$AK53*INDEX(個性タイプマスタ!$Q$5:$AA$54,$AE53,2)/$AG53,4))</f>
        <v>6.08E-2</v>
      </c>
      <c r="K53" s="9">
        <f>IF($H53&lt;&gt;"OK","",ROUND($G53*使い方と設定!$B$7*$AK53*INDEX(個性タイプマスタ!$Q$5:$AA$54,$AE53,3)/$AG53,4))</f>
        <v>0.57599999999999996</v>
      </c>
      <c r="L53" s="9">
        <f>IF($H53&lt;&gt;"OK","",ROUND($G53*使い方と設定!$B$7*$AK53*INDEX(個性タイプマスタ!$Q$5:$AA$54,$AE53,4)/$AG53,4))</f>
        <v>3.7400000000000003E-2</v>
      </c>
      <c r="M53" s="9">
        <f>IF($H53&lt;&gt;"OK","",ROUND($G53*使い方と設定!$B$7*$AK53*INDEX(個性タイプマスタ!$Q$5:$AA$54,$AE53,5)/$AG53,4))</f>
        <v>0.12139999999999999</v>
      </c>
      <c r="N53" s="9">
        <f>IF($H53&lt;&gt;"OK","",ROUND($G53*使い方と設定!$B$7*$AK53*INDEX(個性タイプマスタ!$Q$5:$AA$54,$AE53,6)/$AG53,4))</f>
        <v>0.13320000000000001</v>
      </c>
      <c r="O53" s="9">
        <f>IF($H53&lt;&gt;"OK","",ROUND($G53*使い方と設定!$B$7*$AK53*INDEX(個性タイプマスタ!$Q$5:$AA$54,$AE53,7)/$AG53,4))</f>
        <v>0.45619999999999999</v>
      </c>
      <c r="P53" s="9">
        <f>IF($H53&lt;&gt;"OK","",ROUND($G53*使い方と設定!$B$7*$AK53*INDEX(個性タイプマスタ!$Q$5:$AA$54,$AE53,8)/$AG53,4))</f>
        <v>0.20960000000000001</v>
      </c>
      <c r="Q53" s="9">
        <f>IF($H53&lt;&gt;"OK","",ROUND($G53*使い方と設定!$B$7*$AK53*INDEX(個性タイプマスタ!$Q$5:$AA$54,$AE53,9)/$AG53,4))</f>
        <v>0.15970000000000001</v>
      </c>
      <c r="R53" s="9">
        <f>IF($H53&lt;&gt;"OK","",ROUND($G53*使い方と設定!$B$7*$AK53*INDEX(個性タイプマスタ!$Q$5:$AA$54,$AE53,10)/$AG53,4))</f>
        <v>0.311</v>
      </c>
      <c r="S53" s="9">
        <f>IF($H53&lt;&gt;"OK","",ROUND($G53*使い方と設定!$B$7*$AK53*INDEX(個性タイプマスタ!$Q$5:$AA$54,$AE53,11)/$AG53,4))</f>
        <v>0.13869999999999999</v>
      </c>
      <c r="T53" s="9">
        <f>IF($H53&lt;&gt;"OK","",ROUND($G53*使い方と設定!$B$8*$AK53*$AH53*INDEX(属性耐性マスタ!$B$5:$G$10,$AF53,1),4))</f>
        <v>1.29E-2</v>
      </c>
      <c r="U53" s="9">
        <f>IF($H53&lt;&gt;"OK","",ROUND($G53*使い方と設定!$B$8*$AK53*$AH53*INDEX(属性耐性マスタ!$B$5:$G$10,$AF53,2),4))</f>
        <v>6.4399999999999999E-2</v>
      </c>
      <c r="V53" s="9">
        <f>IF($H53&lt;&gt;"OK","",ROUND($G53*使い方と設定!$B$8*$AK53*$AH53*INDEX(属性耐性マスタ!$B$5:$G$10,$AF53,3),4))</f>
        <v>4.3E-3</v>
      </c>
      <c r="W53" s="9">
        <f>IF($H53&lt;&gt;"OK","",ROUND($G53*使い方と設定!$B$8*$AK53*$AH53*INDEX(属性耐性マスタ!$B$5:$G$10,$AF53,4),4))</f>
        <v>4.3E-3</v>
      </c>
      <c r="X53" s="9">
        <f>IF($H53&lt;&gt;"OK","",ROUND($G53*使い方と設定!$B$8*$AK53*$AH53*INDEX(属性耐性マスタ!$B$5:$G$10,$AF53,5),4))</f>
        <v>3.2000000000000002E-3</v>
      </c>
      <c r="Y53" s="9">
        <f>IF($H53&lt;&gt;"OK","",ROUND($G53*使い方と設定!$B$8*$AK53*$AH53*INDEX(属性耐性マスタ!$B$5:$G$10,$AF53,6),4))</f>
        <v>3.2000000000000002E-3</v>
      </c>
      <c r="Z53" s="9">
        <f>IF($H53&lt;&gt;"OK","",ROUND($G53*使い方と設定!$B$9*$AK53*$AI53,4))</f>
        <v>0.88829999999999998</v>
      </c>
      <c r="AA53" s="10">
        <v>0.5</v>
      </c>
      <c r="AB53" s="11">
        <f t="shared" si="1"/>
        <v>2.3687</v>
      </c>
      <c r="AC53" s="11">
        <f t="shared" si="2"/>
        <v>9.2299999999999993E-2</v>
      </c>
      <c r="AD53" s="7" t="str">
        <f>IF($H53&lt;&gt;"OK","",INDEX(個性タイプマスタ!$P$5:$P$54,$AE53))</f>
        <v>紙耐久の高回転会心型</v>
      </c>
      <c r="AE53">
        <f>IFERROR(MATCH(E53,個性タイプマスタ!$A$5:$A$54,0),0)</f>
        <v>32</v>
      </c>
      <c r="AF53">
        <f>IFERROR(MATCH(F53,属性耐性マスタ!$A$5:$A$10,0),0)</f>
        <v>2</v>
      </c>
      <c r="AG53">
        <f>IF(AE53=0,1,INDEX(個性タイプマスタ!$AB$5:$AB$54,AE53))</f>
        <v>10.281499999999999</v>
      </c>
      <c r="AH53">
        <f>IF(AE53=0,1,INDEX(個性タイプマスタ!$AC$5:$AC$54,AE53))</f>
        <v>0.67999999999999994</v>
      </c>
      <c r="AI53">
        <f>IF(AE53=0,0,INDEX(個性タイプマスタ!$AD$5:$AD$54,AE53))</f>
        <v>1.125</v>
      </c>
      <c r="AJ53" s="16">
        <v>8</v>
      </c>
      <c r="AK53" s="17">
        <f>IF(OR(AJ53="",AJ53&lt;1),"",POWER(使い方と設定!$E$6,AJ53-1))</f>
        <v>1.3159317792358403</v>
      </c>
    </row>
    <row r="54" spans="1:37">
      <c r="A54" t="str">
        <f>+[2]称号!A49</f>
        <v>TITLE_048</v>
      </c>
      <c r="B54" t="str">
        <f>+[2]称号!B49</f>
        <v>裂岩の猛将</v>
      </c>
      <c r="C54" t="s">
        <v>212</v>
      </c>
      <c r="D54" t="s">
        <v>213</v>
      </c>
      <c r="E54" s="2" t="str">
        <f>[1]モンスター計算!AM52</f>
        <v>魔法・長射程</v>
      </c>
      <c r="F54" s="2" t="str">
        <f>[1]モンスター計算!C52</f>
        <v>火</v>
      </c>
      <c r="G54" s="8">
        <v>1.25</v>
      </c>
      <c r="H54" t="str">
        <f t="shared" si="0"/>
        <v>OK</v>
      </c>
      <c r="I54" s="9">
        <f>IF($H54&lt;&gt;"OK","",ROUND($G54*使い方と設定!$B$7*$AK54*INDEX(個性タイプマスタ!$Q$5:$AA$54,$AE54,1)/$AG54,4))</f>
        <v>0.24859999999999999</v>
      </c>
      <c r="J54" s="9">
        <f>IF($H54&lt;&gt;"OK","",ROUND($G54*使い方と設定!$B$7*$AK54*INDEX(個性タイプマスタ!$Q$5:$AA$54,$AE54,2)/$AG54,4))</f>
        <v>0.28489999999999999</v>
      </c>
      <c r="K54" s="9">
        <f>IF($H54&lt;&gt;"OK","",ROUND($G54*使い方と設定!$B$7*$AK54*INDEX(個性タイプマスタ!$Q$5:$AA$54,$AE54,3)/$AG54,4))</f>
        <v>3.6499999999999998E-2</v>
      </c>
      <c r="L54" s="9">
        <f>IF($H54&lt;&gt;"OK","",ROUND($G54*使い方と設定!$B$7*$AK54*INDEX(個性タイプマスタ!$Q$5:$AA$54,$AE54,4)/$AG54,4))</f>
        <v>0.58860000000000001</v>
      </c>
      <c r="M54" s="9">
        <f>IF($H54&lt;&gt;"OK","",ROUND($G54*使い方と設定!$B$7*$AK54*INDEX(個性タイプマスタ!$Q$5:$AA$54,$AE54,5)/$AG54,4))</f>
        <v>0.1641</v>
      </c>
      <c r="N54" s="9">
        <f>IF($H54&lt;&gt;"OK","",ROUND($G54*使い方と設定!$B$7*$AK54*INDEX(個性タイプマスタ!$Q$5:$AA$54,$AE54,6)/$AG54,4))</f>
        <v>0.18210000000000001</v>
      </c>
      <c r="O54" s="9">
        <f>IF($H54&lt;&gt;"OK","",ROUND($G54*使い方と設定!$B$7*$AK54*INDEX(個性タイプマスタ!$Q$5:$AA$54,$AE54,7)/$AG54,4))</f>
        <v>0.15540000000000001</v>
      </c>
      <c r="P54" s="9">
        <f>IF($H54&lt;&gt;"OK","",ROUND($G54*使い方と設定!$B$7*$AK54*INDEX(個性タイプマスタ!$Q$5:$AA$54,$AE54,8)/$AG54,4))</f>
        <v>0.16320000000000001</v>
      </c>
      <c r="Q54" s="9">
        <f>IF($H54&lt;&gt;"OK","",ROUND($G54*使い方と設定!$B$7*$AK54*INDEX(個性タイプマスタ!$Q$5:$AA$54,$AE54,9)/$AG54,4))</f>
        <v>0.11650000000000001</v>
      </c>
      <c r="R54" s="9">
        <f>IF($H54&lt;&gt;"OK","",ROUND($G54*使い方と設定!$B$7*$AK54*INDEX(個性タイプマスタ!$Q$5:$AA$54,$AE54,10)/$AG54,4))</f>
        <v>0.21429999999999999</v>
      </c>
      <c r="S54" s="9">
        <f>IF($H54&lt;&gt;"OK","",ROUND($G54*使い方と設定!$B$7*$AK54*INDEX(個性タイプマスタ!$Q$5:$AA$54,$AE54,11)/$AG54,4))</f>
        <v>0.31309999999999999</v>
      </c>
      <c r="T54" s="9">
        <f>IF($H54&lt;&gt;"OK","",ROUND($G54*使い方と設定!$B$8*$AK54*$AH54*INDEX(属性耐性マスタ!$B$5:$G$10,$AF54,1),4))</f>
        <v>9.0800000000000006E-2</v>
      </c>
      <c r="U54" s="9">
        <f>IF($H54&lt;&gt;"OK","",ROUND($G54*使い方と設定!$B$8*$AK54*$AH54*INDEX(属性耐性マスタ!$B$5:$G$10,$AF54,2),4))</f>
        <v>1.8200000000000001E-2</v>
      </c>
      <c r="V54" s="9">
        <f>IF($H54&lt;&gt;"OK","",ROUND($G54*使い方と設定!$B$8*$AK54*$AH54*INDEX(属性耐性マスタ!$B$5:$G$10,$AF54,3),4))</f>
        <v>6.1000000000000004E-3</v>
      </c>
      <c r="W54" s="9">
        <f>IF($H54&lt;&gt;"OK","",ROUND($G54*使い方と設定!$B$8*$AK54*$AH54*INDEX(属性耐性マスタ!$B$5:$G$10,$AF54,4),4))</f>
        <v>6.1000000000000004E-3</v>
      </c>
      <c r="X54" s="9">
        <f>IF($H54&lt;&gt;"OK","",ROUND($G54*使い方と設定!$B$8*$AK54*$AH54*INDEX(属性耐性マスタ!$B$5:$G$10,$AF54,5),4))</f>
        <v>4.4999999999999997E-3</v>
      </c>
      <c r="Y54" s="9">
        <f>IF($H54&lt;&gt;"OK","",ROUND($G54*使い方と設定!$B$8*$AK54*$AH54*INDEX(属性耐性マスタ!$B$5:$G$10,$AF54,6),4))</f>
        <v>4.4999999999999997E-3</v>
      </c>
      <c r="Z54" s="9">
        <f>IF($H54&lt;&gt;"OK","",ROUND($G54*使い方と設定!$B$9*$AK54*$AI54,4))</f>
        <v>0.80189999999999995</v>
      </c>
      <c r="AA54" s="10">
        <v>0.25</v>
      </c>
      <c r="AB54" s="11">
        <f t="shared" si="1"/>
        <v>2.4672999999999998</v>
      </c>
      <c r="AC54" s="11">
        <f t="shared" si="2"/>
        <v>0.13020000000000001</v>
      </c>
      <c r="AD54" s="7" t="str">
        <f>IF($H54&lt;&gt;"OK","",INDEX(個性タイプマスタ!$P$5:$P$54,$AE54))</f>
        <v>射程を優先した後衛</v>
      </c>
      <c r="AE54">
        <f>IFERROR(MATCH(E54,個性タイプマスタ!$A$5:$A$54,0),0)</f>
        <v>20</v>
      </c>
      <c r="AF54">
        <f>IFERROR(MATCH(F54,属性耐性マスタ!$A$5:$A$10,0),0)</f>
        <v>1</v>
      </c>
      <c r="AG54">
        <f>IF(AE54=0,1,INDEX(個性タイプマスタ!$AB$5:$AB$54,AE54))</f>
        <v>10.479833333333334</v>
      </c>
      <c r="AH54">
        <f>IF(AE54=0,1,INDEX(個性タイプマスタ!$AC$5:$AC$54,AE54))</f>
        <v>0.92</v>
      </c>
      <c r="AI54">
        <f>IF(AE54=0,0,INDEX(個性タイプマスタ!$AD$5:$AD$54,AE54))</f>
        <v>0.97499999999999998</v>
      </c>
      <c r="AJ54" s="16">
        <v>8</v>
      </c>
      <c r="AK54" s="17">
        <f>IF(OR(AJ54="",AJ54&lt;1),"",POWER(使い方と設定!$E$6,AJ54-1))</f>
        <v>1.3159317792358403</v>
      </c>
    </row>
    <row r="55" spans="1:37">
      <c r="A55" t="str">
        <f>+[2]称号!A50</f>
        <v>TITLE_049</v>
      </c>
      <c r="B55" t="str">
        <f>+[2]称号!B50</f>
        <v>守護岩壁</v>
      </c>
      <c r="C55" t="s">
        <v>215</v>
      </c>
      <c r="D55" t="s">
        <v>216</v>
      </c>
      <c r="E55" s="2" t="str">
        <f>[1]モンスター計算!AM53</f>
        <v>魔法・狙撃</v>
      </c>
      <c r="F55" s="2" t="str">
        <f>[1]モンスター計算!C53</f>
        <v>雷</v>
      </c>
      <c r="G55" s="8">
        <v>1</v>
      </c>
      <c r="H55" t="str">
        <f t="shared" si="0"/>
        <v>OK</v>
      </c>
      <c r="I55" s="9">
        <f>IF($H55&lt;&gt;"OK","",ROUND($G55*使い方と設定!$B$7*$AK55*INDEX(個性タイプマスタ!$Q$5:$AA$54,$AE55,1)/$AG55,4))</f>
        <v>0.1371</v>
      </c>
      <c r="J55" s="9">
        <f>IF($H55&lt;&gt;"OK","",ROUND($G55*使い方と設定!$B$7*$AK55*INDEX(個性タイプマスタ!$Q$5:$AA$54,$AE55,2)/$AG55,4))</f>
        <v>0.22500000000000001</v>
      </c>
      <c r="K55" s="9">
        <f>IF($H55&lt;&gt;"OK","",ROUND($G55*使い方と設定!$B$7*$AK55*INDEX(個性タイプマスタ!$Q$5:$AA$54,$AE55,3)/$AG55,4))</f>
        <v>2.4199999999999999E-2</v>
      </c>
      <c r="L55" s="9">
        <f>IF($H55&lt;&gt;"OK","",ROUND($G55*使い方と設定!$B$7*$AK55*INDEX(個性タイプマスタ!$Q$5:$AA$54,$AE55,4)/$AG55,4))</f>
        <v>0.46489999999999998</v>
      </c>
      <c r="M55" s="9">
        <f>IF($H55&lt;&gt;"OK","",ROUND($G55*使い方と設定!$B$7*$AK55*INDEX(個性タイプマスタ!$Q$5:$AA$54,$AE55,5)/$AG55,4))</f>
        <v>0.1028</v>
      </c>
      <c r="N55" s="9">
        <f>IF($H55&lt;&gt;"OK","",ROUND($G55*使い方と設定!$B$7*$AK55*INDEX(個性タイプマスタ!$Q$5:$AA$54,$AE55,6)/$AG55,4))</f>
        <v>0.1265</v>
      </c>
      <c r="O55" s="9">
        <f>IF($H55&lt;&gt;"OK","",ROUND($G55*使い方と設定!$B$7*$AK55*INDEX(個性タイプマスタ!$Q$5:$AA$54,$AE55,7)/$AG55,4))</f>
        <v>0.36820000000000003</v>
      </c>
      <c r="P55" s="9">
        <f>IF($H55&lt;&gt;"OK","",ROUND($G55*使い方と設定!$B$7*$AK55*INDEX(個性タイプマスタ!$Q$5:$AA$54,$AE55,8)/$AG55,4))</f>
        <v>0.14910000000000001</v>
      </c>
      <c r="Q55" s="9">
        <f>IF($H55&lt;&gt;"OK","",ROUND($G55*使い方と設定!$B$7*$AK55*INDEX(個性タイプマスタ!$Q$5:$AA$54,$AE55,9)/$AG55,4))</f>
        <v>8.3900000000000002E-2</v>
      </c>
      <c r="R55" s="9">
        <f>IF($H55&lt;&gt;"OK","",ROUND($G55*使い方と設定!$B$7*$AK55*INDEX(個性タイプマスタ!$Q$5:$AA$54,$AE55,10)/$AG55,4))</f>
        <v>0.13950000000000001</v>
      </c>
      <c r="S55" s="9">
        <f>IF($H55&lt;&gt;"OK","",ROUND($G55*使い方と設定!$B$7*$AK55*INDEX(個性タイプマスタ!$Q$5:$AA$54,$AE55,11)/$AG55,4))</f>
        <v>0.23169999999999999</v>
      </c>
      <c r="T55" s="9">
        <f>IF($H55&lt;&gt;"OK","",ROUND($G55*使い方と設定!$B$8*$AK55*$AH55*INDEX(属性耐性マスタ!$B$5:$G$10,$AF55,1),4))</f>
        <v>4.1999999999999997E-3</v>
      </c>
      <c r="U55" s="9">
        <f>IF($H55&lt;&gt;"OK","",ROUND($G55*使い方と設定!$B$8*$AK55*$AH55*INDEX(属性耐性マスタ!$B$5:$G$10,$AF55,2),4))</f>
        <v>4.1999999999999997E-3</v>
      </c>
      <c r="V55" s="9">
        <f>IF($H55&lt;&gt;"OK","",ROUND($G55*使い方と設定!$B$8*$AK55*$AH55*INDEX(属性耐性マスタ!$B$5:$G$10,$AF55,3),4))</f>
        <v>1.5599999999999999E-2</v>
      </c>
      <c r="W55" s="9">
        <f>IF($H55&lt;&gt;"OK","",ROUND($G55*使い方と設定!$B$8*$AK55*$AH55*INDEX(属性耐性マスタ!$B$5:$G$10,$AF55,4),4))</f>
        <v>6.2399999999999997E-2</v>
      </c>
      <c r="X55" s="9">
        <f>IF($H55&lt;&gt;"OK","",ROUND($G55*使い方と設定!$B$8*$AK55*$AH55*INDEX(属性耐性マスタ!$B$5:$G$10,$AF55,5),4))</f>
        <v>3.0999999999999999E-3</v>
      </c>
      <c r="Y55" s="9">
        <f>IF($H55&lt;&gt;"OK","",ROUND($G55*使い方と設定!$B$8*$AK55*$AH55*INDEX(属性耐性マスタ!$B$5:$G$10,$AF55,6),4))</f>
        <v>3.0999999999999999E-3</v>
      </c>
      <c r="Z55" s="9">
        <f>IF($H55&lt;&gt;"OK","",ROUND($G55*使い方と設定!$B$9*$AK55*$AI55,4))</f>
        <v>0.64439999999999997</v>
      </c>
      <c r="AA55" s="10">
        <v>1</v>
      </c>
      <c r="AB55" s="11">
        <f t="shared" si="1"/>
        <v>2.0529000000000002</v>
      </c>
      <c r="AC55" s="11">
        <f t="shared" si="2"/>
        <v>9.2600000000000002E-2</v>
      </c>
      <c r="AD55" s="7" t="str">
        <f>IF($H55&lt;&gt;"OK","",INDEX(個性タイプマスタ!$P$5:$P$54,$AE55))</f>
        <v>長射程・高会心。接近戦に弱い</v>
      </c>
      <c r="AE55">
        <f>IFERROR(MATCH(E55,個性タイプマスタ!$A$5:$A$54,0),0)</f>
        <v>16</v>
      </c>
      <c r="AF55">
        <f>IFERROR(MATCH(F55,属性耐性マスタ!$A$5:$A$10,0),0)</f>
        <v>4</v>
      </c>
      <c r="AG55">
        <f>IF(AE55=0,1,INDEX(個性タイプマスタ!$AB$5:$AB$54,AE55))</f>
        <v>11.038166666666667</v>
      </c>
      <c r="AH55">
        <f>IF(AE55=0,1,INDEX(個性タイプマスタ!$AC$5:$AC$54,AE55))</f>
        <v>0.76</v>
      </c>
      <c r="AI55">
        <f>IF(AE55=0,0,INDEX(個性タイプマスタ!$AD$5:$AD$54,AE55))</f>
        <v>0.94166666666666665</v>
      </c>
      <c r="AJ55" s="16">
        <v>9</v>
      </c>
      <c r="AK55" s="17">
        <f>IF(OR(AJ55="",AJ55&lt;1),"",POWER(使い方と設定!$E$6,AJ55-1))</f>
        <v>1.3685690504052741</v>
      </c>
    </row>
    <row r="56" spans="1:37">
      <c r="A56" t="str">
        <f>+[2]称号!A51</f>
        <v>TITLE_050</v>
      </c>
      <c r="B56" t="str">
        <f>+[2]称号!B51</f>
        <v>銀鉄の巨兵</v>
      </c>
      <c r="C56" t="s">
        <v>218</v>
      </c>
      <c r="D56" t="s">
        <v>219</v>
      </c>
      <c r="E56" s="2" t="str">
        <f>[1]モンスター計算!AM54</f>
        <v>魔法・会心一撃</v>
      </c>
      <c r="F56" s="2" t="str">
        <f>[1]モンスター計算!C54</f>
        <v>雷</v>
      </c>
      <c r="G56" s="8">
        <v>1.05</v>
      </c>
      <c r="H56" t="str">
        <f t="shared" si="0"/>
        <v>OK</v>
      </c>
      <c r="I56" s="9">
        <f>IF($H56&lt;&gt;"OK","",ROUND($G56*使い方と設定!$B$7*$AK56*INDEX(個性タイプマスタ!$Q$5:$AA$54,$AE56,1)/$AG56,4))</f>
        <v>0.17560000000000001</v>
      </c>
      <c r="J56" s="9">
        <f>IF($H56&lt;&gt;"OK","",ROUND($G56*使い方と設定!$B$7*$AK56*INDEX(個性タイプマスタ!$Q$5:$AA$54,$AE56,2)/$AG56,4))</f>
        <v>0.28920000000000001</v>
      </c>
      <c r="K56" s="9">
        <f>IF($H56&lt;&gt;"OK","",ROUND($G56*使い方と設定!$B$7*$AK56*INDEX(個性タイプマスタ!$Q$5:$AA$54,$AE56,3)/$AG56,4))</f>
        <v>2.92E-2</v>
      </c>
      <c r="L56" s="9">
        <f>IF($H56&lt;&gt;"OK","",ROUND($G56*使い方と設定!$B$7*$AK56*INDEX(個性タイプマスタ!$Q$5:$AA$54,$AE56,4)/$AG56,4))</f>
        <v>0.48680000000000001</v>
      </c>
      <c r="M56" s="9">
        <f>IF($H56&lt;&gt;"OK","",ROUND($G56*使い方と設定!$B$7*$AK56*INDEX(個性タイプマスタ!$Q$5:$AA$54,$AE56,5)/$AG56,4))</f>
        <v>0.1341</v>
      </c>
      <c r="N56" s="9">
        <f>IF($H56&lt;&gt;"OK","",ROUND($G56*使い方と設定!$B$7*$AK56*INDEX(個性タイプマスタ!$Q$5:$AA$54,$AE56,6)/$AG56,4))</f>
        <v>0.14399999999999999</v>
      </c>
      <c r="O56" s="9">
        <f>IF($H56&lt;&gt;"OK","",ROUND($G56*使い方と設定!$B$7*$AK56*INDEX(個性タイプマスタ!$Q$5:$AA$54,$AE56,7)/$AG56,4))</f>
        <v>0.25700000000000001</v>
      </c>
      <c r="P56" s="9">
        <f>IF($H56&lt;&gt;"OK","",ROUND($G56*使い方と設定!$B$7*$AK56*INDEX(個性タイプマスタ!$Q$5:$AA$54,$AE56,8)/$AG56,4))</f>
        <v>0.2152</v>
      </c>
      <c r="Q56" s="9">
        <f>IF($H56&lt;&gt;"OK","",ROUND($G56*使い方と設定!$B$7*$AK56*INDEX(個性タイプマスタ!$Q$5:$AA$54,$AE56,9)/$AG56,4))</f>
        <v>9.8500000000000004E-2</v>
      </c>
      <c r="R56" s="9">
        <f>IF($H56&lt;&gt;"OK","",ROUND($G56*使い方と設定!$B$7*$AK56*INDEX(個性タイプマスタ!$Q$5:$AA$54,$AE56,10)/$AG56,4))</f>
        <v>0.13239999999999999</v>
      </c>
      <c r="S56" s="9">
        <f>IF($H56&lt;&gt;"OK","",ROUND($G56*使い方と設定!$B$7*$AK56*INDEX(個性タイプマスタ!$Q$5:$AA$54,$AE56,11)/$AG56,4))</f>
        <v>0.19350000000000001</v>
      </c>
      <c r="T56" s="9">
        <f>IF($H56&lt;&gt;"OK","",ROUND($G56*使い方と設定!$B$8*$AK56*$AH56*INDEX(属性耐性マスタ!$B$5:$G$10,$AF56,1),4))</f>
        <v>4.4999999999999997E-3</v>
      </c>
      <c r="U56" s="9">
        <f>IF($H56&lt;&gt;"OK","",ROUND($G56*使い方と設定!$B$8*$AK56*$AH56*INDEX(属性耐性マスタ!$B$5:$G$10,$AF56,2),4))</f>
        <v>4.4999999999999997E-3</v>
      </c>
      <c r="V56" s="9">
        <f>IF($H56&lt;&gt;"OK","",ROUND($G56*使い方と設定!$B$8*$AK56*$AH56*INDEX(属性耐性マスタ!$B$5:$G$10,$AF56,3),4))</f>
        <v>1.6799999999999999E-2</v>
      </c>
      <c r="W56" s="9">
        <f>IF($H56&lt;&gt;"OK","",ROUND($G56*使い方と設定!$B$8*$AK56*$AH56*INDEX(属性耐性マスタ!$B$5:$G$10,$AF56,4),4))</f>
        <v>6.7299999999999999E-2</v>
      </c>
      <c r="X56" s="9">
        <f>IF($H56&lt;&gt;"OK","",ROUND($G56*使い方と設定!$B$8*$AK56*$AH56*INDEX(属性耐性マスタ!$B$5:$G$10,$AF56,5),4))</f>
        <v>3.3999999999999998E-3</v>
      </c>
      <c r="Y56" s="9">
        <f>IF($H56&lt;&gt;"OK","",ROUND($G56*使い方と設定!$B$8*$AK56*$AH56*INDEX(属性耐性マスタ!$B$5:$G$10,$AF56,6),4))</f>
        <v>3.3999999999999998E-3</v>
      </c>
      <c r="Z56" s="9">
        <f>IF($H56&lt;&gt;"OK","",ROUND($G56*使い方と設定!$B$9*$AK56*$AI56,4))</f>
        <v>0.70650000000000002</v>
      </c>
      <c r="AA56" s="10">
        <v>1</v>
      </c>
      <c r="AB56" s="11">
        <f t="shared" si="1"/>
        <v>2.1555</v>
      </c>
      <c r="AC56" s="11">
        <f t="shared" si="2"/>
        <v>9.9900000000000003E-2</v>
      </c>
      <c r="AD56" s="7" t="str">
        <f>IF($H56&lt;&gt;"OK","",INDEX(個性タイプマスタ!$P$5:$P$54,$AE56))</f>
        <v>会心倍率が極めて高い一撃型</v>
      </c>
      <c r="AE56">
        <f>IFERROR(MATCH(E56,個性タイプマスタ!$A$5:$A$54,0),0)</f>
        <v>23</v>
      </c>
      <c r="AF56">
        <f>IFERROR(MATCH(F56,属性耐性マスタ!$A$5:$A$10,0),0)</f>
        <v>4</v>
      </c>
      <c r="AG56">
        <f>IF(AE56=0,1,INDEX(個性タイプマスタ!$AB$5:$AB$54,AE56))</f>
        <v>11.07</v>
      </c>
      <c r="AH56">
        <f>IF(AE56=0,1,INDEX(個性タイプマスタ!$AC$5:$AC$54,AE56))</f>
        <v>0.78</v>
      </c>
      <c r="AI56">
        <f>IF(AE56=0,0,INDEX(個性タイプマスタ!$AD$5:$AD$54,AE56))</f>
        <v>0.98333333333333328</v>
      </c>
      <c r="AJ56" s="16">
        <v>9</v>
      </c>
      <c r="AK56" s="17">
        <f>IF(OR(AJ56="",AJ56&lt;1),"",POWER(使い方と設定!$E$6,AJ56-1))</f>
        <v>1.3685690504052741</v>
      </c>
    </row>
    <row r="57" spans="1:37">
      <c r="A57" t="str">
        <f>+[2]称号!A52</f>
        <v>TITLE_051</v>
      </c>
      <c r="B57" t="str">
        <f>+[2]称号!B52</f>
        <v>黄金機神</v>
      </c>
      <c r="C57" t="s">
        <v>220</v>
      </c>
      <c r="D57" t="s">
        <v>221</v>
      </c>
      <c r="E57" s="2" t="str">
        <f>[1]モンスター計算!AM55</f>
        <v>魔法・鈍足賢者</v>
      </c>
      <c r="F57" s="2" t="str">
        <f>[1]モンスター計算!C55</f>
        <v>光</v>
      </c>
      <c r="G57" s="8">
        <v>1.1000000000000001</v>
      </c>
      <c r="H57" t="str">
        <f t="shared" si="0"/>
        <v>OK</v>
      </c>
      <c r="I57" s="9">
        <f>IF($H57&lt;&gt;"OK","",ROUND($G57*使い方と設定!$B$7*$AK57*INDEX(個性タイプマスタ!$Q$5:$AA$54,$AE57,1)/$AG57,4))</f>
        <v>0.26889999999999997</v>
      </c>
      <c r="J57" s="9">
        <f>IF($H57&lt;&gt;"OK","",ROUND($G57*使い方と設定!$B$7*$AK57*INDEX(個性タイプマスタ!$Q$5:$AA$54,$AE57,2)/$AG57,4))</f>
        <v>0.42259999999999998</v>
      </c>
      <c r="K57" s="9">
        <f>IF($H57&lt;&gt;"OK","",ROUND($G57*使い方と設定!$B$7*$AK57*INDEX(個性タイプマスタ!$Q$5:$AA$54,$AE57,3)/$AG57,4))</f>
        <v>3.6700000000000003E-2</v>
      </c>
      <c r="L57" s="9">
        <f>IF($H57&lt;&gt;"OK","",ROUND($G57*使い方と設定!$B$7*$AK57*INDEX(個性タイプマスタ!$Q$5:$AA$54,$AE57,4)/$AG57,4))</f>
        <v>0.43659999999999999</v>
      </c>
      <c r="M57" s="9">
        <f>IF($H57&lt;&gt;"OK","",ROUND($G57*使い方と設定!$B$7*$AK57*INDEX(個性タイプマスタ!$Q$5:$AA$54,$AE57,5)/$AG57,4))</f>
        <v>0.14099999999999999</v>
      </c>
      <c r="N57" s="9">
        <f>IF($H57&lt;&gt;"OK","",ROUND($G57*使い方と設定!$B$7*$AK57*INDEX(個性タイプマスタ!$Q$5:$AA$54,$AE57,6)/$AG57,4))</f>
        <v>0.24940000000000001</v>
      </c>
      <c r="O57" s="9">
        <f>IF($H57&lt;&gt;"OK","",ROUND($G57*使い方と設定!$B$7*$AK57*INDEX(個性タイプマスタ!$Q$5:$AA$54,$AE57,7)/$AG57,4))</f>
        <v>0.22090000000000001</v>
      </c>
      <c r="P57" s="9">
        <f>IF($H57&lt;&gt;"OK","",ROUND($G57*使い方と設定!$B$7*$AK57*INDEX(個性タイプマスタ!$Q$5:$AA$54,$AE57,8)/$AG57,4))</f>
        <v>0.14760000000000001</v>
      </c>
      <c r="Q57" s="9">
        <f>IF($H57&lt;&gt;"OK","",ROUND($G57*使い方と設定!$B$7*$AK57*INDEX(個性タイプマスタ!$Q$5:$AA$54,$AE57,9)/$AG57,4))</f>
        <v>4.6100000000000002E-2</v>
      </c>
      <c r="R57" s="9">
        <f>IF($H57&lt;&gt;"OK","",ROUND($G57*使い方と設定!$B$7*$AK57*INDEX(個性タイプマスタ!$Q$5:$AA$54,$AE57,10)/$AG57,4))</f>
        <v>0.12570000000000001</v>
      </c>
      <c r="S57" s="9">
        <f>IF($H57&lt;&gt;"OK","",ROUND($G57*使い方と設定!$B$7*$AK57*INDEX(個性タイプマスタ!$Q$5:$AA$54,$AE57,11)/$AG57,4))</f>
        <v>0.16259999999999999</v>
      </c>
      <c r="T57" s="9">
        <f>IF($H57&lt;&gt;"OK","",ROUND($G57*使い方と設定!$B$8*$AK57*$AH57*INDEX(属性耐性マスタ!$B$5:$G$10,$AF57,1),4))</f>
        <v>6.0000000000000001E-3</v>
      </c>
      <c r="U57" s="9">
        <f>IF($H57&lt;&gt;"OK","",ROUND($G57*使い方と設定!$B$8*$AK57*$AH57*INDEX(属性耐性マスタ!$B$5:$G$10,$AF57,2),4))</f>
        <v>6.0000000000000001E-3</v>
      </c>
      <c r="V57" s="9">
        <f>IF($H57&lt;&gt;"OK","",ROUND($G57*使い方と設定!$B$8*$AK57*$AH57*INDEX(属性耐性マスタ!$B$5:$G$10,$AF57,3),4))</f>
        <v>6.0000000000000001E-3</v>
      </c>
      <c r="W57" s="9">
        <f>IF($H57&lt;&gt;"OK","",ROUND($G57*使い方と設定!$B$8*$AK57*$AH57*INDEX(属性耐性マスタ!$B$5:$G$10,$AF57,4),4))</f>
        <v>6.0000000000000001E-3</v>
      </c>
      <c r="X57" s="9">
        <f>IF($H57&lt;&gt;"OK","",ROUND($G57*使い方と設定!$B$8*$AK57*$AH57*INDEX(属性耐性マスタ!$B$5:$G$10,$AF57,5),4))</f>
        <v>0.1192</v>
      </c>
      <c r="Y57" s="9">
        <f>IF($H57&lt;&gt;"OK","",ROUND($G57*使い方と設定!$B$8*$AK57*$AH57*INDEX(属性耐性マスタ!$B$5:$G$10,$AF57,6),4))</f>
        <v>1.5900000000000001E-2</v>
      </c>
      <c r="Z57" s="9">
        <f>IF($H57&lt;&gt;"OK","",ROUND($G57*使い方と設定!$B$9*$AK57*$AI57,4))</f>
        <v>0.60219999999999996</v>
      </c>
      <c r="AA57" s="10">
        <v>0.9</v>
      </c>
      <c r="AB57" s="11">
        <f t="shared" si="1"/>
        <v>2.2581000000000002</v>
      </c>
      <c r="AC57" s="11">
        <f t="shared" si="2"/>
        <v>0.15909999999999999</v>
      </c>
      <c r="AD57" s="7" t="str">
        <f>IF($H57&lt;&gt;"OK","",INDEX(個性タイプマスタ!$P$5:$P$54,$AE57))</f>
        <v>低機動・高MP・高魔防</v>
      </c>
      <c r="AE57">
        <f>IFERROR(MATCH(E57,個性タイプマスタ!$A$5:$A$54,0),0)</f>
        <v>30</v>
      </c>
      <c r="AF57">
        <f>IFERROR(MATCH(F57,属性耐性マスタ!$A$5:$A$10,0),0)</f>
        <v>5</v>
      </c>
      <c r="AG57">
        <f>IF(AE57=0,1,INDEX(個性タイプマスタ!$AB$5:$AB$54,AE57))</f>
        <v>12.9305</v>
      </c>
      <c r="AH57">
        <f>IF(AE57=0,1,INDEX(個性タイプマスタ!$AC$5:$AC$54,AE57))</f>
        <v>1.32</v>
      </c>
      <c r="AI57">
        <f>IF(AE57=0,0,INDEX(個性タイプマスタ!$AD$5:$AD$54,AE57))</f>
        <v>0.79999999999999993</v>
      </c>
      <c r="AJ57" s="16">
        <v>9</v>
      </c>
      <c r="AK57" s="17">
        <f>IF(OR(AJ57="",AJ57&lt;1),"",POWER(使い方と設定!$E$6,AJ57-1))</f>
        <v>1.3685690504052741</v>
      </c>
    </row>
    <row r="58" spans="1:37">
      <c r="A58" t="str">
        <f>+[2]称号!A53</f>
        <v>TITLE_052</v>
      </c>
      <c r="B58" t="str">
        <f>+[2]称号!B53</f>
        <v>銀光の希少種</v>
      </c>
      <c r="C58" t="s">
        <v>222</v>
      </c>
      <c r="D58" t="s">
        <v>223</v>
      </c>
      <c r="E58" s="2" t="str">
        <f>[1]モンスター計算!AM56</f>
        <v>近接・守護</v>
      </c>
      <c r="F58" s="2" t="str">
        <f>[1]モンスター計算!C56</f>
        <v>光</v>
      </c>
      <c r="G58" s="8">
        <v>1.1499999999999999</v>
      </c>
      <c r="H58" t="str">
        <f t="shared" si="0"/>
        <v>OK</v>
      </c>
      <c r="I58" s="9">
        <f>IF($H58&lt;&gt;"OK","",ROUND($G58*使い方と設定!$B$7*$AK58*INDEX(個性タイプマスタ!$Q$5:$AA$54,$AE58,1)/$AG58,4))</f>
        <v>0.3997</v>
      </c>
      <c r="J58" s="9">
        <f>IF($H58&lt;&gt;"OK","",ROUND($G58*使い方と設定!$B$7*$AK58*INDEX(個性タイプマスタ!$Q$5:$AA$54,$AE58,2)/$AG58,4))</f>
        <v>0.1062</v>
      </c>
      <c r="K58" s="9">
        <f>IF($H58&lt;&gt;"OK","",ROUND($G58*使い方と設定!$B$7*$AK58*INDEX(個性タイプマスタ!$Q$5:$AA$54,$AE58,3)/$AG58,4))</f>
        <v>0.56769999999999998</v>
      </c>
      <c r="L58" s="9">
        <f>IF($H58&lt;&gt;"OK","",ROUND($G58*使い方と設定!$B$7*$AK58*INDEX(個性タイプマスタ!$Q$5:$AA$54,$AE58,4)/$AG58,4))</f>
        <v>5.6800000000000003E-2</v>
      </c>
      <c r="M58" s="9">
        <f>IF($H58&lt;&gt;"OK","",ROUND($G58*使い方と設定!$B$7*$AK58*INDEX(個性タイプマスタ!$Q$5:$AA$54,$AE58,5)/$AG58,4))</f>
        <v>0.29920000000000002</v>
      </c>
      <c r="N58" s="9">
        <f>IF($H58&lt;&gt;"OK","",ROUND($G58*使い方と設定!$B$7*$AK58*INDEX(個性タイプマスタ!$Q$5:$AA$54,$AE58,6)/$AG58,4))</f>
        <v>0.2702</v>
      </c>
      <c r="O58" s="9">
        <f>IF($H58&lt;&gt;"OK","",ROUND($G58*使い方と設定!$B$7*$AK58*INDEX(個性タイプマスタ!$Q$5:$AA$54,$AE58,7)/$AG58,4))</f>
        <v>9.9900000000000003E-2</v>
      </c>
      <c r="P58" s="9">
        <f>IF($H58&lt;&gt;"OK","",ROUND($G58*使い方と設定!$B$7*$AK58*INDEX(個性タイプマスタ!$Q$5:$AA$54,$AE58,8)/$AG58,4))</f>
        <v>0.13780000000000001</v>
      </c>
      <c r="Q58" s="9">
        <f>IF($H58&lt;&gt;"OK","",ROUND($G58*使い方と設定!$B$7*$AK58*INDEX(個性タイプマスタ!$Q$5:$AA$54,$AE58,9)/$AG58,4))</f>
        <v>0.1099</v>
      </c>
      <c r="R58" s="9">
        <f>IF($H58&lt;&gt;"OK","",ROUND($G58*使い方と設定!$B$7*$AK58*INDEX(個性タイプマスタ!$Q$5:$AA$54,$AE58,10)/$AG58,4))</f>
        <v>0.1862</v>
      </c>
      <c r="S58" s="9">
        <f>IF($H58&lt;&gt;"OK","",ROUND($G58*使い方と設定!$B$7*$AK58*INDEX(個性タイプマスタ!$Q$5:$AA$54,$AE58,11)/$AG58,4))</f>
        <v>0.12720000000000001</v>
      </c>
      <c r="T58" s="9">
        <f>IF($H58&lt;&gt;"OK","",ROUND($G58*使い方と設定!$B$8*$AK58*$AH58*INDEX(属性耐性マスタ!$B$5:$G$10,$AF58,1),4))</f>
        <v>6.6E-3</v>
      </c>
      <c r="U58" s="9">
        <f>IF($H58&lt;&gt;"OK","",ROUND($G58*使い方と設定!$B$8*$AK58*$AH58*INDEX(属性耐性マスタ!$B$5:$G$10,$AF58,2),4))</f>
        <v>6.6E-3</v>
      </c>
      <c r="V58" s="9">
        <f>IF($H58&lt;&gt;"OK","",ROUND($G58*使い方と設定!$B$8*$AK58*$AH58*INDEX(属性耐性マスタ!$B$5:$G$10,$AF58,3),4))</f>
        <v>6.6E-3</v>
      </c>
      <c r="W58" s="9">
        <f>IF($H58&lt;&gt;"OK","",ROUND($G58*使い方と設定!$B$8*$AK58*$AH58*INDEX(属性耐性マスタ!$B$5:$G$10,$AF58,4),4))</f>
        <v>6.6E-3</v>
      </c>
      <c r="X58" s="9">
        <f>IF($H58&lt;&gt;"OK","",ROUND($G58*使い方と設定!$B$8*$AK58*$AH58*INDEX(属性耐性マスタ!$B$5:$G$10,$AF58,5),4))</f>
        <v>0.13220000000000001</v>
      </c>
      <c r="Y58" s="9">
        <f>IF($H58&lt;&gt;"OK","",ROUND($G58*使い方と設定!$B$8*$AK58*$AH58*INDEX(属性耐性マスタ!$B$5:$G$10,$AF58,6),4))</f>
        <v>1.7600000000000001E-2</v>
      </c>
      <c r="Z58" s="9">
        <f>IF($H58&lt;&gt;"OK","",ROUND($G58*使い方と設定!$B$9*$AK58*$AI58,4))</f>
        <v>0.76070000000000004</v>
      </c>
      <c r="AA58" s="10">
        <v>0.55000000000000004</v>
      </c>
      <c r="AB58" s="11">
        <f t="shared" si="1"/>
        <v>2.3607999999999998</v>
      </c>
      <c r="AC58" s="11">
        <f t="shared" si="2"/>
        <v>0.1762</v>
      </c>
      <c r="AD58" s="7" t="str">
        <f>IF($H58&lt;&gt;"OK","",INDEX(個性タイプマスタ!$P$5:$P$54,$AE58))</f>
        <v>高防御・低攻速の盾役</v>
      </c>
      <c r="AE58">
        <f>IFERROR(MATCH(E58,個性タイプマスタ!$A$5:$A$54,0),0)</f>
        <v>13</v>
      </c>
      <c r="AF58">
        <f>IFERROR(MATCH(F58,属性耐性マスタ!$A$5:$A$10,0),0)</f>
        <v>5</v>
      </c>
      <c r="AG58">
        <f>IF(AE58=0,1,INDEX(個性タイプマスタ!$AB$5:$AB$54,AE58))</f>
        <v>10.395666666666667</v>
      </c>
      <c r="AH58">
        <f>IF(AE58=0,1,INDEX(個性タイプマスタ!$AC$5:$AC$54,AE58))</f>
        <v>1.4</v>
      </c>
      <c r="AI58">
        <f>IF(AE58=0,0,INDEX(個性タイプマスタ!$AD$5:$AD$54,AE58))</f>
        <v>0.96666666666666667</v>
      </c>
      <c r="AJ58" s="16">
        <v>9</v>
      </c>
      <c r="AK58" s="17">
        <f>IF(OR(AJ58="",AJ58&lt;1),"",POWER(使い方と設定!$E$6,AJ58-1))</f>
        <v>1.3685690504052741</v>
      </c>
    </row>
    <row r="59" spans="1:37">
      <c r="A59" t="str">
        <f>+[2]称号!A54</f>
        <v>TITLE_053</v>
      </c>
      <c r="B59" t="str">
        <f>+[2]称号!B54</f>
        <v>星砕きの巨像</v>
      </c>
      <c r="C59" t="s">
        <v>225</v>
      </c>
      <c r="D59" t="s">
        <v>226</v>
      </c>
      <c r="E59" s="2" t="str">
        <f>[1]モンスター計算!AM57</f>
        <v>近接・魔法盾</v>
      </c>
      <c r="F59" s="2" t="str">
        <f>[1]モンスター計算!C57</f>
        <v>光</v>
      </c>
      <c r="G59" s="8">
        <v>1.2</v>
      </c>
      <c r="H59" t="str">
        <f t="shared" si="0"/>
        <v>OK</v>
      </c>
      <c r="I59" s="9">
        <f>IF($H59&lt;&gt;"OK","",ROUND($G59*使い方と設定!$B$7*$AK59*INDEX(個性タイプマスタ!$Q$5:$AA$54,$AE59,1)/$AG59,4))</f>
        <v>0.378</v>
      </c>
      <c r="J59" s="9">
        <f>IF($H59&lt;&gt;"OK","",ROUND($G59*使い方と設定!$B$7*$AK59*INDEX(個性タイプマスタ!$Q$5:$AA$54,$AE59,2)/$AG59,4))</f>
        <v>0.12859999999999999</v>
      </c>
      <c r="K59" s="9">
        <f>IF($H59&lt;&gt;"OK","",ROUND($G59*使い方と設定!$B$7*$AK59*INDEX(個性タイプマスタ!$Q$5:$AA$54,$AE59,3)/$AG59,4))</f>
        <v>0.58440000000000003</v>
      </c>
      <c r="L59" s="9">
        <f>IF($H59&lt;&gt;"OK","",ROUND($G59*使い方と設定!$B$7*$AK59*INDEX(個性タイプマスタ!$Q$5:$AA$54,$AE59,4)/$AG59,4))</f>
        <v>4.4400000000000002E-2</v>
      </c>
      <c r="M59" s="9">
        <f>IF($H59&lt;&gt;"OK","",ROUND($G59*使い方と設定!$B$7*$AK59*INDEX(個性タイプマスタ!$Q$5:$AA$54,$AE59,5)/$AG59,4))</f>
        <v>0.18279999999999999</v>
      </c>
      <c r="N59" s="9">
        <f>IF($H59&lt;&gt;"OK","",ROUND($G59*使い方と設定!$B$7*$AK59*INDEX(個性タイプマスタ!$Q$5:$AA$54,$AE59,6)/$AG59,4))</f>
        <v>0.43709999999999999</v>
      </c>
      <c r="O59" s="9">
        <f>IF($H59&lt;&gt;"OK","",ROUND($G59*使い方と設定!$B$7*$AK59*INDEX(個性タイプマスタ!$Q$5:$AA$54,$AE59,7)/$AG59,4))</f>
        <v>0.12859999999999999</v>
      </c>
      <c r="P59" s="9">
        <f>IF($H59&lt;&gt;"OK","",ROUND($G59*使い方と設定!$B$7*$AK59*INDEX(個性タイプマスタ!$Q$5:$AA$54,$AE59,8)/$AG59,4))</f>
        <v>0.15190000000000001</v>
      </c>
      <c r="Q59" s="9">
        <f>IF($H59&lt;&gt;"OK","",ROUND($G59*使い方と設定!$B$7*$AK59*INDEX(個性タイプマスタ!$Q$5:$AA$54,$AE59,9)/$AG59,4))</f>
        <v>0.10539999999999999</v>
      </c>
      <c r="R59" s="9">
        <f>IF($H59&lt;&gt;"OK","",ROUND($G59*使い方と設定!$B$7*$AK59*INDEX(個性タイプマスタ!$Q$5:$AA$54,$AE59,10)/$AG59,4))</f>
        <v>0.1847</v>
      </c>
      <c r="S59" s="9">
        <f>IF($H59&lt;&gt;"OK","",ROUND($G59*使い方と設定!$B$7*$AK59*INDEX(個性タイプマスタ!$Q$5:$AA$54,$AE59,11)/$AG59,4))</f>
        <v>0.13750000000000001</v>
      </c>
      <c r="T59" s="9">
        <f>IF($H59&lt;&gt;"OK","",ROUND($G59*使い方と設定!$B$8*$AK59*$AH59*INDEX(属性耐性マスタ!$B$5:$G$10,$AF59,1),4))</f>
        <v>6.3E-3</v>
      </c>
      <c r="U59" s="9">
        <f>IF($H59&lt;&gt;"OK","",ROUND($G59*使い方と設定!$B$8*$AK59*$AH59*INDEX(属性耐性マスタ!$B$5:$G$10,$AF59,2),4))</f>
        <v>6.3E-3</v>
      </c>
      <c r="V59" s="9">
        <f>IF($H59&lt;&gt;"OK","",ROUND($G59*使い方と設定!$B$8*$AK59*$AH59*INDEX(属性耐性マスタ!$B$5:$G$10,$AF59,3),4))</f>
        <v>6.3E-3</v>
      </c>
      <c r="W59" s="9">
        <f>IF($H59&lt;&gt;"OK","",ROUND($G59*使い方と設定!$B$8*$AK59*$AH59*INDEX(属性耐性マスタ!$B$5:$G$10,$AF59,4),4))</f>
        <v>6.3E-3</v>
      </c>
      <c r="X59" s="9">
        <f>IF($H59&lt;&gt;"OK","",ROUND($G59*使い方と設定!$B$8*$AK59*$AH59*INDEX(属性耐性マスタ!$B$5:$G$10,$AF59,5),4))</f>
        <v>0.12609999999999999</v>
      </c>
      <c r="Y59" s="9">
        <f>IF($H59&lt;&gt;"OK","",ROUND($G59*使い方と設定!$B$8*$AK59*$AH59*INDEX(属性耐性マスタ!$B$5:$G$10,$AF59,6),4))</f>
        <v>1.6799999999999999E-2</v>
      </c>
      <c r="Z59" s="9">
        <f>IF($H59&lt;&gt;"OK","",ROUND($G59*使い方と設定!$B$9*$AK59*$AI59,4))</f>
        <v>0.7732</v>
      </c>
      <c r="AA59" s="10">
        <v>0.5</v>
      </c>
      <c r="AB59" s="11">
        <f t="shared" si="1"/>
        <v>2.4634</v>
      </c>
      <c r="AC59" s="11">
        <f t="shared" si="2"/>
        <v>0.1681</v>
      </c>
      <c r="AD59" s="7" t="str">
        <f>IF($H59&lt;&gt;"OK","",INDEX(個性タイプマスタ!$P$5:$P$54,$AE59))</f>
        <v>魔法耐久を重視した近接</v>
      </c>
      <c r="AE59">
        <f>IFERROR(MATCH(E59,個性タイプマスタ!$A$5:$A$54,0),0)</f>
        <v>38</v>
      </c>
      <c r="AF59">
        <f>IFERROR(MATCH(F59,属性耐性マスタ!$A$5:$A$10,0),0)</f>
        <v>5</v>
      </c>
      <c r="AG59">
        <f>IF(AE59=0,1,INDEX(個性タイプマスタ!$AB$5:$AB$54,AE59))</f>
        <v>10.538000000000002</v>
      </c>
      <c r="AH59">
        <f>IF(AE59=0,1,INDEX(個性タイプマスタ!$AC$5:$AC$54,AE59))</f>
        <v>1.28</v>
      </c>
      <c r="AI59">
        <f>IF(AE59=0,0,INDEX(個性タイプマスタ!$AD$5:$AD$54,AE59))</f>
        <v>0.94166666666666665</v>
      </c>
      <c r="AJ59" s="16">
        <v>9</v>
      </c>
      <c r="AK59" s="17">
        <f>IF(OR(AJ59="",AJ59&lt;1),"",POWER(使い方と設定!$E$6,AJ59-1))</f>
        <v>1.3685690504052741</v>
      </c>
    </row>
    <row r="60" spans="1:37">
      <c r="A60" t="str">
        <f>+[2]称号!A55</f>
        <v>TITLE_054</v>
      </c>
      <c r="B60" t="str">
        <f>+[2]称号!B55</f>
        <v>砕石の暴君</v>
      </c>
      <c r="C60" t="s">
        <v>227</v>
      </c>
      <c r="D60" t="s">
        <v>228</v>
      </c>
      <c r="E60" s="2" t="str">
        <f>[1]モンスター計算!AM58</f>
        <v>魔法・耐性特化</v>
      </c>
      <c r="F60" s="2" t="str">
        <f>[1]モンスター計算!C58</f>
        <v>雷</v>
      </c>
      <c r="G60" s="8">
        <v>1.25</v>
      </c>
      <c r="H60" t="str">
        <f t="shared" si="0"/>
        <v>OK</v>
      </c>
      <c r="I60" s="9">
        <f>IF($H60&lt;&gt;"OK","",ROUND($G60*使い方と設定!$B$7*$AK60*INDEX(個性タイプマスタ!$Q$5:$AA$54,$AE60,1)/$AG60,4))</f>
        <v>0.2823</v>
      </c>
      <c r="J60" s="9">
        <f>IF($H60&lt;&gt;"OK","",ROUND($G60*使い方と設定!$B$7*$AK60*INDEX(個性タイプマスタ!$Q$5:$AA$54,$AE60,2)/$AG60,4))</f>
        <v>0.3387</v>
      </c>
      <c r="K60" s="9">
        <f>IF($H60&lt;&gt;"OK","",ROUND($G60*使い方と設定!$B$7*$AK60*INDEX(個性タイプマスタ!$Q$5:$AA$54,$AE60,3)/$AG60,4))</f>
        <v>4.4900000000000002E-2</v>
      </c>
      <c r="L60" s="9">
        <f>IF($H60&lt;&gt;"OK","",ROUND($G60*使い方と設定!$B$7*$AK60*INDEX(個性タイプマスタ!$Q$5:$AA$54,$AE60,4)/$AG60,4))</f>
        <v>0.64149999999999996</v>
      </c>
      <c r="M60" s="9">
        <f>IF($H60&lt;&gt;"OK","",ROUND($G60*使い方と設定!$B$7*$AK60*INDEX(個性タイプマスタ!$Q$5:$AA$54,$AE60,5)/$AG60,4))</f>
        <v>0.2094</v>
      </c>
      <c r="N60" s="9">
        <f>IF($H60&lt;&gt;"OK","",ROUND($G60*使い方と設定!$B$7*$AK60*INDEX(個性タイプマスタ!$Q$5:$AA$54,$AE60,6)/$AG60,4))</f>
        <v>0.2225</v>
      </c>
      <c r="O60" s="9">
        <f>IF($H60&lt;&gt;"OK","",ROUND($G60*使い方と設定!$B$7*$AK60*INDEX(個性タイプマスタ!$Q$5:$AA$54,$AE60,7)/$AG60,4))</f>
        <v>0.127</v>
      </c>
      <c r="P60" s="9">
        <f>IF($H60&lt;&gt;"OK","",ROUND($G60*使い方と設定!$B$7*$AK60*INDEX(個性タイプマスタ!$Q$5:$AA$54,$AE60,8)/$AG60,4))</f>
        <v>0.15570000000000001</v>
      </c>
      <c r="Q60" s="9">
        <f>IF($H60&lt;&gt;"OK","",ROUND($G60*使い方と設定!$B$7*$AK60*INDEX(個性タイプマスタ!$Q$5:$AA$54,$AE60,9)/$AG60,4))</f>
        <v>0.1157</v>
      </c>
      <c r="R60" s="9">
        <f>IF($H60&lt;&gt;"OK","",ROUND($G60*使い方と設定!$B$7*$AK60*INDEX(個性タイプマスタ!$Q$5:$AA$54,$AE60,10)/$AG60,4))</f>
        <v>0.2361</v>
      </c>
      <c r="S60" s="9">
        <f>IF($H60&lt;&gt;"OK","",ROUND($G60*使い方と設定!$B$7*$AK60*INDEX(個性タイプマスタ!$Q$5:$AA$54,$AE60,11)/$AG60,4))</f>
        <v>0.19220000000000001</v>
      </c>
      <c r="T60" s="9">
        <f>IF($H60&lt;&gt;"OK","",ROUND($G60*使い方と設定!$B$8*$AK60*$AH60*INDEX(属性耐性マスタ!$B$5:$G$10,$AF60,1),4))</f>
        <v>1.03E-2</v>
      </c>
      <c r="U60" s="9">
        <f>IF($H60&lt;&gt;"OK","",ROUND($G60*使い方と設定!$B$8*$AK60*$AH60*INDEX(属性耐性マスタ!$B$5:$G$10,$AF60,2),4))</f>
        <v>1.03E-2</v>
      </c>
      <c r="V60" s="9">
        <f>IF($H60&lt;&gt;"OK","",ROUND($G60*使い方と設定!$B$8*$AK60*$AH60*INDEX(属性耐性マスタ!$B$5:$G$10,$AF60,3),4))</f>
        <v>3.85E-2</v>
      </c>
      <c r="W60" s="9">
        <f>IF($H60&lt;&gt;"OK","",ROUND($G60*使い方と設定!$B$8*$AK60*$AH60*INDEX(属性耐性マスタ!$B$5:$G$10,$AF60,4),4))</f>
        <v>0.154</v>
      </c>
      <c r="X60" s="9">
        <f>IF($H60&lt;&gt;"OK","",ROUND($G60*使い方と設定!$B$8*$AK60*$AH60*INDEX(属性耐性マスタ!$B$5:$G$10,$AF60,5),4))</f>
        <v>7.7000000000000002E-3</v>
      </c>
      <c r="Y60" s="9">
        <f>IF($H60&lt;&gt;"OK","",ROUND($G60*使い方と設定!$B$8*$AK60*$AH60*INDEX(属性耐性マスタ!$B$5:$G$10,$AF60,6),4))</f>
        <v>7.7000000000000002E-3</v>
      </c>
      <c r="Z60" s="9">
        <f>IF($H60&lt;&gt;"OK","",ROUND($G60*使い方と設定!$B$9*$AK60*$AI60,4))</f>
        <v>0.80549999999999999</v>
      </c>
      <c r="AA60" s="10">
        <v>0.25</v>
      </c>
      <c r="AB60" s="11">
        <f t="shared" si="1"/>
        <v>2.5659999999999998</v>
      </c>
      <c r="AC60" s="11">
        <f t="shared" si="2"/>
        <v>0.22850000000000001</v>
      </c>
      <c r="AD60" s="7" t="str">
        <f>IF($H60&lt;&gt;"OK","",INDEX(個性タイプマスタ!$P$5:$P$54,$AE60))</f>
        <v>属性耐性重視・他能力は平均</v>
      </c>
      <c r="AE60">
        <f>IFERROR(MATCH(E60,個性タイプマスタ!$A$5:$A$54,0),0)</f>
        <v>26</v>
      </c>
      <c r="AF60">
        <f>IFERROR(MATCH(F60,属性耐性マスタ!$A$5:$A$10,0),0)</f>
        <v>4</v>
      </c>
      <c r="AG60">
        <f>IF(AE60=0,1,INDEX(個性タイプマスタ!$AB$5:$AB$54,AE60))</f>
        <v>9.9996666666666663</v>
      </c>
      <c r="AH60">
        <f>IF(AE60=0,1,INDEX(個性タイプマスタ!$AC$5:$AC$54,AE60))</f>
        <v>1.5</v>
      </c>
      <c r="AI60">
        <f>IF(AE60=0,0,INDEX(個性タイプマスタ!$AD$5:$AD$54,AE60))</f>
        <v>0.94166666666666665</v>
      </c>
      <c r="AJ60" s="16">
        <v>9</v>
      </c>
      <c r="AK60" s="17">
        <f>IF(OR(AJ60="",AJ60&lt;1),"",POWER(使い方と設定!$E$6,AJ60-1))</f>
        <v>1.3685690504052741</v>
      </c>
    </row>
    <row r="61" spans="1:37">
      <c r="A61" t="str">
        <f>+[2]称号!A56</f>
        <v>TITLE_055</v>
      </c>
      <c r="B61" t="str">
        <f>+[2]称号!B56</f>
        <v>炎鱗の蜥蜴</v>
      </c>
      <c r="C61" t="s">
        <v>230</v>
      </c>
      <c r="D61" t="s">
        <v>231</v>
      </c>
      <c r="E61" s="2" t="str">
        <f>[1]モンスター計算!AM59</f>
        <v>魔法・高会心</v>
      </c>
      <c r="F61" s="2" t="str">
        <f>[1]モンスター計算!C59</f>
        <v>火</v>
      </c>
      <c r="G61" s="8">
        <v>1</v>
      </c>
      <c r="H61" t="str">
        <f t="shared" si="0"/>
        <v>OK</v>
      </c>
      <c r="I61" s="9">
        <f>IF($H61&lt;&gt;"OK","",ROUND($G61*使い方と設定!$B$7*$AK61*INDEX(個性タイプマスタ!$Q$5:$AA$54,$AE61,1)/$AG61,4))</f>
        <v>0.14099999999999999</v>
      </c>
      <c r="J61" s="9">
        <f>IF($H61&lt;&gt;"OK","",ROUND($G61*使い方と設定!$B$7*$AK61*INDEX(個性タイプマスタ!$Q$5:$AA$54,$AE61,2)/$AG61,4))</f>
        <v>0.22789999999999999</v>
      </c>
      <c r="K61" s="9">
        <f>IF($H61&lt;&gt;"OK","",ROUND($G61*使い方と設定!$B$7*$AK61*INDEX(個性タイプマスタ!$Q$5:$AA$54,$AE61,3)/$AG61,4))</f>
        <v>2.46E-2</v>
      </c>
      <c r="L61" s="9">
        <f>IF($H61&lt;&gt;"OK","",ROUND($G61*使い方と設定!$B$7*$AK61*INDEX(個性タイプマスタ!$Q$5:$AA$54,$AE61,4)/$AG61,4))</f>
        <v>0.43890000000000001</v>
      </c>
      <c r="M61" s="9">
        <f>IF($H61&lt;&gt;"OK","",ROUND($G61*使い方と設定!$B$7*$AK61*INDEX(個性タイプマスタ!$Q$5:$AA$54,$AE61,5)/$AG61,4))</f>
        <v>0.1149</v>
      </c>
      <c r="N61" s="9">
        <f>IF($H61&lt;&gt;"OK","",ROUND($G61*使い方と設定!$B$7*$AK61*INDEX(個性タイプマスタ!$Q$5:$AA$54,$AE61,6)/$AG61,4))</f>
        <v>0.1268</v>
      </c>
      <c r="O61" s="9">
        <f>IF($H61&lt;&gt;"OK","",ROUND($G61*使い方と設定!$B$7*$AK61*INDEX(個性タイプマスタ!$Q$5:$AA$54,$AE61,7)/$AG61,4))</f>
        <v>0.50209999999999999</v>
      </c>
      <c r="P61" s="9">
        <f>IF($H61&lt;&gt;"OK","",ROUND($G61*使い方と設定!$B$7*$AK61*INDEX(個性タイプマスタ!$Q$5:$AA$54,$AE61,8)/$AG61,4))</f>
        <v>0.14829999999999999</v>
      </c>
      <c r="Q61" s="9">
        <f>IF($H61&lt;&gt;"OK","",ROUND($G61*使い方と設定!$B$7*$AK61*INDEX(個性タイプマスタ!$Q$5:$AA$54,$AE61,9)/$AG61,4))</f>
        <v>0.1062</v>
      </c>
      <c r="R61" s="9">
        <f>IF($H61&lt;&gt;"OK","",ROUND($G61*使い方と設定!$B$7*$AK61*INDEX(個性タイプマスタ!$Q$5:$AA$54,$AE61,10)/$AG61,4))</f>
        <v>0.1668</v>
      </c>
      <c r="S61" s="9">
        <f>IF($H61&lt;&gt;"OK","",ROUND($G61*使い方と設定!$B$7*$AK61*INDEX(個性タイプマスタ!$Q$5:$AA$54,$AE61,11)/$AG61,4))</f>
        <v>0.1376</v>
      </c>
      <c r="T61" s="9">
        <f>IF($H61&lt;&gt;"OK","",ROUND($G61*使い方と設定!$B$8*$AK61*$AH61*INDEX(属性耐性マスタ!$B$5:$G$10,$AF61,1),4))</f>
        <v>6.83E-2</v>
      </c>
      <c r="U61" s="9">
        <f>IF($H61&lt;&gt;"OK","",ROUND($G61*使い方と設定!$B$8*$AK61*$AH61*INDEX(属性耐性マスタ!$B$5:$G$10,$AF61,2),4))</f>
        <v>1.37E-2</v>
      </c>
      <c r="V61" s="9">
        <f>IF($H61&lt;&gt;"OK","",ROUND($G61*使い方と設定!$B$8*$AK61*$AH61*INDEX(属性耐性マスタ!$B$5:$G$10,$AF61,3),4))</f>
        <v>4.5999999999999999E-3</v>
      </c>
      <c r="W61" s="9">
        <f>IF($H61&lt;&gt;"OK","",ROUND($G61*使い方と設定!$B$8*$AK61*$AH61*INDEX(属性耐性マスタ!$B$5:$G$10,$AF61,4),4))</f>
        <v>4.5999999999999999E-3</v>
      </c>
      <c r="X61" s="9">
        <f>IF($H61&lt;&gt;"OK","",ROUND($G61*使い方と設定!$B$8*$AK61*$AH61*INDEX(属性耐性マスタ!$B$5:$G$10,$AF61,5),4))</f>
        <v>3.3999999999999998E-3</v>
      </c>
      <c r="Y61" s="9">
        <f>IF($H61&lt;&gt;"OK","",ROUND($G61*使い方と設定!$B$8*$AK61*$AH61*INDEX(属性耐性マスタ!$B$5:$G$10,$AF61,6),4))</f>
        <v>3.3999999999999998E-3</v>
      </c>
      <c r="Z61" s="9">
        <f>IF($H61&lt;&gt;"OK","",ROUND($G61*使い方と設定!$B$9*$AK61*$AI61,4))</f>
        <v>0.75319999999999998</v>
      </c>
      <c r="AA61" s="10">
        <v>1</v>
      </c>
      <c r="AB61" s="11">
        <f t="shared" si="1"/>
        <v>2.1351</v>
      </c>
      <c r="AC61" s="11">
        <f t="shared" si="2"/>
        <v>9.8000000000000004E-2</v>
      </c>
      <c r="AD61" s="7" t="str">
        <f>IF($H61&lt;&gt;"OK","",INDEX(個性タイプマスタ!$P$5:$P$54,$AE61))</f>
        <v>高い会心率で平均火力を確保</v>
      </c>
      <c r="AE61">
        <f>IFERROR(MATCH(E61,個性タイプマスタ!$A$5:$A$54,0),0)</f>
        <v>22</v>
      </c>
      <c r="AF61">
        <f>IFERROR(MATCH(F61,属性耐性マスタ!$A$5:$A$10,0),0)</f>
        <v>1</v>
      </c>
      <c r="AG61">
        <f>IF(AE61=0,1,INDEX(個性タイプマスタ!$AB$5:$AB$54,AE61))</f>
        <v>12.162000000000001</v>
      </c>
      <c r="AH61">
        <f>IF(AE61=0,1,INDEX(個性タイプマスタ!$AC$5:$AC$54,AE61))</f>
        <v>0.8</v>
      </c>
      <c r="AI61">
        <f>IF(AE61=0,0,INDEX(個性タイプマスタ!$AD$5:$AD$54,AE61))</f>
        <v>1.0583333333333333</v>
      </c>
      <c r="AJ61" s="16">
        <v>10</v>
      </c>
      <c r="AK61" s="17">
        <f>IF(OR(AJ61="",AJ61&lt;1),"",POWER(使い方と設定!$E$6,AJ61-1))</f>
        <v>1.4233118124214852</v>
      </c>
    </row>
    <row r="62" spans="1:37">
      <c r="A62" t="str">
        <f>+[2]称号!A57</f>
        <v>TITLE_056</v>
      </c>
      <c r="B62" t="str">
        <f>+[2]称号!B57</f>
        <v>独眼の巨槌</v>
      </c>
      <c r="C62" t="s">
        <v>233</v>
      </c>
      <c r="D62" t="s">
        <v>234</v>
      </c>
      <c r="E62" s="2" t="str">
        <f>[1]モンスター計算!AM60</f>
        <v>魔法・疾走</v>
      </c>
      <c r="F62" s="2" t="str">
        <f>[1]モンスター計算!C60</f>
        <v>雷</v>
      </c>
      <c r="G62" s="8">
        <v>1.05</v>
      </c>
      <c r="H62" t="str">
        <f t="shared" si="0"/>
        <v>OK</v>
      </c>
      <c r="I62" s="9">
        <f>IF($H62&lt;&gt;"OK","",ROUND($G62*使い方と設定!$B$7*$AK62*INDEX(個性タイプマスタ!$Q$5:$AA$54,$AE62,1)/$AG62,4))</f>
        <v>0.18770000000000001</v>
      </c>
      <c r="J62" s="9">
        <f>IF($H62&lt;&gt;"OK","",ROUND($G62*使い方と設定!$B$7*$AK62*INDEX(個性タイプマスタ!$Q$5:$AA$54,$AE62,2)/$AG62,4))</f>
        <v>0.21379999999999999</v>
      </c>
      <c r="K62" s="9">
        <f>IF($H62&lt;&gt;"OK","",ROUND($G62*使い方と設定!$B$7*$AK62*INDEX(個性タイプマスタ!$Q$5:$AA$54,$AE62,3)/$AG62,4))</f>
        <v>2.86E-2</v>
      </c>
      <c r="L62" s="9">
        <f>IF($H62&lt;&gt;"OK","",ROUND($G62*使い方と設定!$B$7*$AK62*INDEX(個性タイプマスタ!$Q$5:$AA$54,$AE62,4)/$AG62,4))</f>
        <v>0.54</v>
      </c>
      <c r="M62" s="9">
        <f>IF($H62&lt;&gt;"OK","",ROUND($G62*使い方と設定!$B$7*$AK62*INDEX(個性タイプマスタ!$Q$5:$AA$54,$AE62,5)/$AG62,4))</f>
        <v>0.15609999999999999</v>
      </c>
      <c r="N62" s="9">
        <f>IF($H62&lt;&gt;"OK","",ROUND($G62*使い方と設定!$B$7*$AK62*INDEX(個性タイプマスタ!$Q$5:$AA$54,$AE62,6)/$AG62,4))</f>
        <v>0.1487</v>
      </c>
      <c r="O62" s="9">
        <f>IF($H62&lt;&gt;"OK","",ROUND($G62*使い方と設定!$B$7*$AK62*INDEX(個性タイプマスタ!$Q$5:$AA$54,$AE62,7)/$AG62,4))</f>
        <v>0.15440000000000001</v>
      </c>
      <c r="P62" s="9">
        <f>IF($H62&lt;&gt;"OK","",ROUND($G62*使い方と設定!$B$7*$AK62*INDEX(個性タイプマスタ!$Q$5:$AA$54,$AE62,8)/$AG62,4))</f>
        <v>0.13569999999999999</v>
      </c>
      <c r="Q62" s="9">
        <f>IF($H62&lt;&gt;"OK","",ROUND($G62*使い方と設定!$B$7*$AK62*INDEX(個性タイプマスタ!$Q$5:$AA$54,$AE62,9)/$AG62,4))</f>
        <v>0.19009999999999999</v>
      </c>
      <c r="R62" s="9">
        <f>IF($H62&lt;&gt;"OK","",ROUND($G62*使い方と設定!$B$7*$AK62*INDEX(個性タイプマスタ!$Q$5:$AA$54,$AE62,10)/$AG62,4))</f>
        <v>0.3715</v>
      </c>
      <c r="S62" s="9">
        <f>IF($H62&lt;&gt;"OK","",ROUND($G62*使い方と設定!$B$7*$AK62*INDEX(個性タイプマスタ!$Q$5:$AA$54,$AE62,11)/$AG62,4))</f>
        <v>0.1149</v>
      </c>
      <c r="T62" s="9">
        <f>IF($H62&lt;&gt;"OK","",ROUND($G62*使い方と設定!$B$8*$AK62*$AH62*INDEX(属性耐性マスタ!$B$5:$G$10,$AF62,1),4))</f>
        <v>4.3E-3</v>
      </c>
      <c r="U62" s="9">
        <f>IF($H62&lt;&gt;"OK","",ROUND($G62*使い方と設定!$B$8*$AK62*$AH62*INDEX(属性耐性マスタ!$B$5:$G$10,$AF62,2),4))</f>
        <v>4.3E-3</v>
      </c>
      <c r="V62" s="9">
        <f>IF($H62&lt;&gt;"OK","",ROUND($G62*使い方と設定!$B$8*$AK62*$AH62*INDEX(属性耐性マスタ!$B$5:$G$10,$AF62,3),4))</f>
        <v>1.61E-2</v>
      </c>
      <c r="W62" s="9">
        <f>IF($H62&lt;&gt;"OK","",ROUND($G62*使い方と設定!$B$8*$AK62*$AH62*INDEX(属性耐性マスタ!$B$5:$G$10,$AF62,4),4))</f>
        <v>6.4600000000000005E-2</v>
      </c>
      <c r="X62" s="9">
        <f>IF($H62&lt;&gt;"OK","",ROUND($G62*使い方と設定!$B$8*$AK62*$AH62*INDEX(属性耐性マスタ!$B$5:$G$10,$AF62,5),4))</f>
        <v>3.2000000000000002E-3</v>
      </c>
      <c r="Y62" s="9">
        <f>IF($H62&lt;&gt;"OK","",ROUND($G62*使い方と設定!$B$8*$AK62*$AH62*INDEX(属性耐性マスタ!$B$5:$G$10,$AF62,6),4))</f>
        <v>3.2000000000000002E-3</v>
      </c>
      <c r="Z62" s="9">
        <f>IF($H62&lt;&gt;"OK","",ROUND($G62*使い方と設定!$B$9*$AK62*$AI62,4))</f>
        <v>0.94650000000000001</v>
      </c>
      <c r="AA62" s="10">
        <v>1</v>
      </c>
      <c r="AB62" s="11">
        <f t="shared" si="1"/>
        <v>2.2414999999999998</v>
      </c>
      <c r="AC62" s="11">
        <f t="shared" si="2"/>
        <v>9.5699999999999993E-2</v>
      </c>
      <c r="AD62" s="7" t="str">
        <f>IF($H62&lt;&gt;"OK","",INDEX(個性タイプマスタ!$P$5:$P$54,$AE62))</f>
        <v>移動と攻撃速度に特化</v>
      </c>
      <c r="AE62">
        <f>IFERROR(MATCH(E62,個性タイプマスタ!$A$5:$A$54,0),0)</f>
        <v>29</v>
      </c>
      <c r="AF62">
        <f>IFERROR(MATCH(F62,属性耐性マスタ!$A$5:$A$10,0),0)</f>
        <v>4</v>
      </c>
      <c r="AG62">
        <f>IF(AE62=0,1,INDEX(個性タイプマスタ!$AB$5:$AB$54,AE62))</f>
        <v>10.377833333333335</v>
      </c>
      <c r="AH62">
        <f>IF(AE62=0,1,INDEX(個性タイプマスタ!$AC$5:$AC$54,AE62))</f>
        <v>0.72</v>
      </c>
      <c r="AI62">
        <f>IF(AE62=0,0,INDEX(個性タイプマスタ!$AD$5:$AD$54,AE62))</f>
        <v>1.2666666666666666</v>
      </c>
      <c r="AJ62" s="16">
        <v>10</v>
      </c>
      <c r="AK62" s="17">
        <f>IF(OR(AJ62="",AJ62&lt;1),"",POWER(使い方と設定!$E$6,AJ62-1))</f>
        <v>1.4233118124214852</v>
      </c>
    </row>
    <row r="63" spans="1:37">
      <c r="A63" t="str">
        <f>+[2]称号!A58</f>
        <v>TITLE_057</v>
      </c>
      <c r="B63" t="str">
        <f>+[2]称号!B58</f>
        <v>鋼心の守護巨人</v>
      </c>
      <c r="C63" t="s">
        <v>235</v>
      </c>
      <c r="D63" t="s">
        <v>236</v>
      </c>
      <c r="E63" s="2" t="str">
        <f>[1]モンスター計算!AM61</f>
        <v>魔法・最終層</v>
      </c>
      <c r="F63" s="2" t="str">
        <f>[1]モンスター計算!C61</f>
        <v>雷</v>
      </c>
      <c r="G63" s="8">
        <v>1.1000000000000001</v>
      </c>
      <c r="H63" t="str">
        <f t="shared" si="0"/>
        <v>OK</v>
      </c>
      <c r="I63" s="9">
        <f>IF($H63&lt;&gt;"OK","",ROUND($G63*使い方と設定!$B$7*$AK63*INDEX(個性タイプマスタ!$Q$5:$AA$54,$AE63,1)/$AG63,4))</f>
        <v>0.28470000000000001</v>
      </c>
      <c r="J63" s="9">
        <f>IF($H63&lt;&gt;"OK","",ROUND($G63*使い方と設定!$B$7*$AK63*INDEX(個性タイプマスタ!$Q$5:$AA$54,$AE63,2)/$AG63,4))</f>
        <v>0.23730000000000001</v>
      </c>
      <c r="K63" s="9">
        <f>IF($H63&lt;&gt;"OK","",ROUND($G63*使い方と設定!$B$7*$AK63*INDEX(個性タイプマスタ!$Q$5:$AA$54,$AE63,3)/$AG63,4))</f>
        <v>5.3900000000000003E-2</v>
      </c>
      <c r="L63" s="9">
        <f>IF($H63&lt;&gt;"OK","",ROUND($G63*使い方と設定!$B$7*$AK63*INDEX(個性タイプマスタ!$Q$5:$AA$54,$AE63,4)/$AG63,4))</f>
        <v>0.5393</v>
      </c>
      <c r="M63" s="9">
        <f>IF($H63&lt;&gt;"OK","",ROUND($G63*使い方と設定!$B$7*$AK63*INDEX(個性タイプマスタ!$Q$5:$AA$54,$AE63,5)/$AG63,4))</f>
        <v>0.2384</v>
      </c>
      <c r="N63" s="9">
        <f>IF($H63&lt;&gt;"OK","",ROUND($G63*使い方と設定!$B$7*$AK63*INDEX(個性タイプマスタ!$Q$5:$AA$54,$AE63,6)/$AG63,4))</f>
        <v>0.15590000000000001</v>
      </c>
      <c r="O63" s="9">
        <f>IF($H63&lt;&gt;"OK","",ROUND($G63*使い方と設定!$B$7*$AK63*INDEX(個性タイプマスタ!$Q$5:$AA$54,$AE63,7)/$AG63,4))</f>
        <v>0.1898</v>
      </c>
      <c r="P63" s="9">
        <f>IF($H63&lt;&gt;"OK","",ROUND($G63*使い方と設定!$B$7*$AK63*INDEX(個性タイプマスタ!$Q$5:$AA$54,$AE63,8)/$AG63,4))</f>
        <v>0.14960000000000001</v>
      </c>
      <c r="Q63" s="9">
        <f>IF($H63&lt;&gt;"OK","",ROUND($G63*使い方と設定!$B$7*$AK63*INDEX(個性タイプマスタ!$Q$5:$AA$54,$AE63,9)/$AG63,4))</f>
        <v>0.13289999999999999</v>
      </c>
      <c r="R63" s="9">
        <f>IF($H63&lt;&gt;"OK","",ROUND($G63*使い方と設定!$B$7*$AK63*INDEX(個性タイプマスタ!$Q$5:$AA$54,$AE63,10)/$AG63,4))</f>
        <v>0.2157</v>
      </c>
      <c r="S63" s="9">
        <f>IF($H63&lt;&gt;"OK","",ROUND($G63*使い方と設定!$B$7*$AK63*INDEX(個性タイプマスタ!$Q$5:$AA$54,$AE63,11)/$AG63,4))</f>
        <v>0.151</v>
      </c>
      <c r="T63" s="9">
        <f>IF($H63&lt;&gt;"OK","",ROUND($G63*使い方と設定!$B$8*$AK63*$AH63*INDEX(属性耐性マスタ!$B$5:$G$10,$AF63,1),4))</f>
        <v>6.6E-3</v>
      </c>
      <c r="U63" s="9">
        <f>IF($H63&lt;&gt;"OK","",ROUND($G63*使い方と設定!$B$8*$AK63*$AH63*INDEX(属性耐性マスタ!$B$5:$G$10,$AF63,2),4))</f>
        <v>6.6E-3</v>
      </c>
      <c r="V63" s="9">
        <f>IF($H63&lt;&gt;"OK","",ROUND($G63*使い方と設定!$B$8*$AK63*$AH63*INDEX(属性耐性マスタ!$B$5:$G$10,$AF63,3),4))</f>
        <v>2.4899999999999999E-2</v>
      </c>
      <c r="W63" s="9">
        <f>IF($H63&lt;&gt;"OK","",ROUND($G63*使い方と設定!$B$8*$AK63*$AH63*INDEX(属性耐性マスタ!$B$5:$G$10,$AF63,4),4))</f>
        <v>9.9599999999999994E-2</v>
      </c>
      <c r="X63" s="9">
        <f>IF($H63&lt;&gt;"OK","",ROUND($G63*使い方と設定!$B$8*$AK63*$AH63*INDEX(属性耐性マスタ!$B$5:$G$10,$AF63,5),4))</f>
        <v>5.0000000000000001E-3</v>
      </c>
      <c r="Y63" s="9">
        <f>IF($H63&lt;&gt;"OK","",ROUND($G63*使い方と設定!$B$8*$AK63*$AH63*INDEX(属性耐性マスタ!$B$5:$G$10,$AF63,6),4))</f>
        <v>5.0000000000000001E-3</v>
      </c>
      <c r="Z63" s="9">
        <f>IF($H63&lt;&gt;"OK","",ROUND($G63*使い方と設定!$B$9*$AK63*$AI63,4))</f>
        <v>0.83499999999999996</v>
      </c>
      <c r="AA63" s="10">
        <v>0.9</v>
      </c>
      <c r="AB63" s="11">
        <f t="shared" si="1"/>
        <v>2.3485</v>
      </c>
      <c r="AC63" s="11">
        <f t="shared" si="2"/>
        <v>0.1477</v>
      </c>
      <c r="AD63" s="7" t="str">
        <f>IF($H63&lt;&gt;"OK","",INDEX(個性タイプマスタ!$P$5:$P$54,$AE63))</f>
        <v>終盤魔法の特別配分</v>
      </c>
      <c r="AE63">
        <f>IFERROR(MATCH(E63,個性タイプマスタ!$A$5:$A$54,0),0)</f>
        <v>8</v>
      </c>
      <c r="AF63">
        <f>IFERROR(MATCH(F63,属性耐性マスタ!$A$5:$A$10,0),0)</f>
        <v>4</v>
      </c>
      <c r="AG63">
        <f>IF(AE63=0,1,INDEX(個性タイプマスタ!$AB$5:$AB$54,AE63))</f>
        <v>10.886833333333332</v>
      </c>
      <c r="AH63">
        <f>IF(AE63=0,1,INDEX(個性タイプマスタ!$AC$5:$AC$54,AE63))</f>
        <v>1.06</v>
      </c>
      <c r="AI63">
        <f>IF(AE63=0,0,INDEX(個性タイプマスタ!$AD$5:$AD$54,AE63))</f>
        <v>1.0666666666666667</v>
      </c>
      <c r="AJ63" s="16">
        <v>10</v>
      </c>
      <c r="AK63" s="17">
        <f>IF(OR(AJ63="",AJ63&lt;1),"",POWER(使い方と設定!$E$6,AJ63-1))</f>
        <v>1.4233118124214852</v>
      </c>
    </row>
    <row r="64" spans="1:37">
      <c r="A64" t="str">
        <f>+[2]称号!A59</f>
        <v>TITLE_058</v>
      </c>
      <c r="B64" t="str">
        <f>+[2]称号!B59</f>
        <v>戦禍の独眼王</v>
      </c>
      <c r="C64" t="s">
        <v>237</v>
      </c>
      <c r="D64" t="s">
        <v>238</v>
      </c>
      <c r="E64" s="2" t="str">
        <f>[1]モンスター計算!AM62</f>
        <v>近接・鉄壁</v>
      </c>
      <c r="F64" s="2" t="str">
        <f>[1]モンスター計算!C62</f>
        <v>火</v>
      </c>
      <c r="G64" s="8">
        <v>1.1499999999999999</v>
      </c>
      <c r="H64" t="str">
        <f t="shared" si="0"/>
        <v>OK</v>
      </c>
      <c r="I64" s="9">
        <f>IF($H64&lt;&gt;"OK","",ROUND($G64*使い方と設定!$B$7*$AK64*INDEX(個性タイプマスタ!$Q$5:$AA$54,$AE64,1)/$AG64,4))</f>
        <v>0.48149999999999998</v>
      </c>
      <c r="J64" s="9">
        <f>IF($H64&lt;&gt;"OK","",ROUND($G64*使い方と設定!$B$7*$AK64*INDEX(個性タイプマスタ!$Q$5:$AA$54,$AE64,2)/$AG64,4))</f>
        <v>9.5200000000000007E-2</v>
      </c>
      <c r="K64" s="9">
        <f>IF($H64&lt;&gt;"OK","",ROUND($G64*使い方と設定!$B$7*$AK64*INDEX(個性タイプマスタ!$Q$5:$AA$54,$AE64,3)/$AG64,4))</f>
        <v>0.60129999999999995</v>
      </c>
      <c r="L64" s="9">
        <f>IF($H64&lt;&gt;"OK","",ROUND($G64*使い方と設定!$B$7*$AK64*INDEX(個性タイプマスタ!$Q$5:$AA$54,$AE64,4)/$AG64,4))</f>
        <v>5.0500000000000003E-2</v>
      </c>
      <c r="M64" s="9">
        <f>IF($H64&lt;&gt;"OK","",ROUND($G64*使い方と設定!$B$7*$AK64*INDEX(個性タイプマスタ!$Q$5:$AA$54,$AE64,5)/$AG64,4))</f>
        <v>0.43959999999999999</v>
      </c>
      <c r="N64" s="9">
        <f>IF($H64&lt;&gt;"OK","",ROUND($G64*使い方と設定!$B$7*$AK64*INDEX(個性タイプマスタ!$Q$5:$AA$54,$AE64,6)/$AG64,4))</f>
        <v>0.2167</v>
      </c>
      <c r="O64" s="9">
        <f>IF($H64&lt;&gt;"OK","",ROUND($G64*使い方と設定!$B$7*$AK64*INDEX(個性タイプマスタ!$Q$5:$AA$54,$AE64,7)/$AG64,4))</f>
        <v>7.9399999999999998E-2</v>
      </c>
      <c r="P64" s="9">
        <f>IF($H64&lt;&gt;"OK","",ROUND($G64*使い方と設定!$B$7*$AK64*INDEX(個性タイプマスタ!$Q$5:$AA$54,$AE64,8)/$AG64,4))</f>
        <v>0.14069999999999999</v>
      </c>
      <c r="Q64" s="9">
        <f>IF($H64&lt;&gt;"OK","",ROUND($G64*使い方と設定!$B$7*$AK64*INDEX(個性タイプマスタ!$Q$5:$AA$54,$AE64,9)/$AG64,4))</f>
        <v>7.9399999999999998E-2</v>
      </c>
      <c r="R64" s="9">
        <f>IF($H64&lt;&gt;"OK","",ROUND($G64*使い方と設定!$B$7*$AK64*INDEX(個性タイプマスタ!$Q$5:$AA$54,$AE64,10)/$AG64,4))</f>
        <v>0.15629999999999999</v>
      </c>
      <c r="S64" s="9">
        <f>IF($H64&lt;&gt;"OK","",ROUND($G64*使い方と設定!$B$7*$AK64*INDEX(個性タイプマスタ!$Q$5:$AA$54,$AE64,11)/$AG64,4))</f>
        <v>0.1145</v>
      </c>
      <c r="T64" s="9">
        <f>IF($H64&lt;&gt;"OK","",ROUND($G64*使い方と設定!$B$8*$AK64*$AH64*INDEX(属性耐性マスタ!$B$5:$G$10,$AF64,1),4))</f>
        <v>0.13750000000000001</v>
      </c>
      <c r="U64" s="9">
        <f>IF($H64&lt;&gt;"OK","",ROUND($G64*使い方と設定!$B$8*$AK64*$AH64*INDEX(属性耐性マスタ!$B$5:$G$10,$AF64,2),4))</f>
        <v>2.75E-2</v>
      </c>
      <c r="V64" s="9">
        <f>IF($H64&lt;&gt;"OK","",ROUND($G64*使い方と設定!$B$8*$AK64*$AH64*INDEX(属性耐性マスタ!$B$5:$G$10,$AF64,3),4))</f>
        <v>9.1999999999999998E-3</v>
      </c>
      <c r="W64" s="9">
        <f>IF($H64&lt;&gt;"OK","",ROUND($G64*使い方と設定!$B$8*$AK64*$AH64*INDEX(属性耐性マスタ!$B$5:$G$10,$AF64,4),4))</f>
        <v>9.1999999999999998E-3</v>
      </c>
      <c r="X64" s="9">
        <f>IF($H64&lt;&gt;"OK","",ROUND($G64*使い方と設定!$B$8*$AK64*$AH64*INDEX(属性耐性マスタ!$B$5:$G$10,$AF64,5),4))</f>
        <v>6.8999999999999999E-3</v>
      </c>
      <c r="Y64" s="9">
        <f>IF($H64&lt;&gt;"OK","",ROUND($G64*使い方と設定!$B$8*$AK64*$AH64*INDEX(属性耐性マスタ!$B$5:$G$10,$AF64,6),4))</f>
        <v>6.8999999999999999E-3</v>
      </c>
      <c r="Z64" s="9">
        <f>IF($H64&lt;&gt;"OK","",ROUND($G64*使い方と設定!$B$9*$AK64*$AI64,4))</f>
        <v>0.6956</v>
      </c>
      <c r="AA64" s="10">
        <v>0.55000000000000004</v>
      </c>
      <c r="AB64" s="11">
        <f t="shared" si="1"/>
        <v>2.4550999999999998</v>
      </c>
      <c r="AC64" s="11">
        <f t="shared" si="2"/>
        <v>0.19719999999999999</v>
      </c>
      <c r="AD64" s="7" t="str">
        <f>IF($H64&lt;&gt;"OK","",INDEX(個性タイプマスタ!$P$5:$P$54,$AE64))</f>
        <v>物防とHPが突出した防壁型</v>
      </c>
      <c r="AE64">
        <f>IFERROR(MATCH(E64,個性タイプマスタ!$A$5:$A$54,0),0)</f>
        <v>37</v>
      </c>
      <c r="AF64">
        <f>IFERROR(MATCH(F64,属性耐性マスタ!$A$5:$A$10,0),0)</f>
        <v>1</v>
      </c>
      <c r="AG64">
        <f>IF(AE64=0,1,INDEX(個性タイプマスタ!$AB$5:$AB$54,AE64))</f>
        <v>10.2075</v>
      </c>
      <c r="AH64">
        <f>IF(AE64=0,1,INDEX(個性タイプマスタ!$AC$5:$AC$54,AE64))</f>
        <v>1.4</v>
      </c>
      <c r="AI64">
        <f>IF(AE64=0,0,INDEX(個性タイプマスタ!$AD$5:$AD$54,AE64))</f>
        <v>0.85</v>
      </c>
      <c r="AJ64" s="16">
        <v>10</v>
      </c>
      <c r="AK64" s="17">
        <f>IF(OR(AJ64="",AJ64&lt;1),"",POWER(使い方と設定!$E$6,AJ64-1))</f>
        <v>1.4233118124214852</v>
      </c>
    </row>
    <row r="65" spans="1:37">
      <c r="A65" t="str">
        <f>+[2]称号!A60</f>
        <v>TITLE_059</v>
      </c>
      <c r="B65" t="str">
        <f>+[2]称号!B60</f>
        <v>大地の神拳</v>
      </c>
      <c r="C65" t="s">
        <v>240</v>
      </c>
      <c r="D65" t="s">
        <v>241</v>
      </c>
      <c r="E65" s="2" t="str">
        <f>[1]モンスター計算!AM63</f>
        <v>近接・強襲</v>
      </c>
      <c r="F65" s="2" t="str">
        <f>[1]モンスター計算!C63</f>
        <v>雷</v>
      </c>
      <c r="G65" s="8">
        <v>1.2</v>
      </c>
      <c r="H65" t="str">
        <f t="shared" si="0"/>
        <v>OK</v>
      </c>
      <c r="I65" s="9">
        <f>IF($H65&lt;&gt;"OK","",ROUND($G65*使い方と設定!$B$7*$AK65*INDEX(個性タイプマスタ!$Q$5:$AA$54,$AE65,1)/$AG65,4))</f>
        <v>0.21540000000000001</v>
      </c>
      <c r="J65" s="9">
        <f>IF($H65&lt;&gt;"OK","",ROUND($G65*使い方と設定!$B$7*$AK65*INDEX(個性タイプマスタ!$Q$5:$AA$54,$AE65,2)/$AG65,4))</f>
        <v>0.1159</v>
      </c>
      <c r="K65" s="9">
        <f>IF($H65&lt;&gt;"OK","",ROUND($G65*使い方と設定!$B$7*$AK65*INDEX(個性タイプマスタ!$Q$5:$AA$54,$AE65,3)/$AG65,4))</f>
        <v>0.61970000000000003</v>
      </c>
      <c r="L65" s="9">
        <f>IF($H65&lt;&gt;"OK","",ROUND($G65*使い方と設定!$B$7*$AK65*INDEX(個性タイプマスタ!$Q$5:$AA$54,$AE65,4)/$AG65,4))</f>
        <v>4.3400000000000001E-2</v>
      </c>
      <c r="M65" s="9">
        <f>IF($H65&lt;&gt;"OK","",ROUND($G65*使い方と設定!$B$7*$AK65*INDEX(個性タイプマスタ!$Q$5:$AA$54,$AE65,5)/$AG65,4))</f>
        <v>0.16650000000000001</v>
      </c>
      <c r="N65" s="9">
        <f>IF($H65&lt;&gt;"OK","",ROUND($G65*使い方と設定!$B$7*$AK65*INDEX(個性タイプマスタ!$Q$5:$AA$54,$AE65,6)/$AG65,4))</f>
        <v>0.15379999999999999</v>
      </c>
      <c r="O65" s="9">
        <f>IF($H65&lt;&gt;"OK","",ROUND($G65*使い方と設定!$B$7*$AK65*INDEX(個性タイプマスタ!$Q$5:$AA$54,$AE65,7)/$AG65,4))</f>
        <v>0.2727</v>
      </c>
      <c r="P65" s="9">
        <f>IF($H65&lt;&gt;"OK","",ROUND($G65*使い方と設定!$B$7*$AK65*INDEX(個性タイプマスタ!$Q$5:$AA$54,$AE65,8)/$AG65,4))</f>
        <v>0.19869999999999999</v>
      </c>
      <c r="Q65" s="9">
        <f>IF($H65&lt;&gt;"OK","",ROUND($G65*使い方と設定!$B$7*$AK65*INDEX(個性タイプマスタ!$Q$5:$AA$54,$AE65,9)/$AG65,4))</f>
        <v>0.21809999999999999</v>
      </c>
      <c r="R65" s="9">
        <f>IF($H65&lt;&gt;"OK","",ROUND($G65*使い方と設定!$B$7*$AK65*INDEX(個性タイプマスタ!$Q$5:$AA$54,$AE65,10)/$AG65,4))</f>
        <v>0.34949999999999998</v>
      </c>
      <c r="S65" s="9">
        <f>IF($H65&lt;&gt;"OK","",ROUND($G65*使い方と設定!$B$7*$AK65*INDEX(個性タイプマスタ!$Q$5:$AA$54,$AE65,11)/$AG65,4))</f>
        <v>0.2082</v>
      </c>
      <c r="T65" s="9">
        <f>IF($H65&lt;&gt;"OK","",ROUND($G65*使い方と設定!$B$8*$AK65*$AH65*INDEX(属性耐性マスタ!$B$5:$G$10,$AF65,1),4))</f>
        <v>5.3E-3</v>
      </c>
      <c r="U65" s="9">
        <f>IF($H65&lt;&gt;"OK","",ROUND($G65*使い方と設定!$B$8*$AK65*$AH65*INDEX(属性耐性マスタ!$B$5:$G$10,$AF65,2),4))</f>
        <v>5.3E-3</v>
      </c>
      <c r="V65" s="9">
        <f>IF($H65&lt;&gt;"OK","",ROUND($G65*使い方と設定!$B$8*$AK65*$AH65*INDEX(属性耐性マスタ!$B$5:$G$10,$AF65,3),4))</f>
        <v>0.02</v>
      </c>
      <c r="W65" s="9">
        <f>IF($H65&lt;&gt;"OK","",ROUND($G65*使い方と設定!$B$8*$AK65*$AH65*INDEX(属性耐性マスタ!$B$5:$G$10,$AF65,4),4))</f>
        <v>7.9899999999999999E-2</v>
      </c>
      <c r="X65" s="9">
        <f>IF($H65&lt;&gt;"OK","",ROUND($G65*使い方と設定!$B$8*$AK65*$AH65*INDEX(属性耐性マスタ!$B$5:$G$10,$AF65,5),4))</f>
        <v>4.0000000000000001E-3</v>
      </c>
      <c r="Y65" s="9">
        <f>IF($H65&lt;&gt;"OK","",ROUND($G65*使い方と設定!$B$8*$AK65*$AH65*INDEX(属性耐性マスタ!$B$5:$G$10,$AF65,6),4))</f>
        <v>4.0000000000000001E-3</v>
      </c>
      <c r="Z65" s="9">
        <f>IF($H65&lt;&gt;"OK","",ROUND($G65*使い方と設定!$B$9*$AK65*$AI65,4))</f>
        <v>1.0817000000000001</v>
      </c>
      <c r="AA65" s="10">
        <v>0.5</v>
      </c>
      <c r="AB65" s="11">
        <f t="shared" si="1"/>
        <v>2.5619000000000001</v>
      </c>
      <c r="AC65" s="11">
        <f t="shared" si="2"/>
        <v>0.11849999999999999</v>
      </c>
      <c r="AD65" s="7" t="str">
        <f>IF($H65&lt;&gt;"OK","",INDEX(個性タイプマスタ!$P$5:$P$54,$AE65))</f>
        <v>速い接近・間合い広めの強襲型</v>
      </c>
      <c r="AE65">
        <f>IFERROR(MATCH(E65,個性タイプマスタ!$A$5:$A$54,0),0)</f>
        <v>44</v>
      </c>
      <c r="AF65">
        <f>IFERROR(MATCH(F65,属性耐性マスタ!$A$5:$A$10,0),0)</f>
        <v>4</v>
      </c>
      <c r="AG65">
        <f>IF(AE65=0,1,INDEX(個性タイプマスタ!$AB$5:$AB$54,AE65))</f>
        <v>10.335166666666666</v>
      </c>
      <c r="AH65">
        <f>IF(AE65=0,1,INDEX(個性タイプマスタ!$AC$5:$AC$54,AE65))</f>
        <v>0.78</v>
      </c>
      <c r="AI65">
        <f>IF(AE65=0,0,INDEX(個性タイプマスタ!$AD$5:$AD$54,AE65))</f>
        <v>1.2666666666666666</v>
      </c>
      <c r="AJ65" s="16">
        <v>10</v>
      </c>
      <c r="AK65" s="17">
        <f>IF(OR(AJ65="",AJ65&lt;1),"",POWER(使い方と設定!$E$6,AJ65-1))</f>
        <v>1.4233118124214852</v>
      </c>
    </row>
    <row r="66" spans="1:37">
      <c r="A66" t="str">
        <f>+[2]称号!A61</f>
        <v>TITLE_060</v>
      </c>
      <c r="B66" t="str">
        <f>+[2]称号!B61</f>
        <v>煌炎の獄騎士</v>
      </c>
      <c r="C66" t="s">
        <v>242</v>
      </c>
      <c r="D66" t="s">
        <v>243</v>
      </c>
      <c r="E66" s="2" t="str">
        <f>[1]モンスター計算!AM64</f>
        <v>魔法・軽量</v>
      </c>
      <c r="F66" s="2" t="str">
        <f>[1]モンスター計算!C64</f>
        <v>火</v>
      </c>
      <c r="G66" s="8">
        <v>1.25</v>
      </c>
      <c r="H66" t="str">
        <f t="shared" si="0"/>
        <v>OK</v>
      </c>
      <c r="I66" s="9">
        <f>IF($H66&lt;&gt;"OK","",ROUND($G66*使い方と設定!$B$7*$AK66*INDEX(個性タイプマスタ!$Q$5:$AA$54,$AE66,1)/$AG66,4))</f>
        <v>0.25190000000000001</v>
      </c>
      <c r="J66" s="9">
        <f>IF($H66&lt;&gt;"OK","",ROUND($G66*使い方と設定!$B$7*$AK66*INDEX(個性タイプマスタ!$Q$5:$AA$54,$AE66,2)/$AG66,4))</f>
        <v>0.27650000000000002</v>
      </c>
      <c r="K66" s="9">
        <f>IF($H66&lt;&gt;"OK","",ROUND($G66*使い方と設定!$B$7*$AK66*INDEX(個性タイプマスタ!$Q$5:$AA$54,$AE66,3)/$AG66,4))</f>
        <v>6.9800000000000001E-2</v>
      </c>
      <c r="L66" s="9">
        <f>IF($H66&lt;&gt;"OK","",ROUND($G66*使い方と設定!$B$7*$AK66*INDEX(個性タイプマスタ!$Q$5:$AA$54,$AE66,4)/$AG66,4))</f>
        <v>0.69830000000000003</v>
      </c>
      <c r="M66" s="9">
        <f>IF($H66&lt;&gt;"OK","",ROUND($G66*使い方と設定!$B$7*$AK66*INDEX(個性タイプマスタ!$Q$5:$AA$54,$AE66,5)/$AG66,4))</f>
        <v>0.20180000000000001</v>
      </c>
      <c r="N66" s="9">
        <f>IF($H66&lt;&gt;"OK","",ROUND($G66*使い方と設定!$B$7*$AK66*INDEX(個性タイプマスタ!$Q$5:$AA$54,$AE66,6)/$AG66,4))</f>
        <v>0.2374</v>
      </c>
      <c r="O66" s="9">
        <f>IF($H66&lt;&gt;"OK","",ROUND($G66*使い方と設定!$B$7*$AK66*INDEX(個性タイプマスタ!$Q$5:$AA$54,$AE66,7)/$AG66,4))</f>
        <v>0.15359999999999999</v>
      </c>
      <c r="P66" s="9">
        <f>IF($H66&lt;&gt;"OK","",ROUND($G66*使い方と設定!$B$7*$AK66*INDEX(個性タイプマスタ!$Q$5:$AA$54,$AE66,8)/$AG66,4))</f>
        <v>0.18160000000000001</v>
      </c>
      <c r="Q66" s="9">
        <f>IF($H66&lt;&gt;"OK","",ROUND($G66*使い方と設定!$B$7*$AK66*INDEX(個性タイプマスタ!$Q$5:$AA$54,$AE66,9)/$AG66,4))</f>
        <v>0.1229</v>
      </c>
      <c r="R66" s="9">
        <f>IF($H66&lt;&gt;"OK","",ROUND($G66*使い方と設定!$B$7*$AK66*INDEX(個性タイプマスタ!$Q$5:$AA$54,$AE66,10)/$AG66,4))</f>
        <v>0.27929999999999999</v>
      </c>
      <c r="S66" s="9">
        <f>IF($H66&lt;&gt;"OK","",ROUND($G66*使い方と設定!$B$7*$AK66*INDEX(個性タイプマスタ!$Q$5:$AA$54,$AE66,11)/$AG66,4))</f>
        <v>0.19550000000000001</v>
      </c>
      <c r="T66" s="9">
        <f>IF($H66&lt;&gt;"OK","",ROUND($G66*使い方と設定!$B$8*$AK66*$AH66*INDEX(属性耐性マスタ!$B$5:$G$10,$AF66,1),4))</f>
        <v>9.8199999999999996E-2</v>
      </c>
      <c r="U66" s="9">
        <f>IF($H66&lt;&gt;"OK","",ROUND($G66*使い方と設定!$B$8*$AK66*$AH66*INDEX(属性耐性マスタ!$B$5:$G$10,$AF66,2),4))</f>
        <v>1.9599999999999999E-2</v>
      </c>
      <c r="V66" s="9">
        <f>IF($H66&lt;&gt;"OK","",ROUND($G66*使い方と設定!$B$8*$AK66*$AH66*INDEX(属性耐性マスタ!$B$5:$G$10,$AF66,3),4))</f>
        <v>6.4999999999999997E-3</v>
      </c>
      <c r="W66" s="9">
        <f>IF($H66&lt;&gt;"OK","",ROUND($G66*使い方と設定!$B$8*$AK66*$AH66*INDEX(属性耐性マスタ!$B$5:$G$10,$AF66,4),4))</f>
        <v>6.4999999999999997E-3</v>
      </c>
      <c r="X66" s="9">
        <f>IF($H66&lt;&gt;"OK","",ROUND($G66*使い方と設定!$B$8*$AK66*$AH66*INDEX(属性耐性マスタ!$B$5:$G$10,$AF66,5),4))</f>
        <v>4.8999999999999998E-3</v>
      </c>
      <c r="Y66" s="9">
        <f>IF($H66&lt;&gt;"OK","",ROUND($G66*使い方と設定!$B$8*$AK66*$AH66*INDEX(属性耐性マスタ!$B$5:$G$10,$AF66,6),4))</f>
        <v>4.8999999999999998E-3</v>
      </c>
      <c r="Z66" s="9">
        <f>IF($H66&lt;&gt;"OK","",ROUND($G66*使い方と設定!$B$9*$AK66*$AI66,4))</f>
        <v>0.83030000000000004</v>
      </c>
      <c r="AA66" s="10">
        <v>0.25</v>
      </c>
      <c r="AB66" s="11">
        <f t="shared" si="1"/>
        <v>2.6686000000000001</v>
      </c>
      <c r="AC66" s="11">
        <f t="shared" si="2"/>
        <v>0.1406</v>
      </c>
      <c r="AD66" s="7" t="str">
        <f>IF($H66&lt;&gt;"OK","",INDEX(個性タイプマスタ!$P$5:$P$54,$AE66))</f>
        <v>軽快な魔法型。耐久控えめ・成長余地大</v>
      </c>
      <c r="AE66">
        <f>IFERROR(MATCH(E66,個性タイプマスタ!$A$5:$A$54,0),0)</f>
        <v>1</v>
      </c>
      <c r="AF66">
        <f>IFERROR(MATCH(F66,属性耐性マスタ!$A$5:$A$10,0),0)</f>
        <v>1</v>
      </c>
      <c r="AG66">
        <f>IF(AE66=0,1,INDEX(個性タイプマスタ!$AB$5:$AB$54,AE66))</f>
        <v>9.5545000000000009</v>
      </c>
      <c r="AH66">
        <f>IF(AE66=0,1,INDEX(個性タイプマスタ!$AC$5:$AC$54,AE66))</f>
        <v>0.92</v>
      </c>
      <c r="AI66">
        <f>IF(AE66=0,0,INDEX(個性タイプマスタ!$AD$5:$AD$54,AE66))</f>
        <v>0.93333333333333335</v>
      </c>
      <c r="AJ66" s="16">
        <v>10</v>
      </c>
      <c r="AK66" s="17">
        <f>IF(OR(AJ66="",AJ66&lt;1),"",POWER(使い方と設定!$E$6,AJ66-1))</f>
        <v>1.4233118124214852</v>
      </c>
    </row>
    <row r="67" spans="1:37">
      <c r="A67" t="str">
        <f>+[2]称号!A62</f>
        <v>TITLE_061</v>
      </c>
      <c r="B67" t="str">
        <f>+[2]称号!B62</f>
        <v>造岩の工匠</v>
      </c>
      <c r="C67" t="s">
        <v>244</v>
      </c>
      <c r="D67" t="s">
        <v>245</v>
      </c>
      <c r="E67" s="2" t="str">
        <f>[1]モンスター計算!AM65</f>
        <v>魔法・探索</v>
      </c>
      <c r="F67" s="2" t="str">
        <f>[1]モンスター計算!C65</f>
        <v>雷</v>
      </c>
      <c r="G67" s="8">
        <v>1</v>
      </c>
      <c r="H67" t="str">
        <f t="shared" si="0"/>
        <v>OK</v>
      </c>
      <c r="I67" s="9">
        <f>IF($H67&lt;&gt;"OK","",ROUND($G67*使い方と設定!$B$7*$AK67*INDEX(個性タイプマスタ!$Q$5:$AA$54,$AE67,1)/$AG67,4))</f>
        <v>0.20910000000000001</v>
      </c>
      <c r="J67" s="9">
        <f>IF($H67&lt;&gt;"OK","",ROUND($G67*使い方と設定!$B$7*$AK67*INDEX(個性タイプマスタ!$Q$5:$AA$54,$AE67,2)/$AG67,4))</f>
        <v>0.22320000000000001</v>
      </c>
      <c r="K67" s="9">
        <f>IF($H67&lt;&gt;"OK","",ROUND($G67*使い方と設定!$B$7*$AK67*INDEX(個性タイプマスタ!$Q$5:$AA$54,$AE67,3)/$AG67,4))</f>
        <v>3.2000000000000001E-2</v>
      </c>
      <c r="L67" s="9">
        <f>IF($H67&lt;&gt;"OK","",ROUND($G67*使い方と設定!$B$7*$AK67*INDEX(個性タイプマスタ!$Q$5:$AA$54,$AE67,4)/$AG67,4))</f>
        <v>0.53390000000000004</v>
      </c>
      <c r="M67" s="9">
        <f>IF($H67&lt;&gt;"OK","",ROUND($G67*使い方と設定!$B$7*$AK67*INDEX(個性タイプマスタ!$Q$5:$AA$54,$AE67,5)/$AG67,4))</f>
        <v>0.16700000000000001</v>
      </c>
      <c r="N67" s="9">
        <f>IF($H67&lt;&gt;"OK","",ROUND($G67*使い方と設定!$B$7*$AK67*INDEX(個性タイプマスタ!$Q$5:$AA$54,$AE67,6)/$AG67,4))</f>
        <v>0.16520000000000001</v>
      </c>
      <c r="O67" s="9">
        <f>IF($H67&lt;&gt;"OK","",ROUND($G67*使い方と設定!$B$7*$AK67*INDEX(個性タイプマスタ!$Q$5:$AA$54,$AE67,7)/$AG67,4))</f>
        <v>0.1762</v>
      </c>
      <c r="P67" s="9">
        <f>IF($H67&lt;&gt;"OK","",ROUND($G67*使い方と設定!$B$7*$AK67*INDEX(個性タイプマスタ!$Q$5:$AA$54,$AE67,8)/$AG67,4))</f>
        <v>0.13880000000000001</v>
      </c>
      <c r="Q67" s="9">
        <f>IF($H67&lt;&gt;"OK","",ROUND($G67*使い方と設定!$B$7*$AK67*INDEX(個性タイプマスタ!$Q$5:$AA$54,$AE67,9)/$AG67,4))</f>
        <v>0.14560000000000001</v>
      </c>
      <c r="R67" s="9">
        <f>IF($H67&lt;&gt;"OK","",ROUND($G67*使い方と設定!$B$7*$AK67*INDEX(個性タイプマスタ!$Q$5:$AA$54,$AE67,10)/$AG67,4))</f>
        <v>0.24560000000000001</v>
      </c>
      <c r="S67" s="9">
        <f>IF($H67&lt;&gt;"OK","",ROUND($G67*使い方と設定!$B$7*$AK67*INDEX(個性タイプマスタ!$Q$5:$AA$54,$AE67,11)/$AG67,4))</f>
        <v>0.18390000000000001</v>
      </c>
      <c r="T67" s="9">
        <f>IF($H67&lt;&gt;"OK","",ROUND($G67*使い方と設定!$B$8*$AK67*$AH67*INDEX(属性耐性マスタ!$B$5:$G$10,$AF67,1),4))</f>
        <v>5.7000000000000002E-3</v>
      </c>
      <c r="U67" s="9">
        <f>IF($H67&lt;&gt;"OK","",ROUND($G67*使い方と設定!$B$8*$AK67*$AH67*INDEX(属性耐性マスタ!$B$5:$G$10,$AF67,2),4))</f>
        <v>5.7000000000000002E-3</v>
      </c>
      <c r="V67" s="9">
        <f>IF($H67&lt;&gt;"OK","",ROUND($G67*使い方と設定!$B$8*$AK67*$AH67*INDEX(属性耐性マスタ!$B$5:$G$10,$AF67,3),4))</f>
        <v>2.1299999999999999E-2</v>
      </c>
      <c r="W67" s="9">
        <f>IF($H67&lt;&gt;"OK","",ROUND($G67*使い方と設定!$B$8*$AK67*$AH67*INDEX(属性耐性マスタ!$B$5:$G$10,$AF67,4),4))</f>
        <v>8.5300000000000001E-2</v>
      </c>
      <c r="X67" s="9">
        <f>IF($H67&lt;&gt;"OK","",ROUND($G67*使い方と設定!$B$8*$AK67*$AH67*INDEX(属性耐性マスタ!$B$5:$G$10,$AF67,5),4))</f>
        <v>4.3E-3</v>
      </c>
      <c r="Y67" s="9">
        <f>IF($H67&lt;&gt;"OK","",ROUND($G67*使い方と設定!$B$8*$AK67*$AH67*INDEX(属性耐性マスタ!$B$5:$G$10,$AF67,6),4))</f>
        <v>4.3E-3</v>
      </c>
      <c r="Z67" s="9">
        <f>IF($H67&lt;&gt;"OK","",ROUND($G67*使い方と設定!$B$9*$AK67*$AI67,4))</f>
        <v>1.3815999999999999</v>
      </c>
      <c r="AA67" s="10">
        <v>1</v>
      </c>
      <c r="AB67" s="11">
        <f t="shared" si="1"/>
        <v>2.2204999999999999</v>
      </c>
      <c r="AC67" s="11">
        <f t="shared" si="2"/>
        <v>0.12659999999999999</v>
      </c>
      <c r="AD67" s="7" t="str">
        <f>IF($H67&lt;&gt;"OK","",INDEX(個性タイプマスタ!$P$5:$P$54,$AE67))</f>
        <v>高索敵・長射程寄りの探索型</v>
      </c>
      <c r="AE67">
        <f>IFERROR(MATCH(E67,個性タイプマスタ!$A$5:$A$54,0),0)</f>
        <v>28</v>
      </c>
      <c r="AF67">
        <f>IFERROR(MATCH(F67,属性耐性マスタ!$A$5:$A$10,0),0)</f>
        <v>4</v>
      </c>
      <c r="AG67">
        <f>IF(AE67=0,1,INDEX(個性タイプマスタ!$AB$5:$AB$54,AE67))</f>
        <v>10.397500000000001</v>
      </c>
      <c r="AH67">
        <f>IF(AE67=0,1,INDEX(個性タイプマスタ!$AC$5:$AC$54,AE67))</f>
        <v>0.96</v>
      </c>
      <c r="AI67">
        <f>IF(AE67=0,0,INDEX(個性タイプマスタ!$AD$5:$AD$54,AE67))</f>
        <v>1.8666666666666667</v>
      </c>
      <c r="AJ67" s="16">
        <v>11</v>
      </c>
      <c r="AK67" s="17">
        <f>IF(OR(AJ67="",AJ67&lt;1),"",POWER(使い方と設定!$E$6,AJ67-1))</f>
        <v>1.4802442849183446</v>
      </c>
    </row>
    <row r="68" spans="1:37">
      <c r="A68" t="str">
        <f>+[2]称号!A63</f>
        <v>TITLE_062</v>
      </c>
      <c r="B68" t="str">
        <f>+[2]称号!B63</f>
        <v>深海を統べる蒼姫</v>
      </c>
      <c r="C68" t="s">
        <v>247</v>
      </c>
      <c r="D68" t="s">
        <v>248</v>
      </c>
      <c r="E68" s="2" t="str">
        <f>[1]モンスター計算!AM66</f>
        <v>魔法・守護</v>
      </c>
      <c r="F68" s="2" t="str">
        <f>[1]モンスター計算!C66</f>
        <v>光</v>
      </c>
      <c r="G68" s="8">
        <v>1.05</v>
      </c>
      <c r="H68" t="str">
        <f t="shared" si="0"/>
        <v>OK</v>
      </c>
      <c r="I68" s="9">
        <f>IF($H68&lt;&gt;"OK","",ROUND($G68*使い方と設定!$B$7*$AK68*INDEX(個性タイプマスタ!$Q$5:$AA$54,$AE68,1)/$AG68,4))</f>
        <v>0.30370000000000003</v>
      </c>
      <c r="J68" s="9">
        <f>IF($H68&lt;&gt;"OK","",ROUND($G68*使い方と設定!$B$7*$AK68*INDEX(個性タイプマスタ!$Q$5:$AA$54,$AE68,2)/$AG68,4))</f>
        <v>0.25309999999999999</v>
      </c>
      <c r="K68" s="9">
        <f>IF($H68&lt;&gt;"OK","",ROUND($G68*使い方と設定!$B$7*$AK68*INDEX(個性タイプマスタ!$Q$5:$AA$54,$AE68,3)/$AG68,4))</f>
        <v>4.5999999999999999E-2</v>
      </c>
      <c r="L68" s="9">
        <f>IF($H68&lt;&gt;"OK","",ROUND($G68*使い方と設定!$B$7*$AK68*INDEX(個性タイプマスタ!$Q$5:$AA$54,$AE68,4)/$AG68,4))</f>
        <v>0.4602</v>
      </c>
      <c r="M68" s="9">
        <f>IF($H68&lt;&gt;"OK","",ROUND($G68*使い方と設定!$B$7*$AK68*INDEX(個性タイプマスタ!$Q$5:$AA$54,$AE68,5)/$AG68,4))</f>
        <v>0.23469999999999999</v>
      </c>
      <c r="N68" s="9">
        <f>IF($H68&lt;&gt;"OK","",ROUND($G68*使い方と設定!$B$7*$AK68*INDEX(個性タイプマスタ!$Q$5:$AA$54,$AE68,6)/$AG68,4))</f>
        <v>0.219</v>
      </c>
      <c r="O68" s="9">
        <f>IF($H68&lt;&gt;"OK","",ROUND($G68*使い方と設定!$B$7*$AK68*INDEX(個性タイプマスタ!$Q$5:$AA$54,$AE68,7)/$AG68,4))</f>
        <v>0.20250000000000001</v>
      </c>
      <c r="P68" s="9">
        <f>IF($H68&lt;&gt;"OK","",ROUND($G68*使い方と設定!$B$7*$AK68*INDEX(個性タイプマスタ!$Q$5:$AA$54,$AE68,8)/$AG68,4))</f>
        <v>0.1396</v>
      </c>
      <c r="Q68" s="9">
        <f>IF($H68&lt;&gt;"OK","",ROUND($G68*使い方と設定!$B$7*$AK68*INDEX(個性タイプマスタ!$Q$5:$AA$54,$AE68,9)/$AG68,4))</f>
        <v>9.7199999999999995E-2</v>
      </c>
      <c r="R68" s="9">
        <f>IF($H68&lt;&gt;"OK","",ROUND($G68*使い方と設定!$B$7*$AK68*INDEX(個性タイプマスタ!$Q$5:$AA$54,$AE68,10)/$AG68,4))</f>
        <v>0.22090000000000001</v>
      </c>
      <c r="S68" s="9">
        <f>IF($H68&lt;&gt;"OK","",ROUND($G68*使い方と設定!$B$7*$AK68*INDEX(個性タイプマスタ!$Q$5:$AA$54,$AE68,11)/$AG68,4))</f>
        <v>0.15459999999999999</v>
      </c>
      <c r="T68" s="9">
        <f>IF($H68&lt;&gt;"OK","",ROUND($G68*使い方と設定!$B$8*$AK68*$AH68*INDEX(属性耐性マスタ!$B$5:$G$10,$AF68,1),4))</f>
        <v>6.1999999999999998E-3</v>
      </c>
      <c r="U68" s="9">
        <f>IF($H68&lt;&gt;"OK","",ROUND($G68*使い方と設定!$B$8*$AK68*$AH68*INDEX(属性耐性マスタ!$B$5:$G$10,$AF68,2),4))</f>
        <v>6.1999999999999998E-3</v>
      </c>
      <c r="V68" s="9">
        <f>IF($H68&lt;&gt;"OK","",ROUND($G68*使い方と設定!$B$8*$AK68*$AH68*INDEX(属性耐性マスタ!$B$5:$G$10,$AF68,3),4))</f>
        <v>6.1999999999999998E-3</v>
      </c>
      <c r="W68" s="9">
        <f>IF($H68&lt;&gt;"OK","",ROUND($G68*使い方と設定!$B$8*$AK68*$AH68*INDEX(属性耐性マスタ!$B$5:$G$10,$AF68,4),4))</f>
        <v>6.1999999999999998E-3</v>
      </c>
      <c r="X68" s="9">
        <f>IF($H68&lt;&gt;"OK","",ROUND($G68*使い方と設定!$B$8*$AK68*$AH68*INDEX(属性耐性マスタ!$B$5:$G$10,$AF68,5),4))</f>
        <v>0.1231</v>
      </c>
      <c r="Y68" s="9">
        <f>IF($H68&lt;&gt;"OK","",ROUND($G68*使い方と設定!$B$8*$AK68*$AH68*INDEX(属性耐性マスタ!$B$5:$G$10,$AF68,6),4))</f>
        <v>1.6400000000000001E-2</v>
      </c>
      <c r="Z68" s="9">
        <f>IF($H68&lt;&gt;"OK","",ROUND($G68*使い方と設定!$B$9*$AK68*$AI68,4))</f>
        <v>0.77710000000000001</v>
      </c>
      <c r="AA68" s="10">
        <v>1</v>
      </c>
      <c r="AB68" s="11">
        <f t="shared" si="1"/>
        <v>2.3315000000000001</v>
      </c>
      <c r="AC68" s="11">
        <f t="shared" si="2"/>
        <v>0.1643</v>
      </c>
      <c r="AD68" s="7" t="str">
        <f>IF($H68&lt;&gt;"OK","",INDEX(個性タイプマスタ!$P$5:$P$54,$AE68))</f>
        <v>HP・防御・耐性の高い魔法型</v>
      </c>
      <c r="AE68">
        <f>IFERROR(MATCH(E68,個性タイプマスタ!$A$5:$A$54,0),0)</f>
        <v>6</v>
      </c>
      <c r="AF68">
        <f>IFERROR(MATCH(F68,属性耐性マスタ!$A$5:$A$10,0),0)</f>
        <v>5</v>
      </c>
      <c r="AG68">
        <f>IF(AE68=0,1,INDEX(個性タイプマスタ!$AB$5:$AB$54,AE68))</f>
        <v>12.666333333333332</v>
      </c>
      <c r="AH68">
        <f>IF(AE68=0,1,INDEX(個性タイプマスタ!$AC$5:$AC$54,AE68))</f>
        <v>1.32</v>
      </c>
      <c r="AI68">
        <f>IF(AE68=0,0,INDEX(個性タイプマスタ!$AD$5:$AD$54,AE68))</f>
        <v>1</v>
      </c>
      <c r="AJ68" s="16">
        <v>11</v>
      </c>
      <c r="AK68" s="17">
        <f>IF(OR(AJ68="",AJ68&lt;1),"",POWER(使い方と設定!$E$6,AJ68-1))</f>
        <v>1.4802442849183446</v>
      </c>
    </row>
    <row r="69" spans="1:37">
      <c r="A69" t="str">
        <f>+[2]称号!A64</f>
        <v>TITLE_063</v>
      </c>
      <c r="B69" t="str">
        <f>+[2]称号!B64</f>
        <v>水律の調停者</v>
      </c>
      <c r="C69" t="s">
        <v>249</v>
      </c>
      <c r="D69" t="s">
        <v>250</v>
      </c>
      <c r="E69" s="2" t="str">
        <f>[1]モンスター計算!AM67</f>
        <v>魔法・砲撃</v>
      </c>
      <c r="F69" s="2" t="str">
        <f>[1]モンスター計算!C67</f>
        <v>水</v>
      </c>
      <c r="G69" s="8">
        <v>1.1000000000000001</v>
      </c>
      <c r="H69" t="str">
        <f t="shared" si="0"/>
        <v>OK</v>
      </c>
      <c r="I69" s="9">
        <f>IF($H69&lt;&gt;"OK","",ROUND($G69*使い方と設定!$B$7*$AK69*INDEX(個性タイプマスタ!$Q$5:$AA$54,$AE69,1)/$AG69,4))</f>
        <v>0.23430000000000001</v>
      </c>
      <c r="J69" s="9">
        <f>IF($H69&lt;&gt;"OK","",ROUND($G69*使い方と設定!$B$7*$AK69*INDEX(個性タイプマスタ!$Q$5:$AA$54,$AE69,2)/$AG69,4))</f>
        <v>0.41189999999999999</v>
      </c>
      <c r="K69" s="9">
        <f>IF($H69&lt;&gt;"OK","",ROUND($G69*使い方と設定!$B$7*$AK69*INDEX(個性タイプマスタ!$Q$5:$AA$54,$AE69,3)/$AG69,4))</f>
        <v>4.3900000000000002E-2</v>
      </c>
      <c r="L69" s="9">
        <f>IF($H69&lt;&gt;"OK","",ROUND($G69*使い方と設定!$B$7*$AK69*INDEX(個性タイプマスタ!$Q$5:$AA$54,$AE69,4)/$AG69,4))</f>
        <v>0.58509999999999995</v>
      </c>
      <c r="M69" s="9">
        <f>IF($H69&lt;&gt;"OK","",ROUND($G69*使い方と設定!$B$7*$AK69*INDEX(個性タイプマスタ!$Q$5:$AA$54,$AE69,5)/$AG69,4))</f>
        <v>0.17510000000000001</v>
      </c>
      <c r="N69" s="9">
        <f>IF($H69&lt;&gt;"OK","",ROUND($G69*使い方と設定!$B$7*$AK69*INDEX(個性タイプマスタ!$Q$5:$AA$54,$AE69,6)/$AG69,4))</f>
        <v>0.189</v>
      </c>
      <c r="O69" s="9">
        <f>IF($H69&lt;&gt;"OK","",ROUND($G69*使い方と設定!$B$7*$AK69*INDEX(個性タイプマスタ!$Q$5:$AA$54,$AE69,7)/$AG69,4))</f>
        <v>0.10299999999999999</v>
      </c>
      <c r="P69" s="9">
        <f>IF($H69&lt;&gt;"OK","",ROUND($G69*使い方と設定!$B$7*$AK69*INDEX(個性タイプマスタ!$Q$5:$AA$54,$AE69,8)/$AG69,4))</f>
        <v>0.22309999999999999</v>
      </c>
      <c r="Q69" s="9">
        <f>IF($H69&lt;&gt;"OK","",ROUND($G69*使い方と設定!$B$7*$AK69*INDEX(個性タイプマスタ!$Q$5:$AA$54,$AE69,9)/$AG69,4))</f>
        <v>8.5000000000000006E-2</v>
      </c>
      <c r="R69" s="9">
        <f>IF($H69&lt;&gt;"OK","",ROUND($G69*使い方と設定!$B$7*$AK69*INDEX(個性タイプマスタ!$Q$5:$AA$54,$AE69,10)/$AG69,4))</f>
        <v>0.14979999999999999</v>
      </c>
      <c r="S69" s="9">
        <f>IF($H69&lt;&gt;"OK","",ROUND($G69*使い方と設定!$B$7*$AK69*INDEX(個性タイプマスタ!$Q$5:$AA$54,$AE69,11)/$AG69,4))</f>
        <v>0.24249999999999999</v>
      </c>
      <c r="T69" s="9">
        <f>IF($H69&lt;&gt;"OK","",ROUND($G69*使い方と設定!$B$8*$AK69*$AH69*INDEX(属性耐性マスタ!$B$5:$G$10,$AF69,1),4))</f>
        <v>1.7600000000000001E-2</v>
      </c>
      <c r="U69" s="9">
        <f>IF($H69&lt;&gt;"OK","",ROUND($G69*使い方と設定!$B$8*$AK69*$AH69*INDEX(属性耐性マスタ!$B$5:$G$10,$AF69,2),4))</f>
        <v>8.7900000000000006E-2</v>
      </c>
      <c r="V69" s="9">
        <f>IF($H69&lt;&gt;"OK","",ROUND($G69*使い方と設定!$B$8*$AK69*$AH69*INDEX(属性耐性マスタ!$B$5:$G$10,$AF69,3),4))</f>
        <v>5.8999999999999999E-3</v>
      </c>
      <c r="W69" s="9">
        <f>IF($H69&lt;&gt;"OK","",ROUND($G69*使い方と設定!$B$8*$AK69*$AH69*INDEX(属性耐性マスタ!$B$5:$G$10,$AF69,4),4))</f>
        <v>5.8999999999999999E-3</v>
      </c>
      <c r="X69" s="9">
        <f>IF($H69&lt;&gt;"OK","",ROUND($G69*使い方と設定!$B$8*$AK69*$AH69*INDEX(属性耐性マスタ!$B$5:$G$10,$AF69,5),4))</f>
        <v>4.4000000000000003E-3</v>
      </c>
      <c r="Y69" s="9">
        <f>IF($H69&lt;&gt;"OK","",ROUND($G69*使い方と設定!$B$8*$AK69*$AH69*INDEX(属性耐性マスタ!$B$5:$G$10,$AF69,6),4))</f>
        <v>4.4000000000000003E-3</v>
      </c>
      <c r="Z69" s="9">
        <f>IF($H69&lt;&gt;"OK","",ROUND($G69*使い方と設定!$B$9*$AK69*$AI69,4))</f>
        <v>0.71240000000000003</v>
      </c>
      <c r="AA69" s="10">
        <v>0.9</v>
      </c>
      <c r="AB69" s="11">
        <f t="shared" si="1"/>
        <v>2.4426999999999999</v>
      </c>
      <c r="AC69" s="11">
        <f t="shared" si="2"/>
        <v>0.12609999999999999</v>
      </c>
      <c r="AD69" s="7" t="str">
        <f>IF($H69&lt;&gt;"OK","",INDEX(個性タイプマスタ!$P$5:$P$54,$AE69))</f>
        <v>低速高威力の遠距離砲台</v>
      </c>
      <c r="AE69">
        <f>IFERROR(MATCH(E69,個性タイプマスタ!$A$5:$A$54,0),0)</f>
        <v>17</v>
      </c>
      <c r="AF69">
        <f>IFERROR(MATCH(F69,属性耐性マスタ!$A$5:$A$10,0),0)</f>
        <v>2</v>
      </c>
      <c r="AG69">
        <f>IF(AE69=0,1,INDEX(個性タイプマスタ!$AB$5:$AB$54,AE69))</f>
        <v>10.436333333333334</v>
      </c>
      <c r="AH69">
        <f>IF(AE69=0,1,INDEX(個性タイプマスタ!$AC$5:$AC$54,AE69))</f>
        <v>0.9</v>
      </c>
      <c r="AI69">
        <f>IF(AE69=0,0,INDEX(個性タイプマスタ!$AD$5:$AD$54,AE69))</f>
        <v>0.875</v>
      </c>
      <c r="AJ69" s="16">
        <v>11</v>
      </c>
      <c r="AK69" s="17">
        <f>IF(OR(AJ69="",AJ69&lt;1),"",POWER(使い方と設定!$E$6,AJ69-1))</f>
        <v>1.4802442849183446</v>
      </c>
    </row>
    <row r="70" spans="1:37">
      <c r="A70" t="str">
        <f>+[2]称号!A65</f>
        <v>TITLE_064</v>
      </c>
      <c r="B70" t="str">
        <f>+[2]称号!B65</f>
        <v>翠森の射手</v>
      </c>
      <c r="C70" t="s">
        <v>251</v>
      </c>
      <c r="D70" t="s">
        <v>252</v>
      </c>
      <c r="E70" s="2" t="str">
        <f>[1]モンスター計算!AM68</f>
        <v>近接・堅実</v>
      </c>
      <c r="F70" s="2" t="str">
        <f>[1]モンスター計算!C68</f>
        <v>風</v>
      </c>
      <c r="G70" s="8">
        <v>1.1499999999999999</v>
      </c>
      <c r="H70" t="str">
        <f t="shared" si="0"/>
        <v>OK</v>
      </c>
      <c r="I70" s="9">
        <f>IF($H70&lt;&gt;"OK","",ROUND($G70*使い方と設定!$B$7*$AK70*INDEX(個性タイプマスタ!$Q$5:$AA$54,$AE70,1)/$AG70,4))</f>
        <v>0.31850000000000001</v>
      </c>
      <c r="J70" s="9">
        <f>IF($H70&lt;&gt;"OK","",ROUND($G70*使い方と設定!$B$7*$AK70*INDEX(個性タイプマスタ!$Q$5:$AA$54,$AE70,2)/$AG70,4))</f>
        <v>0.1351</v>
      </c>
      <c r="K70" s="9">
        <f>IF($H70&lt;&gt;"OK","",ROUND($G70*使い方と設定!$B$7*$AK70*INDEX(個性タイプマスタ!$Q$5:$AA$54,$AE70,3)/$AG70,4))</f>
        <v>0.64639999999999997</v>
      </c>
      <c r="L70" s="9">
        <f>IF($H70&lt;&gt;"OK","",ROUND($G70*使い方と設定!$B$7*$AK70*INDEX(個性タイプマスタ!$Q$5:$AA$54,$AE70,4)/$AG70,4))</f>
        <v>5.04E-2</v>
      </c>
      <c r="M70" s="9">
        <f>IF($H70&lt;&gt;"OK","",ROUND($G70*使い方と設定!$B$7*$AK70*INDEX(個性タイプマスタ!$Q$5:$AA$54,$AE70,5)/$AG70,4))</f>
        <v>0.27689999999999998</v>
      </c>
      <c r="N70" s="9">
        <f>IF($H70&lt;&gt;"OK","",ROUND($G70*使い方と設定!$B$7*$AK70*INDEX(個性タイプマスタ!$Q$5:$AA$54,$AE70,6)/$AG70,4))</f>
        <v>0.27250000000000002</v>
      </c>
      <c r="O70" s="9">
        <f>IF($H70&lt;&gt;"OK","",ROUND($G70*使い方と設定!$B$7*$AK70*INDEX(個性タイプマスタ!$Q$5:$AA$54,$AE70,7)/$AG70,4))</f>
        <v>0.1138</v>
      </c>
      <c r="P70" s="9">
        <f>IF($H70&lt;&gt;"OK","",ROUND($G70*使い方と設定!$B$7*$AK70*INDEX(個性タイプマスタ!$Q$5:$AA$54,$AE70,8)/$AG70,4))</f>
        <v>0.15679999999999999</v>
      </c>
      <c r="Q70" s="9">
        <f>IF($H70&lt;&gt;"OK","",ROUND($G70*使い方と設定!$B$7*$AK70*INDEX(個性タイプマスタ!$Q$5:$AA$54,$AE70,9)/$AG70,4))</f>
        <v>0.1394</v>
      </c>
      <c r="R70" s="9">
        <f>IF($H70&lt;&gt;"OK","",ROUND($G70*使い方と設定!$B$7*$AK70*INDEX(個性タイプマスタ!$Q$5:$AA$54,$AE70,10)/$AG70,4))</f>
        <v>0.26629999999999998</v>
      </c>
      <c r="S70" s="9">
        <f>IF($H70&lt;&gt;"OK","",ROUND($G70*使い方と設定!$B$7*$AK70*INDEX(個性タイプマスタ!$Q$5:$AA$54,$AE70,11)/$AG70,4))</f>
        <v>0.1774</v>
      </c>
      <c r="T70" s="9">
        <f>IF($H70&lt;&gt;"OK","",ROUND($G70*使い方と設定!$B$8*$AK70*$AH70*INDEX(属性耐性マスタ!$B$5:$G$10,$AF70,1),4))</f>
        <v>7.9000000000000008E-3</v>
      </c>
      <c r="U70" s="9">
        <f>IF($H70&lt;&gt;"OK","",ROUND($G70*使い方と設定!$B$8*$AK70*$AH70*INDEX(属性耐性マスタ!$B$5:$G$10,$AF70,2),4))</f>
        <v>7.9000000000000008E-3</v>
      </c>
      <c r="V70" s="9">
        <f>IF($H70&lt;&gt;"OK","",ROUND($G70*使い方と設定!$B$8*$AK70*$AH70*INDEX(属性耐性マスタ!$B$5:$G$10,$AF70,3),4))</f>
        <v>0.11849999999999999</v>
      </c>
      <c r="W70" s="9">
        <f>IF($H70&lt;&gt;"OK","",ROUND($G70*使い方と設定!$B$8*$AK70*$AH70*INDEX(属性耐性マスタ!$B$5:$G$10,$AF70,4),4))</f>
        <v>2.9600000000000001E-2</v>
      </c>
      <c r="X70" s="9">
        <f>IF($H70&lt;&gt;"OK","",ROUND($G70*使い方と設定!$B$8*$AK70*$AH70*INDEX(属性耐性マスタ!$B$5:$G$10,$AF70,5),4))</f>
        <v>5.8999999999999999E-3</v>
      </c>
      <c r="Y70" s="9">
        <f>IF($H70&lt;&gt;"OK","",ROUND($G70*使い方と設定!$B$8*$AK70*$AH70*INDEX(属性耐性マスタ!$B$5:$G$10,$AF70,6),4))</f>
        <v>5.8999999999999999E-3</v>
      </c>
      <c r="Z70" s="9">
        <f>IF($H70&lt;&gt;"OK","",ROUND($G70*使い方と設定!$B$9*$AK70*$AI70,4))</f>
        <v>0.85819999999999996</v>
      </c>
      <c r="AA70" s="10">
        <v>0.55000000000000004</v>
      </c>
      <c r="AB70" s="11">
        <f t="shared" si="1"/>
        <v>2.5535000000000001</v>
      </c>
      <c r="AC70" s="11">
        <f t="shared" si="2"/>
        <v>0.1757</v>
      </c>
      <c r="AD70" s="7" t="str">
        <f>IF($H70&lt;&gt;"OK","",INDEX(個性タイプマスタ!$P$5:$P$54,$AE70))</f>
        <v>手堅いステータスの安定型</v>
      </c>
      <c r="AE70">
        <f>IFERROR(MATCH(E70,個性タイプマスタ!$A$5:$A$54,0),0)</f>
        <v>43</v>
      </c>
      <c r="AF70">
        <f>IFERROR(MATCH(F70,属性耐性マスタ!$A$5:$A$10,0),0)</f>
        <v>3</v>
      </c>
      <c r="AG70">
        <f>IF(AE70=0,1,INDEX(個性タイプマスタ!$AB$5:$AB$54,AE70))</f>
        <v>9.8761666666666663</v>
      </c>
      <c r="AH70">
        <f>IF(AE70=0,1,INDEX(個性タイプマスタ!$AC$5:$AC$54,AE70))</f>
        <v>1.1599999999999999</v>
      </c>
      <c r="AI70">
        <f>IF(AE70=0,0,INDEX(個性タイプマスタ!$AD$5:$AD$54,AE70))</f>
        <v>1.0083333333333333</v>
      </c>
      <c r="AJ70" s="16">
        <v>11</v>
      </c>
      <c r="AK70" s="17">
        <f>IF(OR(AJ70="",AJ70&lt;1),"",POWER(使い方と設定!$E$6,AJ70-1))</f>
        <v>1.4802442849183446</v>
      </c>
    </row>
    <row r="71" spans="1:37">
      <c r="A71" t="str">
        <f>+[2]称号!A66</f>
        <v>TITLE_065</v>
      </c>
      <c r="B71" t="str">
        <f>+[2]称号!B66</f>
        <v>拒絶の要塞獣</v>
      </c>
      <c r="C71" t="s">
        <v>254</v>
      </c>
      <c r="D71" t="s">
        <v>255</v>
      </c>
      <c r="E71" s="2" t="str">
        <f>[1]モンスター計算!AM69</f>
        <v>近接・軽装強打</v>
      </c>
      <c r="F71" s="2" t="str">
        <f>[1]モンスター計算!C69</f>
        <v>雷</v>
      </c>
      <c r="G71" s="8">
        <v>1.2</v>
      </c>
      <c r="H71" t="str">
        <f t="shared" ref="H71:H134" si="3">IF(OR(E71="",F71=""),"未入力",IF(IFERROR(AND(ISNUMBER(AJ71),AJ71&gt;=1,AJ71=INT(AJ71)),FALSE),IF(AE71=0,"タイプ未登録",IF(AF71=0,"属性未登録","OK")),"ステージ未設定"))</f>
        <v>OK</v>
      </c>
      <c r="I71" s="9">
        <f>IF($H71&lt;&gt;"OK","",ROUND($G71*使い方と設定!$B$7*$AK71*INDEX(個性タイプマスタ!$Q$5:$AA$54,$AE71,1)/$AG71,4))</f>
        <v>0.23</v>
      </c>
      <c r="J71" s="9">
        <f>IF($H71&lt;&gt;"OK","",ROUND($G71*使い方と設定!$B$7*$AK71*INDEX(個性タイプマスタ!$Q$5:$AA$54,$AE71,2)/$AG71,4))</f>
        <v>9.3799999999999994E-2</v>
      </c>
      <c r="K71" s="9">
        <f>IF($H71&lt;&gt;"OK","",ROUND($G71*使い方と設定!$B$7*$AK71*INDEX(個性タイプマスタ!$Q$5:$AA$54,$AE71,3)/$AG71,4))</f>
        <v>0.68769999999999998</v>
      </c>
      <c r="L71" s="9">
        <f>IF($H71&lt;&gt;"OK","",ROUND($G71*使い方と設定!$B$7*$AK71*INDEX(個性タイプマスタ!$Q$5:$AA$54,$AE71,4)/$AG71,4))</f>
        <v>4.2599999999999999E-2</v>
      </c>
      <c r="M71" s="9">
        <f>IF($H71&lt;&gt;"OK","",ROUND($G71*使い方と設定!$B$7*$AK71*INDEX(個性タイプマスタ!$Q$5:$AA$54,$AE71,5)/$AG71,4))</f>
        <v>0.1777</v>
      </c>
      <c r="N71" s="9">
        <f>IF($H71&lt;&gt;"OK","",ROUND($G71*使い方と設定!$B$7*$AK71*INDEX(個性タイプマスタ!$Q$5:$AA$54,$AE71,6)/$AG71,4))</f>
        <v>0.16370000000000001</v>
      </c>
      <c r="O71" s="9">
        <f>IF($H71&lt;&gt;"OK","",ROUND($G71*使い方と設定!$B$7*$AK71*INDEX(個性タイプマスタ!$Q$5:$AA$54,$AE71,7)/$AG71,4))</f>
        <v>0.28749999999999998</v>
      </c>
      <c r="P71" s="9">
        <f>IF($H71&lt;&gt;"OK","",ROUND($G71*使い方と設定!$B$7*$AK71*INDEX(個性タイプマスタ!$Q$5:$AA$54,$AE71,8)/$AG71,4))</f>
        <v>0.28610000000000002</v>
      </c>
      <c r="Q71" s="9">
        <f>IF($H71&lt;&gt;"OK","",ROUND($G71*使い方と設定!$B$7*$AK71*INDEX(個性タイプマスタ!$Q$5:$AA$54,$AE71,9)/$AG71,4))</f>
        <v>0.20269999999999999</v>
      </c>
      <c r="R71" s="9">
        <f>IF($H71&lt;&gt;"OK","",ROUND($G71*使い方と設定!$B$7*$AK71*INDEX(個性タイプマスタ!$Q$5:$AA$54,$AE71,10)/$AG71,4))</f>
        <v>0.2366</v>
      </c>
      <c r="S71" s="9">
        <f>IF($H71&lt;&gt;"OK","",ROUND($G71*使い方と設定!$B$7*$AK71*INDEX(個性タイプマスタ!$Q$5:$AA$54,$AE71,11)/$AG71,4))</f>
        <v>0.25609999999999999</v>
      </c>
      <c r="T71" s="9">
        <f>IF($H71&lt;&gt;"OK","",ROUND($G71*使い方と設定!$B$8*$AK71*$AH71*INDEX(属性耐性マスタ!$B$5:$G$10,$AF71,1),4))</f>
        <v>5.1000000000000004E-3</v>
      </c>
      <c r="U71" s="9">
        <f>IF($H71&lt;&gt;"OK","",ROUND($G71*使い方と設定!$B$8*$AK71*$AH71*INDEX(属性耐性マスタ!$B$5:$G$10,$AF71,2),4))</f>
        <v>5.1000000000000004E-3</v>
      </c>
      <c r="V71" s="9">
        <f>IF($H71&lt;&gt;"OK","",ROUND($G71*使い方と設定!$B$8*$AK71*$AH71*INDEX(属性耐性マスタ!$B$5:$G$10,$AF71,3),4))</f>
        <v>1.9199999999999998E-2</v>
      </c>
      <c r="W71" s="9">
        <f>IF($H71&lt;&gt;"OK","",ROUND($G71*使い方と設定!$B$8*$AK71*$AH71*INDEX(属性耐性マスタ!$B$5:$G$10,$AF71,4),4))</f>
        <v>7.6700000000000004E-2</v>
      </c>
      <c r="X71" s="9">
        <f>IF($H71&lt;&gt;"OK","",ROUND($G71*使い方と設定!$B$8*$AK71*$AH71*INDEX(属性耐性マスタ!$B$5:$G$10,$AF71,5),4))</f>
        <v>3.8E-3</v>
      </c>
      <c r="Y71" s="9">
        <f>IF($H71&lt;&gt;"OK","",ROUND($G71*使い方と設定!$B$8*$AK71*$AH71*INDEX(属性耐性マスタ!$B$5:$G$10,$AF71,6),4))</f>
        <v>3.8E-3</v>
      </c>
      <c r="Z71" s="9">
        <f>IF($H71&lt;&gt;"OK","",ROUND($G71*使い方と設定!$B$9*$AK71*$AI71,4))</f>
        <v>1.0287999999999999</v>
      </c>
      <c r="AA71" s="10">
        <v>0.5</v>
      </c>
      <c r="AB71" s="11">
        <f t="shared" ref="AB71:AB134" si="4">IF($H71&lt;&gt;"OK","",ROUND(SUM(I71:S71),4))</f>
        <v>2.6644999999999999</v>
      </c>
      <c r="AC71" s="11">
        <f t="shared" ref="AC71:AC134" si="5">IF($H71&lt;&gt;"OK","",ROUND(SUM(T71:Y71),4))</f>
        <v>0.1137</v>
      </c>
      <c r="AD71" s="7" t="str">
        <f>IF($H71&lt;&gt;"OK","",INDEX(個性タイプマスタ!$P$5:$P$54,$AE71))</f>
        <v>高い会心倍率と中距離の強打</v>
      </c>
      <c r="AE71">
        <f>IFERROR(MATCH(E71,個性タイプマスタ!$A$5:$A$54,0),0)</f>
        <v>50</v>
      </c>
      <c r="AF71">
        <f>IFERROR(MATCH(F71,属性耐性マスタ!$A$5:$A$10,0),0)</f>
        <v>4</v>
      </c>
      <c r="AG71">
        <f>IF(AE71=0,1,INDEX(個性タイプマスタ!$AB$5:$AB$54,AE71))</f>
        <v>9.6859999999999982</v>
      </c>
      <c r="AH71">
        <f>IF(AE71=0,1,INDEX(個性タイプマスタ!$AC$5:$AC$54,AE71))</f>
        <v>0.72</v>
      </c>
      <c r="AI71">
        <f>IF(AE71=0,0,INDEX(個性タイプマスタ!$AD$5:$AD$54,AE71))</f>
        <v>1.1583333333333332</v>
      </c>
      <c r="AJ71" s="16">
        <v>11</v>
      </c>
      <c r="AK71" s="17">
        <f>IF(OR(AJ71="",AJ71&lt;1),"",POWER(使い方と設定!$E$6,AJ71-1))</f>
        <v>1.4802442849183446</v>
      </c>
    </row>
    <row r="72" spans="1:37">
      <c r="A72" t="str">
        <f>+[2]称号!A67</f>
        <v>TITLE_066</v>
      </c>
      <c r="B72" t="str">
        <f>+[2]称号!B67</f>
        <v>獄炎機装</v>
      </c>
      <c r="C72" t="s">
        <v>256</v>
      </c>
      <c r="D72" t="s">
        <v>257</v>
      </c>
      <c r="E72" s="2" t="str">
        <f>[1]モンスター計算!AM70</f>
        <v>魔法・支援</v>
      </c>
      <c r="F72" s="2" t="str">
        <f>[1]モンスター計算!C70</f>
        <v>火</v>
      </c>
      <c r="G72" s="8">
        <v>1.25</v>
      </c>
      <c r="H72" t="str">
        <f t="shared" si="3"/>
        <v>OK</v>
      </c>
      <c r="I72" s="9">
        <f>IF($H72&lt;&gt;"OK","",ROUND($G72*使い方と設定!$B$7*$AK72*INDEX(個性タイプマスタ!$Q$5:$AA$54,$AE72,1)/$AG72,4))</f>
        <v>0.28270000000000001</v>
      </c>
      <c r="J72" s="9">
        <f>IF($H72&lt;&gt;"OK","",ROUND($G72*使い方と設定!$B$7*$AK72*INDEX(個性タイプマスタ!$Q$5:$AA$54,$AE72,2)/$AG72,4))</f>
        <v>0.40989999999999999</v>
      </c>
      <c r="K72" s="9">
        <f>IF($H72&lt;&gt;"OK","",ROUND($G72*使い方と設定!$B$7*$AK72*INDEX(個性タイプマスタ!$Q$5:$AA$54,$AE72,3)/$AG72,4))</f>
        <v>6.4299999999999996E-2</v>
      </c>
      <c r="L72" s="9">
        <f>IF($H72&lt;&gt;"OK","",ROUND($G72*使い方と設定!$B$7*$AK72*INDEX(個性タイプマスタ!$Q$5:$AA$54,$AE72,4)/$AG72,4))</f>
        <v>0.64249999999999996</v>
      </c>
      <c r="M72" s="9">
        <f>IF($H72&lt;&gt;"OK","",ROUND($G72*使い方と設定!$B$7*$AK72*INDEX(個性タイプマスタ!$Q$5:$AA$54,$AE72,5)/$AG72,4))</f>
        <v>0.2185</v>
      </c>
      <c r="N72" s="9">
        <f>IF($H72&lt;&gt;"OK","",ROUND($G72*使い方と設定!$B$7*$AK72*INDEX(個性タイプマスタ!$Q$5:$AA$54,$AE72,6)/$AG72,4))</f>
        <v>0.26219999999999999</v>
      </c>
      <c r="O72" s="9">
        <f>IF($H72&lt;&gt;"OK","",ROUND($G72*使い方と設定!$B$7*$AK72*INDEX(個性タイプマスタ!$Q$5:$AA$54,$AE72,7)/$AG72,4))</f>
        <v>0.1696</v>
      </c>
      <c r="P72" s="9">
        <f>IF($H72&lt;&gt;"OK","",ROUND($G72*使い方と設定!$B$7*$AK72*INDEX(個性タイプマスタ!$Q$5:$AA$54,$AE72,8)/$AG72,4))</f>
        <v>0.15590000000000001</v>
      </c>
      <c r="Q72" s="9">
        <f>IF($H72&lt;&gt;"OK","",ROUND($G72*使い方と設定!$B$7*$AK72*INDEX(個性タイプマスタ!$Q$5:$AA$54,$AE72,9)/$AG72,4))</f>
        <v>0.1187</v>
      </c>
      <c r="R72" s="9">
        <f>IF($H72&lt;&gt;"OK","",ROUND($G72*使い方と設定!$B$7*$AK72*INDEX(個性タイプマスタ!$Q$5:$AA$54,$AE72,10)/$AG72,4))</f>
        <v>0.2442</v>
      </c>
      <c r="S72" s="9">
        <f>IF($H72&lt;&gt;"OK","",ROUND($G72*使い方と設定!$B$7*$AK72*INDEX(個性タイプマスタ!$Q$5:$AA$54,$AE72,11)/$AG72,4))</f>
        <v>0.2069</v>
      </c>
      <c r="T72" s="9">
        <f>IF($H72&lt;&gt;"OK","",ROUND($G72*使い方と設定!$B$8*$AK72*$AH72*INDEX(属性耐性マスタ!$B$5:$G$10,$AF72,1),4))</f>
        <v>0.12429999999999999</v>
      </c>
      <c r="U72" s="9">
        <f>IF($H72&lt;&gt;"OK","",ROUND($G72*使い方と設定!$B$8*$AK72*$AH72*INDEX(属性耐性マスタ!$B$5:$G$10,$AF72,2),4))</f>
        <v>2.4899999999999999E-2</v>
      </c>
      <c r="V72" s="9">
        <f>IF($H72&lt;&gt;"OK","",ROUND($G72*使い方と設定!$B$8*$AK72*$AH72*INDEX(属性耐性マスタ!$B$5:$G$10,$AF72,3),4))</f>
        <v>8.3000000000000001E-3</v>
      </c>
      <c r="W72" s="9">
        <f>IF($H72&lt;&gt;"OK","",ROUND($G72*使い方と設定!$B$8*$AK72*$AH72*INDEX(属性耐性マスタ!$B$5:$G$10,$AF72,4),4))</f>
        <v>8.3000000000000001E-3</v>
      </c>
      <c r="X72" s="9">
        <f>IF($H72&lt;&gt;"OK","",ROUND($G72*使い方と設定!$B$8*$AK72*$AH72*INDEX(属性耐性マスタ!$B$5:$G$10,$AF72,5),4))</f>
        <v>6.1999999999999998E-3</v>
      </c>
      <c r="Y72" s="9">
        <f>IF($H72&lt;&gt;"OK","",ROUND($G72*使い方と設定!$B$8*$AK72*$AH72*INDEX(属性耐性マスタ!$B$5:$G$10,$AF72,6),4))</f>
        <v>6.1999999999999998E-3</v>
      </c>
      <c r="Z72" s="9">
        <f>IF($H72&lt;&gt;"OK","",ROUND($G72*使い方と設定!$B$9*$AK72*$AI72,4))</f>
        <v>0.87890000000000001</v>
      </c>
      <c r="AA72" s="10">
        <v>0.25</v>
      </c>
      <c r="AB72" s="11">
        <f t="shared" si="4"/>
        <v>2.7753999999999999</v>
      </c>
      <c r="AC72" s="11">
        <f t="shared" si="5"/>
        <v>0.1782</v>
      </c>
      <c r="AD72" s="7" t="str">
        <f>IF($H72&lt;&gt;"OK","",INDEX(個性タイプマスタ!$P$5:$P$54,$AE72))</f>
        <v>MPと魔防寄りの支援型</v>
      </c>
      <c r="AE72">
        <f>IFERROR(MATCH(E72,個性タイプマスタ!$A$5:$A$54,0),0)</f>
        <v>10</v>
      </c>
      <c r="AF72">
        <f>IFERROR(MATCH(F72,属性耐性マスタ!$A$5:$A$10,0),0)</f>
        <v>1</v>
      </c>
      <c r="AG72">
        <f>IF(AE72=0,1,INDEX(個性タイプマスタ!$AB$5:$AB$54,AE72))</f>
        <v>10.798666666666666</v>
      </c>
      <c r="AH72">
        <f>IF(AE72=0,1,INDEX(個性タイプマスタ!$AC$5:$AC$54,AE72))</f>
        <v>1.1200000000000001</v>
      </c>
      <c r="AI72">
        <f>IF(AE72=0,0,INDEX(個性タイプマスタ!$AD$5:$AD$54,AE72))</f>
        <v>0.95</v>
      </c>
      <c r="AJ72" s="16">
        <v>11</v>
      </c>
      <c r="AK72" s="17">
        <f>IF(OR(AJ72="",AJ72&lt;1),"",POWER(使い方と設定!$E$6,AJ72-1))</f>
        <v>1.4802442849183446</v>
      </c>
    </row>
    <row r="73" spans="1:37">
      <c r="A73" t="str">
        <f>+[2]称号!A68</f>
        <v>TITLE_067</v>
      </c>
      <c r="B73" t="str">
        <f>+[2]称号!B68</f>
        <v>火精の眷属</v>
      </c>
      <c r="C73" t="s">
        <v>258</v>
      </c>
      <c r="D73" t="s">
        <v>259</v>
      </c>
      <c r="E73" s="2" t="str">
        <f>[1]モンスター計算!AM71</f>
        <v>魔法・速攻</v>
      </c>
      <c r="F73" s="2" t="str">
        <f>[1]モンスター計算!C71</f>
        <v>火</v>
      </c>
      <c r="G73" s="8">
        <v>1</v>
      </c>
      <c r="H73" t="str">
        <f t="shared" si="3"/>
        <v>OK</v>
      </c>
      <c r="I73" s="9">
        <f>IF($H73&lt;&gt;"OK","",ROUND($G73*使い方と設定!$B$7*$AK73*INDEX(個性タイプマスタ!$Q$5:$AA$54,$AE73,1)/$AG73,4))</f>
        <v>0.23949999999999999</v>
      </c>
      <c r="J73" s="9">
        <f>IF($H73&lt;&gt;"OK","",ROUND($G73*使い方と設定!$B$7*$AK73*INDEX(個性タイプマスタ!$Q$5:$AA$54,$AE73,2)/$AG73,4))</f>
        <v>0.26340000000000002</v>
      </c>
      <c r="K73" s="9">
        <f>IF($H73&lt;&gt;"OK","",ROUND($G73*使い方と設定!$B$7*$AK73*INDEX(個性タイプマスタ!$Q$5:$AA$54,$AE73,3)/$AG73,4))</f>
        <v>5.4399999999999997E-2</v>
      </c>
      <c r="L73" s="9">
        <f>IF($H73&lt;&gt;"OK","",ROUND($G73*使い方と設定!$B$7*$AK73*INDEX(個性タイプマスタ!$Q$5:$AA$54,$AE73,4)/$AG73,4))</f>
        <v>0.54430000000000001</v>
      </c>
      <c r="M73" s="9">
        <f>IF($H73&lt;&gt;"OK","",ROUND($G73*使い方と設定!$B$7*$AK73*INDEX(個性タイプマスタ!$Q$5:$AA$54,$AE73,5)/$AG73,4))</f>
        <v>0.17580000000000001</v>
      </c>
      <c r="N73" s="9">
        <f>IF($H73&lt;&gt;"OK","",ROUND($G73*使い方と設定!$B$7*$AK73*INDEX(個性タイプマスタ!$Q$5:$AA$54,$AE73,6)/$AG73,4))</f>
        <v>0.2036</v>
      </c>
      <c r="O73" s="9">
        <f>IF($H73&lt;&gt;"OK","",ROUND($G73*使い方と設定!$B$7*$AK73*INDEX(個性タイプマスタ!$Q$5:$AA$54,$AE73,7)/$AG73,4))</f>
        <v>0.1676</v>
      </c>
      <c r="P73" s="9">
        <f>IF($H73&lt;&gt;"OK","",ROUND($G73*使い方と設定!$B$7*$AK73*INDEX(個性タイプマスタ!$Q$5:$AA$54,$AE73,8)/$AG73,4))</f>
        <v>0.1462</v>
      </c>
      <c r="Q73" s="9">
        <f>IF($H73&lt;&gt;"OK","",ROUND($G73*使い方と設定!$B$7*$AK73*INDEX(個性タイプマスタ!$Q$5:$AA$54,$AE73,9)/$AG73,4))</f>
        <v>0.11020000000000001</v>
      </c>
      <c r="R73" s="9">
        <f>IF($H73&lt;&gt;"OK","",ROUND($G73*使い方と設定!$B$7*$AK73*INDEX(個性タイプマスタ!$Q$5:$AA$54,$AE73,10)/$AG73,4))</f>
        <v>0.23949999999999999</v>
      </c>
      <c r="S73" s="9">
        <f>IF($H73&lt;&gt;"OK","",ROUND($G73*使い方と設定!$B$7*$AK73*INDEX(個性タイプマスタ!$Q$5:$AA$54,$AE73,11)/$AG73,4))</f>
        <v>0.1646</v>
      </c>
      <c r="T73" s="9">
        <f>IF($H73&lt;&gt;"OK","",ROUND($G73*使い方と設定!$B$8*$AK73*$AH73*INDEX(属性耐性マスタ!$B$5:$G$10,$AF73,1),4))</f>
        <v>8.1299999999999997E-2</v>
      </c>
      <c r="U73" s="9">
        <f>IF($H73&lt;&gt;"OK","",ROUND($G73*使い方と設定!$B$8*$AK73*$AH73*INDEX(属性耐性マスタ!$B$5:$G$10,$AF73,2),4))</f>
        <v>1.6299999999999999E-2</v>
      </c>
      <c r="V73" s="9">
        <f>IF($H73&lt;&gt;"OK","",ROUND($G73*使い方と設定!$B$8*$AK73*$AH73*INDEX(属性耐性マスタ!$B$5:$G$10,$AF73,3),4))</f>
        <v>5.4000000000000003E-3</v>
      </c>
      <c r="W73" s="9">
        <f>IF($H73&lt;&gt;"OK","",ROUND($G73*使い方と設定!$B$8*$AK73*$AH73*INDEX(属性耐性マスタ!$B$5:$G$10,$AF73,4),4))</f>
        <v>5.4000000000000003E-3</v>
      </c>
      <c r="X73" s="9">
        <f>IF($H73&lt;&gt;"OK","",ROUND($G73*使い方と設定!$B$8*$AK73*$AH73*INDEX(属性耐性マスタ!$B$5:$G$10,$AF73,5),4))</f>
        <v>4.1000000000000003E-3</v>
      </c>
      <c r="Y73" s="9">
        <f>IF($H73&lt;&gt;"OK","",ROUND($G73*使い方と設定!$B$8*$AK73*$AH73*INDEX(属性耐性マスタ!$B$5:$G$10,$AF73,6),4))</f>
        <v>4.1000000000000003E-3</v>
      </c>
      <c r="Z73" s="9">
        <f>IF($H73&lt;&gt;"OK","",ROUND($G73*使い方と設定!$B$9*$AK73*$AI73,4))</f>
        <v>0.75690000000000002</v>
      </c>
      <c r="AA73" s="10">
        <v>1</v>
      </c>
      <c r="AB73" s="11">
        <f t="shared" si="4"/>
        <v>2.3090999999999999</v>
      </c>
      <c r="AC73" s="11">
        <f t="shared" si="5"/>
        <v>0.1166</v>
      </c>
      <c r="AD73" s="7" t="str">
        <f>IF($H73&lt;&gt;"OK","",INDEX(個性タイプマスタ!$P$5:$P$54,$AE73))</f>
        <v>高速の魔法型。攻速と射程が優秀</v>
      </c>
      <c r="AE73">
        <f>IFERROR(MATCH(E73,個性タイプマスタ!$A$5:$A$54,0),0)</f>
        <v>3</v>
      </c>
      <c r="AF73">
        <f>IFERROR(MATCH(F73,属性耐性マスタ!$A$5:$A$10,0),0)</f>
        <v>1</v>
      </c>
      <c r="AG73">
        <f>IF(AE73=0,1,INDEX(個性タイプマスタ!$AB$5:$AB$54,AE73))</f>
        <v>10.606166666666667</v>
      </c>
      <c r="AH73">
        <f>IF(AE73=0,1,INDEX(個性タイプマスタ!$AC$5:$AC$54,AE73))</f>
        <v>0.88</v>
      </c>
      <c r="AI73">
        <f>IF(AE73=0,0,INDEX(個性タイプマスタ!$AD$5:$AD$54,AE73))</f>
        <v>0.98333333333333328</v>
      </c>
      <c r="AJ73" s="16">
        <v>12</v>
      </c>
      <c r="AK73" s="17">
        <f>IF(OR(AJ73="",AJ73&lt;1),"",POWER(使い方と設定!$E$6,AJ73-1))</f>
        <v>1.5394540563150783</v>
      </c>
    </row>
    <row r="74" spans="1:37">
      <c r="A74" t="str">
        <f>+[2]称号!A69</f>
        <v>TITLE_068</v>
      </c>
      <c r="B74" t="str">
        <f>+[2]称号!B69</f>
        <v>紅天の暴帝</v>
      </c>
      <c r="C74" t="s">
        <v>260</v>
      </c>
      <c r="D74" t="s">
        <v>261</v>
      </c>
      <c r="E74" s="2" t="str">
        <f>[1]モンスター計算!AM72</f>
        <v>魔法・狙撃</v>
      </c>
      <c r="F74" s="2" t="str">
        <f>[1]モンスター計算!C72</f>
        <v>火</v>
      </c>
      <c r="G74" s="8">
        <v>1.05</v>
      </c>
      <c r="H74" t="str">
        <f t="shared" si="3"/>
        <v>OK</v>
      </c>
      <c r="I74" s="9">
        <f>IF($H74&lt;&gt;"OK","",ROUND($G74*使い方と設定!$B$7*$AK74*INDEX(個性タイプマスタ!$Q$5:$AA$54,$AE74,1)/$AG74,4))</f>
        <v>0.16189999999999999</v>
      </c>
      <c r="J74" s="9">
        <f>IF($H74&lt;&gt;"OK","",ROUND($G74*使い方と設定!$B$7*$AK74*INDEX(個性タイプマスタ!$Q$5:$AA$54,$AE74,2)/$AG74,4))</f>
        <v>0.26579999999999998</v>
      </c>
      <c r="K74" s="9">
        <f>IF($H74&lt;&gt;"OK","",ROUND($G74*使い方と設定!$B$7*$AK74*INDEX(個性タイプマスタ!$Q$5:$AA$54,$AE74,3)/$AG74,4))</f>
        <v>2.86E-2</v>
      </c>
      <c r="L74" s="9">
        <f>IF($H74&lt;&gt;"OK","",ROUND($G74*使い方と設定!$B$7*$AK74*INDEX(個性タイプマスタ!$Q$5:$AA$54,$AE74,4)/$AG74,4))</f>
        <v>0.54910000000000003</v>
      </c>
      <c r="M74" s="9">
        <f>IF($H74&lt;&gt;"OK","",ROUND($G74*使い方と設定!$B$7*$AK74*INDEX(個性タイプマスタ!$Q$5:$AA$54,$AE74,5)/$AG74,4))</f>
        <v>0.12139999999999999</v>
      </c>
      <c r="N74" s="9">
        <f>IF($H74&lt;&gt;"OK","",ROUND($G74*使い方と設定!$B$7*$AK74*INDEX(個性タイプマスタ!$Q$5:$AA$54,$AE74,6)/$AG74,4))</f>
        <v>0.14940000000000001</v>
      </c>
      <c r="O74" s="9">
        <f>IF($H74&lt;&gt;"OK","",ROUND($G74*使い方と設定!$B$7*$AK74*INDEX(個性タイプマスタ!$Q$5:$AA$54,$AE74,7)/$AG74,4))</f>
        <v>0.43490000000000001</v>
      </c>
      <c r="P74" s="9">
        <f>IF($H74&lt;&gt;"OK","",ROUND($G74*使い方と設定!$B$7*$AK74*INDEX(個性タイプマスタ!$Q$5:$AA$54,$AE74,8)/$AG74,4))</f>
        <v>0.17610000000000001</v>
      </c>
      <c r="Q74" s="9">
        <f>IF($H74&lt;&gt;"OK","",ROUND($G74*使い方と設定!$B$7*$AK74*INDEX(個性タイプマスタ!$Q$5:$AA$54,$AE74,9)/$AG74,4))</f>
        <v>9.9099999999999994E-2</v>
      </c>
      <c r="R74" s="9">
        <f>IF($H74&lt;&gt;"OK","",ROUND($G74*使い方と設定!$B$7*$AK74*INDEX(個性タイプマスタ!$Q$5:$AA$54,$AE74,10)/$AG74,4))</f>
        <v>0.16470000000000001</v>
      </c>
      <c r="S74" s="9">
        <f>IF($H74&lt;&gt;"OK","",ROUND($G74*使い方と設定!$B$7*$AK74*INDEX(個性タイプマスタ!$Q$5:$AA$54,$AE74,11)/$AG74,4))</f>
        <v>0.2737</v>
      </c>
      <c r="T74" s="9">
        <f>IF($H74&lt;&gt;"OK","",ROUND($G74*使い方と設定!$B$8*$AK74*$AH74*INDEX(属性耐性マスタ!$B$5:$G$10,$AF74,1),4))</f>
        <v>7.3700000000000002E-2</v>
      </c>
      <c r="U74" s="9">
        <f>IF($H74&lt;&gt;"OK","",ROUND($G74*使い方と設定!$B$8*$AK74*$AH74*INDEX(属性耐性マスタ!$B$5:$G$10,$AF74,2),4))</f>
        <v>1.47E-2</v>
      </c>
      <c r="V74" s="9">
        <f>IF($H74&lt;&gt;"OK","",ROUND($G74*使い方と設定!$B$8*$AK74*$AH74*INDEX(属性耐性マスタ!$B$5:$G$10,$AF74,3),4))</f>
        <v>4.8999999999999998E-3</v>
      </c>
      <c r="W74" s="9">
        <f>IF($H74&lt;&gt;"OK","",ROUND($G74*使い方と設定!$B$8*$AK74*$AH74*INDEX(属性耐性マスタ!$B$5:$G$10,$AF74,4),4))</f>
        <v>4.8999999999999998E-3</v>
      </c>
      <c r="X74" s="9">
        <f>IF($H74&lt;&gt;"OK","",ROUND($G74*使い方と設定!$B$8*$AK74*$AH74*INDEX(属性耐性マスタ!$B$5:$G$10,$AF74,5),4))</f>
        <v>3.7000000000000002E-3</v>
      </c>
      <c r="Y74" s="9">
        <f>IF($H74&lt;&gt;"OK","",ROUND($G74*使い方と設定!$B$8*$AK74*$AH74*INDEX(属性耐性マスタ!$B$5:$G$10,$AF74,6),4))</f>
        <v>3.7000000000000002E-3</v>
      </c>
      <c r="Z74" s="9">
        <f>IF($H74&lt;&gt;"OK","",ROUND($G74*使い方と設定!$B$9*$AK74*$AI74,4))</f>
        <v>0.7611</v>
      </c>
      <c r="AA74" s="10">
        <v>1</v>
      </c>
      <c r="AB74" s="11">
        <f t="shared" si="4"/>
        <v>2.4247000000000001</v>
      </c>
      <c r="AC74" s="11">
        <f t="shared" si="5"/>
        <v>0.1056</v>
      </c>
      <c r="AD74" s="7" t="str">
        <f>IF($H74&lt;&gt;"OK","",INDEX(個性タイプマスタ!$P$5:$P$54,$AE74))</f>
        <v>長射程・高会心。接近戦に弱い</v>
      </c>
      <c r="AE74">
        <f>IFERROR(MATCH(E74,個性タイプマスタ!$A$5:$A$54,0),0)</f>
        <v>16</v>
      </c>
      <c r="AF74">
        <f>IFERROR(MATCH(F74,属性耐性マスタ!$A$5:$A$10,0),0)</f>
        <v>1</v>
      </c>
      <c r="AG74">
        <f>IF(AE74=0,1,INDEX(個性タイプマスタ!$AB$5:$AB$54,AE74))</f>
        <v>11.038166666666667</v>
      </c>
      <c r="AH74">
        <f>IF(AE74=0,1,INDEX(個性タイプマスタ!$AC$5:$AC$54,AE74))</f>
        <v>0.76</v>
      </c>
      <c r="AI74">
        <f>IF(AE74=0,0,INDEX(個性タイプマスタ!$AD$5:$AD$54,AE74))</f>
        <v>0.94166666666666665</v>
      </c>
      <c r="AJ74" s="16">
        <v>12</v>
      </c>
      <c r="AK74" s="17">
        <f>IF(OR(AJ74="",AJ74&lt;1),"",POWER(使い方と設定!$E$6,AJ74-1))</f>
        <v>1.5394540563150783</v>
      </c>
    </row>
    <row r="75" spans="1:37">
      <c r="A75" t="str">
        <f>+[2]称号!A70</f>
        <v>TITLE_069</v>
      </c>
      <c r="B75" t="str">
        <f>+[2]称号!B70</f>
        <v>古紅竜の伝説</v>
      </c>
      <c r="C75" t="s">
        <v>262</v>
      </c>
      <c r="D75" t="s">
        <v>263</v>
      </c>
      <c r="E75" s="2" t="str">
        <f>[1]モンスター計算!AM73</f>
        <v>魔法・会心一撃</v>
      </c>
      <c r="F75" s="2" t="str">
        <f>[1]モンスター計算!C73</f>
        <v>火</v>
      </c>
      <c r="G75" s="8">
        <v>1.1000000000000001</v>
      </c>
      <c r="H75" t="str">
        <f t="shared" si="3"/>
        <v>OK</v>
      </c>
      <c r="I75" s="9">
        <f>IF($H75&lt;&gt;"OK","",ROUND($G75*使い方と設定!$B$7*$AK75*INDEX(個性タイプマスタ!$Q$5:$AA$54,$AE75,1)/$AG75,4))</f>
        <v>0.20699999999999999</v>
      </c>
      <c r="J75" s="9">
        <f>IF($H75&lt;&gt;"OK","",ROUND($G75*使い方と設定!$B$7*$AK75*INDEX(個性タイプマスタ!$Q$5:$AA$54,$AE75,2)/$AG75,4))</f>
        <v>0.3407</v>
      </c>
      <c r="K75" s="9">
        <f>IF($H75&lt;&gt;"OK","",ROUND($G75*使い方と設定!$B$7*$AK75*INDEX(個性タイプマスタ!$Q$5:$AA$54,$AE75,3)/$AG75,4))</f>
        <v>3.44E-2</v>
      </c>
      <c r="L75" s="9">
        <f>IF($H75&lt;&gt;"OK","",ROUND($G75*使い方と設定!$B$7*$AK75*INDEX(個性タイプマスタ!$Q$5:$AA$54,$AE75,4)/$AG75,4))</f>
        <v>0.5736</v>
      </c>
      <c r="M75" s="9">
        <f>IF($H75&lt;&gt;"OK","",ROUND($G75*使い方と設定!$B$7*$AK75*INDEX(個性タイプマスタ!$Q$5:$AA$54,$AE75,5)/$AG75,4))</f>
        <v>0.158</v>
      </c>
      <c r="N75" s="9">
        <f>IF($H75&lt;&gt;"OK","",ROUND($G75*使い方と設定!$B$7*$AK75*INDEX(個性タイプマスタ!$Q$5:$AA$54,$AE75,6)/$AG75,4))</f>
        <v>0.16969999999999999</v>
      </c>
      <c r="O75" s="9">
        <f>IF($H75&lt;&gt;"OK","",ROUND($G75*使い方と設定!$B$7*$AK75*INDEX(個性タイプマスタ!$Q$5:$AA$54,$AE75,7)/$AG75,4))</f>
        <v>0.3029</v>
      </c>
      <c r="P75" s="9">
        <f>IF($H75&lt;&gt;"OK","",ROUND($G75*使い方と設定!$B$7*$AK75*INDEX(個性タイプマスタ!$Q$5:$AA$54,$AE75,8)/$AG75,4))</f>
        <v>0.25359999999999999</v>
      </c>
      <c r="Q75" s="9">
        <f>IF($H75&lt;&gt;"OK","",ROUND($G75*使い方と設定!$B$7*$AK75*INDEX(個性タイプマスタ!$Q$5:$AA$54,$AE75,9)/$AG75,4))</f>
        <v>0.11609999999999999</v>
      </c>
      <c r="R75" s="9">
        <f>IF($H75&lt;&gt;"OK","",ROUND($G75*使い方と設定!$B$7*$AK75*INDEX(個性タイプマスタ!$Q$5:$AA$54,$AE75,10)/$AG75,4))</f>
        <v>0.156</v>
      </c>
      <c r="S75" s="9">
        <f>IF($H75&lt;&gt;"OK","",ROUND($G75*使い方と設定!$B$7*$AK75*INDEX(個性タイプマスタ!$Q$5:$AA$54,$AE75,11)/$AG75,4))</f>
        <v>0.2281</v>
      </c>
      <c r="T75" s="9">
        <f>IF($H75&lt;&gt;"OK","",ROUND($G75*使い方と設定!$B$8*$AK75*$AH75*INDEX(属性耐性マスタ!$B$5:$G$10,$AF75,1),4))</f>
        <v>7.9299999999999995E-2</v>
      </c>
      <c r="U75" s="9">
        <f>IF($H75&lt;&gt;"OK","",ROUND($G75*使い方と設定!$B$8*$AK75*$AH75*INDEX(属性耐性マスタ!$B$5:$G$10,$AF75,2),4))</f>
        <v>1.5900000000000001E-2</v>
      </c>
      <c r="V75" s="9">
        <f>IF($H75&lt;&gt;"OK","",ROUND($G75*使い方と設定!$B$8*$AK75*$AH75*INDEX(属性耐性マスタ!$B$5:$G$10,$AF75,3),4))</f>
        <v>5.3E-3</v>
      </c>
      <c r="W75" s="9">
        <f>IF($H75&lt;&gt;"OK","",ROUND($G75*使い方と設定!$B$8*$AK75*$AH75*INDEX(属性耐性マスタ!$B$5:$G$10,$AF75,4),4))</f>
        <v>5.3E-3</v>
      </c>
      <c r="X75" s="9">
        <f>IF($H75&lt;&gt;"OK","",ROUND($G75*使い方と設定!$B$8*$AK75*$AH75*INDEX(属性耐性マスタ!$B$5:$G$10,$AF75,5),4))</f>
        <v>4.0000000000000001E-3</v>
      </c>
      <c r="Y75" s="9">
        <f>IF($H75&lt;&gt;"OK","",ROUND($G75*使い方と設定!$B$8*$AK75*$AH75*INDEX(属性耐性マスタ!$B$5:$G$10,$AF75,6),4))</f>
        <v>4.0000000000000001E-3</v>
      </c>
      <c r="Z75" s="9">
        <f>IF($H75&lt;&gt;"OK","",ROUND($G75*使い方と設定!$B$9*$AK75*$AI75,4))</f>
        <v>0.83260000000000001</v>
      </c>
      <c r="AA75" s="10">
        <v>0.9</v>
      </c>
      <c r="AB75" s="11">
        <f t="shared" si="4"/>
        <v>2.5400999999999998</v>
      </c>
      <c r="AC75" s="11">
        <f t="shared" si="5"/>
        <v>0.1138</v>
      </c>
      <c r="AD75" s="7" t="str">
        <f>IF($H75&lt;&gt;"OK","",INDEX(個性タイプマスタ!$P$5:$P$54,$AE75))</f>
        <v>会心倍率が極めて高い一撃型</v>
      </c>
      <c r="AE75">
        <f>IFERROR(MATCH(E75,個性タイプマスタ!$A$5:$A$54,0),0)</f>
        <v>23</v>
      </c>
      <c r="AF75">
        <f>IFERROR(MATCH(F75,属性耐性マスタ!$A$5:$A$10,0),0)</f>
        <v>1</v>
      </c>
      <c r="AG75">
        <f>IF(AE75=0,1,INDEX(個性タイプマスタ!$AB$5:$AB$54,AE75))</f>
        <v>11.07</v>
      </c>
      <c r="AH75">
        <f>IF(AE75=0,1,INDEX(個性タイプマスタ!$AC$5:$AC$54,AE75))</f>
        <v>0.78</v>
      </c>
      <c r="AI75">
        <f>IF(AE75=0,0,INDEX(個性タイプマスタ!$AD$5:$AD$54,AE75))</f>
        <v>0.98333333333333328</v>
      </c>
      <c r="AJ75" s="16">
        <v>12</v>
      </c>
      <c r="AK75" s="17">
        <f>IF(OR(AJ75="",AJ75&lt;1),"",POWER(使い方と設定!$E$6,AJ75-1))</f>
        <v>1.5394540563150783</v>
      </c>
    </row>
    <row r="76" spans="1:37">
      <c r="A76" t="str">
        <f>+[2]称号!A71</f>
        <v>TITLE_070</v>
      </c>
      <c r="B76" t="str">
        <f>+[2]称号!B71</f>
        <v>焔王の化身</v>
      </c>
      <c r="C76" t="s">
        <v>264</v>
      </c>
      <c r="D76" t="s">
        <v>265</v>
      </c>
      <c r="E76" s="2" t="str">
        <f>[1]モンスター計算!AM74</f>
        <v>近接・槍盾</v>
      </c>
      <c r="F76" s="2" t="str">
        <f>[1]モンスター計算!C74</f>
        <v>火</v>
      </c>
      <c r="G76" s="8">
        <v>1.1499999999999999</v>
      </c>
      <c r="H76" t="str">
        <f t="shared" si="3"/>
        <v>OK</v>
      </c>
      <c r="I76" s="9">
        <f>IF($H76&lt;&gt;"OK","",ROUND($G76*使い方と設定!$B$7*$AK76*INDEX(個性タイプマスタ!$Q$5:$AA$54,$AE76,1)/$AG76,4))</f>
        <v>0.43</v>
      </c>
      <c r="J76" s="9">
        <f>IF($H76&lt;&gt;"OK","",ROUND($G76*使い方と設定!$B$7*$AK76*INDEX(個性タイプマスタ!$Q$5:$AA$54,$AE76,2)/$AG76,4))</f>
        <v>0.1196</v>
      </c>
      <c r="K76" s="9">
        <f>IF($H76&lt;&gt;"OK","",ROUND($G76*使い方と設定!$B$7*$AK76*INDEX(個性タイプマスタ!$Q$5:$AA$54,$AE76,3)/$AG76,4))</f>
        <v>0.6472</v>
      </c>
      <c r="L76" s="9">
        <f>IF($H76&lt;&gt;"OK","",ROUND($G76*使い方と設定!$B$7*$AK76*INDEX(個性タイプマスタ!$Q$5:$AA$54,$AE76,4)/$AG76,4))</f>
        <v>5.0500000000000003E-2</v>
      </c>
      <c r="M76" s="9">
        <f>IF($H76&lt;&gt;"OK","",ROUND($G76*使い方と設定!$B$7*$AK76*INDEX(個性タイプマスタ!$Q$5:$AA$54,$AE76,5)/$AG76,4))</f>
        <v>0.37190000000000001</v>
      </c>
      <c r="N76" s="9">
        <f>IF($H76&lt;&gt;"OK","",ROUND($G76*使い方と設定!$B$7*$AK76*INDEX(個性タイプマスタ!$Q$5:$AA$54,$AE76,6)/$AG76,4))</f>
        <v>0.20680000000000001</v>
      </c>
      <c r="O76" s="9">
        <f>IF($H76&lt;&gt;"OK","",ROUND($G76*使い方と設定!$B$7*$AK76*INDEX(個性タイプマスタ!$Q$5:$AA$54,$AE76,7)/$AG76,4))</f>
        <v>9.9699999999999997E-2</v>
      </c>
      <c r="P76" s="9">
        <f>IF($H76&lt;&gt;"OK","",ROUND($G76*使い方と設定!$B$7*$AK76*INDEX(個性タイプマスタ!$Q$5:$AA$54,$AE76,8)/$AG76,4))</f>
        <v>0.16039999999999999</v>
      </c>
      <c r="Q76" s="9">
        <f>IF($H76&lt;&gt;"OK","",ROUND($G76*使い方と設定!$B$7*$AK76*INDEX(個性タイプマスタ!$Q$5:$AA$54,$AE76,9)/$AG76,4))</f>
        <v>9.9699999999999997E-2</v>
      </c>
      <c r="R76" s="9">
        <f>IF($H76&lt;&gt;"OK","",ROUND($G76*使い方と設定!$B$7*$AK76*INDEX(個性タイプマスタ!$Q$5:$AA$54,$AE76,10)/$AG76,4))</f>
        <v>0.189</v>
      </c>
      <c r="S76" s="9">
        <f>IF($H76&lt;&gt;"OK","",ROUND($G76*使い方と設定!$B$7*$AK76*INDEX(個性タイプマスタ!$Q$5:$AA$54,$AE76,11)/$AG76,4))</f>
        <v>0.28089999999999998</v>
      </c>
      <c r="T76" s="9">
        <f>IF($H76&lt;&gt;"OK","",ROUND($G76*使い方と設定!$B$8*$AK76*$AH76*INDEX(属性耐性マスタ!$B$5:$G$10,$AF76,1),4))</f>
        <v>0.14449999999999999</v>
      </c>
      <c r="U76" s="9">
        <f>IF($H76&lt;&gt;"OK","",ROUND($G76*使い方と設定!$B$8*$AK76*$AH76*INDEX(属性耐性マスタ!$B$5:$G$10,$AF76,2),4))</f>
        <v>2.8899999999999999E-2</v>
      </c>
      <c r="V76" s="9">
        <f>IF($H76&lt;&gt;"OK","",ROUND($G76*使い方と設定!$B$8*$AK76*$AH76*INDEX(属性耐性マスタ!$B$5:$G$10,$AF76,3),4))</f>
        <v>9.5999999999999992E-3</v>
      </c>
      <c r="W76" s="9">
        <f>IF($H76&lt;&gt;"OK","",ROUND($G76*使い方と設定!$B$8*$AK76*$AH76*INDEX(属性耐性マスタ!$B$5:$G$10,$AF76,4),4))</f>
        <v>9.5999999999999992E-3</v>
      </c>
      <c r="X76" s="9">
        <f>IF($H76&lt;&gt;"OK","",ROUND($G76*使い方と設定!$B$8*$AK76*$AH76*INDEX(属性耐性マスタ!$B$5:$G$10,$AF76,5),4))</f>
        <v>7.1999999999999998E-3</v>
      </c>
      <c r="Y76" s="9">
        <f>IF($H76&lt;&gt;"OK","",ROUND($G76*使い方と設定!$B$8*$AK76*$AH76*INDEX(属性耐性マスタ!$B$5:$G$10,$AF76,6),4))</f>
        <v>7.1999999999999998E-3</v>
      </c>
      <c r="Z76" s="9">
        <f>IF($H76&lt;&gt;"OK","",ROUND($G76*使い方と設定!$B$9*$AK76*$AI76,4))</f>
        <v>0.7893</v>
      </c>
      <c r="AA76" s="10">
        <v>0.55000000000000004</v>
      </c>
      <c r="AB76" s="11">
        <f t="shared" si="4"/>
        <v>2.6556999999999999</v>
      </c>
      <c r="AC76" s="11">
        <f t="shared" si="5"/>
        <v>0.20699999999999999</v>
      </c>
      <c r="AD76" s="7" t="str">
        <f>IF($H76&lt;&gt;"OK","",INDEX(個性タイプマスタ!$P$5:$P$54,$AE76))</f>
        <v>長い射程と物防を両立</v>
      </c>
      <c r="AE76">
        <f>IFERROR(MATCH(E76,個性タイプマスタ!$A$5:$A$54,0),0)</f>
        <v>49</v>
      </c>
      <c r="AF76">
        <f>IFERROR(MATCH(F76,属性耐性マスタ!$A$5:$A$10,0),0)</f>
        <v>1</v>
      </c>
      <c r="AG76">
        <f>IF(AE76=0,1,INDEX(個性タイプマスタ!$AB$5:$AB$54,AE76))</f>
        <v>10.258166666666668</v>
      </c>
      <c r="AH76">
        <f>IF(AE76=0,1,INDEX(個性タイプマスタ!$AC$5:$AC$54,AE76))</f>
        <v>1.3599999999999999</v>
      </c>
      <c r="AI76">
        <f>IF(AE76=0,0,INDEX(個性タイプマスタ!$AD$5:$AD$54,AE76))</f>
        <v>0.89166666666666661</v>
      </c>
      <c r="AJ76" s="16">
        <v>12</v>
      </c>
      <c r="AK76" s="17">
        <f>IF(OR(AJ76="",AJ76&lt;1),"",POWER(使い方と設定!$E$6,AJ76-1))</f>
        <v>1.5394540563150783</v>
      </c>
    </row>
    <row r="77" spans="1:37">
      <c r="A77" t="str">
        <f>+[2]称号!A72</f>
        <v>TITLE_071</v>
      </c>
      <c r="B77" t="str">
        <f>+[2]称号!B72</f>
        <v>地獄鉄の竜</v>
      </c>
      <c r="C77" t="s">
        <v>267</v>
      </c>
      <c r="D77" t="s">
        <v>268</v>
      </c>
      <c r="E77" s="2" t="str">
        <f>[1]モンスター計算!AM75</f>
        <v>近接・守護</v>
      </c>
      <c r="F77" s="2" t="str">
        <f>[1]モンスター計算!C75</f>
        <v>火</v>
      </c>
      <c r="G77" s="8">
        <v>1.2</v>
      </c>
      <c r="H77" t="str">
        <f t="shared" si="3"/>
        <v>OK</v>
      </c>
      <c r="I77" s="9">
        <f>IF($H77&lt;&gt;"OK","",ROUND($G77*使い方と設定!$B$7*$AK77*INDEX(個性タイプマスタ!$Q$5:$AA$54,$AE77,1)/$AG77,4))</f>
        <v>0.46910000000000002</v>
      </c>
      <c r="J77" s="9">
        <f>IF($H77&lt;&gt;"OK","",ROUND($G77*使い方と設定!$B$7*$AK77*INDEX(個性タイプマスタ!$Q$5:$AA$54,$AE77,2)/$AG77,4))</f>
        <v>0.1246</v>
      </c>
      <c r="K77" s="9">
        <f>IF($H77&lt;&gt;"OK","",ROUND($G77*使い方と設定!$B$7*$AK77*INDEX(個性タイプマスタ!$Q$5:$AA$54,$AE77,3)/$AG77,4))</f>
        <v>0.66639999999999999</v>
      </c>
      <c r="L77" s="9">
        <f>IF($H77&lt;&gt;"OK","",ROUND($G77*使い方と設定!$B$7*$AK77*INDEX(個性タイプマスタ!$Q$5:$AA$54,$AE77,4)/$AG77,4))</f>
        <v>6.6600000000000006E-2</v>
      </c>
      <c r="M77" s="9">
        <f>IF($H77&lt;&gt;"OK","",ROUND($G77*使い方と設定!$B$7*$AK77*INDEX(個性タイプマスタ!$Q$5:$AA$54,$AE77,5)/$AG77,4))</f>
        <v>0.35120000000000001</v>
      </c>
      <c r="N77" s="9">
        <f>IF($H77&lt;&gt;"OK","",ROUND($G77*使い方と設定!$B$7*$AK77*INDEX(個性タイプマスタ!$Q$5:$AA$54,$AE77,6)/$AG77,4))</f>
        <v>0.31719999999999998</v>
      </c>
      <c r="O77" s="9">
        <f>IF($H77&lt;&gt;"OK","",ROUND($G77*使い方と設定!$B$7*$AK77*INDEX(個性タイプマスタ!$Q$5:$AA$54,$AE77,7)/$AG77,4))</f>
        <v>0.1173</v>
      </c>
      <c r="P77" s="9">
        <f>IF($H77&lt;&gt;"OK","",ROUND($G77*使い方と設定!$B$7*$AK77*INDEX(個性タイプマスタ!$Q$5:$AA$54,$AE77,8)/$AG77,4))</f>
        <v>0.16170000000000001</v>
      </c>
      <c r="Q77" s="9">
        <f>IF($H77&lt;&gt;"OK","",ROUND($G77*使い方と設定!$B$7*$AK77*INDEX(個性タイプマスタ!$Q$5:$AA$54,$AE77,9)/$AG77,4))</f>
        <v>0.129</v>
      </c>
      <c r="R77" s="9">
        <f>IF($H77&lt;&gt;"OK","",ROUND($G77*使い方と設定!$B$7*$AK77*INDEX(個性タイプマスタ!$Q$5:$AA$54,$AE77,10)/$AG77,4))</f>
        <v>0.21859999999999999</v>
      </c>
      <c r="S77" s="9">
        <f>IF($H77&lt;&gt;"OK","",ROUND($G77*使い方と設定!$B$7*$AK77*INDEX(個性タイプマスタ!$Q$5:$AA$54,$AE77,11)/$AG77,4))</f>
        <v>0.14929999999999999</v>
      </c>
      <c r="T77" s="9">
        <f>IF($H77&lt;&gt;"OK","",ROUND($G77*使い方と設定!$B$8*$AK77*$AH77*INDEX(属性耐性マスタ!$B$5:$G$10,$AF77,1),4))</f>
        <v>0.1552</v>
      </c>
      <c r="U77" s="9">
        <f>IF($H77&lt;&gt;"OK","",ROUND($G77*使い方と設定!$B$8*$AK77*$AH77*INDEX(属性耐性マスタ!$B$5:$G$10,$AF77,2),4))</f>
        <v>3.1E-2</v>
      </c>
      <c r="V77" s="9">
        <f>IF($H77&lt;&gt;"OK","",ROUND($G77*使い方と設定!$B$8*$AK77*$AH77*INDEX(属性耐性マスタ!$B$5:$G$10,$AF77,3),4))</f>
        <v>1.03E-2</v>
      </c>
      <c r="W77" s="9">
        <f>IF($H77&lt;&gt;"OK","",ROUND($G77*使い方と設定!$B$8*$AK77*$AH77*INDEX(属性耐性マスタ!$B$5:$G$10,$AF77,4),4))</f>
        <v>1.03E-2</v>
      </c>
      <c r="X77" s="9">
        <f>IF($H77&lt;&gt;"OK","",ROUND($G77*使い方と設定!$B$8*$AK77*$AH77*INDEX(属性耐性マスタ!$B$5:$G$10,$AF77,5),4))</f>
        <v>7.7999999999999996E-3</v>
      </c>
      <c r="Y77" s="9">
        <f>IF($H77&lt;&gt;"OK","",ROUND($G77*使い方と設定!$B$8*$AK77*$AH77*INDEX(属性耐性マスタ!$B$5:$G$10,$AF77,6),4))</f>
        <v>7.7999999999999996E-3</v>
      </c>
      <c r="Z77" s="9">
        <f>IF($H77&lt;&gt;"OK","",ROUND($G77*使い方と設定!$B$9*$AK77*$AI77,4))</f>
        <v>0.89290000000000003</v>
      </c>
      <c r="AA77" s="10">
        <v>0.5</v>
      </c>
      <c r="AB77" s="11">
        <f t="shared" si="4"/>
        <v>2.7709999999999999</v>
      </c>
      <c r="AC77" s="11">
        <f t="shared" si="5"/>
        <v>0.22239999999999999</v>
      </c>
      <c r="AD77" s="7" t="str">
        <f>IF($H77&lt;&gt;"OK","",INDEX(個性タイプマスタ!$P$5:$P$54,$AE77))</f>
        <v>高防御・低攻速の盾役</v>
      </c>
      <c r="AE77">
        <f>IFERROR(MATCH(E77,個性タイプマスタ!$A$5:$A$54,0),0)</f>
        <v>13</v>
      </c>
      <c r="AF77">
        <f>IFERROR(MATCH(F77,属性耐性マスタ!$A$5:$A$10,0),0)</f>
        <v>1</v>
      </c>
      <c r="AG77">
        <f>IF(AE77=0,1,INDEX(個性タイプマスタ!$AB$5:$AB$54,AE77))</f>
        <v>10.395666666666667</v>
      </c>
      <c r="AH77">
        <f>IF(AE77=0,1,INDEX(個性タイプマスタ!$AC$5:$AC$54,AE77))</f>
        <v>1.4</v>
      </c>
      <c r="AI77">
        <f>IF(AE77=0,0,INDEX(個性タイプマスタ!$AD$5:$AD$54,AE77))</f>
        <v>0.96666666666666667</v>
      </c>
      <c r="AJ77" s="16">
        <v>12</v>
      </c>
      <c r="AK77" s="17">
        <f>IF(OR(AJ77="",AJ77&lt;1),"",POWER(使い方と設定!$E$6,AJ77-1))</f>
        <v>1.5394540563150783</v>
      </c>
    </row>
    <row r="78" spans="1:37">
      <c r="A78" t="str">
        <f>+[2]称号!A73</f>
        <v>TITLE_072</v>
      </c>
      <c r="B78" t="str">
        <f>+[2]称号!B73</f>
        <v>粘界の大公</v>
      </c>
      <c r="C78" t="s">
        <v>269</v>
      </c>
      <c r="D78" t="s">
        <v>270</v>
      </c>
      <c r="E78" s="2" t="str">
        <f>[1]モンスター計算!AM76</f>
        <v>魔法・重装砲</v>
      </c>
      <c r="F78" s="2" t="str">
        <f>[1]モンスター計算!C76</f>
        <v>光</v>
      </c>
      <c r="G78" s="8">
        <v>1.25</v>
      </c>
      <c r="H78" t="str">
        <f t="shared" si="3"/>
        <v>OK</v>
      </c>
      <c r="I78" s="9">
        <f>IF($H78&lt;&gt;"OK","",ROUND($G78*使い方と設定!$B$7*$AK78*INDEX(個性タイプマスタ!$Q$5:$AA$54,$AE78,1)/$AG78,4))</f>
        <v>0.47320000000000001</v>
      </c>
      <c r="J78" s="9">
        <f>IF($H78&lt;&gt;"OK","",ROUND($G78*使い方と設定!$B$7*$AK78*INDEX(個性タイプマスタ!$Q$5:$AA$54,$AE78,2)/$AG78,4))</f>
        <v>0.37140000000000001</v>
      </c>
      <c r="K78" s="9">
        <f>IF($H78&lt;&gt;"OK","",ROUND($G78*使い方と設定!$B$7*$AK78*INDEX(個性タイプマスタ!$Q$5:$AA$54,$AE78,3)/$AG78,4))</f>
        <v>4.0599999999999997E-2</v>
      </c>
      <c r="L78" s="9">
        <f>IF($H78&lt;&gt;"OK","",ROUND($G78*使い方と設定!$B$7*$AK78*INDEX(個性タイプマスタ!$Q$5:$AA$54,$AE78,4)/$AG78,4))</f>
        <v>0.62529999999999997</v>
      </c>
      <c r="M78" s="9">
        <f>IF($H78&lt;&gt;"OK","",ROUND($G78*使い方と設定!$B$7*$AK78*INDEX(個性タイプマスタ!$Q$5:$AA$54,$AE78,5)/$AG78,4))</f>
        <v>0.34870000000000001</v>
      </c>
      <c r="N78" s="9">
        <f>IF($H78&lt;&gt;"OK","",ROUND($G78*使い方と設定!$B$7*$AK78*INDEX(個性タイプマスタ!$Q$5:$AA$54,$AE78,6)/$AG78,4))</f>
        <v>0.32950000000000002</v>
      </c>
      <c r="O78" s="9">
        <f>IF($H78&lt;&gt;"OK","",ROUND($G78*使い方と設定!$B$7*$AK78*INDEX(個性タイプマスタ!$Q$5:$AA$54,$AE78,7)/$AG78,4))</f>
        <v>9.6299999999999997E-2</v>
      </c>
      <c r="P78" s="9">
        <f>IF($H78&lt;&gt;"OK","",ROUND($G78*使い方と設定!$B$7*$AK78*INDEX(個性タイプマスタ!$Q$5:$AA$54,$AE78,8)/$AG78,4))</f>
        <v>0.1517</v>
      </c>
      <c r="Q78" s="9">
        <f>IF($H78&lt;&gt;"OK","",ROUND($G78*使い方と設定!$B$7*$AK78*INDEX(個性タイプマスタ!$Q$5:$AA$54,$AE78,9)/$AG78,4))</f>
        <v>8.2500000000000004E-2</v>
      </c>
      <c r="R78" s="9">
        <f>IF($H78&lt;&gt;"OK","",ROUND($G78*使い方と設定!$B$7*$AK78*INDEX(個性タイプマスタ!$Q$5:$AA$54,$AE78,10)/$AG78,4))</f>
        <v>0.15010000000000001</v>
      </c>
      <c r="S78" s="9">
        <f>IF($H78&lt;&gt;"OK","",ROUND($G78*使い方と設定!$B$7*$AK78*INDEX(個性タイプマスタ!$Q$5:$AA$54,$AE78,11)/$AG78,4))</f>
        <v>0.21709999999999999</v>
      </c>
      <c r="T78" s="9">
        <f>IF($H78&lt;&gt;"OK","",ROUND($G78*使い方と設定!$B$8*$AK78*$AH78*INDEX(属性耐性マスタ!$B$5:$G$10,$AF78,1),4))</f>
        <v>8.5000000000000006E-3</v>
      </c>
      <c r="U78" s="9">
        <f>IF($H78&lt;&gt;"OK","",ROUND($G78*使い方と設定!$B$8*$AK78*$AH78*INDEX(属性耐性マスタ!$B$5:$G$10,$AF78,2),4))</f>
        <v>8.5000000000000006E-3</v>
      </c>
      <c r="V78" s="9">
        <f>IF($H78&lt;&gt;"OK","",ROUND($G78*使い方と設定!$B$8*$AK78*$AH78*INDEX(属性耐性マスタ!$B$5:$G$10,$AF78,3),4))</f>
        <v>8.5000000000000006E-3</v>
      </c>
      <c r="W78" s="9">
        <f>IF($H78&lt;&gt;"OK","",ROUND($G78*使い方と設定!$B$8*$AK78*$AH78*INDEX(属性耐性マスタ!$B$5:$G$10,$AF78,4),4))</f>
        <v>8.5000000000000006E-3</v>
      </c>
      <c r="X78" s="9">
        <f>IF($H78&lt;&gt;"OK","",ROUND($G78*使い方と設定!$B$8*$AK78*$AH78*INDEX(属性耐性マスタ!$B$5:$G$10,$AF78,5),4))</f>
        <v>0.1709</v>
      </c>
      <c r="Y78" s="9">
        <f>IF($H78&lt;&gt;"OK","",ROUND($G78*使い方と設定!$B$8*$AK78*$AH78*INDEX(属性耐性マスタ!$B$5:$G$10,$AF78,6),4))</f>
        <v>2.2800000000000001E-2</v>
      </c>
      <c r="Z78" s="9">
        <f>IF($H78&lt;&gt;"OK","",ROUND($G78*使い方と設定!$B$9*$AK78*$AI78,4))</f>
        <v>0.81779999999999997</v>
      </c>
      <c r="AA78" s="10">
        <v>0.25</v>
      </c>
      <c r="AB78" s="11">
        <f t="shared" si="4"/>
        <v>2.8864000000000001</v>
      </c>
      <c r="AC78" s="11">
        <f t="shared" si="5"/>
        <v>0.22770000000000001</v>
      </c>
      <c r="AD78" s="7" t="str">
        <f>IF($H78&lt;&gt;"OK","",INDEX(個性タイプマスタ!$P$5:$P$54,$AE78))</f>
        <v>高耐久・射撃間隔は長い</v>
      </c>
      <c r="AE78">
        <f>IFERROR(MATCH(E78,個性タイプマスタ!$A$5:$A$54,0),0)</f>
        <v>19</v>
      </c>
      <c r="AF78">
        <f>IFERROR(MATCH(F78,属性耐性マスタ!$A$5:$A$10,0),0)</f>
        <v>5</v>
      </c>
      <c r="AG78">
        <f>IF(AE78=0,1,INDEX(個性タイプマスタ!$AB$5:$AB$54,AE78))</f>
        <v>11.540666666666668</v>
      </c>
      <c r="AH78">
        <f>IF(AE78=0,1,INDEX(個性タイプマスタ!$AC$5:$AC$54,AE78))</f>
        <v>1.48</v>
      </c>
      <c r="AI78">
        <f>IF(AE78=0,0,INDEX(個性タイプマスタ!$AD$5:$AD$54,AE78))</f>
        <v>0.85</v>
      </c>
      <c r="AJ78" s="16">
        <v>12</v>
      </c>
      <c r="AK78" s="17">
        <f>IF(OR(AJ78="",AJ78&lt;1),"",POWER(使い方と設定!$E$6,AJ78-1))</f>
        <v>1.5394540563150783</v>
      </c>
    </row>
    <row r="79" spans="1:37">
      <c r="A79" t="str">
        <f>+[2]称号!A74</f>
        <v>TITLE_073</v>
      </c>
      <c r="B79" t="str">
        <f>+[2]称号!B74</f>
        <v>水路の略奪者</v>
      </c>
      <c r="C79" t="s">
        <v>271</v>
      </c>
      <c r="D79" t="s">
        <v>272</v>
      </c>
      <c r="E79" s="2" t="str">
        <f>[1]モンスター計算!AM77</f>
        <v>魔法・連射</v>
      </c>
      <c r="F79" s="2" t="str">
        <f>[1]モンスター計算!C77</f>
        <v>水</v>
      </c>
      <c r="G79" s="8">
        <v>1</v>
      </c>
      <c r="H79" t="str">
        <f t="shared" si="3"/>
        <v>OK</v>
      </c>
      <c r="I79" s="9">
        <f>IF($H79&lt;&gt;"OK","",ROUND($G79*使い方と設定!$B$7*$AK79*INDEX(個性タイプマスタ!$Q$5:$AA$54,$AE79,1)/$AG79,4))</f>
        <v>0.1968</v>
      </c>
      <c r="J79" s="9">
        <f>IF($H79&lt;&gt;"OK","",ROUND($G79*使い方と設定!$B$7*$AK79*INDEX(個性タイプマスタ!$Q$5:$AA$54,$AE79,2)/$AG79,4))</f>
        <v>0.25259999999999999</v>
      </c>
      <c r="K79" s="9">
        <f>IF($H79&lt;&gt;"OK","",ROUND($G79*使い方と設定!$B$7*$AK79*INDEX(個性タイプマスタ!$Q$5:$AA$54,$AE79,3)/$AG79,4))</f>
        <v>3.9300000000000002E-2</v>
      </c>
      <c r="L79" s="9">
        <f>IF($H79&lt;&gt;"OK","",ROUND($G79*使い方と設定!$B$7*$AK79*INDEX(個性タイプマスタ!$Q$5:$AA$54,$AE79,4)/$AG79,4))</f>
        <v>0.60429999999999995</v>
      </c>
      <c r="M79" s="9">
        <f>IF($H79&lt;&gt;"OK","",ROUND($G79*使い方と設定!$B$7*$AK79*INDEX(個性タイプマスタ!$Q$5:$AA$54,$AE79,5)/$AG79,4))</f>
        <v>0.1479</v>
      </c>
      <c r="N79" s="9">
        <f>IF($H79&lt;&gt;"OK","",ROUND($G79*使い方と設定!$B$7*$AK79*INDEX(個性タイプマスタ!$Q$5:$AA$54,$AE79,6)/$AG79,4))</f>
        <v>0.1726</v>
      </c>
      <c r="O79" s="9">
        <f>IF($H79&lt;&gt;"OK","",ROUND($G79*使い方と設定!$B$7*$AK79*INDEX(個性タイプマスタ!$Q$5:$AA$54,$AE79,7)/$AG79,4))</f>
        <v>0.13289999999999999</v>
      </c>
      <c r="P79" s="9">
        <f>IF($H79&lt;&gt;"OK","",ROUND($G79*使い方と設定!$B$7*$AK79*INDEX(個性タイプマスタ!$Q$5:$AA$54,$AE79,8)/$AG79,4))</f>
        <v>0.14660000000000001</v>
      </c>
      <c r="Q79" s="9">
        <f>IF($H79&lt;&gt;"OK","",ROUND($G79*使い方と設定!$B$7*$AK79*INDEX(個性タイプマスタ!$Q$5:$AA$54,$AE79,9)/$AG79,4))</f>
        <v>0.17810000000000001</v>
      </c>
      <c r="R79" s="9">
        <f>IF($H79&lt;&gt;"OK","",ROUND($G79*使い方と設定!$B$7*$AK79*INDEX(個性タイプマスタ!$Q$5:$AA$54,$AE79,10)/$AG79,4))</f>
        <v>0.37469999999999998</v>
      </c>
      <c r="S79" s="9">
        <f>IF($H79&lt;&gt;"OK","",ROUND($G79*使い方と設定!$B$7*$AK79*INDEX(個性タイプマスタ!$Q$5:$AA$54,$AE79,11)/$AG79,4))</f>
        <v>0.15570000000000001</v>
      </c>
      <c r="T79" s="9">
        <f>IF($H79&lt;&gt;"OK","",ROUND($G79*使い方と設定!$B$8*$AK79*$AH79*INDEX(属性耐性マスタ!$B$5:$G$10,$AF79,1),4))</f>
        <v>1.38E-2</v>
      </c>
      <c r="U79" s="9">
        <f>IF($H79&lt;&gt;"OK","",ROUND($G79*使い方と設定!$B$8*$AK79*$AH79*INDEX(属性耐性マスタ!$B$5:$G$10,$AF79,2),4))</f>
        <v>6.9199999999999998E-2</v>
      </c>
      <c r="V79" s="9">
        <f>IF($H79&lt;&gt;"OK","",ROUND($G79*使い方と設定!$B$8*$AK79*$AH79*INDEX(属性耐性マスタ!$B$5:$G$10,$AF79,3),4))</f>
        <v>4.5999999999999999E-3</v>
      </c>
      <c r="W79" s="9">
        <f>IF($H79&lt;&gt;"OK","",ROUND($G79*使い方と設定!$B$8*$AK79*$AH79*INDEX(属性耐性マスタ!$B$5:$G$10,$AF79,4),4))</f>
        <v>4.5999999999999999E-3</v>
      </c>
      <c r="X79" s="9">
        <f>IF($H79&lt;&gt;"OK","",ROUND($G79*使い方と設定!$B$8*$AK79*$AH79*INDEX(属性耐性マスタ!$B$5:$G$10,$AF79,5),4))</f>
        <v>3.5000000000000001E-3</v>
      </c>
      <c r="Y79" s="9">
        <f>IF($H79&lt;&gt;"OK","",ROUND($G79*使い方と設定!$B$8*$AK79*$AH79*INDEX(属性耐性マスタ!$B$5:$G$10,$AF79,6),4))</f>
        <v>3.5000000000000001E-3</v>
      </c>
      <c r="Z79" s="9">
        <f>IF($H79&lt;&gt;"OK","",ROUND($G79*使い方と設定!$B$9*$AK79*$AI79,4))</f>
        <v>0.92730000000000001</v>
      </c>
      <c r="AA79" s="10">
        <v>1</v>
      </c>
      <c r="AB79" s="11">
        <f t="shared" si="4"/>
        <v>2.4015</v>
      </c>
      <c r="AC79" s="11">
        <f t="shared" si="5"/>
        <v>9.9199999999999997E-2</v>
      </c>
      <c r="AD79" s="7" t="str">
        <f>IF($H79&lt;&gt;"OK","",INDEX(個性タイプマスタ!$P$5:$P$54,$AE79))</f>
        <v>手数重視。ひと撃ちは軽いが高速</v>
      </c>
      <c r="AE79">
        <f>IFERROR(MATCH(E79,個性タイプマスタ!$A$5:$A$54,0),0)</f>
        <v>15</v>
      </c>
      <c r="AF79">
        <f>IFERROR(MATCH(F79,属性耐性マスタ!$A$5:$A$10,0),0)</f>
        <v>2</v>
      </c>
      <c r="AG79">
        <f>IF(AE79=0,1,INDEX(個性タイプマスタ!$AB$5:$AB$54,AE79))</f>
        <v>9.9351666666666674</v>
      </c>
      <c r="AH79">
        <f>IF(AE79=0,1,INDEX(個性タイプマスタ!$AC$5:$AC$54,AE79))</f>
        <v>0.72</v>
      </c>
      <c r="AI79">
        <f>IF(AE79=0,0,INDEX(個性タイプマスタ!$AD$5:$AD$54,AE79))</f>
        <v>1.1583333333333332</v>
      </c>
      <c r="AJ79" s="16">
        <v>13</v>
      </c>
      <c r="AK79" s="17">
        <f>IF(OR(AJ79="",AJ79&lt;1),"",POWER(使い方と設定!$E$6,AJ79-1))</f>
        <v>1.6010322185676817</v>
      </c>
    </row>
    <row r="80" spans="1:37">
      <c r="A80" t="str">
        <f>+[2]称号!A75</f>
        <v>TITLE_074</v>
      </c>
      <c r="B80" t="str">
        <f>+[2]称号!B75</f>
        <v>激流の操舟鬼</v>
      </c>
      <c r="C80" t="s">
        <v>273</v>
      </c>
      <c r="D80" t="s">
        <v>274</v>
      </c>
      <c r="E80" s="2" t="str">
        <f>[1]モンスター計算!AM78</f>
        <v>魔法・高会心</v>
      </c>
      <c r="F80" s="2" t="str">
        <f>[1]モンスター計算!C78</f>
        <v>水</v>
      </c>
      <c r="G80" s="8">
        <v>1.05</v>
      </c>
      <c r="H80" t="str">
        <f t="shared" si="3"/>
        <v>OK</v>
      </c>
      <c r="I80" s="9">
        <f>IF($H80&lt;&gt;"OK","",ROUND($G80*使い方と設定!$B$7*$AK80*INDEX(個性タイプマスタ!$Q$5:$AA$54,$AE80,1)/$AG80,4))</f>
        <v>0.16650000000000001</v>
      </c>
      <c r="J80" s="9">
        <f>IF($H80&lt;&gt;"OK","",ROUND($G80*使い方と設定!$B$7*$AK80*INDEX(個性タイプマスタ!$Q$5:$AA$54,$AE80,2)/$AG80,4))</f>
        <v>0.26910000000000001</v>
      </c>
      <c r="K80" s="9">
        <f>IF($H80&lt;&gt;"OK","",ROUND($G80*使い方と設定!$B$7*$AK80*INDEX(個性タイプマスタ!$Q$5:$AA$54,$AE80,3)/$AG80,4))</f>
        <v>2.9000000000000001E-2</v>
      </c>
      <c r="L80" s="9">
        <f>IF($H80&lt;&gt;"OK","",ROUND($G80*使い方と設定!$B$7*$AK80*INDEX(個性タイプマスタ!$Q$5:$AA$54,$AE80,4)/$AG80,4))</f>
        <v>0.51829999999999998</v>
      </c>
      <c r="M80" s="9">
        <f>IF($H80&lt;&gt;"OK","",ROUND($G80*使い方と設定!$B$7*$AK80*INDEX(個性タイプマスタ!$Q$5:$AA$54,$AE80,5)/$AG80,4))</f>
        <v>0.13569999999999999</v>
      </c>
      <c r="N80" s="9">
        <f>IF($H80&lt;&gt;"OK","",ROUND($G80*使い方と設定!$B$7*$AK80*INDEX(個性タイプマスタ!$Q$5:$AA$54,$AE80,6)/$AG80,4))</f>
        <v>0.14979999999999999</v>
      </c>
      <c r="O80" s="9">
        <f>IF($H80&lt;&gt;"OK","",ROUND($G80*使い方と設定!$B$7*$AK80*INDEX(個性タイプマスタ!$Q$5:$AA$54,$AE80,7)/$AG80,4))</f>
        <v>0.59299999999999997</v>
      </c>
      <c r="P80" s="9">
        <f>IF($H80&lt;&gt;"OK","",ROUND($G80*使い方と設定!$B$7*$AK80*INDEX(個性タイプマスタ!$Q$5:$AA$54,$AE80,8)/$AG80,4))</f>
        <v>0.17519999999999999</v>
      </c>
      <c r="Q80" s="9">
        <f>IF($H80&lt;&gt;"OK","",ROUND($G80*使い方と設定!$B$7*$AK80*INDEX(個性タイプマスタ!$Q$5:$AA$54,$AE80,9)/$AG80,4))</f>
        <v>0.12540000000000001</v>
      </c>
      <c r="R80" s="9">
        <f>IF($H80&lt;&gt;"OK","",ROUND($G80*使い方と設定!$B$7*$AK80*INDEX(個性タイプマスタ!$Q$5:$AA$54,$AE80,10)/$AG80,4))</f>
        <v>0.19700000000000001</v>
      </c>
      <c r="S80" s="9">
        <f>IF($H80&lt;&gt;"OK","",ROUND($G80*使い方と設定!$B$7*$AK80*INDEX(個性タイプマスタ!$Q$5:$AA$54,$AE80,11)/$AG80,4))</f>
        <v>0.16259999999999999</v>
      </c>
      <c r="T80" s="9">
        <f>IF($H80&lt;&gt;"OK","",ROUND($G80*使い方と設定!$B$8*$AK80*$AH80*INDEX(属性耐性マスタ!$B$5:$G$10,$AF80,1),4))</f>
        <v>1.61E-2</v>
      </c>
      <c r="U80" s="9">
        <f>IF($H80&lt;&gt;"OK","",ROUND($G80*使い方と設定!$B$8*$AK80*$AH80*INDEX(属性耐性マスタ!$B$5:$G$10,$AF80,2),4))</f>
        <v>8.0699999999999994E-2</v>
      </c>
      <c r="V80" s="9">
        <f>IF($H80&lt;&gt;"OK","",ROUND($G80*使い方と設定!$B$8*$AK80*$AH80*INDEX(属性耐性マスタ!$B$5:$G$10,$AF80,3),4))</f>
        <v>5.4000000000000003E-3</v>
      </c>
      <c r="W80" s="9">
        <f>IF($H80&lt;&gt;"OK","",ROUND($G80*使い方と設定!$B$8*$AK80*$AH80*INDEX(属性耐性マスタ!$B$5:$G$10,$AF80,4),4))</f>
        <v>5.4000000000000003E-3</v>
      </c>
      <c r="X80" s="9">
        <f>IF($H80&lt;&gt;"OK","",ROUND($G80*使い方と設定!$B$8*$AK80*$AH80*INDEX(属性耐性マスタ!$B$5:$G$10,$AF80,5),4))</f>
        <v>4.0000000000000001E-3</v>
      </c>
      <c r="Y80" s="9">
        <f>IF($H80&lt;&gt;"OK","",ROUND($G80*使い方と設定!$B$8*$AK80*$AH80*INDEX(属性耐性マスタ!$B$5:$G$10,$AF80,6),4))</f>
        <v>4.0000000000000001E-3</v>
      </c>
      <c r="Z80" s="9">
        <f>IF($H80&lt;&gt;"OK","",ROUND($G80*使い方と設定!$B$9*$AK80*$AI80,4))</f>
        <v>0.88959999999999995</v>
      </c>
      <c r="AA80" s="10">
        <v>1</v>
      </c>
      <c r="AB80" s="11">
        <f t="shared" si="4"/>
        <v>2.5215999999999998</v>
      </c>
      <c r="AC80" s="11">
        <f t="shared" si="5"/>
        <v>0.11559999999999999</v>
      </c>
      <c r="AD80" s="7" t="str">
        <f>IF($H80&lt;&gt;"OK","",INDEX(個性タイプマスタ!$P$5:$P$54,$AE80))</f>
        <v>高い会心率で平均火力を確保</v>
      </c>
      <c r="AE80">
        <f>IFERROR(MATCH(E80,個性タイプマスタ!$A$5:$A$54,0),0)</f>
        <v>22</v>
      </c>
      <c r="AF80">
        <f>IFERROR(MATCH(F80,属性耐性マスタ!$A$5:$A$10,0),0)</f>
        <v>2</v>
      </c>
      <c r="AG80">
        <f>IF(AE80=0,1,INDEX(個性タイプマスタ!$AB$5:$AB$54,AE80))</f>
        <v>12.162000000000001</v>
      </c>
      <c r="AH80">
        <f>IF(AE80=0,1,INDEX(個性タイプマスタ!$AC$5:$AC$54,AE80))</f>
        <v>0.8</v>
      </c>
      <c r="AI80">
        <f>IF(AE80=0,0,INDEX(個性タイプマスタ!$AD$5:$AD$54,AE80))</f>
        <v>1.0583333333333333</v>
      </c>
      <c r="AJ80" s="16">
        <v>13</v>
      </c>
      <c r="AK80" s="17">
        <f>IF(OR(AJ80="",AJ80&lt;1),"",POWER(使い方と設定!$E$6,AJ80-1))</f>
        <v>1.6010322185676817</v>
      </c>
    </row>
    <row r="81" spans="1:37">
      <c r="A81" t="str">
        <f>+[2]称号!A76</f>
        <v>TITLE_075</v>
      </c>
      <c r="B81" t="str">
        <f>+[2]称号!B76</f>
        <v>深淵の裂牙</v>
      </c>
      <c r="C81" t="s">
        <v>275</v>
      </c>
      <c r="D81" t="s">
        <v>276</v>
      </c>
      <c r="E81" s="2" t="str">
        <f>[1]モンスター計算!AM79</f>
        <v>魔法・疾走</v>
      </c>
      <c r="F81" s="2" t="str">
        <f>[1]モンスター計算!C79</f>
        <v>水</v>
      </c>
      <c r="G81" s="8">
        <v>1.1000000000000001</v>
      </c>
      <c r="H81" t="str">
        <f t="shared" si="3"/>
        <v>OK</v>
      </c>
      <c r="I81" s="9">
        <f>IF($H81&lt;&gt;"OK","",ROUND($G81*使い方と設定!$B$7*$AK81*INDEX(個性タイプマスタ!$Q$5:$AA$54,$AE81,1)/$AG81,4))</f>
        <v>0.22120000000000001</v>
      </c>
      <c r="J81" s="9">
        <f>IF($H81&lt;&gt;"OK","",ROUND($G81*使い方と設定!$B$7*$AK81*INDEX(個性タイプマスタ!$Q$5:$AA$54,$AE81,2)/$AG81,4))</f>
        <v>0.252</v>
      </c>
      <c r="K81" s="9">
        <f>IF($H81&lt;&gt;"OK","",ROUND($G81*使い方と設定!$B$7*$AK81*INDEX(個性タイプマスタ!$Q$5:$AA$54,$AE81,3)/$AG81,4))</f>
        <v>3.3700000000000001E-2</v>
      </c>
      <c r="L81" s="9">
        <f>IF($H81&lt;&gt;"OK","",ROUND($G81*使い方と設定!$B$7*$AK81*INDEX(個性タイプマスタ!$Q$5:$AA$54,$AE81,4)/$AG81,4))</f>
        <v>0.63639999999999997</v>
      </c>
      <c r="M81" s="9">
        <f>IF($H81&lt;&gt;"OK","",ROUND($G81*使い方と設定!$B$7*$AK81*INDEX(個性タイプマスタ!$Q$5:$AA$54,$AE81,5)/$AG81,4))</f>
        <v>0.18390000000000001</v>
      </c>
      <c r="N81" s="9">
        <f>IF($H81&lt;&gt;"OK","",ROUND($G81*使い方と設定!$B$7*$AK81*INDEX(個性タイプマスタ!$Q$5:$AA$54,$AE81,6)/$AG81,4))</f>
        <v>0.17530000000000001</v>
      </c>
      <c r="O81" s="9">
        <f>IF($H81&lt;&gt;"OK","",ROUND($G81*使い方と設定!$B$7*$AK81*INDEX(個性タイプマスタ!$Q$5:$AA$54,$AE81,7)/$AG81,4))</f>
        <v>0.182</v>
      </c>
      <c r="P81" s="9">
        <f>IF($H81&lt;&gt;"OK","",ROUND($G81*使い方と設定!$B$7*$AK81*INDEX(個性タイプマスタ!$Q$5:$AA$54,$AE81,8)/$AG81,4))</f>
        <v>0.15989999999999999</v>
      </c>
      <c r="Q81" s="9">
        <f>IF($H81&lt;&gt;"OK","",ROUND($G81*使い方と設定!$B$7*$AK81*INDEX(個性タイプマスタ!$Q$5:$AA$54,$AE81,9)/$AG81,4))</f>
        <v>0.224</v>
      </c>
      <c r="R81" s="9">
        <f>IF($H81&lt;&gt;"OK","",ROUND($G81*使い方と設定!$B$7*$AK81*INDEX(個性タイプマスタ!$Q$5:$AA$54,$AE81,10)/$AG81,4))</f>
        <v>0.43780000000000002</v>
      </c>
      <c r="S81" s="9">
        <f>IF($H81&lt;&gt;"OK","",ROUND($G81*使い方と設定!$B$7*$AK81*INDEX(個性タイプマスタ!$Q$5:$AA$54,$AE81,11)/$AG81,4))</f>
        <v>0.13539999999999999</v>
      </c>
      <c r="T81" s="9">
        <f>IF($H81&lt;&gt;"OK","",ROUND($G81*使い方と設定!$B$8*$AK81*$AH81*INDEX(属性耐性マスタ!$B$5:$G$10,$AF81,1),4))</f>
        <v>1.52E-2</v>
      </c>
      <c r="U81" s="9">
        <f>IF($H81&lt;&gt;"OK","",ROUND($G81*使い方と設定!$B$8*$AK81*$AH81*INDEX(属性耐性マスタ!$B$5:$G$10,$AF81,2),4))</f>
        <v>7.6100000000000001E-2</v>
      </c>
      <c r="V81" s="9">
        <f>IF($H81&lt;&gt;"OK","",ROUND($G81*使い方と設定!$B$8*$AK81*$AH81*INDEX(属性耐性マスタ!$B$5:$G$10,$AF81,3),4))</f>
        <v>5.1000000000000004E-3</v>
      </c>
      <c r="W81" s="9">
        <f>IF($H81&lt;&gt;"OK","",ROUND($G81*使い方と設定!$B$8*$AK81*$AH81*INDEX(属性耐性マスタ!$B$5:$G$10,$AF81,4),4))</f>
        <v>5.1000000000000004E-3</v>
      </c>
      <c r="X81" s="9">
        <f>IF($H81&lt;&gt;"OK","",ROUND($G81*使い方と設定!$B$8*$AK81*$AH81*INDEX(属性耐性マスタ!$B$5:$G$10,$AF81,5),4))</f>
        <v>3.8E-3</v>
      </c>
      <c r="Y81" s="9">
        <f>IF($H81&lt;&gt;"OK","",ROUND($G81*使い方と設定!$B$8*$AK81*$AH81*INDEX(属性耐性マスタ!$B$5:$G$10,$AF81,6),4))</f>
        <v>3.8E-3</v>
      </c>
      <c r="Z81" s="9">
        <f>IF($H81&lt;&gt;"OK","",ROUND($G81*使い方と設定!$B$9*$AK81*$AI81,4))</f>
        <v>1.1153999999999999</v>
      </c>
      <c r="AA81" s="10">
        <v>0.9</v>
      </c>
      <c r="AB81" s="11">
        <f t="shared" si="4"/>
        <v>2.6415999999999999</v>
      </c>
      <c r="AC81" s="11">
        <f t="shared" si="5"/>
        <v>0.1091</v>
      </c>
      <c r="AD81" s="7" t="str">
        <f>IF($H81&lt;&gt;"OK","",INDEX(個性タイプマスタ!$P$5:$P$54,$AE81))</f>
        <v>移動と攻撃速度に特化</v>
      </c>
      <c r="AE81">
        <f>IFERROR(MATCH(E81,個性タイプマスタ!$A$5:$A$54,0),0)</f>
        <v>29</v>
      </c>
      <c r="AF81">
        <f>IFERROR(MATCH(F81,属性耐性マスタ!$A$5:$A$10,0),0)</f>
        <v>2</v>
      </c>
      <c r="AG81">
        <f>IF(AE81=0,1,INDEX(個性タイプマスタ!$AB$5:$AB$54,AE81))</f>
        <v>10.377833333333335</v>
      </c>
      <c r="AH81">
        <f>IF(AE81=0,1,INDEX(個性タイプマスタ!$AC$5:$AC$54,AE81))</f>
        <v>0.72</v>
      </c>
      <c r="AI81">
        <f>IF(AE81=0,0,INDEX(個性タイプマスタ!$AD$5:$AD$54,AE81))</f>
        <v>1.2666666666666666</v>
      </c>
      <c r="AJ81" s="16">
        <v>13</v>
      </c>
      <c r="AK81" s="17">
        <f>IF(OR(AJ81="",AJ81&lt;1),"",POWER(使い方と設定!$E$6,AJ81-1))</f>
        <v>1.6010322185676817</v>
      </c>
    </row>
    <row r="82" spans="1:37">
      <c r="A82" t="str">
        <f>+[2]称号!A77</f>
        <v>TITLE_076</v>
      </c>
      <c r="B82" t="str">
        <f>+[2]称号!B77</f>
        <v>蒼海の終極獣</v>
      </c>
      <c r="C82" t="s">
        <v>277</v>
      </c>
      <c r="D82" t="s">
        <v>278</v>
      </c>
      <c r="E82" s="2" t="str">
        <f>[1]モンスター計算!AM80</f>
        <v>近接・速攻</v>
      </c>
      <c r="F82" s="2" t="str">
        <f>[1]モンスター計算!C80</f>
        <v>水</v>
      </c>
      <c r="G82" s="8">
        <v>1.1499999999999999</v>
      </c>
      <c r="H82" t="str">
        <f t="shared" si="3"/>
        <v>OK</v>
      </c>
      <c r="I82" s="9">
        <f>IF($H82&lt;&gt;"OK","",ROUND($G82*使い方と設定!$B$7*$AK82*INDEX(個性タイプマスタ!$Q$5:$AA$54,$AE82,1)/$AG82,4))</f>
        <v>0.24909999999999999</v>
      </c>
      <c r="J82" s="9">
        <f>IF($H82&lt;&gt;"OK","",ROUND($G82*使い方と設定!$B$7*$AK82*INDEX(個性タイプマスタ!$Q$5:$AA$54,$AE82,2)/$AG82,4))</f>
        <v>0.13239999999999999</v>
      </c>
      <c r="K82" s="9">
        <f>IF($H82&lt;&gt;"OK","",ROUND($G82*使い方と設定!$B$7*$AK82*INDEX(個性タイプマスタ!$Q$5:$AA$54,$AE82,3)/$AG82,4))</f>
        <v>0.70779999999999998</v>
      </c>
      <c r="L82" s="9">
        <f>IF($H82&lt;&gt;"OK","",ROUND($G82*使い方と設定!$B$7*$AK82*INDEX(個性タイプマスタ!$Q$5:$AA$54,$AE82,4)/$AG82,4))</f>
        <v>7.0800000000000002E-2</v>
      </c>
      <c r="M82" s="9">
        <f>IF($H82&lt;&gt;"OK","",ROUND($G82*使い方と設定!$B$7*$AK82*INDEX(個性タイプマスタ!$Q$5:$AA$54,$AE82,5)/$AG82,4))</f>
        <v>0.1925</v>
      </c>
      <c r="N82" s="9">
        <f>IF($H82&lt;&gt;"OK","",ROUND($G82*使い方と設定!$B$7*$AK82*INDEX(個性タイプマスタ!$Q$5:$AA$54,$AE82,6)/$AG82,4))</f>
        <v>0.1925</v>
      </c>
      <c r="O82" s="9">
        <f>IF($H82&lt;&gt;"OK","",ROUND($G82*使い方と設定!$B$7*$AK82*INDEX(個性タイプマスタ!$Q$5:$AA$54,$AE82,7)/$AG82,4))</f>
        <v>0.24909999999999999</v>
      </c>
      <c r="P82" s="9">
        <f>IF($H82&lt;&gt;"OK","",ROUND($G82*使い方と設定!$B$7*$AK82*INDEX(個性タイプマスタ!$Q$5:$AA$54,$AE82,8)/$AG82,4))</f>
        <v>0.19020000000000001</v>
      </c>
      <c r="Q82" s="9">
        <f>IF($H82&lt;&gt;"OK","",ROUND($G82*使い方と設定!$B$7*$AK82*INDEX(個性タイプマスタ!$Q$5:$AA$54,$AE82,9)/$AG82,4))</f>
        <v>0.20549999999999999</v>
      </c>
      <c r="R82" s="9">
        <f>IF($H82&lt;&gt;"OK","",ROUND($G82*使い方と設定!$B$7*$AK82*INDEX(個性タイプマスタ!$Q$5:$AA$54,$AE82,10)/$AG82,4))</f>
        <v>0.37369999999999998</v>
      </c>
      <c r="S82" s="9">
        <f>IF($H82&lt;&gt;"OK","",ROUND($G82*使い方と設定!$B$7*$AK82*INDEX(個性タイプマスタ!$Q$5:$AA$54,$AE82,11)/$AG82,4))</f>
        <v>0.19819999999999999</v>
      </c>
      <c r="T82" s="9">
        <f>IF($H82&lt;&gt;"OK","",ROUND($G82*使い方と設定!$B$8*$AK82*$AH82*INDEX(属性耐性マスタ!$B$5:$G$10,$AF82,1),4))</f>
        <v>1.8599999999999998E-2</v>
      </c>
      <c r="U82" s="9">
        <f>IF($H82&lt;&gt;"OK","",ROUND($G82*使い方と設定!$B$8*$AK82*$AH82*INDEX(属性耐性マスタ!$B$5:$G$10,$AF82,2),4))</f>
        <v>9.2799999999999994E-2</v>
      </c>
      <c r="V82" s="9">
        <f>IF($H82&lt;&gt;"OK","",ROUND($G82*使い方と設定!$B$8*$AK82*$AH82*INDEX(属性耐性マスタ!$B$5:$G$10,$AF82,3),4))</f>
        <v>6.1999999999999998E-3</v>
      </c>
      <c r="W82" s="9">
        <f>IF($H82&lt;&gt;"OK","",ROUND($G82*使い方と設定!$B$8*$AK82*$AH82*INDEX(属性耐性マスタ!$B$5:$G$10,$AF82,4),4))</f>
        <v>6.1999999999999998E-3</v>
      </c>
      <c r="X82" s="9">
        <f>IF($H82&lt;&gt;"OK","",ROUND($G82*使い方と設定!$B$8*$AK82*$AH82*INDEX(属性耐性マスタ!$B$5:$G$10,$AF82,5),4))</f>
        <v>4.5999999999999999E-3</v>
      </c>
      <c r="Y82" s="9">
        <f>IF($H82&lt;&gt;"OK","",ROUND($G82*使い方と設定!$B$8*$AK82*$AH82*INDEX(属性耐性マスタ!$B$5:$G$10,$AF82,6),4))</f>
        <v>4.5999999999999999E-3</v>
      </c>
      <c r="Z82" s="9">
        <f>IF($H82&lt;&gt;"OK","",ROUND($G82*使い方と設定!$B$9*$AK82*$AI82,4))</f>
        <v>1.0587</v>
      </c>
      <c r="AA82" s="10">
        <v>0.55000000000000004</v>
      </c>
      <c r="AB82" s="11">
        <f t="shared" si="4"/>
        <v>2.7618</v>
      </c>
      <c r="AC82" s="11">
        <f t="shared" si="5"/>
        <v>0.13300000000000001</v>
      </c>
      <c r="AD82" s="7" t="str">
        <f>IF($H82&lt;&gt;"OK","",INDEX(個性タイプマスタ!$P$5:$P$54,$AE82))</f>
        <v>手数と移動重視</v>
      </c>
      <c r="AE82">
        <f>IFERROR(MATCH(E82,個性タイプマスタ!$A$5:$A$54,0),0)</f>
        <v>12</v>
      </c>
      <c r="AF82">
        <f>IFERROR(MATCH(F82,属性耐性マスタ!$A$5:$A$10,0),0)</f>
        <v>2</v>
      </c>
      <c r="AG82">
        <f>IF(AE82=0,1,INDEX(個性タイプマスタ!$AB$5:$AB$54,AE82))</f>
        <v>9.7551666666666659</v>
      </c>
      <c r="AH82">
        <f>IF(AE82=0,1,INDEX(個性タイプマスタ!$AC$5:$AC$54,AE82))</f>
        <v>0.84</v>
      </c>
      <c r="AI82">
        <f>IF(AE82=0,0,INDEX(個性タイプマスタ!$AD$5:$AD$54,AE82))</f>
        <v>1.1499999999999999</v>
      </c>
      <c r="AJ82" s="16">
        <v>13</v>
      </c>
      <c r="AK82" s="17">
        <f>IF(OR(AJ82="",AJ82&lt;1),"",POWER(使い方と設定!$E$6,AJ82-1))</f>
        <v>1.6010322185676817</v>
      </c>
    </row>
    <row r="83" spans="1:37">
      <c r="A83" t="str">
        <f>+[2]称号!A78</f>
        <v>TITLE_077</v>
      </c>
      <c r="B83" t="str">
        <f>+[2]称号!B78</f>
        <v>海神の眷属</v>
      </c>
      <c r="C83" t="s">
        <v>280</v>
      </c>
      <c r="D83" t="s">
        <v>281</v>
      </c>
      <c r="E83" s="2" t="str">
        <f>[1]モンスター計算!AM81</f>
        <v>近接・鉄壁</v>
      </c>
      <c r="F83" s="2" t="str">
        <f>[1]モンスター計算!C81</f>
        <v>水</v>
      </c>
      <c r="G83" s="8">
        <v>1.2</v>
      </c>
      <c r="H83" t="str">
        <f t="shared" si="3"/>
        <v>OK</v>
      </c>
      <c r="I83" s="9">
        <f>IF($H83&lt;&gt;"OK","",ROUND($G83*使い方と設定!$B$7*$AK83*INDEX(個性タイプマスタ!$Q$5:$AA$54,$AE83,1)/$AG83,4))</f>
        <v>0.56520000000000004</v>
      </c>
      <c r="J83" s="9">
        <f>IF($H83&lt;&gt;"OK","",ROUND($G83*使い方と設定!$B$7*$AK83*INDEX(個性タイプマスタ!$Q$5:$AA$54,$AE83,2)/$AG83,4))</f>
        <v>0.1118</v>
      </c>
      <c r="K83" s="9">
        <f>IF($H83&lt;&gt;"OK","",ROUND($G83*使い方と設定!$B$7*$AK83*INDEX(個性タイプマスタ!$Q$5:$AA$54,$AE83,3)/$AG83,4))</f>
        <v>0.70579999999999998</v>
      </c>
      <c r="L83" s="9">
        <f>IF($H83&lt;&gt;"OK","",ROUND($G83*使い方と設定!$B$7*$AK83*INDEX(個性タイプマスタ!$Q$5:$AA$54,$AE83,4)/$AG83,4))</f>
        <v>5.9299999999999999E-2</v>
      </c>
      <c r="M83" s="9">
        <f>IF($H83&lt;&gt;"OK","",ROUND($G83*使い方と設定!$B$7*$AK83*INDEX(個性タイプマスタ!$Q$5:$AA$54,$AE83,5)/$AG83,4))</f>
        <v>0.51600000000000001</v>
      </c>
      <c r="N83" s="9">
        <f>IF($H83&lt;&gt;"OK","",ROUND($G83*使い方と設定!$B$7*$AK83*INDEX(個性タイプマスタ!$Q$5:$AA$54,$AE83,6)/$AG83,4))</f>
        <v>0.25440000000000002</v>
      </c>
      <c r="O83" s="9">
        <f>IF($H83&lt;&gt;"OK","",ROUND($G83*使い方と設定!$B$7*$AK83*INDEX(個性タイプマスタ!$Q$5:$AA$54,$AE83,7)/$AG83,4))</f>
        <v>9.3200000000000005E-2</v>
      </c>
      <c r="P83" s="9">
        <f>IF($H83&lt;&gt;"OK","",ROUND($G83*使い方と設定!$B$7*$AK83*INDEX(個性タイプマスタ!$Q$5:$AA$54,$AE83,8)/$AG83,4))</f>
        <v>0.16520000000000001</v>
      </c>
      <c r="Q83" s="9">
        <f>IF($H83&lt;&gt;"OK","",ROUND($G83*使い方と設定!$B$7*$AK83*INDEX(個性タイプマスタ!$Q$5:$AA$54,$AE83,9)/$AG83,4))</f>
        <v>9.3200000000000005E-2</v>
      </c>
      <c r="R83" s="9">
        <f>IF($H83&lt;&gt;"OK","",ROUND($G83*使い方と設定!$B$7*$AK83*INDEX(個性タイプマスタ!$Q$5:$AA$54,$AE83,10)/$AG83,4))</f>
        <v>0.1835</v>
      </c>
      <c r="S83" s="9">
        <f>IF($H83&lt;&gt;"OK","",ROUND($G83*使い方と設定!$B$7*$AK83*INDEX(個性タイプマスタ!$Q$5:$AA$54,$AE83,11)/$AG83,4))</f>
        <v>0.13439999999999999</v>
      </c>
      <c r="T83" s="9">
        <f>IF($H83&lt;&gt;"OK","",ROUND($G83*使い方と設定!$B$8*$AK83*$AH83*INDEX(属性耐性マスタ!$B$5:$G$10,$AF83,1),4))</f>
        <v>3.2300000000000002E-2</v>
      </c>
      <c r="U83" s="9">
        <f>IF($H83&lt;&gt;"OK","",ROUND($G83*使い方と設定!$B$8*$AK83*$AH83*INDEX(属性耐性マスタ!$B$5:$G$10,$AF83,2),4))</f>
        <v>0.16139999999999999</v>
      </c>
      <c r="V83" s="9">
        <f>IF($H83&lt;&gt;"OK","",ROUND($G83*使い方と設定!$B$8*$AK83*$AH83*INDEX(属性耐性マスタ!$B$5:$G$10,$AF83,3),4))</f>
        <v>1.0800000000000001E-2</v>
      </c>
      <c r="W83" s="9">
        <f>IF($H83&lt;&gt;"OK","",ROUND($G83*使い方と設定!$B$8*$AK83*$AH83*INDEX(属性耐性マスタ!$B$5:$G$10,$AF83,4),4))</f>
        <v>1.0800000000000001E-2</v>
      </c>
      <c r="X83" s="9">
        <f>IF($H83&lt;&gt;"OK","",ROUND($G83*使い方と設定!$B$8*$AK83*$AH83*INDEX(属性耐性マスタ!$B$5:$G$10,$AF83,5),4))</f>
        <v>8.0999999999999996E-3</v>
      </c>
      <c r="Y83" s="9">
        <f>IF($H83&lt;&gt;"OK","",ROUND($G83*使い方と設定!$B$8*$AK83*$AH83*INDEX(属性耐性マスタ!$B$5:$G$10,$AF83,6),4))</f>
        <v>8.0999999999999996E-3</v>
      </c>
      <c r="Z83" s="9">
        <f>IF($H83&lt;&gt;"OK","",ROUND($G83*使い方と設定!$B$9*$AK83*$AI83,4))</f>
        <v>0.8165</v>
      </c>
      <c r="AA83" s="10">
        <v>0.5</v>
      </c>
      <c r="AB83" s="11">
        <f t="shared" si="4"/>
        <v>2.8820000000000001</v>
      </c>
      <c r="AC83" s="11">
        <f t="shared" si="5"/>
        <v>0.23150000000000001</v>
      </c>
      <c r="AD83" s="7" t="str">
        <f>IF($H83&lt;&gt;"OK","",INDEX(個性タイプマスタ!$P$5:$P$54,$AE83))</f>
        <v>物防とHPが突出した防壁型</v>
      </c>
      <c r="AE83">
        <f>IFERROR(MATCH(E83,個性タイプマスタ!$A$5:$A$54,0),0)</f>
        <v>37</v>
      </c>
      <c r="AF83">
        <f>IFERROR(MATCH(F83,属性耐性マスタ!$A$5:$A$10,0),0)</f>
        <v>2</v>
      </c>
      <c r="AG83">
        <f>IF(AE83=0,1,INDEX(個性タイプマスタ!$AB$5:$AB$54,AE83))</f>
        <v>10.2075</v>
      </c>
      <c r="AH83">
        <f>IF(AE83=0,1,INDEX(個性タイプマスタ!$AC$5:$AC$54,AE83))</f>
        <v>1.4</v>
      </c>
      <c r="AI83">
        <f>IF(AE83=0,0,INDEX(個性タイプマスタ!$AD$5:$AD$54,AE83))</f>
        <v>0.85</v>
      </c>
      <c r="AJ83" s="16">
        <v>13</v>
      </c>
      <c r="AK83" s="17">
        <f>IF(OR(AJ83="",AJ83&lt;1),"",POWER(使い方と設定!$E$6,AJ83-1))</f>
        <v>1.6010322185676817</v>
      </c>
    </row>
    <row r="84" spans="1:37">
      <c r="A84" t="str">
        <f>+[2]称号!A79</f>
        <v>TITLE_078</v>
      </c>
      <c r="B84" t="str">
        <f>+[2]称号!B79</f>
        <v>深海王の咆哮</v>
      </c>
      <c r="C84" t="s">
        <v>282</v>
      </c>
      <c r="D84" t="s">
        <v>283</v>
      </c>
      <c r="E84" s="2" t="str">
        <f>[1]モンスター計算!AM82</f>
        <v>魔法・物防障壁</v>
      </c>
      <c r="F84" s="2" t="str">
        <f>[1]モンスター計算!C82</f>
        <v>闇</v>
      </c>
      <c r="G84" s="8">
        <v>1.25</v>
      </c>
      <c r="H84" t="str">
        <f t="shared" si="3"/>
        <v>OK</v>
      </c>
      <c r="I84" s="9">
        <f>IF($H84&lt;&gt;"OK","",ROUND($G84*使い方と設定!$B$7*$AK84*INDEX(個性タイプマスタ!$Q$5:$AA$54,$AE84,1)/$AG84,4))</f>
        <v>0.34110000000000001</v>
      </c>
      <c r="J84" s="9">
        <f>IF($H84&lt;&gt;"OK","",ROUND($G84*使い方と設定!$B$7*$AK84*INDEX(個性タイプマスタ!$Q$5:$AA$54,$AE84,2)/$AG84,4))</f>
        <v>0.41120000000000001</v>
      </c>
      <c r="K84" s="9">
        <f>IF($H84&lt;&gt;"OK","",ROUND($G84*使い方と設定!$B$7*$AK84*INDEX(個性タイプマスタ!$Q$5:$AA$54,$AE84,3)/$AG84,4))</f>
        <v>4.5699999999999998E-2</v>
      </c>
      <c r="L84" s="9">
        <f>IF($H84&lt;&gt;"OK","",ROUND($G84*使い方と設定!$B$7*$AK84*INDEX(個性タイプマスタ!$Q$5:$AA$54,$AE84,4)/$AG84,4))</f>
        <v>0.69220000000000004</v>
      </c>
      <c r="M84" s="9">
        <f>IF($H84&lt;&gt;"OK","",ROUND($G84*使い方と設定!$B$7*$AK84*INDEX(個性タイプマスタ!$Q$5:$AA$54,$AE84,5)/$AG84,4))</f>
        <v>0.45900000000000002</v>
      </c>
      <c r="N84" s="9">
        <f>IF($H84&lt;&gt;"OK","",ROUND($G84*使い方と設定!$B$7*$AK84*INDEX(個性タイプマスタ!$Q$5:$AA$54,$AE84,6)/$AG84,4))</f>
        <v>0.16950000000000001</v>
      </c>
      <c r="O84" s="9">
        <f>IF($H84&lt;&gt;"OK","",ROUND($G84*使い方と設定!$B$7*$AK84*INDEX(個性タイプマスタ!$Q$5:$AA$54,$AE84,7)/$AG84,4))</f>
        <v>0.16750000000000001</v>
      </c>
      <c r="P84" s="9">
        <f>IF($H84&lt;&gt;"OK","",ROUND($G84*使い方と設定!$B$7*$AK84*INDEX(個性タイプマスタ!$Q$5:$AA$54,$AE84,8)/$AG84,4))</f>
        <v>0.18</v>
      </c>
      <c r="Q84" s="9">
        <f>IF($H84&lt;&gt;"OK","",ROUND($G84*使い方と設定!$B$7*$AK84*INDEX(個性タイプマスタ!$Q$5:$AA$54,$AE84,9)/$AG84,4))</f>
        <v>0.11269999999999999</v>
      </c>
      <c r="R84" s="9">
        <f>IF($H84&lt;&gt;"OK","",ROUND($G84*使い方と設定!$B$7*$AK84*INDEX(個性タイプマスタ!$Q$5:$AA$54,$AE84,10)/$AG84,4))</f>
        <v>0.2409</v>
      </c>
      <c r="S84" s="9">
        <f>IF($H84&lt;&gt;"OK","",ROUND($G84*使い方と設定!$B$7*$AK84*INDEX(個性タイプマスタ!$Q$5:$AA$54,$AE84,11)/$AG84,4))</f>
        <v>0.1822</v>
      </c>
      <c r="T84" s="9">
        <f>IF($H84&lt;&gt;"OK","",ROUND($G84*使い方と設定!$B$8*$AK84*$AH84*INDEX(属性耐性マスタ!$B$5:$G$10,$AF84,1),4))</f>
        <v>7.6E-3</v>
      </c>
      <c r="U84" s="9">
        <f>IF($H84&lt;&gt;"OK","",ROUND($G84*使い方と設定!$B$8*$AK84*$AH84*INDEX(属性耐性マスタ!$B$5:$G$10,$AF84,2),4))</f>
        <v>7.6E-3</v>
      </c>
      <c r="V84" s="9">
        <f>IF($H84&lt;&gt;"OK","",ROUND($G84*使い方と設定!$B$8*$AK84*$AH84*INDEX(属性耐性マスタ!$B$5:$G$10,$AF84,3),4))</f>
        <v>7.6E-3</v>
      </c>
      <c r="W84" s="9">
        <f>IF($H84&lt;&gt;"OK","",ROUND($G84*使い方と設定!$B$8*$AK84*$AH84*INDEX(属性耐性マスタ!$B$5:$G$10,$AF84,4),4))</f>
        <v>7.6E-3</v>
      </c>
      <c r="X84" s="9">
        <f>IF($H84&lt;&gt;"OK","",ROUND($G84*使い方と設定!$B$8*$AK84*$AH84*INDEX(属性耐性マスタ!$B$5:$G$10,$AF84,5),4))</f>
        <v>2.0199999999999999E-2</v>
      </c>
      <c r="Y84" s="9">
        <f>IF($H84&lt;&gt;"OK","",ROUND($G84*使い方と設定!$B$8*$AK84*$AH84*INDEX(属性耐性マスタ!$B$5:$G$10,$AF84,6),4))</f>
        <v>0.15129999999999999</v>
      </c>
      <c r="Z84" s="9">
        <f>IF($H84&lt;&gt;"OK","",ROUND($G84*使い方と設定!$B$9*$AK84*$AI84,4))</f>
        <v>0.90890000000000004</v>
      </c>
      <c r="AA84" s="10">
        <v>0.25</v>
      </c>
      <c r="AB84" s="11">
        <f t="shared" si="4"/>
        <v>3.0019999999999998</v>
      </c>
      <c r="AC84" s="11">
        <f t="shared" si="5"/>
        <v>0.2019</v>
      </c>
      <c r="AD84" s="7" t="str">
        <f>IF($H84&lt;&gt;"OK","",INDEX(個性タイプマスタ!$P$5:$P$54,$AE84))</f>
        <v>物理防御を集中的に強化</v>
      </c>
      <c r="AE84">
        <f>IFERROR(MATCH(E84,個性タイプマスタ!$A$5:$A$54,0),0)</f>
        <v>25</v>
      </c>
      <c r="AF84">
        <f>IFERROR(MATCH(F84,属性耐性マスタ!$A$5:$A$10,0),0)</f>
        <v>6</v>
      </c>
      <c r="AG84">
        <f>IF(AE84=0,1,INDEX(個性タイプマスタ!$AB$5:$AB$54,AE84))</f>
        <v>10.8415</v>
      </c>
      <c r="AH84">
        <f>IF(AE84=0,1,INDEX(個性タイプマスタ!$AC$5:$AC$54,AE84))</f>
        <v>1.26</v>
      </c>
      <c r="AI84">
        <f>IF(AE84=0,0,INDEX(個性タイプマスタ!$AD$5:$AD$54,AE84))</f>
        <v>0.90833333333333333</v>
      </c>
      <c r="AJ84" s="16">
        <v>13</v>
      </c>
      <c r="AK84" s="17">
        <f>IF(OR(AJ84="",AJ84&lt;1),"",POWER(使い方と設定!$E$6,AJ84-1))</f>
        <v>1.6010322185676817</v>
      </c>
    </row>
    <row r="85" spans="1:37">
      <c r="A85" t="str">
        <f>+[2]称号!A80</f>
        <v>TITLE_079</v>
      </c>
      <c r="B85" t="str">
        <f>+[2]称号!B80</f>
        <v>血追いの追跡者</v>
      </c>
      <c r="C85" t="s">
        <v>284</v>
      </c>
      <c r="D85" t="s">
        <v>285</v>
      </c>
      <c r="E85" s="2" t="str">
        <f>[1]モンスター計算!AM83</f>
        <v>魔法・近距離</v>
      </c>
      <c r="F85" s="2" t="str">
        <f>[1]モンスター計算!C83</f>
        <v>風</v>
      </c>
      <c r="G85" s="8">
        <v>1</v>
      </c>
      <c r="H85" t="str">
        <f t="shared" si="3"/>
        <v>OK</v>
      </c>
      <c r="I85" s="9">
        <f>IF($H85&lt;&gt;"OK","",ROUND($G85*使い方と設定!$B$7*$AK85*INDEX(個性タイプマスタ!$Q$5:$AA$54,$AE85,1)/$AG85,4))</f>
        <v>0.31730000000000003</v>
      </c>
      <c r="J85" s="9">
        <f>IF($H85&lt;&gt;"OK","",ROUND($G85*使い方と設定!$B$7*$AK85*INDEX(個性タイプマスタ!$Q$5:$AA$54,$AE85,2)/$AG85,4))</f>
        <v>0.23549999999999999</v>
      </c>
      <c r="K85" s="9">
        <f>IF($H85&lt;&gt;"OK","",ROUND($G85*使い方と設定!$B$7*$AK85*INDEX(個性タイプマスタ!$Q$5:$AA$54,$AE85,3)/$AG85,4))</f>
        <v>4.7899999999999998E-2</v>
      </c>
      <c r="L85" s="9">
        <f>IF($H85&lt;&gt;"OK","",ROUND($G85*使い方と設定!$B$7*$AK85*INDEX(個性タイプマスタ!$Q$5:$AA$54,$AE85,4)/$AG85,4))</f>
        <v>0.56340000000000001</v>
      </c>
      <c r="M85" s="9">
        <f>IF($H85&lt;&gt;"OK","",ROUND($G85*使い方と設定!$B$7*$AK85*INDEX(個性タイプマスタ!$Q$5:$AA$54,$AE85,5)/$AG85,4))</f>
        <v>0.2356</v>
      </c>
      <c r="N85" s="9">
        <f>IF($H85&lt;&gt;"OK","",ROUND($G85*使い方と設定!$B$7*$AK85*INDEX(個性タイプマスタ!$Q$5:$AA$54,$AE85,6)/$AG85,4))</f>
        <v>0.2145</v>
      </c>
      <c r="O85" s="9">
        <f>IF($H85&lt;&gt;"OK","",ROUND($G85*使い方と設定!$B$7*$AK85*INDEX(個性タイプマスタ!$Q$5:$AA$54,$AE85,7)/$AG85,4))</f>
        <v>0.17349999999999999</v>
      </c>
      <c r="P85" s="9">
        <f>IF($H85&lt;&gt;"OK","",ROUND($G85*使い方と設定!$B$7*$AK85*INDEX(個性タイプマスタ!$Q$5:$AA$54,$AE85,8)/$AG85,4))</f>
        <v>0.14649999999999999</v>
      </c>
      <c r="Q85" s="9">
        <f>IF($H85&lt;&gt;"OK","",ROUND($G85*使い方と設定!$B$7*$AK85*INDEX(個性タイプマスタ!$Q$5:$AA$54,$AE85,9)/$AG85,4))</f>
        <v>0.13880000000000001</v>
      </c>
      <c r="R85" s="9">
        <f>IF($H85&lt;&gt;"OK","",ROUND($G85*使い方と設定!$B$7*$AK85*INDEX(個性タイプマスタ!$Q$5:$AA$54,$AE85,10)/$AG85,4))</f>
        <v>0.32679999999999998</v>
      </c>
      <c r="S85" s="9">
        <f>IF($H85&lt;&gt;"OK","",ROUND($G85*使い方と設定!$B$7*$AK85*INDEX(個性タイプマスタ!$Q$5:$AA$54,$AE85,11)/$AG85,4))</f>
        <v>9.7799999999999998E-2</v>
      </c>
      <c r="T85" s="9">
        <f>IF($H85&lt;&gt;"OK","",ROUND($G85*使い方と設定!$B$8*$AK85*$AH85*INDEX(属性耐性マスタ!$B$5:$G$10,$AF85,1),4))</f>
        <v>7.4999999999999997E-3</v>
      </c>
      <c r="U85" s="9">
        <f>IF($H85&lt;&gt;"OK","",ROUND($G85*使い方と設定!$B$8*$AK85*$AH85*INDEX(属性耐性マスタ!$B$5:$G$10,$AF85,2),4))</f>
        <v>7.4999999999999997E-3</v>
      </c>
      <c r="V85" s="9">
        <f>IF($H85&lt;&gt;"OK","",ROUND($G85*使い方と設定!$B$8*$AK85*$AH85*INDEX(属性耐性マスタ!$B$5:$G$10,$AF85,3),4))</f>
        <v>0.1119</v>
      </c>
      <c r="W85" s="9">
        <f>IF($H85&lt;&gt;"OK","",ROUND($G85*使い方と設定!$B$8*$AK85*$AH85*INDEX(属性耐性マスタ!$B$5:$G$10,$AF85,4),4))</f>
        <v>2.8000000000000001E-2</v>
      </c>
      <c r="X85" s="9">
        <f>IF($H85&lt;&gt;"OK","",ROUND($G85*使い方と設定!$B$8*$AK85*$AH85*INDEX(属性耐性マスタ!$B$5:$G$10,$AF85,5),4))</f>
        <v>5.5999999999999999E-3</v>
      </c>
      <c r="Y85" s="9">
        <f>IF($H85&lt;&gt;"OK","",ROUND($G85*使い方と設定!$B$8*$AK85*$AH85*INDEX(属性耐性マスタ!$B$5:$G$10,$AF85,6),4))</f>
        <v>5.5999999999999999E-3</v>
      </c>
      <c r="Z85" s="9">
        <f>IF($H85&lt;&gt;"OK","",ROUND($G85*使い方と設定!$B$9*$AK85*$AI85,4))</f>
        <v>0.88800000000000001</v>
      </c>
      <c r="AA85" s="10">
        <v>1</v>
      </c>
      <c r="AB85" s="11">
        <f t="shared" si="4"/>
        <v>2.4975999999999998</v>
      </c>
      <c r="AC85" s="11">
        <f t="shared" si="5"/>
        <v>0.1661</v>
      </c>
      <c r="AD85" s="7" t="str">
        <f>IF($H85&lt;&gt;"OK","",INDEX(個性タイプマスタ!$P$5:$P$54,$AE85))</f>
        <v>短射程の連発型</v>
      </c>
      <c r="AE85">
        <f>IFERROR(MATCH(E85,個性タイプマスタ!$A$5:$A$54,0),0)</f>
        <v>21</v>
      </c>
      <c r="AF85">
        <f>IFERROR(MATCH(F85,属性耐性マスタ!$A$5:$A$10,0),0)</f>
        <v>3</v>
      </c>
      <c r="AG85">
        <f>IF(AE85=0,1,INDEX(個性タイプマスタ!$AB$5:$AB$54,AE85))</f>
        <v>11.082999999999998</v>
      </c>
      <c r="AH85">
        <f>IF(AE85=0,1,INDEX(個性タイプマスタ!$AC$5:$AC$54,AE85))</f>
        <v>1.1200000000000001</v>
      </c>
      <c r="AI85">
        <f>IF(AE85=0,0,INDEX(個性タイプマスタ!$AD$5:$AD$54,AE85))</f>
        <v>1.0666666666666667</v>
      </c>
      <c r="AJ85" s="16">
        <v>14</v>
      </c>
      <c r="AK85" s="17">
        <f>IF(OR(AJ85="",AJ85&lt;1),"",POWER(使い方と設定!$E$6,AJ85-1))</f>
        <v>1.6650735073103891</v>
      </c>
    </row>
    <row r="86" spans="1:37">
      <c r="A86" t="str">
        <f>+[2]称号!A81</f>
        <v>TITLE_080</v>
      </c>
      <c r="B86" t="str">
        <f>+[2]称号!B81</f>
        <v>夢光の小妖精</v>
      </c>
      <c r="C86" t="s">
        <v>286</v>
      </c>
      <c r="D86" t="s">
        <v>287</v>
      </c>
      <c r="E86" s="2" t="str">
        <f>[1]モンスター計算!AM84</f>
        <v>魔法・探索</v>
      </c>
      <c r="F86" s="2" t="str">
        <f>[1]モンスター計算!C84</f>
        <v>光</v>
      </c>
      <c r="G86" s="8">
        <v>1.05</v>
      </c>
      <c r="H86" t="str">
        <f t="shared" si="3"/>
        <v>OK</v>
      </c>
      <c r="I86" s="9">
        <f>IF($H86&lt;&gt;"OK","",ROUND($G86*使い方と設定!$B$7*$AK86*INDEX(個性タイプマスタ!$Q$5:$AA$54,$AE86,1)/$AG86,4))</f>
        <v>0.24690000000000001</v>
      </c>
      <c r="J86" s="9">
        <f>IF($H86&lt;&gt;"OK","",ROUND($G86*使い方と設定!$B$7*$AK86*INDEX(個性タイプマスタ!$Q$5:$AA$54,$AE86,2)/$AG86,4))</f>
        <v>0.2636</v>
      </c>
      <c r="K86" s="9">
        <f>IF($H86&lt;&gt;"OK","",ROUND($G86*使い方と設定!$B$7*$AK86*INDEX(個性タイプマスタ!$Q$5:$AA$54,$AE86,3)/$AG86,4))</f>
        <v>3.78E-2</v>
      </c>
      <c r="L86" s="9">
        <f>IF($H86&lt;&gt;"OK","",ROUND($G86*使い方と設定!$B$7*$AK86*INDEX(個性タイプマスタ!$Q$5:$AA$54,$AE86,4)/$AG86,4))</f>
        <v>0.63060000000000005</v>
      </c>
      <c r="M86" s="9">
        <f>IF($H86&lt;&gt;"OK","",ROUND($G86*使い方と設定!$B$7*$AK86*INDEX(個性タイプマスタ!$Q$5:$AA$54,$AE86,5)/$AG86,4))</f>
        <v>0.19719999999999999</v>
      </c>
      <c r="N86" s="9">
        <f>IF($H86&lt;&gt;"OK","",ROUND($G86*使い方と設定!$B$7*$AK86*INDEX(個性タイプマスタ!$Q$5:$AA$54,$AE86,6)/$AG86,4))</f>
        <v>0.1951</v>
      </c>
      <c r="O86" s="9">
        <f>IF($H86&lt;&gt;"OK","",ROUND($G86*使い方と設定!$B$7*$AK86*INDEX(個性タイプマスタ!$Q$5:$AA$54,$AE86,7)/$AG86,4))</f>
        <v>0.20810000000000001</v>
      </c>
      <c r="P86" s="9">
        <f>IF($H86&lt;&gt;"OK","",ROUND($G86*使い方と設定!$B$7*$AK86*INDEX(個性タイプマスタ!$Q$5:$AA$54,$AE86,8)/$AG86,4))</f>
        <v>0.16389999999999999</v>
      </c>
      <c r="Q86" s="9">
        <f>IF($H86&lt;&gt;"OK","",ROUND($G86*使い方と設定!$B$7*$AK86*INDEX(個性タイプマスタ!$Q$5:$AA$54,$AE86,9)/$AG86,4))</f>
        <v>0.17199999999999999</v>
      </c>
      <c r="R86" s="9">
        <f>IF($H86&lt;&gt;"OK","",ROUND($G86*使い方と設定!$B$7*$AK86*INDEX(個性タイプマスタ!$Q$5:$AA$54,$AE86,10)/$AG86,4))</f>
        <v>0.29010000000000002</v>
      </c>
      <c r="S86" s="9">
        <f>IF($H86&lt;&gt;"OK","",ROUND($G86*使い方と設定!$B$7*$AK86*INDEX(個性タイプマスタ!$Q$5:$AA$54,$AE86,11)/$AG86,4))</f>
        <v>0.2172</v>
      </c>
      <c r="T86" s="9">
        <f>IF($H86&lt;&gt;"OK","",ROUND($G86*使い方と設定!$B$8*$AK86*$AH86*INDEX(属性耐性マスタ!$B$5:$G$10,$AF86,1),4))</f>
        <v>5.0000000000000001E-3</v>
      </c>
      <c r="U86" s="9">
        <f>IF($H86&lt;&gt;"OK","",ROUND($G86*使い方と設定!$B$8*$AK86*$AH86*INDEX(属性耐性マスタ!$B$5:$G$10,$AF86,2),4))</f>
        <v>5.0000000000000001E-3</v>
      </c>
      <c r="V86" s="9">
        <f>IF($H86&lt;&gt;"OK","",ROUND($G86*使い方と設定!$B$8*$AK86*$AH86*INDEX(属性耐性マスタ!$B$5:$G$10,$AF86,3),4))</f>
        <v>5.0000000000000001E-3</v>
      </c>
      <c r="W86" s="9">
        <f>IF($H86&lt;&gt;"OK","",ROUND($G86*使い方と設定!$B$8*$AK86*$AH86*INDEX(属性耐性マスタ!$B$5:$G$10,$AF86,4),4))</f>
        <v>5.0000000000000001E-3</v>
      </c>
      <c r="X86" s="9">
        <f>IF($H86&lt;&gt;"OK","",ROUND($G86*使い方と設定!$B$8*$AK86*$AH86*INDEX(属性耐性マスタ!$B$5:$G$10,$AF86,5),4))</f>
        <v>0.1007</v>
      </c>
      <c r="Y86" s="9">
        <f>IF($H86&lt;&gt;"OK","",ROUND($G86*使い方と設定!$B$8*$AK86*$AH86*INDEX(属性耐性マスタ!$B$5:$G$10,$AF86,6),4))</f>
        <v>1.34E-2</v>
      </c>
      <c r="Z86" s="9">
        <f>IF($H86&lt;&gt;"OK","",ROUND($G86*使い方と設定!$B$9*$AK86*$AI86,4))</f>
        <v>1.6317999999999999</v>
      </c>
      <c r="AA86" s="10">
        <v>1</v>
      </c>
      <c r="AB86" s="11">
        <f t="shared" si="4"/>
        <v>2.6225000000000001</v>
      </c>
      <c r="AC86" s="11">
        <f t="shared" si="5"/>
        <v>0.1341</v>
      </c>
      <c r="AD86" s="7" t="str">
        <f>IF($H86&lt;&gt;"OK","",INDEX(個性タイプマスタ!$P$5:$P$54,$AE86))</f>
        <v>高索敵・長射程寄りの探索型</v>
      </c>
      <c r="AE86">
        <f>IFERROR(MATCH(E86,個性タイプマスタ!$A$5:$A$54,0),0)</f>
        <v>28</v>
      </c>
      <c r="AF86">
        <f>IFERROR(MATCH(F86,属性耐性マスタ!$A$5:$A$10,0),0)</f>
        <v>5</v>
      </c>
      <c r="AG86">
        <f>IF(AE86=0,1,INDEX(個性タイプマスタ!$AB$5:$AB$54,AE86))</f>
        <v>10.397500000000001</v>
      </c>
      <c r="AH86">
        <f>IF(AE86=0,1,INDEX(個性タイプマスタ!$AC$5:$AC$54,AE86))</f>
        <v>0.96</v>
      </c>
      <c r="AI86">
        <f>IF(AE86=0,0,INDEX(個性タイプマスタ!$AD$5:$AD$54,AE86))</f>
        <v>1.8666666666666667</v>
      </c>
      <c r="AJ86" s="16">
        <v>14</v>
      </c>
      <c r="AK86" s="17">
        <f>IF(OR(AJ86="",AJ86&lt;1),"",POWER(使い方と設定!$E$6,AJ86-1))</f>
        <v>1.6650735073103891</v>
      </c>
    </row>
    <row r="87" spans="1:37">
      <c r="A87" t="str">
        <f>+[2]称号!A82</f>
        <v>TITLE_081</v>
      </c>
      <c r="B87" t="str">
        <f>+[2]称号!B82</f>
        <v>老練なる策謀者</v>
      </c>
      <c r="C87" t="s">
        <v>288</v>
      </c>
      <c r="D87" t="s">
        <v>289</v>
      </c>
      <c r="E87" s="2" t="str">
        <f>[1]モンスター計算!AM85</f>
        <v>魔法・守護</v>
      </c>
      <c r="F87" s="2" t="str">
        <f>[1]モンスター計算!C85</f>
        <v>風</v>
      </c>
      <c r="G87" s="8">
        <v>1.1000000000000001</v>
      </c>
      <c r="H87" t="str">
        <f t="shared" si="3"/>
        <v>OK</v>
      </c>
      <c r="I87" s="9">
        <f>IF($H87&lt;&gt;"OK","",ROUND($G87*使い方と設定!$B$7*$AK87*INDEX(個性タイプマスタ!$Q$5:$AA$54,$AE87,1)/$AG87,4))</f>
        <v>0.3579</v>
      </c>
      <c r="J87" s="9">
        <f>IF($H87&lt;&gt;"OK","",ROUND($G87*使い方と設定!$B$7*$AK87*INDEX(個性タイプマスタ!$Q$5:$AA$54,$AE87,2)/$AG87,4))</f>
        <v>0.29820000000000002</v>
      </c>
      <c r="K87" s="9">
        <f>IF($H87&lt;&gt;"OK","",ROUND($G87*使い方と設定!$B$7*$AK87*INDEX(個性タイプマスタ!$Q$5:$AA$54,$AE87,3)/$AG87,4))</f>
        <v>5.4199999999999998E-2</v>
      </c>
      <c r="L87" s="9">
        <f>IF($H87&lt;&gt;"OK","",ROUND($G87*使い方と設定!$B$7*$AK87*INDEX(個性タイプマスタ!$Q$5:$AA$54,$AE87,4)/$AG87,4))</f>
        <v>0.5423</v>
      </c>
      <c r="M87" s="9">
        <f>IF($H87&lt;&gt;"OK","",ROUND($G87*使い方と設定!$B$7*$AK87*INDEX(個性タイプマスタ!$Q$5:$AA$54,$AE87,5)/$AG87,4))</f>
        <v>0.27660000000000001</v>
      </c>
      <c r="N87" s="9">
        <f>IF($H87&lt;&gt;"OK","",ROUND($G87*使い方と設定!$B$7*$AK87*INDEX(個性タイプマスタ!$Q$5:$AA$54,$AE87,6)/$AG87,4))</f>
        <v>0.2581</v>
      </c>
      <c r="O87" s="9">
        <f>IF($H87&lt;&gt;"OK","",ROUND($G87*使い方と設定!$B$7*$AK87*INDEX(個性タイプマスタ!$Q$5:$AA$54,$AE87,7)/$AG87,4))</f>
        <v>0.23860000000000001</v>
      </c>
      <c r="P87" s="9">
        <f>IF($H87&lt;&gt;"OK","",ROUND($G87*使い方と設定!$B$7*$AK87*INDEX(個性タイプマスタ!$Q$5:$AA$54,$AE87,8)/$AG87,4))</f>
        <v>0.16450000000000001</v>
      </c>
      <c r="Q87" s="9">
        <f>IF($H87&lt;&gt;"OK","",ROUND($G87*使い方と設定!$B$7*$AK87*INDEX(個性タイプマスタ!$Q$5:$AA$54,$AE87,9)/$AG87,4))</f>
        <v>0.1145</v>
      </c>
      <c r="R87" s="9">
        <f>IF($H87&lt;&gt;"OK","",ROUND($G87*使い方と設定!$B$7*$AK87*INDEX(個性タイプマスタ!$Q$5:$AA$54,$AE87,10)/$AG87,4))</f>
        <v>0.26029999999999998</v>
      </c>
      <c r="S87" s="9">
        <f>IF($H87&lt;&gt;"OK","",ROUND($G87*使い方と設定!$B$7*$AK87*INDEX(個性タイプマスタ!$Q$5:$AA$54,$AE87,11)/$AG87,4))</f>
        <v>0.1822</v>
      </c>
      <c r="T87" s="9">
        <f>IF($H87&lt;&gt;"OK","",ROUND($G87*使い方と設定!$B$8*$AK87*$AH87*INDEX(属性耐性マスタ!$B$5:$G$10,$AF87,1),4))</f>
        <v>9.7000000000000003E-3</v>
      </c>
      <c r="U87" s="9">
        <f>IF($H87&lt;&gt;"OK","",ROUND($G87*使い方と設定!$B$8*$AK87*$AH87*INDEX(属性耐性マスタ!$B$5:$G$10,$AF87,2),4))</f>
        <v>9.7000000000000003E-3</v>
      </c>
      <c r="V87" s="9">
        <f>IF($H87&lt;&gt;"OK","",ROUND($G87*使い方と設定!$B$8*$AK87*$AH87*INDEX(属性耐性マスタ!$B$5:$G$10,$AF87,3),4))</f>
        <v>0.14510000000000001</v>
      </c>
      <c r="W87" s="9">
        <f>IF($H87&lt;&gt;"OK","",ROUND($G87*使い方と設定!$B$8*$AK87*$AH87*INDEX(属性耐性マスタ!$B$5:$G$10,$AF87,4),4))</f>
        <v>3.6299999999999999E-2</v>
      </c>
      <c r="X87" s="9">
        <f>IF($H87&lt;&gt;"OK","",ROUND($G87*使い方と設定!$B$8*$AK87*$AH87*INDEX(属性耐性マスタ!$B$5:$G$10,$AF87,5),4))</f>
        <v>7.3000000000000001E-3</v>
      </c>
      <c r="Y87" s="9">
        <f>IF($H87&lt;&gt;"OK","",ROUND($G87*使い方と設定!$B$8*$AK87*$AH87*INDEX(属性耐性マスタ!$B$5:$G$10,$AF87,6),4))</f>
        <v>7.3000000000000001E-3</v>
      </c>
      <c r="Z87" s="9">
        <f>IF($H87&lt;&gt;"OK","",ROUND($G87*使い方と設定!$B$9*$AK87*$AI87,4))</f>
        <v>0.91579999999999995</v>
      </c>
      <c r="AA87" s="10">
        <v>0.9</v>
      </c>
      <c r="AB87" s="11">
        <f t="shared" si="4"/>
        <v>2.7473999999999998</v>
      </c>
      <c r="AC87" s="11">
        <f t="shared" si="5"/>
        <v>0.21540000000000001</v>
      </c>
      <c r="AD87" s="7" t="str">
        <f>IF($H87&lt;&gt;"OK","",INDEX(個性タイプマスタ!$P$5:$P$54,$AE87))</f>
        <v>HP・防御・耐性の高い魔法型</v>
      </c>
      <c r="AE87">
        <f>IFERROR(MATCH(E87,個性タイプマスタ!$A$5:$A$54,0),0)</f>
        <v>6</v>
      </c>
      <c r="AF87">
        <f>IFERROR(MATCH(F87,属性耐性マスタ!$A$5:$A$10,0),0)</f>
        <v>3</v>
      </c>
      <c r="AG87">
        <f>IF(AE87=0,1,INDEX(個性タイプマスタ!$AB$5:$AB$54,AE87))</f>
        <v>12.666333333333332</v>
      </c>
      <c r="AH87">
        <f>IF(AE87=0,1,INDEX(個性タイプマスタ!$AC$5:$AC$54,AE87))</f>
        <v>1.32</v>
      </c>
      <c r="AI87">
        <f>IF(AE87=0,0,INDEX(個性タイプマスタ!$AD$5:$AD$54,AE87))</f>
        <v>1</v>
      </c>
      <c r="AJ87" s="16">
        <v>14</v>
      </c>
      <c r="AK87" s="17">
        <f>IF(OR(AJ87="",AJ87&lt;1),"",POWER(使い方と設定!$E$6,AJ87-1))</f>
        <v>1.6650735073103891</v>
      </c>
    </row>
    <row r="88" spans="1:37">
      <c r="A88" t="str">
        <f>+[2]称号!A83</f>
        <v>TITLE_082</v>
      </c>
      <c r="B88" t="str">
        <f>+[2]称号!B83</f>
        <v>蒼鱗の戦姫</v>
      </c>
      <c r="C88" t="s">
        <v>290</v>
      </c>
      <c r="D88" t="s">
        <v>291</v>
      </c>
      <c r="E88" s="2" t="str">
        <f>[1]モンスター計算!AM86</f>
        <v>近接・機動</v>
      </c>
      <c r="F88" s="2" t="str">
        <f>[1]モンスター計算!C86</f>
        <v>火</v>
      </c>
      <c r="G88" s="8">
        <v>1.1499999999999999</v>
      </c>
      <c r="H88" t="str">
        <f t="shared" si="3"/>
        <v>OK</v>
      </c>
      <c r="I88" s="9">
        <f>IF($H88&lt;&gt;"OK","",ROUND($G88*使い方と設定!$B$7*$AK88*INDEX(個性タイプマスタ!$Q$5:$AA$54,$AE88,1)/$AG88,4))</f>
        <v>0.22059999999999999</v>
      </c>
      <c r="J88" s="9">
        <f>IF($H88&lt;&gt;"OK","",ROUND($G88*使い方と設定!$B$7*$AK88*INDEX(個性タイプマスタ!$Q$5:$AA$54,$AE88,2)/$AG88,4))</f>
        <v>0.13400000000000001</v>
      </c>
      <c r="K88" s="9">
        <f>IF($H88&lt;&gt;"OK","",ROUND($G88*使い方と設定!$B$7*$AK88*INDEX(個性タイプマスタ!$Q$5:$AA$54,$AE88,3)/$AG88,4))</f>
        <v>0.71640000000000004</v>
      </c>
      <c r="L88" s="9">
        <f>IF($H88&lt;&gt;"OK","",ROUND($G88*使い方と設定!$B$7*$AK88*INDEX(個性タイプマスタ!$Q$5:$AA$54,$AE88,4)/$AG88,4))</f>
        <v>5.3699999999999998E-2</v>
      </c>
      <c r="M88" s="9">
        <f>IF($H88&lt;&gt;"OK","",ROUND($G88*使い方と設定!$B$7*$AK88*INDEX(個性タイプマスタ!$Q$5:$AA$54,$AE88,5)/$AG88,4))</f>
        <v>0.18509999999999999</v>
      </c>
      <c r="N88" s="9">
        <f>IF($H88&lt;&gt;"OK","",ROUND($G88*使い方と設定!$B$7*$AK88*INDEX(個性タイプマスタ!$Q$5:$AA$54,$AE88,6)/$AG88,4))</f>
        <v>0.19</v>
      </c>
      <c r="O88" s="9">
        <f>IF($H88&lt;&gt;"OK","",ROUND($G88*使い方と設定!$B$7*$AK88*INDEX(個性タイプマスタ!$Q$5:$AA$54,$AE88,7)/$AG88,4))</f>
        <v>0.34670000000000001</v>
      </c>
      <c r="P88" s="9">
        <f>IF($H88&lt;&gt;"OK","",ROUND($G88*使い方と設定!$B$7*$AK88*INDEX(個性タイプマスタ!$Q$5:$AA$54,$AE88,8)/$AG88,4))</f>
        <v>0.19620000000000001</v>
      </c>
      <c r="Q88" s="9">
        <f>IF($H88&lt;&gt;"OK","",ROUND($G88*使い方と設定!$B$7*$AK88*INDEX(個性タイプマスタ!$Q$5:$AA$54,$AE88,9)/$AG88,4))</f>
        <v>0.28050000000000003</v>
      </c>
      <c r="R88" s="9">
        <f>IF($H88&lt;&gt;"OK","",ROUND($G88*使い方と設定!$B$7*$AK88*INDEX(個性タイプマスタ!$Q$5:$AA$54,$AE88,10)/$AG88,4))</f>
        <v>0.3725</v>
      </c>
      <c r="S88" s="9">
        <f>IF($H88&lt;&gt;"OK","",ROUND($G88*使い方と設定!$B$7*$AK88*INDEX(個性タイプマスタ!$Q$5:$AA$54,$AE88,11)/$AG88,4))</f>
        <v>0.17649999999999999</v>
      </c>
      <c r="T88" s="9">
        <f>IF($H88&lt;&gt;"OK","",ROUND($G88*使い方と設定!$B$8*$AK88*$AH88*INDEX(属性耐性マスタ!$B$5:$G$10,$AF88,1),4))</f>
        <v>8.7300000000000003E-2</v>
      </c>
      <c r="U88" s="9">
        <f>IF($H88&lt;&gt;"OK","",ROUND($G88*使い方と設定!$B$8*$AK88*$AH88*INDEX(属性耐性マスタ!$B$5:$G$10,$AF88,2),4))</f>
        <v>1.7500000000000002E-2</v>
      </c>
      <c r="V88" s="9">
        <f>IF($H88&lt;&gt;"OK","",ROUND($G88*使い方と設定!$B$8*$AK88*$AH88*INDEX(属性耐性マスタ!$B$5:$G$10,$AF88,3),4))</f>
        <v>5.7999999999999996E-3</v>
      </c>
      <c r="W88" s="9">
        <f>IF($H88&lt;&gt;"OK","",ROUND($G88*使い方と設定!$B$8*$AK88*$AH88*INDEX(属性耐性マスタ!$B$5:$G$10,$AF88,4),4))</f>
        <v>5.7999999999999996E-3</v>
      </c>
      <c r="X88" s="9">
        <f>IF($H88&lt;&gt;"OK","",ROUND($G88*使い方と設定!$B$8*$AK88*$AH88*INDEX(属性耐性マスタ!$B$5:$G$10,$AF88,5),4))</f>
        <v>4.4000000000000003E-3</v>
      </c>
      <c r="Y88" s="9">
        <f>IF($H88&lt;&gt;"OK","",ROUND($G88*使い方と設定!$B$8*$AK88*$AH88*INDEX(属性耐性マスタ!$B$5:$G$10,$AF88,6),4))</f>
        <v>4.4000000000000003E-3</v>
      </c>
      <c r="Z88" s="9">
        <f>IF($H88&lt;&gt;"OK","",ROUND($G88*使い方と設定!$B$9*$AK88*$AI88,4))</f>
        <v>1.2845</v>
      </c>
      <c r="AA88" s="10">
        <v>0.55000000000000004</v>
      </c>
      <c r="AB88" s="11">
        <f t="shared" si="4"/>
        <v>2.8721999999999999</v>
      </c>
      <c r="AC88" s="11">
        <f t="shared" si="5"/>
        <v>0.12520000000000001</v>
      </c>
      <c r="AD88" s="7" t="str">
        <f>IF($H88&lt;&gt;"OK","",INDEX(個性タイプマスタ!$P$5:$P$54,$AE88))</f>
        <v>高移動速度で接敵に優れる</v>
      </c>
      <c r="AE88">
        <f>IFERROR(MATCH(E88,個性タイプマスタ!$A$5:$A$54,0),0)</f>
        <v>36</v>
      </c>
      <c r="AF88">
        <f>IFERROR(MATCH(F88,属性耐性マスタ!$A$5:$A$10,0),0)</f>
        <v>1</v>
      </c>
      <c r="AG88">
        <f>IF(AE88=0,1,INDEX(個性タイプマスタ!$AB$5:$AB$54,AE88))</f>
        <v>10.023666666666667</v>
      </c>
      <c r="AH88">
        <f>IF(AE88=0,1,INDEX(個性タイプマスタ!$AC$5:$AC$54,AE88))</f>
        <v>0.76</v>
      </c>
      <c r="AI88">
        <f>IF(AE88=0,0,INDEX(個性タイプマスタ!$AD$5:$AD$54,AE88))</f>
        <v>1.3416666666666668</v>
      </c>
      <c r="AJ88" s="16">
        <v>14</v>
      </c>
      <c r="AK88" s="17">
        <f>IF(OR(AJ88="",AJ88&lt;1),"",POWER(使い方と設定!$E$6,AJ88-1))</f>
        <v>1.6650735073103891</v>
      </c>
    </row>
    <row r="89" spans="1:37">
      <c r="A89" t="str">
        <f>+[2]称号!A84</f>
        <v>TITLE_083</v>
      </c>
      <c r="B89" t="str">
        <f>+[2]称号!B84</f>
        <v>牙角の猛将</v>
      </c>
      <c r="C89" t="s">
        <v>293</v>
      </c>
      <c r="D89" t="s">
        <v>294</v>
      </c>
      <c r="E89" s="2" t="str">
        <f>[1]モンスター計算!AM87</f>
        <v>近接・堅実</v>
      </c>
      <c r="F89" s="2" t="str">
        <f>[1]モンスター計算!C87</f>
        <v>雷</v>
      </c>
      <c r="G89" s="8">
        <v>1.2</v>
      </c>
      <c r="H89" t="str">
        <f t="shared" si="3"/>
        <v>OK</v>
      </c>
      <c r="I89" s="9">
        <f>IF($H89&lt;&gt;"OK","",ROUND($G89*使い方と設定!$B$7*$AK89*INDEX(個性タイプマスタ!$Q$5:$AA$54,$AE89,1)/$AG89,4))</f>
        <v>0.37390000000000001</v>
      </c>
      <c r="J89" s="9">
        <f>IF($H89&lt;&gt;"OK","",ROUND($G89*使い方と設定!$B$7*$AK89*INDEX(個性タイプマスタ!$Q$5:$AA$54,$AE89,2)/$AG89,4))</f>
        <v>0.15859999999999999</v>
      </c>
      <c r="K89" s="9">
        <f>IF($H89&lt;&gt;"OK","",ROUND($G89*使い方と設定!$B$7*$AK89*INDEX(個性タイプマスタ!$Q$5:$AA$54,$AE89,3)/$AG89,4))</f>
        <v>0.75870000000000004</v>
      </c>
      <c r="L89" s="9">
        <f>IF($H89&lt;&gt;"OK","",ROUND($G89*使い方と設定!$B$7*$AK89*INDEX(個性タイプマスタ!$Q$5:$AA$54,$AE89,4)/$AG89,4))</f>
        <v>5.9200000000000003E-2</v>
      </c>
      <c r="M89" s="9">
        <f>IF($H89&lt;&gt;"OK","",ROUND($G89*使い方と設定!$B$7*$AK89*INDEX(個性タイプマスタ!$Q$5:$AA$54,$AE89,5)/$AG89,4))</f>
        <v>0.32500000000000001</v>
      </c>
      <c r="N89" s="9">
        <f>IF($H89&lt;&gt;"OK","",ROUND($G89*使い方と設定!$B$7*$AK89*INDEX(個性タイプマスタ!$Q$5:$AA$54,$AE89,6)/$AG89,4))</f>
        <v>0.31990000000000002</v>
      </c>
      <c r="O89" s="9">
        <f>IF($H89&lt;&gt;"OK","",ROUND($G89*使い方と設定!$B$7*$AK89*INDEX(個性タイプマスタ!$Q$5:$AA$54,$AE89,7)/$AG89,4))</f>
        <v>0.13350000000000001</v>
      </c>
      <c r="P89" s="9">
        <f>IF($H89&lt;&gt;"OK","",ROUND($G89*使い方と設定!$B$7*$AK89*INDEX(個性タイプマスタ!$Q$5:$AA$54,$AE89,8)/$AG89,4))</f>
        <v>0.18410000000000001</v>
      </c>
      <c r="Q89" s="9">
        <f>IF($H89&lt;&gt;"OK","",ROUND($G89*使い方と設定!$B$7*$AK89*INDEX(個性タイプマスタ!$Q$5:$AA$54,$AE89,9)/$AG89,4))</f>
        <v>0.1636</v>
      </c>
      <c r="R89" s="9">
        <f>IF($H89&lt;&gt;"OK","",ROUND($G89*使い方と設定!$B$7*$AK89*INDEX(個性タイプマスタ!$Q$5:$AA$54,$AE89,10)/$AG89,4))</f>
        <v>0.31259999999999999</v>
      </c>
      <c r="S89" s="9">
        <f>IF($H89&lt;&gt;"OK","",ROUND($G89*使い方と設定!$B$7*$AK89*INDEX(個性タイプマスタ!$Q$5:$AA$54,$AE89,11)/$AG89,4))</f>
        <v>0.2082</v>
      </c>
      <c r="T89" s="9">
        <f>IF($H89&lt;&gt;"OK","",ROUND($G89*使い方と設定!$B$8*$AK89*$AH89*INDEX(属性耐性マスタ!$B$5:$G$10,$AF89,1),4))</f>
        <v>9.2999999999999992E-3</v>
      </c>
      <c r="U89" s="9">
        <f>IF($H89&lt;&gt;"OK","",ROUND($G89*使い方と設定!$B$8*$AK89*$AH89*INDEX(属性耐性マスタ!$B$5:$G$10,$AF89,2),4))</f>
        <v>9.2999999999999992E-3</v>
      </c>
      <c r="V89" s="9">
        <f>IF($H89&lt;&gt;"OK","",ROUND($G89*使い方と設定!$B$8*$AK89*$AH89*INDEX(属性耐性マスタ!$B$5:$G$10,$AF89,3),4))</f>
        <v>3.4799999999999998E-2</v>
      </c>
      <c r="W89" s="9">
        <f>IF($H89&lt;&gt;"OK","",ROUND($G89*使い方と設定!$B$8*$AK89*$AH89*INDEX(属性耐性マスタ!$B$5:$G$10,$AF89,4),4))</f>
        <v>0.1391</v>
      </c>
      <c r="X89" s="9">
        <f>IF($H89&lt;&gt;"OK","",ROUND($G89*使い方と設定!$B$8*$AK89*$AH89*INDEX(属性耐性マスタ!$B$5:$G$10,$AF89,5),4))</f>
        <v>7.0000000000000001E-3</v>
      </c>
      <c r="Y89" s="9">
        <f>IF($H89&lt;&gt;"OK","",ROUND($G89*使い方と設定!$B$8*$AK89*$AH89*INDEX(属性耐性マスタ!$B$5:$G$10,$AF89,6),4))</f>
        <v>7.0000000000000001E-3</v>
      </c>
      <c r="Z89" s="9">
        <f>IF($H89&lt;&gt;"OK","",ROUND($G89*使い方と設定!$B$9*$AK89*$AI89,4))</f>
        <v>1.0074000000000001</v>
      </c>
      <c r="AA89" s="10">
        <v>0.5</v>
      </c>
      <c r="AB89" s="11">
        <f t="shared" si="4"/>
        <v>2.9973000000000001</v>
      </c>
      <c r="AC89" s="11">
        <f t="shared" si="5"/>
        <v>0.20649999999999999</v>
      </c>
      <c r="AD89" s="7" t="str">
        <f>IF($H89&lt;&gt;"OK","",INDEX(個性タイプマスタ!$P$5:$P$54,$AE89))</f>
        <v>手堅いステータスの安定型</v>
      </c>
      <c r="AE89">
        <f>IFERROR(MATCH(E89,個性タイプマスタ!$A$5:$A$54,0),0)</f>
        <v>43</v>
      </c>
      <c r="AF89">
        <f>IFERROR(MATCH(F89,属性耐性マスタ!$A$5:$A$10,0),0)</f>
        <v>4</v>
      </c>
      <c r="AG89">
        <f>IF(AE89=0,1,INDEX(個性タイプマスタ!$AB$5:$AB$54,AE89))</f>
        <v>9.8761666666666663</v>
      </c>
      <c r="AH89">
        <f>IF(AE89=0,1,INDEX(個性タイプマスタ!$AC$5:$AC$54,AE89))</f>
        <v>1.1599999999999999</v>
      </c>
      <c r="AI89">
        <f>IF(AE89=0,0,INDEX(個性タイプマスタ!$AD$5:$AD$54,AE89))</f>
        <v>1.0083333333333333</v>
      </c>
      <c r="AJ89" s="16">
        <v>14</v>
      </c>
      <c r="AK89" s="17">
        <f>IF(OR(AJ89="",AJ89&lt;1),"",POWER(使い方と設定!$E$6,AJ89-1))</f>
        <v>1.6650735073103891</v>
      </c>
    </row>
    <row r="90" spans="1:37">
      <c r="A90" t="str">
        <f>+[2]称号!A85</f>
        <v>TITLE_084</v>
      </c>
      <c r="B90" t="str">
        <f>+[2]称号!B85</f>
        <v>狼帝の眷属</v>
      </c>
      <c r="C90" t="s">
        <v>295</v>
      </c>
      <c r="D90" t="s">
        <v>296</v>
      </c>
      <c r="E90" s="2" t="str">
        <f>[1]モンスター計算!AM88</f>
        <v>魔法・薄命結界</v>
      </c>
      <c r="F90" s="2" t="str">
        <f>[1]モンスター計算!C88</f>
        <v>風</v>
      </c>
      <c r="G90" s="8">
        <v>1.25</v>
      </c>
      <c r="H90" t="str">
        <f t="shared" si="3"/>
        <v>OK</v>
      </c>
      <c r="I90" s="9">
        <f>IF($H90&lt;&gt;"OK","",ROUND($G90*使い方と設定!$B$7*$AK90*INDEX(個性タイプマスタ!$Q$5:$AA$54,$AE90,1)/$AG90,4))</f>
        <v>0.16589999999999999</v>
      </c>
      <c r="J90" s="9">
        <f>IF($H90&lt;&gt;"OK","",ROUND($G90*使い方と設定!$B$7*$AK90*INDEX(個性タイプマスタ!$Q$5:$AA$54,$AE90,2)/$AG90,4))</f>
        <v>0.45250000000000001</v>
      </c>
      <c r="K90" s="9">
        <f>IF($H90&lt;&gt;"OK","",ROUND($G90*使い方と設定!$B$7*$AK90*INDEX(個性タイプマスタ!$Q$5:$AA$54,$AE90,3)/$AG90,4))</f>
        <v>5.4800000000000001E-2</v>
      </c>
      <c r="L90" s="9">
        <f>IF($H90&lt;&gt;"OK","",ROUND($G90*使い方と設定!$B$7*$AK90*INDEX(個性タイプマスタ!$Q$5:$AA$54,$AE90,4)/$AG90,4))</f>
        <v>0.68559999999999999</v>
      </c>
      <c r="M90" s="9">
        <f>IF($H90&lt;&gt;"OK","",ROUND($G90*使い方と設定!$B$7*$AK90*INDEX(個性タイプマスタ!$Q$5:$AA$54,$AE90,5)/$AG90,4))</f>
        <v>0.33800000000000002</v>
      </c>
      <c r="N90" s="9">
        <f>IF($H90&lt;&gt;"OK","",ROUND($G90*使い方と設定!$B$7*$AK90*INDEX(個性タイプマスタ!$Q$5:$AA$54,$AE90,6)/$AG90,4))</f>
        <v>0.52449999999999997</v>
      </c>
      <c r="O90" s="9">
        <f>IF($H90&lt;&gt;"OK","",ROUND($G90*使い方と設定!$B$7*$AK90*INDEX(個性タイプマスタ!$Q$5:$AA$54,$AE90,7)/$AG90,4))</f>
        <v>0.1207</v>
      </c>
      <c r="P90" s="9">
        <f>IF($H90&lt;&gt;"OK","",ROUND($G90*使い方と設定!$B$7*$AK90*INDEX(個性タイプマスタ!$Q$5:$AA$54,$AE90,8)/$AG90,4))</f>
        <v>0.16400000000000001</v>
      </c>
      <c r="Q90" s="9">
        <f>IF($H90&lt;&gt;"OK","",ROUND($G90*使い方と設定!$B$7*$AK90*INDEX(個性タイプマスタ!$Q$5:$AA$54,$AE90,9)/$AG90,4))</f>
        <v>0.13270000000000001</v>
      </c>
      <c r="R90" s="9">
        <f>IF($H90&lt;&gt;"OK","",ROUND($G90*使い方と設定!$B$7*$AK90*INDEX(個性タイプマスタ!$Q$5:$AA$54,$AE90,10)/$AG90,4))</f>
        <v>0.24129999999999999</v>
      </c>
      <c r="S90" s="9">
        <f>IF($H90&lt;&gt;"OK","",ROUND($G90*使い方と設定!$B$7*$AK90*INDEX(個性タイプマスタ!$Q$5:$AA$54,$AE90,11)/$AG90,4))</f>
        <v>0.2419</v>
      </c>
      <c r="T90" s="9">
        <f>IF($H90&lt;&gt;"OK","",ROUND($G90*使い方と設定!$B$8*$AK90*$AH90*INDEX(属性耐性マスタ!$B$5:$G$10,$AF90,1),4))</f>
        <v>1.2500000000000001E-2</v>
      </c>
      <c r="U90" s="9">
        <f>IF($H90&lt;&gt;"OK","",ROUND($G90*使い方と設定!$B$8*$AK90*$AH90*INDEX(属性耐性マスタ!$B$5:$G$10,$AF90,2),4))</f>
        <v>1.2500000000000001E-2</v>
      </c>
      <c r="V90" s="9">
        <f>IF($H90&lt;&gt;"OK","",ROUND($G90*使い方と設定!$B$8*$AK90*$AH90*INDEX(属性耐性マスタ!$B$5:$G$10,$AF90,3),4))</f>
        <v>0.18729999999999999</v>
      </c>
      <c r="W90" s="9">
        <f>IF($H90&lt;&gt;"OK","",ROUND($G90*使い方と設定!$B$8*$AK90*$AH90*INDEX(属性耐性マスタ!$B$5:$G$10,$AF90,4),4))</f>
        <v>4.6800000000000001E-2</v>
      </c>
      <c r="X90" s="9">
        <f>IF($H90&lt;&gt;"OK","",ROUND($G90*使い方と設定!$B$8*$AK90*$AH90*INDEX(属性耐性マスタ!$B$5:$G$10,$AF90,5),4))</f>
        <v>9.4000000000000004E-3</v>
      </c>
      <c r="Y90" s="9">
        <f>IF($H90&lt;&gt;"OK","",ROUND($G90*使い方と設定!$B$8*$AK90*$AH90*INDEX(属性耐性マスタ!$B$5:$G$10,$AF90,6),4))</f>
        <v>9.4000000000000004E-3</v>
      </c>
      <c r="Z90" s="9">
        <f>IF($H90&lt;&gt;"OK","",ROUND($G90*使い方と設定!$B$9*$AK90*$AI90,4))</f>
        <v>1.006</v>
      </c>
      <c r="AA90" s="10">
        <v>0.25</v>
      </c>
      <c r="AB90" s="11">
        <f t="shared" si="4"/>
        <v>3.1219000000000001</v>
      </c>
      <c r="AC90" s="11">
        <f t="shared" si="5"/>
        <v>0.27789999999999998</v>
      </c>
      <c r="AD90" s="7" t="str">
        <f>IF($H90&lt;&gt;"OK","",INDEX(個性タイプマスタ!$P$5:$P$54,$AE90))</f>
        <v>低HPだが防御・耐性が高い極端な守護型</v>
      </c>
      <c r="AE90">
        <f>IFERROR(MATCH(E90,個性タイプマスタ!$A$5:$A$54,0),0)</f>
        <v>31</v>
      </c>
      <c r="AF90">
        <f>IFERROR(MATCH(F90,属性耐性マスタ!$A$5:$A$10,0),0)</f>
        <v>3</v>
      </c>
      <c r="AG90">
        <f>IF(AE90=0,1,INDEX(個性タイプマスタ!$AB$5:$AB$54,AE90))</f>
        <v>11.384</v>
      </c>
      <c r="AH90">
        <f>IF(AE90=0,1,INDEX(個性タイプマスタ!$AC$5:$AC$54,AE90))</f>
        <v>1.5</v>
      </c>
      <c r="AI90">
        <f>IF(AE90=0,0,INDEX(個性タイプマスタ!$AD$5:$AD$54,AE90))</f>
        <v>0.96666666666666667</v>
      </c>
      <c r="AJ90" s="16">
        <v>14</v>
      </c>
      <c r="AK90" s="17">
        <f>IF(OR(AJ90="",AJ90&lt;1),"",POWER(使い方と設定!$E$6,AJ90-1))</f>
        <v>1.6650735073103891</v>
      </c>
    </row>
    <row r="91" spans="1:37">
      <c r="A91" t="str">
        <f>+[2]称号!A86</f>
        <v>TITLE_085</v>
      </c>
      <c r="B91" t="str">
        <f>+[2]称号!B86</f>
        <v>胞子の捕食花</v>
      </c>
      <c r="C91" t="s">
        <v>297</v>
      </c>
      <c r="D91" t="s">
        <v>298</v>
      </c>
      <c r="E91" s="2" t="str">
        <f>[1]モンスター計算!AM89</f>
        <v>魔法・高MP</v>
      </c>
      <c r="F91" s="2" t="str">
        <f>[1]モンスター計算!C89</f>
        <v>風</v>
      </c>
      <c r="G91" s="8">
        <v>1</v>
      </c>
      <c r="H91" t="str">
        <f t="shared" si="3"/>
        <v>OK</v>
      </c>
      <c r="I91" s="9">
        <f>IF($H91&lt;&gt;"OK","",ROUND($G91*使い方と設定!$B$7*$AK91*INDEX(個性タイプマスタ!$Q$5:$AA$54,$AE91,1)/$AG91,4))</f>
        <v>0.24460000000000001</v>
      </c>
      <c r="J91" s="9">
        <f>IF($H91&lt;&gt;"OK","",ROUND($G91*使い方と設定!$B$7*$AK91*INDEX(個性タイプマスタ!$Q$5:$AA$54,$AE91,2)/$AG91,4))</f>
        <v>0.62929999999999997</v>
      </c>
      <c r="K91" s="9">
        <f>IF($H91&lt;&gt;"OK","",ROUND($G91*使い方と設定!$B$7*$AK91*INDEX(個性タイプマスタ!$Q$5:$AA$54,$AE91,3)/$AG91,4))</f>
        <v>3.78E-2</v>
      </c>
      <c r="L91" s="9">
        <f>IF($H91&lt;&gt;"OK","",ROUND($G91*使い方と設定!$B$7*$AK91*INDEX(個性タイプマスタ!$Q$5:$AA$54,$AE91,4)/$AG91,4))</f>
        <v>0.53969999999999996</v>
      </c>
      <c r="M91" s="9">
        <f>IF($H91&lt;&gt;"OK","",ROUND($G91*使い方と設定!$B$7*$AK91*INDEX(個性タイプマスタ!$Q$5:$AA$54,$AE91,5)/$AG91,4))</f>
        <v>0.1762</v>
      </c>
      <c r="N91" s="9">
        <f>IF($H91&lt;&gt;"OK","",ROUND($G91*使い方と設定!$B$7*$AK91*INDEX(個性タイプマスタ!$Q$5:$AA$54,$AE91,6)/$AG91,4))</f>
        <v>0.2165</v>
      </c>
      <c r="O91" s="9">
        <f>IF($H91&lt;&gt;"OK","",ROUND($G91*使い方と設定!$B$7*$AK91*INDEX(個性タイプマスタ!$Q$5:$AA$54,$AE91,7)/$AG91,4))</f>
        <v>0.15440000000000001</v>
      </c>
      <c r="P91" s="9">
        <f>IF($H91&lt;&gt;"OK","",ROUND($G91*使い方と設定!$B$7*$AK91*INDEX(個性タイプマスタ!$Q$5:$AA$54,$AE91,8)/$AG91,4))</f>
        <v>0.13569999999999999</v>
      </c>
      <c r="Q91" s="9">
        <f>IF($H91&lt;&gt;"OK","",ROUND($G91*使い方と設定!$B$7*$AK91*INDEX(個性タイプマスタ!$Q$5:$AA$54,$AE91,9)/$AG91,4))</f>
        <v>9.9699999999999997E-2</v>
      </c>
      <c r="R91" s="9">
        <f>IF($H91&lt;&gt;"OK","",ROUND($G91*使い方と設定!$B$7*$AK91*INDEX(個性タイプマスタ!$Q$5:$AA$54,$AE91,10)/$AG91,4))</f>
        <v>0.1943</v>
      </c>
      <c r="S91" s="9">
        <f>IF($H91&lt;&gt;"OK","",ROUND($G91*使い方と設定!$B$7*$AK91*INDEX(個性タイプマスタ!$Q$5:$AA$54,$AE91,11)/$AG91,4))</f>
        <v>0.16930000000000001</v>
      </c>
      <c r="T91" s="9">
        <f>IF($H91&lt;&gt;"OK","",ROUND($G91*使い方と設定!$B$8*$AK91*$AH91*INDEX(属性耐性マスタ!$B$5:$G$10,$AF91,1),4))</f>
        <v>7.4999999999999997E-3</v>
      </c>
      <c r="U91" s="9">
        <f>IF($H91&lt;&gt;"OK","",ROUND($G91*使い方と設定!$B$8*$AK91*$AH91*INDEX(属性耐性マスタ!$B$5:$G$10,$AF91,2),4))</f>
        <v>7.4999999999999997E-3</v>
      </c>
      <c r="V91" s="9">
        <f>IF($H91&lt;&gt;"OK","",ROUND($G91*使い方と設定!$B$8*$AK91*$AH91*INDEX(属性耐性マスタ!$B$5:$G$10,$AF91,3),4))</f>
        <v>0.11219999999999999</v>
      </c>
      <c r="W91" s="9">
        <f>IF($H91&lt;&gt;"OK","",ROUND($G91*使い方と設定!$B$8*$AK91*$AH91*INDEX(属性耐性マスタ!$B$5:$G$10,$AF91,4),4))</f>
        <v>2.81E-2</v>
      </c>
      <c r="X91" s="9">
        <f>IF($H91&lt;&gt;"OK","",ROUND($G91*使い方と設定!$B$8*$AK91*$AH91*INDEX(属性耐性マスタ!$B$5:$G$10,$AF91,5),4))</f>
        <v>5.5999999999999999E-3</v>
      </c>
      <c r="Y91" s="9">
        <f>IF($H91&lt;&gt;"OK","",ROUND($G91*使い方と設定!$B$8*$AK91*$AH91*INDEX(属性耐性マスタ!$B$5:$G$10,$AF91,6),4))</f>
        <v>5.5999999999999999E-3</v>
      </c>
      <c r="Z91" s="9">
        <f>IF($H91&lt;&gt;"OK","",ROUND($G91*使い方と設定!$B$9*$AK91*$AI91,4))</f>
        <v>0.82250000000000001</v>
      </c>
      <c r="AA91" s="10">
        <v>1</v>
      </c>
      <c r="AB91" s="11">
        <f t="shared" si="4"/>
        <v>2.5975000000000001</v>
      </c>
      <c r="AC91" s="11">
        <f t="shared" si="5"/>
        <v>0.16650000000000001</v>
      </c>
      <c r="AD91" s="7" t="str">
        <f>IF($H91&lt;&gt;"OK","",INDEX(個性タイプマスタ!$P$5:$P$54,$AE91))</f>
        <v>MP容量を重視する後衛</v>
      </c>
      <c r="AE91">
        <f>IFERROR(MATCH(E91,個性タイプマスタ!$A$5:$A$54,0),0)</f>
        <v>27</v>
      </c>
      <c r="AF91">
        <f>IFERROR(MATCH(F91,属性耐性マスタ!$A$5:$A$10,0),0)</f>
        <v>3</v>
      </c>
      <c r="AG91">
        <f>IF(AE91=0,1,INDEX(個性タイプマスタ!$AB$5:$AB$54,AE91))</f>
        <v>12.031333333333334</v>
      </c>
      <c r="AH91">
        <f>IF(AE91=0,1,INDEX(個性タイプマスタ!$AC$5:$AC$54,AE91))</f>
        <v>1.08</v>
      </c>
      <c r="AI91">
        <f>IF(AE91=0,0,INDEX(個性タイプマスタ!$AD$5:$AD$54,AE91))</f>
        <v>0.95</v>
      </c>
      <c r="AJ91" s="16">
        <v>15</v>
      </c>
      <c r="AK91" s="17">
        <f>IF(OR(AJ91="",AJ91&lt;1),"",POWER(使い方と設定!$E$6,AJ91-1))</f>
        <v>1.7316764476028046</v>
      </c>
    </row>
    <row r="92" spans="1:37">
      <c r="A92" t="str">
        <f>+[2]称号!A87</f>
        <v>TITLE_086</v>
      </c>
      <c r="B92" t="str">
        <f>+[2]称号!B87</f>
        <v>黄金の奇跡</v>
      </c>
      <c r="C92" t="s">
        <v>299</v>
      </c>
      <c r="D92" t="s">
        <v>300</v>
      </c>
      <c r="E92" s="2" t="str">
        <f>[1]モンスター計算!AM90</f>
        <v>魔法・速攻</v>
      </c>
      <c r="F92" s="2" t="str">
        <f>[1]モンスター計算!C90</f>
        <v>光</v>
      </c>
      <c r="G92" s="8">
        <v>1.05</v>
      </c>
      <c r="H92" t="str">
        <f t="shared" si="3"/>
        <v>OK</v>
      </c>
      <c r="I92" s="9">
        <f>IF($H92&lt;&gt;"OK","",ROUND($G92*使い方と設定!$B$7*$AK92*INDEX(個性タイプマスタ!$Q$5:$AA$54,$AE92,1)/$AG92,4))</f>
        <v>0.28289999999999998</v>
      </c>
      <c r="J92" s="9">
        <f>IF($H92&lt;&gt;"OK","",ROUND($G92*使い方と設定!$B$7*$AK92*INDEX(個性タイプマスタ!$Q$5:$AA$54,$AE92,2)/$AG92,4))</f>
        <v>0.31119999999999998</v>
      </c>
      <c r="K92" s="9">
        <f>IF($H92&lt;&gt;"OK","",ROUND($G92*使い方と設定!$B$7*$AK92*INDEX(個性タイプマスタ!$Q$5:$AA$54,$AE92,3)/$AG92,4))</f>
        <v>6.4299999999999996E-2</v>
      </c>
      <c r="L92" s="9">
        <f>IF($H92&lt;&gt;"OK","",ROUND($G92*使い方と設定!$B$7*$AK92*INDEX(個性タイプマスタ!$Q$5:$AA$54,$AE92,4)/$AG92,4))</f>
        <v>0.64290000000000003</v>
      </c>
      <c r="M92" s="9">
        <f>IF($H92&lt;&gt;"OK","",ROUND($G92*使い方と設定!$B$7*$AK92*INDEX(個性タイプマスタ!$Q$5:$AA$54,$AE92,5)/$AG92,4))</f>
        <v>0.20760000000000001</v>
      </c>
      <c r="N92" s="9">
        <f>IF($H92&lt;&gt;"OK","",ROUND($G92*使い方と設定!$B$7*$AK92*INDEX(個性タイプマスタ!$Q$5:$AA$54,$AE92,6)/$AG92,4))</f>
        <v>0.2404</v>
      </c>
      <c r="O92" s="9">
        <f>IF($H92&lt;&gt;"OK","",ROUND($G92*使い方と設定!$B$7*$AK92*INDEX(個性タイプマスタ!$Q$5:$AA$54,$AE92,7)/$AG92,4))</f>
        <v>0.19800000000000001</v>
      </c>
      <c r="P92" s="9">
        <f>IF($H92&lt;&gt;"OK","",ROUND($G92*使い方と設定!$B$7*$AK92*INDEX(個性タイプマスタ!$Q$5:$AA$54,$AE92,8)/$AG92,4))</f>
        <v>0.17269999999999999</v>
      </c>
      <c r="Q92" s="9">
        <f>IF($H92&lt;&gt;"OK","",ROUND($G92*使い方と設定!$B$7*$AK92*INDEX(個性タイプマスタ!$Q$5:$AA$54,$AE92,9)/$AG92,4))</f>
        <v>0.13009999999999999</v>
      </c>
      <c r="R92" s="9">
        <f>IF($H92&lt;&gt;"OK","",ROUND($G92*使い方と設定!$B$7*$AK92*INDEX(個性タイプマスタ!$Q$5:$AA$54,$AE92,10)/$AG92,4))</f>
        <v>0.28289999999999998</v>
      </c>
      <c r="S92" s="9">
        <f>IF($H92&lt;&gt;"OK","",ROUND($G92*使い方と設定!$B$7*$AK92*INDEX(個性タイプマスタ!$Q$5:$AA$54,$AE92,11)/$AG92,4))</f>
        <v>0.19439999999999999</v>
      </c>
      <c r="T92" s="9">
        <f>IF($H92&lt;&gt;"OK","",ROUND($G92*使い方と設定!$B$8*$AK92*$AH92*INDEX(属性耐性マスタ!$B$5:$G$10,$AF92,1),4))</f>
        <v>4.7999999999999996E-3</v>
      </c>
      <c r="U92" s="9">
        <f>IF($H92&lt;&gt;"OK","",ROUND($G92*使い方と設定!$B$8*$AK92*$AH92*INDEX(属性耐性マスタ!$B$5:$G$10,$AF92,2),4))</f>
        <v>4.7999999999999996E-3</v>
      </c>
      <c r="V92" s="9">
        <f>IF($H92&lt;&gt;"OK","",ROUND($G92*使い方と設定!$B$8*$AK92*$AH92*INDEX(属性耐性マスタ!$B$5:$G$10,$AF92,3),4))</f>
        <v>4.7999999999999996E-3</v>
      </c>
      <c r="W92" s="9">
        <f>IF($H92&lt;&gt;"OK","",ROUND($G92*使い方と設定!$B$8*$AK92*$AH92*INDEX(属性耐性マスタ!$B$5:$G$10,$AF92,4),4))</f>
        <v>4.7999999999999996E-3</v>
      </c>
      <c r="X92" s="9">
        <f>IF($H92&lt;&gt;"OK","",ROUND($G92*使い方と設定!$B$8*$AK92*$AH92*INDEX(属性耐性マスタ!$B$5:$G$10,$AF92,5),4))</f>
        <v>9.6000000000000002E-2</v>
      </c>
      <c r="Y92" s="9">
        <f>IF($H92&lt;&gt;"OK","",ROUND($G92*使い方と設定!$B$8*$AK92*$AH92*INDEX(属性耐性マスタ!$B$5:$G$10,$AF92,6),4))</f>
        <v>1.2800000000000001E-2</v>
      </c>
      <c r="Z92" s="9">
        <f>IF($H92&lt;&gt;"OK","",ROUND($G92*使い方と設定!$B$9*$AK92*$AI92,4))</f>
        <v>0.89400000000000002</v>
      </c>
      <c r="AA92" s="10">
        <v>1</v>
      </c>
      <c r="AB92" s="11">
        <f t="shared" si="4"/>
        <v>2.7273999999999998</v>
      </c>
      <c r="AC92" s="11">
        <f t="shared" si="5"/>
        <v>0.128</v>
      </c>
      <c r="AD92" s="7" t="str">
        <f>IF($H92&lt;&gt;"OK","",INDEX(個性タイプマスタ!$P$5:$P$54,$AE92))</f>
        <v>高速の魔法型。攻速と射程が優秀</v>
      </c>
      <c r="AE92">
        <f>IFERROR(MATCH(E92,個性タイプマスタ!$A$5:$A$54,0),0)</f>
        <v>3</v>
      </c>
      <c r="AF92">
        <f>IFERROR(MATCH(F92,属性耐性マスタ!$A$5:$A$10,0),0)</f>
        <v>5</v>
      </c>
      <c r="AG92">
        <f>IF(AE92=0,1,INDEX(個性タイプマスタ!$AB$5:$AB$54,AE92))</f>
        <v>10.606166666666667</v>
      </c>
      <c r="AH92">
        <f>IF(AE92=0,1,INDEX(個性タイプマスタ!$AC$5:$AC$54,AE92))</f>
        <v>0.88</v>
      </c>
      <c r="AI92">
        <f>IF(AE92=0,0,INDEX(個性タイプマスタ!$AD$5:$AD$54,AE92))</f>
        <v>0.98333333333333328</v>
      </c>
      <c r="AJ92" s="16">
        <v>15</v>
      </c>
      <c r="AK92" s="17">
        <f>IF(OR(AJ92="",AJ92&lt;1),"",POWER(使い方と設定!$E$6,AJ92-1))</f>
        <v>1.7316764476028046</v>
      </c>
    </row>
    <row r="93" spans="1:37">
      <c r="A93" t="str">
        <f>+[2]称号!A88</f>
        <v>TITLE_087</v>
      </c>
      <c r="B93" t="str">
        <f>+[2]称号!B88</f>
        <v>粘界の王冠</v>
      </c>
      <c r="C93" t="s">
        <v>301</v>
      </c>
      <c r="D93" t="s">
        <v>302</v>
      </c>
      <c r="E93" s="2" t="str">
        <f>[1]モンスター計算!AM91</f>
        <v>魔法・狙撃</v>
      </c>
      <c r="F93" s="2" t="str">
        <f>[1]モンスター計算!C91</f>
        <v>水</v>
      </c>
      <c r="G93" s="8">
        <v>1.1000000000000001</v>
      </c>
      <c r="H93" t="str">
        <f t="shared" si="3"/>
        <v>OK</v>
      </c>
      <c r="I93" s="9">
        <f>IF($H93&lt;&gt;"OK","",ROUND($G93*使い方と設定!$B$7*$AK93*INDEX(個性タイプマスタ!$Q$5:$AA$54,$AE93,1)/$AG93,4))</f>
        <v>0.1908</v>
      </c>
      <c r="J93" s="9">
        <f>IF($H93&lt;&gt;"OK","",ROUND($G93*使い方と設定!$B$7*$AK93*INDEX(個性タイプマスタ!$Q$5:$AA$54,$AE93,2)/$AG93,4))</f>
        <v>0.31319999999999998</v>
      </c>
      <c r="K93" s="9">
        <f>IF($H93&lt;&gt;"OK","",ROUND($G93*使い方と設定!$B$7*$AK93*INDEX(個性タイプマスタ!$Q$5:$AA$54,$AE93,3)/$AG93,4))</f>
        <v>3.3700000000000001E-2</v>
      </c>
      <c r="L93" s="9">
        <f>IF($H93&lt;&gt;"OK","",ROUND($G93*使い方と設定!$B$7*$AK93*INDEX(個性タイプマスタ!$Q$5:$AA$54,$AE93,4)/$AG93,4))</f>
        <v>0.64710000000000001</v>
      </c>
      <c r="M93" s="9">
        <f>IF($H93&lt;&gt;"OK","",ROUND($G93*使い方と設定!$B$7*$AK93*INDEX(個性タイプマスタ!$Q$5:$AA$54,$AE93,5)/$AG93,4))</f>
        <v>0.14299999999999999</v>
      </c>
      <c r="N93" s="9">
        <f>IF($H93&lt;&gt;"OK","",ROUND($G93*使い方と設定!$B$7*$AK93*INDEX(個性タイプマスタ!$Q$5:$AA$54,$AE93,6)/$AG93,4))</f>
        <v>0.17599999999999999</v>
      </c>
      <c r="O93" s="9">
        <f>IF($H93&lt;&gt;"OK","",ROUND($G93*使い方と設定!$B$7*$AK93*INDEX(個性タイプマスタ!$Q$5:$AA$54,$AE93,7)/$AG93,4))</f>
        <v>0.51249999999999996</v>
      </c>
      <c r="P93" s="9">
        <f>IF($H93&lt;&gt;"OK","",ROUND($G93*使い方と設定!$B$7*$AK93*INDEX(個性タイプマスタ!$Q$5:$AA$54,$AE93,8)/$AG93,4))</f>
        <v>0.20749999999999999</v>
      </c>
      <c r="Q93" s="9">
        <f>IF($H93&lt;&gt;"OK","",ROUND($G93*使い方と設定!$B$7*$AK93*INDEX(個性タイプマスタ!$Q$5:$AA$54,$AE93,9)/$AG93,4))</f>
        <v>0.1167</v>
      </c>
      <c r="R93" s="9">
        <f>IF($H93&lt;&gt;"OK","",ROUND($G93*使い方と設定!$B$7*$AK93*INDEX(個性タイプマスタ!$Q$5:$AA$54,$AE93,10)/$AG93,4))</f>
        <v>0.19409999999999999</v>
      </c>
      <c r="S93" s="9">
        <f>IF($H93&lt;&gt;"OK","",ROUND($G93*使い方と設定!$B$7*$AK93*INDEX(個性タイプマスタ!$Q$5:$AA$54,$AE93,11)/$AG93,4))</f>
        <v>0.32250000000000001</v>
      </c>
      <c r="T93" s="9">
        <f>IF($H93&lt;&gt;"OK","",ROUND($G93*使い方と設定!$B$8*$AK93*$AH93*INDEX(属性耐性マスタ!$B$5:$G$10,$AF93,1),4))</f>
        <v>1.7399999999999999E-2</v>
      </c>
      <c r="U93" s="9">
        <f>IF($H93&lt;&gt;"OK","",ROUND($G93*使い方と設定!$B$8*$AK93*$AH93*INDEX(属性耐性マスタ!$B$5:$G$10,$AF93,2),4))</f>
        <v>8.6900000000000005E-2</v>
      </c>
      <c r="V93" s="9">
        <f>IF($H93&lt;&gt;"OK","",ROUND($G93*使い方と設定!$B$8*$AK93*$AH93*INDEX(属性耐性マスタ!$B$5:$G$10,$AF93,3),4))</f>
        <v>5.7999999999999996E-3</v>
      </c>
      <c r="W93" s="9">
        <f>IF($H93&lt;&gt;"OK","",ROUND($G93*使い方と設定!$B$8*$AK93*$AH93*INDEX(属性耐性マスタ!$B$5:$G$10,$AF93,4),4))</f>
        <v>5.7999999999999996E-3</v>
      </c>
      <c r="X93" s="9">
        <f>IF($H93&lt;&gt;"OK","",ROUND($G93*使い方と設定!$B$8*$AK93*$AH93*INDEX(属性耐性マスタ!$B$5:$G$10,$AF93,5),4))</f>
        <v>4.3E-3</v>
      </c>
      <c r="Y93" s="9">
        <f>IF($H93&lt;&gt;"OK","",ROUND($G93*使い方と設定!$B$8*$AK93*$AH93*INDEX(属性耐性マスタ!$B$5:$G$10,$AF93,6),4))</f>
        <v>4.3E-3</v>
      </c>
      <c r="Z93" s="9">
        <f>IF($H93&lt;&gt;"OK","",ROUND($G93*使い方と設定!$B$9*$AK93*$AI93,4))</f>
        <v>0.89690000000000003</v>
      </c>
      <c r="AA93" s="10">
        <v>0.9</v>
      </c>
      <c r="AB93" s="11">
        <f t="shared" si="4"/>
        <v>2.8571</v>
      </c>
      <c r="AC93" s="11">
        <f t="shared" si="5"/>
        <v>0.1245</v>
      </c>
      <c r="AD93" s="7" t="str">
        <f>IF($H93&lt;&gt;"OK","",INDEX(個性タイプマスタ!$P$5:$P$54,$AE93))</f>
        <v>長射程・高会心。接近戦に弱い</v>
      </c>
      <c r="AE93">
        <f>IFERROR(MATCH(E93,個性タイプマスタ!$A$5:$A$54,0),0)</f>
        <v>16</v>
      </c>
      <c r="AF93">
        <f>IFERROR(MATCH(F93,属性耐性マスタ!$A$5:$A$10,0),0)</f>
        <v>2</v>
      </c>
      <c r="AG93">
        <f>IF(AE93=0,1,INDEX(個性タイプマスタ!$AB$5:$AB$54,AE93))</f>
        <v>11.038166666666667</v>
      </c>
      <c r="AH93">
        <f>IF(AE93=0,1,INDEX(個性タイプマスタ!$AC$5:$AC$54,AE93))</f>
        <v>0.76</v>
      </c>
      <c r="AI93">
        <f>IF(AE93=0,0,INDEX(個性タイプマスタ!$AD$5:$AD$54,AE93))</f>
        <v>0.94166666666666665</v>
      </c>
      <c r="AJ93" s="16">
        <v>15</v>
      </c>
      <c r="AK93" s="17">
        <f>IF(OR(AJ93="",AJ93&lt;1),"",POWER(使い方と設定!$E$6,AJ93-1))</f>
        <v>1.7316764476028046</v>
      </c>
    </row>
    <row r="94" spans="1:37">
      <c r="A94" t="str">
        <f>+[2]称号!A89</f>
        <v>TITLE_088</v>
      </c>
      <c r="B94" t="str">
        <f>+[2]称号!B89</f>
        <v>溶融する王泥</v>
      </c>
      <c r="C94" t="s">
        <v>303</v>
      </c>
      <c r="D94" t="s">
        <v>304</v>
      </c>
      <c r="E94" s="2" t="str">
        <f>[1]モンスター計算!AM92</f>
        <v>近接・捨身</v>
      </c>
      <c r="F94" s="2" t="str">
        <f>[1]モンスター計算!C92</f>
        <v>火</v>
      </c>
      <c r="G94" s="8">
        <v>1.1499999999999999</v>
      </c>
      <c r="H94" t="str">
        <f t="shared" si="3"/>
        <v>OK</v>
      </c>
      <c r="I94" s="9">
        <f>IF($H94&lt;&gt;"OK","",ROUND($G94*使い方と設定!$B$7*$AK94*INDEX(個性タイプマスタ!$Q$5:$AA$54,$AE94,1)/$AG94,4))</f>
        <v>0.22170000000000001</v>
      </c>
      <c r="J94" s="9">
        <f>IF($H94&lt;&gt;"OK","",ROUND($G94*使い方と設定!$B$7*$AK94*INDEX(個性タイプマスタ!$Q$5:$AA$54,$AE94,2)/$AG94,4))</f>
        <v>9.5600000000000004E-2</v>
      </c>
      <c r="K94" s="9">
        <f>IF($H94&lt;&gt;"OK","",ROUND($G94*使い方と設定!$B$7*$AK94*INDEX(個性タイプマスタ!$Q$5:$AA$54,$AE94,3)/$AG94,4))</f>
        <v>0.86880000000000002</v>
      </c>
      <c r="L94" s="9">
        <f>IF($H94&lt;&gt;"OK","",ROUND($G94*使い方と設定!$B$7*$AK94*INDEX(個性タイプマスタ!$Q$5:$AA$54,$AE94,4)/$AG94,4))</f>
        <v>4.3400000000000001E-2</v>
      </c>
      <c r="M94" s="9">
        <f>IF($H94&lt;&gt;"OK","",ROUND($G94*使い方と設定!$B$7*$AK94*INDEX(個性タイプマスタ!$Q$5:$AA$54,$AE94,5)/$AG94,4))</f>
        <v>0.16250000000000001</v>
      </c>
      <c r="N94" s="9">
        <f>IF($H94&lt;&gt;"OK","",ROUND($G94*使い方と設定!$B$7*$AK94*INDEX(個性タイプマスタ!$Q$5:$AA$54,$AE94,6)/$AG94,4))</f>
        <v>0.16539999999999999</v>
      </c>
      <c r="O94" s="9">
        <f>IF($H94&lt;&gt;"OK","",ROUND($G94*使い方と設定!$B$7*$AK94*INDEX(個性タイプマスタ!$Q$5:$AA$54,$AE94,7)/$AG94,4))</f>
        <v>0.30580000000000002</v>
      </c>
      <c r="P94" s="9">
        <f>IF($H94&lt;&gt;"OK","",ROUND($G94*使い方と設定!$B$7*$AK94*INDEX(個性タイプマスタ!$Q$5:$AA$54,$AE94,8)/$AG94,4))</f>
        <v>0.29370000000000002</v>
      </c>
      <c r="Q94" s="9">
        <f>IF($H94&lt;&gt;"OK","",ROUND($G94*使い方と設定!$B$7*$AK94*INDEX(個性タイプマスタ!$Q$5:$AA$54,$AE94,9)/$AG94,4))</f>
        <v>0.21790000000000001</v>
      </c>
      <c r="R94" s="9">
        <f>IF($H94&lt;&gt;"OK","",ROUND($G94*使い方と設定!$B$7*$AK94*INDEX(個性タイプマスタ!$Q$5:$AA$54,$AE94,10)/$AG94,4))</f>
        <v>0.37880000000000003</v>
      </c>
      <c r="S94" s="9">
        <f>IF($H94&lt;&gt;"OK","",ROUND($G94*使い方と設定!$B$7*$AK94*INDEX(個性タイプマスタ!$Q$5:$AA$54,$AE94,11)/$AG94,4))</f>
        <v>0.23350000000000001</v>
      </c>
      <c r="T94" s="9">
        <f>IF($H94&lt;&gt;"OK","",ROUND($G94*使い方と設定!$B$8*$AK94*$AH94*INDEX(属性耐性マスタ!$B$5:$G$10,$AF94,1),4))</f>
        <v>6.4500000000000002E-2</v>
      </c>
      <c r="U94" s="9">
        <f>IF($H94&lt;&gt;"OK","",ROUND($G94*使い方と設定!$B$8*$AK94*$AH94*INDEX(属性耐性マスタ!$B$5:$G$10,$AF94,2),4))</f>
        <v>1.29E-2</v>
      </c>
      <c r="V94" s="9">
        <f>IF($H94&lt;&gt;"OK","",ROUND($G94*使い方と設定!$B$8*$AK94*$AH94*INDEX(属性耐性マスタ!$B$5:$G$10,$AF94,3),4))</f>
        <v>4.3E-3</v>
      </c>
      <c r="W94" s="9">
        <f>IF($H94&lt;&gt;"OK","",ROUND($G94*使い方と設定!$B$8*$AK94*$AH94*INDEX(属性耐性マスタ!$B$5:$G$10,$AF94,4),4))</f>
        <v>4.3E-3</v>
      </c>
      <c r="X94" s="9">
        <f>IF($H94&lt;&gt;"OK","",ROUND($G94*使い方と設定!$B$8*$AK94*$AH94*INDEX(属性耐性マスタ!$B$5:$G$10,$AF94,5),4))</f>
        <v>3.2000000000000002E-3</v>
      </c>
      <c r="Y94" s="9">
        <f>IF($H94&lt;&gt;"OK","",ROUND($G94*使い方と設定!$B$8*$AK94*$AH94*INDEX(属性耐性マスタ!$B$5:$G$10,$AF94,6),4))</f>
        <v>3.2000000000000002E-3</v>
      </c>
      <c r="Z94" s="9">
        <f>IF($H94&lt;&gt;"OK","",ROUND($G94*使い方と設定!$B$9*$AK94*$AI94,4))</f>
        <v>1.0704</v>
      </c>
      <c r="AA94" s="10">
        <v>0.55000000000000004</v>
      </c>
      <c r="AB94" s="11">
        <f t="shared" si="4"/>
        <v>2.9870999999999999</v>
      </c>
      <c r="AC94" s="11">
        <f t="shared" si="5"/>
        <v>9.2399999999999996E-2</v>
      </c>
      <c r="AD94" s="7" t="str">
        <f>IF($H94&lt;&gt;"OK","",INDEX(個性タイプマスタ!$P$5:$P$54,$AE94))</f>
        <v>極端な低耐久・攻撃重視</v>
      </c>
      <c r="AE94">
        <f>IFERROR(MATCH(E94,個性タイプマスタ!$A$5:$A$54,0),0)</f>
        <v>42</v>
      </c>
      <c r="AF94">
        <f>IFERROR(MATCH(F94,属性耐性マスタ!$A$5:$A$10,0),0)</f>
        <v>1</v>
      </c>
      <c r="AG94">
        <f>IF(AE94=0,1,INDEX(個性タイプマスタ!$AB$5:$AB$54,AE94))</f>
        <v>8.5954999999999995</v>
      </c>
      <c r="AH94">
        <f>IF(AE94=0,1,INDEX(個性タイプマスタ!$AC$5:$AC$54,AE94))</f>
        <v>0.54</v>
      </c>
      <c r="AI94">
        <f>IF(AE94=0,0,INDEX(個性タイプマスタ!$AD$5:$AD$54,AE94))</f>
        <v>1.075</v>
      </c>
      <c r="AJ94" s="16">
        <v>15</v>
      </c>
      <c r="AK94" s="17">
        <f>IF(OR(AJ94="",AJ94&lt;1),"",POWER(使い方と設定!$E$6,AJ94-1))</f>
        <v>1.7316764476028046</v>
      </c>
    </row>
    <row r="95" spans="1:37">
      <c r="A95" t="str">
        <f>+[2]称号!A90</f>
        <v>TITLE_089</v>
      </c>
      <c r="B95" t="str">
        <f>+[2]称号!B90</f>
        <v>鉄泥の支配者</v>
      </c>
      <c r="C95" t="s">
        <v>306</v>
      </c>
      <c r="D95" t="s">
        <v>307</v>
      </c>
      <c r="E95" s="2" t="str">
        <f>[1]モンスター計算!AM93</f>
        <v>近接・槍盾</v>
      </c>
      <c r="F95" s="2" t="str">
        <f>[1]モンスター計算!C93</f>
        <v>雷</v>
      </c>
      <c r="G95" s="8">
        <v>1.2</v>
      </c>
      <c r="H95" t="str">
        <f t="shared" si="3"/>
        <v>OK</v>
      </c>
      <c r="I95" s="9">
        <f>IF($H95&lt;&gt;"OK","",ROUND($G95*使い方と設定!$B$7*$AK95*INDEX(個性タイプマスタ!$Q$5:$AA$54,$AE95,1)/$AG95,4))</f>
        <v>0.50470000000000004</v>
      </c>
      <c r="J95" s="9">
        <f>IF($H95&lt;&gt;"OK","",ROUND($G95*使い方と設定!$B$7*$AK95*INDEX(個性タイプマスタ!$Q$5:$AA$54,$AE95,2)/$AG95,4))</f>
        <v>0.1404</v>
      </c>
      <c r="K95" s="9">
        <f>IF($H95&lt;&gt;"OK","",ROUND($G95*使い方と設定!$B$7*$AK95*INDEX(個性タイプマスタ!$Q$5:$AA$54,$AE95,3)/$AG95,4))</f>
        <v>0.75960000000000005</v>
      </c>
      <c r="L95" s="9">
        <f>IF($H95&lt;&gt;"OK","",ROUND($G95*使い方と設定!$B$7*$AK95*INDEX(個性タイプマスタ!$Q$5:$AA$54,$AE95,4)/$AG95,4))</f>
        <v>5.9299999999999999E-2</v>
      </c>
      <c r="M95" s="9">
        <f>IF($H95&lt;&gt;"OK","",ROUND($G95*使い方と設定!$B$7*$AK95*INDEX(個性タイプマスタ!$Q$5:$AA$54,$AE95,5)/$AG95,4))</f>
        <v>0.4365</v>
      </c>
      <c r="N95" s="9">
        <f>IF($H95&lt;&gt;"OK","",ROUND($G95*使い方と設定!$B$7*$AK95*INDEX(個性タイプマスタ!$Q$5:$AA$54,$AE95,6)/$AG95,4))</f>
        <v>0.24279999999999999</v>
      </c>
      <c r="O95" s="9">
        <f>IF($H95&lt;&gt;"OK","",ROUND($G95*使い方と設定!$B$7*$AK95*INDEX(個性タイプマスタ!$Q$5:$AA$54,$AE95,7)/$AG95,4))</f>
        <v>0.11700000000000001</v>
      </c>
      <c r="P95" s="9">
        <f>IF($H95&lt;&gt;"OK","",ROUND($G95*使い方と設定!$B$7*$AK95*INDEX(個性タイプマスタ!$Q$5:$AA$54,$AE95,8)/$AG95,4))</f>
        <v>0.1883</v>
      </c>
      <c r="Q95" s="9">
        <f>IF($H95&lt;&gt;"OK","",ROUND($G95*使い方と設定!$B$7*$AK95*INDEX(個性タイプマスタ!$Q$5:$AA$54,$AE95,9)/$AG95,4))</f>
        <v>0.11700000000000001</v>
      </c>
      <c r="R95" s="9">
        <f>IF($H95&lt;&gt;"OK","",ROUND($G95*使い方と設定!$B$7*$AK95*INDEX(個性タイプマスタ!$Q$5:$AA$54,$AE95,10)/$AG95,4))</f>
        <v>0.2218</v>
      </c>
      <c r="S95" s="9">
        <f>IF($H95&lt;&gt;"OK","",ROUND($G95*使い方と設定!$B$7*$AK95*INDEX(個性タイプマスタ!$Q$5:$AA$54,$AE95,11)/$AG95,4))</f>
        <v>0.32969999999999999</v>
      </c>
      <c r="T95" s="9">
        <f>IF($H95&lt;&gt;"OK","",ROUND($G95*使い方と設定!$B$8*$AK95*$AH95*INDEX(属性耐性マスタ!$B$5:$G$10,$AF95,1),4))</f>
        <v>1.1299999999999999E-2</v>
      </c>
      <c r="U95" s="9">
        <f>IF($H95&lt;&gt;"OK","",ROUND($G95*使い方と設定!$B$8*$AK95*$AH95*INDEX(属性耐性マスタ!$B$5:$G$10,$AF95,2),4))</f>
        <v>1.1299999999999999E-2</v>
      </c>
      <c r="V95" s="9">
        <f>IF($H95&lt;&gt;"OK","",ROUND($G95*使い方と設定!$B$8*$AK95*$AH95*INDEX(属性耐性マスタ!$B$5:$G$10,$AF95,3),4))</f>
        <v>4.24E-2</v>
      </c>
      <c r="W95" s="9">
        <f>IF($H95&lt;&gt;"OK","",ROUND($G95*使い方と設定!$B$8*$AK95*$AH95*INDEX(属性耐性マスタ!$B$5:$G$10,$AF95,4),4))</f>
        <v>0.1696</v>
      </c>
      <c r="X95" s="9">
        <f>IF($H95&lt;&gt;"OK","",ROUND($G95*使い方と設定!$B$8*$AK95*$AH95*INDEX(属性耐性マスタ!$B$5:$G$10,$AF95,5),4))</f>
        <v>8.5000000000000006E-3</v>
      </c>
      <c r="Y95" s="9">
        <f>IF($H95&lt;&gt;"OK","",ROUND($G95*使い方と設定!$B$8*$AK95*$AH95*INDEX(属性耐性マスタ!$B$5:$G$10,$AF95,6),4))</f>
        <v>8.5000000000000006E-3</v>
      </c>
      <c r="Z95" s="9">
        <f>IF($H95&lt;&gt;"OK","",ROUND($G95*使い方と設定!$B$9*$AK95*$AI95,4))</f>
        <v>0.9264</v>
      </c>
      <c r="AA95" s="10">
        <v>0.5</v>
      </c>
      <c r="AB95" s="11">
        <f t="shared" si="4"/>
        <v>3.1171000000000002</v>
      </c>
      <c r="AC95" s="11">
        <f t="shared" si="5"/>
        <v>0.25159999999999999</v>
      </c>
      <c r="AD95" s="7" t="str">
        <f>IF($H95&lt;&gt;"OK","",INDEX(個性タイプマスタ!$P$5:$P$54,$AE95))</f>
        <v>長い射程と物防を両立</v>
      </c>
      <c r="AE95">
        <f>IFERROR(MATCH(E95,個性タイプマスタ!$A$5:$A$54,0),0)</f>
        <v>49</v>
      </c>
      <c r="AF95">
        <f>IFERROR(MATCH(F95,属性耐性マスタ!$A$5:$A$10,0),0)</f>
        <v>4</v>
      </c>
      <c r="AG95">
        <f>IF(AE95=0,1,INDEX(個性タイプマスタ!$AB$5:$AB$54,AE95))</f>
        <v>10.258166666666668</v>
      </c>
      <c r="AH95">
        <f>IF(AE95=0,1,INDEX(個性タイプマスタ!$AC$5:$AC$54,AE95))</f>
        <v>1.3599999999999999</v>
      </c>
      <c r="AI95">
        <f>IF(AE95=0,0,INDEX(個性タイプマスタ!$AD$5:$AD$54,AE95))</f>
        <v>0.89166666666666661</v>
      </c>
      <c r="AJ95" s="16">
        <v>15</v>
      </c>
      <c r="AK95" s="17">
        <f>IF(OR(AJ95="",AJ95&lt;1),"",POWER(使い方と設定!$E$6,AJ95-1))</f>
        <v>1.7316764476028046</v>
      </c>
    </row>
    <row r="96" spans="1:37">
      <c r="A96" t="str">
        <f>+[2]称号!A91</f>
        <v>TITLE_090</v>
      </c>
      <c r="B96" t="str">
        <f>+[2]称号!B91</f>
        <v>光滴の幻獣</v>
      </c>
      <c r="C96" t="s">
        <v>308</v>
      </c>
      <c r="D96" t="s">
        <v>309</v>
      </c>
      <c r="E96" s="2" t="str">
        <f>[1]モンスター計算!AM94</f>
        <v>魔法・火力</v>
      </c>
      <c r="F96" s="2" t="str">
        <f>[1]モンスター計算!C94</f>
        <v>光</v>
      </c>
      <c r="G96" s="8">
        <v>1.25</v>
      </c>
      <c r="H96" t="str">
        <f t="shared" si="3"/>
        <v>OK</v>
      </c>
      <c r="I96" s="9">
        <f>IF($H96&lt;&gt;"OK","",ROUND($G96*使い方と設定!$B$7*$AK96*INDEX(個性タイプマスタ!$Q$5:$AA$54,$AE96,1)/$AG96,4))</f>
        <v>0.2661</v>
      </c>
      <c r="J96" s="9">
        <f>IF($H96&lt;&gt;"OK","",ROUND($G96*使い方と設定!$B$7*$AK96*INDEX(個性タイプマスタ!$Q$5:$AA$54,$AE96,2)/$AG96,4))</f>
        <v>0.39229999999999998</v>
      </c>
      <c r="K96" s="9">
        <f>IF($H96&lt;&gt;"OK","",ROUND($G96*使い方と設定!$B$7*$AK96*INDEX(個性タイプマスタ!$Q$5:$AA$54,$AE96,3)/$AG96,4))</f>
        <v>7.7499999999999999E-2</v>
      </c>
      <c r="L96" s="9">
        <f>IF($H96&lt;&gt;"OK","",ROUND($G96*使い方と設定!$B$7*$AK96*INDEX(個性タイプマスタ!$Q$5:$AA$54,$AE96,4)/$AG96,4))</f>
        <v>0.77529999999999999</v>
      </c>
      <c r="M96" s="9">
        <f>IF($H96&lt;&gt;"OK","",ROUND($G96*使い方と設定!$B$7*$AK96*INDEX(個性タイプマスタ!$Q$5:$AA$54,$AE96,5)/$AG96,4))</f>
        <v>0.19769999999999999</v>
      </c>
      <c r="N96" s="9">
        <f>IF($H96&lt;&gt;"OK","",ROUND($G96*使い方と設定!$B$7*$AK96*INDEX(個性タイプマスタ!$Q$5:$AA$54,$AE96,6)/$AG96,4))</f>
        <v>0.2109</v>
      </c>
      <c r="O96" s="9">
        <f>IF($H96&lt;&gt;"OK","",ROUND($G96*使い方と設定!$B$7*$AK96*INDEX(個性タイプマスタ!$Q$5:$AA$54,$AE96,7)/$AG96,4))</f>
        <v>0.37530000000000002</v>
      </c>
      <c r="P96" s="9">
        <f>IF($H96&lt;&gt;"OK","",ROUND($G96*使い方と設定!$B$7*$AK96*INDEX(個性タイプマスタ!$Q$5:$AA$54,$AE96,8)/$AG96,4))</f>
        <v>0.22170000000000001</v>
      </c>
      <c r="Q96" s="9">
        <f>IF($H96&lt;&gt;"OK","",ROUND($G96*使い方と設定!$B$7*$AK96*INDEX(個性タイプマスタ!$Q$5:$AA$54,$AE96,9)/$AG96,4))</f>
        <v>0.15010000000000001</v>
      </c>
      <c r="R96" s="9">
        <f>IF($H96&lt;&gt;"OK","",ROUND($G96*使い方と設定!$B$7*$AK96*INDEX(個性タイプマスタ!$Q$5:$AA$54,$AE96,10)/$AG96,4))</f>
        <v>0.34110000000000001</v>
      </c>
      <c r="S96" s="9">
        <f>IF($H96&lt;&gt;"OK","",ROUND($G96*使い方と設定!$B$7*$AK96*INDEX(個性タイプマスタ!$Q$5:$AA$54,$AE96,11)/$AG96,4))</f>
        <v>0.23880000000000001</v>
      </c>
      <c r="T96" s="9">
        <f>IF($H96&lt;&gt;"OK","",ROUND($G96*使い方と設定!$B$8*$AK96*$AH96*INDEX(属性耐性マスタ!$B$5:$G$10,$AF96,1),4))</f>
        <v>5.4999999999999997E-3</v>
      </c>
      <c r="U96" s="9">
        <f>IF($H96&lt;&gt;"OK","",ROUND($G96*使い方と設定!$B$8*$AK96*$AH96*INDEX(属性耐性マスタ!$B$5:$G$10,$AF96,2),4))</f>
        <v>5.4999999999999997E-3</v>
      </c>
      <c r="V96" s="9">
        <f>IF($H96&lt;&gt;"OK","",ROUND($G96*使い方と設定!$B$8*$AK96*$AH96*INDEX(属性耐性マスタ!$B$5:$G$10,$AF96,3),4))</f>
        <v>5.4999999999999997E-3</v>
      </c>
      <c r="W96" s="9">
        <f>IF($H96&lt;&gt;"OK","",ROUND($G96*使い方と設定!$B$8*$AK96*$AH96*INDEX(属性耐性マスタ!$B$5:$G$10,$AF96,4),4))</f>
        <v>5.4999999999999997E-3</v>
      </c>
      <c r="X96" s="9">
        <f>IF($H96&lt;&gt;"OK","",ROUND($G96*使い方と設定!$B$8*$AK96*$AH96*INDEX(属性耐性マスタ!$B$5:$G$10,$AF96,5),4))</f>
        <v>0.1091</v>
      </c>
      <c r="Y96" s="9">
        <f>IF($H96&lt;&gt;"OK","",ROUND($G96*使い方と設定!$B$8*$AK96*$AH96*INDEX(属性耐性マスタ!$B$5:$G$10,$AF96,6),4))</f>
        <v>1.4500000000000001E-2</v>
      </c>
      <c r="Z96" s="9">
        <f>IF($H96&lt;&gt;"OK","",ROUND($G96*使い方と設定!$B$9*$AK96*$AI96,4))</f>
        <v>1.0462</v>
      </c>
      <c r="AA96" s="10">
        <v>0.25</v>
      </c>
      <c r="AB96" s="11">
        <f t="shared" si="4"/>
        <v>3.2467999999999999</v>
      </c>
      <c r="AC96" s="11">
        <f t="shared" si="5"/>
        <v>0.14560000000000001</v>
      </c>
      <c r="AD96" s="7" t="str">
        <f>IF($H96&lt;&gt;"OK","",INDEX(個性タイプマスタ!$P$5:$P$54,$AE96))</f>
        <v>火力偏重。反撃に弱い</v>
      </c>
      <c r="AE96">
        <f>IFERROR(MATCH(E96,個性タイプマスタ!$A$5:$A$54,0),0)</f>
        <v>9</v>
      </c>
      <c r="AF96">
        <f>IFERROR(MATCH(F96,属性耐性マスタ!$A$5:$A$10,0),0)</f>
        <v>5</v>
      </c>
      <c r="AG96">
        <f>IF(AE96=0,1,INDEX(個性タイプマスタ!$AB$5:$AB$54,AE96))</f>
        <v>10.4695</v>
      </c>
      <c r="AH96">
        <f>IF(AE96=0,1,INDEX(個性タイプマスタ!$AC$5:$AC$54,AE96))</f>
        <v>0.84</v>
      </c>
      <c r="AI96">
        <f>IF(AE96=0,0,INDEX(個性タイプマスタ!$AD$5:$AD$54,AE96))</f>
        <v>0.96666666666666667</v>
      </c>
      <c r="AJ96" s="16">
        <v>15</v>
      </c>
      <c r="AK96" s="17">
        <f>IF(OR(AJ96="",AJ96&lt;1),"",POWER(使い方と設定!$E$6,AJ96-1))</f>
        <v>1.7316764476028046</v>
      </c>
    </row>
    <row r="97" spans="1:37">
      <c r="A97" t="str">
        <f>+[2]称号!A92</f>
        <v>TITLE_091</v>
      </c>
      <c r="B97" t="str">
        <f>+[2]称号!B92</f>
        <v>死鎌の狩人</v>
      </c>
      <c r="C97" t="s">
        <v>310</v>
      </c>
      <c r="D97" t="s">
        <v>311</v>
      </c>
      <c r="E97" s="2" t="str">
        <f>[1]モンスター計算!AM95</f>
        <v>魔法・均衡</v>
      </c>
      <c r="F97" s="2" t="str">
        <f>[1]モンスター計算!C95</f>
        <v>風</v>
      </c>
      <c r="G97" s="8">
        <v>1</v>
      </c>
      <c r="H97" t="str">
        <f t="shared" si="3"/>
        <v>OK</v>
      </c>
      <c r="I97" s="9">
        <f>IF($H97&lt;&gt;"OK","",ROUND($G97*使い方と設定!$B$7*$AK97*INDEX(個性タイプマスタ!$Q$5:$AA$54,$AE97,1)/$AG97,4))</f>
        <v>0.2747</v>
      </c>
      <c r="J97" s="9">
        <f>IF($H97&lt;&gt;"OK","",ROUND($G97*使い方と設定!$B$7*$AK97*INDEX(個性タイプマスタ!$Q$5:$AA$54,$AE97,2)/$AG97,4))</f>
        <v>0.29859999999999998</v>
      </c>
      <c r="K97" s="9">
        <f>IF($H97&lt;&gt;"OK","",ROUND($G97*使い方と設定!$B$7*$AK97*INDEX(個性タイプマスタ!$Q$5:$AA$54,$AE97,3)/$AG97,4))</f>
        <v>6.7900000000000002E-2</v>
      </c>
      <c r="L97" s="9">
        <f>IF($H97&lt;&gt;"OK","",ROUND($G97*使い方と設定!$B$7*$AK97*INDEX(個性タイプマスタ!$Q$5:$AA$54,$AE97,4)/$AG97,4))</f>
        <v>0.67859999999999998</v>
      </c>
      <c r="M97" s="9">
        <f>IF($H97&lt;&gt;"OK","",ROUND($G97*使い方と設定!$B$7*$AK97*INDEX(個性タイプマスタ!$Q$5:$AA$54,$AE97,5)/$AG97,4))</f>
        <v>0.21920000000000001</v>
      </c>
      <c r="N97" s="9">
        <f>IF($H97&lt;&gt;"OK","",ROUND($G97*使い方と設定!$B$7*$AK97*INDEX(個性タイプマスタ!$Q$5:$AA$54,$AE97,6)/$AG97,4))</f>
        <v>0.24229999999999999</v>
      </c>
      <c r="O97" s="9">
        <f>IF($H97&lt;&gt;"OK","",ROUND($G97*使い方と設定!$B$7*$AK97*INDEX(個性タイプマスタ!$Q$5:$AA$54,$AE97,7)/$AG97,4))</f>
        <v>0.14929999999999999</v>
      </c>
      <c r="P97" s="9">
        <f>IF($H97&lt;&gt;"OK","",ROUND($G97*使い方と設定!$B$7*$AK97*INDEX(個性タイプマスタ!$Q$5:$AA$54,$AE97,8)/$AG97,4))</f>
        <v>0.1764</v>
      </c>
      <c r="Q97" s="9">
        <f>IF($H97&lt;&gt;"OK","",ROUND($G97*使い方と設定!$B$7*$AK97*INDEX(個性タイプマスタ!$Q$5:$AA$54,$AE97,9)/$AG97,4))</f>
        <v>0.11940000000000001</v>
      </c>
      <c r="R97" s="9">
        <f>IF($H97&lt;&gt;"OK","",ROUND($G97*使い方と設定!$B$7*$AK97*INDEX(個性タイプマスタ!$Q$5:$AA$54,$AE97,10)/$AG97,4))</f>
        <v>0.28499999999999998</v>
      </c>
      <c r="S97" s="9">
        <f>IF($H97&lt;&gt;"OK","",ROUND($G97*使い方と設定!$B$7*$AK97*INDEX(個性タイプマスタ!$Q$5:$AA$54,$AE97,11)/$AG97,4))</f>
        <v>0.19</v>
      </c>
      <c r="T97" s="9">
        <f>IF($H97&lt;&gt;"OK","",ROUND($G97*使い方と設定!$B$8*$AK97*$AH97*INDEX(属性耐性マスタ!$B$5:$G$10,$AF97,1),4))</f>
        <v>7.1999999999999998E-3</v>
      </c>
      <c r="U97" s="9">
        <f>IF($H97&lt;&gt;"OK","",ROUND($G97*使い方と設定!$B$8*$AK97*$AH97*INDEX(属性耐性マスタ!$B$5:$G$10,$AF97,2),4))</f>
        <v>7.1999999999999998E-3</v>
      </c>
      <c r="V97" s="9">
        <f>IF($H97&lt;&gt;"OK","",ROUND($G97*使い方と設定!$B$8*$AK97*$AH97*INDEX(属性耐性マスタ!$B$5:$G$10,$AF97,3),4))</f>
        <v>0.1081</v>
      </c>
      <c r="W97" s="9">
        <f>IF($H97&lt;&gt;"OK","",ROUND($G97*使い方と設定!$B$8*$AK97*$AH97*INDEX(属性耐性マスタ!$B$5:$G$10,$AF97,4),4))</f>
        <v>2.7E-2</v>
      </c>
      <c r="X97" s="9">
        <f>IF($H97&lt;&gt;"OK","",ROUND($G97*使い方と設定!$B$8*$AK97*$AH97*INDEX(属性耐性マスタ!$B$5:$G$10,$AF97,5),4))</f>
        <v>5.4000000000000003E-3</v>
      </c>
      <c r="Y97" s="9">
        <f>IF($H97&lt;&gt;"OK","",ROUND($G97*使い方と設定!$B$8*$AK97*$AH97*INDEX(属性耐性マスタ!$B$5:$G$10,$AF97,6),4))</f>
        <v>5.4000000000000003E-3</v>
      </c>
      <c r="Z97" s="9">
        <f>IF($H97&lt;&gt;"OK","",ROUND($G97*使い方と設定!$B$9*$AK97*$AI97,4))</f>
        <v>0.84040000000000004</v>
      </c>
      <c r="AA97" s="10">
        <v>1</v>
      </c>
      <c r="AB97" s="11">
        <f t="shared" si="4"/>
        <v>2.7014</v>
      </c>
      <c r="AC97" s="11">
        <f t="shared" si="5"/>
        <v>0.1603</v>
      </c>
      <c r="AD97" s="7" t="str">
        <f>IF($H97&lt;&gt;"OK","",INDEX(個性タイプマスタ!$P$5:$P$54,$AE97))</f>
        <v>標準的な魔法型</v>
      </c>
      <c r="AE97">
        <f>IFERROR(MATCH(E97,個性タイプマスタ!$A$5:$A$54,0),0)</f>
        <v>2</v>
      </c>
      <c r="AF97">
        <f>IFERROR(MATCH(F97,属性耐性マスタ!$A$5:$A$10,0),0)</f>
        <v>3</v>
      </c>
      <c r="AG97">
        <f>IF(AE97=0,1,INDEX(個性タイプマスタ!$AB$5:$AB$54,AE97))</f>
        <v>9.952</v>
      </c>
      <c r="AH97">
        <f>IF(AE97=0,1,INDEX(個性タイプマスタ!$AC$5:$AC$54,AE97))</f>
        <v>1</v>
      </c>
      <c r="AI97">
        <f>IF(AE97=0,0,INDEX(個性タイプマスタ!$AD$5:$AD$54,AE97))</f>
        <v>0.93333333333333335</v>
      </c>
      <c r="AJ97" s="16">
        <v>16</v>
      </c>
      <c r="AK97" s="17">
        <f>IF(OR(AJ97="",AJ97&lt;1),"",POWER(使い方と設定!$E$6,AJ97-1))</f>
        <v>1.8009435055069167</v>
      </c>
    </row>
    <row r="98" spans="1:37">
      <c r="A98" t="str">
        <f>+[2]称号!A93</f>
        <v>TITLE_092</v>
      </c>
      <c r="B98" t="str">
        <f>+[2]称号!B93</f>
        <v>角鎧の猛虫</v>
      </c>
      <c r="C98" t="s">
        <v>312</v>
      </c>
      <c r="D98" t="s">
        <v>313</v>
      </c>
      <c r="E98" s="2" t="str">
        <f>[1]モンスター計算!AM96</f>
        <v>魔法・連射</v>
      </c>
      <c r="F98" s="2" t="str">
        <f>[1]モンスター計算!C96</f>
        <v>雷</v>
      </c>
      <c r="G98" s="8">
        <v>1.05</v>
      </c>
      <c r="H98" t="str">
        <f t="shared" si="3"/>
        <v>OK</v>
      </c>
      <c r="I98" s="9">
        <f>IF($H98&lt;&gt;"OK","",ROUND($G98*使い方と設定!$B$7*$AK98*INDEX(個性タイプマスタ!$Q$5:$AA$54,$AE98,1)/$AG98,4))</f>
        <v>0.2324</v>
      </c>
      <c r="J98" s="9">
        <f>IF($H98&lt;&gt;"OK","",ROUND($G98*使い方と設定!$B$7*$AK98*INDEX(個性タイプマスタ!$Q$5:$AA$54,$AE98,2)/$AG98,4))</f>
        <v>0.29830000000000001</v>
      </c>
      <c r="K98" s="9">
        <f>IF($H98&lt;&gt;"OK","",ROUND($G98*使い方と設定!$B$7*$AK98*INDEX(個性タイプマスタ!$Q$5:$AA$54,$AE98,3)/$AG98,4))</f>
        <v>4.6399999999999997E-2</v>
      </c>
      <c r="L98" s="9">
        <f>IF($H98&lt;&gt;"OK","",ROUND($G98*使い方と設定!$B$7*$AK98*INDEX(個性タイプマスタ!$Q$5:$AA$54,$AE98,4)/$AG98,4))</f>
        <v>0.7137</v>
      </c>
      <c r="M98" s="9">
        <f>IF($H98&lt;&gt;"OK","",ROUND($G98*使い方と設定!$B$7*$AK98*INDEX(個性タイプマスタ!$Q$5:$AA$54,$AE98,5)/$AG98,4))</f>
        <v>0.17469999999999999</v>
      </c>
      <c r="N98" s="9">
        <f>IF($H98&lt;&gt;"OK","",ROUND($G98*使い方と設定!$B$7*$AK98*INDEX(個性タイプマスタ!$Q$5:$AA$54,$AE98,6)/$AG98,4))</f>
        <v>0.20380000000000001</v>
      </c>
      <c r="O98" s="9">
        <f>IF($H98&lt;&gt;"OK","",ROUND($G98*使い方と設定!$B$7*$AK98*INDEX(個性タイプマスタ!$Q$5:$AA$54,$AE98,7)/$AG98,4))</f>
        <v>0.157</v>
      </c>
      <c r="P98" s="9">
        <f>IF($H98&lt;&gt;"OK","",ROUND($G98*使い方と設定!$B$7*$AK98*INDEX(個性タイプマスタ!$Q$5:$AA$54,$AE98,8)/$AG98,4))</f>
        <v>0.17319999999999999</v>
      </c>
      <c r="Q98" s="9">
        <f>IF($H98&lt;&gt;"OK","",ROUND($G98*使い方と設定!$B$7*$AK98*INDEX(個性タイプマスタ!$Q$5:$AA$54,$AE98,9)/$AG98,4))</f>
        <v>0.2104</v>
      </c>
      <c r="R98" s="9">
        <f>IF($H98&lt;&gt;"OK","",ROUND($G98*使い方と設定!$B$7*$AK98*INDEX(個性タイプマスタ!$Q$5:$AA$54,$AE98,10)/$AG98,4))</f>
        <v>0.4425</v>
      </c>
      <c r="S98" s="9">
        <f>IF($H98&lt;&gt;"OK","",ROUND($G98*使い方と設定!$B$7*$AK98*INDEX(個性タイプマスタ!$Q$5:$AA$54,$AE98,11)/$AG98,4))</f>
        <v>0.18390000000000001</v>
      </c>
      <c r="T98" s="9">
        <f>IF($H98&lt;&gt;"OK","",ROUND($G98*使い方と設定!$B$8*$AK98*$AH98*INDEX(属性耐性マスタ!$B$5:$G$10,$AF98,1),4))</f>
        <v>5.4000000000000003E-3</v>
      </c>
      <c r="U98" s="9">
        <f>IF($H98&lt;&gt;"OK","",ROUND($G98*使い方と設定!$B$8*$AK98*$AH98*INDEX(属性耐性マスタ!$B$5:$G$10,$AF98,2),4))</f>
        <v>5.4000000000000003E-3</v>
      </c>
      <c r="V98" s="9">
        <f>IF($H98&lt;&gt;"OK","",ROUND($G98*使い方と設定!$B$8*$AK98*$AH98*INDEX(属性耐性マスタ!$B$5:$G$10,$AF98,3),4))</f>
        <v>2.0400000000000001E-2</v>
      </c>
      <c r="W98" s="9">
        <f>IF($H98&lt;&gt;"OK","",ROUND($G98*使い方と設定!$B$8*$AK98*$AH98*INDEX(属性耐性マスタ!$B$5:$G$10,$AF98,4),4))</f>
        <v>8.1699999999999995E-2</v>
      </c>
      <c r="X98" s="9">
        <f>IF($H98&lt;&gt;"OK","",ROUND($G98*使い方と設定!$B$8*$AK98*$AH98*INDEX(属性耐性マスタ!$B$5:$G$10,$AF98,5),4))</f>
        <v>4.1000000000000003E-3</v>
      </c>
      <c r="Y98" s="9">
        <f>IF($H98&lt;&gt;"OK","",ROUND($G98*使い方と設定!$B$8*$AK98*$AH98*INDEX(属性耐性マスタ!$B$5:$G$10,$AF98,6),4))</f>
        <v>4.1000000000000003E-3</v>
      </c>
      <c r="Z98" s="9">
        <f>IF($H98&lt;&gt;"OK","",ROUND($G98*使い方と設定!$B$9*$AK98*$AI98,4))</f>
        <v>1.0952</v>
      </c>
      <c r="AA98" s="10">
        <v>1</v>
      </c>
      <c r="AB98" s="11">
        <f t="shared" si="4"/>
        <v>2.8363</v>
      </c>
      <c r="AC98" s="11">
        <f t="shared" si="5"/>
        <v>0.1211</v>
      </c>
      <c r="AD98" s="7" t="str">
        <f>IF($H98&lt;&gt;"OK","",INDEX(個性タイプマスタ!$P$5:$P$54,$AE98))</f>
        <v>手数重視。ひと撃ちは軽いが高速</v>
      </c>
      <c r="AE98">
        <f>IFERROR(MATCH(E98,個性タイプマスタ!$A$5:$A$54,0),0)</f>
        <v>15</v>
      </c>
      <c r="AF98">
        <f>IFERROR(MATCH(F98,属性耐性マスタ!$A$5:$A$10,0),0)</f>
        <v>4</v>
      </c>
      <c r="AG98">
        <f>IF(AE98=0,1,INDEX(個性タイプマスタ!$AB$5:$AB$54,AE98))</f>
        <v>9.9351666666666674</v>
      </c>
      <c r="AH98">
        <f>IF(AE98=0,1,INDEX(個性タイプマスタ!$AC$5:$AC$54,AE98))</f>
        <v>0.72</v>
      </c>
      <c r="AI98">
        <f>IF(AE98=0,0,INDEX(個性タイプマスタ!$AD$5:$AD$54,AE98))</f>
        <v>1.1583333333333332</v>
      </c>
      <c r="AJ98" s="16">
        <v>16</v>
      </c>
      <c r="AK98" s="17">
        <f>IF(OR(AJ98="",AJ98&lt;1),"",POWER(使い方と設定!$E$6,AJ98-1))</f>
        <v>1.8009435055069167</v>
      </c>
    </row>
    <row r="99" spans="1:37">
      <c r="A99" t="str">
        <f>+[2]称号!A94</f>
        <v>TITLE_093</v>
      </c>
      <c r="B99" t="str">
        <f>+[2]称号!B94</f>
        <v>百脚の恐怖</v>
      </c>
      <c r="C99" t="s">
        <v>314</v>
      </c>
      <c r="D99" t="s">
        <v>315</v>
      </c>
      <c r="E99" s="2" t="str">
        <f>[1]モンスター計算!AM97</f>
        <v>魔法・高会心</v>
      </c>
      <c r="F99" s="2" t="str">
        <f>[1]モンスター計算!C97</f>
        <v>闇</v>
      </c>
      <c r="G99" s="8">
        <v>1.1000000000000001</v>
      </c>
      <c r="H99" t="str">
        <f t="shared" si="3"/>
        <v>OK</v>
      </c>
      <c r="I99" s="9">
        <f>IF($H99&lt;&gt;"OK","",ROUND($G99*使い方と設定!$B$7*$AK99*INDEX(個性タイプマスタ!$Q$5:$AA$54,$AE99,1)/$AG99,4))</f>
        <v>0.19620000000000001</v>
      </c>
      <c r="J99" s="9">
        <f>IF($H99&lt;&gt;"OK","",ROUND($G99*使い方と設定!$B$7*$AK99*INDEX(個性タイプマスタ!$Q$5:$AA$54,$AE99,2)/$AG99,4))</f>
        <v>0.31709999999999999</v>
      </c>
      <c r="K99" s="9">
        <f>IF($H99&lt;&gt;"OK","",ROUND($G99*使い方と設定!$B$7*$AK99*INDEX(個性タイプマスタ!$Q$5:$AA$54,$AE99,3)/$AG99,4))</f>
        <v>3.4200000000000001E-2</v>
      </c>
      <c r="L99" s="9">
        <f>IF($H99&lt;&gt;"OK","",ROUND($G99*使い方と設定!$B$7*$AK99*INDEX(個性タイプマスタ!$Q$5:$AA$54,$AE99,4)/$AG99,4))</f>
        <v>0.61080000000000001</v>
      </c>
      <c r="M99" s="9">
        <f>IF($H99&lt;&gt;"OK","",ROUND($G99*使い方と設定!$B$7*$AK99*INDEX(個性タイプマスタ!$Q$5:$AA$54,$AE99,5)/$AG99,4))</f>
        <v>0.15989999999999999</v>
      </c>
      <c r="N99" s="9">
        <f>IF($H99&lt;&gt;"OK","",ROUND($G99*使い方と設定!$B$7*$AK99*INDEX(個性タイプマスタ!$Q$5:$AA$54,$AE99,6)/$AG99,4))</f>
        <v>0.17649999999999999</v>
      </c>
      <c r="O99" s="9">
        <f>IF($H99&lt;&gt;"OK","",ROUND($G99*使い方と設定!$B$7*$AK99*INDEX(個性タイプマスタ!$Q$5:$AA$54,$AE99,7)/$AG99,4))</f>
        <v>0.69879999999999998</v>
      </c>
      <c r="P99" s="9">
        <f>IF($H99&lt;&gt;"OK","",ROUND($G99*使い方と設定!$B$7*$AK99*INDEX(個性タイプマスタ!$Q$5:$AA$54,$AE99,8)/$AG99,4))</f>
        <v>0.20649999999999999</v>
      </c>
      <c r="Q99" s="9">
        <f>IF($H99&lt;&gt;"OK","",ROUND($G99*使い方と設定!$B$7*$AK99*INDEX(個性タイプマスタ!$Q$5:$AA$54,$AE99,9)/$AG99,4))</f>
        <v>0.14779999999999999</v>
      </c>
      <c r="R99" s="9">
        <f>IF($H99&lt;&gt;"OK","",ROUND($G99*使い方と設定!$B$7*$AK99*INDEX(個性タイプマスタ!$Q$5:$AA$54,$AE99,10)/$AG99,4))</f>
        <v>0.2321</v>
      </c>
      <c r="S99" s="9">
        <f>IF($H99&lt;&gt;"OK","",ROUND($G99*使い方と設定!$B$7*$AK99*INDEX(個性タイプマスタ!$Q$5:$AA$54,$AE99,11)/$AG99,4))</f>
        <v>0.19159999999999999</v>
      </c>
      <c r="T99" s="9">
        <f>IF($H99&lt;&gt;"OK","",ROUND($G99*使い方と設定!$B$8*$AK99*$AH99*INDEX(属性耐性マスタ!$B$5:$G$10,$AF99,1),4))</f>
        <v>4.7999999999999996E-3</v>
      </c>
      <c r="U99" s="9">
        <f>IF($H99&lt;&gt;"OK","",ROUND($G99*使い方と設定!$B$8*$AK99*$AH99*INDEX(属性耐性マスタ!$B$5:$G$10,$AF99,2),4))</f>
        <v>4.7999999999999996E-3</v>
      </c>
      <c r="V99" s="9">
        <f>IF($H99&lt;&gt;"OK","",ROUND($G99*使い方と設定!$B$8*$AK99*$AH99*INDEX(属性耐性マスタ!$B$5:$G$10,$AF99,3),4))</f>
        <v>4.7999999999999996E-3</v>
      </c>
      <c r="W99" s="9">
        <f>IF($H99&lt;&gt;"OK","",ROUND($G99*使い方と設定!$B$8*$AK99*$AH99*INDEX(属性耐性マスタ!$B$5:$G$10,$AF99,4),4))</f>
        <v>4.7999999999999996E-3</v>
      </c>
      <c r="X99" s="9">
        <f>IF($H99&lt;&gt;"OK","",ROUND($G99*使い方と設定!$B$8*$AK99*$AH99*INDEX(属性耐性マスタ!$B$5:$G$10,$AF99,5),4))</f>
        <v>1.2699999999999999E-2</v>
      </c>
      <c r="Y99" s="9">
        <f>IF($H99&lt;&gt;"OK","",ROUND($G99*使い方と設定!$B$8*$AK99*$AH99*INDEX(属性耐性マスタ!$B$5:$G$10,$AF99,6),4))</f>
        <v>9.5100000000000004E-2</v>
      </c>
      <c r="Z99" s="9">
        <f>IF($H99&lt;&gt;"OK","",ROUND($G99*使い方と設定!$B$9*$AK99*$AI99,4))</f>
        <v>1.0483</v>
      </c>
      <c r="AA99" s="10">
        <v>0.9</v>
      </c>
      <c r="AB99" s="11">
        <f t="shared" si="4"/>
        <v>2.9714999999999998</v>
      </c>
      <c r="AC99" s="11">
        <f t="shared" si="5"/>
        <v>0.127</v>
      </c>
      <c r="AD99" s="7" t="str">
        <f>IF($H99&lt;&gt;"OK","",INDEX(個性タイプマスタ!$P$5:$P$54,$AE99))</f>
        <v>高い会心率で平均火力を確保</v>
      </c>
      <c r="AE99">
        <f>IFERROR(MATCH(E99,個性タイプマスタ!$A$5:$A$54,0),0)</f>
        <v>22</v>
      </c>
      <c r="AF99">
        <f>IFERROR(MATCH(F99,属性耐性マスタ!$A$5:$A$10,0),0)</f>
        <v>6</v>
      </c>
      <c r="AG99">
        <f>IF(AE99=0,1,INDEX(個性タイプマスタ!$AB$5:$AB$54,AE99))</f>
        <v>12.162000000000001</v>
      </c>
      <c r="AH99">
        <f>IF(AE99=0,1,INDEX(個性タイプマスタ!$AC$5:$AC$54,AE99))</f>
        <v>0.8</v>
      </c>
      <c r="AI99">
        <f>IF(AE99=0,0,INDEX(個性タイプマスタ!$AD$5:$AD$54,AE99))</f>
        <v>1.0583333333333333</v>
      </c>
      <c r="AJ99" s="16">
        <v>16</v>
      </c>
      <c r="AK99" s="17">
        <f>IF(OR(AJ99="",AJ99&lt;1),"",POWER(使い方と設定!$E$6,AJ99-1))</f>
        <v>1.8009435055069167</v>
      </c>
    </row>
    <row r="100" spans="1:37">
      <c r="A100" t="str">
        <f>+[2]称号!A95</f>
        <v>TITLE_094</v>
      </c>
      <c r="B100" t="str">
        <f>+[2]称号!B95</f>
        <v>毒剣の女王蜂</v>
      </c>
      <c r="C100" t="s">
        <v>316</v>
      </c>
      <c r="D100" t="s">
        <v>317</v>
      </c>
      <c r="E100" s="2" t="str">
        <f>[1]モンスター計算!AM98</f>
        <v>近接・斥候</v>
      </c>
      <c r="F100" s="2" t="str">
        <f>[1]モンスター計算!C98</f>
        <v>雷</v>
      </c>
      <c r="G100" s="8">
        <v>1.1499999999999999</v>
      </c>
      <c r="H100" t="str">
        <f t="shared" si="3"/>
        <v>OK</v>
      </c>
      <c r="I100" s="9">
        <f>IF($H100&lt;&gt;"OK","",ROUND($G100*使い方と設定!$B$7*$AK100*INDEX(個性タイプマスタ!$Q$5:$AA$54,$AE100,1)/$AG100,4))</f>
        <v>0.28170000000000001</v>
      </c>
      <c r="J100" s="9">
        <f>IF($H100&lt;&gt;"OK","",ROUND($G100*使い方と設定!$B$7*$AK100*INDEX(個性タイプマスタ!$Q$5:$AA$54,$AE100,2)/$AG100,4))</f>
        <v>0.18490000000000001</v>
      </c>
      <c r="K100" s="9">
        <f>IF($H100&lt;&gt;"OK","",ROUND($G100*使い方と設定!$B$7*$AK100*INDEX(個性タイプマスタ!$Q$5:$AA$54,$AE100,3)/$AG100,4))</f>
        <v>0.80030000000000001</v>
      </c>
      <c r="L100" s="9">
        <f>IF($H100&lt;&gt;"OK","",ROUND($G100*使い方と設定!$B$7*$AK100*INDEX(個性タイプマスタ!$Q$5:$AA$54,$AE100,4)/$AG100,4))</f>
        <v>5.6000000000000001E-2</v>
      </c>
      <c r="M100" s="9">
        <f>IF($H100&lt;&gt;"OK","",ROUND($G100*使い方と設定!$B$7*$AK100*INDEX(個性タイプマスタ!$Q$5:$AA$54,$AE100,5)/$AG100,4))</f>
        <v>0.20949999999999999</v>
      </c>
      <c r="N100" s="9">
        <f>IF($H100&lt;&gt;"OK","",ROUND($G100*使い方と設定!$B$7*$AK100*INDEX(個性タイプマスタ!$Q$5:$AA$54,$AE100,6)/$AG100,4))</f>
        <v>0.2258</v>
      </c>
      <c r="O100" s="9">
        <f>IF($H100&lt;&gt;"OK","",ROUND($G100*使い方と設定!$B$7*$AK100*INDEX(個性タイプマスタ!$Q$5:$AA$54,$AE100,7)/$AG100,4))</f>
        <v>0.22889999999999999</v>
      </c>
      <c r="P100" s="9">
        <f>IF($H100&lt;&gt;"OK","",ROUND($G100*使い方と設定!$B$7*$AK100*INDEX(個性タイプマスタ!$Q$5:$AA$54,$AE100,8)/$AG100,4))</f>
        <v>0.20250000000000001</v>
      </c>
      <c r="Q100" s="9">
        <f>IF($H100&lt;&gt;"OK","",ROUND($G100*使い方と設定!$B$7*$AK100*INDEX(個性タイプマスタ!$Q$5:$AA$54,$AE100,9)/$AG100,4))</f>
        <v>0.2732</v>
      </c>
      <c r="R100" s="9">
        <f>IF($H100&lt;&gt;"OK","",ROUND($G100*使い方と設定!$B$7*$AK100*INDEX(個性タイプマスタ!$Q$5:$AA$54,$AE100,10)/$AG100,4))</f>
        <v>0.41289999999999999</v>
      </c>
      <c r="S100" s="9">
        <f>IF($H100&lt;&gt;"OK","",ROUND($G100*使い方と設定!$B$7*$AK100*INDEX(個性タイプマスタ!$Q$5:$AA$54,$AE100,11)/$AG100,4))</f>
        <v>0.23080000000000001</v>
      </c>
      <c r="T100" s="9">
        <f>IF($H100&lt;&gt;"OK","",ROUND($G100*使い方と設定!$B$8*$AK100*$AH100*INDEX(属性耐性マスタ!$B$5:$G$10,$AF100,1),4))</f>
        <v>7.0000000000000001E-3</v>
      </c>
      <c r="U100" s="9">
        <f>IF($H100&lt;&gt;"OK","",ROUND($G100*使い方と設定!$B$8*$AK100*$AH100*INDEX(属性耐性マスタ!$B$5:$G$10,$AF100,2),4))</f>
        <v>7.0000000000000001E-3</v>
      </c>
      <c r="V100" s="9">
        <f>IF($H100&lt;&gt;"OK","",ROUND($G100*使い方と設定!$B$8*$AK100*$AH100*INDEX(属性耐性マスタ!$B$5:$G$10,$AF100,3),4))</f>
        <v>2.6100000000000002E-2</v>
      </c>
      <c r="W100" s="9">
        <f>IF($H100&lt;&gt;"OK","",ROUND($G100*使い方と設定!$B$8*$AK100*$AH100*INDEX(属性耐性マスタ!$B$5:$G$10,$AF100,4),4))</f>
        <v>0.10440000000000001</v>
      </c>
      <c r="X100" s="9">
        <f>IF($H100&lt;&gt;"OK","",ROUND($G100*使い方と設定!$B$8*$AK100*$AH100*INDEX(属性耐性マスタ!$B$5:$G$10,$AF100,5),4))</f>
        <v>5.1999999999999998E-3</v>
      </c>
      <c r="Y100" s="9">
        <f>IF($H100&lt;&gt;"OK","",ROUND($G100*使い方と設定!$B$8*$AK100*$AH100*INDEX(属性耐性マスタ!$B$5:$G$10,$AF100,6),4))</f>
        <v>5.1999999999999998E-3</v>
      </c>
      <c r="Z100" s="9">
        <f>IF($H100&lt;&gt;"OK","",ROUND($G100*使い方と設定!$B$9*$AK100*$AI100,4))</f>
        <v>1.2909999999999999</v>
      </c>
      <c r="AA100" s="10">
        <v>0.55000000000000004</v>
      </c>
      <c r="AB100" s="11">
        <f t="shared" si="4"/>
        <v>3.1065</v>
      </c>
      <c r="AC100" s="11">
        <f t="shared" si="5"/>
        <v>0.15490000000000001</v>
      </c>
      <c r="AD100" s="7" t="str">
        <f>IF($H100&lt;&gt;"OK","",INDEX(個性タイプマスタ!$P$5:$P$54,$AE100))</f>
        <v>索敵能力・機動力が高い</v>
      </c>
      <c r="AE100">
        <f>IFERROR(MATCH(E100,個性タイプマスタ!$A$5:$A$54,0),0)</f>
        <v>48</v>
      </c>
      <c r="AF100">
        <f>IFERROR(MATCH(F100,属性耐性マスタ!$A$5:$A$10,0),0)</f>
        <v>4</v>
      </c>
      <c r="AG100">
        <f>IF(AE100=0,1,INDEX(個性タイプマスタ!$AB$5:$AB$54,AE100))</f>
        <v>9.7047666666666661</v>
      </c>
      <c r="AH100">
        <f>IF(AE100=0,1,INDEX(個性タイプマスタ!$AC$5:$AC$54,AE100))</f>
        <v>0.84</v>
      </c>
      <c r="AI100">
        <f>IF(AE100=0,0,INDEX(個性タイプマスタ!$AD$5:$AD$54,AE100))</f>
        <v>1.2466666666666666</v>
      </c>
      <c r="AJ100" s="16">
        <v>16</v>
      </c>
      <c r="AK100" s="17">
        <f>IF(OR(AJ100="",AJ100&lt;1),"",POWER(使い方と設定!$E$6,AJ100-1))</f>
        <v>1.8009435055069167</v>
      </c>
    </row>
    <row r="101" spans="1:37">
      <c r="A101" t="str">
        <f>+[2]称号!A96</f>
        <v>TITLE_095</v>
      </c>
      <c r="B101" t="str">
        <f>+[2]称号!B96</f>
        <v>獄炎の甲虫王</v>
      </c>
      <c r="C101" t="s">
        <v>319</v>
      </c>
      <c r="D101" t="s">
        <v>320</v>
      </c>
      <c r="E101" s="2" t="str">
        <f>[1]モンスター計算!AM99</f>
        <v>近接・速攻</v>
      </c>
      <c r="F101" s="2" t="str">
        <f>[1]モンスター計算!C99</f>
        <v>火</v>
      </c>
      <c r="G101" s="8">
        <v>1.2</v>
      </c>
      <c r="H101" t="str">
        <f t="shared" si="3"/>
        <v>OK</v>
      </c>
      <c r="I101" s="9">
        <f>IF($H101&lt;&gt;"OK","",ROUND($G101*使い方と設定!$B$7*$AK101*INDEX(個性タイプマスタ!$Q$5:$AA$54,$AE101,1)/$AG101,4))</f>
        <v>0.29239999999999999</v>
      </c>
      <c r="J101" s="9">
        <f>IF($H101&lt;&gt;"OK","",ROUND($G101*使い方と設定!$B$7*$AK101*INDEX(個性タイプマスタ!$Q$5:$AA$54,$AE101,2)/$AG101,4))</f>
        <v>0.15540000000000001</v>
      </c>
      <c r="K101" s="9">
        <f>IF($H101&lt;&gt;"OK","",ROUND($G101*使い方と設定!$B$7*$AK101*INDEX(個性タイプマスタ!$Q$5:$AA$54,$AE101,3)/$AG101,4))</f>
        <v>0.83079999999999998</v>
      </c>
      <c r="L101" s="9">
        <f>IF($H101&lt;&gt;"OK","",ROUND($G101*使い方と設定!$B$7*$AK101*INDEX(個性タイプマスタ!$Q$5:$AA$54,$AE101,4)/$AG101,4))</f>
        <v>8.3099999999999993E-2</v>
      </c>
      <c r="M101" s="9">
        <f>IF($H101&lt;&gt;"OK","",ROUND($G101*使い方と設定!$B$7*$AK101*INDEX(個性タイプマスタ!$Q$5:$AA$54,$AE101,5)/$AG101,4))</f>
        <v>0.22600000000000001</v>
      </c>
      <c r="N101" s="9">
        <f>IF($H101&lt;&gt;"OK","",ROUND($G101*使い方と設定!$B$7*$AK101*INDEX(個性タイプマスタ!$Q$5:$AA$54,$AE101,6)/$AG101,4))</f>
        <v>0.22600000000000001</v>
      </c>
      <c r="O101" s="9">
        <f>IF($H101&lt;&gt;"OK","",ROUND($G101*使い方と設定!$B$7*$AK101*INDEX(個性タイプマスタ!$Q$5:$AA$54,$AE101,7)/$AG101,4))</f>
        <v>0.29239999999999999</v>
      </c>
      <c r="P101" s="9">
        <f>IF($H101&lt;&gt;"OK","",ROUND($G101*使い方と設定!$B$7*$AK101*INDEX(個性タイプマスタ!$Q$5:$AA$54,$AE101,8)/$AG101,4))</f>
        <v>0.22320000000000001</v>
      </c>
      <c r="Q101" s="9">
        <f>IF($H101&lt;&gt;"OK","",ROUND($G101*使い方と設定!$B$7*$AK101*INDEX(個性タイプマスタ!$Q$5:$AA$54,$AE101,9)/$AG101,4))</f>
        <v>0.24129999999999999</v>
      </c>
      <c r="R101" s="9">
        <f>IF($H101&lt;&gt;"OK","",ROUND($G101*使い方と設定!$B$7*$AK101*INDEX(個性タイプマスタ!$Q$5:$AA$54,$AE101,10)/$AG101,4))</f>
        <v>0.43859999999999999</v>
      </c>
      <c r="S101" s="9">
        <f>IF($H101&lt;&gt;"OK","",ROUND($G101*使い方と設定!$B$7*$AK101*INDEX(個性タイプマスタ!$Q$5:$AA$54,$AE101,11)/$AG101,4))</f>
        <v>0.2326</v>
      </c>
      <c r="T101" s="9">
        <f>IF($H101&lt;&gt;"OK","",ROUND($G101*使い方と設定!$B$8*$AK101*$AH101*INDEX(属性耐性マスタ!$B$5:$G$10,$AF101,1),4))</f>
        <v>0.1089</v>
      </c>
      <c r="U101" s="9">
        <f>IF($H101&lt;&gt;"OK","",ROUND($G101*使い方と設定!$B$8*$AK101*$AH101*INDEX(属性耐性マスタ!$B$5:$G$10,$AF101,2),4))</f>
        <v>2.18E-2</v>
      </c>
      <c r="V101" s="9">
        <f>IF($H101&lt;&gt;"OK","",ROUND($G101*使い方と設定!$B$8*$AK101*$AH101*INDEX(属性耐性マスタ!$B$5:$G$10,$AF101,3),4))</f>
        <v>7.3000000000000001E-3</v>
      </c>
      <c r="W101" s="9">
        <f>IF($H101&lt;&gt;"OK","",ROUND($G101*使い方と設定!$B$8*$AK101*$AH101*INDEX(属性耐性マスタ!$B$5:$G$10,$AF101,4),4))</f>
        <v>7.3000000000000001E-3</v>
      </c>
      <c r="X101" s="9">
        <f>IF($H101&lt;&gt;"OK","",ROUND($G101*使い方と設定!$B$8*$AK101*$AH101*INDEX(属性耐性マスタ!$B$5:$G$10,$AF101,5),4))</f>
        <v>5.4000000000000003E-3</v>
      </c>
      <c r="Y101" s="9">
        <f>IF($H101&lt;&gt;"OK","",ROUND($G101*使い方と設定!$B$8*$AK101*$AH101*INDEX(属性耐性マスタ!$B$5:$G$10,$AF101,6),4))</f>
        <v>5.4000000000000003E-3</v>
      </c>
      <c r="Z101" s="9">
        <f>IF($H101&lt;&gt;"OK","",ROUND($G101*使い方と設定!$B$9*$AK101*$AI101,4))</f>
        <v>1.2426999999999999</v>
      </c>
      <c r="AA101" s="10">
        <v>0.5</v>
      </c>
      <c r="AB101" s="11">
        <f t="shared" si="4"/>
        <v>3.2418</v>
      </c>
      <c r="AC101" s="11">
        <f t="shared" si="5"/>
        <v>0.15609999999999999</v>
      </c>
      <c r="AD101" s="7" t="str">
        <f>IF($H101&lt;&gt;"OK","",INDEX(個性タイプマスタ!$P$5:$P$54,$AE101))</f>
        <v>手数と移動重視</v>
      </c>
      <c r="AE101">
        <f>IFERROR(MATCH(E101,個性タイプマスタ!$A$5:$A$54,0),0)</f>
        <v>12</v>
      </c>
      <c r="AF101">
        <f>IFERROR(MATCH(F101,属性耐性マスタ!$A$5:$A$10,0),0)</f>
        <v>1</v>
      </c>
      <c r="AG101">
        <f>IF(AE101=0,1,INDEX(個性タイプマスタ!$AB$5:$AB$54,AE101))</f>
        <v>9.7551666666666659</v>
      </c>
      <c r="AH101">
        <f>IF(AE101=0,1,INDEX(個性タイプマスタ!$AC$5:$AC$54,AE101))</f>
        <v>0.84</v>
      </c>
      <c r="AI101">
        <f>IF(AE101=0,0,INDEX(個性タイプマスタ!$AD$5:$AD$54,AE101))</f>
        <v>1.1499999999999999</v>
      </c>
      <c r="AJ101" s="16">
        <v>16</v>
      </c>
      <c r="AK101" s="17">
        <f>IF(OR(AJ101="",AJ101&lt;1),"",POWER(使い方と設定!$E$6,AJ101-1))</f>
        <v>1.8009435055069167</v>
      </c>
    </row>
    <row r="102" spans="1:37">
      <c r="A102" t="str">
        <f>+[2]称号!A97</f>
        <v>TITLE_096</v>
      </c>
      <c r="B102" t="str">
        <f>+[2]称号!B97</f>
        <v>光幻の妖影</v>
      </c>
      <c r="C102" t="s">
        <v>321</v>
      </c>
      <c r="D102" t="s">
        <v>322</v>
      </c>
      <c r="E102" s="2" t="str">
        <f>[1]モンスター計算!AM100</f>
        <v>魔法・超軽量</v>
      </c>
      <c r="F102" s="2" t="str">
        <f>[1]モンスター計算!C100</f>
        <v>光</v>
      </c>
      <c r="G102" s="8">
        <v>1.25</v>
      </c>
      <c r="H102" t="str">
        <f t="shared" si="3"/>
        <v>OK</v>
      </c>
      <c r="I102" s="9">
        <f>IF($H102&lt;&gt;"OK","",ROUND($G102*使い方と設定!$B$7*$AK102*INDEX(個性タイプマスタ!$Q$5:$AA$54,$AE102,1)/$AG102,4))</f>
        <v>0.2223</v>
      </c>
      <c r="J102" s="9">
        <f>IF($H102&lt;&gt;"OK","",ROUND($G102*使い方と設定!$B$7*$AK102*INDEX(個性タイプマスタ!$Q$5:$AA$54,$AE102,2)/$AG102,4))</f>
        <v>0.2989</v>
      </c>
      <c r="K102" s="9">
        <f>IF($H102&lt;&gt;"OK","",ROUND($G102*使い方と設定!$B$7*$AK102*INDEX(個性タイプマスタ!$Q$5:$AA$54,$AE102,3)/$AG102,4))</f>
        <v>4.3499999999999997E-2</v>
      </c>
      <c r="L102" s="9">
        <f>IF($H102&lt;&gt;"OK","",ROUND($G102*使い方と設定!$B$7*$AK102*INDEX(個性タイプマスタ!$Q$5:$AA$54,$AE102,4)/$AG102,4))</f>
        <v>0.87090000000000001</v>
      </c>
      <c r="M102" s="9">
        <f>IF($H102&lt;&gt;"OK","",ROUND($G102*使い方と設定!$B$7*$AK102*INDEX(個性タイプマスタ!$Q$5:$AA$54,$AE102,5)/$AG102,4))</f>
        <v>0.1895</v>
      </c>
      <c r="N102" s="9">
        <f>IF($H102&lt;&gt;"OK","",ROUND($G102*使い方と設定!$B$7*$AK102*INDEX(個性タイプマスタ!$Q$5:$AA$54,$AE102,6)/$AG102,4))</f>
        <v>0.1925</v>
      </c>
      <c r="O102" s="9">
        <f>IF($H102&lt;&gt;"OK","",ROUND($G102*使い方と設定!$B$7*$AK102*INDEX(個性タイプマスタ!$Q$5:$AA$54,$AE102,7)/$AG102,4))</f>
        <v>0.30659999999999998</v>
      </c>
      <c r="P102" s="9">
        <f>IF($H102&lt;&gt;"OK","",ROUND($G102*使い方と設定!$B$7*$AK102*INDEX(個性タイプマスタ!$Q$5:$AA$54,$AE102,8)/$AG102,4))</f>
        <v>0.23400000000000001</v>
      </c>
      <c r="Q102" s="9">
        <f>IF($H102&lt;&gt;"OK","",ROUND($G102*使い方と設定!$B$7*$AK102*INDEX(個性タイプマスタ!$Q$5:$AA$54,$AE102,9)/$AG102,4))</f>
        <v>0.32190000000000002</v>
      </c>
      <c r="R102" s="9">
        <f>IF($H102&lt;&gt;"OK","",ROUND($G102*使い方と設定!$B$7*$AK102*INDEX(個性タイプマスタ!$Q$5:$AA$54,$AE102,10)/$AG102,4))</f>
        <v>0.45290000000000002</v>
      </c>
      <c r="S102" s="9">
        <f>IF($H102&lt;&gt;"OK","",ROUND($G102*使い方と設定!$B$7*$AK102*INDEX(個性タイプマスタ!$Q$5:$AA$54,$AE102,11)/$AG102,4))</f>
        <v>0.24390000000000001</v>
      </c>
      <c r="T102" s="9">
        <f>IF($H102&lt;&gt;"OK","",ROUND($G102*使い方と設定!$B$8*$AK102*$AH102*INDEX(属性耐性マスタ!$B$5:$G$10,$AF102,1),4))</f>
        <v>4.3E-3</v>
      </c>
      <c r="U102" s="9">
        <f>IF($H102&lt;&gt;"OK","",ROUND($G102*使い方と設定!$B$8*$AK102*$AH102*INDEX(属性耐性マスタ!$B$5:$G$10,$AF102,2),4))</f>
        <v>4.3E-3</v>
      </c>
      <c r="V102" s="9">
        <f>IF($H102&lt;&gt;"OK","",ROUND($G102*使い方と設定!$B$8*$AK102*$AH102*INDEX(属性耐性マスタ!$B$5:$G$10,$AF102,3),4))</f>
        <v>4.3E-3</v>
      </c>
      <c r="W102" s="9">
        <f>IF($H102&lt;&gt;"OK","",ROUND($G102*使い方と設定!$B$8*$AK102*$AH102*INDEX(属性耐性マスタ!$B$5:$G$10,$AF102,4),4))</f>
        <v>4.3E-3</v>
      </c>
      <c r="X102" s="9">
        <f>IF($H102&lt;&gt;"OK","",ROUND($G102*使い方と設定!$B$8*$AK102*$AH102*INDEX(属性耐性マスタ!$B$5:$G$10,$AF102,5),4))</f>
        <v>8.6400000000000005E-2</v>
      </c>
      <c r="Y102" s="9">
        <f>IF($H102&lt;&gt;"OK","",ROUND($G102*使い方と設定!$B$8*$AK102*$AH102*INDEX(属性耐性マスタ!$B$5:$G$10,$AF102,6),4))</f>
        <v>1.15E-2</v>
      </c>
      <c r="Z102" s="9">
        <f>IF($H102&lt;&gt;"OK","",ROUND($G102*使い方と設定!$B$9*$AK102*$AI102,4))</f>
        <v>1.4633</v>
      </c>
      <c r="AA102" s="10">
        <v>0.25</v>
      </c>
      <c r="AB102" s="11">
        <f t="shared" si="4"/>
        <v>3.3769</v>
      </c>
      <c r="AC102" s="11">
        <f t="shared" si="5"/>
        <v>0.11509999999999999</v>
      </c>
      <c r="AD102" s="7" t="str">
        <f>IF($H102&lt;&gt;"OK","",INDEX(個性タイプマスタ!$P$5:$P$54,$AE102))</f>
        <v>超高速移動・極低耐久</v>
      </c>
      <c r="AE102">
        <f>IFERROR(MATCH(E102,個性タイプマスタ!$A$5:$A$54,0),0)</f>
        <v>18</v>
      </c>
      <c r="AF102">
        <f>IFERROR(MATCH(F102,属性耐性マスタ!$A$5:$A$10,0),0)</f>
        <v>5</v>
      </c>
      <c r="AG102">
        <f>IF(AE102=0,1,INDEX(個性タイプマスタ!$AB$5:$AB$54,AE102))</f>
        <v>9.6931666666666683</v>
      </c>
      <c r="AH102">
        <f>IF(AE102=0,1,INDEX(個性タイプマスタ!$AC$5:$AC$54,AE102))</f>
        <v>0.64</v>
      </c>
      <c r="AI102">
        <f>IF(AE102=0,0,INDEX(個性タイプマスタ!$AD$5:$AD$54,AE102))</f>
        <v>1.3</v>
      </c>
      <c r="AJ102" s="16">
        <v>16</v>
      </c>
      <c r="AK102" s="17">
        <f>IF(OR(AJ102="",AJ102&lt;1),"",POWER(使い方と設定!$E$6,AJ102-1))</f>
        <v>1.8009435055069167</v>
      </c>
    </row>
    <row r="103" spans="1:37">
      <c r="A103" t="str">
        <f>+[2]称号!A98</f>
        <v>TITLE_097</v>
      </c>
      <c r="B103" t="str">
        <f>+[2]称号!B98</f>
        <v>終末の核</v>
      </c>
      <c r="C103" t="s">
        <v>323</v>
      </c>
      <c r="D103" t="s">
        <v>324</v>
      </c>
      <c r="E103" s="2" t="str">
        <f>[1]モンスター計算!AM101</f>
        <v>魔法・万能</v>
      </c>
      <c r="F103" s="2" t="str">
        <f>[1]モンスター計算!C101</f>
        <v>雷</v>
      </c>
      <c r="G103" s="8">
        <v>1</v>
      </c>
      <c r="H103" t="str">
        <f t="shared" si="3"/>
        <v>OK</v>
      </c>
      <c r="I103" s="9">
        <f>IF($H103&lt;&gt;"OK","",ROUND($G103*使い方と設定!$B$7*$AK103*INDEX(個性タイプマスタ!$Q$5:$AA$54,$AE103,1)/$AG103,4))</f>
        <v>0.31909999999999999</v>
      </c>
      <c r="J103" s="9">
        <f>IF($H103&lt;&gt;"OK","",ROUND($G103*使い方と設定!$B$7*$AK103*INDEX(個性タイプマスタ!$Q$5:$AA$54,$AE103,2)/$AG103,4))</f>
        <v>0.30459999999999998</v>
      </c>
      <c r="K103" s="9">
        <f>IF($H103&lt;&gt;"OK","",ROUND($G103*使い方と設定!$B$7*$AK103*INDEX(個性タイプマスタ!$Q$5:$AA$54,$AE103,3)/$AG103,4))</f>
        <v>6.59E-2</v>
      </c>
      <c r="L103" s="9">
        <f>IF($H103&lt;&gt;"OK","",ROUND($G103*使い方と設定!$B$7*$AK103*INDEX(個性タイプマスタ!$Q$5:$AA$54,$AE103,4)/$AG103,4))</f>
        <v>0.65920000000000001</v>
      </c>
      <c r="M103" s="9">
        <f>IF($H103&lt;&gt;"OK","",ROUND($G103*使い方と設定!$B$7*$AK103*INDEX(個性タイプマスタ!$Q$5:$AA$54,$AE103,5)/$AG103,4))</f>
        <v>0.2465</v>
      </c>
      <c r="N103" s="9">
        <f>IF($H103&lt;&gt;"OK","",ROUND($G103*使い方と設定!$B$7*$AK103*INDEX(個性タイプマスタ!$Q$5:$AA$54,$AE103,6)/$AG103,4))</f>
        <v>0.2465</v>
      </c>
      <c r="O103" s="9">
        <f>IF($H103&lt;&gt;"OK","",ROUND($G103*使い方と設定!$B$7*$AK103*INDEX(個性タイプマスタ!$Q$5:$AA$54,$AE103,7)/$AG103,4))</f>
        <v>0.20300000000000001</v>
      </c>
      <c r="P103" s="9">
        <f>IF($H103&lt;&gt;"OK","",ROUND($G103*使い方と設定!$B$7*$AK103*INDEX(個性タイプマスタ!$Q$5:$AA$54,$AE103,8)/$AG103,4))</f>
        <v>0.17710000000000001</v>
      </c>
      <c r="Q103" s="9">
        <f>IF($H103&lt;&gt;"OK","",ROUND($G103*使い方と設定!$B$7*$AK103*INDEX(個性タイプマスタ!$Q$5:$AA$54,$AE103,9)/$AG103,4))</f>
        <v>0.13919999999999999</v>
      </c>
      <c r="R103" s="9">
        <f>IF($H103&lt;&gt;"OK","",ROUND($G103*使い方と設定!$B$7*$AK103*INDEX(個性タイプマスタ!$Q$5:$AA$54,$AE103,10)/$AG103,4))</f>
        <v>0.26369999999999999</v>
      </c>
      <c r="S103" s="9">
        <f>IF($H103&lt;&gt;"OK","",ROUND($G103*使い方と設定!$B$7*$AK103*INDEX(個性タイプマスタ!$Q$5:$AA$54,$AE103,11)/$AG103,4))</f>
        <v>0.18459999999999999</v>
      </c>
      <c r="T103" s="9">
        <f>IF($H103&lt;&gt;"OK","",ROUND($G103*使い方と設定!$B$8*$AK103*$AH103*INDEX(属性耐性マスタ!$B$5:$G$10,$AF103,1),4))</f>
        <v>8.0999999999999996E-3</v>
      </c>
      <c r="U103" s="9">
        <f>IF($H103&lt;&gt;"OK","",ROUND($G103*使い方と設定!$B$8*$AK103*$AH103*INDEX(属性耐性マスタ!$B$5:$G$10,$AF103,2),4))</f>
        <v>8.0999999999999996E-3</v>
      </c>
      <c r="V103" s="9">
        <f>IF($H103&lt;&gt;"OK","",ROUND($G103*使い方と設定!$B$8*$AK103*$AH103*INDEX(属性耐性マスタ!$B$5:$G$10,$AF103,3),4))</f>
        <v>3.0300000000000001E-2</v>
      </c>
      <c r="W103" s="9">
        <f>IF($H103&lt;&gt;"OK","",ROUND($G103*使い方と設定!$B$8*$AK103*$AH103*INDEX(属性耐性マスタ!$B$5:$G$10,$AF103,4),4))</f>
        <v>0.12139999999999999</v>
      </c>
      <c r="X103" s="9">
        <f>IF($H103&lt;&gt;"OK","",ROUND($G103*使い方と設定!$B$8*$AK103*$AH103*INDEX(属性耐性マスタ!$B$5:$G$10,$AF103,5),4))</f>
        <v>6.1000000000000004E-3</v>
      </c>
      <c r="Y103" s="9">
        <f>IF($H103&lt;&gt;"OK","",ROUND($G103*使い方と設定!$B$8*$AK103*$AH103*INDEX(属性耐性マスタ!$B$5:$G$10,$AF103,6),4))</f>
        <v>6.1000000000000004E-3</v>
      </c>
      <c r="Z103" s="9">
        <f>IF($H103&lt;&gt;"OK","",ROUND($G103*使い方と設定!$B$9*$AK103*$AI103,4))</f>
        <v>0.9365</v>
      </c>
      <c r="AA103" s="10">
        <v>1</v>
      </c>
      <c r="AB103" s="11">
        <f t="shared" si="4"/>
        <v>2.8094000000000001</v>
      </c>
      <c r="AC103" s="11">
        <f t="shared" si="5"/>
        <v>0.18010000000000001</v>
      </c>
      <c r="AD103" s="7" t="str">
        <f>IF($H103&lt;&gt;"OK","",INDEX(個性タイプマスタ!$P$5:$P$54,$AE103))</f>
        <v>バランス重視</v>
      </c>
      <c r="AE103">
        <f>IFERROR(MATCH(E103,個性タイプマスタ!$A$5:$A$54,0),0)</f>
        <v>14</v>
      </c>
      <c r="AF103">
        <f>IFERROR(MATCH(F103,属性耐性マスタ!$A$5:$A$10,0),0)</f>
        <v>4</v>
      </c>
      <c r="AG103">
        <f>IF(AE103=0,1,INDEX(個性タイプマスタ!$AB$5:$AB$54,AE103))</f>
        <v>10.654666666666667</v>
      </c>
      <c r="AH103">
        <f>IF(AE103=0,1,INDEX(個性タイプマスタ!$AC$5:$AC$54,AE103))</f>
        <v>1.08</v>
      </c>
      <c r="AI103">
        <f>IF(AE103=0,0,INDEX(個性タイプマスタ!$AD$5:$AD$54,AE103))</f>
        <v>1</v>
      </c>
      <c r="AJ103" s="16">
        <v>17</v>
      </c>
      <c r="AK103" s="17">
        <f>IF(OR(AJ103="",AJ103&lt;1),"",POWER(使い方と設定!$E$6,AJ103-1))</f>
        <v>1.8729812457271937</v>
      </c>
    </row>
    <row r="104" spans="1:37">
      <c r="A104" t="str">
        <f>+[2]称号!A99</f>
        <v>TITLE_098</v>
      </c>
      <c r="B104" t="str">
        <f>+[2]称号!B99</f>
        <v>終端機神王</v>
      </c>
      <c r="C104" t="s">
        <v>325</v>
      </c>
      <c r="D104" t="s">
        <v>326</v>
      </c>
      <c r="E104" s="2" t="str">
        <f>[1]モンスター計算!AM102</f>
        <v>魔法・近距離</v>
      </c>
      <c r="F104" s="2" t="str">
        <f>[1]モンスター計算!C102</f>
        <v>雷</v>
      </c>
      <c r="G104" s="8">
        <v>1.05</v>
      </c>
      <c r="H104" t="str">
        <f t="shared" si="3"/>
        <v>OK</v>
      </c>
      <c r="I104" s="9">
        <f>IF($H104&lt;&gt;"OK","",ROUND($G104*使い方と設定!$B$7*$AK104*INDEX(個性タイプマスタ!$Q$5:$AA$54,$AE104,1)/$AG104,4))</f>
        <v>0.37480000000000002</v>
      </c>
      <c r="J104" s="9">
        <f>IF($H104&lt;&gt;"OK","",ROUND($G104*使い方と設定!$B$7*$AK104*INDEX(個性タイプマスタ!$Q$5:$AA$54,$AE104,2)/$AG104,4))</f>
        <v>0.27810000000000001</v>
      </c>
      <c r="K104" s="9">
        <f>IF($H104&lt;&gt;"OK","",ROUND($G104*使い方と設定!$B$7*$AK104*INDEX(個性タイプマスタ!$Q$5:$AA$54,$AE104,3)/$AG104,4))</f>
        <v>5.6599999999999998E-2</v>
      </c>
      <c r="L104" s="9">
        <f>IF($H104&lt;&gt;"OK","",ROUND($G104*使い方と設定!$B$7*$AK104*INDEX(個性タイプマスタ!$Q$5:$AA$54,$AE104,4)/$AG104,4))</f>
        <v>0.66539999999999999</v>
      </c>
      <c r="M104" s="9">
        <f>IF($H104&lt;&gt;"OK","",ROUND($G104*使い方と設定!$B$7*$AK104*INDEX(個性タイプマスタ!$Q$5:$AA$54,$AE104,5)/$AG104,4))</f>
        <v>0.27829999999999999</v>
      </c>
      <c r="N104" s="9">
        <f>IF($H104&lt;&gt;"OK","",ROUND($G104*使い方と設定!$B$7*$AK104*INDEX(個性タイプマスタ!$Q$5:$AA$54,$AE104,6)/$AG104,4))</f>
        <v>0.25340000000000001</v>
      </c>
      <c r="O104" s="9">
        <f>IF($H104&lt;&gt;"OK","",ROUND($G104*使い方と設定!$B$7*$AK104*INDEX(個性タイプマスタ!$Q$5:$AA$54,$AE104,7)/$AG104,4))</f>
        <v>0.2049</v>
      </c>
      <c r="P104" s="9">
        <f>IF($H104&lt;&gt;"OK","",ROUND($G104*使い方と設定!$B$7*$AK104*INDEX(個性タイプマスタ!$Q$5:$AA$54,$AE104,8)/$AG104,4))</f>
        <v>0.17299999999999999</v>
      </c>
      <c r="Q104" s="9">
        <f>IF($H104&lt;&gt;"OK","",ROUND($G104*使い方と設定!$B$7*$AK104*INDEX(個性タイプマスタ!$Q$5:$AA$54,$AE104,9)/$AG104,4))</f>
        <v>0.16400000000000001</v>
      </c>
      <c r="R104" s="9">
        <f>IF($H104&lt;&gt;"OK","",ROUND($G104*使い方と設定!$B$7*$AK104*INDEX(個性タイプマスタ!$Q$5:$AA$54,$AE104,10)/$AG104,4))</f>
        <v>0.38590000000000002</v>
      </c>
      <c r="S104" s="9">
        <f>IF($H104&lt;&gt;"OK","",ROUND($G104*使い方と設定!$B$7*$AK104*INDEX(個性タイプマスタ!$Q$5:$AA$54,$AE104,11)/$AG104,4))</f>
        <v>0.11550000000000001</v>
      </c>
      <c r="T104" s="9">
        <f>IF($H104&lt;&gt;"OK","",ROUND($G104*使い方と設定!$B$8*$AK104*$AH104*INDEX(属性耐性マスタ!$B$5:$G$10,$AF104,1),4))</f>
        <v>8.8000000000000005E-3</v>
      </c>
      <c r="U104" s="9">
        <f>IF($H104&lt;&gt;"OK","",ROUND($G104*使い方と設定!$B$8*$AK104*$AH104*INDEX(属性耐性マスタ!$B$5:$G$10,$AF104,2),4))</f>
        <v>8.8000000000000005E-3</v>
      </c>
      <c r="V104" s="9">
        <f>IF($H104&lt;&gt;"OK","",ROUND($G104*使い方と設定!$B$8*$AK104*$AH104*INDEX(属性耐性マスタ!$B$5:$G$10,$AF104,3),4))</f>
        <v>3.3000000000000002E-2</v>
      </c>
      <c r="W104" s="9">
        <f>IF($H104&lt;&gt;"OK","",ROUND($G104*使い方と設定!$B$8*$AK104*$AH104*INDEX(属性耐性マスタ!$B$5:$G$10,$AF104,4),4))</f>
        <v>0.13220000000000001</v>
      </c>
      <c r="X104" s="9">
        <f>IF($H104&lt;&gt;"OK","",ROUND($G104*使い方と設定!$B$8*$AK104*$AH104*INDEX(属性耐性マスタ!$B$5:$G$10,$AF104,5),4))</f>
        <v>6.6E-3</v>
      </c>
      <c r="Y104" s="9">
        <f>IF($H104&lt;&gt;"OK","",ROUND($G104*使い方と設定!$B$8*$AK104*$AH104*INDEX(属性耐性マスタ!$B$5:$G$10,$AF104,6),4))</f>
        <v>6.6E-3</v>
      </c>
      <c r="Z104" s="9">
        <f>IF($H104&lt;&gt;"OK","",ROUND($G104*使い方と設定!$B$9*$AK104*$AI104,4))</f>
        <v>1.0488999999999999</v>
      </c>
      <c r="AA104" s="10">
        <v>1</v>
      </c>
      <c r="AB104" s="11">
        <f t="shared" si="4"/>
        <v>2.9499</v>
      </c>
      <c r="AC104" s="11">
        <f t="shared" si="5"/>
        <v>0.19600000000000001</v>
      </c>
      <c r="AD104" s="7" t="str">
        <f>IF($H104&lt;&gt;"OK","",INDEX(個性タイプマスタ!$P$5:$P$54,$AE104))</f>
        <v>短射程の連発型</v>
      </c>
      <c r="AE104">
        <f>IFERROR(MATCH(E104,個性タイプマスタ!$A$5:$A$54,0),0)</f>
        <v>21</v>
      </c>
      <c r="AF104">
        <f>IFERROR(MATCH(F104,属性耐性マスタ!$A$5:$A$10,0),0)</f>
        <v>4</v>
      </c>
      <c r="AG104">
        <f>IF(AE104=0,1,INDEX(個性タイプマスタ!$AB$5:$AB$54,AE104))</f>
        <v>11.082999999999998</v>
      </c>
      <c r="AH104">
        <f>IF(AE104=0,1,INDEX(個性タイプマスタ!$AC$5:$AC$54,AE104))</f>
        <v>1.1200000000000001</v>
      </c>
      <c r="AI104">
        <f>IF(AE104=0,0,INDEX(個性タイプマスタ!$AD$5:$AD$54,AE104))</f>
        <v>1.0666666666666667</v>
      </c>
      <c r="AJ104" s="16">
        <v>17</v>
      </c>
      <c r="AK104" s="17">
        <f>IF(OR(AJ104="",AJ104&lt;1),"",POWER(使い方と設定!$E$6,AJ104-1))</f>
        <v>1.8729812457271937</v>
      </c>
    </row>
    <row r="105" spans="1:37">
      <c r="A105" t="str">
        <f>+[2]称号!A100</f>
        <v>TITLE_099</v>
      </c>
      <c r="B105" t="str">
        <f>+[2]称号!B100</f>
        <v>暴走する地獄炉</v>
      </c>
      <c r="C105" t="s">
        <v>327</v>
      </c>
      <c r="D105" t="s">
        <v>328</v>
      </c>
      <c r="E105" s="2" t="str">
        <f>[1]モンスター計算!AM103</f>
        <v>魔法・探索</v>
      </c>
      <c r="F105" s="2" t="str">
        <f>[1]モンスター計算!C103</f>
        <v>火</v>
      </c>
      <c r="G105" s="8">
        <v>1.1000000000000001</v>
      </c>
      <c r="H105" t="str">
        <f t="shared" si="3"/>
        <v>OK</v>
      </c>
      <c r="I105" s="9">
        <f>IF($H105&lt;&gt;"OK","",ROUND($G105*使い方と設定!$B$7*$AK105*INDEX(個性タイプマスタ!$Q$5:$AA$54,$AE105,1)/$AG105,4))</f>
        <v>0.29099999999999998</v>
      </c>
      <c r="J105" s="9">
        <f>IF($H105&lt;&gt;"OK","",ROUND($G105*使い方と設定!$B$7*$AK105*INDEX(個性タイプマスタ!$Q$5:$AA$54,$AE105,2)/$AG105,4))</f>
        <v>0.31059999999999999</v>
      </c>
      <c r="K105" s="9">
        <f>IF($H105&lt;&gt;"OK","",ROUND($G105*使い方と設定!$B$7*$AK105*INDEX(個性タイプマスタ!$Q$5:$AA$54,$AE105,3)/$AG105,4))</f>
        <v>4.4600000000000001E-2</v>
      </c>
      <c r="L105" s="9">
        <f>IF($H105&lt;&gt;"OK","",ROUND($G105*使い方と設定!$B$7*$AK105*INDEX(個性タイプマスタ!$Q$5:$AA$54,$AE105,4)/$AG105,4))</f>
        <v>0.74309999999999998</v>
      </c>
      <c r="M105" s="9">
        <f>IF($H105&lt;&gt;"OK","",ROUND($G105*使い方と設定!$B$7*$AK105*INDEX(個性タイプマスタ!$Q$5:$AA$54,$AE105,5)/$AG105,4))</f>
        <v>0.2324</v>
      </c>
      <c r="N105" s="9">
        <f>IF($H105&lt;&gt;"OK","",ROUND($G105*使い方と設定!$B$7*$AK105*INDEX(個性タイプマスタ!$Q$5:$AA$54,$AE105,6)/$AG105,4))</f>
        <v>0.22989999999999999</v>
      </c>
      <c r="O105" s="9">
        <f>IF($H105&lt;&gt;"OK","",ROUND($G105*使い方と設定!$B$7*$AK105*INDEX(個性タイプマスタ!$Q$5:$AA$54,$AE105,7)/$AG105,4))</f>
        <v>0.2452</v>
      </c>
      <c r="P105" s="9">
        <f>IF($H105&lt;&gt;"OK","",ROUND($G105*使い方と設定!$B$7*$AK105*INDEX(個性タイプマスタ!$Q$5:$AA$54,$AE105,8)/$AG105,4))</f>
        <v>0.19320000000000001</v>
      </c>
      <c r="Q105" s="9">
        <f>IF($H105&lt;&gt;"OK","",ROUND($G105*使い方と設定!$B$7*$AK105*INDEX(個性タイプマスタ!$Q$5:$AA$54,$AE105,9)/$AG105,4))</f>
        <v>0.20269999999999999</v>
      </c>
      <c r="R105" s="9">
        <f>IF($H105&lt;&gt;"OK","",ROUND($G105*使い方と設定!$B$7*$AK105*INDEX(個性タイプマスタ!$Q$5:$AA$54,$AE105,10)/$AG105,4))</f>
        <v>0.34179999999999999</v>
      </c>
      <c r="S105" s="9">
        <f>IF($H105&lt;&gt;"OK","",ROUND($G105*使い方と設定!$B$7*$AK105*INDEX(個性タイプマスタ!$Q$5:$AA$54,$AE105,11)/$AG105,4))</f>
        <v>0.25590000000000002</v>
      </c>
      <c r="T105" s="9">
        <f>IF($H105&lt;&gt;"OK","",ROUND($G105*使い方と設定!$B$8*$AK105*$AH105*INDEX(属性耐性マスタ!$B$5:$G$10,$AF105,1),4))</f>
        <v>0.1187</v>
      </c>
      <c r="U105" s="9">
        <f>IF($H105&lt;&gt;"OK","",ROUND($G105*使い方と設定!$B$8*$AK105*$AH105*INDEX(属性耐性マスタ!$B$5:$G$10,$AF105,2),4))</f>
        <v>2.3699999999999999E-2</v>
      </c>
      <c r="V105" s="9">
        <f>IF($H105&lt;&gt;"OK","",ROUND($G105*使い方と設定!$B$8*$AK105*$AH105*INDEX(属性耐性マスタ!$B$5:$G$10,$AF105,3),4))</f>
        <v>7.9000000000000008E-3</v>
      </c>
      <c r="W105" s="9">
        <f>IF($H105&lt;&gt;"OK","",ROUND($G105*使い方と設定!$B$8*$AK105*$AH105*INDEX(属性耐性マスタ!$B$5:$G$10,$AF105,4),4))</f>
        <v>7.9000000000000008E-3</v>
      </c>
      <c r="X105" s="9">
        <f>IF($H105&lt;&gt;"OK","",ROUND($G105*使い方と設定!$B$8*$AK105*$AH105*INDEX(属性耐性マスタ!$B$5:$G$10,$AF105,5),4))</f>
        <v>5.8999999999999999E-3</v>
      </c>
      <c r="Y105" s="9">
        <f>IF($H105&lt;&gt;"OK","",ROUND($G105*使い方と設定!$B$8*$AK105*$AH105*INDEX(属性耐性マスタ!$B$5:$G$10,$AF105,6),4))</f>
        <v>5.8999999999999999E-3</v>
      </c>
      <c r="Z105" s="9">
        <f>IF($H105&lt;&gt;"OK","",ROUND($G105*使い方と設定!$B$9*$AK105*$AI105,4))</f>
        <v>1.9229000000000001</v>
      </c>
      <c r="AA105" s="10">
        <v>0.9</v>
      </c>
      <c r="AB105" s="11">
        <f t="shared" si="4"/>
        <v>3.0903999999999998</v>
      </c>
      <c r="AC105" s="11">
        <f t="shared" si="5"/>
        <v>0.17</v>
      </c>
      <c r="AD105" s="7" t="str">
        <f>IF($H105&lt;&gt;"OK","",INDEX(個性タイプマスタ!$P$5:$P$54,$AE105))</f>
        <v>高索敵・長射程寄りの探索型</v>
      </c>
      <c r="AE105">
        <f>IFERROR(MATCH(E105,個性タイプマスタ!$A$5:$A$54,0),0)</f>
        <v>28</v>
      </c>
      <c r="AF105">
        <f>IFERROR(MATCH(F105,属性耐性マスタ!$A$5:$A$10,0),0)</f>
        <v>1</v>
      </c>
      <c r="AG105">
        <f>IF(AE105=0,1,INDEX(個性タイプマスタ!$AB$5:$AB$54,AE105))</f>
        <v>10.397500000000001</v>
      </c>
      <c r="AH105">
        <f>IF(AE105=0,1,INDEX(個性タイプマスタ!$AC$5:$AC$54,AE105))</f>
        <v>0.96</v>
      </c>
      <c r="AI105">
        <f>IF(AE105=0,0,INDEX(個性タイプマスタ!$AD$5:$AD$54,AE105))</f>
        <v>1.8666666666666667</v>
      </c>
      <c r="AJ105" s="16">
        <v>17</v>
      </c>
      <c r="AK105" s="17">
        <f>IF(OR(AJ105="",AJ105&lt;1),"",POWER(使い方と設定!$E$6,AJ105-1))</f>
        <v>1.8729812457271937</v>
      </c>
    </row>
    <row r="106" spans="1:37">
      <c r="A106" t="str">
        <f>+[2]称号!A101</f>
        <v>TITLE_100</v>
      </c>
      <c r="B106" t="str">
        <f>+[2]称号!B101</f>
        <v>蒼嵐の渦王</v>
      </c>
      <c r="C106" t="s">
        <v>329</v>
      </c>
      <c r="D106" t="s">
        <v>330</v>
      </c>
      <c r="E106" s="2" t="str">
        <f>[1]モンスター計算!AM104</f>
        <v>近接・火力</v>
      </c>
      <c r="F106" s="2" t="str">
        <f>[1]モンスター計算!C104</f>
        <v>水</v>
      </c>
      <c r="G106" s="8">
        <v>1.1499999999999999</v>
      </c>
      <c r="H106" t="str">
        <f t="shared" si="3"/>
        <v>OK</v>
      </c>
      <c r="I106" s="9">
        <f>IF($H106&lt;&gt;"OK","",ROUND($G106*使い方と設定!$B$7*$AK106*INDEX(個性タイプマスタ!$Q$5:$AA$54,$AE106,1)/$AG106,4))</f>
        <v>0.31519999999999998</v>
      </c>
      <c r="J106" s="9">
        <f>IF($H106&lt;&gt;"OK","",ROUND($G106*使い方と設定!$B$7*$AK106*INDEX(個性タイプマスタ!$Q$5:$AA$54,$AE106,2)/$AG106,4))</f>
        <v>0.1401</v>
      </c>
      <c r="K106" s="9">
        <f>IF($H106&lt;&gt;"OK","",ROUND($G106*使い方と設定!$B$7*$AK106*INDEX(個性タイプマスタ!$Q$5:$AA$54,$AE106,3)/$AG106,4))</f>
        <v>0.79590000000000005</v>
      </c>
      <c r="L106" s="9">
        <f>IF($H106&lt;&gt;"OK","",ROUND($G106*使い方と設定!$B$7*$AK106*INDEX(個性タイプマスタ!$Q$5:$AA$54,$AE106,4)/$AG106,4))</f>
        <v>7.9600000000000004E-2</v>
      </c>
      <c r="M106" s="9">
        <f>IF($H106&lt;&gt;"OK","",ROUND($G106*使い方と設定!$B$7*$AK106*INDEX(個性タイプマスタ!$Q$5:$AA$54,$AE106,5)/$AG106,4))</f>
        <v>0.24360000000000001</v>
      </c>
      <c r="N106" s="9">
        <f>IF($H106&lt;&gt;"OK","",ROUND($G106*使い方と設定!$B$7*$AK106*INDEX(個性タイプマスタ!$Q$5:$AA$54,$AE106,6)/$AG106,4))</f>
        <v>0.24360000000000001</v>
      </c>
      <c r="O106" s="9">
        <f>IF($H106&lt;&gt;"OK","",ROUND($G106*使い方と設定!$B$7*$AK106*INDEX(個性タイプマスタ!$Q$5:$AA$54,$AE106,7)/$AG106,4))</f>
        <v>0.38519999999999999</v>
      </c>
      <c r="P106" s="9">
        <f>IF($H106&lt;&gt;"OK","",ROUND($G106*使い方と設定!$B$7*$AK106*INDEX(個性タイプマスタ!$Q$5:$AA$54,$AE106,8)/$AG106,4))</f>
        <v>0.2414</v>
      </c>
      <c r="Q106" s="9">
        <f>IF($H106&lt;&gt;"OK","",ROUND($G106*使い方と設定!$B$7*$AK106*INDEX(個性タイプマスタ!$Q$5:$AA$54,$AE106,9)/$AG106,4))</f>
        <v>0.21010000000000001</v>
      </c>
      <c r="R106" s="9">
        <f>IF($H106&lt;&gt;"OK","",ROUND($G106*使い方と設定!$B$7*$AK106*INDEX(個性タイプマスタ!$Q$5:$AA$54,$AE106,10)/$AG106,4))</f>
        <v>0.37569999999999998</v>
      </c>
      <c r="S106" s="9">
        <f>IF($H106&lt;&gt;"OK","",ROUND($G106*使い方と設定!$B$7*$AK106*INDEX(個性タイプマスタ!$Q$5:$AA$54,$AE106,11)/$AG106,4))</f>
        <v>0.2006</v>
      </c>
      <c r="T106" s="9">
        <f>IF($H106&lt;&gt;"OK","",ROUND($G106*使い方と設定!$B$8*$AK106*$AH106*INDEX(属性耐性マスタ!$B$5:$G$10,$AF106,1),4))</f>
        <v>2.2700000000000001E-2</v>
      </c>
      <c r="U106" s="9">
        <f>IF($H106&lt;&gt;"OK","",ROUND($G106*使い方と設定!$B$8*$AK106*$AH106*INDEX(属性耐性マスタ!$B$5:$G$10,$AF106,2),4))</f>
        <v>0.1137</v>
      </c>
      <c r="V106" s="9">
        <f>IF($H106&lt;&gt;"OK","",ROUND($G106*使い方と設定!$B$8*$AK106*$AH106*INDEX(属性耐性マスタ!$B$5:$G$10,$AF106,3),4))</f>
        <v>7.6E-3</v>
      </c>
      <c r="W106" s="9">
        <f>IF($H106&lt;&gt;"OK","",ROUND($G106*使い方と設定!$B$8*$AK106*$AH106*INDEX(属性耐性マスタ!$B$5:$G$10,$AF106,4),4))</f>
        <v>7.6E-3</v>
      </c>
      <c r="X106" s="9">
        <f>IF($H106&lt;&gt;"OK","",ROUND($G106*使い方と設定!$B$8*$AK106*$AH106*INDEX(属性耐性マスタ!$B$5:$G$10,$AF106,5),4))</f>
        <v>5.7000000000000002E-3</v>
      </c>
      <c r="Y106" s="9">
        <f>IF($H106&lt;&gt;"OK","",ROUND($G106*使い方と設定!$B$8*$AK106*$AH106*INDEX(属性耐性マスタ!$B$5:$G$10,$AF106,6),4))</f>
        <v>5.7000000000000002E-3</v>
      </c>
      <c r="Z106" s="9">
        <f>IF($H106&lt;&gt;"OK","",ROUND($G106*使い方と設定!$B$9*$AK106*$AI106,4))</f>
        <v>1.1847000000000001</v>
      </c>
      <c r="AA106" s="10">
        <v>0.55000000000000004</v>
      </c>
      <c r="AB106" s="11">
        <f t="shared" si="4"/>
        <v>3.2309999999999999</v>
      </c>
      <c r="AC106" s="11">
        <f t="shared" si="5"/>
        <v>0.16300000000000001</v>
      </c>
      <c r="AD106" s="7" t="str">
        <f>IF($H106&lt;&gt;"OK","",INDEX(個性タイプマスタ!$P$5:$P$54,$AE106))</f>
        <v>攻撃とクリティカル特化</v>
      </c>
      <c r="AE106">
        <f>IFERROR(MATCH(E106,個性タイプマスタ!$A$5:$A$54,0),0)</f>
        <v>11</v>
      </c>
      <c r="AF106">
        <f>IFERROR(MATCH(F106,属性耐性マスタ!$A$5:$A$10,0),0)</f>
        <v>2</v>
      </c>
      <c r="AG106">
        <f>IF(AE106=0,1,INDEX(個性タイプマスタ!$AB$5:$AB$54,AE106))</f>
        <v>10.148333333333333</v>
      </c>
      <c r="AH106">
        <f>IF(AE106=0,1,INDEX(個性タイプマスタ!$AC$5:$AC$54,AE106))</f>
        <v>0.88</v>
      </c>
      <c r="AI106">
        <f>IF(AE106=0,0,INDEX(個性タイプマスタ!$AD$5:$AD$54,AE106))</f>
        <v>1.1000000000000001</v>
      </c>
      <c r="AJ106" s="16">
        <v>17</v>
      </c>
      <c r="AK106" s="17">
        <f>IF(OR(AJ106="",AJ106&lt;1),"",POWER(使い方と設定!$E$6,AJ106-1))</f>
        <v>1.8729812457271937</v>
      </c>
    </row>
    <row r="107" spans="1:37">
      <c r="A107" t="str">
        <f>+[2]称号!A102</f>
        <v>TITLE_101</v>
      </c>
      <c r="B107" t="str">
        <f>+[2]称号!B102</f>
        <v>機鋼の巨神</v>
      </c>
      <c r="C107" t="s">
        <v>332</v>
      </c>
      <c r="D107" t="s">
        <v>333</v>
      </c>
      <c r="E107" s="2" t="str">
        <f>[1]モンスター計算!AM105</f>
        <v>近接・機動</v>
      </c>
      <c r="F107" s="2" t="str">
        <f>[1]モンスター計算!C105</f>
        <v>雷</v>
      </c>
      <c r="G107" s="8">
        <v>1.2</v>
      </c>
      <c r="H107" t="str">
        <f t="shared" si="3"/>
        <v>OK</v>
      </c>
      <c r="I107" s="9">
        <f>IF($H107&lt;&gt;"OK","",ROUND($G107*使い方と設定!$B$7*$AK107*INDEX(個性タイプマスタ!$Q$5:$AA$54,$AE107,1)/$AG107,4))</f>
        <v>0.25900000000000001</v>
      </c>
      <c r="J107" s="9">
        <f>IF($H107&lt;&gt;"OK","",ROUND($G107*使い方と設定!$B$7*$AK107*INDEX(個性タイプマスタ!$Q$5:$AA$54,$AE107,2)/$AG107,4))</f>
        <v>0.15720000000000001</v>
      </c>
      <c r="K107" s="9">
        <f>IF($H107&lt;&gt;"OK","",ROUND($G107*使い方と設定!$B$7*$AK107*INDEX(個性タイプマスタ!$Q$5:$AA$54,$AE107,3)/$AG107,4))</f>
        <v>0.84089999999999998</v>
      </c>
      <c r="L107" s="9">
        <f>IF($H107&lt;&gt;"OK","",ROUND($G107*使い方と設定!$B$7*$AK107*INDEX(個性タイプマスタ!$Q$5:$AA$54,$AE107,4)/$AG107,4))</f>
        <v>6.3100000000000003E-2</v>
      </c>
      <c r="M107" s="9">
        <f>IF($H107&lt;&gt;"OK","",ROUND($G107*使い方と設定!$B$7*$AK107*INDEX(個性タイプマスタ!$Q$5:$AA$54,$AE107,5)/$AG107,4))</f>
        <v>0.21729999999999999</v>
      </c>
      <c r="N107" s="9">
        <f>IF($H107&lt;&gt;"OK","",ROUND($G107*使い方と設定!$B$7*$AK107*INDEX(個性タイプマスタ!$Q$5:$AA$54,$AE107,6)/$AG107,4))</f>
        <v>0.223</v>
      </c>
      <c r="O107" s="9">
        <f>IF($H107&lt;&gt;"OK","",ROUND($G107*使い方と設定!$B$7*$AK107*INDEX(個性タイプマスタ!$Q$5:$AA$54,$AE107,7)/$AG107,4))</f>
        <v>0.40699999999999997</v>
      </c>
      <c r="P107" s="9">
        <f>IF($H107&lt;&gt;"OK","",ROUND($G107*使い方と設定!$B$7*$AK107*INDEX(個性タイプマスタ!$Q$5:$AA$54,$AE107,8)/$AG107,4))</f>
        <v>0.2303</v>
      </c>
      <c r="Q107" s="9">
        <f>IF($H107&lt;&gt;"OK","",ROUND($G107*使い方と設定!$B$7*$AK107*INDEX(個性タイプマスタ!$Q$5:$AA$54,$AE107,9)/$AG107,4))</f>
        <v>0.32929999999999998</v>
      </c>
      <c r="R107" s="9">
        <f>IF($H107&lt;&gt;"OK","",ROUND($G107*使い方と設定!$B$7*$AK107*INDEX(個性タイプマスタ!$Q$5:$AA$54,$AE107,10)/$AG107,4))</f>
        <v>0.43719999999999998</v>
      </c>
      <c r="S107" s="9">
        <f>IF($H107&lt;&gt;"OK","",ROUND($G107*使い方と設定!$B$7*$AK107*INDEX(個性タイプマスタ!$Q$5:$AA$54,$AE107,11)/$AG107,4))</f>
        <v>0.2072</v>
      </c>
      <c r="T107" s="9">
        <f>IF($H107&lt;&gt;"OK","",ROUND($G107*使い方と設定!$B$8*$AK107*$AH107*INDEX(属性耐性マスタ!$B$5:$G$10,$AF107,1),4))</f>
        <v>6.7999999999999996E-3</v>
      </c>
      <c r="U107" s="9">
        <f>IF($H107&lt;&gt;"OK","",ROUND($G107*使い方と設定!$B$8*$AK107*$AH107*INDEX(属性耐性マスタ!$B$5:$G$10,$AF107,2),4))</f>
        <v>6.7999999999999996E-3</v>
      </c>
      <c r="V107" s="9">
        <f>IF($H107&lt;&gt;"OK","",ROUND($G107*使い方と設定!$B$8*$AK107*$AH107*INDEX(属性耐性マスタ!$B$5:$G$10,$AF107,3),4))</f>
        <v>2.5600000000000001E-2</v>
      </c>
      <c r="W107" s="9">
        <f>IF($H107&lt;&gt;"OK","",ROUND($G107*使い方と設定!$B$8*$AK107*$AH107*INDEX(属性耐性マスタ!$B$5:$G$10,$AF107,4),4))</f>
        <v>0.10249999999999999</v>
      </c>
      <c r="X107" s="9">
        <f>IF($H107&lt;&gt;"OK","",ROUND($G107*使い方と設定!$B$8*$AK107*$AH107*INDEX(属性耐性マスタ!$B$5:$G$10,$AF107,5),4))</f>
        <v>5.1000000000000004E-3</v>
      </c>
      <c r="Y107" s="9">
        <f>IF($H107&lt;&gt;"OK","",ROUND($G107*使い方と設定!$B$8*$AK107*$AH107*INDEX(属性耐性マスタ!$B$5:$G$10,$AF107,6),4))</f>
        <v>5.1000000000000004E-3</v>
      </c>
      <c r="Z107" s="9">
        <f>IF($H107&lt;&gt;"OK","",ROUND($G107*使い方と設定!$B$9*$AK107*$AI107,4))</f>
        <v>1.5077</v>
      </c>
      <c r="AA107" s="10">
        <v>0.5</v>
      </c>
      <c r="AB107" s="11">
        <f t="shared" si="4"/>
        <v>3.3715000000000002</v>
      </c>
      <c r="AC107" s="11">
        <f t="shared" si="5"/>
        <v>0.15190000000000001</v>
      </c>
      <c r="AD107" s="7" t="str">
        <f>IF($H107&lt;&gt;"OK","",INDEX(個性タイプマスタ!$P$5:$P$54,$AE107))</f>
        <v>高移動速度で接敵に優れる</v>
      </c>
      <c r="AE107">
        <f>IFERROR(MATCH(E107,個性タイプマスタ!$A$5:$A$54,0),0)</f>
        <v>36</v>
      </c>
      <c r="AF107">
        <f>IFERROR(MATCH(F107,属性耐性マスタ!$A$5:$A$10,0),0)</f>
        <v>4</v>
      </c>
      <c r="AG107">
        <f>IF(AE107=0,1,INDEX(個性タイプマスタ!$AB$5:$AB$54,AE107))</f>
        <v>10.023666666666667</v>
      </c>
      <c r="AH107">
        <f>IF(AE107=0,1,INDEX(個性タイプマスタ!$AC$5:$AC$54,AE107))</f>
        <v>0.76</v>
      </c>
      <c r="AI107">
        <f>IF(AE107=0,0,INDEX(個性タイプマスタ!$AD$5:$AD$54,AE107))</f>
        <v>1.3416666666666668</v>
      </c>
      <c r="AJ107" s="16">
        <v>17</v>
      </c>
      <c r="AK107" s="17">
        <f>IF(OR(AJ107="",AJ107&lt;1),"",POWER(使い方と設定!$E$6,AJ107-1))</f>
        <v>1.8729812457271937</v>
      </c>
    </row>
    <row r="108" spans="1:37">
      <c r="A108" t="str">
        <f>+[2]称号!A103</f>
        <v>TITLE_102</v>
      </c>
      <c r="B108" t="str">
        <f>+[2]称号!B103</f>
        <v>聖弧の熾天使</v>
      </c>
      <c r="C108" t="s">
        <v>334</v>
      </c>
      <c r="D108" t="s">
        <v>335</v>
      </c>
      <c r="E108" s="2" t="str">
        <f>[1]モンスター計算!AM106</f>
        <v>魔法・魔防障壁</v>
      </c>
      <c r="F108" s="2" t="str">
        <f>[1]モンスター計算!C106</f>
        <v>光</v>
      </c>
      <c r="G108" s="8">
        <v>1.25</v>
      </c>
      <c r="H108" t="str">
        <f t="shared" si="3"/>
        <v>OK</v>
      </c>
      <c r="I108" s="9">
        <f>IF($H108&lt;&gt;"OK","",ROUND($G108*使い方と設定!$B$7*$AK108*INDEX(個性タイプマスタ!$Q$5:$AA$54,$AE108,1)/$AG108,4))</f>
        <v>0.36320000000000002</v>
      </c>
      <c r="J108" s="9">
        <f>IF($H108&lt;&gt;"OK","",ROUND($G108*使い方と設定!$B$7*$AK108*INDEX(個性タイプマスタ!$Q$5:$AA$54,$AE108,2)/$AG108,4))</f>
        <v>0.59960000000000002</v>
      </c>
      <c r="K108" s="9">
        <f>IF($H108&lt;&gt;"OK","",ROUND($G108*使い方と設定!$B$7*$AK108*INDEX(個性タイプマスタ!$Q$5:$AA$54,$AE108,3)/$AG108,4))</f>
        <v>5.0599999999999999E-2</v>
      </c>
      <c r="L108" s="9">
        <f>IF($H108&lt;&gt;"OK","",ROUND($G108*使い方と設定!$B$7*$AK108*INDEX(個性タイプマスタ!$Q$5:$AA$54,$AE108,4)/$AG108,4))</f>
        <v>0.77880000000000005</v>
      </c>
      <c r="M108" s="9">
        <f>IF($H108&lt;&gt;"OK","",ROUND($G108*使い方と設定!$B$7*$AK108*INDEX(個性タイプマスタ!$Q$5:$AA$54,$AE108,5)/$AG108,4))</f>
        <v>0.2039</v>
      </c>
      <c r="N108" s="9">
        <f>IF($H108&lt;&gt;"OK","",ROUND($G108*使い方と設定!$B$7*$AK108*INDEX(個性タイプマスタ!$Q$5:$AA$54,$AE108,6)/$AG108,4))</f>
        <v>0.54279999999999995</v>
      </c>
      <c r="O108" s="9">
        <f>IF($H108&lt;&gt;"OK","",ROUND($G108*使い方と設定!$B$7*$AK108*INDEX(個性タイプマスタ!$Q$5:$AA$54,$AE108,7)/$AG108,4))</f>
        <v>0.1542</v>
      </c>
      <c r="P108" s="9">
        <f>IF($H108&lt;&gt;"OK","",ROUND($G108*使い方と設定!$B$7*$AK108*INDEX(個性タイプマスタ!$Q$5:$AA$54,$AE108,8)/$AG108,4))</f>
        <v>0.19570000000000001</v>
      </c>
      <c r="Q108" s="9">
        <f>IF($H108&lt;&gt;"OK","",ROUND($G108*使い方と設定!$B$7*$AK108*INDEX(個性タイプマスタ!$Q$5:$AA$54,$AE108,9)/$AG108,4))</f>
        <v>0.13020000000000001</v>
      </c>
      <c r="R108" s="9">
        <f>IF($H108&lt;&gt;"OK","",ROUND($G108*使い方と設定!$B$7*$AK108*INDEX(個性タイプマスタ!$Q$5:$AA$54,$AE108,10)/$AG108,4))</f>
        <v>0.26169999999999999</v>
      </c>
      <c r="S108" s="9">
        <f>IF($H108&lt;&gt;"OK","",ROUND($G108*使い方と設定!$B$7*$AK108*INDEX(個性タイプマスタ!$Q$5:$AA$54,$AE108,11)/$AG108,4))</f>
        <v>0.2311</v>
      </c>
      <c r="T108" s="9">
        <f>IF($H108&lt;&gt;"OK","",ROUND($G108*使い方と設定!$B$8*$AK108*$AH108*INDEX(属性耐性マスタ!$B$5:$G$10,$AF108,1),4))</f>
        <v>9.5999999999999992E-3</v>
      </c>
      <c r="U108" s="9">
        <f>IF($H108&lt;&gt;"OK","",ROUND($G108*使い方と設定!$B$8*$AK108*$AH108*INDEX(属性耐性マスタ!$B$5:$G$10,$AF108,2),4))</f>
        <v>9.5999999999999992E-3</v>
      </c>
      <c r="V108" s="9">
        <f>IF($H108&lt;&gt;"OK","",ROUND($G108*使い方と設定!$B$8*$AK108*$AH108*INDEX(属性耐性マスタ!$B$5:$G$10,$AF108,3),4))</f>
        <v>9.5999999999999992E-3</v>
      </c>
      <c r="W108" s="9">
        <f>IF($H108&lt;&gt;"OK","",ROUND($G108*使い方と設定!$B$8*$AK108*$AH108*INDEX(属性耐性マスタ!$B$5:$G$10,$AF108,4),4))</f>
        <v>9.5999999999999992E-3</v>
      </c>
      <c r="X108" s="9">
        <f>IF($H108&lt;&gt;"OK","",ROUND($G108*使い方と設定!$B$8*$AK108*$AH108*INDEX(属性耐性マスタ!$B$5:$G$10,$AF108,5),4))</f>
        <v>0.191</v>
      </c>
      <c r="Y108" s="9">
        <f>IF($H108&lt;&gt;"OK","",ROUND($G108*使い方と設定!$B$8*$AK108*$AH108*INDEX(属性耐性マスタ!$B$5:$G$10,$AF108,6),4))</f>
        <v>2.5499999999999998E-2</v>
      </c>
      <c r="Z108" s="9">
        <f>IF($H108&lt;&gt;"OK","",ROUND($G108*使い方と設定!$B$9*$AK108*$AI108,4))</f>
        <v>1.0730999999999999</v>
      </c>
      <c r="AA108" s="10">
        <v>0.25</v>
      </c>
      <c r="AB108" s="11">
        <f t="shared" si="4"/>
        <v>3.5118</v>
      </c>
      <c r="AC108" s="11">
        <f t="shared" si="5"/>
        <v>0.25490000000000002</v>
      </c>
      <c r="AD108" s="7" t="str">
        <f>IF($H108&lt;&gt;"OK","",INDEX(個性タイプマスタ!$P$5:$P$54,$AE108))</f>
        <v>魔法防御に偏重した耐久型</v>
      </c>
      <c r="AE108">
        <f>IFERROR(MATCH(E108,個性タイプマスタ!$A$5:$A$54,0),0)</f>
        <v>24</v>
      </c>
      <c r="AF108">
        <f>IFERROR(MATCH(F108,属性耐性マスタ!$A$5:$A$10,0),0)</f>
        <v>5</v>
      </c>
      <c r="AG108">
        <f>IF(AE108=0,1,INDEX(個性タイプマスタ!$AB$5:$AB$54,AE108))</f>
        <v>11.273833333333332</v>
      </c>
      <c r="AH108">
        <f>IF(AE108=0,1,INDEX(個性タイプマスタ!$AC$5:$AC$54,AE108))</f>
        <v>1.3599999999999999</v>
      </c>
      <c r="AI108">
        <f>IF(AE108=0,0,INDEX(個性タイプマスタ!$AD$5:$AD$54,AE108))</f>
        <v>0.91666666666666663</v>
      </c>
      <c r="AJ108" s="16">
        <v>17</v>
      </c>
      <c r="AK108" s="17">
        <f>IF(OR(AJ108="",AJ108&lt;1),"",POWER(使い方と設定!$E$6,AJ108-1))</f>
        <v>1.8729812457271937</v>
      </c>
    </row>
    <row r="109" spans="1:37">
      <c r="A109" t="str">
        <f>+[2]称号!A104</f>
        <v>TITLE_103</v>
      </c>
      <c r="B109" t="str">
        <f>+[2]称号!B104</f>
        <v>荒野の牙兵</v>
      </c>
      <c r="C109" t="s">
        <v>336</v>
      </c>
      <c r="D109" t="s">
        <v>337</v>
      </c>
      <c r="E109" s="2" t="str">
        <f>[1]モンスター計算!AM107</f>
        <v>魔法・長射程</v>
      </c>
      <c r="F109" s="2" t="str">
        <f>[1]モンスター計算!C107</f>
        <v>水</v>
      </c>
      <c r="G109" s="8">
        <v>1</v>
      </c>
      <c r="H109" t="str">
        <f t="shared" si="3"/>
        <v>OK</v>
      </c>
      <c r="I109" s="9">
        <f>IF($H109&lt;&gt;"OK","",ROUND($G109*使い方と設定!$B$7*$AK109*INDEX(個性タイプマスタ!$Q$5:$AA$54,$AE109,1)/$AG109,4))</f>
        <v>0.2944</v>
      </c>
      <c r="J109" s="9">
        <f>IF($H109&lt;&gt;"OK","",ROUND($G109*使い方と設定!$B$7*$AK109*INDEX(個性タイプマスタ!$Q$5:$AA$54,$AE109,2)/$AG109,4))</f>
        <v>0.33739999999999998</v>
      </c>
      <c r="K109" s="9">
        <f>IF($H109&lt;&gt;"OK","",ROUND($G109*使い方と設定!$B$7*$AK109*INDEX(個性タイプマスタ!$Q$5:$AA$54,$AE109,3)/$AG109,4))</f>
        <v>4.3200000000000002E-2</v>
      </c>
      <c r="L109" s="9">
        <f>IF($H109&lt;&gt;"OK","",ROUND($G109*使い方と設定!$B$7*$AK109*INDEX(個性タイプマスタ!$Q$5:$AA$54,$AE109,4)/$AG109,4))</f>
        <v>0.69699999999999995</v>
      </c>
      <c r="M109" s="9">
        <f>IF($H109&lt;&gt;"OK","",ROUND($G109*使い方と設定!$B$7*$AK109*INDEX(個性タイプマスタ!$Q$5:$AA$54,$AE109,5)/$AG109,4))</f>
        <v>0.1943</v>
      </c>
      <c r="N109" s="9">
        <f>IF($H109&lt;&gt;"OK","",ROUND($G109*使い方と設定!$B$7*$AK109*INDEX(個性タイプマスタ!$Q$5:$AA$54,$AE109,6)/$AG109,4))</f>
        <v>0.2157</v>
      </c>
      <c r="O109" s="9">
        <f>IF($H109&lt;&gt;"OK","",ROUND($G109*使い方と設定!$B$7*$AK109*INDEX(個性タイプマスタ!$Q$5:$AA$54,$AE109,7)/$AG109,4))</f>
        <v>0.184</v>
      </c>
      <c r="P109" s="9">
        <f>IF($H109&lt;&gt;"OK","",ROUND($G109*使い方と設定!$B$7*$AK109*INDEX(個性タイプマスタ!$Q$5:$AA$54,$AE109,8)/$AG109,4))</f>
        <v>0.1933</v>
      </c>
      <c r="Q109" s="9">
        <f>IF($H109&lt;&gt;"OK","",ROUND($G109*使い方と設定!$B$7*$AK109*INDEX(個性タイプマスタ!$Q$5:$AA$54,$AE109,9)/$AG109,4))</f>
        <v>0.13800000000000001</v>
      </c>
      <c r="R109" s="9">
        <f>IF($H109&lt;&gt;"OK","",ROUND($G109*使い方と設定!$B$7*$AK109*INDEX(個性タイプマスタ!$Q$5:$AA$54,$AE109,10)/$AG109,4))</f>
        <v>0.25369999999999998</v>
      </c>
      <c r="S109" s="9">
        <f>IF($H109&lt;&gt;"OK","",ROUND($G109*使い方と設定!$B$7*$AK109*INDEX(個性タイプマスタ!$Q$5:$AA$54,$AE109,11)/$AG109,4))</f>
        <v>0.37080000000000002</v>
      </c>
      <c r="T109" s="9">
        <f>IF($H109&lt;&gt;"OK","",ROUND($G109*使い方と設定!$B$8*$AK109*$AH109*INDEX(属性耐性マスタ!$B$5:$G$10,$AF109,1),4))</f>
        <v>2.1499999999999998E-2</v>
      </c>
      <c r="U109" s="9">
        <f>IF($H109&lt;&gt;"OK","",ROUND($G109*使い方と設定!$B$8*$AK109*$AH109*INDEX(属性耐性マスタ!$B$5:$G$10,$AF109,2),4))</f>
        <v>0.1075</v>
      </c>
      <c r="V109" s="9">
        <f>IF($H109&lt;&gt;"OK","",ROUND($G109*使い方と設定!$B$8*$AK109*$AH109*INDEX(属性耐性マスタ!$B$5:$G$10,$AF109,3),4))</f>
        <v>7.1999999999999998E-3</v>
      </c>
      <c r="W109" s="9">
        <f>IF($H109&lt;&gt;"OK","",ROUND($G109*使い方と設定!$B$8*$AK109*$AH109*INDEX(属性耐性マスタ!$B$5:$G$10,$AF109,4),4))</f>
        <v>7.1999999999999998E-3</v>
      </c>
      <c r="X109" s="9">
        <f>IF($H109&lt;&gt;"OK","",ROUND($G109*使い方と設定!$B$8*$AK109*$AH109*INDEX(属性耐性マスタ!$B$5:$G$10,$AF109,5),4))</f>
        <v>5.4000000000000003E-3</v>
      </c>
      <c r="Y109" s="9">
        <f>IF($H109&lt;&gt;"OK","",ROUND($G109*使い方と設定!$B$8*$AK109*$AH109*INDEX(属性耐性マスタ!$B$5:$G$10,$AF109,6),4))</f>
        <v>5.4000000000000003E-3</v>
      </c>
      <c r="Z109" s="9">
        <f>IF($H109&lt;&gt;"OK","",ROUND($G109*使い方と設定!$B$9*$AK109*$AI109,4))</f>
        <v>0.9496</v>
      </c>
      <c r="AA109" s="10">
        <v>1</v>
      </c>
      <c r="AB109" s="11">
        <f t="shared" si="4"/>
        <v>2.9218000000000002</v>
      </c>
      <c r="AC109" s="11">
        <f t="shared" si="5"/>
        <v>0.1542</v>
      </c>
      <c r="AD109" s="7" t="str">
        <f>IF($H109&lt;&gt;"OK","",INDEX(個性タイプマスタ!$P$5:$P$54,$AE109))</f>
        <v>射程を優先した後衛</v>
      </c>
      <c r="AE109">
        <f>IFERROR(MATCH(E109,個性タイプマスタ!$A$5:$A$54,0),0)</f>
        <v>20</v>
      </c>
      <c r="AF109">
        <f>IFERROR(MATCH(F109,属性耐性マスタ!$A$5:$A$10,0),0)</f>
        <v>2</v>
      </c>
      <c r="AG109">
        <f>IF(AE109=0,1,INDEX(個性タイプマスタ!$AB$5:$AB$54,AE109))</f>
        <v>10.479833333333334</v>
      </c>
      <c r="AH109">
        <f>IF(AE109=0,1,INDEX(個性タイプマスタ!$AC$5:$AC$54,AE109))</f>
        <v>0.92</v>
      </c>
      <c r="AI109">
        <f>IF(AE109=0,0,INDEX(個性タイプマスタ!$AD$5:$AD$54,AE109))</f>
        <v>0.97499999999999998</v>
      </c>
      <c r="AJ109" s="16">
        <v>18</v>
      </c>
      <c r="AK109" s="17">
        <f>IF(OR(AJ109="",AJ109&lt;1),"",POWER(使い方と設定!$E$6,AJ109-1))</f>
        <v>1.9479004955562815</v>
      </c>
    </row>
    <row r="110" spans="1:37">
      <c r="A110" t="str">
        <f>+[2]称号!A105</f>
        <v>TITLE_104</v>
      </c>
      <c r="B110" t="str">
        <f>+[2]称号!B105</f>
        <v>戦歌の蛮勇</v>
      </c>
      <c r="C110" t="s">
        <v>338</v>
      </c>
      <c r="D110" t="s">
        <v>339</v>
      </c>
      <c r="E110" s="2" t="str">
        <f>[1]モンスター計算!AM108</f>
        <v>魔法・高MP</v>
      </c>
      <c r="F110" s="2" t="str">
        <f>[1]モンスター計算!C108</f>
        <v>雷</v>
      </c>
      <c r="G110" s="8">
        <v>1.05</v>
      </c>
      <c r="H110" t="str">
        <f t="shared" si="3"/>
        <v>OK</v>
      </c>
      <c r="I110" s="9">
        <f>IF($H110&lt;&gt;"OK","",ROUND($G110*使い方と設定!$B$7*$AK110*INDEX(個性タイプマスタ!$Q$5:$AA$54,$AE110,1)/$AG110,4))</f>
        <v>0.28889999999999999</v>
      </c>
      <c r="J110" s="9">
        <f>IF($H110&lt;&gt;"OK","",ROUND($G110*使い方と設定!$B$7*$AK110*INDEX(個性タイプマスタ!$Q$5:$AA$54,$AE110,2)/$AG110,4))</f>
        <v>0.74329999999999996</v>
      </c>
      <c r="K110" s="9">
        <f>IF($H110&lt;&gt;"OK","",ROUND($G110*使い方と設定!$B$7*$AK110*INDEX(個性タイプマスタ!$Q$5:$AA$54,$AE110,3)/$AG110,4))</f>
        <v>4.4600000000000001E-2</v>
      </c>
      <c r="L110" s="9">
        <f>IF($H110&lt;&gt;"OK","",ROUND($G110*使い方と設定!$B$7*$AK110*INDEX(個性タイプマスタ!$Q$5:$AA$54,$AE110,4)/$AG110,4))</f>
        <v>0.63749999999999996</v>
      </c>
      <c r="M110" s="9">
        <f>IF($H110&lt;&gt;"OK","",ROUND($G110*使い方と設定!$B$7*$AK110*INDEX(個性タイプマスタ!$Q$5:$AA$54,$AE110,5)/$AG110,4))</f>
        <v>0.20810000000000001</v>
      </c>
      <c r="N110" s="9">
        <f>IF($H110&lt;&gt;"OK","",ROUND($G110*使い方と設定!$B$7*$AK110*INDEX(個性タイプマスタ!$Q$5:$AA$54,$AE110,6)/$AG110,4))</f>
        <v>0.25580000000000003</v>
      </c>
      <c r="O110" s="9">
        <f>IF($H110&lt;&gt;"OK","",ROUND($G110*使い方と設定!$B$7*$AK110*INDEX(個性タイプマスタ!$Q$5:$AA$54,$AE110,7)/$AG110,4))</f>
        <v>0.18229999999999999</v>
      </c>
      <c r="P110" s="9">
        <f>IF($H110&lt;&gt;"OK","",ROUND($G110*使い方と設定!$B$7*$AK110*INDEX(個性タイプマスタ!$Q$5:$AA$54,$AE110,8)/$AG110,4))</f>
        <v>0.16020000000000001</v>
      </c>
      <c r="Q110" s="9">
        <f>IF($H110&lt;&gt;"OK","",ROUND($G110*使い方と設定!$B$7*$AK110*INDEX(個性タイプマスタ!$Q$5:$AA$54,$AE110,9)/$AG110,4))</f>
        <v>0.1178</v>
      </c>
      <c r="R110" s="9">
        <f>IF($H110&lt;&gt;"OK","",ROUND($G110*使い方と設定!$B$7*$AK110*INDEX(個性タイプマスタ!$Q$5:$AA$54,$AE110,10)/$AG110,4))</f>
        <v>0.22950000000000001</v>
      </c>
      <c r="S110" s="9">
        <f>IF($H110&lt;&gt;"OK","",ROUND($G110*使い方と設定!$B$7*$AK110*INDEX(個性タイプマスタ!$Q$5:$AA$54,$AE110,11)/$AG110,4))</f>
        <v>0.19989999999999999</v>
      </c>
      <c r="T110" s="9">
        <f>IF($H110&lt;&gt;"OK","",ROUND($G110*使い方と設定!$B$8*$AK110*$AH110*INDEX(属性耐性マスタ!$B$5:$G$10,$AF110,1),4))</f>
        <v>8.8000000000000005E-3</v>
      </c>
      <c r="U110" s="9">
        <f>IF($H110&lt;&gt;"OK","",ROUND($G110*使い方と設定!$B$8*$AK110*$AH110*INDEX(属性耐性マスタ!$B$5:$G$10,$AF110,2),4))</f>
        <v>8.8000000000000005E-3</v>
      </c>
      <c r="V110" s="9">
        <f>IF($H110&lt;&gt;"OK","",ROUND($G110*使い方と設定!$B$8*$AK110*$AH110*INDEX(属性耐性マスタ!$B$5:$G$10,$AF110,3),4))</f>
        <v>3.3099999999999997E-2</v>
      </c>
      <c r="W110" s="9">
        <f>IF($H110&lt;&gt;"OK","",ROUND($G110*使い方と設定!$B$8*$AK110*$AH110*INDEX(属性耐性マスタ!$B$5:$G$10,$AF110,4),4))</f>
        <v>0.13250000000000001</v>
      </c>
      <c r="X110" s="9">
        <f>IF($H110&lt;&gt;"OK","",ROUND($G110*使い方と設定!$B$8*$AK110*$AH110*INDEX(属性耐性マスタ!$B$5:$G$10,$AF110,5),4))</f>
        <v>6.6E-3</v>
      </c>
      <c r="Y110" s="9">
        <f>IF($H110&lt;&gt;"OK","",ROUND($G110*使い方と設定!$B$8*$AK110*$AH110*INDEX(属性耐性マスタ!$B$5:$G$10,$AF110,6),4))</f>
        <v>6.6E-3</v>
      </c>
      <c r="Z110" s="9">
        <f>IF($H110&lt;&gt;"OK","",ROUND($G110*使い方と設定!$B$9*$AK110*$AI110,4))</f>
        <v>0.97150000000000003</v>
      </c>
      <c r="AA110" s="10">
        <v>1</v>
      </c>
      <c r="AB110" s="11">
        <f t="shared" si="4"/>
        <v>3.0678999999999998</v>
      </c>
      <c r="AC110" s="11">
        <f t="shared" si="5"/>
        <v>0.19639999999999999</v>
      </c>
      <c r="AD110" s="7" t="str">
        <f>IF($H110&lt;&gt;"OK","",INDEX(個性タイプマスタ!$P$5:$P$54,$AE110))</f>
        <v>MP容量を重視する後衛</v>
      </c>
      <c r="AE110">
        <f>IFERROR(MATCH(E110,個性タイプマスタ!$A$5:$A$54,0),0)</f>
        <v>27</v>
      </c>
      <c r="AF110">
        <f>IFERROR(MATCH(F110,属性耐性マスタ!$A$5:$A$10,0),0)</f>
        <v>4</v>
      </c>
      <c r="AG110">
        <f>IF(AE110=0,1,INDEX(個性タイプマスタ!$AB$5:$AB$54,AE110))</f>
        <v>12.031333333333334</v>
      </c>
      <c r="AH110">
        <f>IF(AE110=0,1,INDEX(個性タイプマスタ!$AC$5:$AC$54,AE110))</f>
        <v>1.08</v>
      </c>
      <c r="AI110">
        <f>IF(AE110=0,0,INDEX(個性タイプマスタ!$AD$5:$AD$54,AE110))</f>
        <v>0.95</v>
      </c>
      <c r="AJ110" s="16">
        <v>18</v>
      </c>
      <c r="AK110" s="17">
        <f>IF(OR(AJ110="",AJ110&lt;1),"",POWER(使い方と設定!$E$6,AJ110-1))</f>
        <v>1.9479004955562815</v>
      </c>
    </row>
    <row r="111" spans="1:37">
      <c r="A111" t="str">
        <f>+[2]称号!A106</f>
        <v>TITLE_105</v>
      </c>
      <c r="B111" t="str">
        <f>+[2]称号!B106</f>
        <v>血塗れの巨漢</v>
      </c>
      <c r="C111" t="s">
        <v>340</v>
      </c>
      <c r="D111" t="s">
        <v>341</v>
      </c>
      <c r="E111" s="2" t="str">
        <f>[1]モンスター計算!AM109</f>
        <v>魔法・速攻</v>
      </c>
      <c r="F111" s="2" t="str">
        <f>[1]モンスター計算!C109</f>
        <v>火</v>
      </c>
      <c r="G111" s="8">
        <v>1.1000000000000001</v>
      </c>
      <c r="H111" t="str">
        <f t="shared" si="3"/>
        <v>OK</v>
      </c>
      <c r="I111" s="9">
        <f>IF($H111&lt;&gt;"OK","",ROUND($G111*使い方と設定!$B$7*$AK111*INDEX(個性タイプマスタ!$Q$5:$AA$54,$AE111,1)/$AG111,4))</f>
        <v>0.33329999999999999</v>
      </c>
      <c r="J111" s="9">
        <f>IF($H111&lt;&gt;"OK","",ROUND($G111*使い方と設定!$B$7*$AK111*INDEX(個性タイプマスタ!$Q$5:$AA$54,$AE111,2)/$AG111,4))</f>
        <v>0.36670000000000003</v>
      </c>
      <c r="K111" s="9">
        <f>IF($H111&lt;&gt;"OK","",ROUND($G111*使い方と設定!$B$7*$AK111*INDEX(個性タイプマスタ!$Q$5:$AA$54,$AE111,3)/$AG111,4))</f>
        <v>7.5800000000000006E-2</v>
      </c>
      <c r="L111" s="9">
        <f>IF($H111&lt;&gt;"OK","",ROUND($G111*使い方と設定!$B$7*$AK111*INDEX(個性タイプマスタ!$Q$5:$AA$54,$AE111,4)/$AG111,4))</f>
        <v>0.75760000000000005</v>
      </c>
      <c r="M111" s="9">
        <f>IF($H111&lt;&gt;"OK","",ROUND($G111*使い方と設定!$B$7*$AK111*INDEX(個性タイプマスタ!$Q$5:$AA$54,$AE111,5)/$AG111,4))</f>
        <v>0.2447</v>
      </c>
      <c r="N111" s="9">
        <f>IF($H111&lt;&gt;"OK","",ROUND($G111*使い方と設定!$B$7*$AK111*INDEX(個性タイプマスタ!$Q$5:$AA$54,$AE111,6)/$AG111,4))</f>
        <v>0.2833</v>
      </c>
      <c r="O111" s="9">
        <f>IF($H111&lt;&gt;"OK","",ROUND($G111*使い方と設定!$B$7*$AK111*INDEX(個性タイプマスタ!$Q$5:$AA$54,$AE111,7)/$AG111,4))</f>
        <v>0.23330000000000001</v>
      </c>
      <c r="P111" s="9">
        <f>IF($H111&lt;&gt;"OK","",ROUND($G111*使い方と設定!$B$7*$AK111*INDEX(個性タイプマスタ!$Q$5:$AA$54,$AE111,8)/$AG111,4))</f>
        <v>0.20349999999999999</v>
      </c>
      <c r="Q111" s="9">
        <f>IF($H111&lt;&gt;"OK","",ROUND($G111*使い方と設定!$B$7*$AK111*INDEX(個性タイプマスタ!$Q$5:$AA$54,$AE111,9)/$AG111,4))</f>
        <v>0.15329999999999999</v>
      </c>
      <c r="R111" s="9">
        <f>IF($H111&lt;&gt;"OK","",ROUND($G111*使い方と設定!$B$7*$AK111*INDEX(個性タイプマスタ!$Q$5:$AA$54,$AE111,10)/$AG111,4))</f>
        <v>0.33329999999999999</v>
      </c>
      <c r="S111" s="9">
        <f>IF($H111&lt;&gt;"OK","",ROUND($G111*使い方と設定!$B$7*$AK111*INDEX(個性タイプマスタ!$Q$5:$AA$54,$AE111,11)/$AG111,4))</f>
        <v>0.2291</v>
      </c>
      <c r="T111" s="9">
        <f>IF($H111&lt;&gt;"OK","",ROUND($G111*使い方と設定!$B$8*$AK111*$AH111*INDEX(属性耐性マスタ!$B$5:$G$10,$AF111,1),4))</f>
        <v>0.11310000000000001</v>
      </c>
      <c r="U111" s="9">
        <f>IF($H111&lt;&gt;"OK","",ROUND($G111*使い方と設定!$B$8*$AK111*$AH111*INDEX(属性耐性マスタ!$B$5:$G$10,$AF111,2),4))</f>
        <v>2.2599999999999999E-2</v>
      </c>
      <c r="V111" s="9">
        <f>IF($H111&lt;&gt;"OK","",ROUND($G111*使い方と設定!$B$8*$AK111*$AH111*INDEX(属性耐性マスタ!$B$5:$G$10,$AF111,3),4))</f>
        <v>7.4999999999999997E-3</v>
      </c>
      <c r="W111" s="9">
        <f>IF($H111&lt;&gt;"OK","",ROUND($G111*使い方と設定!$B$8*$AK111*$AH111*INDEX(属性耐性マスタ!$B$5:$G$10,$AF111,4),4))</f>
        <v>7.4999999999999997E-3</v>
      </c>
      <c r="X111" s="9">
        <f>IF($H111&lt;&gt;"OK","",ROUND($G111*使い方と設定!$B$8*$AK111*$AH111*INDEX(属性耐性マスタ!$B$5:$G$10,$AF111,5),4))</f>
        <v>5.7000000000000002E-3</v>
      </c>
      <c r="Y111" s="9">
        <f>IF($H111&lt;&gt;"OK","",ROUND($G111*使い方と設定!$B$8*$AK111*$AH111*INDEX(属性耐性マスタ!$B$5:$G$10,$AF111,6),4))</f>
        <v>5.7000000000000002E-3</v>
      </c>
      <c r="Z111" s="9">
        <f>IF($H111&lt;&gt;"OK","",ROUND($G111*使い方と設定!$B$9*$AK111*$AI111,4))</f>
        <v>1.0535000000000001</v>
      </c>
      <c r="AA111" s="10">
        <v>0.9</v>
      </c>
      <c r="AB111" s="11">
        <f t="shared" si="4"/>
        <v>3.2139000000000002</v>
      </c>
      <c r="AC111" s="11">
        <f t="shared" si="5"/>
        <v>0.16209999999999999</v>
      </c>
      <c r="AD111" s="7" t="str">
        <f>IF($H111&lt;&gt;"OK","",INDEX(個性タイプマスタ!$P$5:$P$54,$AE111))</f>
        <v>高速の魔法型。攻速と射程が優秀</v>
      </c>
      <c r="AE111">
        <f>IFERROR(MATCH(E111,個性タイプマスタ!$A$5:$A$54,0),0)</f>
        <v>3</v>
      </c>
      <c r="AF111">
        <f>IFERROR(MATCH(F111,属性耐性マスタ!$A$5:$A$10,0),0)</f>
        <v>1</v>
      </c>
      <c r="AG111">
        <f>IF(AE111=0,1,INDEX(個性タイプマスタ!$AB$5:$AB$54,AE111))</f>
        <v>10.606166666666667</v>
      </c>
      <c r="AH111">
        <f>IF(AE111=0,1,INDEX(個性タイプマスタ!$AC$5:$AC$54,AE111))</f>
        <v>0.88</v>
      </c>
      <c r="AI111">
        <f>IF(AE111=0,0,INDEX(個性タイプマスタ!$AD$5:$AD$54,AE111))</f>
        <v>0.98333333333333328</v>
      </c>
      <c r="AJ111" s="16">
        <v>18</v>
      </c>
      <c r="AK111" s="17">
        <f>IF(OR(AJ111="",AJ111&lt;1),"",POWER(使い方と設定!$E$6,AJ111-1))</f>
        <v>1.9479004955562815</v>
      </c>
    </row>
    <row r="112" spans="1:37">
      <c r="A112" t="str">
        <f>+[2]称号!A107</f>
        <v>TITLE_106</v>
      </c>
      <c r="B112" t="str">
        <f>+[2]称号!B107</f>
        <v>黄金を喰らう者</v>
      </c>
      <c r="C112" t="s">
        <v>342</v>
      </c>
      <c r="D112" t="s">
        <v>343</v>
      </c>
      <c r="E112" s="2" t="str">
        <f>[1]モンスター計算!AM110</f>
        <v>近接・連撃</v>
      </c>
      <c r="F112" s="2" t="str">
        <f>[1]モンスター計算!C110</f>
        <v>光</v>
      </c>
      <c r="G112" s="8">
        <v>1.1499999999999999</v>
      </c>
      <c r="H112" t="str">
        <f t="shared" si="3"/>
        <v>OK</v>
      </c>
      <c r="I112" s="9">
        <f>IF($H112&lt;&gt;"OK","",ROUND($G112*使い方と設定!$B$7*$AK112*INDEX(個性タイプマスタ!$Q$5:$AA$54,$AE112,1)/$AG112,4))</f>
        <v>0.30730000000000002</v>
      </c>
      <c r="J112" s="9">
        <f>IF($H112&lt;&gt;"OK","",ROUND($G112*使い方と設定!$B$7*$AK112*INDEX(個性タイプマスタ!$Q$5:$AA$54,$AE112,2)/$AG112,4))</f>
        <v>0.14799999999999999</v>
      </c>
      <c r="K112" s="9">
        <f>IF($H112&lt;&gt;"OK","",ROUND($G112*使い方と設定!$B$7*$AK112*INDEX(個性タイプマスタ!$Q$5:$AA$54,$AE112,3)/$AG112,4))</f>
        <v>0.86229999999999996</v>
      </c>
      <c r="L112" s="9">
        <f>IF($H112&lt;&gt;"OK","",ROUND($G112*使い方と設定!$B$7*$AK112*INDEX(個性タイプマスタ!$Q$5:$AA$54,$AE112,4)/$AG112,4))</f>
        <v>6.0400000000000002E-2</v>
      </c>
      <c r="M112" s="9">
        <f>IF($H112&lt;&gt;"OK","",ROUND($G112*使い方と設定!$B$7*$AK112*INDEX(個性タイプマスタ!$Q$5:$AA$54,$AE112,5)/$AG112,4))</f>
        <v>0.21990000000000001</v>
      </c>
      <c r="N112" s="9">
        <f>IF($H112&lt;&gt;"OK","",ROUND($G112*使い方と設定!$B$7*$AK112*INDEX(個性タイプマスタ!$Q$5:$AA$54,$AE112,6)/$AG112,4))</f>
        <v>0.2316</v>
      </c>
      <c r="O112" s="9">
        <f>IF($H112&lt;&gt;"OK","",ROUND($G112*使い方と設定!$B$7*$AK112*INDEX(個性タイプマスタ!$Q$5:$AA$54,$AE112,7)/$AG112,4))</f>
        <v>0.2656</v>
      </c>
      <c r="P112" s="9">
        <f>IF($H112&lt;&gt;"OK","",ROUND($G112*使い方と設定!$B$7*$AK112*INDEX(個性タイプマスタ!$Q$5:$AA$54,$AE112,8)/$AG112,4))</f>
        <v>0.2167</v>
      </c>
      <c r="Q112" s="9">
        <f>IF($H112&lt;&gt;"OK","",ROUND($G112*使い方と設定!$B$7*$AK112*INDEX(個性タイプマスタ!$Q$5:$AA$54,$AE112,9)/$AG112,4))</f>
        <v>0.25419999999999998</v>
      </c>
      <c r="R112" s="9">
        <f>IF($H112&lt;&gt;"OK","",ROUND($G112*使い方と設定!$B$7*$AK112*INDEX(個性タイプマスタ!$Q$5:$AA$54,$AE112,10)/$AG112,4))</f>
        <v>0.61050000000000004</v>
      </c>
      <c r="S112" s="9">
        <f>IF($H112&lt;&gt;"OK","",ROUND($G112*使い方と設定!$B$7*$AK112*INDEX(個性タイプマスタ!$Q$5:$AA$54,$AE112,11)/$AG112,4))</f>
        <v>0.1835</v>
      </c>
      <c r="T112" s="9">
        <f>IF($H112&lt;&gt;"OK","",ROUND($G112*使い方と設定!$B$8*$AK112*$AH112*INDEX(属性耐性マスタ!$B$5:$G$10,$AF112,1),4))</f>
        <v>5.0000000000000001E-3</v>
      </c>
      <c r="U112" s="9">
        <f>IF($H112&lt;&gt;"OK","",ROUND($G112*使い方と設定!$B$8*$AK112*$AH112*INDEX(属性耐性マスタ!$B$5:$G$10,$AF112,2),4))</f>
        <v>5.0000000000000001E-3</v>
      </c>
      <c r="V112" s="9">
        <f>IF($H112&lt;&gt;"OK","",ROUND($G112*使い方と設定!$B$8*$AK112*$AH112*INDEX(属性耐性マスタ!$B$5:$G$10,$AF112,3),4))</f>
        <v>5.0000000000000001E-3</v>
      </c>
      <c r="W112" s="9">
        <f>IF($H112&lt;&gt;"OK","",ROUND($G112*使い方と設定!$B$8*$AK112*$AH112*INDEX(属性耐性マスタ!$B$5:$G$10,$AF112,4),4))</f>
        <v>5.0000000000000001E-3</v>
      </c>
      <c r="X112" s="9">
        <f>IF($H112&lt;&gt;"OK","",ROUND($G112*使い方と設定!$B$8*$AK112*$AH112*INDEX(属性耐性マスタ!$B$5:$G$10,$AF112,5),4))</f>
        <v>9.9500000000000005E-2</v>
      </c>
      <c r="Y112" s="9">
        <f>IF($H112&lt;&gt;"OK","",ROUND($G112*使い方と設定!$B$8*$AK112*$AH112*INDEX(属性耐性マスタ!$B$5:$G$10,$AF112,6),4))</f>
        <v>1.3299999999999999E-2</v>
      </c>
      <c r="Z112" s="9">
        <f>IF($H112&lt;&gt;"OK","",ROUND($G112*使い方と設定!$B$9*$AK112*$AI112,4))</f>
        <v>1.2974000000000001</v>
      </c>
      <c r="AA112" s="10">
        <v>0.55000000000000004</v>
      </c>
      <c r="AB112" s="11">
        <f t="shared" si="4"/>
        <v>3.36</v>
      </c>
      <c r="AC112" s="11">
        <f t="shared" si="5"/>
        <v>0.1328</v>
      </c>
      <c r="AD112" s="7" t="str">
        <f>IF($H112&lt;&gt;"OK","",INDEX(個性タイプマスタ!$P$5:$P$54,$AE112))</f>
        <v>高攻速・短射程の手数型</v>
      </c>
      <c r="AE112">
        <f>IFERROR(MATCH(E112,個性タイプマスタ!$A$5:$A$54,0),0)</f>
        <v>35</v>
      </c>
      <c r="AF112">
        <f>IFERROR(MATCH(F112,属性耐性マスタ!$A$5:$A$10,0),0)</f>
        <v>5</v>
      </c>
      <c r="AG112">
        <f>IF(AE112=0,1,INDEX(個性タイプマスタ!$AB$5:$AB$54,AE112))</f>
        <v>9.7413333333333334</v>
      </c>
      <c r="AH112">
        <f>IF(AE112=0,1,INDEX(個性タイプマスタ!$AC$5:$AC$54,AE112))</f>
        <v>0.74</v>
      </c>
      <c r="AI112">
        <f>IF(AE112=0,0,INDEX(個性タイプマスタ!$AD$5:$AD$54,AE112))</f>
        <v>1.1583333333333332</v>
      </c>
      <c r="AJ112" s="16">
        <v>18</v>
      </c>
      <c r="AK112" s="17">
        <f>IF(OR(AJ112="",AJ112&lt;1),"",POWER(使い方と設定!$E$6,AJ112-1))</f>
        <v>1.9479004955562815</v>
      </c>
    </row>
    <row r="113" spans="1:37">
      <c r="A113" t="str">
        <f>+[2]称号!A108</f>
        <v>TITLE_107</v>
      </c>
      <c r="B113" t="str">
        <f>+[2]称号!B108</f>
        <v>戦宴の魔将</v>
      </c>
      <c r="C113" t="s">
        <v>345</v>
      </c>
      <c r="D113" t="s">
        <v>346</v>
      </c>
      <c r="E113" s="2" t="str">
        <f>[1]モンスター計算!AM111</f>
        <v>近接・捨身</v>
      </c>
      <c r="F113" s="2" t="str">
        <f>[1]モンスター計算!C111</f>
        <v>闇</v>
      </c>
      <c r="G113" s="8">
        <v>1.2</v>
      </c>
      <c r="H113" t="str">
        <f t="shared" si="3"/>
        <v>OK</v>
      </c>
      <c r="I113" s="9">
        <f>IF($H113&lt;&gt;"OK","",ROUND($G113*使い方と設定!$B$7*$AK113*INDEX(個性タイプマスタ!$Q$5:$AA$54,$AE113,1)/$AG113,4))</f>
        <v>0.26019999999999999</v>
      </c>
      <c r="J113" s="9">
        <f>IF($H113&lt;&gt;"OK","",ROUND($G113*使い方と設定!$B$7*$AK113*INDEX(個性タイプマスタ!$Q$5:$AA$54,$AE113,2)/$AG113,4))</f>
        <v>0.11219999999999999</v>
      </c>
      <c r="K113" s="9">
        <f>IF($H113&lt;&gt;"OK","",ROUND($G113*使い方と設定!$B$7*$AK113*INDEX(個性タイプマスタ!$Q$5:$AA$54,$AE113,3)/$AG113,4))</f>
        <v>1.0198</v>
      </c>
      <c r="L113" s="9">
        <f>IF($H113&lt;&gt;"OK","",ROUND($G113*使い方と設定!$B$7*$AK113*INDEX(個性タイプマスタ!$Q$5:$AA$54,$AE113,4)/$AG113,4))</f>
        <v>5.0999999999999997E-2</v>
      </c>
      <c r="M113" s="9">
        <f>IF($H113&lt;&gt;"OK","",ROUND($G113*使い方と設定!$B$7*$AK113*INDEX(個性タイプマスタ!$Q$5:$AA$54,$AE113,5)/$AG113,4))</f>
        <v>0.19070000000000001</v>
      </c>
      <c r="N113" s="9">
        <f>IF($H113&lt;&gt;"OK","",ROUND($G113*使い方と設定!$B$7*$AK113*INDEX(個性タイプマスタ!$Q$5:$AA$54,$AE113,6)/$AG113,4))</f>
        <v>0.19420000000000001</v>
      </c>
      <c r="O113" s="9">
        <f>IF($H113&lt;&gt;"OK","",ROUND($G113*使い方と設定!$B$7*$AK113*INDEX(個性タイプマスタ!$Q$5:$AA$54,$AE113,7)/$AG113,4))</f>
        <v>0.35899999999999999</v>
      </c>
      <c r="P113" s="9">
        <f>IF($H113&lt;&gt;"OK","",ROUND($G113*使い方と設定!$B$7*$AK113*INDEX(個性タイプマスタ!$Q$5:$AA$54,$AE113,8)/$AG113,4))</f>
        <v>0.34470000000000001</v>
      </c>
      <c r="Q113" s="9">
        <f>IF($H113&lt;&gt;"OK","",ROUND($G113*使い方と設定!$B$7*$AK113*INDEX(個性タイプマスタ!$Q$5:$AA$54,$AE113,9)/$AG113,4))</f>
        <v>0.25580000000000003</v>
      </c>
      <c r="R113" s="9">
        <f>IF($H113&lt;&gt;"OK","",ROUND($G113*使い方と設定!$B$7*$AK113*INDEX(個性タイプマスタ!$Q$5:$AA$54,$AE113,10)/$AG113,4))</f>
        <v>0.4446</v>
      </c>
      <c r="S113" s="9">
        <f>IF($H113&lt;&gt;"OK","",ROUND($G113*使い方と設定!$B$7*$AK113*INDEX(個性タイプマスタ!$Q$5:$AA$54,$AE113,11)/$AG113,4))</f>
        <v>0.27410000000000001</v>
      </c>
      <c r="T113" s="9">
        <f>IF($H113&lt;&gt;"OK","",ROUND($G113*使い方と設定!$B$8*$AK113*$AH113*INDEX(属性耐性マスタ!$B$5:$G$10,$AF113,1),4))</f>
        <v>3.8E-3</v>
      </c>
      <c r="U113" s="9">
        <f>IF($H113&lt;&gt;"OK","",ROUND($G113*使い方と設定!$B$8*$AK113*$AH113*INDEX(属性耐性マスタ!$B$5:$G$10,$AF113,2),4))</f>
        <v>3.8E-3</v>
      </c>
      <c r="V113" s="9">
        <f>IF($H113&lt;&gt;"OK","",ROUND($G113*使い方と設定!$B$8*$AK113*$AH113*INDEX(属性耐性マスタ!$B$5:$G$10,$AF113,3),4))</f>
        <v>3.8E-3</v>
      </c>
      <c r="W113" s="9">
        <f>IF($H113&lt;&gt;"OK","",ROUND($G113*使い方と設定!$B$8*$AK113*$AH113*INDEX(属性耐性マスタ!$B$5:$G$10,$AF113,4),4))</f>
        <v>3.8E-3</v>
      </c>
      <c r="X113" s="9">
        <f>IF($H113&lt;&gt;"OK","",ROUND($G113*使い方と設定!$B$8*$AK113*$AH113*INDEX(属性耐性マスタ!$B$5:$G$10,$AF113,5),4))</f>
        <v>1.01E-2</v>
      </c>
      <c r="Y113" s="9">
        <f>IF($H113&lt;&gt;"OK","",ROUND($G113*使い方と設定!$B$8*$AK113*$AH113*INDEX(属性耐性マスタ!$B$5:$G$10,$AF113,6),4))</f>
        <v>7.5700000000000003E-2</v>
      </c>
      <c r="Z113" s="9">
        <f>IF($H113&lt;&gt;"OK","",ROUND($G113*使い方と設定!$B$9*$AK113*$AI113,4))</f>
        <v>1.2564</v>
      </c>
      <c r="AA113" s="10">
        <v>0.5</v>
      </c>
      <c r="AB113" s="11">
        <f t="shared" si="4"/>
        <v>3.5063</v>
      </c>
      <c r="AC113" s="11">
        <f t="shared" si="5"/>
        <v>0.10100000000000001</v>
      </c>
      <c r="AD113" s="7" t="str">
        <f>IF($H113&lt;&gt;"OK","",INDEX(個性タイプマスタ!$P$5:$P$54,$AE113))</f>
        <v>極端な低耐久・攻撃重視</v>
      </c>
      <c r="AE113">
        <f>IFERROR(MATCH(E113,個性タイプマスタ!$A$5:$A$54,0),0)</f>
        <v>42</v>
      </c>
      <c r="AF113">
        <f>IFERROR(MATCH(F113,属性耐性マスタ!$A$5:$A$10,0),0)</f>
        <v>6</v>
      </c>
      <c r="AG113">
        <f>IF(AE113=0,1,INDEX(個性タイプマスタ!$AB$5:$AB$54,AE113))</f>
        <v>8.5954999999999995</v>
      </c>
      <c r="AH113">
        <f>IF(AE113=0,1,INDEX(個性タイプマスタ!$AC$5:$AC$54,AE113))</f>
        <v>0.54</v>
      </c>
      <c r="AI113">
        <f>IF(AE113=0,0,INDEX(個性タイプマスタ!$AD$5:$AD$54,AE113))</f>
        <v>1.075</v>
      </c>
      <c r="AJ113" s="16">
        <v>18</v>
      </c>
      <c r="AK113" s="17">
        <f>IF(OR(AJ113="",AJ113&lt;1),"",POWER(使い方と設定!$E$6,AJ113-1))</f>
        <v>1.9479004955562815</v>
      </c>
    </row>
    <row r="114" spans="1:37">
      <c r="A114" t="str">
        <f>+[2]称号!A109</f>
        <v>TITLE_108</v>
      </c>
      <c r="B114" t="str">
        <f>+[2]称号!B109</f>
        <v>呪書の主</v>
      </c>
      <c r="C114" t="s">
        <v>347</v>
      </c>
      <c r="D114" t="s">
        <v>348</v>
      </c>
      <c r="E114" s="2" t="str">
        <f>[1]モンスター計算!AM112</f>
        <v>魔法・鈍足賢者</v>
      </c>
      <c r="F114" s="2" t="str">
        <f>[1]モンスター計算!C112</f>
        <v>闇</v>
      </c>
      <c r="G114" s="8">
        <v>1.25</v>
      </c>
      <c r="H114" t="str">
        <f t="shared" si="3"/>
        <v>OK</v>
      </c>
      <c r="I114" s="9">
        <f>IF($H114&lt;&gt;"OK","",ROUND($G114*使い方と設定!$B$7*$AK114*INDEX(個性タイプマスタ!$Q$5:$AA$54,$AE114,1)/$AG114,4))</f>
        <v>0.435</v>
      </c>
      <c r="J114" s="9">
        <f>IF($H114&lt;&gt;"OK","",ROUND($G114*使い方と設定!$B$7*$AK114*INDEX(個性タイプマスタ!$Q$5:$AA$54,$AE114,2)/$AG114,4))</f>
        <v>0.6835</v>
      </c>
      <c r="K114" s="9">
        <f>IF($H114&lt;&gt;"OK","",ROUND($G114*使い方と設定!$B$7*$AK114*INDEX(個性タイプマスタ!$Q$5:$AA$54,$AE114,3)/$AG114,4))</f>
        <v>5.9299999999999999E-2</v>
      </c>
      <c r="L114" s="9">
        <f>IF($H114&lt;&gt;"OK","",ROUND($G114*使い方と設定!$B$7*$AK114*INDEX(個性タイプマスタ!$Q$5:$AA$54,$AE114,4)/$AG114,4))</f>
        <v>0.70609999999999995</v>
      </c>
      <c r="M114" s="9">
        <f>IF($H114&lt;&gt;"OK","",ROUND($G114*使い方と設定!$B$7*$AK114*INDEX(個性タイプマスタ!$Q$5:$AA$54,$AE114,5)/$AG114,4))</f>
        <v>0.2281</v>
      </c>
      <c r="N114" s="9">
        <f>IF($H114&lt;&gt;"OK","",ROUND($G114*使い方と設定!$B$7*$AK114*INDEX(個性タイプマスタ!$Q$5:$AA$54,$AE114,6)/$AG114,4))</f>
        <v>0.40329999999999999</v>
      </c>
      <c r="O114" s="9">
        <f>IF($H114&lt;&gt;"OK","",ROUND($G114*使い方と設定!$B$7*$AK114*INDEX(個性タイプマスタ!$Q$5:$AA$54,$AE114,7)/$AG114,4))</f>
        <v>0.35730000000000001</v>
      </c>
      <c r="P114" s="9">
        <f>IF($H114&lt;&gt;"OK","",ROUND($G114*使い方と設定!$B$7*$AK114*INDEX(個性タイプマスタ!$Q$5:$AA$54,$AE114,8)/$AG114,4))</f>
        <v>0.2387</v>
      </c>
      <c r="Q114" s="9">
        <f>IF($H114&lt;&gt;"OK","",ROUND($G114*使い方と設定!$B$7*$AK114*INDEX(個性タイプマスタ!$Q$5:$AA$54,$AE114,9)/$AG114,4))</f>
        <v>7.46E-2</v>
      </c>
      <c r="R114" s="9">
        <f>IF($H114&lt;&gt;"OK","",ROUND($G114*使い方と設定!$B$7*$AK114*INDEX(個性タイプマスタ!$Q$5:$AA$54,$AE114,10)/$AG114,4))</f>
        <v>0.2034</v>
      </c>
      <c r="S114" s="9">
        <f>IF($H114&lt;&gt;"OK","",ROUND($G114*使い方と設定!$B$7*$AK114*INDEX(個性タイプマスタ!$Q$5:$AA$54,$AE114,11)/$AG114,4))</f>
        <v>0.26300000000000001</v>
      </c>
      <c r="T114" s="9">
        <f>IF($H114&lt;&gt;"OK","",ROUND($G114*使い方と設定!$B$8*$AK114*$AH114*INDEX(属性耐性マスタ!$B$5:$G$10,$AF114,1),4))</f>
        <v>9.5999999999999992E-3</v>
      </c>
      <c r="U114" s="9">
        <f>IF($H114&lt;&gt;"OK","",ROUND($G114*使い方と設定!$B$8*$AK114*$AH114*INDEX(属性耐性マスタ!$B$5:$G$10,$AF114,2),4))</f>
        <v>9.5999999999999992E-3</v>
      </c>
      <c r="V114" s="9">
        <f>IF($H114&lt;&gt;"OK","",ROUND($G114*使い方と設定!$B$8*$AK114*$AH114*INDEX(属性耐性マスタ!$B$5:$G$10,$AF114,3),4))</f>
        <v>9.5999999999999992E-3</v>
      </c>
      <c r="W114" s="9">
        <f>IF($H114&lt;&gt;"OK","",ROUND($G114*使い方と設定!$B$8*$AK114*$AH114*INDEX(属性耐性マスタ!$B$5:$G$10,$AF114,4),4))</f>
        <v>9.5999999999999992E-3</v>
      </c>
      <c r="X114" s="9">
        <f>IF($H114&lt;&gt;"OK","",ROUND($G114*使い方と設定!$B$8*$AK114*$AH114*INDEX(属性耐性マスタ!$B$5:$G$10,$AF114,5),4))</f>
        <v>2.5700000000000001E-2</v>
      </c>
      <c r="Y114" s="9">
        <f>IF($H114&lt;&gt;"OK","",ROUND($G114*使い方と設定!$B$8*$AK114*$AH114*INDEX(属性耐性マスタ!$B$5:$G$10,$AF114,6),4))</f>
        <v>0.1928</v>
      </c>
      <c r="Z114" s="9">
        <f>IF($H114&lt;&gt;"OK","",ROUND($G114*使い方と設定!$B$9*$AK114*$AI114,4))</f>
        <v>0.97399999999999998</v>
      </c>
      <c r="AA114" s="10">
        <v>0.25</v>
      </c>
      <c r="AB114" s="11">
        <f t="shared" si="4"/>
        <v>3.6522999999999999</v>
      </c>
      <c r="AC114" s="11">
        <f t="shared" si="5"/>
        <v>0.25690000000000002</v>
      </c>
      <c r="AD114" s="7" t="str">
        <f>IF($H114&lt;&gt;"OK","",INDEX(個性タイプマスタ!$P$5:$P$54,$AE114))</f>
        <v>低機動・高MP・高魔防</v>
      </c>
      <c r="AE114">
        <f>IFERROR(MATCH(E114,個性タイプマスタ!$A$5:$A$54,0),0)</f>
        <v>30</v>
      </c>
      <c r="AF114">
        <f>IFERROR(MATCH(F114,属性耐性マスタ!$A$5:$A$10,0),0)</f>
        <v>6</v>
      </c>
      <c r="AG114">
        <f>IF(AE114=0,1,INDEX(個性タイプマスタ!$AB$5:$AB$54,AE114))</f>
        <v>12.9305</v>
      </c>
      <c r="AH114">
        <f>IF(AE114=0,1,INDEX(個性タイプマスタ!$AC$5:$AC$54,AE114))</f>
        <v>1.32</v>
      </c>
      <c r="AI114">
        <f>IF(AE114=0,0,INDEX(個性タイプマスタ!$AD$5:$AD$54,AE114))</f>
        <v>0.79999999999999993</v>
      </c>
      <c r="AJ114" s="16">
        <v>18</v>
      </c>
      <c r="AK114" s="17">
        <f>IF(OR(AJ114="",AJ114&lt;1),"",POWER(使い方と設定!$E$6,AJ114-1))</f>
        <v>1.9479004955562815</v>
      </c>
    </row>
    <row r="115" spans="1:37">
      <c r="A115" t="str">
        <f>+[2]称号!A110</f>
        <v>TITLE_109</v>
      </c>
      <c r="B115" t="str">
        <f>+[2]称号!B110</f>
        <v>光穴の這い虫</v>
      </c>
      <c r="C115" t="s">
        <v>349</v>
      </c>
      <c r="D115" t="s">
        <v>350</v>
      </c>
      <c r="E115" s="2" t="str">
        <f>[1]モンスター計算!AM113</f>
        <v>魔法・耐性特化</v>
      </c>
      <c r="F115" s="2" t="str">
        <f>[1]モンスター計算!C113</f>
        <v>光</v>
      </c>
      <c r="G115" s="8">
        <v>1</v>
      </c>
      <c r="H115" t="str">
        <f t="shared" si="3"/>
        <v>OK</v>
      </c>
      <c r="I115" s="9">
        <f>IF($H115&lt;&gt;"OK","",ROUND($G115*使い方と設定!$B$7*$AK115*INDEX(個性タイプマスタ!$Q$5:$AA$54,$AE115,1)/$AG115,4))</f>
        <v>0.33429999999999999</v>
      </c>
      <c r="J115" s="9">
        <f>IF($H115&lt;&gt;"OK","",ROUND($G115*使い方と設定!$B$7*$AK115*INDEX(個性タイプマスタ!$Q$5:$AA$54,$AE115,2)/$AG115,4))</f>
        <v>0.40110000000000001</v>
      </c>
      <c r="K115" s="9">
        <f>IF($H115&lt;&gt;"OK","",ROUND($G115*使い方と設定!$B$7*$AK115*INDEX(個性タイプマスタ!$Q$5:$AA$54,$AE115,3)/$AG115,4))</f>
        <v>5.3199999999999997E-2</v>
      </c>
      <c r="L115" s="9">
        <f>IF($H115&lt;&gt;"OK","",ROUND($G115*使い方と設定!$B$7*$AK115*INDEX(個性タイプマスタ!$Q$5:$AA$54,$AE115,4)/$AG115,4))</f>
        <v>0.75970000000000004</v>
      </c>
      <c r="M115" s="9">
        <f>IF($H115&lt;&gt;"OK","",ROUND($G115*使い方と設定!$B$7*$AK115*INDEX(個性タイプマスタ!$Q$5:$AA$54,$AE115,5)/$AG115,4))</f>
        <v>0.248</v>
      </c>
      <c r="N115" s="9">
        <f>IF($H115&lt;&gt;"OK","",ROUND($G115*使い方と設定!$B$7*$AK115*INDEX(個性タイプマスタ!$Q$5:$AA$54,$AE115,6)/$AG115,4))</f>
        <v>0.26350000000000001</v>
      </c>
      <c r="O115" s="9">
        <f>IF($H115&lt;&gt;"OK","",ROUND($G115*使い方と設定!$B$7*$AK115*INDEX(個性タイプマスタ!$Q$5:$AA$54,$AE115,7)/$AG115,4))</f>
        <v>0.15040000000000001</v>
      </c>
      <c r="P115" s="9">
        <f>IF($H115&lt;&gt;"OK","",ROUND($G115*使い方と設定!$B$7*$AK115*INDEX(個性タイプマスタ!$Q$5:$AA$54,$AE115,8)/$AG115,4))</f>
        <v>0.18440000000000001</v>
      </c>
      <c r="Q115" s="9">
        <f>IF($H115&lt;&gt;"OK","",ROUND($G115*使い方と設定!$B$7*$AK115*INDEX(個性タイプマスタ!$Q$5:$AA$54,$AE115,9)/$AG115,4))</f>
        <v>0.1371</v>
      </c>
      <c r="R115" s="9">
        <f>IF($H115&lt;&gt;"OK","",ROUND($G115*使い方と設定!$B$7*$AK115*INDEX(個性タイプマスタ!$Q$5:$AA$54,$AE115,10)/$AG115,4))</f>
        <v>0.27960000000000002</v>
      </c>
      <c r="S115" s="9">
        <f>IF($H115&lt;&gt;"OK","",ROUND($G115*使い方と設定!$B$7*$AK115*INDEX(個性タイプマスタ!$Q$5:$AA$54,$AE115,11)/$AG115,4))</f>
        <v>0.2276</v>
      </c>
      <c r="T115" s="9">
        <f>IF($H115&lt;&gt;"OK","",ROUND($G115*使い方と設定!$B$8*$AK115*$AH115*INDEX(属性耐性マスタ!$B$5:$G$10,$AF115,1),4))</f>
        <v>9.1000000000000004E-3</v>
      </c>
      <c r="U115" s="9">
        <f>IF($H115&lt;&gt;"OK","",ROUND($G115*使い方と設定!$B$8*$AK115*$AH115*INDEX(属性耐性マスタ!$B$5:$G$10,$AF115,2),4))</f>
        <v>9.1000000000000004E-3</v>
      </c>
      <c r="V115" s="9">
        <f>IF($H115&lt;&gt;"OK","",ROUND($G115*使い方と設定!$B$8*$AK115*$AH115*INDEX(属性耐性マスタ!$B$5:$G$10,$AF115,3),4))</f>
        <v>9.1000000000000004E-3</v>
      </c>
      <c r="W115" s="9">
        <f>IF($H115&lt;&gt;"OK","",ROUND($G115*使い方と設定!$B$8*$AK115*$AH115*INDEX(属性耐性マスタ!$B$5:$G$10,$AF115,4),4))</f>
        <v>9.1000000000000004E-3</v>
      </c>
      <c r="X115" s="9">
        <f>IF($H115&lt;&gt;"OK","",ROUND($G115*使い方と設定!$B$8*$AK115*$AH115*INDEX(属性耐性マスタ!$B$5:$G$10,$AF115,5),4))</f>
        <v>0.18229999999999999</v>
      </c>
      <c r="Y115" s="9">
        <f>IF($H115&lt;&gt;"OK","",ROUND($G115*使い方と設定!$B$8*$AK115*$AH115*INDEX(属性耐性マスタ!$B$5:$G$10,$AF115,6),4))</f>
        <v>2.4299999999999999E-2</v>
      </c>
      <c r="Z115" s="9">
        <f>IF($H115&lt;&gt;"OK","",ROUND($G115*使い方と設定!$B$9*$AK115*$AI115,4))</f>
        <v>0.95379999999999998</v>
      </c>
      <c r="AA115" s="10">
        <v>1</v>
      </c>
      <c r="AB115" s="11">
        <f t="shared" si="4"/>
        <v>3.0388999999999999</v>
      </c>
      <c r="AC115" s="11">
        <f t="shared" si="5"/>
        <v>0.24299999999999999</v>
      </c>
      <c r="AD115" s="7" t="str">
        <f>IF($H115&lt;&gt;"OK","",INDEX(個性タイプマスタ!$P$5:$P$54,$AE115))</f>
        <v>属性耐性重視・他能力は平均</v>
      </c>
      <c r="AE115">
        <f>IFERROR(MATCH(E115,個性タイプマスタ!$A$5:$A$54,0),0)</f>
        <v>26</v>
      </c>
      <c r="AF115">
        <f>IFERROR(MATCH(F115,属性耐性マスタ!$A$5:$A$10,0),0)</f>
        <v>5</v>
      </c>
      <c r="AG115">
        <f>IF(AE115=0,1,INDEX(個性タイプマスタ!$AB$5:$AB$54,AE115))</f>
        <v>9.9996666666666663</v>
      </c>
      <c r="AH115">
        <f>IF(AE115=0,1,INDEX(個性タイプマスタ!$AC$5:$AC$54,AE115))</f>
        <v>1.5</v>
      </c>
      <c r="AI115">
        <f>IF(AE115=0,0,INDEX(個性タイプマスタ!$AD$5:$AD$54,AE115))</f>
        <v>0.94166666666666665</v>
      </c>
      <c r="AJ115" s="16">
        <v>19</v>
      </c>
      <c r="AK115" s="17">
        <f>IF(OR(AJ115="",AJ115&lt;1),"",POWER(使い方と設定!$E$6,AJ115-1))</f>
        <v>2.025816515378533</v>
      </c>
    </row>
    <row r="116" spans="1:37">
      <c r="A116" t="str">
        <f>+[2]称号!A111</f>
        <v>TITLE_110</v>
      </c>
      <c r="B116" t="str">
        <f>+[2]称号!B111</f>
        <v>洞窟の毒糸</v>
      </c>
      <c r="C116" t="s">
        <v>351</v>
      </c>
      <c r="D116" t="s">
        <v>352</v>
      </c>
      <c r="E116" s="2" t="str">
        <f>[1]モンスター計算!AM114</f>
        <v>魔法・均衡</v>
      </c>
      <c r="F116" s="2" t="str">
        <f>[1]モンスター計算!C114</f>
        <v>闇</v>
      </c>
      <c r="G116" s="8">
        <v>1.05</v>
      </c>
      <c r="H116" t="str">
        <f t="shared" si="3"/>
        <v>OK</v>
      </c>
      <c r="I116" s="9">
        <f>IF($H116&lt;&gt;"OK","",ROUND($G116*使い方と設定!$B$7*$AK116*INDEX(個性タイプマスタ!$Q$5:$AA$54,$AE116,1)/$AG116,4))</f>
        <v>0.32450000000000001</v>
      </c>
      <c r="J116" s="9">
        <f>IF($H116&lt;&gt;"OK","",ROUND($G116*使い方と設定!$B$7*$AK116*INDEX(個性タイプマスタ!$Q$5:$AA$54,$AE116,2)/$AG116,4))</f>
        <v>0.35270000000000001</v>
      </c>
      <c r="K116" s="9">
        <f>IF($H116&lt;&gt;"OK","",ROUND($G116*使い方と設定!$B$7*$AK116*INDEX(個性タイプマスタ!$Q$5:$AA$54,$AE116,3)/$AG116,4))</f>
        <v>8.0199999999999994E-2</v>
      </c>
      <c r="L116" s="9">
        <f>IF($H116&lt;&gt;"OK","",ROUND($G116*使い方と設定!$B$7*$AK116*INDEX(個性タイプマスタ!$Q$5:$AA$54,$AE116,4)/$AG116,4))</f>
        <v>0.80149999999999999</v>
      </c>
      <c r="M116" s="9">
        <f>IF($H116&lt;&gt;"OK","",ROUND($G116*使い方と設定!$B$7*$AK116*INDEX(個性タイプマスタ!$Q$5:$AA$54,$AE116,5)/$AG116,4))</f>
        <v>0.25890000000000002</v>
      </c>
      <c r="N116" s="9">
        <f>IF($H116&lt;&gt;"OK","",ROUND($G116*使い方と設定!$B$7*$AK116*INDEX(個性タイプマスタ!$Q$5:$AA$54,$AE116,6)/$AG116,4))</f>
        <v>0.28610000000000002</v>
      </c>
      <c r="O116" s="9">
        <f>IF($H116&lt;&gt;"OK","",ROUND($G116*使い方と設定!$B$7*$AK116*INDEX(個性タイプマスタ!$Q$5:$AA$54,$AE116,7)/$AG116,4))</f>
        <v>0.17630000000000001</v>
      </c>
      <c r="P116" s="9">
        <f>IF($H116&lt;&gt;"OK","",ROUND($G116*使い方と設定!$B$7*$AK116*INDEX(個性タイプマスタ!$Q$5:$AA$54,$AE116,8)/$AG116,4))</f>
        <v>0.2084</v>
      </c>
      <c r="Q116" s="9">
        <f>IF($H116&lt;&gt;"OK","",ROUND($G116*使い方と設定!$B$7*$AK116*INDEX(個性タイプマスタ!$Q$5:$AA$54,$AE116,9)/$AG116,4))</f>
        <v>0.1411</v>
      </c>
      <c r="R116" s="9">
        <f>IF($H116&lt;&gt;"OK","",ROUND($G116*使い方と設定!$B$7*$AK116*INDEX(個性タイプマスタ!$Q$5:$AA$54,$AE116,10)/$AG116,4))</f>
        <v>0.33660000000000001</v>
      </c>
      <c r="S116" s="9">
        <f>IF($H116&lt;&gt;"OK","",ROUND($G116*使い方と設定!$B$7*$AK116*INDEX(個性タイプマスタ!$Q$5:$AA$54,$AE116,11)/$AG116,4))</f>
        <v>0.22439999999999999</v>
      </c>
      <c r="T116" s="9">
        <f>IF($H116&lt;&gt;"OK","",ROUND($G116*使い方と設定!$B$8*$AK116*$AH116*INDEX(属性耐性マスタ!$B$5:$G$10,$AF116,1),4))</f>
        <v>6.4000000000000003E-3</v>
      </c>
      <c r="U116" s="9">
        <f>IF($H116&lt;&gt;"OK","",ROUND($G116*使い方と設定!$B$8*$AK116*$AH116*INDEX(属性耐性マスタ!$B$5:$G$10,$AF116,2),4))</f>
        <v>6.4000000000000003E-3</v>
      </c>
      <c r="V116" s="9">
        <f>IF($H116&lt;&gt;"OK","",ROUND($G116*使い方と設定!$B$8*$AK116*$AH116*INDEX(属性耐性マスタ!$B$5:$G$10,$AF116,3),4))</f>
        <v>6.4000000000000003E-3</v>
      </c>
      <c r="W116" s="9">
        <f>IF($H116&lt;&gt;"OK","",ROUND($G116*使い方と設定!$B$8*$AK116*$AH116*INDEX(属性耐性マスタ!$B$5:$G$10,$AF116,4),4))</f>
        <v>6.4000000000000003E-3</v>
      </c>
      <c r="X116" s="9">
        <f>IF($H116&lt;&gt;"OK","",ROUND($G116*使い方と設定!$B$8*$AK116*$AH116*INDEX(属性耐性マスタ!$B$5:$G$10,$AF116,5),4))</f>
        <v>1.7000000000000001E-2</v>
      </c>
      <c r="Y116" s="9">
        <f>IF($H116&lt;&gt;"OK","",ROUND($G116*使い方と設定!$B$8*$AK116*$AH116*INDEX(属性耐性マスタ!$B$5:$G$10,$AF116,6),4))</f>
        <v>0.12759999999999999</v>
      </c>
      <c r="Z116" s="9">
        <f>IF($H116&lt;&gt;"OK","",ROUND($G116*使い方と設定!$B$9*$AK116*$AI116,4))</f>
        <v>0.99270000000000003</v>
      </c>
      <c r="AA116" s="10">
        <v>1</v>
      </c>
      <c r="AB116" s="11">
        <f t="shared" si="4"/>
        <v>3.1907000000000001</v>
      </c>
      <c r="AC116" s="11">
        <f t="shared" si="5"/>
        <v>0.17019999999999999</v>
      </c>
      <c r="AD116" s="7" t="str">
        <f>IF($H116&lt;&gt;"OK","",INDEX(個性タイプマスタ!$P$5:$P$54,$AE116))</f>
        <v>標準的な魔法型</v>
      </c>
      <c r="AE116">
        <f>IFERROR(MATCH(E116,個性タイプマスタ!$A$5:$A$54,0),0)</f>
        <v>2</v>
      </c>
      <c r="AF116">
        <f>IFERROR(MATCH(F116,属性耐性マスタ!$A$5:$A$10,0),0)</f>
        <v>6</v>
      </c>
      <c r="AG116">
        <f>IF(AE116=0,1,INDEX(個性タイプマスタ!$AB$5:$AB$54,AE116))</f>
        <v>9.952</v>
      </c>
      <c r="AH116">
        <f>IF(AE116=0,1,INDEX(個性タイプマスタ!$AC$5:$AC$54,AE116))</f>
        <v>1</v>
      </c>
      <c r="AI116">
        <f>IF(AE116=0,0,INDEX(個性タイプマスタ!$AD$5:$AD$54,AE116))</f>
        <v>0.93333333333333335</v>
      </c>
      <c r="AJ116" s="16">
        <v>19</v>
      </c>
      <c r="AK116" s="17">
        <f>IF(OR(AJ116="",AJ116&lt;1),"",POWER(使い方と設定!$E$6,AJ116-1))</f>
        <v>2.025816515378533</v>
      </c>
    </row>
    <row r="117" spans="1:37">
      <c r="A117" t="str">
        <f>+[2]称号!A112</f>
        <v>TITLE_111</v>
      </c>
      <c r="B117" t="str">
        <f>+[2]称号!B112</f>
        <v>冥坑の労働霊</v>
      </c>
      <c r="C117" t="s">
        <v>353</v>
      </c>
      <c r="D117" t="s">
        <v>354</v>
      </c>
      <c r="E117" s="2" t="str">
        <f>[1]モンスター計算!AM115</f>
        <v>魔法・連射</v>
      </c>
      <c r="F117" s="2" t="str">
        <f>[1]モンスター計算!C115</f>
        <v>闇</v>
      </c>
      <c r="G117" s="8">
        <v>1.1000000000000001</v>
      </c>
      <c r="H117" t="str">
        <f t="shared" si="3"/>
        <v>OK</v>
      </c>
      <c r="I117" s="9">
        <f>IF($H117&lt;&gt;"OK","",ROUND($G117*使い方と設定!$B$7*$AK117*INDEX(個性タイプマスタ!$Q$5:$AA$54,$AE117,1)/$AG117,4))</f>
        <v>0.27389999999999998</v>
      </c>
      <c r="J117" s="9">
        <f>IF($H117&lt;&gt;"OK","",ROUND($G117*使い方と設定!$B$7*$AK117*INDEX(個性タイプマスタ!$Q$5:$AA$54,$AE117,2)/$AG117,4))</f>
        <v>0.35160000000000002</v>
      </c>
      <c r="K117" s="9">
        <f>IF($H117&lt;&gt;"OK","",ROUND($G117*使い方と設定!$B$7*$AK117*INDEX(個性タイプマスタ!$Q$5:$AA$54,$AE117,3)/$AG117,4))</f>
        <v>5.4699999999999999E-2</v>
      </c>
      <c r="L117" s="9">
        <f>IF($H117&lt;&gt;"OK","",ROUND($G117*使い方と設定!$B$7*$AK117*INDEX(個性タイプマスタ!$Q$5:$AA$54,$AE117,4)/$AG117,4))</f>
        <v>0.84109999999999996</v>
      </c>
      <c r="M117" s="9">
        <f>IF($H117&lt;&gt;"OK","",ROUND($G117*使い方と設定!$B$7*$AK117*INDEX(個性タイプマスタ!$Q$5:$AA$54,$AE117,5)/$AG117,4))</f>
        <v>0.2059</v>
      </c>
      <c r="N117" s="9">
        <f>IF($H117&lt;&gt;"OK","",ROUND($G117*使い方と設定!$B$7*$AK117*INDEX(個性タイプマスタ!$Q$5:$AA$54,$AE117,6)/$AG117,4))</f>
        <v>0.2402</v>
      </c>
      <c r="O117" s="9">
        <f>IF($H117&lt;&gt;"OK","",ROUND($G117*使い方と設定!$B$7*$AK117*INDEX(個性タイプマスタ!$Q$5:$AA$54,$AE117,7)/$AG117,4))</f>
        <v>0.185</v>
      </c>
      <c r="P117" s="9">
        <f>IF($H117&lt;&gt;"OK","",ROUND($G117*使い方と設定!$B$7*$AK117*INDEX(個性タイプマスタ!$Q$5:$AA$54,$AE117,8)/$AG117,4))</f>
        <v>0.2041</v>
      </c>
      <c r="Q117" s="9">
        <f>IF($H117&lt;&gt;"OK","",ROUND($G117*使い方と設定!$B$7*$AK117*INDEX(個性タイプマスタ!$Q$5:$AA$54,$AE117,9)/$AG117,4))</f>
        <v>0.248</v>
      </c>
      <c r="R117" s="9">
        <f>IF($H117&lt;&gt;"OK","",ROUND($G117*使い方と設定!$B$7*$AK117*INDEX(個性タイプマスタ!$Q$5:$AA$54,$AE117,10)/$AG117,4))</f>
        <v>0.52149999999999996</v>
      </c>
      <c r="S117" s="9">
        <f>IF($H117&lt;&gt;"OK","",ROUND($G117*使い方と設定!$B$7*$AK117*INDEX(個性タイプマスタ!$Q$5:$AA$54,$AE117,11)/$AG117,4))</f>
        <v>0.2167</v>
      </c>
      <c r="T117" s="9">
        <f>IF($H117&lt;&gt;"OK","",ROUND($G117*使い方と設定!$B$8*$AK117*$AH117*INDEX(属性耐性マスタ!$B$5:$G$10,$AF117,1),4))</f>
        <v>4.7999999999999996E-3</v>
      </c>
      <c r="U117" s="9">
        <f>IF($H117&lt;&gt;"OK","",ROUND($G117*使い方と設定!$B$8*$AK117*$AH117*INDEX(属性耐性マスタ!$B$5:$G$10,$AF117,2),4))</f>
        <v>4.7999999999999996E-3</v>
      </c>
      <c r="V117" s="9">
        <f>IF($H117&lt;&gt;"OK","",ROUND($G117*使い方と設定!$B$8*$AK117*$AH117*INDEX(属性耐性マスタ!$B$5:$G$10,$AF117,3),4))</f>
        <v>4.7999999999999996E-3</v>
      </c>
      <c r="W117" s="9">
        <f>IF($H117&lt;&gt;"OK","",ROUND($G117*使い方と設定!$B$8*$AK117*$AH117*INDEX(属性耐性マスタ!$B$5:$G$10,$AF117,4),4))</f>
        <v>4.7999999999999996E-3</v>
      </c>
      <c r="X117" s="9">
        <f>IF($H117&lt;&gt;"OK","",ROUND($G117*使い方と設定!$B$8*$AK117*$AH117*INDEX(属性耐性マスタ!$B$5:$G$10,$AF117,5),4))</f>
        <v>1.2800000000000001E-2</v>
      </c>
      <c r="Y117" s="9">
        <f>IF($H117&lt;&gt;"OK","",ROUND($G117*使い方と設定!$B$8*$AK117*$AH117*INDEX(属性耐性マスタ!$B$5:$G$10,$AF117,6),4))</f>
        <v>9.6299999999999997E-2</v>
      </c>
      <c r="Z117" s="9">
        <f>IF($H117&lt;&gt;"OK","",ROUND($G117*使い方と設定!$B$9*$AK117*$AI117,4))</f>
        <v>1.2906</v>
      </c>
      <c r="AA117" s="10">
        <v>0.9</v>
      </c>
      <c r="AB117" s="11">
        <f t="shared" si="4"/>
        <v>3.3426999999999998</v>
      </c>
      <c r="AC117" s="11">
        <f t="shared" si="5"/>
        <v>0.1283</v>
      </c>
      <c r="AD117" s="7" t="str">
        <f>IF($H117&lt;&gt;"OK","",INDEX(個性タイプマスタ!$P$5:$P$54,$AE117))</f>
        <v>手数重視。ひと撃ちは軽いが高速</v>
      </c>
      <c r="AE117">
        <f>IFERROR(MATCH(E117,個性タイプマスタ!$A$5:$A$54,0),0)</f>
        <v>15</v>
      </c>
      <c r="AF117">
        <f>IFERROR(MATCH(F117,属性耐性マスタ!$A$5:$A$10,0),0)</f>
        <v>6</v>
      </c>
      <c r="AG117">
        <f>IF(AE117=0,1,INDEX(個性タイプマスタ!$AB$5:$AB$54,AE117))</f>
        <v>9.9351666666666674</v>
      </c>
      <c r="AH117">
        <f>IF(AE117=0,1,INDEX(個性タイプマスタ!$AC$5:$AC$54,AE117))</f>
        <v>0.72</v>
      </c>
      <c r="AI117">
        <f>IF(AE117=0,0,INDEX(個性タイプマスタ!$AD$5:$AD$54,AE117))</f>
        <v>1.1583333333333332</v>
      </c>
      <c r="AJ117" s="16">
        <v>19</v>
      </c>
      <c r="AK117" s="17">
        <f>IF(OR(AJ117="",AJ117&lt;1),"",POWER(使い方と設定!$E$6,AJ117-1))</f>
        <v>2.025816515378533</v>
      </c>
    </row>
    <row r="118" spans="1:37">
      <c r="A118" t="str">
        <f>+[2]称号!A113</f>
        <v>TITLE_112</v>
      </c>
      <c r="B118" t="str">
        <f>+[2]称号!B113</f>
        <v>菌翼の小竜</v>
      </c>
      <c r="C118" t="s">
        <v>355</v>
      </c>
      <c r="D118" t="s">
        <v>356</v>
      </c>
      <c r="E118" s="2" t="str">
        <f>[1]モンスター計算!AM116</f>
        <v>近接・短剣</v>
      </c>
      <c r="F118" s="2" t="str">
        <f>[1]モンスター計算!C116</f>
        <v>風</v>
      </c>
      <c r="G118" s="8">
        <v>1.1499999999999999</v>
      </c>
      <c r="H118" t="str">
        <f t="shared" si="3"/>
        <v>OK</v>
      </c>
      <c r="I118" s="9">
        <f>IF($H118&lt;&gt;"OK","",ROUND($G118*使い方と設定!$B$7*$AK118*INDEX(個性タイプマスタ!$Q$5:$AA$54,$AE118,1)/$AG118,4))</f>
        <v>0.2339</v>
      </c>
      <c r="J118" s="9">
        <f>IF($H118&lt;&gt;"OK","",ROUND($G118*使い方と設定!$B$7*$AK118*INDEX(個性タイプマスタ!$Q$5:$AA$54,$AE118,2)/$AG118,4))</f>
        <v>0.10630000000000001</v>
      </c>
      <c r="K118" s="9">
        <f>IF($H118&lt;&gt;"OK","",ROUND($G118*使い方と設定!$B$7*$AK118*INDEX(個性タイプマスタ!$Q$5:$AA$54,$AE118,3)/$AG118,4))</f>
        <v>0.80559999999999998</v>
      </c>
      <c r="L118" s="9">
        <f>IF($H118&lt;&gt;"OK","",ROUND($G118*使い方と設定!$B$7*$AK118*INDEX(個性タイプマスタ!$Q$5:$AA$54,$AE118,4)/$AG118,4))</f>
        <v>4.4299999999999999E-2</v>
      </c>
      <c r="M118" s="9">
        <f>IF($H118&lt;&gt;"OK","",ROUND($G118*使い方と設定!$B$7*$AK118*INDEX(個性タイプマスタ!$Q$5:$AA$54,$AE118,5)/$AG118,4))</f>
        <v>0.19170000000000001</v>
      </c>
      <c r="N118" s="9">
        <f>IF($H118&lt;&gt;"OK","",ROUND($G118*使い方と設定!$B$7*$AK118*INDEX(個性タイプマスタ!$Q$5:$AA$54,$AE118,6)/$AG118,4))</f>
        <v>0.19450000000000001</v>
      </c>
      <c r="O118" s="9">
        <f>IF($H118&lt;&gt;"OK","",ROUND($G118*使い方と設定!$B$7*$AK118*INDEX(個性タイプマスタ!$Q$5:$AA$54,$AE118,7)/$AG118,4))</f>
        <v>0.74439999999999995</v>
      </c>
      <c r="P118" s="9">
        <f>IF($H118&lt;&gt;"OK","",ROUND($G118*使い方と設定!$B$7*$AK118*INDEX(個性タイプマスタ!$Q$5:$AA$54,$AE118,8)/$AG118,4))</f>
        <v>0.24859999999999999</v>
      </c>
      <c r="Q118" s="9">
        <f>IF($H118&lt;&gt;"OK","",ROUND($G118*使い方と設定!$B$7*$AK118*INDEX(個性タイプマスタ!$Q$5:$AA$54,$AE118,9)/$AG118,4))</f>
        <v>0.28710000000000002</v>
      </c>
      <c r="R118" s="9">
        <f>IF($H118&lt;&gt;"OK","",ROUND($G118*使い方と設定!$B$7*$AK118*INDEX(個性タイプマスタ!$Q$5:$AA$54,$AE118,10)/$AG118,4))</f>
        <v>0.50270000000000004</v>
      </c>
      <c r="S118" s="9">
        <f>IF($H118&lt;&gt;"OK","",ROUND($G118*使い方と設定!$B$7*$AK118*INDEX(個性タイプマスタ!$Q$5:$AA$54,$AE118,11)/$AG118,4))</f>
        <v>0.1353</v>
      </c>
      <c r="T118" s="9">
        <f>IF($H118&lt;&gt;"OK","",ROUND($G118*使い方と設定!$B$8*$AK118*$AH118*INDEX(属性耐性マスタ!$B$5:$G$10,$AF118,1),4))</f>
        <v>6.3E-3</v>
      </c>
      <c r="U118" s="9">
        <f>IF($H118&lt;&gt;"OK","",ROUND($G118*使い方と設定!$B$8*$AK118*$AH118*INDEX(属性耐性マスタ!$B$5:$G$10,$AF118,2),4))</f>
        <v>6.3E-3</v>
      </c>
      <c r="V118" s="9">
        <f>IF($H118&lt;&gt;"OK","",ROUND($G118*使い方と設定!$B$8*$AK118*$AH118*INDEX(属性耐性マスタ!$B$5:$G$10,$AF118,3),4))</f>
        <v>9.5100000000000004E-2</v>
      </c>
      <c r="W118" s="9">
        <f>IF($H118&lt;&gt;"OK","",ROUND($G118*使い方と設定!$B$8*$AK118*$AH118*INDEX(属性耐性マスタ!$B$5:$G$10,$AF118,4),4))</f>
        <v>2.3800000000000002E-2</v>
      </c>
      <c r="X118" s="9">
        <f>IF($H118&lt;&gt;"OK","",ROUND($G118*使い方と設定!$B$8*$AK118*$AH118*INDEX(属性耐性マスタ!$B$5:$G$10,$AF118,5),4))</f>
        <v>4.7999999999999996E-3</v>
      </c>
      <c r="Y118" s="9">
        <f>IF($H118&lt;&gt;"OK","",ROUND($G118*使い方と設定!$B$8*$AK118*$AH118*INDEX(属性耐性マスタ!$B$5:$G$10,$AF118,6),4))</f>
        <v>4.7999999999999996E-3</v>
      </c>
      <c r="Z118" s="9">
        <f>IF($H118&lt;&gt;"OK","",ROUND($G118*使い方と設定!$B$9*$AK118*$AI118,4))</f>
        <v>1.4852000000000001</v>
      </c>
      <c r="AA118" s="10">
        <v>0.55000000000000004</v>
      </c>
      <c r="AB118" s="11">
        <f t="shared" si="4"/>
        <v>3.4944000000000002</v>
      </c>
      <c r="AC118" s="11">
        <f t="shared" si="5"/>
        <v>0.1411</v>
      </c>
      <c r="AD118" s="7" t="str">
        <f>IF($H118&lt;&gt;"OK","",INDEX(個性タイプマスタ!$P$5:$P$54,$AE118))</f>
        <v>短射程・高機動・会心型</v>
      </c>
      <c r="AE118">
        <f>IFERROR(MATCH(E118,個性タイプマスタ!$A$5:$A$54,0),0)</f>
        <v>41</v>
      </c>
      <c r="AF118">
        <f>IFERROR(MATCH(F118,属性耐性マスタ!$A$5:$A$10,0),0)</f>
        <v>3</v>
      </c>
      <c r="AG118">
        <f>IF(AE118=0,1,INDEX(個性タイプマスタ!$AB$5:$AB$54,AE118))</f>
        <v>10.844333333333333</v>
      </c>
      <c r="AH118">
        <f>IF(AE118=0,1,INDEX(個性タイプマスタ!$AC$5:$AC$54,AE118))</f>
        <v>0.67999999999999994</v>
      </c>
      <c r="AI118">
        <f>IF(AE118=0,0,INDEX(個性タイプマスタ!$AD$5:$AD$54,AE118))</f>
        <v>1.2749999999999999</v>
      </c>
      <c r="AJ118" s="16">
        <v>19</v>
      </c>
      <c r="AK118" s="17">
        <f>IF(OR(AJ118="",AJ118&lt;1),"",POWER(使い方と設定!$E$6,AJ118-1))</f>
        <v>2.025816515378533</v>
      </c>
    </row>
    <row r="119" spans="1:37">
      <c r="A119" t="str">
        <f>+[2]称号!A114</f>
        <v>TITLE_113</v>
      </c>
      <c r="B119" t="str">
        <f>+[2]称号!B114</f>
        <v>地脈の竜王</v>
      </c>
      <c r="C119" t="s">
        <v>358</v>
      </c>
      <c r="D119" t="s">
        <v>359</v>
      </c>
      <c r="E119" s="2" t="str">
        <f>[1]モンスター計算!AM117</f>
        <v>近接・斥候</v>
      </c>
      <c r="F119" s="2" t="str">
        <f>[1]モンスター計算!C117</f>
        <v>雷</v>
      </c>
      <c r="G119" s="8">
        <v>1.2</v>
      </c>
      <c r="H119" t="str">
        <f t="shared" si="3"/>
        <v>OK</v>
      </c>
      <c r="I119" s="9">
        <f>IF($H119&lt;&gt;"OK","",ROUND($G119*使い方と設定!$B$7*$AK119*INDEX(個性タイプマスタ!$Q$5:$AA$54,$AE119,1)/$AG119,4))</f>
        <v>0.33069999999999999</v>
      </c>
      <c r="J119" s="9">
        <f>IF($H119&lt;&gt;"OK","",ROUND($G119*使い方と設定!$B$7*$AK119*INDEX(個性タイプマスタ!$Q$5:$AA$54,$AE119,2)/$AG119,4))</f>
        <v>0.217</v>
      </c>
      <c r="K119" s="9">
        <f>IF($H119&lt;&gt;"OK","",ROUND($G119*使い方と設定!$B$7*$AK119*INDEX(個性タイプマスタ!$Q$5:$AA$54,$AE119,3)/$AG119,4))</f>
        <v>0.93940000000000001</v>
      </c>
      <c r="L119" s="9">
        <f>IF($H119&lt;&gt;"OK","",ROUND($G119*使い方と設定!$B$7*$AK119*INDEX(個性タイプマスタ!$Q$5:$AA$54,$AE119,4)/$AG119,4))</f>
        <v>6.5799999999999997E-2</v>
      </c>
      <c r="M119" s="9">
        <f>IF($H119&lt;&gt;"OK","",ROUND($G119*使い方と設定!$B$7*$AK119*INDEX(個性タイプマスタ!$Q$5:$AA$54,$AE119,5)/$AG119,4))</f>
        <v>0.24590000000000001</v>
      </c>
      <c r="N119" s="9">
        <f>IF($H119&lt;&gt;"OK","",ROUND($G119*使い方と設定!$B$7*$AK119*INDEX(個性タイプマスタ!$Q$5:$AA$54,$AE119,6)/$AG119,4))</f>
        <v>0.2651</v>
      </c>
      <c r="O119" s="9">
        <f>IF($H119&lt;&gt;"OK","",ROUND($G119*使い方と設定!$B$7*$AK119*INDEX(個性タイプマスタ!$Q$5:$AA$54,$AE119,7)/$AG119,4))</f>
        <v>0.26869999999999999</v>
      </c>
      <c r="P119" s="9">
        <f>IF($H119&lt;&gt;"OK","",ROUND($G119*使い方と設定!$B$7*$AK119*INDEX(個性タイプマスタ!$Q$5:$AA$54,$AE119,8)/$AG119,4))</f>
        <v>0.23769999999999999</v>
      </c>
      <c r="Q119" s="9">
        <f>IF($H119&lt;&gt;"OK","",ROUND($G119*使い方と設定!$B$7*$AK119*INDEX(個性タイプマスタ!$Q$5:$AA$54,$AE119,9)/$AG119,4))</f>
        <v>0.32069999999999999</v>
      </c>
      <c r="R119" s="9">
        <f>IF($H119&lt;&gt;"OK","",ROUND($G119*使い方と設定!$B$7*$AK119*INDEX(個性タイプマスタ!$Q$5:$AA$54,$AE119,10)/$AG119,4))</f>
        <v>0.48470000000000002</v>
      </c>
      <c r="S119" s="9">
        <f>IF($H119&lt;&gt;"OK","",ROUND($G119*使い方と設定!$B$7*$AK119*INDEX(個性タイプマスタ!$Q$5:$AA$54,$AE119,11)/$AG119,4))</f>
        <v>0.27089999999999997</v>
      </c>
      <c r="T119" s="9">
        <f>IF($H119&lt;&gt;"OK","",ROUND($G119*使い方と設定!$B$8*$AK119*$AH119*INDEX(属性耐性マスタ!$B$5:$G$10,$AF119,1),4))</f>
        <v>8.2000000000000007E-3</v>
      </c>
      <c r="U119" s="9">
        <f>IF($H119&lt;&gt;"OK","",ROUND($G119*使い方と設定!$B$8*$AK119*$AH119*INDEX(属性耐性マスタ!$B$5:$G$10,$AF119,2),4))</f>
        <v>8.2000000000000007E-3</v>
      </c>
      <c r="V119" s="9">
        <f>IF($H119&lt;&gt;"OK","",ROUND($G119*使い方と設定!$B$8*$AK119*$AH119*INDEX(属性耐性マスタ!$B$5:$G$10,$AF119,3),4))</f>
        <v>3.0599999999999999E-2</v>
      </c>
      <c r="W119" s="9">
        <f>IF($H119&lt;&gt;"OK","",ROUND($G119*使い方と設定!$B$8*$AK119*$AH119*INDEX(属性耐性マスタ!$B$5:$G$10,$AF119,4),4))</f>
        <v>0.1225</v>
      </c>
      <c r="X119" s="9">
        <f>IF($H119&lt;&gt;"OK","",ROUND($G119*使い方と設定!$B$8*$AK119*$AH119*INDEX(属性耐性マスタ!$B$5:$G$10,$AF119,5),4))</f>
        <v>6.1000000000000004E-3</v>
      </c>
      <c r="Y119" s="9">
        <f>IF($H119&lt;&gt;"OK","",ROUND($G119*使い方と設定!$B$8*$AK119*$AH119*INDEX(属性耐性マスタ!$B$5:$G$10,$AF119,6),4))</f>
        <v>6.1000000000000004E-3</v>
      </c>
      <c r="Z119" s="9">
        <f>IF($H119&lt;&gt;"OK","",ROUND($G119*使い方と設定!$B$9*$AK119*$AI119,4))</f>
        <v>1.5153000000000001</v>
      </c>
      <c r="AA119" s="10">
        <v>0.5</v>
      </c>
      <c r="AB119" s="11">
        <f t="shared" si="4"/>
        <v>3.6465999999999998</v>
      </c>
      <c r="AC119" s="11">
        <f t="shared" si="5"/>
        <v>0.1817</v>
      </c>
      <c r="AD119" s="7" t="str">
        <f>IF($H119&lt;&gt;"OK","",INDEX(個性タイプマスタ!$P$5:$P$54,$AE119))</f>
        <v>索敵能力・機動力が高い</v>
      </c>
      <c r="AE119">
        <f>IFERROR(MATCH(E119,個性タイプマスタ!$A$5:$A$54,0),0)</f>
        <v>48</v>
      </c>
      <c r="AF119">
        <f>IFERROR(MATCH(F119,属性耐性マスタ!$A$5:$A$10,0),0)</f>
        <v>4</v>
      </c>
      <c r="AG119">
        <f>IF(AE119=0,1,INDEX(個性タイプマスタ!$AB$5:$AB$54,AE119))</f>
        <v>9.7047666666666661</v>
      </c>
      <c r="AH119">
        <f>IF(AE119=0,1,INDEX(個性タイプマスタ!$AC$5:$AC$54,AE119))</f>
        <v>0.84</v>
      </c>
      <c r="AI119">
        <f>IF(AE119=0,0,INDEX(個性タイプマスタ!$AD$5:$AD$54,AE119))</f>
        <v>1.2466666666666666</v>
      </c>
      <c r="AJ119" s="16">
        <v>19</v>
      </c>
      <c r="AK119" s="17">
        <f>IF(OR(AJ119="",AJ119&lt;1),"",POWER(使い方と設定!$E$6,AJ119-1))</f>
        <v>2.025816515378533</v>
      </c>
    </row>
    <row r="120" spans="1:37">
      <c r="A120" t="str">
        <f>+[2]称号!A115</f>
        <v>TITLE_114</v>
      </c>
      <c r="B120" t="str">
        <f>+[2]称号!B115</f>
        <v>深淵の黒竜</v>
      </c>
      <c r="C120" t="s">
        <v>360</v>
      </c>
      <c r="D120" t="s">
        <v>361</v>
      </c>
      <c r="E120" s="2" t="str">
        <f>[1]モンスター計算!AM118</f>
        <v>魔法・最終層</v>
      </c>
      <c r="F120" s="2" t="str">
        <f>[1]モンスター計算!C118</f>
        <v>闇</v>
      </c>
      <c r="G120" s="8">
        <v>1.25</v>
      </c>
      <c r="H120" t="str">
        <f t="shared" si="3"/>
        <v>OK</v>
      </c>
      <c r="I120" s="9">
        <f>IF($H120&lt;&gt;"OK","",ROUND($G120*使い方と設定!$B$7*$AK120*INDEX(個性タイプマスタ!$Q$5:$AA$54,$AE120,1)/$AG120,4))</f>
        <v>0.46050000000000002</v>
      </c>
      <c r="J120" s="9">
        <f>IF($H120&lt;&gt;"OK","",ROUND($G120*使い方と設定!$B$7*$AK120*INDEX(個性タイプマスタ!$Q$5:$AA$54,$AE120,2)/$AG120,4))</f>
        <v>0.38379999999999997</v>
      </c>
      <c r="K120" s="9">
        <f>IF($H120&lt;&gt;"OK","",ROUND($G120*使い方と設定!$B$7*$AK120*INDEX(個性タイプマスタ!$Q$5:$AA$54,$AE120,3)/$AG120,4))</f>
        <v>8.72E-2</v>
      </c>
      <c r="L120" s="9">
        <f>IF($H120&lt;&gt;"OK","",ROUND($G120*使い方と設定!$B$7*$AK120*INDEX(個性タイプマスタ!$Q$5:$AA$54,$AE120,4)/$AG120,4))</f>
        <v>0.87219999999999998</v>
      </c>
      <c r="M120" s="9">
        <f>IF($H120&lt;&gt;"OK","",ROUND($G120*使い方と設定!$B$7*$AK120*INDEX(個性タイプマスタ!$Q$5:$AA$54,$AE120,5)/$AG120,4))</f>
        <v>0.38550000000000001</v>
      </c>
      <c r="N120" s="9">
        <f>IF($H120&lt;&gt;"OK","",ROUND($G120*使い方と設定!$B$7*$AK120*INDEX(個性タイプマスタ!$Q$5:$AA$54,$AE120,6)/$AG120,4))</f>
        <v>0.25209999999999999</v>
      </c>
      <c r="O120" s="9">
        <f>IF($H120&lt;&gt;"OK","",ROUND($G120*使い方と設定!$B$7*$AK120*INDEX(個性タイプマスタ!$Q$5:$AA$54,$AE120,7)/$AG120,4))</f>
        <v>0.307</v>
      </c>
      <c r="P120" s="9">
        <f>IF($H120&lt;&gt;"OK","",ROUND($G120*使い方と設定!$B$7*$AK120*INDEX(個性タイプマスタ!$Q$5:$AA$54,$AE120,8)/$AG120,4))</f>
        <v>0.2419</v>
      </c>
      <c r="Q120" s="9">
        <f>IF($H120&lt;&gt;"OK","",ROUND($G120*使い方と設定!$B$7*$AK120*INDEX(個性タイプマスタ!$Q$5:$AA$54,$AE120,9)/$AG120,4))</f>
        <v>0.21490000000000001</v>
      </c>
      <c r="R120" s="9">
        <f>IF($H120&lt;&gt;"OK","",ROUND($G120*使い方と設定!$B$7*$AK120*INDEX(個性タイプマスタ!$Q$5:$AA$54,$AE120,10)/$AG120,4))</f>
        <v>0.34889999999999999</v>
      </c>
      <c r="S120" s="9">
        <f>IF($H120&lt;&gt;"OK","",ROUND($G120*使い方と設定!$B$7*$AK120*INDEX(個性タイプマスタ!$Q$5:$AA$54,$AE120,11)/$AG120,4))</f>
        <v>0.2442</v>
      </c>
      <c r="T120" s="9">
        <f>IF($H120&lt;&gt;"OK","",ROUND($G120*使い方と設定!$B$8*$AK120*$AH120*INDEX(属性耐性マスタ!$B$5:$G$10,$AF120,1),4))</f>
        <v>8.0999999999999996E-3</v>
      </c>
      <c r="U120" s="9">
        <f>IF($H120&lt;&gt;"OK","",ROUND($G120*使い方と設定!$B$8*$AK120*$AH120*INDEX(属性耐性マスタ!$B$5:$G$10,$AF120,2),4))</f>
        <v>8.0999999999999996E-3</v>
      </c>
      <c r="V120" s="9">
        <f>IF($H120&lt;&gt;"OK","",ROUND($G120*使い方と設定!$B$8*$AK120*$AH120*INDEX(属性耐性マスタ!$B$5:$G$10,$AF120,3),4))</f>
        <v>8.0999999999999996E-3</v>
      </c>
      <c r="W120" s="9">
        <f>IF($H120&lt;&gt;"OK","",ROUND($G120*使い方と設定!$B$8*$AK120*$AH120*INDEX(属性耐性マスタ!$B$5:$G$10,$AF120,4),4))</f>
        <v>8.0999999999999996E-3</v>
      </c>
      <c r="X120" s="9">
        <f>IF($H120&lt;&gt;"OK","",ROUND($G120*使い方と設定!$B$8*$AK120*$AH120*INDEX(属性耐性マスタ!$B$5:$G$10,$AF120,5),4))</f>
        <v>2.1499999999999998E-2</v>
      </c>
      <c r="Y120" s="9">
        <f>IF($H120&lt;&gt;"OK","",ROUND($G120*使い方と設定!$B$8*$AK120*$AH120*INDEX(属性耐性マスタ!$B$5:$G$10,$AF120,6),4))</f>
        <v>0.16109999999999999</v>
      </c>
      <c r="Z120" s="9">
        <f>IF($H120&lt;&gt;"OK","",ROUND($G120*使い方と設定!$B$9*$AK120*$AI120,4))</f>
        <v>1.3505</v>
      </c>
      <c r="AA120" s="10">
        <v>0.25</v>
      </c>
      <c r="AB120" s="11">
        <f t="shared" si="4"/>
        <v>3.7982</v>
      </c>
      <c r="AC120" s="11">
        <f t="shared" si="5"/>
        <v>0.215</v>
      </c>
      <c r="AD120" s="7" t="str">
        <f>IF($H120&lt;&gt;"OK","",INDEX(個性タイプマスタ!$P$5:$P$54,$AE120))</f>
        <v>終盤魔法の特別配分</v>
      </c>
      <c r="AE120">
        <f>IFERROR(MATCH(E120,個性タイプマスタ!$A$5:$A$54,0),0)</f>
        <v>8</v>
      </c>
      <c r="AF120">
        <f>IFERROR(MATCH(F120,属性耐性マスタ!$A$5:$A$10,0),0)</f>
        <v>6</v>
      </c>
      <c r="AG120">
        <f>IF(AE120=0,1,INDEX(個性タイプマスタ!$AB$5:$AB$54,AE120))</f>
        <v>10.886833333333332</v>
      </c>
      <c r="AH120">
        <f>IF(AE120=0,1,INDEX(個性タイプマスタ!$AC$5:$AC$54,AE120))</f>
        <v>1.06</v>
      </c>
      <c r="AI120">
        <f>IF(AE120=0,0,INDEX(個性タイプマスタ!$AD$5:$AD$54,AE120))</f>
        <v>1.0666666666666667</v>
      </c>
      <c r="AJ120" s="16">
        <v>19</v>
      </c>
      <c r="AK120" s="17">
        <f>IF(OR(AJ120="",AJ120&lt;1),"",POWER(使い方と設定!$E$6,AJ120-1))</f>
        <v>2.025816515378533</v>
      </c>
    </row>
    <row r="121" spans="1:37">
      <c r="A121" t="str">
        <f>+[2]称号!A116</f>
        <v>TITLE_115</v>
      </c>
      <c r="B121" t="str">
        <f>+[2]称号!B116</f>
        <v>翠花の守り手</v>
      </c>
      <c r="C121" t="s">
        <v>362</v>
      </c>
      <c r="D121" t="s">
        <v>363</v>
      </c>
      <c r="E121" s="2" t="str">
        <f>[1]モンスター計算!AM119</f>
        <v>魔法・軽量</v>
      </c>
      <c r="F121" s="2" t="str">
        <f>[1]モンスター計算!C119</f>
        <v>風</v>
      </c>
      <c r="G121" s="8">
        <v>1</v>
      </c>
      <c r="H121" t="str">
        <f t="shared" si="3"/>
        <v>OK</v>
      </c>
      <c r="I121" s="9">
        <f>IF($H121&lt;&gt;"OK","",ROUND($G121*使い方と設定!$B$7*$AK121*INDEX(個性タイプマスタ!$Q$5:$AA$54,$AE121,1)/$AG121,4))</f>
        <v>0.29830000000000001</v>
      </c>
      <c r="J121" s="9">
        <f>IF($H121&lt;&gt;"OK","",ROUND($G121*使い方と設定!$B$7*$AK121*INDEX(個性タイプマスタ!$Q$5:$AA$54,$AE121,2)/$AG121,4))</f>
        <v>0.32750000000000001</v>
      </c>
      <c r="K121" s="9">
        <f>IF($H121&lt;&gt;"OK","",ROUND($G121*使い方と設定!$B$7*$AK121*INDEX(個性タイプマスタ!$Q$5:$AA$54,$AE121,3)/$AG121,4))</f>
        <v>8.2699999999999996E-2</v>
      </c>
      <c r="L121" s="9">
        <f>IF($H121&lt;&gt;"OK","",ROUND($G121*使い方と設定!$B$7*$AK121*INDEX(個性タイプマスタ!$Q$5:$AA$54,$AE121,4)/$AG121,4))</f>
        <v>0.82689999999999997</v>
      </c>
      <c r="M121" s="9">
        <f>IF($H121&lt;&gt;"OK","",ROUND($G121*使い方と設定!$B$7*$AK121*INDEX(個性タイプマスタ!$Q$5:$AA$54,$AE121,5)/$AG121,4))</f>
        <v>0.23899999999999999</v>
      </c>
      <c r="N121" s="9">
        <f>IF($H121&lt;&gt;"OK","",ROUND($G121*使い方と設定!$B$7*$AK121*INDEX(個性タイプマスタ!$Q$5:$AA$54,$AE121,6)/$AG121,4))</f>
        <v>0.28110000000000002</v>
      </c>
      <c r="O121" s="9">
        <f>IF($H121&lt;&gt;"OK","",ROUND($G121*使い方と設定!$B$7*$AK121*INDEX(個性タイプマスタ!$Q$5:$AA$54,$AE121,7)/$AG121,4))</f>
        <v>0.18190000000000001</v>
      </c>
      <c r="P121" s="9">
        <f>IF($H121&lt;&gt;"OK","",ROUND($G121*使い方と設定!$B$7*$AK121*INDEX(個性タイプマスタ!$Q$5:$AA$54,$AE121,8)/$AG121,4))</f>
        <v>0.215</v>
      </c>
      <c r="Q121" s="9">
        <f>IF($H121&lt;&gt;"OK","",ROUND($G121*使い方と設定!$B$7*$AK121*INDEX(個性タイプマスタ!$Q$5:$AA$54,$AE121,9)/$AG121,4))</f>
        <v>0.14549999999999999</v>
      </c>
      <c r="R121" s="9">
        <f>IF($H121&lt;&gt;"OK","",ROUND($G121*使い方と設定!$B$7*$AK121*INDEX(個性タイプマスタ!$Q$5:$AA$54,$AE121,10)/$AG121,4))</f>
        <v>0.33079999999999998</v>
      </c>
      <c r="S121" s="9">
        <f>IF($H121&lt;&gt;"OK","",ROUND($G121*使い方と設定!$B$7*$AK121*INDEX(個性タイプマスタ!$Q$5:$AA$54,$AE121,11)/$AG121,4))</f>
        <v>0.23150000000000001</v>
      </c>
      <c r="T121" s="9">
        <f>IF($H121&lt;&gt;"OK","",ROUND($G121*使い方と設定!$B$8*$AK121*$AH121*INDEX(属性耐性マスタ!$B$5:$G$10,$AF121,1),4))</f>
        <v>7.7999999999999996E-3</v>
      </c>
      <c r="U121" s="9">
        <f>IF($H121&lt;&gt;"OK","",ROUND($G121*使い方と設定!$B$8*$AK121*$AH121*INDEX(属性耐性マスタ!$B$5:$G$10,$AF121,2),4))</f>
        <v>7.7999999999999996E-3</v>
      </c>
      <c r="V121" s="9">
        <f>IF($H121&lt;&gt;"OK","",ROUND($G121*使い方と設定!$B$8*$AK121*$AH121*INDEX(属性耐性マスタ!$B$5:$G$10,$AF121,3),4))</f>
        <v>0.1163</v>
      </c>
      <c r="W121" s="9">
        <f>IF($H121&lt;&gt;"OK","",ROUND($G121*使い方と設定!$B$8*$AK121*$AH121*INDEX(属性耐性マスタ!$B$5:$G$10,$AF121,4),4))</f>
        <v>2.9100000000000001E-2</v>
      </c>
      <c r="X121" s="9">
        <f>IF($H121&lt;&gt;"OK","",ROUND($G121*使い方と設定!$B$8*$AK121*$AH121*INDEX(属性耐性マスタ!$B$5:$G$10,$AF121,5),4))</f>
        <v>5.7999999999999996E-3</v>
      </c>
      <c r="Y121" s="9">
        <f>IF($H121&lt;&gt;"OK","",ROUND($G121*使い方と設定!$B$8*$AK121*$AH121*INDEX(属性耐性マスタ!$B$5:$G$10,$AF121,6),4))</f>
        <v>5.7999999999999996E-3</v>
      </c>
      <c r="Z121" s="9">
        <f>IF($H121&lt;&gt;"OK","",ROUND($G121*使い方と設定!$B$9*$AK121*$AI121,4))</f>
        <v>0.98319999999999996</v>
      </c>
      <c r="AA121" s="10">
        <v>1</v>
      </c>
      <c r="AB121" s="11">
        <f t="shared" si="4"/>
        <v>3.1602000000000001</v>
      </c>
      <c r="AC121" s="11">
        <f t="shared" si="5"/>
        <v>0.1726</v>
      </c>
      <c r="AD121" s="7" t="str">
        <f>IF($H121&lt;&gt;"OK","",INDEX(個性タイプマスタ!$P$5:$P$54,$AE121))</f>
        <v>軽快な魔法型。耐久控えめ・成長余地大</v>
      </c>
      <c r="AE121">
        <f>IFERROR(MATCH(E121,個性タイプマスタ!$A$5:$A$54,0),0)</f>
        <v>1</v>
      </c>
      <c r="AF121">
        <f>IFERROR(MATCH(F121,属性耐性マスタ!$A$5:$A$10,0),0)</f>
        <v>3</v>
      </c>
      <c r="AG121">
        <f>IF(AE121=0,1,INDEX(個性タイプマスタ!$AB$5:$AB$54,AE121))</f>
        <v>9.5545000000000009</v>
      </c>
      <c r="AH121">
        <f>IF(AE121=0,1,INDEX(個性タイプマスタ!$AC$5:$AC$54,AE121))</f>
        <v>0.92</v>
      </c>
      <c r="AI121">
        <f>IF(AE121=0,0,INDEX(個性タイプマスタ!$AD$5:$AD$54,AE121))</f>
        <v>0.93333333333333335</v>
      </c>
      <c r="AJ121" s="16">
        <v>20</v>
      </c>
      <c r="AK121" s="17">
        <f>IF(OR(AJ121="",AJ121&lt;1),"",POWER(使い方と設定!$E$6,AJ121-1))</f>
        <v>2.1068491759936743</v>
      </c>
    </row>
    <row r="122" spans="1:37">
      <c r="A122" t="str">
        <f>+[2]称号!A117</f>
        <v>TITLE_116</v>
      </c>
      <c r="B122" t="str">
        <f>+[2]称号!B117</f>
        <v>霊樹の歌姫</v>
      </c>
      <c r="C122" t="s">
        <v>364</v>
      </c>
      <c r="D122" t="s">
        <v>365</v>
      </c>
      <c r="E122" s="2" t="str">
        <f>[1]モンスター計算!AM120</f>
        <v>魔法・万能</v>
      </c>
      <c r="F122" s="2" t="str">
        <f>[1]モンスター計算!C120</f>
        <v>水</v>
      </c>
      <c r="G122" s="8">
        <v>1.05</v>
      </c>
      <c r="H122" t="str">
        <f t="shared" si="3"/>
        <v>OK</v>
      </c>
      <c r="I122" s="9">
        <f>IF($H122&lt;&gt;"OK","",ROUND($G122*使い方と設定!$B$7*$AK122*INDEX(個性タイプマスタ!$Q$5:$AA$54,$AE122,1)/$AG122,4))</f>
        <v>0.37680000000000002</v>
      </c>
      <c r="J122" s="9">
        <f>IF($H122&lt;&gt;"OK","",ROUND($G122*使い方と設定!$B$7*$AK122*INDEX(個性タイプマスタ!$Q$5:$AA$54,$AE122,2)/$AG122,4))</f>
        <v>0.35970000000000002</v>
      </c>
      <c r="K122" s="9">
        <f>IF($H122&lt;&gt;"OK","",ROUND($G122*使い方と設定!$B$7*$AK122*INDEX(個性タイプマスタ!$Q$5:$AA$54,$AE122,3)/$AG122,4))</f>
        <v>7.7899999999999997E-2</v>
      </c>
      <c r="L122" s="9">
        <f>IF($H122&lt;&gt;"OK","",ROUND($G122*使い方と設定!$B$7*$AK122*INDEX(個性タイプマスタ!$Q$5:$AA$54,$AE122,4)/$AG122,4))</f>
        <v>0.77859999999999996</v>
      </c>
      <c r="M122" s="9">
        <f>IF($H122&lt;&gt;"OK","",ROUND($G122*使い方と設定!$B$7*$AK122*INDEX(個性タイプマスタ!$Q$5:$AA$54,$AE122,5)/$AG122,4))</f>
        <v>0.29120000000000001</v>
      </c>
      <c r="N122" s="9">
        <f>IF($H122&lt;&gt;"OK","",ROUND($G122*使い方と設定!$B$7*$AK122*INDEX(個性タイプマスタ!$Q$5:$AA$54,$AE122,6)/$AG122,4))</f>
        <v>0.29120000000000001</v>
      </c>
      <c r="O122" s="9">
        <f>IF($H122&lt;&gt;"OK","",ROUND($G122*使い方と設定!$B$7*$AK122*INDEX(個性タイプマスタ!$Q$5:$AA$54,$AE122,7)/$AG122,4))</f>
        <v>0.23980000000000001</v>
      </c>
      <c r="P122" s="9">
        <f>IF($H122&lt;&gt;"OK","",ROUND($G122*使い方と設定!$B$7*$AK122*INDEX(個性タイプマスタ!$Q$5:$AA$54,$AE122,8)/$AG122,4))</f>
        <v>0.2092</v>
      </c>
      <c r="Q122" s="9">
        <f>IF($H122&lt;&gt;"OK","",ROUND($G122*使い方と設定!$B$7*$AK122*INDEX(個性タイプマスタ!$Q$5:$AA$54,$AE122,9)/$AG122,4))</f>
        <v>0.16439999999999999</v>
      </c>
      <c r="R122" s="9">
        <f>IF($H122&lt;&gt;"OK","",ROUND($G122*使い方と設定!$B$7*$AK122*INDEX(個性タイプマスタ!$Q$5:$AA$54,$AE122,10)/$AG122,4))</f>
        <v>0.31140000000000001</v>
      </c>
      <c r="S122" s="9">
        <f>IF($H122&lt;&gt;"OK","",ROUND($G122*使い方と設定!$B$7*$AK122*INDEX(個性タイプマスタ!$Q$5:$AA$54,$AE122,11)/$AG122,4))</f>
        <v>0.218</v>
      </c>
      <c r="T122" s="9">
        <f>IF($H122&lt;&gt;"OK","",ROUND($G122*使い方と設定!$B$8*$AK122*$AH122*INDEX(属性耐性マスタ!$B$5:$G$10,$AF122,1),4))</f>
        <v>2.87E-2</v>
      </c>
      <c r="U122" s="9">
        <f>IF($H122&lt;&gt;"OK","",ROUND($G122*使い方と設定!$B$8*$AK122*$AH122*INDEX(属性耐性マスタ!$B$5:$G$10,$AF122,2),4))</f>
        <v>0.1434</v>
      </c>
      <c r="V122" s="9">
        <f>IF($H122&lt;&gt;"OK","",ROUND($G122*使い方と設定!$B$8*$AK122*$AH122*INDEX(属性耐性マスタ!$B$5:$G$10,$AF122,3),4))</f>
        <v>9.5999999999999992E-3</v>
      </c>
      <c r="W122" s="9">
        <f>IF($H122&lt;&gt;"OK","",ROUND($G122*使い方と設定!$B$8*$AK122*$AH122*INDEX(属性耐性マスタ!$B$5:$G$10,$AF122,4),4))</f>
        <v>9.5999999999999992E-3</v>
      </c>
      <c r="X122" s="9">
        <f>IF($H122&lt;&gt;"OK","",ROUND($G122*使い方と設定!$B$8*$AK122*$AH122*INDEX(属性耐性マスタ!$B$5:$G$10,$AF122,5),4))</f>
        <v>7.1999999999999998E-3</v>
      </c>
      <c r="Y122" s="9">
        <f>IF($H122&lt;&gt;"OK","",ROUND($G122*使い方と設定!$B$8*$AK122*$AH122*INDEX(属性耐性マスタ!$B$5:$G$10,$AF122,6),4))</f>
        <v>7.1999999999999998E-3</v>
      </c>
      <c r="Z122" s="9">
        <f>IF($H122&lt;&gt;"OK","",ROUND($G122*使い方と設定!$B$9*$AK122*$AI122,4))</f>
        <v>1.1061000000000001</v>
      </c>
      <c r="AA122" s="10">
        <v>1</v>
      </c>
      <c r="AB122" s="11">
        <f t="shared" si="4"/>
        <v>3.3182</v>
      </c>
      <c r="AC122" s="11">
        <f t="shared" si="5"/>
        <v>0.20569999999999999</v>
      </c>
      <c r="AD122" s="7" t="str">
        <f>IF($H122&lt;&gt;"OK","",INDEX(個性タイプマスタ!$P$5:$P$54,$AE122))</f>
        <v>バランス重視</v>
      </c>
      <c r="AE122">
        <f>IFERROR(MATCH(E122,個性タイプマスタ!$A$5:$A$54,0),0)</f>
        <v>14</v>
      </c>
      <c r="AF122">
        <f>IFERROR(MATCH(F122,属性耐性マスタ!$A$5:$A$10,0),0)</f>
        <v>2</v>
      </c>
      <c r="AG122">
        <f>IF(AE122=0,1,INDEX(個性タイプマスタ!$AB$5:$AB$54,AE122))</f>
        <v>10.654666666666667</v>
      </c>
      <c r="AH122">
        <f>IF(AE122=0,1,INDEX(個性タイプマスタ!$AC$5:$AC$54,AE122))</f>
        <v>1.08</v>
      </c>
      <c r="AI122">
        <f>IF(AE122=0,0,INDEX(個性タイプマスタ!$AD$5:$AD$54,AE122))</f>
        <v>1</v>
      </c>
      <c r="AJ122" s="16">
        <v>20</v>
      </c>
      <c r="AK122" s="17">
        <f>IF(OR(AJ122="",AJ122&lt;1),"",POWER(使い方と設定!$E$6,AJ122-1))</f>
        <v>2.1068491759936743</v>
      </c>
    </row>
    <row r="123" spans="1:37">
      <c r="A123" t="str">
        <f>+[2]称号!A118</f>
        <v>TITLE_117</v>
      </c>
      <c r="B123" t="str">
        <f>+[2]称号!B118</f>
        <v>毒宴の蜘蛛姫</v>
      </c>
      <c r="C123" t="s">
        <v>366</v>
      </c>
      <c r="D123" t="s">
        <v>367</v>
      </c>
      <c r="E123" s="2" t="str">
        <f>[1]モンスター計算!AM121</f>
        <v>魔法・近距離</v>
      </c>
      <c r="F123" s="2" t="str">
        <f>[1]モンスター計算!C121</f>
        <v>闇</v>
      </c>
      <c r="G123" s="8">
        <v>1.1000000000000001</v>
      </c>
      <c r="H123" t="str">
        <f t="shared" si="3"/>
        <v>OK</v>
      </c>
      <c r="I123" s="9">
        <f>IF($H123&lt;&gt;"OK","",ROUND($G123*使い方と設定!$B$7*$AK123*INDEX(個性タイプマスタ!$Q$5:$AA$54,$AE123,1)/$AG123,4))</f>
        <v>0.44159999999999999</v>
      </c>
      <c r="J123" s="9">
        <f>IF($H123&lt;&gt;"OK","",ROUND($G123*使い方と設定!$B$7*$AK123*INDEX(個性タイプマスタ!$Q$5:$AA$54,$AE123,2)/$AG123,4))</f>
        <v>0.32779999999999998</v>
      </c>
      <c r="K123" s="9">
        <f>IF($H123&lt;&gt;"OK","",ROUND($G123*使い方と設定!$B$7*$AK123*INDEX(個性タイプマスタ!$Q$5:$AA$54,$AE123,3)/$AG123,4))</f>
        <v>6.6699999999999995E-2</v>
      </c>
      <c r="L123" s="9">
        <f>IF($H123&lt;&gt;"OK","",ROUND($G123*使い方と設定!$B$7*$AK123*INDEX(個性タイプマスタ!$Q$5:$AA$54,$AE123,4)/$AG123,4))</f>
        <v>0.78420000000000001</v>
      </c>
      <c r="M123" s="9">
        <f>IF($H123&lt;&gt;"OK","",ROUND($G123*使い方と設定!$B$7*$AK123*INDEX(個性タイプマスタ!$Q$5:$AA$54,$AE123,5)/$AG123,4))</f>
        <v>0.32790000000000002</v>
      </c>
      <c r="N123" s="9">
        <f>IF($H123&lt;&gt;"OK","",ROUND($G123*使い方と設定!$B$7*$AK123*INDEX(個性タイプマスタ!$Q$5:$AA$54,$AE123,6)/$AG123,4))</f>
        <v>0.29859999999999998</v>
      </c>
      <c r="O123" s="9">
        <f>IF($H123&lt;&gt;"OK","",ROUND($G123*使い方と設定!$B$7*$AK123*INDEX(個性タイプマスタ!$Q$5:$AA$54,$AE123,7)/$AG123,4))</f>
        <v>0.24149999999999999</v>
      </c>
      <c r="P123" s="9">
        <f>IF($H123&lt;&gt;"OK","",ROUND($G123*使い方と設定!$B$7*$AK123*INDEX(個性タイプマスタ!$Q$5:$AA$54,$AE123,8)/$AG123,4))</f>
        <v>0.2039</v>
      </c>
      <c r="Q123" s="9">
        <f>IF($H123&lt;&gt;"OK","",ROUND($G123*使い方と設定!$B$7*$AK123*INDEX(個性タイプマスタ!$Q$5:$AA$54,$AE123,9)/$AG123,4))</f>
        <v>0.19320000000000001</v>
      </c>
      <c r="R123" s="9">
        <f>IF($H123&lt;&gt;"OK","",ROUND($G123*使い方と設定!$B$7*$AK123*INDEX(個性タイプマスタ!$Q$5:$AA$54,$AE123,10)/$AG123,4))</f>
        <v>0.45479999999999998</v>
      </c>
      <c r="S123" s="9">
        <f>IF($H123&lt;&gt;"OK","",ROUND($G123*使い方と設定!$B$7*$AK123*INDEX(個性タイプマスタ!$Q$5:$AA$54,$AE123,11)/$AG123,4))</f>
        <v>0.1361</v>
      </c>
      <c r="T123" s="9">
        <f>IF($H123&lt;&gt;"OK","",ROUND($G123*使い方と設定!$B$8*$AK123*$AH123*INDEX(属性耐性マスタ!$B$5:$G$10,$AF123,1),4))</f>
        <v>7.7999999999999996E-3</v>
      </c>
      <c r="U123" s="9">
        <f>IF($H123&lt;&gt;"OK","",ROUND($G123*使い方と設定!$B$8*$AK123*$AH123*INDEX(属性耐性マスタ!$B$5:$G$10,$AF123,2),4))</f>
        <v>7.7999999999999996E-3</v>
      </c>
      <c r="V123" s="9">
        <f>IF($H123&lt;&gt;"OK","",ROUND($G123*使い方と設定!$B$8*$AK123*$AH123*INDEX(属性耐性マスタ!$B$5:$G$10,$AF123,3),4))</f>
        <v>7.7999999999999996E-3</v>
      </c>
      <c r="W123" s="9">
        <f>IF($H123&lt;&gt;"OK","",ROUND($G123*使い方と設定!$B$8*$AK123*$AH123*INDEX(属性耐性マスタ!$B$5:$G$10,$AF123,4),4))</f>
        <v>7.7999999999999996E-3</v>
      </c>
      <c r="X123" s="9">
        <f>IF($H123&lt;&gt;"OK","",ROUND($G123*使い方と設定!$B$8*$AK123*$AH123*INDEX(属性耐性マスタ!$B$5:$G$10,$AF123,5),4))</f>
        <v>2.0799999999999999E-2</v>
      </c>
      <c r="Y123" s="9">
        <f>IF($H123&lt;&gt;"OK","",ROUND($G123*使い方と設定!$B$8*$AK123*$AH123*INDEX(属性耐性マスタ!$B$5:$G$10,$AF123,6),4))</f>
        <v>0.15570000000000001</v>
      </c>
      <c r="Z123" s="9">
        <f>IF($H123&lt;&gt;"OK","",ROUND($G123*使い方と設定!$B$9*$AK123*$AI123,4))</f>
        <v>1.236</v>
      </c>
      <c r="AA123" s="10">
        <v>0.9</v>
      </c>
      <c r="AB123" s="11">
        <f t="shared" si="4"/>
        <v>3.4763000000000002</v>
      </c>
      <c r="AC123" s="11">
        <f t="shared" si="5"/>
        <v>0.2077</v>
      </c>
      <c r="AD123" s="7" t="str">
        <f>IF($H123&lt;&gt;"OK","",INDEX(個性タイプマスタ!$P$5:$P$54,$AE123))</f>
        <v>短射程の連発型</v>
      </c>
      <c r="AE123">
        <f>IFERROR(MATCH(E123,個性タイプマスタ!$A$5:$A$54,0),0)</f>
        <v>21</v>
      </c>
      <c r="AF123">
        <f>IFERROR(MATCH(F123,属性耐性マスタ!$A$5:$A$10,0),0)</f>
        <v>6</v>
      </c>
      <c r="AG123">
        <f>IF(AE123=0,1,INDEX(個性タイプマスタ!$AB$5:$AB$54,AE123))</f>
        <v>11.082999999999998</v>
      </c>
      <c r="AH123">
        <f>IF(AE123=0,1,INDEX(個性タイプマスタ!$AC$5:$AC$54,AE123))</f>
        <v>1.1200000000000001</v>
      </c>
      <c r="AI123">
        <f>IF(AE123=0,0,INDEX(個性タイプマスタ!$AD$5:$AD$54,AE123))</f>
        <v>1.0666666666666667</v>
      </c>
      <c r="AJ123" s="16">
        <v>20</v>
      </c>
      <c r="AK123" s="17">
        <f>IF(OR(AJ123="",AJ123&lt;1),"",POWER(使い方と設定!$E$6,AJ123-1))</f>
        <v>2.1068491759936743</v>
      </c>
    </row>
    <row r="124" spans="1:37">
      <c r="A124" t="str">
        <f>+[2]称号!A119</f>
        <v>TITLE_118</v>
      </c>
      <c r="B124" t="str">
        <f>+[2]称号!B119</f>
        <v>砂嵐の魔獣</v>
      </c>
      <c r="C124" t="s">
        <v>368</v>
      </c>
      <c r="D124" t="s">
        <v>369</v>
      </c>
      <c r="E124" s="2" t="str">
        <f>[1]モンスター計算!AM122</f>
        <v>近接・高魔防</v>
      </c>
      <c r="F124" s="2" t="str">
        <f>[1]モンスター計算!C122</f>
        <v>雷</v>
      </c>
      <c r="G124" s="8">
        <v>1.1499999999999999</v>
      </c>
      <c r="H124" t="str">
        <f t="shared" si="3"/>
        <v>OK</v>
      </c>
      <c r="I124" s="9">
        <f>IF($H124&lt;&gt;"OK","",ROUND($G124*使い方と設定!$B$7*$AK124*INDEX(個性タイプマスタ!$Q$5:$AA$54,$AE124,1)/$AG124,4))</f>
        <v>0.45900000000000002</v>
      </c>
      <c r="J124" s="9">
        <f>IF($H124&lt;&gt;"OK","",ROUND($G124*使い方と設定!$B$7*$AK124*INDEX(個性タイプマスタ!$Q$5:$AA$54,$AE124,2)/$AG124,4))</f>
        <v>0.2142</v>
      </c>
      <c r="K124" s="9">
        <f>IF($H124&lt;&gt;"OK","",ROUND($G124*使い方と設定!$B$7*$AK124*INDEX(個性タイプマスタ!$Q$5:$AA$54,$AE124,3)/$AG124,4))</f>
        <v>0.86929999999999996</v>
      </c>
      <c r="L124" s="9">
        <f>IF($H124&lt;&gt;"OK","",ROUND($G124*使い方と設定!$B$7*$AK124*INDEX(個性タイプマスタ!$Q$5:$AA$54,$AE124,4)/$AG124,4))</f>
        <v>7.22E-2</v>
      </c>
      <c r="M124" s="9">
        <f>IF($H124&lt;&gt;"OK","",ROUND($G124*使い方と設定!$B$7*$AK124*INDEX(個性タイプマスタ!$Q$5:$AA$54,$AE124,5)/$AG124,4))</f>
        <v>0.22459999999999999</v>
      </c>
      <c r="N124" s="9">
        <f>IF($H124&lt;&gt;"OK","",ROUND($G124*使い方と設定!$B$7*$AK124*INDEX(個性タイプマスタ!$Q$5:$AA$54,$AE124,6)/$AG124,4))</f>
        <v>0.62070000000000003</v>
      </c>
      <c r="O124" s="9">
        <f>IF($H124&lt;&gt;"OK","",ROUND($G124*使い方と設定!$B$7*$AK124*INDEX(個性タイプマスタ!$Q$5:$AA$54,$AE124,7)/$AG124,4))</f>
        <v>0.1913</v>
      </c>
      <c r="P124" s="9">
        <f>IF($H124&lt;&gt;"OK","",ROUND($G124*使い方と設定!$B$7*$AK124*INDEX(個性タイプマスタ!$Q$5:$AA$54,$AE124,8)/$AG124,4))</f>
        <v>0.2215</v>
      </c>
      <c r="Q124" s="9">
        <f>IF($H124&lt;&gt;"OK","",ROUND($G124*使い方と設定!$B$7*$AK124*INDEX(個性タイプマスタ!$Q$5:$AA$54,$AE124,9)/$AG124,4))</f>
        <v>0.18740000000000001</v>
      </c>
      <c r="R124" s="9">
        <f>IF($H124&lt;&gt;"OK","",ROUND($G124*使い方と設定!$B$7*$AK124*INDEX(個性タイプマスタ!$Q$5:$AA$54,$AE124,10)/$AG124,4))</f>
        <v>0.34770000000000001</v>
      </c>
      <c r="S124" s="9">
        <f>IF($H124&lt;&gt;"OK","",ROUND($G124*使い方と設定!$B$7*$AK124*INDEX(個性タイプマスタ!$Q$5:$AA$54,$AE124,11)/$AG124,4))</f>
        <v>0.22639999999999999</v>
      </c>
      <c r="T124" s="9">
        <f>IF($H124&lt;&gt;"OK","",ROUND($G124*使い方と設定!$B$8*$AK124*$AH124*INDEX(属性耐性マスタ!$B$5:$G$10,$AF124,1),4))</f>
        <v>1.2200000000000001E-2</v>
      </c>
      <c r="U124" s="9">
        <f>IF($H124&lt;&gt;"OK","",ROUND($G124*使い方と設定!$B$8*$AK124*$AH124*INDEX(属性耐性マスタ!$B$5:$G$10,$AF124,2),4))</f>
        <v>1.2200000000000001E-2</v>
      </c>
      <c r="V124" s="9">
        <f>IF($H124&lt;&gt;"OK","",ROUND($G124*使い方と設定!$B$8*$AK124*$AH124*INDEX(属性耐性マスタ!$B$5:$G$10,$AF124,3),4))</f>
        <v>4.58E-2</v>
      </c>
      <c r="W124" s="9">
        <f>IF($H124&lt;&gt;"OK","",ROUND($G124*使い方と設定!$B$8*$AK124*$AH124*INDEX(属性耐性マスタ!$B$5:$G$10,$AF124,4),4))</f>
        <v>0.1832</v>
      </c>
      <c r="X124" s="9">
        <f>IF($H124&lt;&gt;"OK","",ROUND($G124*使い方と設定!$B$8*$AK124*$AH124*INDEX(属性耐性マスタ!$B$5:$G$10,$AF124,5),4))</f>
        <v>9.1999999999999998E-3</v>
      </c>
      <c r="Y124" s="9">
        <f>IF($H124&lt;&gt;"OK","",ROUND($G124*使い方と設定!$B$8*$AK124*$AH124*INDEX(属性耐性マスタ!$B$5:$G$10,$AF124,6),4))</f>
        <v>9.1999999999999998E-3</v>
      </c>
      <c r="Z124" s="9">
        <f>IF($H124&lt;&gt;"OK","",ROUND($G124*使い方と設定!$B$9*$AK124*$AI124,4))</f>
        <v>1.2215</v>
      </c>
      <c r="AA124" s="10">
        <v>0.55000000000000004</v>
      </c>
      <c r="AB124" s="11">
        <f t="shared" si="4"/>
        <v>3.6343000000000001</v>
      </c>
      <c r="AC124" s="11">
        <f t="shared" si="5"/>
        <v>0.27179999999999999</v>
      </c>
      <c r="AD124" s="7" t="str">
        <f>IF($H124&lt;&gt;"OK","",INDEX(個性タイプマスタ!$P$5:$P$54,$AE124))</f>
        <v>物理に弱い魔法防御型</v>
      </c>
      <c r="AE124">
        <f>IFERROR(MATCH(E124,個性タイプマスタ!$A$5:$A$54,0),0)</f>
        <v>47</v>
      </c>
      <c r="AF124">
        <f>IFERROR(MATCH(F124,属性耐性マスタ!$A$5:$A$10,0),0)</f>
        <v>4</v>
      </c>
      <c r="AG124">
        <f>IF(AE124=0,1,INDEX(個性タイプマスタ!$AB$5:$AB$54,AE124))</f>
        <v>10.451499999999999</v>
      </c>
      <c r="AH124">
        <f>IF(AE124=0,1,INDEX(個性タイプマスタ!$AC$5:$AC$54,AE124))</f>
        <v>1.26</v>
      </c>
      <c r="AI124">
        <f>IF(AE124=0,0,INDEX(個性タイプマスタ!$AD$5:$AD$54,AE124))</f>
        <v>1.0083333333333333</v>
      </c>
      <c r="AJ124" s="16">
        <v>20</v>
      </c>
      <c r="AK124" s="17">
        <f>IF(OR(AJ124="",AJ124&lt;1),"",POWER(使い方と設定!$E$6,AJ124-1))</f>
        <v>2.1068491759936743</v>
      </c>
    </row>
    <row r="125" spans="1:37">
      <c r="A125" t="str">
        <f>+[2]称号!A120</f>
        <v>TITLE_119</v>
      </c>
      <c r="B125" t="str">
        <f>+[2]称号!B120</f>
        <v>暴風の巨翼</v>
      </c>
      <c r="C125" t="s">
        <v>371</v>
      </c>
      <c r="D125" t="s">
        <v>372</v>
      </c>
      <c r="E125" s="2" t="str">
        <f>[1]モンスター計算!AM123</f>
        <v>近接・火力</v>
      </c>
      <c r="F125" s="2" t="str">
        <f>[1]モンスター計算!C123</f>
        <v>風</v>
      </c>
      <c r="G125" s="8">
        <v>1.2</v>
      </c>
      <c r="H125" t="str">
        <f t="shared" si="3"/>
        <v>OK</v>
      </c>
      <c r="I125" s="9">
        <f>IF($H125&lt;&gt;"OK","",ROUND($G125*使い方と設定!$B$7*$AK125*INDEX(個性タイプマスタ!$Q$5:$AA$54,$AE125,1)/$AG125,4))</f>
        <v>0.37</v>
      </c>
      <c r="J125" s="9">
        <f>IF($H125&lt;&gt;"OK","",ROUND($G125*使い方と設定!$B$7*$AK125*INDEX(個性タイプマスタ!$Q$5:$AA$54,$AE125,2)/$AG125,4))</f>
        <v>0.16439999999999999</v>
      </c>
      <c r="K125" s="9">
        <f>IF($H125&lt;&gt;"OK","",ROUND($G125*使い方と設定!$B$7*$AK125*INDEX(個性タイプマスタ!$Q$5:$AA$54,$AE125,3)/$AG125,4))</f>
        <v>0.93420000000000003</v>
      </c>
      <c r="L125" s="9">
        <f>IF($H125&lt;&gt;"OK","",ROUND($G125*使い方と設定!$B$7*$AK125*INDEX(個性タイプマスタ!$Q$5:$AA$54,$AE125,4)/$AG125,4))</f>
        <v>9.3399999999999997E-2</v>
      </c>
      <c r="M125" s="9">
        <f>IF($H125&lt;&gt;"OK","",ROUND($G125*使い方と設定!$B$7*$AK125*INDEX(個性タイプマスタ!$Q$5:$AA$54,$AE125,5)/$AG125,4))</f>
        <v>0.28589999999999999</v>
      </c>
      <c r="N125" s="9">
        <f>IF($H125&lt;&gt;"OK","",ROUND($G125*使い方と設定!$B$7*$AK125*INDEX(個性タイプマスタ!$Q$5:$AA$54,$AE125,6)/$AG125,4))</f>
        <v>0.28589999999999999</v>
      </c>
      <c r="O125" s="9">
        <f>IF($H125&lt;&gt;"OK","",ROUND($G125*使い方と設定!$B$7*$AK125*INDEX(個性タイプマスタ!$Q$5:$AA$54,$AE125,7)/$AG125,4))</f>
        <v>0.45219999999999999</v>
      </c>
      <c r="P125" s="9">
        <f>IF($H125&lt;&gt;"OK","",ROUND($G125*使い方と設定!$B$7*$AK125*INDEX(個性タイプマスタ!$Q$5:$AA$54,$AE125,8)/$AG125,4))</f>
        <v>0.28339999999999999</v>
      </c>
      <c r="Q125" s="9">
        <f>IF($H125&lt;&gt;"OK","",ROUND($G125*使い方と設定!$B$7*$AK125*INDEX(個性タイプマスタ!$Q$5:$AA$54,$AE125,9)/$AG125,4))</f>
        <v>0.24660000000000001</v>
      </c>
      <c r="R125" s="9">
        <f>IF($H125&lt;&gt;"OK","",ROUND($G125*使い方と設定!$B$7*$AK125*INDEX(個性タイプマスタ!$Q$5:$AA$54,$AE125,10)/$AG125,4))</f>
        <v>0.441</v>
      </c>
      <c r="S125" s="9">
        <f>IF($H125&lt;&gt;"OK","",ROUND($G125*使い方と設定!$B$7*$AK125*INDEX(個性タイプマスタ!$Q$5:$AA$54,$AE125,11)/$AG125,4))</f>
        <v>0.2354</v>
      </c>
      <c r="T125" s="9">
        <f>IF($H125&lt;&gt;"OK","",ROUND($G125*使い方と設定!$B$8*$AK125*$AH125*INDEX(属性耐性マスタ!$B$5:$G$10,$AF125,1),4))</f>
        <v>8.8999999999999999E-3</v>
      </c>
      <c r="U125" s="9">
        <f>IF($H125&lt;&gt;"OK","",ROUND($G125*使い方と設定!$B$8*$AK125*$AH125*INDEX(属性耐性マスタ!$B$5:$G$10,$AF125,2),4))</f>
        <v>8.8999999999999999E-3</v>
      </c>
      <c r="V125" s="9">
        <f>IF($H125&lt;&gt;"OK","",ROUND($G125*使い方と設定!$B$8*$AK125*$AH125*INDEX(属性耐性マスタ!$B$5:$G$10,$AF125,3),4))</f>
        <v>0.13350000000000001</v>
      </c>
      <c r="W125" s="9">
        <f>IF($H125&lt;&gt;"OK","",ROUND($G125*使い方と設定!$B$8*$AK125*$AH125*INDEX(属性耐性マスタ!$B$5:$G$10,$AF125,4),4))</f>
        <v>3.3399999999999999E-2</v>
      </c>
      <c r="X125" s="9">
        <f>IF($H125&lt;&gt;"OK","",ROUND($G125*使い方と設定!$B$8*$AK125*$AH125*INDEX(属性耐性マスタ!$B$5:$G$10,$AF125,5),4))</f>
        <v>6.7000000000000002E-3</v>
      </c>
      <c r="Y125" s="9">
        <f>IF($H125&lt;&gt;"OK","",ROUND($G125*使い方と設定!$B$8*$AK125*$AH125*INDEX(属性耐性マスタ!$B$5:$G$10,$AF125,6),4))</f>
        <v>6.7000000000000002E-3</v>
      </c>
      <c r="Z125" s="9">
        <f>IF($H125&lt;&gt;"OK","",ROUND($G125*使い方と設定!$B$9*$AK125*$AI125,4))</f>
        <v>1.3905000000000001</v>
      </c>
      <c r="AA125" s="10">
        <v>0.5</v>
      </c>
      <c r="AB125" s="11">
        <f t="shared" si="4"/>
        <v>3.7924000000000002</v>
      </c>
      <c r="AC125" s="11">
        <f t="shared" si="5"/>
        <v>0.1981</v>
      </c>
      <c r="AD125" s="7" t="str">
        <f>IF($H125&lt;&gt;"OK","",INDEX(個性タイプマスタ!$P$5:$P$54,$AE125))</f>
        <v>攻撃とクリティカル特化</v>
      </c>
      <c r="AE125">
        <f>IFERROR(MATCH(E125,個性タイプマスタ!$A$5:$A$54,0),0)</f>
        <v>11</v>
      </c>
      <c r="AF125">
        <f>IFERROR(MATCH(F125,属性耐性マスタ!$A$5:$A$10,0),0)</f>
        <v>3</v>
      </c>
      <c r="AG125">
        <f>IF(AE125=0,1,INDEX(個性タイプマスタ!$AB$5:$AB$54,AE125))</f>
        <v>10.148333333333333</v>
      </c>
      <c r="AH125">
        <f>IF(AE125=0,1,INDEX(個性タイプマスタ!$AC$5:$AC$54,AE125))</f>
        <v>0.88</v>
      </c>
      <c r="AI125">
        <f>IF(AE125=0,0,INDEX(個性タイプマスタ!$AD$5:$AD$54,AE125))</f>
        <v>1.1000000000000001</v>
      </c>
      <c r="AJ125" s="16">
        <v>20</v>
      </c>
      <c r="AK125" s="17">
        <f>IF(OR(AJ125="",AJ125&lt;1),"",POWER(使い方と設定!$E$6,AJ125-1))</f>
        <v>2.1068491759936743</v>
      </c>
    </row>
    <row r="126" spans="1:37">
      <c r="A126" t="str">
        <f>+[2]称号!A121</f>
        <v>TITLE_120</v>
      </c>
      <c r="B126" t="str">
        <f>+[2]称号!B121</f>
        <v>生命を啜る影</v>
      </c>
      <c r="C126" t="s">
        <v>373</v>
      </c>
      <c r="D126" t="s">
        <v>374</v>
      </c>
      <c r="E126" s="2" t="str">
        <f>[1]モンスター計算!AM124</f>
        <v>魔法・砲撃</v>
      </c>
      <c r="F126" s="2" t="str">
        <f>[1]モンスター計算!C124</f>
        <v>闇</v>
      </c>
      <c r="G126" s="8">
        <v>1.25</v>
      </c>
      <c r="H126" t="str">
        <f t="shared" si="3"/>
        <v>OK</v>
      </c>
      <c r="I126" s="9">
        <f>IF($H126&lt;&gt;"OK","",ROUND($G126*使い方と設定!$B$7*$AK126*INDEX(個性タイプマスタ!$Q$5:$AA$54,$AE126,1)/$AG126,4))</f>
        <v>0.37890000000000001</v>
      </c>
      <c r="J126" s="9">
        <f>IF($H126&lt;&gt;"OK","",ROUND($G126*使い方と設定!$B$7*$AK126*INDEX(個性タイプマスタ!$Q$5:$AA$54,$AE126,2)/$AG126,4))</f>
        <v>0.66620000000000001</v>
      </c>
      <c r="K126" s="9">
        <f>IF($H126&lt;&gt;"OK","",ROUND($G126*使い方と設定!$B$7*$AK126*INDEX(個性タイプマスタ!$Q$5:$AA$54,$AE126,3)/$AG126,4))</f>
        <v>7.0999999999999994E-2</v>
      </c>
      <c r="L126" s="9">
        <f>IF($H126&lt;&gt;"OK","",ROUND($G126*使い方と設定!$B$7*$AK126*INDEX(個性タイプマスタ!$Q$5:$AA$54,$AE126,4)/$AG126,4))</f>
        <v>0.94630000000000003</v>
      </c>
      <c r="M126" s="9">
        <f>IF($H126&lt;&gt;"OK","",ROUND($G126*使い方と設定!$B$7*$AK126*INDEX(個性タイプマスタ!$Q$5:$AA$54,$AE126,5)/$AG126,4))</f>
        <v>0.28310000000000002</v>
      </c>
      <c r="N126" s="9">
        <f>IF($H126&lt;&gt;"OK","",ROUND($G126*使い方と設定!$B$7*$AK126*INDEX(個性タイプマスタ!$Q$5:$AA$54,$AE126,6)/$AG126,4))</f>
        <v>0.30570000000000003</v>
      </c>
      <c r="O126" s="9">
        <f>IF($H126&lt;&gt;"OK","",ROUND($G126*使い方と設定!$B$7*$AK126*INDEX(個性タイプマスタ!$Q$5:$AA$54,$AE126,7)/$AG126,4))</f>
        <v>0.16650000000000001</v>
      </c>
      <c r="P126" s="9">
        <f>IF($H126&lt;&gt;"OK","",ROUND($G126*使い方と設定!$B$7*$AK126*INDEX(個性タイプマスタ!$Q$5:$AA$54,$AE126,8)/$AG126,4))</f>
        <v>0.3609</v>
      </c>
      <c r="Q126" s="9">
        <f>IF($H126&lt;&gt;"OK","",ROUND($G126*使い方と設定!$B$7*$AK126*INDEX(個性タイプマスタ!$Q$5:$AA$54,$AE126,9)/$AG126,4))</f>
        <v>0.13739999999999999</v>
      </c>
      <c r="R126" s="9">
        <f>IF($H126&lt;&gt;"OK","",ROUND($G126*使い方と設定!$B$7*$AK126*INDEX(個性タイプマスタ!$Q$5:$AA$54,$AE126,10)/$AG126,4))</f>
        <v>0.24229999999999999</v>
      </c>
      <c r="S126" s="9">
        <f>IF($H126&lt;&gt;"OK","",ROUND($G126*使い方と設定!$B$7*$AK126*INDEX(個性タイプマスタ!$Q$5:$AA$54,$AE126,11)/$AG126,4))</f>
        <v>0.3921</v>
      </c>
      <c r="T126" s="9">
        <f>IF($H126&lt;&gt;"OK","",ROUND($G126*使い方と設定!$B$8*$AK126*$AH126*INDEX(属性耐性マスタ!$B$5:$G$10,$AF126,1),4))</f>
        <v>7.1000000000000004E-3</v>
      </c>
      <c r="U126" s="9">
        <f>IF($H126&lt;&gt;"OK","",ROUND($G126*使い方と設定!$B$8*$AK126*$AH126*INDEX(属性耐性マスタ!$B$5:$G$10,$AF126,2),4))</f>
        <v>7.1000000000000004E-3</v>
      </c>
      <c r="V126" s="9">
        <f>IF($H126&lt;&gt;"OK","",ROUND($G126*使い方と設定!$B$8*$AK126*$AH126*INDEX(属性耐性マスタ!$B$5:$G$10,$AF126,3),4))</f>
        <v>7.1000000000000004E-3</v>
      </c>
      <c r="W126" s="9">
        <f>IF($H126&lt;&gt;"OK","",ROUND($G126*使い方と設定!$B$8*$AK126*$AH126*INDEX(属性耐性マスタ!$B$5:$G$10,$AF126,4),4))</f>
        <v>7.1000000000000004E-3</v>
      </c>
      <c r="X126" s="9">
        <f>IF($H126&lt;&gt;"OK","",ROUND($G126*使い方と設定!$B$8*$AK126*$AH126*INDEX(属性耐性マスタ!$B$5:$G$10,$AF126,5),4))</f>
        <v>1.9E-2</v>
      </c>
      <c r="Y126" s="9">
        <f>IF($H126&lt;&gt;"OK","",ROUND($G126*使い方と設定!$B$8*$AK126*$AH126*INDEX(属性耐性マスタ!$B$5:$G$10,$AF126,6),4))</f>
        <v>0.14219999999999999</v>
      </c>
      <c r="Z126" s="9">
        <f>IF($H126&lt;&gt;"OK","",ROUND($G126*使い方と設定!$B$9*$AK126*$AI126,4))</f>
        <v>1.1521999999999999</v>
      </c>
      <c r="AA126" s="10">
        <v>0.25</v>
      </c>
      <c r="AB126" s="11">
        <f t="shared" si="4"/>
        <v>3.9504000000000001</v>
      </c>
      <c r="AC126" s="11">
        <f t="shared" si="5"/>
        <v>0.18959999999999999</v>
      </c>
      <c r="AD126" s="7" t="str">
        <f>IF($H126&lt;&gt;"OK","",INDEX(個性タイプマスタ!$P$5:$P$54,$AE126))</f>
        <v>低速高威力の遠距離砲台</v>
      </c>
      <c r="AE126">
        <f>IFERROR(MATCH(E126,個性タイプマスタ!$A$5:$A$54,0),0)</f>
        <v>17</v>
      </c>
      <c r="AF126">
        <f>IFERROR(MATCH(F126,属性耐性マスタ!$A$5:$A$10,0),0)</f>
        <v>6</v>
      </c>
      <c r="AG126">
        <f>IF(AE126=0,1,INDEX(個性タイプマスタ!$AB$5:$AB$54,AE126))</f>
        <v>10.436333333333334</v>
      </c>
      <c r="AH126">
        <f>IF(AE126=0,1,INDEX(個性タイプマスタ!$AC$5:$AC$54,AE126))</f>
        <v>0.9</v>
      </c>
      <c r="AI126">
        <f>IF(AE126=0,0,INDEX(個性タイプマスタ!$AD$5:$AD$54,AE126))</f>
        <v>0.875</v>
      </c>
      <c r="AJ126" s="16">
        <v>20</v>
      </c>
      <c r="AK126" s="17">
        <f>IF(OR(AJ126="",AJ126&lt;1),"",POWER(使い方と設定!$E$6,AJ126-1))</f>
        <v>2.1068491759936743</v>
      </c>
    </row>
    <row r="127" spans="1:37">
      <c r="A127" t="str">
        <f>+[2]称号!A122</f>
        <v>TITLE_121</v>
      </c>
      <c r="B127" t="str">
        <f>+[2]称号!B122</f>
        <v>蒼空の黒翼</v>
      </c>
      <c r="C127" t="s">
        <v>375</v>
      </c>
      <c r="D127" t="s">
        <v>376</v>
      </c>
      <c r="E127" s="2" t="str">
        <f>[1]モンスター計算!AM125</f>
        <v>魔法・支援</v>
      </c>
      <c r="F127" s="2" t="str">
        <f>[1]モンスター計算!C125</f>
        <v>風</v>
      </c>
      <c r="G127" s="8">
        <v>1</v>
      </c>
      <c r="H127" t="str">
        <f t="shared" si="3"/>
        <v>OK</v>
      </c>
      <c r="I127" s="9">
        <f>IF($H127&lt;&gt;"OK","",ROUND($G127*使い方と設定!$B$7*$AK127*INDEX(個性タイプマスタ!$Q$5:$AA$54,$AE127,1)/$AG127,4))</f>
        <v>0.33479999999999999</v>
      </c>
      <c r="J127" s="9">
        <f>IF($H127&lt;&gt;"OK","",ROUND($G127*使い方と設定!$B$7*$AK127*INDEX(個性タイプマスタ!$Q$5:$AA$54,$AE127,2)/$AG127,4))</f>
        <v>0.48549999999999999</v>
      </c>
      <c r="K127" s="9">
        <f>IF($H127&lt;&gt;"OK","",ROUND($G127*使い方と設定!$B$7*$AK127*INDEX(個性タイプマスタ!$Q$5:$AA$54,$AE127,3)/$AG127,4))</f>
        <v>7.6100000000000001E-2</v>
      </c>
      <c r="L127" s="9">
        <f>IF($H127&lt;&gt;"OK","",ROUND($G127*使い方と設定!$B$7*$AK127*INDEX(個性タイプマスタ!$Q$5:$AA$54,$AE127,4)/$AG127,4))</f>
        <v>0.76090000000000002</v>
      </c>
      <c r="M127" s="9">
        <f>IF($H127&lt;&gt;"OK","",ROUND($G127*使い方と設定!$B$7*$AK127*INDEX(個性タイプマスタ!$Q$5:$AA$54,$AE127,5)/$AG127,4))</f>
        <v>0.25869999999999999</v>
      </c>
      <c r="N127" s="9">
        <f>IF($H127&lt;&gt;"OK","",ROUND($G127*使い方と設定!$B$7*$AK127*INDEX(個性タイプマスタ!$Q$5:$AA$54,$AE127,6)/$AG127,4))</f>
        <v>0.31040000000000001</v>
      </c>
      <c r="O127" s="9">
        <f>IF($H127&lt;&gt;"OK","",ROUND($G127*使い方と設定!$B$7*$AK127*INDEX(個性タイプマスタ!$Q$5:$AA$54,$AE127,7)/$AG127,4))</f>
        <v>0.2009</v>
      </c>
      <c r="P127" s="9">
        <f>IF($H127&lt;&gt;"OK","",ROUND($G127*使い方と設定!$B$7*$AK127*INDEX(個性タイプマスタ!$Q$5:$AA$54,$AE127,8)/$AG127,4))</f>
        <v>0.18459999999999999</v>
      </c>
      <c r="Q127" s="9">
        <f>IF($H127&lt;&gt;"OK","",ROUND($G127*使い方と設定!$B$7*$AK127*INDEX(個性タイプマスタ!$Q$5:$AA$54,$AE127,9)/$AG127,4))</f>
        <v>0.1406</v>
      </c>
      <c r="R127" s="9">
        <f>IF($H127&lt;&gt;"OK","",ROUND($G127*使い方と設定!$B$7*$AK127*INDEX(個性タイプマスタ!$Q$5:$AA$54,$AE127,10)/$AG127,4))</f>
        <v>0.28910000000000002</v>
      </c>
      <c r="S127" s="9">
        <f>IF($H127&lt;&gt;"OK","",ROUND($G127*使い方と設定!$B$7*$AK127*INDEX(個性タイプマスタ!$Q$5:$AA$54,$AE127,11)/$AG127,4))</f>
        <v>0.245</v>
      </c>
      <c r="T127" s="9">
        <f>IF($H127&lt;&gt;"OK","",ROUND($G127*使い方と設定!$B$8*$AK127*$AH127*INDEX(属性耐性マスタ!$B$5:$G$10,$AF127,1),4))</f>
        <v>9.7999999999999997E-3</v>
      </c>
      <c r="U127" s="9">
        <f>IF($H127&lt;&gt;"OK","",ROUND($G127*使い方と設定!$B$8*$AK127*$AH127*INDEX(属性耐性マスタ!$B$5:$G$10,$AF127,2),4))</f>
        <v>9.7999999999999997E-3</v>
      </c>
      <c r="V127" s="9">
        <f>IF($H127&lt;&gt;"OK","",ROUND($G127*使い方と設定!$B$8*$AK127*$AH127*INDEX(属性耐性マスタ!$B$5:$G$10,$AF127,3),4))</f>
        <v>0.1472</v>
      </c>
      <c r="W127" s="9">
        <f>IF($H127&lt;&gt;"OK","",ROUND($G127*使い方と設定!$B$8*$AK127*$AH127*INDEX(属性耐性マスタ!$B$5:$G$10,$AF127,4),4))</f>
        <v>3.6799999999999999E-2</v>
      </c>
      <c r="X127" s="9">
        <f>IF($H127&lt;&gt;"OK","",ROUND($G127*使い方と設定!$B$8*$AK127*$AH127*INDEX(属性耐性マスタ!$B$5:$G$10,$AF127,5),4))</f>
        <v>7.4000000000000003E-3</v>
      </c>
      <c r="Y127" s="9">
        <f>IF($H127&lt;&gt;"OK","",ROUND($G127*使い方と設定!$B$8*$AK127*$AH127*INDEX(属性耐性マスタ!$B$5:$G$10,$AF127,6),4))</f>
        <v>7.4000000000000003E-3</v>
      </c>
      <c r="Z127" s="9">
        <f>IF($H127&lt;&gt;"OK","",ROUND($G127*使い方と設定!$B$9*$AK127*$AI127,4))</f>
        <v>1.0407999999999999</v>
      </c>
      <c r="AA127" s="10">
        <v>1</v>
      </c>
      <c r="AB127" s="11">
        <f t="shared" si="4"/>
        <v>3.2866</v>
      </c>
      <c r="AC127" s="11">
        <f t="shared" si="5"/>
        <v>0.21840000000000001</v>
      </c>
      <c r="AD127" s="7" t="str">
        <f>IF($H127&lt;&gt;"OK","",INDEX(個性タイプマスタ!$P$5:$P$54,$AE127))</f>
        <v>MPと魔防寄りの支援型</v>
      </c>
      <c r="AE127">
        <f>IFERROR(MATCH(E127,個性タイプマスタ!$A$5:$A$54,0),0)</f>
        <v>10</v>
      </c>
      <c r="AF127">
        <f>IFERROR(MATCH(F127,属性耐性マスタ!$A$5:$A$10,0),0)</f>
        <v>3</v>
      </c>
      <c r="AG127">
        <f>IF(AE127=0,1,INDEX(個性タイプマスタ!$AB$5:$AB$54,AE127))</f>
        <v>10.798666666666666</v>
      </c>
      <c r="AH127">
        <f>IF(AE127=0,1,INDEX(個性タイプマスタ!$AC$5:$AC$54,AE127))</f>
        <v>1.1200000000000001</v>
      </c>
      <c r="AI127">
        <f>IF(AE127=0,0,INDEX(個性タイプマスタ!$AD$5:$AD$54,AE127))</f>
        <v>0.95</v>
      </c>
      <c r="AJ127" s="16">
        <v>21</v>
      </c>
      <c r="AK127" s="17">
        <f>IF(OR(AJ127="",AJ127&lt;1),"",POWER(使い方と設定!$E$6,AJ127-1))</f>
        <v>2.1911231430334213</v>
      </c>
    </row>
    <row r="128" spans="1:37">
      <c r="A128" t="str">
        <f>+[2]称号!A123</f>
        <v>TITLE_122</v>
      </c>
      <c r="B128" t="str">
        <f>+[2]称号!B123</f>
        <v>裂風の猛禽</v>
      </c>
      <c r="C128" t="s">
        <v>377</v>
      </c>
      <c r="D128" t="s">
        <v>378</v>
      </c>
      <c r="E128" s="2" t="str">
        <f>[1]モンスター計算!AM126</f>
        <v>魔法・長射程</v>
      </c>
      <c r="F128" s="2" t="str">
        <f>[1]モンスター計算!C126</f>
        <v>風</v>
      </c>
      <c r="G128" s="8">
        <v>1.05</v>
      </c>
      <c r="H128" t="str">
        <f t="shared" si="3"/>
        <v>OK</v>
      </c>
      <c r="I128" s="9">
        <f>IF($H128&lt;&gt;"OK","",ROUND($G128*使い方と設定!$B$7*$AK128*INDEX(個性タイプマスタ!$Q$5:$AA$54,$AE128,1)/$AG128,4))</f>
        <v>0.34770000000000001</v>
      </c>
      <c r="J128" s="9">
        <f>IF($H128&lt;&gt;"OK","",ROUND($G128*使い方と設定!$B$7*$AK128*INDEX(個性タイプマスタ!$Q$5:$AA$54,$AE128,2)/$AG128,4))</f>
        <v>0.39850000000000002</v>
      </c>
      <c r="K128" s="9">
        <f>IF($H128&lt;&gt;"OK","",ROUND($G128*使い方と設定!$B$7*$AK128*INDEX(個性タイプマスタ!$Q$5:$AA$54,$AE128,3)/$AG128,4))</f>
        <v>5.0999999999999997E-2</v>
      </c>
      <c r="L128" s="9">
        <f>IF($H128&lt;&gt;"OK","",ROUND($G128*使い方と設定!$B$7*$AK128*INDEX(個性タイプマスタ!$Q$5:$AA$54,$AE128,4)/$AG128,4))</f>
        <v>0.82330000000000003</v>
      </c>
      <c r="M128" s="9">
        <f>IF($H128&lt;&gt;"OK","",ROUND($G128*使い方と設定!$B$7*$AK128*INDEX(個性タイプマスタ!$Q$5:$AA$54,$AE128,5)/$AG128,4))</f>
        <v>0.22950000000000001</v>
      </c>
      <c r="N128" s="9">
        <f>IF($H128&lt;&gt;"OK","",ROUND($G128*使い方と設定!$B$7*$AK128*INDEX(個性タイプマスタ!$Q$5:$AA$54,$AE128,6)/$AG128,4))</f>
        <v>0.25469999999999998</v>
      </c>
      <c r="O128" s="9">
        <f>IF($H128&lt;&gt;"OK","",ROUND($G128*使い方と設定!$B$7*$AK128*INDEX(個性タイプマスタ!$Q$5:$AA$54,$AE128,7)/$AG128,4))</f>
        <v>0.21729999999999999</v>
      </c>
      <c r="P128" s="9">
        <f>IF($H128&lt;&gt;"OK","",ROUND($G128*使い方と設定!$B$7*$AK128*INDEX(個性タイプマスタ!$Q$5:$AA$54,$AE128,8)/$AG128,4))</f>
        <v>0.2283</v>
      </c>
      <c r="Q128" s="9">
        <f>IF($H128&lt;&gt;"OK","",ROUND($G128*使い方と設定!$B$7*$AK128*INDEX(個性タイプマスタ!$Q$5:$AA$54,$AE128,9)/$AG128,4))</f>
        <v>0.16300000000000001</v>
      </c>
      <c r="R128" s="9">
        <f>IF($H128&lt;&gt;"OK","",ROUND($G128*使い方と設定!$B$7*$AK128*INDEX(個性タイプマスタ!$Q$5:$AA$54,$AE128,10)/$AG128,4))</f>
        <v>0.29970000000000002</v>
      </c>
      <c r="S128" s="9">
        <f>IF($H128&lt;&gt;"OK","",ROUND($G128*使い方と設定!$B$7*$AK128*INDEX(個性タイプマスタ!$Q$5:$AA$54,$AE128,11)/$AG128,4))</f>
        <v>0.438</v>
      </c>
      <c r="T128" s="9">
        <f>IF($H128&lt;&gt;"OK","",ROUND($G128*使い方と設定!$B$8*$AK128*$AH128*INDEX(属性耐性マスタ!$B$5:$G$10,$AF128,1),4))</f>
        <v>8.5000000000000006E-3</v>
      </c>
      <c r="U128" s="9">
        <f>IF($H128&lt;&gt;"OK","",ROUND($G128*使い方と設定!$B$8*$AK128*$AH128*INDEX(属性耐性マスタ!$B$5:$G$10,$AF128,2),4))</f>
        <v>8.5000000000000006E-3</v>
      </c>
      <c r="V128" s="9">
        <f>IF($H128&lt;&gt;"OK","",ROUND($G128*使い方と設定!$B$8*$AK128*$AH128*INDEX(属性耐性マスタ!$B$5:$G$10,$AF128,3),4))</f>
        <v>0.127</v>
      </c>
      <c r="W128" s="9">
        <f>IF($H128&lt;&gt;"OK","",ROUND($G128*使い方と設定!$B$8*$AK128*$AH128*INDEX(属性耐性マスタ!$B$5:$G$10,$AF128,4),4))</f>
        <v>3.1699999999999999E-2</v>
      </c>
      <c r="X128" s="9">
        <f>IF($H128&lt;&gt;"OK","",ROUND($G128*使い方と設定!$B$8*$AK128*$AH128*INDEX(属性耐性マスタ!$B$5:$G$10,$AF128,5),4))</f>
        <v>6.3E-3</v>
      </c>
      <c r="Y128" s="9">
        <f>IF($H128&lt;&gt;"OK","",ROUND($G128*使い方と設定!$B$8*$AK128*$AH128*INDEX(属性耐性マスタ!$B$5:$G$10,$AF128,6),4))</f>
        <v>6.3E-3</v>
      </c>
      <c r="Z128" s="9">
        <f>IF($H128&lt;&gt;"OK","",ROUND($G128*使い方と設定!$B$9*$AK128*$AI128,4))</f>
        <v>1.1215999999999999</v>
      </c>
      <c r="AA128" s="10">
        <v>1</v>
      </c>
      <c r="AB128" s="11">
        <f t="shared" si="4"/>
        <v>3.4510000000000001</v>
      </c>
      <c r="AC128" s="11">
        <f t="shared" si="5"/>
        <v>0.1883</v>
      </c>
      <c r="AD128" s="7" t="str">
        <f>IF($H128&lt;&gt;"OK","",INDEX(個性タイプマスタ!$P$5:$P$54,$AE128))</f>
        <v>射程を優先した後衛</v>
      </c>
      <c r="AE128">
        <f>IFERROR(MATCH(E128,個性タイプマスタ!$A$5:$A$54,0),0)</f>
        <v>20</v>
      </c>
      <c r="AF128">
        <f>IFERROR(MATCH(F128,属性耐性マスタ!$A$5:$A$10,0),0)</f>
        <v>3</v>
      </c>
      <c r="AG128">
        <f>IF(AE128=0,1,INDEX(個性タイプマスタ!$AB$5:$AB$54,AE128))</f>
        <v>10.479833333333334</v>
      </c>
      <c r="AH128">
        <f>IF(AE128=0,1,INDEX(個性タイプマスタ!$AC$5:$AC$54,AE128))</f>
        <v>0.92</v>
      </c>
      <c r="AI128">
        <f>IF(AE128=0,0,INDEX(個性タイプマスタ!$AD$5:$AD$54,AE128))</f>
        <v>0.97499999999999998</v>
      </c>
      <c r="AJ128" s="16">
        <v>21</v>
      </c>
      <c r="AK128" s="17">
        <f>IF(OR(AJ128="",AJ128&lt;1),"",POWER(使い方と設定!$E$6,AJ128-1))</f>
        <v>2.1911231430334213</v>
      </c>
    </row>
    <row r="129" spans="1:37">
      <c r="A129" t="str">
        <f>+[2]称号!A124</f>
        <v>TITLE_123</v>
      </c>
      <c r="B129" t="str">
        <f>+[2]称号!B124</f>
        <v>骨啄む死鳥</v>
      </c>
      <c r="C129" t="s">
        <v>379</v>
      </c>
      <c r="D129" t="s">
        <v>380</v>
      </c>
      <c r="E129" s="2" t="str">
        <f>[1]モンスター計算!AM127</f>
        <v>魔法・高MP</v>
      </c>
      <c r="F129" s="2" t="str">
        <f>[1]モンスター計算!C127</f>
        <v>風</v>
      </c>
      <c r="G129" s="8">
        <v>1.1000000000000001</v>
      </c>
      <c r="H129" t="str">
        <f t="shared" si="3"/>
        <v>OK</v>
      </c>
      <c r="I129" s="9">
        <f>IF($H129&lt;&gt;"OK","",ROUND($G129*使い方と設定!$B$7*$AK129*INDEX(個性タイプマスタ!$Q$5:$AA$54,$AE129,1)/$AG129,4))</f>
        <v>0.34050000000000002</v>
      </c>
      <c r="J129" s="9">
        <f>IF($H129&lt;&gt;"OK","",ROUND($G129*使い方と設定!$B$7*$AK129*INDEX(個性タイプマスタ!$Q$5:$AA$54,$AE129,2)/$AG129,4))</f>
        <v>0.87590000000000001</v>
      </c>
      <c r="K129" s="9">
        <f>IF($H129&lt;&gt;"OK","",ROUND($G129*使い方と設定!$B$7*$AK129*INDEX(個性タイプマスタ!$Q$5:$AA$54,$AE129,3)/$AG129,4))</f>
        <v>5.2600000000000001E-2</v>
      </c>
      <c r="L129" s="9">
        <f>IF($H129&lt;&gt;"OK","",ROUND($G129*使い方と設定!$B$7*$AK129*INDEX(個性タイプマスタ!$Q$5:$AA$54,$AE129,4)/$AG129,4))</f>
        <v>0.75119999999999998</v>
      </c>
      <c r="M129" s="9">
        <f>IF($H129&lt;&gt;"OK","",ROUND($G129*使い方と設定!$B$7*$AK129*INDEX(個性タイプマスタ!$Q$5:$AA$54,$AE129,5)/$AG129,4))</f>
        <v>0.2452</v>
      </c>
      <c r="N129" s="9">
        <f>IF($H129&lt;&gt;"OK","",ROUND($G129*使い方と設定!$B$7*$AK129*INDEX(個性タイプマスタ!$Q$5:$AA$54,$AE129,6)/$AG129,4))</f>
        <v>0.3014</v>
      </c>
      <c r="O129" s="9">
        <f>IF($H129&lt;&gt;"OK","",ROUND($G129*使い方と設定!$B$7*$AK129*INDEX(個性タイプマスタ!$Q$5:$AA$54,$AE129,7)/$AG129,4))</f>
        <v>0.21490000000000001</v>
      </c>
      <c r="P129" s="9">
        <f>IF($H129&lt;&gt;"OK","",ROUND($G129*使い方と設定!$B$7*$AK129*INDEX(個性タイプマスタ!$Q$5:$AA$54,$AE129,8)/$AG129,4))</f>
        <v>0.1888</v>
      </c>
      <c r="Q129" s="9">
        <f>IF($H129&lt;&gt;"OK","",ROUND($G129*使い方と設定!$B$7*$AK129*INDEX(個性タイプマスタ!$Q$5:$AA$54,$AE129,9)/$AG129,4))</f>
        <v>0.13880000000000001</v>
      </c>
      <c r="R129" s="9">
        <f>IF($H129&lt;&gt;"OK","",ROUND($G129*使い方と設定!$B$7*$AK129*INDEX(個性タイプマスタ!$Q$5:$AA$54,$AE129,10)/$AG129,4))</f>
        <v>0.27039999999999997</v>
      </c>
      <c r="S129" s="9">
        <f>IF($H129&lt;&gt;"OK","",ROUND($G129*使い方と設定!$B$7*$AK129*INDEX(個性タイプマスタ!$Q$5:$AA$54,$AE129,11)/$AG129,4))</f>
        <v>0.2356</v>
      </c>
      <c r="T129" s="9">
        <f>IF($H129&lt;&gt;"OK","",ROUND($G129*使い方と設定!$B$8*$AK129*$AH129*INDEX(属性耐性マスタ!$B$5:$G$10,$AF129,1),4))</f>
        <v>1.04E-2</v>
      </c>
      <c r="U129" s="9">
        <f>IF($H129&lt;&gt;"OK","",ROUND($G129*使い方と設定!$B$8*$AK129*$AH129*INDEX(属性耐性マスタ!$B$5:$G$10,$AF129,2),4))</f>
        <v>1.04E-2</v>
      </c>
      <c r="V129" s="9">
        <f>IF($H129&lt;&gt;"OK","",ROUND($G129*使い方と設定!$B$8*$AK129*$AH129*INDEX(属性耐性マスタ!$B$5:$G$10,$AF129,3),4))</f>
        <v>0.15620000000000001</v>
      </c>
      <c r="W129" s="9">
        <f>IF($H129&lt;&gt;"OK","",ROUND($G129*使い方と設定!$B$8*$AK129*$AH129*INDEX(属性耐性マスタ!$B$5:$G$10,$AF129,4),4))</f>
        <v>3.9E-2</v>
      </c>
      <c r="X129" s="9">
        <f>IF($H129&lt;&gt;"OK","",ROUND($G129*使い方と設定!$B$8*$AK129*$AH129*INDEX(属性耐性マスタ!$B$5:$G$10,$AF129,5),4))</f>
        <v>7.7999999999999996E-3</v>
      </c>
      <c r="Y129" s="9">
        <f>IF($H129&lt;&gt;"OK","",ROUND($G129*使い方と設定!$B$8*$AK129*$AH129*INDEX(属性耐性マスタ!$B$5:$G$10,$AF129,6),4))</f>
        <v>7.7999999999999996E-3</v>
      </c>
      <c r="Z129" s="9">
        <f>IF($H129&lt;&gt;"OK","",ROUND($G129*使い方と設定!$B$9*$AK129*$AI129,4))</f>
        <v>1.1449</v>
      </c>
      <c r="AA129" s="10">
        <v>0.9</v>
      </c>
      <c r="AB129" s="11">
        <f t="shared" si="4"/>
        <v>3.6153</v>
      </c>
      <c r="AC129" s="11">
        <f t="shared" si="5"/>
        <v>0.2316</v>
      </c>
      <c r="AD129" s="7" t="str">
        <f>IF($H129&lt;&gt;"OK","",INDEX(個性タイプマスタ!$P$5:$P$54,$AE129))</f>
        <v>MP容量を重視する後衛</v>
      </c>
      <c r="AE129">
        <f>IFERROR(MATCH(E129,個性タイプマスタ!$A$5:$A$54,0),0)</f>
        <v>27</v>
      </c>
      <c r="AF129">
        <f>IFERROR(MATCH(F129,属性耐性マスタ!$A$5:$A$10,0),0)</f>
        <v>3</v>
      </c>
      <c r="AG129">
        <f>IF(AE129=0,1,INDEX(個性タイプマスタ!$AB$5:$AB$54,AE129))</f>
        <v>12.031333333333334</v>
      </c>
      <c r="AH129">
        <f>IF(AE129=0,1,INDEX(個性タイプマスタ!$AC$5:$AC$54,AE129))</f>
        <v>1.08</v>
      </c>
      <c r="AI129">
        <f>IF(AE129=0,0,INDEX(個性タイプマスタ!$AD$5:$AD$54,AE129))</f>
        <v>0.95</v>
      </c>
      <c r="AJ129" s="16">
        <v>21</v>
      </c>
      <c r="AK129" s="17">
        <f>IF(OR(AJ129="",AJ129&lt;1),"",POWER(使い方と設定!$E$6,AJ129-1))</f>
        <v>2.1911231430334213</v>
      </c>
    </row>
    <row r="130" spans="1:37">
      <c r="A130" t="str">
        <f>+[2]称号!A125</f>
        <v>TITLE_124</v>
      </c>
      <c r="B130" t="str">
        <f>+[2]称号!B125</f>
        <v>妖歌の翼女</v>
      </c>
      <c r="C130" t="s">
        <v>381</v>
      </c>
      <c r="D130" t="s">
        <v>382</v>
      </c>
      <c r="E130" s="2" t="str">
        <f>[1]モンスター計算!AM128</f>
        <v>近接・最終層</v>
      </c>
      <c r="F130" s="2" t="str">
        <f>[1]モンスター計算!C128</f>
        <v>風</v>
      </c>
      <c r="G130" s="8">
        <v>1.1499999999999999</v>
      </c>
      <c r="H130" t="str">
        <f t="shared" si="3"/>
        <v>OK</v>
      </c>
      <c r="I130" s="9">
        <f>IF($H130&lt;&gt;"OK","",ROUND($G130*使い方と設定!$B$7*$AK130*INDEX(個性タイプマスタ!$Q$5:$AA$54,$AE130,1)/$AG130,4))</f>
        <v>0.41299999999999998</v>
      </c>
      <c r="J130" s="9">
        <f>IF($H130&lt;&gt;"OK","",ROUND($G130*使い方と設定!$B$7*$AK130*INDEX(個性タイプマスタ!$Q$5:$AA$54,$AE130,2)/$AG130,4))</f>
        <v>0.22439999999999999</v>
      </c>
      <c r="K130" s="9">
        <f>IF($H130&lt;&gt;"OK","",ROUND($G130*使い方と設定!$B$7*$AK130*INDEX(個性タイプマスタ!$Q$5:$AA$54,$AE130,3)/$AG130,4))</f>
        <v>1.0202</v>
      </c>
      <c r="L130" s="9">
        <f>IF($H130&lt;&gt;"OK","",ROUND($G130*使い方と設定!$B$7*$AK130*INDEX(個性タイプマスタ!$Q$5:$AA$54,$AE130,4)/$AG130,4))</f>
        <v>0.10199999999999999</v>
      </c>
      <c r="M130" s="9">
        <f>IF($H130&lt;&gt;"OK","",ROUND($G130*使い方と設定!$B$7*$AK130*INDEX(個性タイプマスタ!$Q$5:$AA$54,$AE130,5)/$AG130,4))</f>
        <v>0.32950000000000002</v>
      </c>
      <c r="N130" s="9">
        <f>IF($H130&lt;&gt;"OK","",ROUND($G130*使い方と設定!$B$7*$AK130*INDEX(個性タイプマスタ!$Q$5:$AA$54,$AE130,6)/$AG130,4))</f>
        <v>0.36420000000000002</v>
      </c>
      <c r="O130" s="9">
        <f>IF($H130&lt;&gt;"OK","",ROUND($G130*使い方と設定!$B$7*$AK130*INDEX(個性タイプマスタ!$Q$5:$AA$54,$AE130,7)/$AG130,4))</f>
        <v>0.22439999999999999</v>
      </c>
      <c r="P130" s="9">
        <f>IF($H130&lt;&gt;"OK","",ROUND($G130*使い方と設定!$B$7*$AK130*INDEX(個性タイプマスタ!$Q$5:$AA$54,$AE130,8)/$AG130,4))</f>
        <v>0.26529999999999998</v>
      </c>
      <c r="Q130" s="9">
        <f>IF($H130&lt;&gt;"OK","",ROUND($G130*使い方と設定!$B$7*$AK130*INDEX(個性タイプマスタ!$Q$5:$AA$54,$AE130,9)/$AG130,4))</f>
        <v>0.17960000000000001</v>
      </c>
      <c r="R130" s="9">
        <f>IF($H130&lt;&gt;"OK","",ROUND($G130*使い方と設定!$B$7*$AK130*INDEX(個性タイプマスタ!$Q$5:$AA$54,$AE130,10)/$AG130,4))</f>
        <v>0.42849999999999999</v>
      </c>
      <c r="S130" s="9">
        <f>IF($H130&lt;&gt;"OK","",ROUND($G130*使い方と設定!$B$7*$AK130*INDEX(個性タイプマスタ!$Q$5:$AA$54,$AE130,11)/$AG130,4))</f>
        <v>0.22850000000000001</v>
      </c>
      <c r="T130" s="9">
        <f>IF($H130&lt;&gt;"OK","",ROUND($G130*使い方と設定!$B$8*$AK130*$AH130*INDEX(属性耐性マスタ!$B$5:$G$10,$AF130,1),4))</f>
        <v>1.0500000000000001E-2</v>
      </c>
      <c r="U130" s="9">
        <f>IF($H130&lt;&gt;"OK","",ROUND($G130*使い方と設定!$B$8*$AK130*$AH130*INDEX(属性耐性マスタ!$B$5:$G$10,$AF130,2),4))</f>
        <v>1.0500000000000001E-2</v>
      </c>
      <c r="V130" s="9">
        <f>IF($H130&lt;&gt;"OK","",ROUND($G130*使い方と設定!$B$8*$AK130*$AH130*INDEX(属性耐性マスタ!$B$5:$G$10,$AF130,3),4))</f>
        <v>0.15720000000000001</v>
      </c>
      <c r="W130" s="9">
        <f>IF($H130&lt;&gt;"OK","",ROUND($G130*使い方と設定!$B$8*$AK130*$AH130*INDEX(属性耐性マスタ!$B$5:$G$10,$AF130,4),4))</f>
        <v>3.9300000000000002E-2</v>
      </c>
      <c r="X130" s="9">
        <f>IF($H130&lt;&gt;"OK","",ROUND($G130*使い方と設定!$B$8*$AK130*$AH130*INDEX(属性耐性マスタ!$B$5:$G$10,$AF130,5),4))</f>
        <v>7.9000000000000008E-3</v>
      </c>
      <c r="Y130" s="9">
        <f>IF($H130&lt;&gt;"OK","",ROUND($G130*使い方と設定!$B$8*$AK130*$AH130*INDEX(属性耐性マスタ!$B$5:$G$10,$AF130,6),4))</f>
        <v>7.9000000000000008E-3</v>
      </c>
      <c r="Z130" s="9">
        <f>IF($H130&lt;&gt;"OK","",ROUND($G130*使い方と設定!$B$9*$AK130*$AI130,4))</f>
        <v>1.1758999999999999</v>
      </c>
      <c r="AA130" s="10">
        <v>0.55000000000000004</v>
      </c>
      <c r="AB130" s="11">
        <f t="shared" si="4"/>
        <v>3.7795999999999998</v>
      </c>
      <c r="AC130" s="11">
        <f t="shared" si="5"/>
        <v>0.23330000000000001</v>
      </c>
      <c r="AD130" s="7" t="str">
        <f>IF($H130&lt;&gt;"OK","",INDEX(個性タイプマスタ!$P$5:$P$54,$AE130))</f>
        <v>終盤近接の特別配分</v>
      </c>
      <c r="AE130">
        <f>IFERROR(MATCH(E130,個性タイプマスタ!$A$5:$A$54,0),0)</f>
        <v>7</v>
      </c>
      <c r="AF130">
        <f>IFERROR(MATCH(F130,属性耐性マスタ!$A$5:$A$10,0),0)</f>
        <v>3</v>
      </c>
      <c r="AG130">
        <f>IF(AE130=0,1,INDEX(個性タイプマスタ!$AB$5:$AB$54,AE130))</f>
        <v>9.2620000000000022</v>
      </c>
      <c r="AH130">
        <f>IF(AE130=0,1,INDEX(個性タイプマスタ!$AC$5:$AC$54,AE130))</f>
        <v>1.04</v>
      </c>
      <c r="AI130">
        <f>IF(AE130=0,0,INDEX(個性タイプマスタ!$AD$5:$AD$54,AE130))</f>
        <v>0.93333333333333335</v>
      </c>
      <c r="AJ130" s="16">
        <v>21</v>
      </c>
      <c r="AK130" s="17">
        <f>IF(OR(AJ130="",AJ130&lt;1),"",POWER(使い方と設定!$E$6,AJ130-1))</f>
        <v>2.1911231430334213</v>
      </c>
    </row>
    <row r="131" spans="1:37">
      <c r="A131" t="str">
        <f>+[2]称号!A126</f>
        <v>TITLE_125</v>
      </c>
      <c r="B131" t="str">
        <f>+[2]称号!B126</f>
        <v>雷嵐の王鳥</v>
      </c>
      <c r="C131" t="s">
        <v>384</v>
      </c>
      <c r="D131" t="s">
        <v>385</v>
      </c>
      <c r="E131" s="2" t="str">
        <f>[1]モンスター計算!AM129</f>
        <v>近接・連撃</v>
      </c>
      <c r="F131" s="2" t="str">
        <f>[1]モンスター計算!C129</f>
        <v>雷</v>
      </c>
      <c r="G131" s="8">
        <v>1.2</v>
      </c>
      <c r="H131" t="str">
        <f t="shared" si="3"/>
        <v>OK</v>
      </c>
      <c r="I131" s="9">
        <f>IF($H131&lt;&gt;"OK","",ROUND($G131*使い方と設定!$B$7*$AK131*INDEX(個性タイプマスタ!$Q$5:$AA$54,$AE131,1)/$AG131,4))</f>
        <v>0.36070000000000002</v>
      </c>
      <c r="J131" s="9">
        <f>IF($H131&lt;&gt;"OK","",ROUND($G131*使い方と設定!$B$7*$AK131*INDEX(個性タイプマスタ!$Q$5:$AA$54,$AE131,2)/$AG131,4))</f>
        <v>0.17369999999999999</v>
      </c>
      <c r="K131" s="9">
        <f>IF($H131&lt;&gt;"OK","",ROUND($G131*使い方と設定!$B$7*$AK131*INDEX(個性タイプマスタ!$Q$5:$AA$54,$AE131,3)/$AG131,4))</f>
        <v>1.0122</v>
      </c>
      <c r="L131" s="9">
        <f>IF($H131&lt;&gt;"OK","",ROUND($G131*使い方と設定!$B$7*$AK131*INDEX(個性タイプマスタ!$Q$5:$AA$54,$AE131,4)/$AG131,4))</f>
        <v>7.0900000000000005E-2</v>
      </c>
      <c r="M131" s="9">
        <f>IF($H131&lt;&gt;"OK","",ROUND($G131*使い方と設定!$B$7*$AK131*INDEX(個性タイプマスタ!$Q$5:$AA$54,$AE131,5)/$AG131,4))</f>
        <v>0.2581</v>
      </c>
      <c r="N131" s="9">
        <f>IF($H131&lt;&gt;"OK","",ROUND($G131*使い方と設定!$B$7*$AK131*INDEX(個性タイプマスタ!$Q$5:$AA$54,$AE131,6)/$AG131,4))</f>
        <v>0.27189999999999998</v>
      </c>
      <c r="O131" s="9">
        <f>IF($H131&lt;&gt;"OK","",ROUND($G131*使い方と設定!$B$7*$AK131*INDEX(個性タイプマスタ!$Q$5:$AA$54,$AE131,7)/$AG131,4))</f>
        <v>0.31180000000000002</v>
      </c>
      <c r="P131" s="9">
        <f>IF($H131&lt;&gt;"OK","",ROUND($G131*使い方と設定!$B$7*$AK131*INDEX(個性タイプマスタ!$Q$5:$AA$54,$AE131,8)/$AG131,4))</f>
        <v>0.25440000000000002</v>
      </c>
      <c r="Q131" s="9">
        <f>IF($H131&lt;&gt;"OK","",ROUND($G131*使い方と設定!$B$7*$AK131*INDEX(個性タイプマスタ!$Q$5:$AA$54,$AE131,9)/$AG131,4))</f>
        <v>0.2984</v>
      </c>
      <c r="R131" s="9">
        <f>IF($H131&lt;&gt;"OK","",ROUND($G131*使い方と設定!$B$7*$AK131*INDEX(個性タイプマスタ!$Q$5:$AA$54,$AE131,10)/$AG131,4))</f>
        <v>0.71660000000000001</v>
      </c>
      <c r="S131" s="9">
        <f>IF($H131&lt;&gt;"OK","",ROUND($G131*使い方と設定!$B$7*$AK131*INDEX(個性タイプマスタ!$Q$5:$AA$54,$AE131,11)/$AG131,4))</f>
        <v>0.21540000000000001</v>
      </c>
      <c r="T131" s="9">
        <f>IF($H131&lt;&gt;"OK","",ROUND($G131*使い方と設定!$B$8*$AK131*$AH131*INDEX(属性耐性マスタ!$B$5:$G$10,$AF131,1),4))</f>
        <v>7.7999999999999996E-3</v>
      </c>
      <c r="U131" s="9">
        <f>IF($H131&lt;&gt;"OK","",ROUND($G131*使い方と設定!$B$8*$AK131*$AH131*INDEX(属性耐性マスタ!$B$5:$G$10,$AF131,2),4))</f>
        <v>7.7999999999999996E-3</v>
      </c>
      <c r="V131" s="9">
        <f>IF($H131&lt;&gt;"OK","",ROUND($G131*使い方と設定!$B$8*$AK131*$AH131*INDEX(属性耐性マスタ!$B$5:$G$10,$AF131,3),4))</f>
        <v>2.92E-2</v>
      </c>
      <c r="W131" s="9">
        <f>IF($H131&lt;&gt;"OK","",ROUND($G131*使い方と設定!$B$8*$AK131*$AH131*INDEX(属性耐性マスタ!$B$5:$G$10,$AF131,4),4))</f>
        <v>0.1167</v>
      </c>
      <c r="X131" s="9">
        <f>IF($H131&lt;&gt;"OK","",ROUND($G131*使い方と設定!$B$8*$AK131*$AH131*INDEX(属性耐性マスタ!$B$5:$G$10,$AF131,5),4))</f>
        <v>5.7999999999999996E-3</v>
      </c>
      <c r="Y131" s="9">
        <f>IF($H131&lt;&gt;"OK","",ROUND($G131*使い方と設定!$B$8*$AK131*$AH131*INDEX(属性耐性マスタ!$B$5:$G$10,$AF131,6),4))</f>
        <v>5.7999999999999996E-3</v>
      </c>
      <c r="Z131" s="9">
        <f>IF($H131&lt;&gt;"OK","",ROUND($G131*使い方と設定!$B$9*$AK131*$AI131,4))</f>
        <v>1.5227999999999999</v>
      </c>
      <c r="AA131" s="10">
        <v>0.5</v>
      </c>
      <c r="AB131" s="11">
        <f t="shared" si="4"/>
        <v>3.9441000000000002</v>
      </c>
      <c r="AC131" s="11">
        <f t="shared" si="5"/>
        <v>0.1731</v>
      </c>
      <c r="AD131" s="7" t="str">
        <f>IF($H131&lt;&gt;"OK","",INDEX(個性タイプマスタ!$P$5:$P$54,$AE131))</f>
        <v>高攻速・短射程の手数型</v>
      </c>
      <c r="AE131">
        <f>IFERROR(MATCH(E131,個性タイプマスタ!$A$5:$A$54,0),0)</f>
        <v>35</v>
      </c>
      <c r="AF131">
        <f>IFERROR(MATCH(F131,属性耐性マスタ!$A$5:$A$10,0),0)</f>
        <v>4</v>
      </c>
      <c r="AG131">
        <f>IF(AE131=0,1,INDEX(個性タイプマスタ!$AB$5:$AB$54,AE131))</f>
        <v>9.7413333333333334</v>
      </c>
      <c r="AH131">
        <f>IF(AE131=0,1,INDEX(個性タイプマスタ!$AC$5:$AC$54,AE131))</f>
        <v>0.74</v>
      </c>
      <c r="AI131">
        <f>IF(AE131=0,0,INDEX(個性タイプマスタ!$AD$5:$AD$54,AE131))</f>
        <v>1.1583333333333332</v>
      </c>
      <c r="AJ131" s="16">
        <v>21</v>
      </c>
      <c r="AK131" s="17">
        <f>IF(OR(AJ131="",AJ131&lt;1),"",POWER(使い方と設定!$E$6,AJ131-1))</f>
        <v>2.1911231430334213</v>
      </c>
    </row>
    <row r="132" spans="1:37">
      <c r="A132" t="str">
        <f>+[2]称号!A127</f>
        <v>TITLE_126</v>
      </c>
      <c r="B132" t="str">
        <f>+[2]称号!B127</f>
        <v>天翔ける覇鳥</v>
      </c>
      <c r="C132" t="s">
        <v>386</v>
      </c>
      <c r="D132" t="s">
        <v>387</v>
      </c>
      <c r="E132" s="2" t="str">
        <f>[1]モンスター計算!AM130</f>
        <v>魔法・会心一撃</v>
      </c>
      <c r="F132" s="2" t="str">
        <f>[1]モンスター計算!C130</f>
        <v>光</v>
      </c>
      <c r="G132" s="8">
        <v>1.25</v>
      </c>
      <c r="H132" t="str">
        <f t="shared" si="3"/>
        <v>OK</v>
      </c>
      <c r="I132" s="9">
        <f>IF($H132&lt;&gt;"OK","",ROUND($G132*使い方と設定!$B$7*$AK132*INDEX(個性タイプマスタ!$Q$5:$AA$54,$AE132,1)/$AG132,4))</f>
        <v>0.33479999999999999</v>
      </c>
      <c r="J132" s="9">
        <f>IF($H132&lt;&gt;"OK","",ROUND($G132*使い方と設定!$B$7*$AK132*INDEX(個性タイプマスタ!$Q$5:$AA$54,$AE132,2)/$AG132,4))</f>
        <v>0.55110000000000003</v>
      </c>
      <c r="K132" s="9">
        <f>IF($H132&lt;&gt;"OK","",ROUND($G132*使い方と設定!$B$7*$AK132*INDEX(個性タイプマスタ!$Q$5:$AA$54,$AE132,3)/$AG132,4))</f>
        <v>5.57E-2</v>
      </c>
      <c r="L132" s="9">
        <f>IF($H132&lt;&gt;"OK","",ROUND($G132*使い方と設定!$B$7*$AK132*INDEX(個性タイプマスタ!$Q$5:$AA$54,$AE132,4)/$AG132,4))</f>
        <v>0.92779999999999996</v>
      </c>
      <c r="M132" s="9">
        <f>IF($H132&lt;&gt;"OK","",ROUND($G132*使い方と設定!$B$7*$AK132*INDEX(個性タイプマスタ!$Q$5:$AA$54,$AE132,5)/$AG132,4))</f>
        <v>0.2555</v>
      </c>
      <c r="N132" s="9">
        <f>IF($H132&lt;&gt;"OK","",ROUND($G132*使い方と設定!$B$7*$AK132*INDEX(個性タイプマスタ!$Q$5:$AA$54,$AE132,6)/$AG132,4))</f>
        <v>0.27439999999999998</v>
      </c>
      <c r="O132" s="9">
        <f>IF($H132&lt;&gt;"OK","",ROUND($G132*使い方と設定!$B$7*$AK132*INDEX(個性タイプマスタ!$Q$5:$AA$54,$AE132,7)/$AG132,4))</f>
        <v>0.4899</v>
      </c>
      <c r="P132" s="9">
        <f>IF($H132&lt;&gt;"OK","",ROUND($G132*使い方と設定!$B$7*$AK132*INDEX(個性タイプマスタ!$Q$5:$AA$54,$AE132,8)/$AG132,4))</f>
        <v>0.41010000000000002</v>
      </c>
      <c r="Q132" s="9">
        <f>IF($H132&lt;&gt;"OK","",ROUND($G132*使い方と設定!$B$7*$AK132*INDEX(個性タイプマスタ!$Q$5:$AA$54,$AE132,9)/$AG132,4))</f>
        <v>0.18779999999999999</v>
      </c>
      <c r="R132" s="9">
        <f>IF($H132&lt;&gt;"OK","",ROUND($G132*使い方と設定!$B$7*$AK132*INDEX(個性タイプマスタ!$Q$5:$AA$54,$AE132,10)/$AG132,4))</f>
        <v>0.25240000000000001</v>
      </c>
      <c r="S132" s="9">
        <f>IF($H132&lt;&gt;"OK","",ROUND($G132*使い方と設定!$B$7*$AK132*INDEX(個性タイプマスタ!$Q$5:$AA$54,$AE132,11)/$AG132,4))</f>
        <v>0.36890000000000001</v>
      </c>
      <c r="T132" s="9">
        <f>IF($H132&lt;&gt;"OK","",ROUND($G132*使い方と設定!$B$8*$AK132*$AH132*INDEX(属性耐性マスタ!$B$5:$G$10,$AF132,1),4))</f>
        <v>6.4000000000000003E-3</v>
      </c>
      <c r="U132" s="9">
        <f>IF($H132&lt;&gt;"OK","",ROUND($G132*使い方と設定!$B$8*$AK132*$AH132*INDEX(属性耐性マスタ!$B$5:$G$10,$AF132,2),4))</f>
        <v>6.4000000000000003E-3</v>
      </c>
      <c r="V132" s="9">
        <f>IF($H132&lt;&gt;"OK","",ROUND($G132*使い方と設定!$B$8*$AK132*$AH132*INDEX(属性耐性マスタ!$B$5:$G$10,$AF132,3),4))</f>
        <v>6.4000000000000003E-3</v>
      </c>
      <c r="W132" s="9">
        <f>IF($H132&lt;&gt;"OK","",ROUND($G132*使い方と設定!$B$8*$AK132*$AH132*INDEX(属性耐性マスタ!$B$5:$G$10,$AF132,4),4))</f>
        <v>6.4000000000000003E-3</v>
      </c>
      <c r="X132" s="9">
        <f>IF($H132&lt;&gt;"OK","",ROUND($G132*使い方と設定!$B$8*$AK132*$AH132*INDEX(属性耐性マスタ!$B$5:$G$10,$AF132,5),4))</f>
        <v>0.12820000000000001</v>
      </c>
      <c r="Y132" s="9">
        <f>IF($H132&lt;&gt;"OK","",ROUND($G132*使い方と設定!$B$8*$AK132*$AH132*INDEX(属性耐性マスタ!$B$5:$G$10,$AF132,6),4))</f>
        <v>1.7100000000000001E-2</v>
      </c>
      <c r="Z132" s="9">
        <f>IF($H132&lt;&gt;"OK","",ROUND($G132*使い方と設定!$B$9*$AK132*$AI132,4))</f>
        <v>1.3466</v>
      </c>
      <c r="AA132" s="10">
        <v>0.25</v>
      </c>
      <c r="AB132" s="11">
        <f t="shared" si="4"/>
        <v>4.1083999999999996</v>
      </c>
      <c r="AC132" s="11">
        <f t="shared" si="5"/>
        <v>0.1709</v>
      </c>
      <c r="AD132" s="7" t="str">
        <f>IF($H132&lt;&gt;"OK","",INDEX(個性タイプマスタ!$P$5:$P$54,$AE132))</f>
        <v>会心倍率が極めて高い一撃型</v>
      </c>
      <c r="AE132">
        <f>IFERROR(MATCH(E132,個性タイプマスタ!$A$5:$A$54,0),0)</f>
        <v>23</v>
      </c>
      <c r="AF132">
        <f>IFERROR(MATCH(F132,属性耐性マスタ!$A$5:$A$10,0),0)</f>
        <v>5</v>
      </c>
      <c r="AG132">
        <f>IF(AE132=0,1,INDEX(個性タイプマスタ!$AB$5:$AB$54,AE132))</f>
        <v>11.07</v>
      </c>
      <c r="AH132">
        <f>IF(AE132=0,1,INDEX(個性タイプマスタ!$AC$5:$AC$54,AE132))</f>
        <v>0.78</v>
      </c>
      <c r="AI132">
        <f>IF(AE132=0,0,INDEX(個性タイプマスタ!$AD$5:$AD$54,AE132))</f>
        <v>0.98333333333333328</v>
      </c>
      <c r="AJ132" s="16">
        <v>21</v>
      </c>
      <c r="AK132" s="17">
        <f>IF(OR(AJ132="",AJ132&lt;1),"",POWER(使い方と設定!$E$6,AJ132-1))</f>
        <v>2.1911231430334213</v>
      </c>
    </row>
    <row r="133" spans="1:37">
      <c r="A133" t="str">
        <f>+[2]称号!A128</f>
        <v>TITLE_127</v>
      </c>
      <c r="B133" t="str">
        <f>+[2]称号!B128</f>
        <v>魔覇の鬼神</v>
      </c>
      <c r="C133" t="s">
        <v>388</v>
      </c>
      <c r="D133" t="s">
        <v>389</v>
      </c>
      <c r="E133" s="2" t="str">
        <f>[1]モンスター計算!AM131</f>
        <v>魔法・重装砲</v>
      </c>
      <c r="F133" s="2" t="str">
        <f>[1]モンスター計算!C131</f>
        <v>闇</v>
      </c>
      <c r="G133" s="8">
        <v>1</v>
      </c>
      <c r="H133" t="str">
        <f t="shared" si="3"/>
        <v>OK</v>
      </c>
      <c r="I133" s="9">
        <f>IF($H133&lt;&gt;"OK","",ROUND($G133*使い方と設定!$B$7*$AK133*INDEX(個性タイプマスタ!$Q$5:$AA$54,$AE133,1)/$AG133,4))</f>
        <v>0.56040000000000001</v>
      </c>
      <c r="J133" s="9">
        <f>IF($H133&lt;&gt;"OK","",ROUND($G133*使い方と設定!$B$7*$AK133*INDEX(個性タイプマスタ!$Q$5:$AA$54,$AE133,2)/$AG133,4))</f>
        <v>0.43980000000000002</v>
      </c>
      <c r="K133" s="9">
        <f>IF($H133&lt;&gt;"OK","",ROUND($G133*使い方と設定!$B$7*$AK133*INDEX(個性タイプマスタ!$Q$5:$AA$54,$AE133,3)/$AG133,4))</f>
        <v>4.8099999999999997E-2</v>
      </c>
      <c r="L133" s="9">
        <f>IF($H133&lt;&gt;"OK","",ROUND($G133*使い方と設定!$B$7*$AK133*INDEX(個性タイプマスタ!$Q$5:$AA$54,$AE133,4)/$AG133,4))</f>
        <v>0.74050000000000005</v>
      </c>
      <c r="M133" s="9">
        <f>IF($H133&lt;&gt;"OK","",ROUND($G133*使い方と設定!$B$7*$AK133*INDEX(個性タイプマスタ!$Q$5:$AA$54,$AE133,5)/$AG133,4))</f>
        <v>0.41289999999999999</v>
      </c>
      <c r="N133" s="9">
        <f>IF($H133&lt;&gt;"OK","",ROUND($G133*使い方と設定!$B$7*$AK133*INDEX(個性タイプマスタ!$Q$5:$AA$54,$AE133,6)/$AG133,4))</f>
        <v>0.39019999999999999</v>
      </c>
      <c r="O133" s="9">
        <f>IF($H133&lt;&gt;"OK","",ROUND($G133*使い方と設定!$B$7*$AK133*INDEX(個性タイプマスタ!$Q$5:$AA$54,$AE133,7)/$AG133,4))</f>
        <v>0.114</v>
      </c>
      <c r="P133" s="9">
        <f>IF($H133&lt;&gt;"OK","",ROUND($G133*使い方と設定!$B$7*$AK133*INDEX(個性タイプマスタ!$Q$5:$AA$54,$AE133,8)/$AG133,4))</f>
        <v>0.1797</v>
      </c>
      <c r="Q133" s="9">
        <f>IF($H133&lt;&gt;"OK","",ROUND($G133*使い方と設定!$B$7*$AK133*INDEX(個性タイプマスタ!$Q$5:$AA$54,$AE133,9)/$AG133,4))</f>
        <v>9.7699999999999995E-2</v>
      </c>
      <c r="R133" s="9">
        <f>IF($H133&lt;&gt;"OK","",ROUND($G133*使い方と設定!$B$7*$AK133*INDEX(個性タイプマスタ!$Q$5:$AA$54,$AE133,10)/$AG133,4))</f>
        <v>0.1777</v>
      </c>
      <c r="S133" s="9">
        <f>IF($H133&lt;&gt;"OK","",ROUND($G133*使い方と設定!$B$7*$AK133*INDEX(個性タイプマスタ!$Q$5:$AA$54,$AE133,11)/$AG133,4))</f>
        <v>0.2571</v>
      </c>
      <c r="T133" s="9">
        <f>IF($H133&lt;&gt;"OK","",ROUND($G133*使い方と設定!$B$8*$AK133*$AH133*INDEX(属性耐性マスタ!$B$5:$G$10,$AF133,1),4))</f>
        <v>1.01E-2</v>
      </c>
      <c r="U133" s="9">
        <f>IF($H133&lt;&gt;"OK","",ROUND($G133*使い方と設定!$B$8*$AK133*$AH133*INDEX(属性耐性マスタ!$B$5:$G$10,$AF133,2),4))</f>
        <v>1.01E-2</v>
      </c>
      <c r="V133" s="9">
        <f>IF($H133&lt;&gt;"OK","",ROUND($G133*使い方と設定!$B$8*$AK133*$AH133*INDEX(属性耐性マスタ!$B$5:$G$10,$AF133,3),4))</f>
        <v>1.01E-2</v>
      </c>
      <c r="W133" s="9">
        <f>IF($H133&lt;&gt;"OK","",ROUND($G133*使い方と設定!$B$8*$AK133*$AH133*INDEX(属性耐性マスタ!$B$5:$G$10,$AF133,4),4))</f>
        <v>1.01E-2</v>
      </c>
      <c r="X133" s="9">
        <f>IF($H133&lt;&gt;"OK","",ROUND($G133*使い方と設定!$B$8*$AK133*$AH133*INDEX(属性耐性マスタ!$B$5:$G$10,$AF133,5),4))</f>
        <v>2.7E-2</v>
      </c>
      <c r="Y133" s="9">
        <f>IF($H133&lt;&gt;"OK","",ROUND($G133*使い方と設定!$B$8*$AK133*$AH133*INDEX(属性耐性マスタ!$B$5:$G$10,$AF133,6),4))</f>
        <v>0.2024</v>
      </c>
      <c r="Z133" s="9">
        <f>IF($H133&lt;&gt;"OK","",ROUND($G133*使い方と設定!$B$9*$AK133*$AI133,4))</f>
        <v>0.96850000000000003</v>
      </c>
      <c r="AA133" s="10">
        <v>1</v>
      </c>
      <c r="AB133" s="11">
        <f t="shared" si="4"/>
        <v>3.4180999999999999</v>
      </c>
      <c r="AC133" s="11">
        <f t="shared" si="5"/>
        <v>0.26979999999999998</v>
      </c>
      <c r="AD133" s="7" t="str">
        <f>IF($H133&lt;&gt;"OK","",INDEX(個性タイプマスタ!$P$5:$P$54,$AE133))</f>
        <v>高耐久・射撃間隔は長い</v>
      </c>
      <c r="AE133">
        <f>IFERROR(MATCH(E133,個性タイプマスタ!$A$5:$A$54,0),0)</f>
        <v>19</v>
      </c>
      <c r="AF133">
        <f>IFERROR(MATCH(F133,属性耐性マスタ!$A$5:$A$10,0),0)</f>
        <v>6</v>
      </c>
      <c r="AG133">
        <f>IF(AE133=0,1,INDEX(個性タイプマスタ!$AB$5:$AB$54,AE133))</f>
        <v>11.540666666666668</v>
      </c>
      <c r="AH133">
        <f>IF(AE133=0,1,INDEX(個性タイプマスタ!$AC$5:$AC$54,AE133))</f>
        <v>1.48</v>
      </c>
      <c r="AI133">
        <f>IF(AE133=0,0,INDEX(個性タイプマスタ!$AD$5:$AD$54,AE133))</f>
        <v>0.85</v>
      </c>
      <c r="AJ133" s="16">
        <v>22</v>
      </c>
      <c r="AK133" s="17">
        <f>IF(OR(AJ133="",AJ133&lt;1),"",POWER(使い方と設定!$E$6,AJ133-1))</f>
        <v>2.2787680687547587</v>
      </c>
    </row>
    <row r="134" spans="1:37">
      <c r="A134" t="str">
        <f>+[2]称号!A129</f>
        <v>TITLE_128</v>
      </c>
      <c r="B134" t="str">
        <f>+[2]称号!B129</f>
        <v>機械王の咆哮</v>
      </c>
      <c r="C134" t="s">
        <v>390</v>
      </c>
      <c r="D134" t="s">
        <v>391</v>
      </c>
      <c r="E134" s="2" t="str">
        <f>[1]モンスター計算!AM132</f>
        <v>魔法・耐性特化</v>
      </c>
      <c r="F134" s="2" t="str">
        <f>[1]モンスター計算!C132</f>
        <v>雷</v>
      </c>
      <c r="G134" s="8">
        <v>1.05</v>
      </c>
      <c r="H134" t="str">
        <f t="shared" si="3"/>
        <v>OK</v>
      </c>
      <c r="I134" s="9">
        <f>IF($H134&lt;&gt;"OK","",ROUND($G134*使い方と設定!$B$7*$AK134*INDEX(個性タイプマスタ!$Q$5:$AA$54,$AE134,1)/$AG134,4))</f>
        <v>0.39479999999999998</v>
      </c>
      <c r="J134" s="9">
        <f>IF($H134&lt;&gt;"OK","",ROUND($G134*使い方と設定!$B$7*$AK134*INDEX(個性タイプマスタ!$Q$5:$AA$54,$AE134,2)/$AG134,4))</f>
        <v>0.4738</v>
      </c>
      <c r="K134" s="9">
        <f>IF($H134&lt;&gt;"OK","",ROUND($G134*使い方と設定!$B$7*$AK134*INDEX(個性タイプマスタ!$Q$5:$AA$54,$AE134,3)/$AG134,4))</f>
        <v>6.2799999999999995E-2</v>
      </c>
      <c r="L134" s="9">
        <f>IF($H134&lt;&gt;"OK","",ROUND($G134*使い方と設定!$B$7*$AK134*INDEX(個性タイプマスタ!$Q$5:$AA$54,$AE134,4)/$AG134,4))</f>
        <v>0.89729999999999999</v>
      </c>
      <c r="M134" s="9">
        <f>IF($H134&lt;&gt;"OK","",ROUND($G134*使い方と設定!$B$7*$AK134*INDEX(個性タイプマスタ!$Q$5:$AA$54,$AE134,5)/$AG134,4))</f>
        <v>0.29289999999999999</v>
      </c>
      <c r="N134" s="9">
        <f>IF($H134&lt;&gt;"OK","",ROUND($G134*使い方と設定!$B$7*$AK134*INDEX(個性タイプマスタ!$Q$5:$AA$54,$AE134,6)/$AG134,4))</f>
        <v>0.31119999999999998</v>
      </c>
      <c r="O134" s="9">
        <f>IF($H134&lt;&gt;"OK","",ROUND($G134*使い方と設定!$B$7*$AK134*INDEX(個性タイプマスタ!$Q$5:$AA$54,$AE134,7)/$AG134,4))</f>
        <v>0.1777</v>
      </c>
      <c r="P134" s="9">
        <f>IF($H134&lt;&gt;"OK","",ROUND($G134*使い方と設定!$B$7*$AK134*INDEX(個性タイプマスタ!$Q$5:$AA$54,$AE134,8)/$AG134,4))</f>
        <v>0.2177</v>
      </c>
      <c r="Q134" s="9">
        <f>IF($H134&lt;&gt;"OK","",ROUND($G134*使い方と設定!$B$7*$AK134*INDEX(個性タイプマスタ!$Q$5:$AA$54,$AE134,9)/$AG134,4))</f>
        <v>0.16189999999999999</v>
      </c>
      <c r="R134" s="9">
        <f>IF($H134&lt;&gt;"OK","",ROUND($G134*使い方と設定!$B$7*$AK134*INDEX(個性タイプマスタ!$Q$5:$AA$54,$AE134,10)/$AG134,4))</f>
        <v>0.33019999999999999</v>
      </c>
      <c r="S134" s="9">
        <f>IF($H134&lt;&gt;"OK","",ROUND($G134*使い方と設定!$B$7*$AK134*INDEX(個性タイプマスタ!$Q$5:$AA$54,$AE134,11)/$AG134,4))</f>
        <v>0.26879999999999998</v>
      </c>
      <c r="T134" s="9">
        <f>IF($H134&lt;&gt;"OK","",ROUND($G134*使い方と設定!$B$8*$AK134*$AH134*INDEX(属性耐性マスタ!$B$5:$G$10,$AF134,1),4))</f>
        <v>1.44E-2</v>
      </c>
      <c r="U134" s="9">
        <f>IF($H134&lt;&gt;"OK","",ROUND($G134*使い方と設定!$B$8*$AK134*$AH134*INDEX(属性耐性マスタ!$B$5:$G$10,$AF134,2),4))</f>
        <v>1.44E-2</v>
      </c>
      <c r="V134" s="9">
        <f>IF($H134&lt;&gt;"OK","",ROUND($G134*使い方と設定!$B$8*$AK134*$AH134*INDEX(属性耐性マスタ!$B$5:$G$10,$AF134,3),4))</f>
        <v>5.3800000000000001E-2</v>
      </c>
      <c r="W134" s="9">
        <f>IF($H134&lt;&gt;"OK","",ROUND($G134*使い方と設定!$B$8*$AK134*$AH134*INDEX(属性耐性マスタ!$B$5:$G$10,$AF134,4),4))</f>
        <v>0.21529999999999999</v>
      </c>
      <c r="X134" s="9">
        <f>IF($H134&lt;&gt;"OK","",ROUND($G134*使い方と設定!$B$8*$AK134*$AH134*INDEX(属性耐性マスタ!$B$5:$G$10,$AF134,5),4))</f>
        <v>1.0800000000000001E-2</v>
      </c>
      <c r="Y134" s="9">
        <f>IF($H134&lt;&gt;"OK","",ROUND($G134*使い方と設定!$B$8*$AK134*$AH134*INDEX(属性耐性マスタ!$B$5:$G$10,$AF134,6),4))</f>
        <v>1.0800000000000001E-2</v>
      </c>
      <c r="Z134" s="9">
        <f>IF($H134&lt;&gt;"OK","",ROUND($G134*使い方と設定!$B$9*$AK134*$AI134,4))</f>
        <v>1.1266</v>
      </c>
      <c r="AA134" s="10">
        <v>1</v>
      </c>
      <c r="AB134" s="11">
        <f t="shared" si="4"/>
        <v>3.5891000000000002</v>
      </c>
      <c r="AC134" s="11">
        <f t="shared" si="5"/>
        <v>0.31950000000000001</v>
      </c>
      <c r="AD134" s="7" t="str">
        <f>IF($H134&lt;&gt;"OK","",INDEX(個性タイプマスタ!$P$5:$P$54,$AE134))</f>
        <v>属性耐性重視・他能力は平均</v>
      </c>
      <c r="AE134">
        <f>IFERROR(MATCH(E134,個性タイプマスタ!$A$5:$A$54,0),0)</f>
        <v>26</v>
      </c>
      <c r="AF134">
        <f>IFERROR(MATCH(F134,属性耐性マスタ!$A$5:$A$10,0),0)</f>
        <v>4</v>
      </c>
      <c r="AG134">
        <f>IF(AE134=0,1,INDEX(個性タイプマスタ!$AB$5:$AB$54,AE134))</f>
        <v>9.9996666666666663</v>
      </c>
      <c r="AH134">
        <f>IF(AE134=0,1,INDEX(個性タイプマスタ!$AC$5:$AC$54,AE134))</f>
        <v>1.5</v>
      </c>
      <c r="AI134">
        <f>IF(AE134=0,0,INDEX(個性タイプマスタ!$AD$5:$AD$54,AE134))</f>
        <v>0.94166666666666665</v>
      </c>
      <c r="AJ134" s="16">
        <v>22</v>
      </c>
      <c r="AK134" s="17">
        <f>IF(OR(AJ134="",AJ134&lt;1),"",POWER(使い方と設定!$E$6,AJ134-1))</f>
        <v>2.2787680687547587</v>
      </c>
    </row>
    <row r="135" spans="1:37">
      <c r="A135" t="str">
        <f>+[2]称号!A130</f>
        <v>TITLE_129</v>
      </c>
      <c r="B135" t="str">
        <f>+[2]称号!B130</f>
        <v>黒鋼の破壊者</v>
      </c>
      <c r="C135" t="s">
        <v>392</v>
      </c>
      <c r="D135" t="s">
        <v>393</v>
      </c>
      <c r="E135" s="2" t="str">
        <f>[1]モンスター計算!AM133</f>
        <v>魔法・均衡</v>
      </c>
      <c r="F135" s="2" t="str">
        <f>[1]モンスター計算!C133</f>
        <v>闇</v>
      </c>
      <c r="G135" s="8">
        <v>1.1000000000000001</v>
      </c>
      <c r="H135" t="str">
        <f t="shared" ref="H135:H198" si="6">IF(OR(E135="",F135=""),"未入力",IF(IFERROR(AND(ISNUMBER(AJ135),AJ135&gt;=1,AJ135=INT(AJ135)),FALSE),IF(AE135=0,"タイプ未登録",IF(AF135=0,"属性未登録","OK")),"ステージ未設定"))</f>
        <v>OK</v>
      </c>
      <c r="I135" s="9">
        <f>IF($H135&lt;&gt;"OK","",ROUND($G135*使い方と設定!$B$7*$AK135*INDEX(個性タイプマスタ!$Q$5:$AA$54,$AE135,1)/$AG135,4))</f>
        <v>0.38229999999999997</v>
      </c>
      <c r="J135" s="9">
        <f>IF($H135&lt;&gt;"OK","",ROUND($G135*使い方と設定!$B$7*$AK135*INDEX(個性タイプマスタ!$Q$5:$AA$54,$AE135,2)/$AG135,4))</f>
        <v>0.41560000000000002</v>
      </c>
      <c r="K135" s="9">
        <f>IF($H135&lt;&gt;"OK","",ROUND($G135*使い方と設定!$B$7*$AK135*INDEX(個性タイプマスタ!$Q$5:$AA$54,$AE135,3)/$AG135,4))</f>
        <v>9.4500000000000001E-2</v>
      </c>
      <c r="L135" s="9">
        <f>IF($H135&lt;&gt;"OK","",ROUND($G135*使い方と設定!$B$7*$AK135*INDEX(個性タイプマスタ!$Q$5:$AA$54,$AE135,4)/$AG135,4))</f>
        <v>0.94450000000000001</v>
      </c>
      <c r="M135" s="9">
        <f>IF($H135&lt;&gt;"OK","",ROUND($G135*使い方と設定!$B$7*$AK135*INDEX(個性タイプマスタ!$Q$5:$AA$54,$AE135,5)/$AG135,4))</f>
        <v>0.30509999999999998</v>
      </c>
      <c r="N135" s="9">
        <f>IF($H135&lt;&gt;"OK","",ROUND($G135*使い方と設定!$B$7*$AK135*INDEX(個性タイプマスタ!$Q$5:$AA$54,$AE135,6)/$AG135,4))</f>
        <v>0.3372</v>
      </c>
      <c r="O135" s="9">
        <f>IF($H135&lt;&gt;"OK","",ROUND($G135*使い方と設定!$B$7*$AK135*INDEX(個性タイプマスタ!$Q$5:$AA$54,$AE135,7)/$AG135,4))</f>
        <v>0.20780000000000001</v>
      </c>
      <c r="P135" s="9">
        <f>IF($H135&lt;&gt;"OK","",ROUND($G135*使い方と設定!$B$7*$AK135*INDEX(個性タイプマスタ!$Q$5:$AA$54,$AE135,8)/$AG135,4))</f>
        <v>0.24560000000000001</v>
      </c>
      <c r="Q135" s="9">
        <f>IF($H135&lt;&gt;"OK","",ROUND($G135*使い方と設定!$B$7*$AK135*INDEX(個性タイプマスタ!$Q$5:$AA$54,$AE135,9)/$AG135,4))</f>
        <v>0.16619999999999999</v>
      </c>
      <c r="R135" s="9">
        <f>IF($H135&lt;&gt;"OK","",ROUND($G135*使い方と設定!$B$7*$AK135*INDEX(個性タイプマスタ!$Q$5:$AA$54,$AE135,10)/$AG135,4))</f>
        <v>0.3967</v>
      </c>
      <c r="S135" s="9">
        <f>IF($H135&lt;&gt;"OK","",ROUND($G135*使い方と設定!$B$7*$AK135*INDEX(個性タイプマスタ!$Q$5:$AA$54,$AE135,11)/$AG135,4))</f>
        <v>0.26450000000000001</v>
      </c>
      <c r="T135" s="9">
        <f>IF($H135&lt;&gt;"OK","",ROUND($G135*使い方と設定!$B$8*$AK135*$AH135*INDEX(属性耐性マスタ!$B$5:$G$10,$AF135,1),4))</f>
        <v>7.4999999999999997E-3</v>
      </c>
      <c r="U135" s="9">
        <f>IF($H135&lt;&gt;"OK","",ROUND($G135*使い方と設定!$B$8*$AK135*$AH135*INDEX(属性耐性マスタ!$B$5:$G$10,$AF135,2),4))</f>
        <v>7.4999999999999997E-3</v>
      </c>
      <c r="V135" s="9">
        <f>IF($H135&lt;&gt;"OK","",ROUND($G135*使い方と設定!$B$8*$AK135*$AH135*INDEX(属性耐性マスタ!$B$5:$G$10,$AF135,3),4))</f>
        <v>7.4999999999999997E-3</v>
      </c>
      <c r="W135" s="9">
        <f>IF($H135&lt;&gt;"OK","",ROUND($G135*使い方と設定!$B$8*$AK135*$AH135*INDEX(属性耐性マスタ!$B$5:$G$10,$AF135,4),4))</f>
        <v>7.4999999999999997E-3</v>
      </c>
      <c r="X135" s="9">
        <f>IF($H135&lt;&gt;"OK","",ROUND($G135*使い方と設定!$B$8*$AK135*$AH135*INDEX(属性耐性マスタ!$B$5:$G$10,$AF135,5),4))</f>
        <v>2.01E-2</v>
      </c>
      <c r="Y135" s="9">
        <f>IF($H135&lt;&gt;"OK","",ROUND($G135*使い方と設定!$B$8*$AK135*$AH135*INDEX(属性耐性マスタ!$B$5:$G$10,$AF135,6),4))</f>
        <v>0.15040000000000001</v>
      </c>
      <c r="Z135" s="9">
        <f>IF($H135&lt;&gt;"OK","",ROUND($G135*使い方と設定!$B$9*$AK135*$AI135,4))</f>
        <v>1.1698</v>
      </c>
      <c r="AA135" s="10">
        <v>0.9</v>
      </c>
      <c r="AB135" s="11">
        <f t="shared" ref="AB135:AB198" si="7">IF($H135&lt;&gt;"OK","",ROUND(SUM(I135:S135),4))</f>
        <v>3.76</v>
      </c>
      <c r="AC135" s="11">
        <f t="shared" ref="AC135:AC198" si="8">IF($H135&lt;&gt;"OK","",ROUND(SUM(T135:Y135),4))</f>
        <v>0.20050000000000001</v>
      </c>
      <c r="AD135" s="7" t="str">
        <f>IF($H135&lt;&gt;"OK","",INDEX(個性タイプマスタ!$P$5:$P$54,$AE135))</f>
        <v>標準的な魔法型</v>
      </c>
      <c r="AE135">
        <f>IFERROR(MATCH(E135,個性タイプマスタ!$A$5:$A$54,0),0)</f>
        <v>2</v>
      </c>
      <c r="AF135">
        <f>IFERROR(MATCH(F135,属性耐性マスタ!$A$5:$A$10,0),0)</f>
        <v>6</v>
      </c>
      <c r="AG135">
        <f>IF(AE135=0,1,INDEX(個性タイプマスタ!$AB$5:$AB$54,AE135))</f>
        <v>9.952</v>
      </c>
      <c r="AH135">
        <f>IF(AE135=0,1,INDEX(個性タイプマスタ!$AC$5:$AC$54,AE135))</f>
        <v>1</v>
      </c>
      <c r="AI135">
        <f>IF(AE135=0,0,INDEX(個性タイプマスタ!$AD$5:$AD$54,AE135))</f>
        <v>0.93333333333333335</v>
      </c>
      <c r="AJ135" s="16">
        <v>22</v>
      </c>
      <c r="AK135" s="17">
        <f>IF(OR(AJ135="",AJ135&lt;1),"",POWER(使い方と設定!$E$6,AJ135-1))</f>
        <v>2.2787680687547587</v>
      </c>
    </row>
    <row r="136" spans="1:37">
      <c r="A136" t="str">
        <f>+[2]称号!A131</f>
        <v>TITLE_130</v>
      </c>
      <c r="B136" t="str">
        <f>+[2]称号!B131</f>
        <v>灼熱岩の王</v>
      </c>
      <c r="C136" t="s">
        <v>394</v>
      </c>
      <c r="D136" t="s">
        <v>395</v>
      </c>
      <c r="E136" s="2" t="str">
        <f>[1]モンスター計算!AM134</f>
        <v>近接・刺突</v>
      </c>
      <c r="F136" s="2" t="str">
        <f>[1]モンスター計算!C134</f>
        <v>火</v>
      </c>
      <c r="G136" s="8">
        <v>1.1499999999999999</v>
      </c>
      <c r="H136" t="str">
        <f t="shared" si="6"/>
        <v>OK</v>
      </c>
      <c r="I136" s="9">
        <f>IF($H136&lt;&gt;"OK","",ROUND($G136*使い方と設定!$B$7*$AK136*INDEX(個性タイプマスタ!$Q$5:$AA$54,$AE136,1)/$AG136,4))</f>
        <v>0.33429999999999999</v>
      </c>
      <c r="J136" s="9">
        <f>IF($H136&lt;&gt;"OK","",ROUND($G136*使い方と設定!$B$7*$AK136*INDEX(個性タイプマスタ!$Q$5:$AA$54,$AE136,2)/$AG136,4))</f>
        <v>0.15670000000000001</v>
      </c>
      <c r="K136" s="9">
        <f>IF($H136&lt;&gt;"OK","",ROUND($G136*使い方と設定!$B$7*$AK136*INDEX(個性タイプマスタ!$Q$5:$AA$54,$AE136,3)/$AG136,4))</f>
        <v>0.94979999999999998</v>
      </c>
      <c r="L136" s="9">
        <f>IF($H136&lt;&gt;"OK","",ROUND($G136*使い方と設定!$B$7*$AK136*INDEX(個性タイプマスタ!$Q$5:$AA$54,$AE136,4)/$AG136,4))</f>
        <v>7.22E-2</v>
      </c>
      <c r="M136" s="9">
        <f>IF($H136&lt;&gt;"OK","",ROUND($G136*使い方と設定!$B$7*$AK136*INDEX(個性タイプマスタ!$Q$5:$AA$54,$AE136,5)/$AG136,4))</f>
        <v>0.26479999999999998</v>
      </c>
      <c r="N136" s="9">
        <f>IF($H136&lt;&gt;"OK","",ROUND($G136*使い方と設定!$B$7*$AK136*INDEX(個性タイプマスタ!$Q$5:$AA$54,$AE136,6)/$AG136,4))</f>
        <v>0.24540000000000001</v>
      </c>
      <c r="O136" s="9">
        <f>IF($H136&lt;&gt;"OK","",ROUND($G136*使い方と設定!$B$7*$AK136*INDEX(個性タイプマスタ!$Q$5:$AA$54,$AE136,7)/$AG136,4))</f>
        <v>0.54330000000000001</v>
      </c>
      <c r="P136" s="9">
        <f>IF($H136&lt;&gt;"OK","",ROUND($G136*使い方と設定!$B$7*$AK136*INDEX(個性タイプマスタ!$Q$5:$AA$54,$AE136,8)/$AG136,4))</f>
        <v>0.27989999999999998</v>
      </c>
      <c r="Q136" s="9">
        <f>IF($H136&lt;&gt;"OK","",ROUND($G136*使い方と設定!$B$7*$AK136*INDEX(個性タイプマスタ!$Q$5:$AA$54,$AE136,9)/$AG136,4))</f>
        <v>0.25080000000000002</v>
      </c>
      <c r="R136" s="9">
        <f>IF($H136&lt;&gt;"OK","",ROUND($G136*使い方と設定!$B$7*$AK136*INDEX(個性タイプマスタ!$Q$5:$AA$54,$AE136,10)/$AG136,4))</f>
        <v>0.4027</v>
      </c>
      <c r="S136" s="9">
        <f>IF($H136&lt;&gt;"OK","",ROUND($G136*使い方と設定!$B$7*$AK136*INDEX(個性タイプマスタ!$Q$5:$AA$54,$AE136,11)/$AG136,4))</f>
        <v>0.43080000000000002</v>
      </c>
      <c r="T136" s="9">
        <f>IF($H136&lt;&gt;"OK","",ROUND($G136*使い方と設定!$B$8*$AK136*$AH136*INDEX(属性耐性マスタ!$B$5:$G$10,$AF136,1),4))</f>
        <v>0.12889999999999999</v>
      </c>
      <c r="U136" s="9">
        <f>IF($H136&lt;&gt;"OK","",ROUND($G136*使い方と設定!$B$8*$AK136*$AH136*INDEX(属性耐性マスタ!$B$5:$G$10,$AF136,2),4))</f>
        <v>2.58E-2</v>
      </c>
      <c r="V136" s="9">
        <f>IF($H136&lt;&gt;"OK","",ROUND($G136*使い方と設定!$B$8*$AK136*$AH136*INDEX(属性耐性マスタ!$B$5:$G$10,$AF136,3),4))</f>
        <v>8.6E-3</v>
      </c>
      <c r="W136" s="9">
        <f>IF($H136&lt;&gt;"OK","",ROUND($G136*使い方と設定!$B$8*$AK136*$AH136*INDEX(属性耐性マスタ!$B$5:$G$10,$AF136,4),4))</f>
        <v>8.6E-3</v>
      </c>
      <c r="X136" s="9">
        <f>IF($H136&lt;&gt;"OK","",ROUND($G136*使い方と設定!$B$8*$AK136*$AH136*INDEX(属性耐性マスタ!$B$5:$G$10,$AF136,5),4))</f>
        <v>6.4000000000000003E-3</v>
      </c>
      <c r="Y136" s="9">
        <f>IF($H136&lt;&gt;"OK","",ROUND($G136*使い方と設定!$B$8*$AK136*$AH136*INDEX(属性耐性マスタ!$B$5:$G$10,$AF136,6),4))</f>
        <v>6.4000000000000003E-3</v>
      </c>
      <c r="Z136" s="9">
        <f>IF($H136&lt;&gt;"OK","",ROUND($G136*使い方と設定!$B$9*$AK136*$AI136,4))</f>
        <v>1.4413</v>
      </c>
      <c r="AA136" s="10">
        <v>0.55000000000000004</v>
      </c>
      <c r="AB136" s="11">
        <f t="shared" si="7"/>
        <v>3.9306999999999999</v>
      </c>
      <c r="AC136" s="11">
        <f t="shared" si="8"/>
        <v>0.1847</v>
      </c>
      <c r="AD136" s="7" t="str">
        <f>IF($H136&lt;&gt;"OK","",INDEX(個性タイプマスタ!$P$5:$P$54,$AE136))</f>
        <v>近接としては長めの射程</v>
      </c>
      <c r="AE136">
        <f>IFERROR(MATCH(E136,個性タイプマスタ!$A$5:$A$54,0),0)</f>
        <v>34</v>
      </c>
      <c r="AF136">
        <f>IFERROR(MATCH(F136,属性耐性マスタ!$A$5:$A$10,0),0)</f>
        <v>1</v>
      </c>
      <c r="AG136">
        <f>IF(AE136=0,1,INDEX(個性タイプマスタ!$AB$5:$AB$54,AE136))</f>
        <v>10.346166666666667</v>
      </c>
      <c r="AH136">
        <f>IF(AE136=0,1,INDEX(個性タイプマスタ!$AC$5:$AC$54,AE136))</f>
        <v>0.82000000000000006</v>
      </c>
      <c r="AI136">
        <f>IF(AE136=0,0,INDEX(個性タイプマスタ!$AD$5:$AD$54,AE136))</f>
        <v>1.1000000000000001</v>
      </c>
      <c r="AJ136" s="16">
        <v>22</v>
      </c>
      <c r="AK136" s="17">
        <f>IF(OR(AJ136="",AJ136&lt;1),"",POWER(使い方と設定!$E$6,AJ136-1))</f>
        <v>2.2787680687547587</v>
      </c>
    </row>
    <row r="137" spans="1:37">
      <c r="A137" t="str">
        <f>+[2]称号!A132</f>
        <v>TITLE_131</v>
      </c>
      <c r="B137" t="str">
        <f>+[2]称号!B132</f>
        <v>貪欲なる溶岩王</v>
      </c>
      <c r="C137" t="s">
        <v>397</v>
      </c>
      <c r="D137" t="s">
        <v>398</v>
      </c>
      <c r="E137" s="2" t="str">
        <f>[1]モンスター計算!AM135</f>
        <v>近接・短剣</v>
      </c>
      <c r="F137" s="2" t="str">
        <f>[1]モンスター計算!C135</f>
        <v>火</v>
      </c>
      <c r="G137" s="8">
        <v>1.2</v>
      </c>
      <c r="H137" t="str">
        <f t="shared" si="6"/>
        <v>OK</v>
      </c>
      <c r="I137" s="9">
        <f>IF($H137&lt;&gt;"OK","",ROUND($G137*使い方と設定!$B$7*$AK137*INDEX(個性タイプマスタ!$Q$5:$AA$54,$AE137,1)/$AG137,4))</f>
        <v>0.27460000000000001</v>
      </c>
      <c r="J137" s="9">
        <f>IF($H137&lt;&gt;"OK","",ROUND($G137*使い方と設定!$B$7*$AK137*INDEX(個性タイプマスタ!$Q$5:$AA$54,$AE137,2)/$AG137,4))</f>
        <v>0.12479999999999999</v>
      </c>
      <c r="K137" s="9">
        <f>IF($H137&lt;&gt;"OK","",ROUND($G137*使い方と設定!$B$7*$AK137*INDEX(個性タイプマスタ!$Q$5:$AA$54,$AE137,3)/$AG137,4))</f>
        <v>0.9456</v>
      </c>
      <c r="L137" s="9">
        <f>IF($H137&lt;&gt;"OK","",ROUND($G137*使い方と設定!$B$7*$AK137*INDEX(個性タイプマスタ!$Q$5:$AA$54,$AE137,4)/$AG137,4))</f>
        <v>5.1999999999999998E-2</v>
      </c>
      <c r="M137" s="9">
        <f>IF($H137&lt;&gt;"OK","",ROUND($G137*使い方と設定!$B$7*$AK137*INDEX(個性タイプマスタ!$Q$5:$AA$54,$AE137,5)/$AG137,4))</f>
        <v>0.22509999999999999</v>
      </c>
      <c r="N137" s="9">
        <f>IF($H137&lt;&gt;"OK","",ROUND($G137*使い方と設定!$B$7*$AK137*INDEX(個性タイプマスタ!$Q$5:$AA$54,$AE137,6)/$AG137,4))</f>
        <v>0.2283</v>
      </c>
      <c r="O137" s="9">
        <f>IF($H137&lt;&gt;"OK","",ROUND($G137*使い方と設定!$B$7*$AK137*INDEX(個性タイプマスタ!$Q$5:$AA$54,$AE137,7)/$AG137,4))</f>
        <v>0.87370000000000003</v>
      </c>
      <c r="P137" s="9">
        <f>IF($H137&lt;&gt;"OK","",ROUND($G137*使い方と設定!$B$7*$AK137*INDEX(個性タイプマスタ!$Q$5:$AA$54,$AE137,8)/$AG137,4))</f>
        <v>0.2918</v>
      </c>
      <c r="Q137" s="9">
        <f>IF($H137&lt;&gt;"OK","",ROUND($G137*使い方と設定!$B$7*$AK137*INDEX(個性タイプマスタ!$Q$5:$AA$54,$AE137,9)/$AG137,4))</f>
        <v>0.33700000000000002</v>
      </c>
      <c r="R137" s="9">
        <f>IF($H137&lt;&gt;"OK","",ROUND($G137*使い方と設定!$B$7*$AK137*INDEX(個性タイプマスタ!$Q$5:$AA$54,$AE137,10)/$AG137,4))</f>
        <v>0.59009999999999996</v>
      </c>
      <c r="S137" s="9">
        <f>IF($H137&lt;&gt;"OK","",ROUND($G137*使い方と設定!$B$7*$AK137*INDEX(個性タイプマスタ!$Q$5:$AA$54,$AE137,11)/$AG137,4))</f>
        <v>0.15890000000000001</v>
      </c>
      <c r="T137" s="9">
        <f>IF($H137&lt;&gt;"OK","",ROUND($G137*使い方と設定!$B$8*$AK137*$AH137*INDEX(属性耐性マスタ!$B$5:$G$10,$AF137,1),4))</f>
        <v>0.1116</v>
      </c>
      <c r="U137" s="9">
        <f>IF($H137&lt;&gt;"OK","",ROUND($G137*使い方と設定!$B$8*$AK137*$AH137*INDEX(属性耐性マスタ!$B$5:$G$10,$AF137,2),4))</f>
        <v>2.23E-2</v>
      </c>
      <c r="V137" s="9">
        <f>IF($H137&lt;&gt;"OK","",ROUND($G137*使い方と設定!$B$8*$AK137*$AH137*INDEX(属性耐性マスタ!$B$5:$G$10,$AF137,3),4))</f>
        <v>7.4000000000000003E-3</v>
      </c>
      <c r="W137" s="9">
        <f>IF($H137&lt;&gt;"OK","",ROUND($G137*使い方と設定!$B$8*$AK137*$AH137*INDEX(属性耐性マスタ!$B$5:$G$10,$AF137,4),4))</f>
        <v>7.4000000000000003E-3</v>
      </c>
      <c r="X137" s="9">
        <f>IF($H137&lt;&gt;"OK","",ROUND($G137*使い方と設定!$B$8*$AK137*$AH137*INDEX(属性耐性マスタ!$B$5:$G$10,$AF137,5),4))</f>
        <v>5.5999999999999999E-3</v>
      </c>
      <c r="Y137" s="9">
        <f>IF($H137&lt;&gt;"OK","",ROUND($G137*使い方と設定!$B$8*$AK137*$AH137*INDEX(属性耐性マスタ!$B$5:$G$10,$AF137,6),4))</f>
        <v>5.5999999999999999E-3</v>
      </c>
      <c r="Z137" s="9">
        <f>IF($H137&lt;&gt;"OK","",ROUND($G137*使い方と設定!$B$9*$AK137*$AI137,4))</f>
        <v>1.7433000000000001</v>
      </c>
      <c r="AA137" s="10">
        <v>0.5</v>
      </c>
      <c r="AB137" s="11">
        <f t="shared" si="7"/>
        <v>4.1018999999999997</v>
      </c>
      <c r="AC137" s="11">
        <f t="shared" si="8"/>
        <v>0.15989999999999999</v>
      </c>
      <c r="AD137" s="7" t="str">
        <f>IF($H137&lt;&gt;"OK","",INDEX(個性タイプマスタ!$P$5:$P$54,$AE137))</f>
        <v>短射程・高機動・会心型</v>
      </c>
      <c r="AE137">
        <f>IFERROR(MATCH(E137,個性タイプマスタ!$A$5:$A$54,0),0)</f>
        <v>41</v>
      </c>
      <c r="AF137">
        <f>IFERROR(MATCH(F137,属性耐性マスタ!$A$5:$A$10,0),0)</f>
        <v>1</v>
      </c>
      <c r="AG137">
        <f>IF(AE137=0,1,INDEX(個性タイプマスタ!$AB$5:$AB$54,AE137))</f>
        <v>10.844333333333333</v>
      </c>
      <c r="AH137">
        <f>IF(AE137=0,1,INDEX(個性タイプマスタ!$AC$5:$AC$54,AE137))</f>
        <v>0.67999999999999994</v>
      </c>
      <c r="AI137">
        <f>IF(AE137=0,0,INDEX(個性タイプマスタ!$AD$5:$AD$54,AE137))</f>
        <v>1.2749999999999999</v>
      </c>
      <c r="AJ137" s="16">
        <v>22</v>
      </c>
      <c r="AK137" s="17">
        <f>IF(OR(AJ137="",AJ137&lt;1),"",POWER(使い方と設定!$E$6,AJ137-1))</f>
        <v>2.2787680687547587</v>
      </c>
    </row>
    <row r="138" spans="1:37">
      <c r="A138" t="str">
        <f>+[2]称号!A133</f>
        <v>TITLE_132</v>
      </c>
      <c r="B138" t="str">
        <f>+[2]称号!B133</f>
        <v>雷牙の覇王</v>
      </c>
      <c r="C138" t="s">
        <v>399</v>
      </c>
      <c r="D138" t="s">
        <v>400</v>
      </c>
      <c r="E138" s="2" t="str">
        <f>[1]モンスター計算!AM136</f>
        <v>魔法・疾走</v>
      </c>
      <c r="F138" s="2" t="str">
        <f>[1]モンスター計算!C136</f>
        <v>雷</v>
      </c>
      <c r="G138" s="8">
        <v>1.25</v>
      </c>
      <c r="H138" t="str">
        <f t="shared" si="6"/>
        <v>OK</v>
      </c>
      <c r="I138" s="9">
        <f>IF($H138&lt;&gt;"OK","",ROUND($G138*使い方と設定!$B$7*$AK138*INDEX(個性タイプマスタ!$Q$5:$AA$54,$AE138,1)/$AG138,4))</f>
        <v>0.35780000000000001</v>
      </c>
      <c r="J138" s="9">
        <f>IF($H138&lt;&gt;"OK","",ROUND($G138*使い方と設定!$B$7*$AK138*INDEX(個性タイプマスタ!$Q$5:$AA$54,$AE138,2)/$AG138,4))</f>
        <v>0.40760000000000002</v>
      </c>
      <c r="K138" s="9">
        <f>IF($H138&lt;&gt;"OK","",ROUND($G138*使い方と設定!$B$7*$AK138*INDEX(個性タイプマスタ!$Q$5:$AA$54,$AE138,3)/$AG138,4))</f>
        <v>5.4600000000000003E-2</v>
      </c>
      <c r="L138" s="9">
        <f>IF($H138&lt;&gt;"OK","",ROUND($G138*使い方と設定!$B$7*$AK138*INDEX(個性タイプマスタ!$Q$5:$AA$54,$AE138,4)/$AG138,4))</f>
        <v>1.0293000000000001</v>
      </c>
      <c r="M138" s="9">
        <f>IF($H138&lt;&gt;"OK","",ROUND($G138*使い方と設定!$B$7*$AK138*INDEX(個性タイプマスタ!$Q$5:$AA$54,$AE138,5)/$AG138,4))</f>
        <v>0.29749999999999999</v>
      </c>
      <c r="N138" s="9">
        <f>IF($H138&lt;&gt;"OK","",ROUND($G138*使い方と設定!$B$7*$AK138*INDEX(個性タイプマスタ!$Q$5:$AA$54,$AE138,6)/$AG138,4))</f>
        <v>0.28349999999999997</v>
      </c>
      <c r="O138" s="9">
        <f>IF($H138&lt;&gt;"OK","",ROUND($G138*使い方と設定!$B$7*$AK138*INDEX(個性タイプマスタ!$Q$5:$AA$54,$AE138,7)/$AG138,4))</f>
        <v>0.2944</v>
      </c>
      <c r="P138" s="9">
        <f>IF($H138&lt;&gt;"OK","",ROUND($G138*使い方と設定!$B$7*$AK138*INDEX(個性タイプマスタ!$Q$5:$AA$54,$AE138,8)/$AG138,4))</f>
        <v>0.25869999999999999</v>
      </c>
      <c r="Q138" s="9">
        <f>IF($H138&lt;&gt;"OK","",ROUND($G138*使い方と設定!$B$7*$AK138*INDEX(個性タイプマスタ!$Q$5:$AA$54,$AE138,9)/$AG138,4))</f>
        <v>0.36230000000000001</v>
      </c>
      <c r="R138" s="9">
        <f>IF($H138&lt;&gt;"OK","",ROUND($G138*使い方と設定!$B$7*$AK138*INDEX(個性タイプマスタ!$Q$5:$AA$54,$AE138,10)/$AG138,4))</f>
        <v>0.70809999999999995</v>
      </c>
      <c r="S138" s="9">
        <f>IF($H138&lt;&gt;"OK","",ROUND($G138*使い方と設定!$B$7*$AK138*INDEX(個性タイプマスタ!$Q$5:$AA$54,$AE138,11)/$AG138,4))</f>
        <v>0.219</v>
      </c>
      <c r="T138" s="9">
        <f>IF($H138&lt;&gt;"OK","",ROUND($G138*使い方と設定!$B$8*$AK138*$AH138*INDEX(属性耐性マスタ!$B$5:$G$10,$AF138,1),4))</f>
        <v>8.2000000000000007E-3</v>
      </c>
      <c r="U138" s="9">
        <f>IF($H138&lt;&gt;"OK","",ROUND($G138*使い方と設定!$B$8*$AK138*$AH138*INDEX(属性耐性マスタ!$B$5:$G$10,$AF138,2),4))</f>
        <v>8.2000000000000007E-3</v>
      </c>
      <c r="V138" s="9">
        <f>IF($H138&lt;&gt;"OK","",ROUND($G138*使い方と設定!$B$8*$AK138*$AH138*INDEX(属性耐性マスタ!$B$5:$G$10,$AF138,3),4))</f>
        <v>3.0800000000000001E-2</v>
      </c>
      <c r="W138" s="9">
        <f>IF($H138&lt;&gt;"OK","",ROUND($G138*使い方と設定!$B$8*$AK138*$AH138*INDEX(属性耐性マスタ!$B$5:$G$10,$AF138,4),4))</f>
        <v>0.1231</v>
      </c>
      <c r="X138" s="9">
        <f>IF($H138&lt;&gt;"OK","",ROUND($G138*使い方と設定!$B$8*$AK138*$AH138*INDEX(属性耐性マスタ!$B$5:$G$10,$AF138,5),4))</f>
        <v>6.1999999999999998E-3</v>
      </c>
      <c r="Y138" s="9">
        <f>IF($H138&lt;&gt;"OK","",ROUND($G138*使い方と設定!$B$8*$AK138*$AH138*INDEX(属性耐性マスタ!$B$5:$G$10,$AF138,6),4))</f>
        <v>6.1999999999999998E-3</v>
      </c>
      <c r="Z138" s="9">
        <f>IF($H138&lt;&gt;"OK","",ROUND($G138*使い方と設定!$B$9*$AK138*$AI138,4))</f>
        <v>1.804</v>
      </c>
      <c r="AA138" s="10">
        <v>0.25</v>
      </c>
      <c r="AB138" s="11">
        <f t="shared" si="7"/>
        <v>4.2728000000000002</v>
      </c>
      <c r="AC138" s="11">
        <f t="shared" si="8"/>
        <v>0.1827</v>
      </c>
      <c r="AD138" s="7" t="str">
        <f>IF($H138&lt;&gt;"OK","",INDEX(個性タイプマスタ!$P$5:$P$54,$AE138))</f>
        <v>移動と攻撃速度に特化</v>
      </c>
      <c r="AE138">
        <f>IFERROR(MATCH(E138,個性タイプマスタ!$A$5:$A$54,0),0)</f>
        <v>29</v>
      </c>
      <c r="AF138">
        <f>IFERROR(MATCH(F138,属性耐性マスタ!$A$5:$A$10,0),0)</f>
        <v>4</v>
      </c>
      <c r="AG138">
        <f>IF(AE138=0,1,INDEX(個性タイプマスタ!$AB$5:$AB$54,AE138))</f>
        <v>10.377833333333335</v>
      </c>
      <c r="AH138">
        <f>IF(AE138=0,1,INDEX(個性タイプマスタ!$AC$5:$AC$54,AE138))</f>
        <v>0.72</v>
      </c>
      <c r="AI138">
        <f>IF(AE138=0,0,INDEX(個性タイプマスタ!$AD$5:$AD$54,AE138))</f>
        <v>1.2666666666666666</v>
      </c>
      <c r="AJ138" s="16">
        <v>22</v>
      </c>
      <c r="AK138" s="17">
        <f>IF(OR(AJ138="",AJ138&lt;1),"",POWER(使い方と設定!$E$6,AJ138-1))</f>
        <v>2.2787680687547587</v>
      </c>
    </row>
    <row r="139" spans="1:37">
      <c r="A139" t="str">
        <f>+[2]称号!A134</f>
        <v>TITLE_133</v>
      </c>
      <c r="B139" t="str">
        <f>+[2]称号!B134</f>
        <v>漆黒の毒母</v>
      </c>
      <c r="C139" t="s">
        <v>401</v>
      </c>
      <c r="D139" t="s">
        <v>402</v>
      </c>
      <c r="E139" s="2" t="str">
        <f>[1]モンスター計算!AM137</f>
        <v>魔法・物防障壁</v>
      </c>
      <c r="F139" s="2" t="str">
        <f>[1]モンスター計算!C137</f>
        <v>闇</v>
      </c>
      <c r="G139" s="8">
        <v>1</v>
      </c>
      <c r="H139" t="str">
        <f t="shared" si="6"/>
        <v>OK</v>
      </c>
      <c r="I139" s="9">
        <f>IF($H139&lt;&gt;"OK","",ROUND($G139*使い方と設定!$B$7*$AK139*INDEX(個性タイプマスタ!$Q$5:$AA$54,$AE139,1)/$AG139,4))</f>
        <v>0.40400000000000003</v>
      </c>
      <c r="J139" s="9">
        <f>IF($H139&lt;&gt;"OK","",ROUND($G139*使い方と設定!$B$7*$AK139*INDEX(個性タイプマスタ!$Q$5:$AA$54,$AE139,2)/$AG139,4))</f>
        <v>0.4869</v>
      </c>
      <c r="K139" s="9">
        <f>IF($H139&lt;&gt;"OK","",ROUND($G139*使い方と設定!$B$7*$AK139*INDEX(個性タイプマスタ!$Q$5:$AA$54,$AE139,3)/$AG139,4))</f>
        <v>5.4100000000000002E-2</v>
      </c>
      <c r="L139" s="9">
        <f>IF($H139&lt;&gt;"OK","",ROUND($G139*使い方と設定!$B$7*$AK139*INDEX(個性タイプマスタ!$Q$5:$AA$54,$AE139,4)/$AG139,4))</f>
        <v>0.81969999999999998</v>
      </c>
      <c r="M139" s="9">
        <f>IF($H139&lt;&gt;"OK","",ROUND($G139*使い方と設定!$B$7*$AK139*INDEX(個性タイプマスタ!$Q$5:$AA$54,$AE139,5)/$AG139,4))</f>
        <v>0.54349999999999998</v>
      </c>
      <c r="N139" s="9">
        <f>IF($H139&lt;&gt;"OK","",ROUND($G139*使い方と設定!$B$7*$AK139*INDEX(個性タイプマスタ!$Q$5:$AA$54,$AE139,6)/$AG139,4))</f>
        <v>0.20069999999999999</v>
      </c>
      <c r="O139" s="9">
        <f>IF($H139&lt;&gt;"OK","",ROUND($G139*使い方と設定!$B$7*$AK139*INDEX(個性タイプマスタ!$Q$5:$AA$54,$AE139,7)/$AG139,4))</f>
        <v>0.19839999999999999</v>
      </c>
      <c r="P139" s="9">
        <f>IF($H139&lt;&gt;"OK","",ROUND($G139*使い方と設定!$B$7*$AK139*INDEX(個性タイプマスタ!$Q$5:$AA$54,$AE139,8)/$AG139,4))</f>
        <v>0.21310000000000001</v>
      </c>
      <c r="Q139" s="9">
        <f>IF($H139&lt;&gt;"OK","",ROUND($G139*使い方と設定!$B$7*$AK139*INDEX(個性タイプマスタ!$Q$5:$AA$54,$AE139,9)/$AG139,4))</f>
        <v>0.13350000000000001</v>
      </c>
      <c r="R139" s="9">
        <f>IF($H139&lt;&gt;"OK","",ROUND($G139*使い方と設定!$B$7*$AK139*INDEX(個性タイプマスタ!$Q$5:$AA$54,$AE139,10)/$AG139,4))</f>
        <v>0.2853</v>
      </c>
      <c r="S139" s="9">
        <f>IF($H139&lt;&gt;"OK","",ROUND($G139*使い方と設定!$B$7*$AK139*INDEX(個性タイプマスタ!$Q$5:$AA$54,$AE139,11)/$AG139,4))</f>
        <v>0.21579999999999999</v>
      </c>
      <c r="T139" s="9">
        <f>IF($H139&lt;&gt;"OK","",ROUND($G139*使い方と設定!$B$8*$AK139*$AH139*INDEX(属性耐性マスタ!$B$5:$G$10,$AF139,1),4))</f>
        <v>8.9999999999999993E-3</v>
      </c>
      <c r="U139" s="9">
        <f>IF($H139&lt;&gt;"OK","",ROUND($G139*使い方と設定!$B$8*$AK139*$AH139*INDEX(属性耐性マスタ!$B$5:$G$10,$AF139,2),4))</f>
        <v>8.9999999999999993E-3</v>
      </c>
      <c r="V139" s="9">
        <f>IF($H139&lt;&gt;"OK","",ROUND($G139*使い方と設定!$B$8*$AK139*$AH139*INDEX(属性耐性マスタ!$B$5:$G$10,$AF139,3),4))</f>
        <v>8.9999999999999993E-3</v>
      </c>
      <c r="W139" s="9">
        <f>IF($H139&lt;&gt;"OK","",ROUND($G139*使い方と設定!$B$8*$AK139*$AH139*INDEX(属性耐性マスタ!$B$5:$G$10,$AF139,4),4))</f>
        <v>8.9999999999999993E-3</v>
      </c>
      <c r="X139" s="9">
        <f>IF($H139&lt;&gt;"OK","",ROUND($G139*使い方と設定!$B$8*$AK139*$AH139*INDEX(属性耐性マスタ!$B$5:$G$10,$AF139,5),4))</f>
        <v>2.3900000000000001E-2</v>
      </c>
      <c r="Y139" s="9">
        <f>IF($H139&lt;&gt;"OK","",ROUND($G139*使い方と設定!$B$8*$AK139*$AH139*INDEX(属性耐性マスタ!$B$5:$G$10,$AF139,6),4))</f>
        <v>0.1792</v>
      </c>
      <c r="Z139" s="9">
        <f>IF($H139&lt;&gt;"OK","",ROUND($G139*使い方と設定!$B$9*$AK139*$AI139,4))</f>
        <v>1.0763</v>
      </c>
      <c r="AA139" s="10">
        <v>1</v>
      </c>
      <c r="AB139" s="11">
        <f t="shared" si="7"/>
        <v>3.5550000000000002</v>
      </c>
      <c r="AC139" s="11">
        <f t="shared" si="8"/>
        <v>0.23910000000000001</v>
      </c>
      <c r="AD139" s="7" t="str">
        <f>IF($H139&lt;&gt;"OK","",INDEX(個性タイプマスタ!$P$5:$P$54,$AE139))</f>
        <v>物理防御を集中的に強化</v>
      </c>
      <c r="AE139">
        <f>IFERROR(MATCH(E139,個性タイプマスタ!$A$5:$A$54,0),0)</f>
        <v>25</v>
      </c>
      <c r="AF139">
        <f>IFERROR(MATCH(F139,属性耐性マスタ!$A$5:$A$10,0),0)</f>
        <v>6</v>
      </c>
      <c r="AG139">
        <f>IF(AE139=0,1,INDEX(個性タイプマスタ!$AB$5:$AB$54,AE139))</f>
        <v>10.8415</v>
      </c>
      <c r="AH139">
        <f>IF(AE139=0,1,INDEX(個性タイプマスタ!$AC$5:$AC$54,AE139))</f>
        <v>1.26</v>
      </c>
      <c r="AI139">
        <f>IF(AE139=0,0,INDEX(個性タイプマスタ!$AD$5:$AD$54,AE139))</f>
        <v>0.90833333333333333</v>
      </c>
      <c r="AJ139" s="16">
        <v>23</v>
      </c>
      <c r="AK139" s="17">
        <f>IF(OR(AJ139="",AJ139&lt;1),"",POWER(使い方と設定!$E$6,AJ139-1))</f>
        <v>2.3699187915049489</v>
      </c>
    </row>
    <row r="140" spans="1:37">
      <c r="A140" t="str">
        <f>+[2]称号!A135</f>
        <v>TITLE_134</v>
      </c>
      <c r="B140" t="str">
        <f>+[2]称号!B135</f>
        <v>死霊王の秘宝</v>
      </c>
      <c r="C140" t="s">
        <v>403</v>
      </c>
      <c r="D140" t="s">
        <v>404</v>
      </c>
      <c r="E140" s="2" t="str">
        <f>[1]モンスター計算!AM138</f>
        <v>魔法・軽量</v>
      </c>
      <c r="F140" s="2" t="str">
        <f>[1]モンスター計算!C138</f>
        <v>闇</v>
      </c>
      <c r="G140" s="8">
        <v>1.05</v>
      </c>
      <c r="H140" t="str">
        <f t="shared" si="6"/>
        <v>OK</v>
      </c>
      <c r="I140" s="9">
        <f>IF($H140&lt;&gt;"OK","",ROUND($G140*使い方と設定!$B$7*$AK140*INDEX(個性タイプマスタ!$Q$5:$AA$54,$AE140,1)/$AG140,4))</f>
        <v>0.35239999999999999</v>
      </c>
      <c r="J140" s="9">
        <f>IF($H140&lt;&gt;"OK","",ROUND($G140*使い方と設定!$B$7*$AK140*INDEX(個性タイプマスタ!$Q$5:$AA$54,$AE140,2)/$AG140,4))</f>
        <v>0.38679999999999998</v>
      </c>
      <c r="K140" s="9">
        <f>IF($H140&lt;&gt;"OK","",ROUND($G140*使い方と設定!$B$7*$AK140*INDEX(個性タイプマスタ!$Q$5:$AA$54,$AE140,3)/$AG140,4))</f>
        <v>9.7699999999999995E-2</v>
      </c>
      <c r="L140" s="9">
        <f>IF($H140&lt;&gt;"OK","",ROUND($G140*使い方と設定!$B$7*$AK140*INDEX(個性タイプマスタ!$Q$5:$AA$54,$AE140,4)/$AG140,4))</f>
        <v>0.97670000000000001</v>
      </c>
      <c r="M140" s="9">
        <f>IF($H140&lt;&gt;"OK","",ROUND($G140*使い方と設定!$B$7*$AK140*INDEX(個性タイプマスタ!$Q$5:$AA$54,$AE140,5)/$AG140,4))</f>
        <v>0.2823</v>
      </c>
      <c r="N140" s="9">
        <f>IF($H140&lt;&gt;"OK","",ROUND($G140*使い方と設定!$B$7*$AK140*INDEX(個性タイプマスタ!$Q$5:$AA$54,$AE140,6)/$AG140,4))</f>
        <v>0.33210000000000001</v>
      </c>
      <c r="O140" s="9">
        <f>IF($H140&lt;&gt;"OK","",ROUND($G140*使い方と設定!$B$7*$AK140*INDEX(個性タイプマスタ!$Q$5:$AA$54,$AE140,7)/$AG140,4))</f>
        <v>0.21490000000000001</v>
      </c>
      <c r="P140" s="9">
        <f>IF($H140&lt;&gt;"OK","",ROUND($G140*使い方と設定!$B$7*$AK140*INDEX(個性タイプマスタ!$Q$5:$AA$54,$AE140,8)/$AG140,4))</f>
        <v>0.25390000000000001</v>
      </c>
      <c r="Q140" s="9">
        <f>IF($H140&lt;&gt;"OK","",ROUND($G140*使い方と設定!$B$7*$AK140*INDEX(個性タイプマスタ!$Q$5:$AA$54,$AE140,9)/$AG140,4))</f>
        <v>0.1719</v>
      </c>
      <c r="R140" s="9">
        <f>IF($H140&lt;&gt;"OK","",ROUND($G140*使い方と設定!$B$7*$AK140*INDEX(個性タイプマスタ!$Q$5:$AA$54,$AE140,10)/$AG140,4))</f>
        <v>0.39069999999999999</v>
      </c>
      <c r="S140" s="9">
        <f>IF($H140&lt;&gt;"OK","",ROUND($G140*使い方と設定!$B$7*$AK140*INDEX(個性タイプマスタ!$Q$5:$AA$54,$AE140,11)/$AG140,4))</f>
        <v>0.27350000000000002</v>
      </c>
      <c r="T140" s="9">
        <f>IF($H140&lt;&gt;"OK","",ROUND($G140*使い方と設定!$B$8*$AK140*$AH140*INDEX(属性耐性マスタ!$B$5:$G$10,$AF140,1),4))</f>
        <v>6.8999999999999999E-3</v>
      </c>
      <c r="U140" s="9">
        <f>IF($H140&lt;&gt;"OK","",ROUND($G140*使い方と設定!$B$8*$AK140*$AH140*INDEX(属性耐性マスタ!$B$5:$G$10,$AF140,2),4))</f>
        <v>6.8999999999999999E-3</v>
      </c>
      <c r="V140" s="9">
        <f>IF($H140&lt;&gt;"OK","",ROUND($G140*使い方と設定!$B$8*$AK140*$AH140*INDEX(属性耐性マスタ!$B$5:$G$10,$AF140,3),4))</f>
        <v>6.8999999999999999E-3</v>
      </c>
      <c r="W140" s="9">
        <f>IF($H140&lt;&gt;"OK","",ROUND($G140*使い方と設定!$B$8*$AK140*$AH140*INDEX(属性耐性マスタ!$B$5:$G$10,$AF140,4),4))</f>
        <v>6.8999999999999999E-3</v>
      </c>
      <c r="X140" s="9">
        <f>IF($H140&lt;&gt;"OK","",ROUND($G140*使い方と設定!$B$8*$AK140*$AH140*INDEX(属性耐性マスタ!$B$5:$G$10,$AF140,5),4))</f>
        <v>1.83E-2</v>
      </c>
      <c r="Y140" s="9">
        <f>IF($H140&lt;&gt;"OK","",ROUND($G140*使い方と設定!$B$8*$AK140*$AH140*INDEX(属性耐性マスタ!$B$5:$G$10,$AF140,6),4))</f>
        <v>0.13739999999999999</v>
      </c>
      <c r="Z140" s="9">
        <f>IF($H140&lt;&gt;"OK","",ROUND($G140*使い方と設定!$B$9*$AK140*$AI140,4))</f>
        <v>1.1613</v>
      </c>
      <c r="AA140" s="10">
        <v>1</v>
      </c>
      <c r="AB140" s="11">
        <f t="shared" si="7"/>
        <v>3.7328999999999999</v>
      </c>
      <c r="AC140" s="11">
        <f t="shared" si="8"/>
        <v>0.18329999999999999</v>
      </c>
      <c r="AD140" s="7" t="str">
        <f>IF($H140&lt;&gt;"OK","",INDEX(個性タイプマスタ!$P$5:$P$54,$AE140))</f>
        <v>軽快な魔法型。耐久控えめ・成長余地大</v>
      </c>
      <c r="AE140">
        <f>IFERROR(MATCH(E140,個性タイプマスタ!$A$5:$A$54,0),0)</f>
        <v>1</v>
      </c>
      <c r="AF140">
        <f>IFERROR(MATCH(F140,属性耐性マスタ!$A$5:$A$10,0),0)</f>
        <v>6</v>
      </c>
      <c r="AG140">
        <f>IF(AE140=0,1,INDEX(個性タイプマスタ!$AB$5:$AB$54,AE140))</f>
        <v>9.5545000000000009</v>
      </c>
      <c r="AH140">
        <f>IF(AE140=0,1,INDEX(個性タイプマスタ!$AC$5:$AC$54,AE140))</f>
        <v>0.92</v>
      </c>
      <c r="AI140">
        <f>IF(AE140=0,0,INDEX(個性タイプマスタ!$AD$5:$AD$54,AE140))</f>
        <v>0.93333333333333335</v>
      </c>
      <c r="AJ140" s="16">
        <v>23</v>
      </c>
      <c r="AK140" s="17">
        <f>IF(OR(AJ140="",AJ140&lt;1),"",POWER(使い方と設定!$E$6,AJ140-1))</f>
        <v>2.3699187915049489</v>
      </c>
    </row>
    <row r="141" spans="1:37">
      <c r="A141" t="str">
        <f>+[2]称号!A136</f>
        <v>TITLE_135</v>
      </c>
      <c r="B141" t="str">
        <f>+[2]称号!B136</f>
        <v>冥竜の咆哮</v>
      </c>
      <c r="C141" t="s">
        <v>405</v>
      </c>
      <c r="D141" t="s">
        <v>406</v>
      </c>
      <c r="E141" s="2" t="str">
        <f>[1]モンスター計算!AM139</f>
        <v>魔法・万能</v>
      </c>
      <c r="F141" s="2" t="str">
        <f>[1]モンスター計算!C139</f>
        <v>闇</v>
      </c>
      <c r="G141" s="8">
        <v>1.1000000000000001</v>
      </c>
      <c r="H141" t="str">
        <f t="shared" si="6"/>
        <v>OK</v>
      </c>
      <c r="I141" s="9">
        <f>IF($H141&lt;&gt;"OK","",ROUND($G141*使い方と設定!$B$7*$AK141*INDEX(個性タイプマスタ!$Q$5:$AA$54,$AE141,1)/$AG141,4))</f>
        <v>0.44409999999999999</v>
      </c>
      <c r="J141" s="9">
        <f>IF($H141&lt;&gt;"OK","",ROUND($G141*使い方と設定!$B$7*$AK141*INDEX(個性タイプマスタ!$Q$5:$AA$54,$AE141,2)/$AG141,4))</f>
        <v>0.4239</v>
      </c>
      <c r="K141" s="9">
        <f>IF($H141&lt;&gt;"OK","",ROUND($G141*使い方と設定!$B$7*$AK141*INDEX(個性タイプマスタ!$Q$5:$AA$54,$AE141,3)/$AG141,4))</f>
        <v>9.1800000000000007E-2</v>
      </c>
      <c r="L141" s="9">
        <f>IF($H141&lt;&gt;"OK","",ROUND($G141*使い方と設定!$B$7*$AK141*INDEX(個性タイプマスタ!$Q$5:$AA$54,$AE141,4)/$AG141,4))</f>
        <v>0.91749999999999998</v>
      </c>
      <c r="M141" s="9">
        <f>IF($H141&lt;&gt;"OK","",ROUND($G141*使い方と設定!$B$7*$AK141*INDEX(個性タイプマスタ!$Q$5:$AA$54,$AE141,5)/$AG141,4))</f>
        <v>0.34320000000000001</v>
      </c>
      <c r="N141" s="9">
        <f>IF($H141&lt;&gt;"OK","",ROUND($G141*使い方と設定!$B$7*$AK141*INDEX(個性タイプマスタ!$Q$5:$AA$54,$AE141,6)/$AG141,4))</f>
        <v>0.34320000000000001</v>
      </c>
      <c r="O141" s="9">
        <f>IF($H141&lt;&gt;"OK","",ROUND($G141*使い方と設定!$B$7*$AK141*INDEX(個性タイプマスタ!$Q$5:$AA$54,$AE141,7)/$AG141,4))</f>
        <v>0.28260000000000002</v>
      </c>
      <c r="P141" s="9">
        <f>IF($H141&lt;&gt;"OK","",ROUND($G141*使い方と設定!$B$7*$AK141*INDEX(個性タイプマスタ!$Q$5:$AA$54,$AE141,8)/$AG141,4))</f>
        <v>0.2465</v>
      </c>
      <c r="Q141" s="9">
        <f>IF($H141&lt;&gt;"OK","",ROUND($G141*使い方と設定!$B$7*$AK141*INDEX(個性タイプマスタ!$Q$5:$AA$54,$AE141,9)/$AG141,4))</f>
        <v>0.1938</v>
      </c>
      <c r="R141" s="9">
        <f>IF($H141&lt;&gt;"OK","",ROUND($G141*使い方と設定!$B$7*$AK141*INDEX(個性タイプマスタ!$Q$5:$AA$54,$AE141,10)/$AG141,4))</f>
        <v>0.36699999999999999</v>
      </c>
      <c r="S141" s="9">
        <f>IF($H141&lt;&gt;"OK","",ROUND($G141*使い方と設定!$B$7*$AK141*INDEX(個性タイプマスタ!$Q$5:$AA$54,$AE141,11)/$AG141,4))</f>
        <v>0.25690000000000002</v>
      </c>
      <c r="T141" s="9">
        <f>IF($H141&lt;&gt;"OK","",ROUND($G141*使い方と設定!$B$8*$AK141*$AH141*INDEX(属性耐性マスタ!$B$5:$G$10,$AF141,1),4))</f>
        <v>8.3999999999999995E-3</v>
      </c>
      <c r="U141" s="9">
        <f>IF($H141&lt;&gt;"OK","",ROUND($G141*使い方と設定!$B$8*$AK141*$AH141*INDEX(属性耐性マスタ!$B$5:$G$10,$AF141,2),4))</f>
        <v>8.3999999999999995E-3</v>
      </c>
      <c r="V141" s="9">
        <f>IF($H141&lt;&gt;"OK","",ROUND($G141*使い方と設定!$B$8*$AK141*$AH141*INDEX(属性耐性マスタ!$B$5:$G$10,$AF141,3),4))</f>
        <v>8.3999999999999995E-3</v>
      </c>
      <c r="W141" s="9">
        <f>IF($H141&lt;&gt;"OK","",ROUND($G141*使い方と設定!$B$8*$AK141*$AH141*INDEX(属性耐性マスタ!$B$5:$G$10,$AF141,4),4))</f>
        <v>8.3999999999999995E-3</v>
      </c>
      <c r="X141" s="9">
        <f>IF($H141&lt;&gt;"OK","",ROUND($G141*使い方と設定!$B$8*$AK141*$AH141*INDEX(属性耐性マスタ!$B$5:$G$10,$AF141,5),4))</f>
        <v>2.2499999999999999E-2</v>
      </c>
      <c r="Y141" s="9">
        <f>IF($H141&lt;&gt;"OK","",ROUND($G141*使い方と設定!$B$8*$AK141*$AH141*INDEX(属性耐性マスタ!$B$5:$G$10,$AF141,6),4))</f>
        <v>0.16889999999999999</v>
      </c>
      <c r="Z141" s="9">
        <f>IF($H141&lt;&gt;"OK","",ROUND($G141*使い方と設定!$B$9*$AK141*$AI141,4))</f>
        <v>1.3035000000000001</v>
      </c>
      <c r="AA141" s="10">
        <v>0.9</v>
      </c>
      <c r="AB141" s="11">
        <f t="shared" si="7"/>
        <v>3.9104999999999999</v>
      </c>
      <c r="AC141" s="11">
        <f t="shared" si="8"/>
        <v>0.22500000000000001</v>
      </c>
      <c r="AD141" s="7" t="str">
        <f>IF($H141&lt;&gt;"OK","",INDEX(個性タイプマスタ!$P$5:$P$54,$AE141))</f>
        <v>バランス重視</v>
      </c>
      <c r="AE141">
        <f>IFERROR(MATCH(E141,個性タイプマスタ!$A$5:$A$54,0),0)</f>
        <v>14</v>
      </c>
      <c r="AF141">
        <f>IFERROR(MATCH(F141,属性耐性マスタ!$A$5:$A$10,0),0)</f>
        <v>6</v>
      </c>
      <c r="AG141">
        <f>IF(AE141=0,1,INDEX(個性タイプマスタ!$AB$5:$AB$54,AE141))</f>
        <v>10.654666666666667</v>
      </c>
      <c r="AH141">
        <f>IF(AE141=0,1,INDEX(個性タイプマスタ!$AC$5:$AC$54,AE141))</f>
        <v>1.08</v>
      </c>
      <c r="AI141">
        <f>IF(AE141=0,0,INDEX(個性タイプマスタ!$AD$5:$AD$54,AE141))</f>
        <v>1</v>
      </c>
      <c r="AJ141" s="16">
        <v>23</v>
      </c>
      <c r="AK141" s="17">
        <f>IF(OR(AJ141="",AJ141&lt;1),"",POWER(使い方と設定!$E$6,AJ141-1))</f>
        <v>2.3699187915049489</v>
      </c>
    </row>
    <row r="142" spans="1:37">
      <c r="A142" t="str">
        <f>+[2]称号!A137</f>
        <v>TITLE_136</v>
      </c>
      <c r="B142" t="str">
        <f>+[2]称号!B137</f>
        <v>魔獄の大君</v>
      </c>
      <c r="C142" t="s">
        <v>407</v>
      </c>
      <c r="D142" t="s">
        <v>408</v>
      </c>
      <c r="E142" s="2" t="str">
        <f>[1]モンスター計算!AM140</f>
        <v>近接・長柄</v>
      </c>
      <c r="F142" s="2" t="str">
        <f>[1]モンスター計算!C140</f>
        <v>闇</v>
      </c>
      <c r="G142" s="8">
        <v>1.1499999999999999</v>
      </c>
      <c r="H142" t="str">
        <f t="shared" si="6"/>
        <v>OK</v>
      </c>
      <c r="I142" s="9">
        <f>IF($H142&lt;&gt;"OK","",ROUND($G142*使い方と設定!$B$7*$AK142*INDEX(個性タイプマスタ!$Q$5:$AA$54,$AE142,1)/$AG142,4))</f>
        <v>0.41670000000000001</v>
      </c>
      <c r="J142" s="9">
        <f>IF($H142&lt;&gt;"OK","",ROUND($G142*使い方と設定!$B$7*$AK142*INDEX(個性タイプマスタ!$Q$5:$AA$54,$AE142,2)/$AG142,4))</f>
        <v>0.20380000000000001</v>
      </c>
      <c r="K142" s="9">
        <f>IF($H142&lt;&gt;"OK","",ROUND($G142*使い方と設定!$B$7*$AK142*INDEX(個性タイプマスタ!$Q$5:$AA$54,$AE142,3)/$AG142,4))</f>
        <v>1.0295000000000001</v>
      </c>
      <c r="L142" s="9">
        <f>IF($H142&lt;&gt;"OK","",ROUND($G142*使い方と設定!$B$7*$AK142*INDEX(個性タイプマスタ!$Q$5:$AA$54,$AE142,4)/$AG142,4))</f>
        <v>8.2400000000000001E-2</v>
      </c>
      <c r="M142" s="9">
        <f>IF($H142&lt;&gt;"OK","",ROUND($G142*使い方と設定!$B$7*$AK142*INDEX(個性タイプマスタ!$Q$5:$AA$54,$AE142,5)/$AG142,4))</f>
        <v>0.32200000000000001</v>
      </c>
      <c r="N142" s="9">
        <f>IF($H142&lt;&gt;"OK","",ROUND($G142*使い方と設定!$B$7*$AK142*INDEX(個性タイプマスタ!$Q$5:$AA$54,$AE142,6)/$AG142,4))</f>
        <v>0.29749999999999999</v>
      </c>
      <c r="O142" s="9">
        <f>IF($H142&lt;&gt;"OK","",ROUND($G142*使い方と設定!$B$7*$AK142*INDEX(個性タイプマスタ!$Q$5:$AA$54,$AE142,7)/$AG142,4))</f>
        <v>0.31709999999999999</v>
      </c>
      <c r="P142" s="9">
        <f>IF($H142&lt;&gt;"OK","",ROUND($G142*使い方と設定!$B$7*$AK142*INDEX(個性タイプマスタ!$Q$5:$AA$54,$AE142,8)/$AG142,4))</f>
        <v>0.28549999999999998</v>
      </c>
      <c r="Q142" s="9">
        <f>IF($H142&lt;&gt;"OK","",ROUND($G142*使い方と設定!$B$7*$AK142*INDEX(個性タイプマスタ!$Q$5:$AA$54,$AE142,9)/$AG142,4))</f>
        <v>0.222</v>
      </c>
      <c r="R142" s="9">
        <f>IF($H142&lt;&gt;"OK","",ROUND($G142*使い方と設定!$B$7*$AK142*INDEX(個性タイプマスタ!$Q$5:$AA$54,$AE142,10)/$AG142,4))</f>
        <v>0.3871</v>
      </c>
      <c r="S142" s="9">
        <f>IF($H142&lt;&gt;"OK","",ROUND($G142*使い方と設定!$B$7*$AK142*INDEX(個性タイプマスタ!$Q$5:$AA$54,$AE142,11)/$AG142,4))</f>
        <v>0.52459999999999996</v>
      </c>
      <c r="T142" s="9">
        <f>IF($H142&lt;&gt;"OK","",ROUND($G142*使い方と設定!$B$8*$AK142*$AH142*INDEX(属性耐性マスタ!$B$5:$G$10,$AF142,1),4))</f>
        <v>7.0000000000000001E-3</v>
      </c>
      <c r="U142" s="9">
        <f>IF($H142&lt;&gt;"OK","",ROUND($G142*使い方と設定!$B$8*$AK142*$AH142*INDEX(属性耐性マスタ!$B$5:$G$10,$AF142,2),4))</f>
        <v>7.0000000000000001E-3</v>
      </c>
      <c r="V142" s="9">
        <f>IF($H142&lt;&gt;"OK","",ROUND($G142*使い方と設定!$B$8*$AK142*$AH142*INDEX(属性耐性マスタ!$B$5:$G$10,$AF142,3),4))</f>
        <v>7.0000000000000001E-3</v>
      </c>
      <c r="W142" s="9">
        <f>IF($H142&lt;&gt;"OK","",ROUND($G142*使い方と設定!$B$8*$AK142*$AH142*INDEX(属性耐性マスタ!$B$5:$G$10,$AF142,4),4))</f>
        <v>7.0000000000000001E-3</v>
      </c>
      <c r="X142" s="9">
        <f>IF($H142&lt;&gt;"OK","",ROUND($G142*使い方と設定!$B$8*$AK142*$AH142*INDEX(属性耐性マスタ!$B$5:$G$10,$AF142,5),4))</f>
        <v>1.8800000000000001E-2</v>
      </c>
      <c r="Y142" s="9">
        <f>IF($H142&lt;&gt;"OK","",ROUND($G142*使い方と設定!$B$8*$AK142*$AH142*INDEX(属性耐性マスタ!$B$5:$G$10,$AF142,6),4))</f>
        <v>0.1406</v>
      </c>
      <c r="Z142" s="9">
        <f>IF($H142&lt;&gt;"OK","",ROUND($G142*使い方と設定!$B$9*$AK142*$AI142,4))</f>
        <v>1.3741000000000001</v>
      </c>
      <c r="AA142" s="10">
        <v>0.55000000000000004</v>
      </c>
      <c r="AB142" s="11">
        <f t="shared" si="7"/>
        <v>4.0881999999999996</v>
      </c>
      <c r="AC142" s="11">
        <f t="shared" si="8"/>
        <v>0.18740000000000001</v>
      </c>
      <c r="AD142" s="7" t="str">
        <f>IF($H142&lt;&gt;"OK","",INDEX(個性タイプマスタ!$P$5:$P$54,$AE142))</f>
        <v>攻撃範囲の広い近接</v>
      </c>
      <c r="AE142">
        <f>IFERROR(MATCH(E142,個性タイプマスタ!$A$5:$A$54,0),0)</f>
        <v>40</v>
      </c>
      <c r="AF142">
        <f>IFERROR(MATCH(F142,属性耐性マスタ!$A$5:$A$10,0),0)</f>
        <v>6</v>
      </c>
      <c r="AG142">
        <f>IF(AE142=0,1,INDEX(個性タイプマスタ!$AB$5:$AB$54,AE142))</f>
        <v>9.9278333333333357</v>
      </c>
      <c r="AH142">
        <f>IF(AE142=0,1,INDEX(個性タイプマスタ!$AC$5:$AC$54,AE142))</f>
        <v>0.86</v>
      </c>
      <c r="AI142">
        <f>IF(AE142=0,0,INDEX(個性タイプマスタ!$AD$5:$AD$54,AE142))</f>
        <v>1.0083333333333333</v>
      </c>
      <c r="AJ142" s="16">
        <v>23</v>
      </c>
      <c r="AK142" s="17">
        <f>IF(OR(AJ142="",AJ142&lt;1),"",POWER(使い方と設定!$E$6,AJ142-1))</f>
        <v>2.3699187915049489</v>
      </c>
    </row>
    <row r="143" spans="1:37">
      <c r="A143" t="str">
        <f>+[2]称号!A138</f>
        <v>TITLE_137</v>
      </c>
      <c r="B143" t="str">
        <f>+[2]称号!B138</f>
        <v>血槌の猛牛王</v>
      </c>
      <c r="C143" t="s">
        <v>409</v>
      </c>
      <c r="D143" t="s">
        <v>410</v>
      </c>
      <c r="E143" s="2" t="str">
        <f>[1]モンスター計算!AM141</f>
        <v>近接・高魔防</v>
      </c>
      <c r="F143" s="2" t="str">
        <f>[1]モンスター計算!C141</f>
        <v>闇</v>
      </c>
      <c r="G143" s="8">
        <v>1.2</v>
      </c>
      <c r="H143" t="str">
        <f t="shared" si="6"/>
        <v>OK</v>
      </c>
      <c r="I143" s="9">
        <f>IF($H143&lt;&gt;"OK","",ROUND($G143*使い方と設定!$B$7*$AK143*INDEX(個性タイプマスタ!$Q$5:$AA$54,$AE143,1)/$AG143,4))</f>
        <v>0.53879999999999995</v>
      </c>
      <c r="J143" s="9">
        <f>IF($H143&lt;&gt;"OK","",ROUND($G143*使い方と設定!$B$7*$AK143*INDEX(個性タイプマスタ!$Q$5:$AA$54,$AE143,2)/$AG143,4))</f>
        <v>0.25140000000000001</v>
      </c>
      <c r="K143" s="9">
        <f>IF($H143&lt;&gt;"OK","",ROUND($G143*使い方と設定!$B$7*$AK143*INDEX(個性タイプマスタ!$Q$5:$AA$54,$AE143,3)/$AG143,4))</f>
        <v>1.0204</v>
      </c>
      <c r="L143" s="9">
        <f>IF($H143&lt;&gt;"OK","",ROUND($G143*使い方と設定!$B$7*$AK143*INDEX(個性タイプマスタ!$Q$5:$AA$54,$AE143,4)/$AG143,4))</f>
        <v>8.4699999999999998E-2</v>
      </c>
      <c r="M143" s="9">
        <f>IF($H143&lt;&gt;"OK","",ROUND($G143*使い方と設定!$B$7*$AK143*INDEX(個性タイプマスタ!$Q$5:$AA$54,$AE143,5)/$AG143,4))</f>
        <v>0.26369999999999999</v>
      </c>
      <c r="N143" s="9">
        <f>IF($H143&lt;&gt;"OK","",ROUND($G143*使い方と設定!$B$7*$AK143*INDEX(個性タイプマスタ!$Q$5:$AA$54,$AE143,6)/$AG143,4))</f>
        <v>0.72860000000000003</v>
      </c>
      <c r="O143" s="9">
        <f>IF($H143&lt;&gt;"OK","",ROUND($G143*使い方と設定!$B$7*$AK143*INDEX(個性タイプマスタ!$Q$5:$AA$54,$AE143,7)/$AG143,4))</f>
        <v>0.22450000000000001</v>
      </c>
      <c r="P143" s="9">
        <f>IF($H143&lt;&gt;"OK","",ROUND($G143*使い方と設定!$B$7*$AK143*INDEX(個性タイプマスタ!$Q$5:$AA$54,$AE143,8)/$AG143,4))</f>
        <v>0.26</v>
      </c>
      <c r="Q143" s="9">
        <f>IF($H143&lt;&gt;"OK","",ROUND($G143*使い方と設定!$B$7*$AK143*INDEX(個性タイプマスタ!$Q$5:$AA$54,$AE143,9)/$AG143,4))</f>
        <v>0.22</v>
      </c>
      <c r="R143" s="9">
        <f>IF($H143&lt;&gt;"OK","",ROUND($G143*使い方と設定!$B$7*$AK143*INDEX(個性タイプマスタ!$Q$5:$AA$54,$AE143,10)/$AG143,4))</f>
        <v>0.40820000000000001</v>
      </c>
      <c r="S143" s="9">
        <f>IF($H143&lt;&gt;"OK","",ROUND($G143*使い方と設定!$B$7*$AK143*INDEX(個性タイプマスタ!$Q$5:$AA$54,$AE143,11)/$AG143,4))</f>
        <v>0.26569999999999999</v>
      </c>
      <c r="T143" s="9">
        <f>IF($H143&lt;&gt;"OK","",ROUND($G143*使い方と設定!$B$8*$AK143*$AH143*INDEX(属性耐性マスタ!$B$5:$G$10,$AF143,1),4))</f>
        <v>1.0699999999999999E-2</v>
      </c>
      <c r="U143" s="9">
        <f>IF($H143&lt;&gt;"OK","",ROUND($G143*使い方と設定!$B$8*$AK143*$AH143*INDEX(属性耐性マスタ!$B$5:$G$10,$AF143,2),4))</f>
        <v>1.0699999999999999E-2</v>
      </c>
      <c r="V143" s="9">
        <f>IF($H143&lt;&gt;"OK","",ROUND($G143*使い方と設定!$B$8*$AK143*$AH143*INDEX(属性耐性マスタ!$B$5:$G$10,$AF143,3),4))</f>
        <v>1.0699999999999999E-2</v>
      </c>
      <c r="W143" s="9">
        <f>IF($H143&lt;&gt;"OK","",ROUND($G143*使い方と設定!$B$8*$AK143*$AH143*INDEX(属性耐性マスタ!$B$5:$G$10,$AF143,4),4))</f>
        <v>1.0699999999999999E-2</v>
      </c>
      <c r="X143" s="9">
        <f>IF($H143&lt;&gt;"OK","",ROUND($G143*使い方と設定!$B$8*$AK143*$AH143*INDEX(属性耐性マスタ!$B$5:$G$10,$AF143,5),4))</f>
        <v>2.87E-2</v>
      </c>
      <c r="Y143" s="9">
        <f>IF($H143&lt;&gt;"OK","",ROUND($G143*使い方と設定!$B$8*$AK143*$AH143*INDEX(属性耐性マスタ!$B$5:$G$10,$AF143,6),4))</f>
        <v>0.215</v>
      </c>
      <c r="Z143" s="9">
        <f>IF($H143&lt;&gt;"OK","",ROUND($G143*使い方と設定!$B$9*$AK143*$AI143,4))</f>
        <v>1.4338</v>
      </c>
      <c r="AA143" s="10">
        <v>0.5</v>
      </c>
      <c r="AB143" s="11">
        <f t="shared" si="7"/>
        <v>4.266</v>
      </c>
      <c r="AC143" s="11">
        <f t="shared" si="8"/>
        <v>0.28649999999999998</v>
      </c>
      <c r="AD143" s="7" t="str">
        <f>IF($H143&lt;&gt;"OK","",INDEX(個性タイプマスタ!$P$5:$P$54,$AE143))</f>
        <v>物理に弱い魔法防御型</v>
      </c>
      <c r="AE143">
        <f>IFERROR(MATCH(E143,個性タイプマスタ!$A$5:$A$54,0),0)</f>
        <v>47</v>
      </c>
      <c r="AF143">
        <f>IFERROR(MATCH(F143,属性耐性マスタ!$A$5:$A$10,0),0)</f>
        <v>6</v>
      </c>
      <c r="AG143">
        <f>IF(AE143=0,1,INDEX(個性タイプマスタ!$AB$5:$AB$54,AE143))</f>
        <v>10.451499999999999</v>
      </c>
      <c r="AH143">
        <f>IF(AE143=0,1,INDEX(個性タイプマスタ!$AC$5:$AC$54,AE143))</f>
        <v>1.26</v>
      </c>
      <c r="AI143">
        <f>IF(AE143=0,0,INDEX(個性タイプマスタ!$AD$5:$AD$54,AE143))</f>
        <v>1.0083333333333333</v>
      </c>
      <c r="AJ143" s="16">
        <v>23</v>
      </c>
      <c r="AK143" s="17">
        <f>IF(OR(AJ143="",AJ143&lt;1),"",POWER(使い方と設定!$E$6,AJ143-1))</f>
        <v>2.3699187915049489</v>
      </c>
    </row>
    <row r="144" spans="1:37">
      <c r="A144" t="str">
        <f>+[2]称号!A139</f>
        <v>TITLE_138</v>
      </c>
      <c r="B144" t="str">
        <f>+[2]称号!B139</f>
        <v>蒼蛇の災厄</v>
      </c>
      <c r="C144" t="s">
        <v>411</v>
      </c>
      <c r="D144" t="s">
        <v>412</v>
      </c>
      <c r="E144" s="2" t="str">
        <f>[1]モンスター計算!AM142</f>
        <v>魔法・守護</v>
      </c>
      <c r="F144" s="2" t="str">
        <f>[1]モンスター計算!C142</f>
        <v>水</v>
      </c>
      <c r="G144" s="8">
        <v>1.25</v>
      </c>
      <c r="H144" t="str">
        <f t="shared" si="6"/>
        <v>OK</v>
      </c>
      <c r="I144" s="9">
        <f>IF($H144&lt;&gt;"OK","",ROUND($G144*使い方と設定!$B$7*$AK144*INDEX(個性タイプマスタ!$Q$5:$AA$54,$AE144,1)/$AG144,4))</f>
        <v>0.57889999999999997</v>
      </c>
      <c r="J144" s="9">
        <f>IF($H144&lt;&gt;"OK","",ROUND($G144*使い方と設定!$B$7*$AK144*INDEX(個性タイプマスタ!$Q$5:$AA$54,$AE144,2)/$AG144,4))</f>
        <v>0.4824</v>
      </c>
      <c r="K144" s="9">
        <f>IF($H144&lt;&gt;"OK","",ROUND($G144*使い方と設定!$B$7*$AK144*INDEX(個性タイプマスタ!$Q$5:$AA$54,$AE144,3)/$AG144,4))</f>
        <v>8.77E-2</v>
      </c>
      <c r="L144" s="9">
        <f>IF($H144&lt;&gt;"OK","",ROUND($G144*使い方と設定!$B$7*$AK144*INDEX(個性タイプマスタ!$Q$5:$AA$54,$AE144,4)/$AG144,4))</f>
        <v>0.877</v>
      </c>
      <c r="M144" s="9">
        <f>IF($H144&lt;&gt;"OK","",ROUND($G144*使い方と設定!$B$7*$AK144*INDEX(個性タイプマスタ!$Q$5:$AA$54,$AE144,5)/$AG144,4))</f>
        <v>0.44729999999999998</v>
      </c>
      <c r="N144" s="9">
        <f>IF($H144&lt;&gt;"OK","",ROUND($G144*使い方と設定!$B$7*$AK144*INDEX(個性タイプマスタ!$Q$5:$AA$54,$AE144,6)/$AG144,4))</f>
        <v>0.41749999999999998</v>
      </c>
      <c r="O144" s="9">
        <f>IF($H144&lt;&gt;"OK","",ROUND($G144*使い方と設定!$B$7*$AK144*INDEX(個性タイプマスタ!$Q$5:$AA$54,$AE144,7)/$AG144,4))</f>
        <v>0.38590000000000002</v>
      </c>
      <c r="P144" s="9">
        <f>IF($H144&lt;&gt;"OK","",ROUND($G144*使い方と設定!$B$7*$AK144*INDEX(個性タイプマスタ!$Q$5:$AA$54,$AE144,8)/$AG144,4))</f>
        <v>0.26600000000000001</v>
      </c>
      <c r="Q144" s="9">
        <f>IF($H144&lt;&gt;"OK","",ROUND($G144*使い方と設定!$B$7*$AK144*INDEX(個性タイプマスタ!$Q$5:$AA$54,$AE144,9)/$AG144,4))</f>
        <v>0.1852</v>
      </c>
      <c r="R144" s="9">
        <f>IF($H144&lt;&gt;"OK","",ROUND($G144*使い方と設定!$B$7*$AK144*INDEX(個性タイプマスタ!$Q$5:$AA$54,$AE144,10)/$AG144,4))</f>
        <v>0.42099999999999999</v>
      </c>
      <c r="S144" s="9">
        <f>IF($H144&lt;&gt;"OK","",ROUND($G144*使い方と設定!$B$7*$AK144*INDEX(個性タイプマスタ!$Q$5:$AA$54,$AE144,11)/$AG144,4))</f>
        <v>0.29470000000000002</v>
      </c>
      <c r="T144" s="9">
        <f>IF($H144&lt;&gt;"OK","",ROUND($G144*使い方と設定!$B$8*$AK144*$AH144*INDEX(属性耐性マスタ!$B$5:$G$10,$AF144,1),4))</f>
        <v>4.6899999999999997E-2</v>
      </c>
      <c r="U144" s="9">
        <f>IF($H144&lt;&gt;"OK","",ROUND($G144*使い方と設定!$B$8*$AK144*$AH144*INDEX(属性耐性マスタ!$B$5:$G$10,$AF144,2),4))</f>
        <v>0.2346</v>
      </c>
      <c r="V144" s="9">
        <f>IF($H144&lt;&gt;"OK","",ROUND($G144*使い方と設定!$B$8*$AK144*$AH144*INDEX(属性耐性マスタ!$B$5:$G$10,$AF144,3),4))</f>
        <v>1.5599999999999999E-2</v>
      </c>
      <c r="W144" s="9">
        <f>IF($H144&lt;&gt;"OK","",ROUND($G144*使い方と設定!$B$8*$AK144*$AH144*INDEX(属性耐性マスタ!$B$5:$G$10,$AF144,4),4))</f>
        <v>1.5599999999999999E-2</v>
      </c>
      <c r="X144" s="9">
        <f>IF($H144&lt;&gt;"OK","",ROUND($G144*使い方と設定!$B$8*$AK144*$AH144*INDEX(属性耐性マスタ!$B$5:$G$10,$AF144,5),4))</f>
        <v>1.17E-2</v>
      </c>
      <c r="Y144" s="9">
        <f>IF($H144&lt;&gt;"OK","",ROUND($G144*使い方と設定!$B$8*$AK144*$AH144*INDEX(属性耐性マスタ!$B$5:$G$10,$AF144,6),4))</f>
        <v>1.17E-2</v>
      </c>
      <c r="Z144" s="9">
        <f>IF($H144&lt;&gt;"OK","",ROUND($G144*使い方と設定!$B$9*$AK144*$AI144,4))</f>
        <v>1.4812000000000001</v>
      </c>
      <c r="AA144" s="10">
        <v>0.25</v>
      </c>
      <c r="AB144" s="11">
        <f t="shared" si="7"/>
        <v>4.4436</v>
      </c>
      <c r="AC144" s="11">
        <f t="shared" si="8"/>
        <v>0.33610000000000001</v>
      </c>
      <c r="AD144" s="7" t="str">
        <f>IF($H144&lt;&gt;"OK","",INDEX(個性タイプマスタ!$P$5:$P$54,$AE144))</f>
        <v>HP・防御・耐性の高い魔法型</v>
      </c>
      <c r="AE144">
        <f>IFERROR(MATCH(E144,個性タイプマスタ!$A$5:$A$54,0),0)</f>
        <v>6</v>
      </c>
      <c r="AF144">
        <f>IFERROR(MATCH(F144,属性耐性マスタ!$A$5:$A$10,0),0)</f>
        <v>2</v>
      </c>
      <c r="AG144">
        <f>IF(AE144=0,1,INDEX(個性タイプマスタ!$AB$5:$AB$54,AE144))</f>
        <v>12.666333333333332</v>
      </c>
      <c r="AH144">
        <f>IF(AE144=0,1,INDEX(個性タイプマスタ!$AC$5:$AC$54,AE144))</f>
        <v>1.32</v>
      </c>
      <c r="AI144">
        <f>IF(AE144=0,0,INDEX(個性タイプマスタ!$AD$5:$AD$54,AE144))</f>
        <v>1</v>
      </c>
      <c r="AJ144" s="16">
        <v>23</v>
      </c>
      <c r="AK144" s="17">
        <f>IF(OR(AJ144="",AJ144&lt;1),"",POWER(使い方と設定!$E$6,AJ144-1))</f>
        <v>2.3699187915049489</v>
      </c>
    </row>
    <row r="145" spans="1:37">
      <c r="A145" t="str">
        <f>+[2]称号!A140</f>
        <v>TITLE_139</v>
      </c>
      <c r="B145" t="str">
        <f>+[2]称号!B140</f>
        <v>灼泥の地龍</v>
      </c>
      <c r="C145" t="s">
        <v>413</v>
      </c>
      <c r="D145" t="s">
        <v>414</v>
      </c>
      <c r="E145" s="2" t="str">
        <f>[1]モンスター計算!AM143</f>
        <v>魔法・薄命結界</v>
      </c>
      <c r="F145" s="2" t="str">
        <f>[1]モンスター計算!C143</f>
        <v>火</v>
      </c>
      <c r="G145" s="8">
        <v>1</v>
      </c>
      <c r="H145" t="str">
        <f t="shared" si="6"/>
        <v>OK</v>
      </c>
      <c r="I145" s="9">
        <f>IF($H145&lt;&gt;"OK","",ROUND($G145*使い方と設定!$B$7*$AK145*INDEX(個性タイプマスタ!$Q$5:$AA$54,$AE145,1)/$AG145,4))</f>
        <v>0.19650000000000001</v>
      </c>
      <c r="J145" s="9">
        <f>IF($H145&lt;&gt;"OK","",ROUND($G145*使い方と設定!$B$7*$AK145*INDEX(個性タイプマスタ!$Q$5:$AA$54,$AE145,2)/$AG145,4))</f>
        <v>0.53590000000000004</v>
      </c>
      <c r="K145" s="9">
        <f>IF($H145&lt;&gt;"OK","",ROUND($G145*使い方と設定!$B$7*$AK145*INDEX(個性タイプマスタ!$Q$5:$AA$54,$AE145,3)/$AG145,4))</f>
        <v>6.5000000000000002E-2</v>
      </c>
      <c r="L145" s="9">
        <f>IF($H145&lt;&gt;"OK","",ROUND($G145*使い方と設定!$B$7*$AK145*INDEX(個性タイプマスタ!$Q$5:$AA$54,$AE145,4)/$AG145,4))</f>
        <v>0.81189999999999996</v>
      </c>
      <c r="M145" s="9">
        <f>IF($H145&lt;&gt;"OK","",ROUND($G145*使い方と設定!$B$7*$AK145*INDEX(個性タイプマスタ!$Q$5:$AA$54,$AE145,5)/$AG145,4))</f>
        <v>0.40029999999999999</v>
      </c>
      <c r="N145" s="9">
        <f>IF($H145&lt;&gt;"OK","",ROUND($G145*使い方と設定!$B$7*$AK145*INDEX(個性タイプマスタ!$Q$5:$AA$54,$AE145,6)/$AG145,4))</f>
        <v>0.62109999999999999</v>
      </c>
      <c r="O145" s="9">
        <f>IF($H145&lt;&gt;"OK","",ROUND($G145*使い方と設定!$B$7*$AK145*INDEX(個性タイプマスタ!$Q$5:$AA$54,$AE145,7)/$AG145,4))</f>
        <v>0.1429</v>
      </c>
      <c r="P145" s="9">
        <f>IF($H145&lt;&gt;"OK","",ROUND($G145*使い方と設定!$B$7*$AK145*INDEX(個性タイプマスタ!$Q$5:$AA$54,$AE145,8)/$AG145,4))</f>
        <v>0.19420000000000001</v>
      </c>
      <c r="Q145" s="9">
        <f>IF($H145&lt;&gt;"OK","",ROUND($G145*使い方と設定!$B$7*$AK145*INDEX(個性タイプマスタ!$Q$5:$AA$54,$AE145,9)/$AG145,4))</f>
        <v>0.15720000000000001</v>
      </c>
      <c r="R145" s="9">
        <f>IF($H145&lt;&gt;"OK","",ROUND($G145*使い方と設定!$B$7*$AK145*INDEX(個性タイプマスタ!$Q$5:$AA$54,$AE145,10)/$AG145,4))</f>
        <v>0.2858</v>
      </c>
      <c r="S145" s="9">
        <f>IF($H145&lt;&gt;"OK","",ROUND($G145*使い方と設定!$B$7*$AK145*INDEX(個性タイプマスタ!$Q$5:$AA$54,$AE145,11)/$AG145,4))</f>
        <v>0.28639999999999999</v>
      </c>
      <c r="T145" s="9">
        <f>IF($H145&lt;&gt;"OK","",ROUND($G145*使い方と設定!$B$8*$AK145*$AH145*INDEX(属性耐性マスタ!$B$5:$G$10,$AF145,1),4))</f>
        <v>0.2218</v>
      </c>
      <c r="U145" s="9">
        <f>IF($H145&lt;&gt;"OK","",ROUND($G145*使い方と設定!$B$8*$AK145*$AH145*INDEX(属性耐性マスタ!$B$5:$G$10,$AF145,2),4))</f>
        <v>4.4400000000000002E-2</v>
      </c>
      <c r="V145" s="9">
        <f>IF($H145&lt;&gt;"OK","",ROUND($G145*使い方と設定!$B$8*$AK145*$AH145*INDEX(属性耐性マスタ!$B$5:$G$10,$AF145,3),4))</f>
        <v>1.4800000000000001E-2</v>
      </c>
      <c r="W145" s="9">
        <f>IF($H145&lt;&gt;"OK","",ROUND($G145*使い方と設定!$B$8*$AK145*$AH145*INDEX(属性耐性マスタ!$B$5:$G$10,$AF145,4),4))</f>
        <v>1.4800000000000001E-2</v>
      </c>
      <c r="X145" s="9">
        <f>IF($H145&lt;&gt;"OK","",ROUND($G145*使い方と設定!$B$8*$AK145*$AH145*INDEX(属性耐性マスタ!$B$5:$G$10,$AF145,5),4))</f>
        <v>1.11E-2</v>
      </c>
      <c r="Y145" s="9">
        <f>IF($H145&lt;&gt;"OK","",ROUND($G145*使い方と設定!$B$8*$AK145*$AH145*INDEX(属性耐性マスタ!$B$5:$G$10,$AF145,6),4))</f>
        <v>1.11E-2</v>
      </c>
      <c r="Z145" s="9">
        <f>IF($H145&lt;&gt;"OK","",ROUND($G145*使い方と設定!$B$9*$AK145*$AI145,4))</f>
        <v>1.1913</v>
      </c>
      <c r="AA145" s="10">
        <v>1</v>
      </c>
      <c r="AB145" s="11">
        <f t="shared" si="7"/>
        <v>3.6972</v>
      </c>
      <c r="AC145" s="11">
        <f t="shared" si="8"/>
        <v>0.318</v>
      </c>
      <c r="AD145" s="7" t="str">
        <f>IF($H145&lt;&gt;"OK","",INDEX(個性タイプマスタ!$P$5:$P$54,$AE145))</f>
        <v>低HPだが防御・耐性が高い極端な守護型</v>
      </c>
      <c r="AE145">
        <f>IFERROR(MATCH(E145,個性タイプマスタ!$A$5:$A$54,0),0)</f>
        <v>31</v>
      </c>
      <c r="AF145">
        <f>IFERROR(MATCH(F145,属性耐性マスタ!$A$5:$A$10,0),0)</f>
        <v>1</v>
      </c>
      <c r="AG145">
        <f>IF(AE145=0,1,INDEX(個性タイプマスタ!$AB$5:$AB$54,AE145))</f>
        <v>11.384</v>
      </c>
      <c r="AH145">
        <f>IF(AE145=0,1,INDEX(個性タイプマスタ!$AC$5:$AC$54,AE145))</f>
        <v>1.5</v>
      </c>
      <c r="AI145">
        <f>IF(AE145=0,0,INDEX(個性タイプマスタ!$AD$5:$AD$54,AE145))</f>
        <v>0.96666666666666667</v>
      </c>
      <c r="AJ145" s="16">
        <v>24</v>
      </c>
      <c r="AK145" s="17">
        <f>IF(OR(AJ145="",AJ145&lt;1),"",POWER(使い方と設定!$E$6,AJ145-1))</f>
        <v>2.4647155431651466</v>
      </c>
    </row>
    <row r="146" spans="1:37">
      <c r="A146" t="str">
        <f>+[2]称号!A141</f>
        <v>TITLE_140</v>
      </c>
      <c r="B146" t="str">
        <f>+[2]称号!B141</f>
        <v>氷葬の鎮魂歌</v>
      </c>
      <c r="C146" t="s">
        <v>415</v>
      </c>
      <c r="D146" t="s">
        <v>416</v>
      </c>
      <c r="E146" s="2" t="str">
        <f>[1]モンスター計算!AM144</f>
        <v>魔法・支援</v>
      </c>
      <c r="F146" s="2" t="str">
        <f>[1]モンスター計算!C144</f>
        <v>水</v>
      </c>
      <c r="G146" s="8">
        <v>1.05</v>
      </c>
      <c r="H146" t="str">
        <f t="shared" si="6"/>
        <v>OK</v>
      </c>
      <c r="I146" s="9">
        <f>IF($H146&lt;&gt;"OK","",ROUND($G146*使い方と設定!$B$7*$AK146*INDEX(個性タイプマスタ!$Q$5:$AA$54,$AE146,1)/$AG146,4))</f>
        <v>0.39539999999999997</v>
      </c>
      <c r="J146" s="9">
        <f>IF($H146&lt;&gt;"OK","",ROUND($G146*使い方と設定!$B$7*$AK146*INDEX(個性タイプマスタ!$Q$5:$AA$54,$AE146,2)/$AG146,4))</f>
        <v>0.57340000000000002</v>
      </c>
      <c r="K146" s="9">
        <f>IF($H146&lt;&gt;"OK","",ROUND($G146*使い方と設定!$B$7*$AK146*INDEX(個性タイプマスタ!$Q$5:$AA$54,$AE146,3)/$AG146,4))</f>
        <v>8.9899999999999994E-2</v>
      </c>
      <c r="L146" s="9">
        <f>IF($H146&lt;&gt;"OK","",ROUND($G146*使い方と設定!$B$7*$AK146*INDEX(個性タイプマスタ!$Q$5:$AA$54,$AE146,4)/$AG146,4))</f>
        <v>0.89870000000000005</v>
      </c>
      <c r="M146" s="9">
        <f>IF($H146&lt;&gt;"OK","",ROUND($G146*使い方と設定!$B$7*$AK146*INDEX(個性タイプマスタ!$Q$5:$AA$54,$AE146,5)/$AG146,4))</f>
        <v>0.30559999999999998</v>
      </c>
      <c r="N146" s="9">
        <f>IF($H146&lt;&gt;"OK","",ROUND($G146*使い方と設定!$B$7*$AK146*INDEX(個性タイプマスタ!$Q$5:$AA$54,$AE146,6)/$AG146,4))</f>
        <v>0.36670000000000003</v>
      </c>
      <c r="O146" s="9">
        <f>IF($H146&lt;&gt;"OK","",ROUND($G146*使い方と設定!$B$7*$AK146*INDEX(個性タイプマスタ!$Q$5:$AA$54,$AE146,7)/$AG146,4))</f>
        <v>0.23730000000000001</v>
      </c>
      <c r="P146" s="9">
        <f>IF($H146&lt;&gt;"OK","",ROUND($G146*使い方と設定!$B$7*$AK146*INDEX(個性タイプマスタ!$Q$5:$AA$54,$AE146,8)/$AG146,4))</f>
        <v>0.21809999999999999</v>
      </c>
      <c r="Q146" s="9">
        <f>IF($H146&lt;&gt;"OK","",ROUND($G146*使い方と設定!$B$7*$AK146*INDEX(個性タイプマスタ!$Q$5:$AA$54,$AE146,9)/$AG146,4))</f>
        <v>0.1661</v>
      </c>
      <c r="R146" s="9">
        <f>IF($H146&lt;&gt;"OK","",ROUND($G146*使い方と設定!$B$7*$AK146*INDEX(個性タイプマスタ!$Q$5:$AA$54,$AE146,10)/$AG146,4))</f>
        <v>0.34150000000000003</v>
      </c>
      <c r="S146" s="9">
        <f>IF($H146&lt;&gt;"OK","",ROUND($G146*使い方と設定!$B$7*$AK146*INDEX(個性タイプマスタ!$Q$5:$AA$54,$AE146,11)/$AG146,4))</f>
        <v>0.28939999999999999</v>
      </c>
      <c r="T146" s="9">
        <f>IF($H146&lt;&gt;"OK","",ROUND($G146*使い方と設定!$B$8*$AK146*$AH146*INDEX(属性耐性マスタ!$B$5:$G$10,$AF146,1),4))</f>
        <v>3.4799999999999998E-2</v>
      </c>
      <c r="U146" s="9">
        <f>IF($H146&lt;&gt;"OK","",ROUND($G146*使い方と設定!$B$8*$AK146*$AH146*INDEX(属性耐性マスタ!$B$5:$G$10,$AF146,2),4))</f>
        <v>0.1739</v>
      </c>
      <c r="V146" s="9">
        <f>IF($H146&lt;&gt;"OK","",ROUND($G146*使い方と設定!$B$8*$AK146*$AH146*INDEX(属性耐性マスタ!$B$5:$G$10,$AF146,3),4))</f>
        <v>1.1599999999999999E-2</v>
      </c>
      <c r="W146" s="9">
        <f>IF($H146&lt;&gt;"OK","",ROUND($G146*使い方と設定!$B$8*$AK146*$AH146*INDEX(属性耐性マスタ!$B$5:$G$10,$AF146,4),4))</f>
        <v>1.1599999999999999E-2</v>
      </c>
      <c r="X146" s="9">
        <f>IF($H146&lt;&gt;"OK","",ROUND($G146*使い方と設定!$B$8*$AK146*$AH146*INDEX(属性耐性マスタ!$B$5:$G$10,$AF146,5),4))</f>
        <v>8.6999999999999994E-3</v>
      </c>
      <c r="Y146" s="9">
        <f>IF($H146&lt;&gt;"OK","",ROUND($G146*使い方と設定!$B$8*$AK146*$AH146*INDEX(属性耐性マスタ!$B$5:$G$10,$AF146,6),4))</f>
        <v>8.6999999999999994E-3</v>
      </c>
      <c r="Z146" s="9">
        <f>IF($H146&lt;&gt;"OK","",ROUND($G146*使い方と設定!$B$9*$AK146*$AI146,4))</f>
        <v>1.2293000000000001</v>
      </c>
      <c r="AA146" s="10">
        <v>1</v>
      </c>
      <c r="AB146" s="11">
        <f t="shared" si="7"/>
        <v>3.8820999999999999</v>
      </c>
      <c r="AC146" s="11">
        <f t="shared" si="8"/>
        <v>0.24929999999999999</v>
      </c>
      <c r="AD146" s="7" t="str">
        <f>IF($H146&lt;&gt;"OK","",INDEX(個性タイプマスタ!$P$5:$P$54,$AE146))</f>
        <v>MPと魔防寄りの支援型</v>
      </c>
      <c r="AE146">
        <f>IFERROR(MATCH(E146,個性タイプマスタ!$A$5:$A$54,0),0)</f>
        <v>10</v>
      </c>
      <c r="AF146">
        <f>IFERROR(MATCH(F146,属性耐性マスタ!$A$5:$A$10,0),0)</f>
        <v>2</v>
      </c>
      <c r="AG146">
        <f>IF(AE146=0,1,INDEX(個性タイプマスタ!$AB$5:$AB$54,AE146))</f>
        <v>10.798666666666666</v>
      </c>
      <c r="AH146">
        <f>IF(AE146=0,1,INDEX(個性タイプマスタ!$AC$5:$AC$54,AE146))</f>
        <v>1.1200000000000001</v>
      </c>
      <c r="AI146">
        <f>IF(AE146=0,0,INDEX(個性タイプマスタ!$AD$5:$AD$54,AE146))</f>
        <v>0.95</v>
      </c>
      <c r="AJ146" s="16">
        <v>24</v>
      </c>
      <c r="AK146" s="17">
        <f>IF(OR(AJ146="",AJ146&lt;1),"",POWER(使い方と設定!$E$6,AJ146-1))</f>
        <v>2.4647155431651466</v>
      </c>
    </row>
    <row r="147" spans="1:37">
      <c r="A147" t="str">
        <f>+[2]称号!A142</f>
        <v>TITLE_141</v>
      </c>
      <c r="B147" t="str">
        <f>+[2]称号!B142</f>
        <v>獄炎の暴将</v>
      </c>
      <c r="C147" t="s">
        <v>417</v>
      </c>
      <c r="D147" t="s">
        <v>418</v>
      </c>
      <c r="E147" s="2" t="str">
        <f>[1]モンスター計算!AM145</f>
        <v>魔法・長射程</v>
      </c>
      <c r="F147" s="2" t="str">
        <f>[1]モンスター計算!C145</f>
        <v>火</v>
      </c>
      <c r="G147" s="8">
        <v>1.1000000000000001</v>
      </c>
      <c r="H147" t="str">
        <f t="shared" si="6"/>
        <v>OK</v>
      </c>
      <c r="I147" s="9">
        <f>IF($H147&lt;&gt;"OK","",ROUND($G147*使い方と設定!$B$7*$AK147*INDEX(個性タイプマスタ!$Q$5:$AA$54,$AE147,1)/$AG147,4))</f>
        <v>0.4098</v>
      </c>
      <c r="J147" s="9">
        <f>IF($H147&lt;&gt;"OK","",ROUND($G147*使い方と設定!$B$7*$AK147*INDEX(個性タイプマスタ!$Q$5:$AA$54,$AE147,2)/$AG147,4))</f>
        <v>0.46949999999999997</v>
      </c>
      <c r="K147" s="9">
        <f>IF($H147&lt;&gt;"OK","",ROUND($G147*使い方と設定!$B$7*$AK147*INDEX(個性タイプマスタ!$Q$5:$AA$54,$AE147,3)/$AG147,4))</f>
        <v>6.0100000000000001E-2</v>
      </c>
      <c r="L147" s="9">
        <f>IF($H147&lt;&gt;"OK","",ROUND($G147*使い方と設定!$B$7*$AK147*INDEX(個性タイプマスタ!$Q$5:$AA$54,$AE147,4)/$AG147,4))</f>
        <v>0.97009999999999996</v>
      </c>
      <c r="M147" s="9">
        <f>IF($H147&lt;&gt;"OK","",ROUND($G147*使い方と設定!$B$7*$AK147*INDEX(個性タイプマスタ!$Q$5:$AA$54,$AE147,5)/$AG147,4))</f>
        <v>0.27050000000000002</v>
      </c>
      <c r="N147" s="9">
        <f>IF($H147&lt;&gt;"OK","",ROUND($G147*使い方と設定!$B$7*$AK147*INDEX(個性タイプマスタ!$Q$5:$AA$54,$AE147,6)/$AG147,4))</f>
        <v>0.30020000000000002</v>
      </c>
      <c r="O147" s="9">
        <f>IF($H147&lt;&gt;"OK","",ROUND($G147*使い方と設定!$B$7*$AK147*INDEX(個性タイプマスタ!$Q$5:$AA$54,$AE147,7)/$AG147,4))</f>
        <v>0.25609999999999999</v>
      </c>
      <c r="P147" s="9">
        <f>IF($H147&lt;&gt;"OK","",ROUND($G147*使い方と設定!$B$7*$AK147*INDEX(個性タイプマスタ!$Q$5:$AA$54,$AE147,8)/$AG147,4))</f>
        <v>0.26910000000000001</v>
      </c>
      <c r="Q147" s="9">
        <f>IF($H147&lt;&gt;"OK","",ROUND($G147*使い方と設定!$B$7*$AK147*INDEX(個性タイプマスタ!$Q$5:$AA$54,$AE147,9)/$AG147,4))</f>
        <v>0.19209999999999999</v>
      </c>
      <c r="R147" s="9">
        <f>IF($H147&lt;&gt;"OK","",ROUND($G147*使い方と設定!$B$7*$AK147*INDEX(個性タイプマスタ!$Q$5:$AA$54,$AE147,10)/$AG147,4))</f>
        <v>0.35310000000000002</v>
      </c>
      <c r="S147" s="9">
        <f>IF($H147&lt;&gt;"OK","",ROUND($G147*使い方と設定!$B$7*$AK147*INDEX(個性タイプマスタ!$Q$5:$AA$54,$AE147,11)/$AG147,4))</f>
        <v>0.5161</v>
      </c>
      <c r="T147" s="9">
        <f>IF($H147&lt;&gt;"OK","",ROUND($G147*使い方と設定!$B$8*$AK147*$AH147*INDEX(属性耐性マスタ!$B$5:$G$10,$AF147,1),4))</f>
        <v>0.1497</v>
      </c>
      <c r="U147" s="9">
        <f>IF($H147&lt;&gt;"OK","",ROUND($G147*使い方と設定!$B$8*$AK147*$AH147*INDEX(属性耐性マスタ!$B$5:$G$10,$AF147,2),4))</f>
        <v>2.9899999999999999E-2</v>
      </c>
      <c r="V147" s="9">
        <f>IF($H147&lt;&gt;"OK","",ROUND($G147*使い方と設定!$B$8*$AK147*$AH147*INDEX(属性耐性マスタ!$B$5:$G$10,$AF147,3),4))</f>
        <v>0.01</v>
      </c>
      <c r="W147" s="9">
        <f>IF($H147&lt;&gt;"OK","",ROUND($G147*使い方と設定!$B$8*$AK147*$AH147*INDEX(属性耐性マスタ!$B$5:$G$10,$AF147,4),4))</f>
        <v>0.01</v>
      </c>
      <c r="X147" s="9">
        <f>IF($H147&lt;&gt;"OK","",ROUND($G147*使い方と設定!$B$8*$AK147*$AH147*INDEX(属性耐性マスタ!$B$5:$G$10,$AF147,5),4))</f>
        <v>7.4999999999999997E-3</v>
      </c>
      <c r="Y147" s="9">
        <f>IF($H147&lt;&gt;"OK","",ROUND($G147*使い方と設定!$B$8*$AK147*$AH147*INDEX(属性耐性マスタ!$B$5:$G$10,$AF147,6),4))</f>
        <v>7.4999999999999997E-3</v>
      </c>
      <c r="Z147" s="9">
        <f>IF($H147&lt;&gt;"OK","",ROUND($G147*使い方と設定!$B$9*$AK147*$AI147,4))</f>
        <v>1.3217000000000001</v>
      </c>
      <c r="AA147" s="10">
        <v>0.9</v>
      </c>
      <c r="AB147" s="11">
        <f t="shared" si="7"/>
        <v>4.0667</v>
      </c>
      <c r="AC147" s="11">
        <f t="shared" si="8"/>
        <v>0.21460000000000001</v>
      </c>
      <c r="AD147" s="7" t="str">
        <f>IF($H147&lt;&gt;"OK","",INDEX(個性タイプマスタ!$P$5:$P$54,$AE147))</f>
        <v>射程を優先した後衛</v>
      </c>
      <c r="AE147">
        <f>IFERROR(MATCH(E147,個性タイプマスタ!$A$5:$A$54,0),0)</f>
        <v>20</v>
      </c>
      <c r="AF147">
        <f>IFERROR(MATCH(F147,属性耐性マスタ!$A$5:$A$10,0),0)</f>
        <v>1</v>
      </c>
      <c r="AG147">
        <f>IF(AE147=0,1,INDEX(個性タイプマスタ!$AB$5:$AB$54,AE147))</f>
        <v>10.479833333333334</v>
      </c>
      <c r="AH147">
        <f>IF(AE147=0,1,INDEX(個性タイプマスタ!$AC$5:$AC$54,AE147))</f>
        <v>0.92</v>
      </c>
      <c r="AI147">
        <f>IF(AE147=0,0,INDEX(個性タイプマスタ!$AD$5:$AD$54,AE147))</f>
        <v>0.97499999999999998</v>
      </c>
      <c r="AJ147" s="16">
        <v>24</v>
      </c>
      <c r="AK147" s="17">
        <f>IF(OR(AJ147="",AJ147&lt;1),"",POWER(使い方と設定!$E$6,AJ147-1))</f>
        <v>2.4647155431651466</v>
      </c>
    </row>
    <row r="148" spans="1:37">
      <c r="A148" t="str">
        <f>+[2]称号!A143</f>
        <v>TITLE_142</v>
      </c>
      <c r="B148" t="str">
        <f>+[2]称号!B143</f>
        <v>冥砂の巨象神</v>
      </c>
      <c r="C148" t="s">
        <v>419</v>
      </c>
      <c r="D148" t="s">
        <v>420</v>
      </c>
      <c r="E148" s="2" t="str">
        <f>[1]モンスター計算!AM146</f>
        <v>近接・会心</v>
      </c>
      <c r="F148" s="2" t="str">
        <f>[1]モンスター計算!C146</f>
        <v>闇</v>
      </c>
      <c r="G148" s="8">
        <v>1.1499999999999999</v>
      </c>
      <c r="H148" t="str">
        <f t="shared" si="6"/>
        <v>OK</v>
      </c>
      <c r="I148" s="9">
        <f>IF($H148&lt;&gt;"OK","",ROUND($G148*使い方と設定!$B$7*$AK148*INDEX(個性タイプマスタ!$Q$5:$AA$54,$AE148,1)/$AG148,4))</f>
        <v>0.35049999999999998</v>
      </c>
      <c r="J148" s="9">
        <f>IF($H148&lt;&gt;"OK","",ROUND($G148*使い方と設定!$B$7*$AK148*INDEX(個性タイプマスタ!$Q$5:$AA$54,$AE148,2)/$AG148,4))</f>
        <v>0.14499999999999999</v>
      </c>
      <c r="K148" s="9">
        <f>IF($H148&lt;&gt;"OK","",ROUND($G148*使い方と設定!$B$7*$AK148*INDEX(個性タイプマスタ!$Q$5:$AA$54,$AE148,3)/$AG148,4))</f>
        <v>0.91549999999999998</v>
      </c>
      <c r="L148" s="9">
        <f>IF($H148&lt;&gt;"OK","",ROUND($G148*使い方と設定!$B$7*$AK148*INDEX(個性タイプマスタ!$Q$5:$AA$54,$AE148,4)/$AG148,4))</f>
        <v>5.9499999999999997E-2</v>
      </c>
      <c r="M148" s="9">
        <f>IF($H148&lt;&gt;"OK","",ROUND($G148*使い方と設定!$B$7*$AK148*INDEX(個性タイプマスタ!$Q$5:$AA$54,$AE148,5)/$AG148,4))</f>
        <v>0.26769999999999999</v>
      </c>
      <c r="N148" s="9">
        <f>IF($H148&lt;&gt;"OK","",ROUND($G148*使い方と設定!$B$7*$AK148*INDEX(個性タイプマスタ!$Q$5:$AA$54,$AE148,6)/$AG148,4))</f>
        <v>0.2397</v>
      </c>
      <c r="O148" s="9">
        <f>IF($H148&lt;&gt;"OK","",ROUND($G148*使い方と設定!$B$7*$AK148*INDEX(個性タイプマスタ!$Q$5:$AA$54,$AE148,7)/$AG148,4))</f>
        <v>1.0876999999999999</v>
      </c>
      <c r="P148" s="9">
        <f>IF($H148&lt;&gt;"OK","",ROUND($G148*使い方と設定!$B$7*$AK148*INDEX(個性タイプマスタ!$Q$5:$AA$54,$AE148,8)/$AG148,4))</f>
        <v>0.3221</v>
      </c>
      <c r="Q148" s="9">
        <f>IF($H148&lt;&gt;"OK","",ROUND($G148*使い方と設定!$B$7*$AK148*INDEX(個性タイプマスタ!$Q$5:$AA$54,$AE148,9)/$AG148,4))</f>
        <v>0.22159999999999999</v>
      </c>
      <c r="R148" s="9">
        <f>IF($H148&lt;&gt;"OK","",ROUND($G148*使い方と設定!$B$7*$AK148*INDEX(個性タイプマスタ!$Q$5:$AA$54,$AE148,10)/$AG148,4))</f>
        <v>0.38090000000000002</v>
      </c>
      <c r="S148" s="9">
        <f>IF($H148&lt;&gt;"OK","",ROUND($G148*使い方と設定!$B$7*$AK148*INDEX(個性タイプマスタ!$Q$5:$AA$54,$AE148,11)/$AG148,4))</f>
        <v>0.26150000000000001</v>
      </c>
      <c r="T148" s="9">
        <f>IF($H148&lt;&gt;"OK","",ROUND($G148*使い方と設定!$B$8*$AK148*$AH148*INDEX(属性耐性マスタ!$B$5:$G$10,$AF148,1),4))</f>
        <v>6.4999999999999997E-3</v>
      </c>
      <c r="U148" s="9">
        <f>IF($H148&lt;&gt;"OK","",ROUND($G148*使い方と設定!$B$8*$AK148*$AH148*INDEX(属性耐性マスタ!$B$5:$G$10,$AF148,2),4))</f>
        <v>6.4999999999999997E-3</v>
      </c>
      <c r="V148" s="9">
        <f>IF($H148&lt;&gt;"OK","",ROUND($G148*使い方と設定!$B$8*$AK148*$AH148*INDEX(属性耐性マスタ!$B$5:$G$10,$AF148,3),4))</f>
        <v>6.4999999999999997E-3</v>
      </c>
      <c r="W148" s="9">
        <f>IF($H148&lt;&gt;"OK","",ROUND($G148*使い方と設定!$B$8*$AK148*$AH148*INDEX(属性耐性マスタ!$B$5:$G$10,$AF148,4),4))</f>
        <v>6.4999999999999997E-3</v>
      </c>
      <c r="X148" s="9">
        <f>IF($H148&lt;&gt;"OK","",ROUND($G148*使い方と設定!$B$8*$AK148*$AH148*INDEX(属性耐性マスタ!$B$5:$G$10,$AF148,5),4))</f>
        <v>1.72E-2</v>
      </c>
      <c r="Y148" s="9">
        <f>IF($H148&lt;&gt;"OK","",ROUND($G148*使い方と設定!$B$8*$AK148*$AH148*INDEX(属性耐性マスタ!$B$5:$G$10,$AF148,6),4))</f>
        <v>0.12920000000000001</v>
      </c>
      <c r="Z148" s="9">
        <f>IF($H148&lt;&gt;"OK","",ROUND($G148*使い方と設定!$B$9*$AK148*$AI148,4))</f>
        <v>1.4999</v>
      </c>
      <c r="AA148" s="10">
        <v>0.55000000000000004</v>
      </c>
      <c r="AB148" s="11">
        <f t="shared" si="7"/>
        <v>4.2516999999999996</v>
      </c>
      <c r="AC148" s="11">
        <f t="shared" si="8"/>
        <v>0.1724</v>
      </c>
      <c r="AD148" s="7" t="str">
        <f>IF($H148&lt;&gt;"OK","",INDEX(個性タイプマスタ!$P$5:$P$54,$AE148))</f>
        <v>クリティカル確率に特化</v>
      </c>
      <c r="AE148">
        <f>IFERROR(MATCH(E148,個性タイプマスタ!$A$5:$A$54,0),0)</f>
        <v>46</v>
      </c>
      <c r="AF148">
        <f>IFERROR(MATCH(F148,属性耐性マスタ!$A$5:$A$10,0),0)</f>
        <v>6</v>
      </c>
      <c r="AG148">
        <f>IF(AE148=0,1,INDEX(個性タイプマスタ!$AB$5:$AB$54,AE148))</f>
        <v>11.609666666666667</v>
      </c>
      <c r="AH148">
        <f>IF(AE148=0,1,INDEX(個性タイプマスタ!$AC$5:$AC$54,AE148))</f>
        <v>0.76</v>
      </c>
      <c r="AI148">
        <f>IF(AE148=0,0,INDEX(個性タイプマスタ!$AD$5:$AD$54,AE148))</f>
        <v>1.0583333333333333</v>
      </c>
      <c r="AJ148" s="16">
        <v>24</v>
      </c>
      <c r="AK148" s="17">
        <f>IF(OR(AJ148="",AJ148&lt;1),"",POWER(使い方と設定!$E$6,AJ148-1))</f>
        <v>2.4647155431651466</v>
      </c>
    </row>
    <row r="149" spans="1:37">
      <c r="A149" t="str">
        <f>+[2]称号!A144</f>
        <v>TITLE_143</v>
      </c>
      <c r="B149" t="str">
        <f>+[2]称号!B144</f>
        <v>夜王の化身</v>
      </c>
      <c r="C149" t="s">
        <v>421</v>
      </c>
      <c r="D149" t="s">
        <v>422</v>
      </c>
      <c r="E149" s="2" t="str">
        <f>[1]モンスター計算!AM147</f>
        <v>近接・最終層</v>
      </c>
      <c r="F149" s="2" t="str">
        <f>[1]モンスター計算!C147</f>
        <v>闇</v>
      </c>
      <c r="G149" s="8">
        <v>1.2</v>
      </c>
      <c r="H149" t="str">
        <f t="shared" si="6"/>
        <v>OK</v>
      </c>
      <c r="I149" s="9">
        <f>IF($H149&lt;&gt;"OK","",ROUND($G149*使い方と設定!$B$7*$AK149*INDEX(個性タイプマスタ!$Q$5:$AA$54,$AE149,1)/$AG149,4))</f>
        <v>0.48470000000000002</v>
      </c>
      <c r="J149" s="9">
        <f>IF($H149&lt;&gt;"OK","",ROUND($G149*使い方と設定!$B$7*$AK149*INDEX(個性タイプマスタ!$Q$5:$AA$54,$AE149,2)/$AG149,4))</f>
        <v>0.26340000000000002</v>
      </c>
      <c r="K149" s="9">
        <f>IF($H149&lt;&gt;"OK","",ROUND($G149*使い方と設定!$B$7*$AK149*INDEX(個性タイプマスタ!$Q$5:$AA$54,$AE149,3)/$AG149,4))</f>
        <v>1.1975</v>
      </c>
      <c r="L149" s="9">
        <f>IF($H149&lt;&gt;"OK","",ROUND($G149*使い方と設定!$B$7*$AK149*INDEX(個性タイプマスタ!$Q$5:$AA$54,$AE149,4)/$AG149,4))</f>
        <v>0.1197</v>
      </c>
      <c r="M149" s="9">
        <f>IF($H149&lt;&gt;"OK","",ROUND($G149*使い方と設定!$B$7*$AK149*INDEX(個性タイプマスタ!$Q$5:$AA$54,$AE149,5)/$AG149,4))</f>
        <v>0.38679999999999998</v>
      </c>
      <c r="N149" s="9">
        <f>IF($H149&lt;&gt;"OK","",ROUND($G149*使い方と設定!$B$7*$AK149*INDEX(個性タイプマスタ!$Q$5:$AA$54,$AE149,6)/$AG149,4))</f>
        <v>0.42749999999999999</v>
      </c>
      <c r="O149" s="9">
        <f>IF($H149&lt;&gt;"OK","",ROUND($G149*使い方と設定!$B$7*$AK149*INDEX(個性タイプマスタ!$Q$5:$AA$54,$AE149,7)/$AG149,4))</f>
        <v>0.26340000000000002</v>
      </c>
      <c r="P149" s="9">
        <f>IF($H149&lt;&gt;"OK","",ROUND($G149*使い方と設定!$B$7*$AK149*INDEX(個性タイプマスタ!$Q$5:$AA$54,$AE149,8)/$AG149,4))</f>
        <v>0.31130000000000002</v>
      </c>
      <c r="Q149" s="9">
        <f>IF($H149&lt;&gt;"OK","",ROUND($G149*使い方と設定!$B$7*$AK149*INDEX(個性タイプマスタ!$Q$5:$AA$54,$AE149,9)/$AG149,4))</f>
        <v>0.21079999999999999</v>
      </c>
      <c r="R149" s="9">
        <f>IF($H149&lt;&gt;"OK","",ROUND($G149*使い方と設定!$B$7*$AK149*INDEX(個性タイプマスタ!$Q$5:$AA$54,$AE149,10)/$AG149,4))</f>
        <v>0.50290000000000001</v>
      </c>
      <c r="S149" s="9">
        <f>IF($H149&lt;&gt;"OK","",ROUND($G149*使い方と設定!$B$7*$AK149*INDEX(個性タイプマスタ!$Q$5:$AA$54,$AE149,11)/$AG149,4))</f>
        <v>0.26819999999999999</v>
      </c>
      <c r="T149" s="9">
        <f>IF($H149&lt;&gt;"OK","",ROUND($G149*使い方と設定!$B$8*$AK149*$AH149*INDEX(属性耐性マスタ!$B$5:$G$10,$AF149,1),4))</f>
        <v>9.1999999999999998E-3</v>
      </c>
      <c r="U149" s="9">
        <f>IF($H149&lt;&gt;"OK","",ROUND($G149*使い方と設定!$B$8*$AK149*$AH149*INDEX(属性耐性マスタ!$B$5:$G$10,$AF149,2),4))</f>
        <v>9.1999999999999998E-3</v>
      </c>
      <c r="V149" s="9">
        <f>IF($H149&lt;&gt;"OK","",ROUND($G149*使い方と設定!$B$8*$AK149*$AH149*INDEX(属性耐性マスタ!$B$5:$G$10,$AF149,3),4))</f>
        <v>9.1999999999999998E-3</v>
      </c>
      <c r="W149" s="9">
        <f>IF($H149&lt;&gt;"OK","",ROUND($G149*使い方と設定!$B$8*$AK149*$AH149*INDEX(属性耐性マスタ!$B$5:$G$10,$AF149,4),4))</f>
        <v>9.1999999999999998E-3</v>
      </c>
      <c r="X149" s="9">
        <f>IF($H149&lt;&gt;"OK","",ROUND($G149*使い方と設定!$B$8*$AK149*$AH149*INDEX(属性耐性マスタ!$B$5:$G$10,$AF149,5),4))</f>
        <v>2.46E-2</v>
      </c>
      <c r="Y149" s="9">
        <f>IF($H149&lt;&gt;"OK","",ROUND($G149*使い方と設定!$B$8*$AK149*$AH149*INDEX(属性耐性マスタ!$B$5:$G$10,$AF149,6),4))</f>
        <v>0.18459999999999999</v>
      </c>
      <c r="Z149" s="9">
        <f>IF($H149&lt;&gt;"OK","",ROUND($G149*使い方と設定!$B$9*$AK149*$AI149,4))</f>
        <v>1.3802000000000001</v>
      </c>
      <c r="AA149" s="10">
        <v>0.5</v>
      </c>
      <c r="AB149" s="11">
        <f t="shared" si="7"/>
        <v>4.4362000000000004</v>
      </c>
      <c r="AC149" s="11">
        <f t="shared" si="8"/>
        <v>0.246</v>
      </c>
      <c r="AD149" s="7" t="str">
        <f>IF($H149&lt;&gt;"OK","",INDEX(個性タイプマスタ!$P$5:$P$54,$AE149))</f>
        <v>終盤近接の特別配分</v>
      </c>
      <c r="AE149">
        <f>IFERROR(MATCH(E149,個性タイプマスタ!$A$5:$A$54,0),0)</f>
        <v>7</v>
      </c>
      <c r="AF149">
        <f>IFERROR(MATCH(F149,属性耐性マスタ!$A$5:$A$10,0),0)</f>
        <v>6</v>
      </c>
      <c r="AG149">
        <f>IF(AE149=0,1,INDEX(個性タイプマスタ!$AB$5:$AB$54,AE149))</f>
        <v>9.2620000000000022</v>
      </c>
      <c r="AH149">
        <f>IF(AE149=0,1,INDEX(個性タイプマスタ!$AC$5:$AC$54,AE149))</f>
        <v>1.04</v>
      </c>
      <c r="AI149">
        <f>IF(AE149=0,0,INDEX(個性タイプマスタ!$AD$5:$AD$54,AE149))</f>
        <v>0.93333333333333335</v>
      </c>
      <c r="AJ149" s="16">
        <v>24</v>
      </c>
      <c r="AK149" s="17">
        <f>IF(OR(AJ149="",AJ149&lt;1),"",POWER(使い方と設定!$E$6,AJ149-1))</f>
        <v>2.4647155431651466</v>
      </c>
    </row>
    <row r="150" spans="1:37">
      <c r="A150" t="str">
        <f>+[2]称号!A145</f>
        <v>TITLE_144</v>
      </c>
      <c r="B150" t="str">
        <f>+[2]称号!B145</f>
        <v>冥騎士団長</v>
      </c>
      <c r="C150" t="s">
        <v>423</v>
      </c>
      <c r="D150" t="s">
        <v>424</v>
      </c>
      <c r="E150" s="2" t="str">
        <f>[1]モンスター計算!AM148</f>
        <v>魔法・狙撃</v>
      </c>
      <c r="F150" s="2" t="str">
        <f>[1]モンスター計算!C148</f>
        <v>闇</v>
      </c>
      <c r="G150" s="8">
        <v>1.25</v>
      </c>
      <c r="H150" t="str">
        <f t="shared" si="6"/>
        <v>OK</v>
      </c>
      <c r="I150" s="9">
        <f>IF($H150&lt;&gt;"OK","",ROUND($G150*使い方と設定!$B$7*$AK150*INDEX(個性タイプマスタ!$Q$5:$AA$54,$AE150,1)/$AG150,4))</f>
        <v>0.30859999999999999</v>
      </c>
      <c r="J150" s="9">
        <f>IF($H150&lt;&gt;"OK","",ROUND($G150*使い方と設定!$B$7*$AK150*INDEX(個性タイプマスタ!$Q$5:$AA$54,$AE150,2)/$AG150,4))</f>
        <v>0.50660000000000005</v>
      </c>
      <c r="K150" s="9">
        <f>IF($H150&lt;&gt;"OK","",ROUND($G150*使い方と設定!$B$7*$AK150*INDEX(個性タイプマスタ!$Q$5:$AA$54,$AE150,3)/$AG150,4))</f>
        <v>5.4399999999999997E-2</v>
      </c>
      <c r="L150" s="9">
        <f>IF($H150&lt;&gt;"OK","",ROUND($G150*使い方と設定!$B$7*$AK150*INDEX(個性タイプマスタ!$Q$5:$AA$54,$AE150,4)/$AG150,4))</f>
        <v>1.0467</v>
      </c>
      <c r="M150" s="9">
        <f>IF($H150&lt;&gt;"OK","",ROUND($G150*使い方と設定!$B$7*$AK150*INDEX(個性タイプマスタ!$Q$5:$AA$54,$AE150,5)/$AG150,4))</f>
        <v>0.23130000000000001</v>
      </c>
      <c r="N150" s="9">
        <f>IF($H150&lt;&gt;"OK","",ROUND($G150*使い方と設定!$B$7*$AK150*INDEX(個性タイプマスタ!$Q$5:$AA$54,$AE150,6)/$AG150,4))</f>
        <v>0.28470000000000001</v>
      </c>
      <c r="O150" s="9">
        <f>IF($H150&lt;&gt;"OK","",ROUND($G150*使い方と設定!$B$7*$AK150*INDEX(個性タイプマスタ!$Q$5:$AA$54,$AE150,7)/$AG150,4))</f>
        <v>0.82899999999999996</v>
      </c>
      <c r="P150" s="9">
        <f>IF($H150&lt;&gt;"OK","",ROUND($G150*使い方と設定!$B$7*$AK150*INDEX(個性タイプマスタ!$Q$5:$AA$54,$AE150,8)/$AG150,4))</f>
        <v>0.33560000000000001</v>
      </c>
      <c r="Q150" s="9">
        <f>IF($H150&lt;&gt;"OK","",ROUND($G150*使い方と設定!$B$7*$AK150*INDEX(個性タイプマスタ!$Q$5:$AA$54,$AE150,9)/$AG150,4))</f>
        <v>0.1888</v>
      </c>
      <c r="R150" s="9">
        <f>IF($H150&lt;&gt;"OK","",ROUND($G150*使い方と設定!$B$7*$AK150*INDEX(個性タイプマスタ!$Q$5:$AA$54,$AE150,10)/$AG150,4))</f>
        <v>0.314</v>
      </c>
      <c r="S150" s="9">
        <f>IF($H150&lt;&gt;"OK","",ROUND($G150*使い方と設定!$B$7*$AK150*INDEX(個性タイプマスタ!$Q$5:$AA$54,$AE150,11)/$AG150,4))</f>
        <v>0.52170000000000005</v>
      </c>
      <c r="T150" s="9">
        <f>IF($H150&lt;&gt;"OK","",ROUND($G150*使い方と設定!$B$8*$AK150*$AH150*INDEX(属性耐性マスタ!$B$5:$G$10,$AF150,1),4))</f>
        <v>7.0000000000000001E-3</v>
      </c>
      <c r="U150" s="9">
        <f>IF($H150&lt;&gt;"OK","",ROUND($G150*使い方と設定!$B$8*$AK150*$AH150*INDEX(属性耐性マスタ!$B$5:$G$10,$AF150,2),4))</f>
        <v>7.0000000000000001E-3</v>
      </c>
      <c r="V150" s="9">
        <f>IF($H150&lt;&gt;"OK","",ROUND($G150*使い方と設定!$B$8*$AK150*$AH150*INDEX(属性耐性マスタ!$B$5:$G$10,$AF150,3),4))</f>
        <v>7.0000000000000001E-3</v>
      </c>
      <c r="W150" s="9">
        <f>IF($H150&lt;&gt;"OK","",ROUND($G150*使い方と設定!$B$8*$AK150*$AH150*INDEX(属性耐性マスタ!$B$5:$G$10,$AF150,4),4))</f>
        <v>7.0000000000000001E-3</v>
      </c>
      <c r="X150" s="9">
        <f>IF($H150&lt;&gt;"OK","",ROUND($G150*使い方と設定!$B$8*$AK150*$AH150*INDEX(属性耐性マスタ!$B$5:$G$10,$AF150,5),4))</f>
        <v>1.8700000000000001E-2</v>
      </c>
      <c r="Y150" s="9">
        <f>IF($H150&lt;&gt;"OK","",ROUND($G150*使い方と設定!$B$8*$AK150*$AH150*INDEX(属性耐性マスタ!$B$5:$G$10,$AF150,6),4))</f>
        <v>0.14050000000000001</v>
      </c>
      <c r="Z150" s="9">
        <f>IF($H150&lt;&gt;"OK","",ROUND($G150*使い方と設定!$B$9*$AK150*$AI150,4))</f>
        <v>1.4505999999999999</v>
      </c>
      <c r="AA150" s="10">
        <v>0.25</v>
      </c>
      <c r="AB150" s="11">
        <f t="shared" si="7"/>
        <v>4.6214000000000004</v>
      </c>
      <c r="AC150" s="11">
        <f t="shared" si="8"/>
        <v>0.18720000000000001</v>
      </c>
      <c r="AD150" s="7" t="str">
        <f>IF($H150&lt;&gt;"OK","",INDEX(個性タイプマスタ!$P$5:$P$54,$AE150))</f>
        <v>長射程・高会心。接近戦に弱い</v>
      </c>
      <c r="AE150">
        <f>IFERROR(MATCH(E150,個性タイプマスタ!$A$5:$A$54,0),0)</f>
        <v>16</v>
      </c>
      <c r="AF150">
        <f>IFERROR(MATCH(F150,属性耐性マスタ!$A$5:$A$10,0),0)</f>
        <v>6</v>
      </c>
      <c r="AG150">
        <f>IF(AE150=0,1,INDEX(個性タイプマスタ!$AB$5:$AB$54,AE150))</f>
        <v>11.038166666666667</v>
      </c>
      <c r="AH150">
        <f>IF(AE150=0,1,INDEX(個性タイプマスタ!$AC$5:$AC$54,AE150))</f>
        <v>0.76</v>
      </c>
      <c r="AI150">
        <f>IF(AE150=0,0,INDEX(個性タイプマスタ!$AD$5:$AD$54,AE150))</f>
        <v>0.94166666666666665</v>
      </c>
      <c r="AJ150" s="16">
        <v>24</v>
      </c>
      <c r="AK150" s="17">
        <f>IF(OR(AJ150="",AJ150&lt;1),"",POWER(使い方と設定!$E$6,AJ150-1))</f>
        <v>2.4647155431651466</v>
      </c>
    </row>
    <row r="151" spans="1:37">
      <c r="A151" t="str">
        <f>+[2]称号!A146</f>
        <v>TITLE_145</v>
      </c>
      <c r="B151" t="str">
        <f>+[2]称号!B146</f>
        <v>翠災の終末</v>
      </c>
      <c r="C151" t="s">
        <v>425</v>
      </c>
      <c r="D151" t="s">
        <v>426</v>
      </c>
      <c r="E151" s="2" t="str">
        <f>[1]モンスター計算!AM149</f>
        <v>魔法・火力</v>
      </c>
      <c r="F151" s="2" t="str">
        <f>[1]モンスター計算!C149</f>
        <v>風</v>
      </c>
      <c r="G151" s="8">
        <v>1</v>
      </c>
      <c r="H151" t="str">
        <f t="shared" si="6"/>
        <v>OK</v>
      </c>
      <c r="I151" s="9">
        <f>IF($H151&lt;&gt;"OK","",ROUND($G151*使い方と設定!$B$7*$AK151*INDEX(個性タイプマスタ!$Q$5:$AA$54,$AE151,1)/$AG151,4))</f>
        <v>0.31509999999999999</v>
      </c>
      <c r="J151" s="9">
        <f>IF($H151&lt;&gt;"OK","",ROUND($G151*使い方と設定!$B$7*$AK151*INDEX(個性タイプマスタ!$Q$5:$AA$54,$AE151,2)/$AG151,4))</f>
        <v>0.46460000000000001</v>
      </c>
      <c r="K151" s="9">
        <f>IF($H151&lt;&gt;"OK","",ROUND($G151*使い方と設定!$B$7*$AK151*INDEX(個性タイプマスタ!$Q$5:$AA$54,$AE151,3)/$AG151,4))</f>
        <v>9.1800000000000007E-2</v>
      </c>
      <c r="L151" s="9">
        <f>IF($H151&lt;&gt;"OK","",ROUND($G151*使い方と設定!$B$7*$AK151*INDEX(個性タイプマスタ!$Q$5:$AA$54,$AE151,4)/$AG151,4))</f>
        <v>0.91810000000000003</v>
      </c>
      <c r="M151" s="9">
        <f>IF($H151&lt;&gt;"OK","",ROUND($G151*使い方と設定!$B$7*$AK151*INDEX(個性タイプマスタ!$Q$5:$AA$54,$AE151,5)/$AG151,4))</f>
        <v>0.2341</v>
      </c>
      <c r="N151" s="9">
        <f>IF($H151&lt;&gt;"OK","",ROUND($G151*使い方と設定!$B$7*$AK151*INDEX(個性タイプマスタ!$Q$5:$AA$54,$AE151,6)/$AG151,4))</f>
        <v>0.24970000000000001</v>
      </c>
      <c r="O151" s="9">
        <f>IF($H151&lt;&gt;"OK","",ROUND($G151*使い方と設定!$B$7*$AK151*INDEX(個性タイプマスタ!$Q$5:$AA$54,$AE151,7)/$AG151,4))</f>
        <v>0.44440000000000002</v>
      </c>
      <c r="P151" s="9">
        <f>IF($H151&lt;&gt;"OK","",ROUND($G151*使い方と設定!$B$7*$AK151*INDEX(個性タイプマスタ!$Q$5:$AA$54,$AE151,8)/$AG151,4))</f>
        <v>0.2626</v>
      </c>
      <c r="Q151" s="9">
        <f>IF($H151&lt;&gt;"OK","",ROUND($G151*使い方と設定!$B$7*$AK151*INDEX(個性タイプマスタ!$Q$5:$AA$54,$AE151,9)/$AG151,4))</f>
        <v>0.17780000000000001</v>
      </c>
      <c r="R151" s="9">
        <f>IF($H151&lt;&gt;"OK","",ROUND($G151*使い方と設定!$B$7*$AK151*INDEX(個性タイプマスタ!$Q$5:$AA$54,$AE151,10)/$AG151,4))</f>
        <v>0.40400000000000003</v>
      </c>
      <c r="S151" s="9">
        <f>IF($H151&lt;&gt;"OK","",ROUND($G151*使い方と設定!$B$7*$AK151*INDEX(個性タイプマスタ!$Q$5:$AA$54,$AE151,11)/$AG151,4))</f>
        <v>0.2828</v>
      </c>
      <c r="T151" s="9">
        <f>IF($H151&lt;&gt;"OK","",ROUND($G151*使い方と設定!$B$8*$AK151*$AH151*INDEX(属性耐性マスタ!$B$5:$G$10,$AF151,1),4))</f>
        <v>8.6E-3</v>
      </c>
      <c r="U151" s="9">
        <f>IF($H151&lt;&gt;"OK","",ROUND($G151*使い方と設定!$B$8*$AK151*$AH151*INDEX(属性耐性マスタ!$B$5:$G$10,$AF151,2),4))</f>
        <v>8.6E-3</v>
      </c>
      <c r="V151" s="9">
        <f>IF($H151&lt;&gt;"OK","",ROUND($G151*使い方と設定!$B$8*$AK151*$AH151*INDEX(属性耐性マスタ!$B$5:$G$10,$AF151,3),4))</f>
        <v>0.12920000000000001</v>
      </c>
      <c r="W151" s="9">
        <f>IF($H151&lt;&gt;"OK","",ROUND($G151*使い方と設定!$B$8*$AK151*$AH151*INDEX(属性耐性マスタ!$B$5:$G$10,$AF151,4),4))</f>
        <v>3.2300000000000002E-2</v>
      </c>
      <c r="X151" s="9">
        <f>IF($H151&lt;&gt;"OK","",ROUND($G151*使い方と設定!$B$8*$AK151*$AH151*INDEX(属性耐性マスタ!$B$5:$G$10,$AF151,5),4))</f>
        <v>6.4999999999999997E-3</v>
      </c>
      <c r="Y151" s="9">
        <f>IF($H151&lt;&gt;"OK","",ROUND($G151*使い方と設定!$B$8*$AK151*$AH151*INDEX(属性耐性マスタ!$B$5:$G$10,$AF151,6),4))</f>
        <v>6.4999999999999997E-3</v>
      </c>
      <c r="Z151" s="9">
        <f>IF($H151&lt;&gt;"OK","",ROUND($G151*使い方と設定!$B$9*$AK151*$AI151,4))</f>
        <v>1.2388999999999999</v>
      </c>
      <c r="AA151" s="10">
        <v>1</v>
      </c>
      <c r="AB151" s="11">
        <f t="shared" si="7"/>
        <v>3.8450000000000002</v>
      </c>
      <c r="AC151" s="11">
        <f t="shared" si="8"/>
        <v>0.19170000000000001</v>
      </c>
      <c r="AD151" s="7" t="str">
        <f>IF($H151&lt;&gt;"OK","",INDEX(個性タイプマスタ!$P$5:$P$54,$AE151))</f>
        <v>火力偏重。反撃に弱い</v>
      </c>
      <c r="AE151">
        <f>IFERROR(MATCH(E151,個性タイプマスタ!$A$5:$A$54,0),0)</f>
        <v>9</v>
      </c>
      <c r="AF151">
        <f>IFERROR(MATCH(F151,属性耐性マスタ!$A$5:$A$10,0),0)</f>
        <v>3</v>
      </c>
      <c r="AG151">
        <f>IF(AE151=0,1,INDEX(個性タイプマスタ!$AB$5:$AB$54,AE151))</f>
        <v>10.4695</v>
      </c>
      <c r="AH151">
        <f>IF(AE151=0,1,INDEX(個性タイプマスタ!$AC$5:$AC$54,AE151))</f>
        <v>0.84</v>
      </c>
      <c r="AI151">
        <f>IF(AE151=0,0,INDEX(個性タイプマスタ!$AD$5:$AD$54,AE151))</f>
        <v>0.96666666666666667</v>
      </c>
      <c r="AJ151" s="16">
        <v>25</v>
      </c>
      <c r="AK151" s="17">
        <f>IF(OR(AJ151="",AJ151&lt;1),"",POWER(使い方と設定!$E$6,AJ151-1))</f>
        <v>2.5633041648917527</v>
      </c>
    </row>
    <row r="152" spans="1:37">
      <c r="A152" t="str">
        <f>+[2]称号!A147</f>
        <v>TITLE_146</v>
      </c>
      <c r="B152" t="str">
        <f>+[2]称号!B147</f>
        <v>深海の静謐姫</v>
      </c>
      <c r="C152" t="s">
        <v>427</v>
      </c>
      <c r="D152" t="s">
        <v>428</v>
      </c>
      <c r="E152" s="2" t="str">
        <f>[1]モンスター計算!AM150</f>
        <v>魔法・重装砲</v>
      </c>
      <c r="F152" s="2" t="str">
        <f>[1]モンスター計算!C150</f>
        <v>水</v>
      </c>
      <c r="G152" s="8">
        <v>1.05</v>
      </c>
      <c r="H152" t="str">
        <f t="shared" si="6"/>
        <v>OK</v>
      </c>
      <c r="I152" s="9">
        <f>IF($H152&lt;&gt;"OK","",ROUND($G152*使い方と設定!$B$7*$AK152*INDEX(個性タイプマスタ!$Q$5:$AA$54,$AE152,1)/$AG152,4))</f>
        <v>0.66190000000000004</v>
      </c>
      <c r="J152" s="9">
        <f>IF($H152&lt;&gt;"OK","",ROUND($G152*使い方と設定!$B$7*$AK152*INDEX(個性タイプマスタ!$Q$5:$AA$54,$AE152,2)/$AG152,4))</f>
        <v>0.51949999999999996</v>
      </c>
      <c r="K152" s="9">
        <f>IF($H152&lt;&gt;"OK","",ROUND($G152*使い方と設定!$B$7*$AK152*INDEX(個性タイプマスタ!$Q$5:$AA$54,$AE152,3)/$AG152,4))</f>
        <v>5.6800000000000003E-2</v>
      </c>
      <c r="L152" s="9">
        <f>IF($H152&lt;&gt;"OK","",ROUND($G152*使い方と設定!$B$7*$AK152*INDEX(個性タイプマスタ!$Q$5:$AA$54,$AE152,4)/$AG152,4))</f>
        <v>0.87460000000000004</v>
      </c>
      <c r="M152" s="9">
        <f>IF($H152&lt;&gt;"OK","",ROUND($G152*使い方と設定!$B$7*$AK152*INDEX(個性タイプマスタ!$Q$5:$AA$54,$AE152,5)/$AG152,4))</f>
        <v>0.48770000000000002</v>
      </c>
      <c r="N152" s="9">
        <f>IF($H152&lt;&gt;"OK","",ROUND($G152*使い方と設定!$B$7*$AK152*INDEX(個性タイプマスタ!$Q$5:$AA$54,$AE152,6)/$AG152,4))</f>
        <v>0.46089999999999998</v>
      </c>
      <c r="O152" s="9">
        <f>IF($H152&lt;&gt;"OK","",ROUND($G152*使い方と設定!$B$7*$AK152*INDEX(個性タイプマスタ!$Q$5:$AA$54,$AE152,7)/$AG152,4))</f>
        <v>0.13469999999999999</v>
      </c>
      <c r="P152" s="9">
        <f>IF($H152&lt;&gt;"OK","",ROUND($G152*使い方と設定!$B$7*$AK152*INDEX(個性タイプマスタ!$Q$5:$AA$54,$AE152,8)/$AG152,4))</f>
        <v>0.2122</v>
      </c>
      <c r="Q152" s="9">
        <f>IF($H152&lt;&gt;"OK","",ROUND($G152*使い方と設定!$B$7*$AK152*INDEX(個性タイプマスタ!$Q$5:$AA$54,$AE152,9)/$AG152,4))</f>
        <v>0.1154</v>
      </c>
      <c r="R152" s="9">
        <f>IF($H152&lt;&gt;"OK","",ROUND($G152*使い方と設定!$B$7*$AK152*INDEX(個性タイプマスタ!$Q$5:$AA$54,$AE152,10)/$AG152,4))</f>
        <v>0.2099</v>
      </c>
      <c r="S152" s="9">
        <f>IF($H152&lt;&gt;"OK","",ROUND($G152*使い方と設定!$B$7*$AK152*INDEX(個性タイプマスタ!$Q$5:$AA$54,$AE152,11)/$AG152,4))</f>
        <v>0.30359999999999998</v>
      </c>
      <c r="T152" s="9">
        <f>IF($H152&lt;&gt;"OK","",ROUND($G152*使い方と設定!$B$8*$AK152*$AH152*INDEX(属性耐性マスタ!$B$5:$G$10,$AF152,1),4))</f>
        <v>4.7800000000000002E-2</v>
      </c>
      <c r="U152" s="9">
        <f>IF($H152&lt;&gt;"OK","",ROUND($G152*使い方と設定!$B$8*$AK152*$AH152*INDEX(属性耐性マスタ!$B$5:$G$10,$AF152,2),4))</f>
        <v>0.23899999999999999</v>
      </c>
      <c r="V152" s="9">
        <f>IF($H152&lt;&gt;"OK","",ROUND($G152*使い方と設定!$B$8*$AK152*$AH152*INDEX(属性耐性マスタ!$B$5:$G$10,$AF152,3),4))</f>
        <v>1.5900000000000001E-2</v>
      </c>
      <c r="W152" s="9">
        <f>IF($H152&lt;&gt;"OK","",ROUND($G152*使い方と設定!$B$8*$AK152*$AH152*INDEX(属性耐性マスタ!$B$5:$G$10,$AF152,4),4))</f>
        <v>1.5900000000000001E-2</v>
      </c>
      <c r="X152" s="9">
        <f>IF($H152&lt;&gt;"OK","",ROUND($G152*使い方と設定!$B$8*$AK152*$AH152*INDEX(属性耐性マスタ!$B$5:$G$10,$AF152,5),4))</f>
        <v>1.2E-2</v>
      </c>
      <c r="Y152" s="9">
        <f>IF($H152&lt;&gt;"OK","",ROUND($G152*使い方と設定!$B$8*$AK152*$AH152*INDEX(属性耐性マスタ!$B$5:$G$10,$AF152,6),4))</f>
        <v>1.2E-2</v>
      </c>
      <c r="Z152" s="9">
        <f>IF($H152&lt;&gt;"OK","",ROUND($G152*使い方と設定!$B$9*$AK152*$AI152,4))</f>
        <v>1.1438999999999999</v>
      </c>
      <c r="AA152" s="10">
        <v>1</v>
      </c>
      <c r="AB152" s="11">
        <f t="shared" si="7"/>
        <v>4.0372000000000003</v>
      </c>
      <c r="AC152" s="11">
        <f t="shared" si="8"/>
        <v>0.34260000000000002</v>
      </c>
      <c r="AD152" s="7" t="str">
        <f>IF($H152&lt;&gt;"OK","",INDEX(個性タイプマスタ!$P$5:$P$54,$AE152))</f>
        <v>高耐久・射撃間隔は長い</v>
      </c>
      <c r="AE152">
        <f>IFERROR(MATCH(E152,個性タイプマスタ!$A$5:$A$54,0),0)</f>
        <v>19</v>
      </c>
      <c r="AF152">
        <f>IFERROR(MATCH(F152,属性耐性マスタ!$A$5:$A$10,0),0)</f>
        <v>2</v>
      </c>
      <c r="AG152">
        <f>IF(AE152=0,1,INDEX(個性タイプマスタ!$AB$5:$AB$54,AE152))</f>
        <v>11.540666666666668</v>
      </c>
      <c r="AH152">
        <f>IF(AE152=0,1,INDEX(個性タイプマスタ!$AC$5:$AC$54,AE152))</f>
        <v>1.48</v>
      </c>
      <c r="AI152">
        <f>IF(AE152=0,0,INDEX(個性タイプマスタ!$AD$5:$AD$54,AE152))</f>
        <v>0.85</v>
      </c>
      <c r="AJ152" s="16">
        <v>25</v>
      </c>
      <c r="AK152" s="17">
        <f>IF(OR(AJ152="",AJ152&lt;1),"",POWER(使い方と設定!$E$6,AJ152-1))</f>
        <v>2.5633041648917527</v>
      </c>
    </row>
    <row r="153" spans="1:37">
      <c r="A153" t="str">
        <f>+[2]称号!A148</f>
        <v>TITLE_147</v>
      </c>
      <c r="B153" t="str">
        <f>+[2]称号!B148</f>
        <v>骸骨の覇王</v>
      </c>
      <c r="C153" t="s">
        <v>429</v>
      </c>
      <c r="D153" t="s">
        <v>430</v>
      </c>
      <c r="E153" s="2" t="str">
        <f>[1]モンスター計算!AM151</f>
        <v>魔法・耐性特化</v>
      </c>
      <c r="F153" s="2" t="str">
        <f>[1]モンスター計算!C151</f>
        <v>闇</v>
      </c>
      <c r="G153" s="8">
        <v>1.1000000000000001</v>
      </c>
      <c r="H153" t="str">
        <f t="shared" si="6"/>
        <v>OK</v>
      </c>
      <c r="I153" s="9">
        <f>IF($H153&lt;&gt;"OK","",ROUND($G153*使い方と設定!$B$7*$AK153*INDEX(個性タイプマスタ!$Q$5:$AA$54,$AE153,1)/$AG153,4))</f>
        <v>0.46529999999999999</v>
      </c>
      <c r="J153" s="9">
        <f>IF($H153&lt;&gt;"OK","",ROUND($G153*使い方と設定!$B$7*$AK153*INDEX(個性タイプマスタ!$Q$5:$AA$54,$AE153,2)/$AG153,4))</f>
        <v>0.55830000000000002</v>
      </c>
      <c r="K153" s="9">
        <f>IF($H153&lt;&gt;"OK","",ROUND($G153*使い方と設定!$B$7*$AK153*INDEX(個性タイプマスタ!$Q$5:$AA$54,$AE153,3)/$AG153,4))</f>
        <v>7.3999999999999996E-2</v>
      </c>
      <c r="L153" s="9">
        <f>IF($H153&lt;&gt;"OK","",ROUND($G153*使い方と設定!$B$7*$AK153*INDEX(個性タイプマスタ!$Q$5:$AA$54,$AE153,4)/$AG153,4))</f>
        <v>1.0573999999999999</v>
      </c>
      <c r="M153" s="9">
        <f>IF($H153&lt;&gt;"OK","",ROUND($G153*使い方と設定!$B$7*$AK153*INDEX(個性タイプマスタ!$Q$5:$AA$54,$AE153,5)/$AG153,4))</f>
        <v>0.34510000000000002</v>
      </c>
      <c r="N153" s="9">
        <f>IF($H153&lt;&gt;"OK","",ROUND($G153*使い方と設定!$B$7*$AK153*INDEX(個性タイプマスタ!$Q$5:$AA$54,$AE153,6)/$AG153,4))</f>
        <v>0.36670000000000003</v>
      </c>
      <c r="O153" s="9">
        <f>IF($H153&lt;&gt;"OK","",ROUND($G153*使い方と設定!$B$7*$AK153*INDEX(個性タイプマスタ!$Q$5:$AA$54,$AE153,7)/$AG153,4))</f>
        <v>0.2094</v>
      </c>
      <c r="P153" s="9">
        <f>IF($H153&lt;&gt;"OK","",ROUND($G153*使い方と設定!$B$7*$AK153*INDEX(個性タイプマスタ!$Q$5:$AA$54,$AE153,8)/$AG153,4))</f>
        <v>0.25659999999999999</v>
      </c>
      <c r="Q153" s="9">
        <f>IF($H153&lt;&gt;"OK","",ROUND($G153*使い方と設定!$B$7*$AK153*INDEX(個性タイプマスタ!$Q$5:$AA$54,$AE153,9)/$AG153,4))</f>
        <v>0.1908</v>
      </c>
      <c r="R153" s="9">
        <f>IF($H153&lt;&gt;"OK","",ROUND($G153*使い方と設定!$B$7*$AK153*INDEX(個性タイプマスタ!$Q$5:$AA$54,$AE153,10)/$AG153,4))</f>
        <v>0.3891</v>
      </c>
      <c r="S153" s="9">
        <f>IF($H153&lt;&gt;"OK","",ROUND($G153*使い方と設定!$B$7*$AK153*INDEX(個性タイプマスタ!$Q$5:$AA$54,$AE153,11)/$AG153,4))</f>
        <v>0.31680000000000003</v>
      </c>
      <c r="T153" s="9">
        <f>IF($H153&lt;&gt;"OK","",ROUND($G153*使い方と設定!$B$8*$AK153*$AH153*INDEX(属性耐性マスタ!$B$5:$G$10,$AF153,1),4))</f>
        <v>1.2699999999999999E-2</v>
      </c>
      <c r="U153" s="9">
        <f>IF($H153&lt;&gt;"OK","",ROUND($G153*使い方と設定!$B$8*$AK153*$AH153*INDEX(属性耐性マスタ!$B$5:$G$10,$AF153,2),4))</f>
        <v>1.2699999999999999E-2</v>
      </c>
      <c r="V153" s="9">
        <f>IF($H153&lt;&gt;"OK","",ROUND($G153*使い方と設定!$B$8*$AK153*$AH153*INDEX(属性耐性マスタ!$B$5:$G$10,$AF153,3),4))</f>
        <v>1.2699999999999999E-2</v>
      </c>
      <c r="W153" s="9">
        <f>IF($H153&lt;&gt;"OK","",ROUND($G153*使い方と設定!$B$8*$AK153*$AH153*INDEX(属性耐性マスタ!$B$5:$G$10,$AF153,4),4))</f>
        <v>1.2699999999999999E-2</v>
      </c>
      <c r="X153" s="9">
        <f>IF($H153&lt;&gt;"OK","",ROUND($G153*使い方と設定!$B$8*$AK153*$AH153*INDEX(属性耐性マスタ!$B$5:$G$10,$AF153,5),4))</f>
        <v>3.3799999999999997E-2</v>
      </c>
      <c r="Y153" s="9">
        <f>IF($H153&lt;&gt;"OK","",ROUND($G153*使い方と設定!$B$8*$AK153*$AH153*INDEX(属性耐性マスタ!$B$5:$G$10,$AF153,6),4))</f>
        <v>0.25380000000000003</v>
      </c>
      <c r="Z153" s="9">
        <f>IF($H153&lt;&gt;"OK","",ROUND($G153*使い方と設定!$B$9*$AK153*$AI153,4))</f>
        <v>1.3275999999999999</v>
      </c>
      <c r="AA153" s="10">
        <v>0.9</v>
      </c>
      <c r="AB153" s="11">
        <f t="shared" si="7"/>
        <v>4.2294999999999998</v>
      </c>
      <c r="AC153" s="11">
        <f t="shared" si="8"/>
        <v>0.33839999999999998</v>
      </c>
      <c r="AD153" s="7" t="str">
        <f>IF($H153&lt;&gt;"OK","",INDEX(個性タイプマスタ!$P$5:$P$54,$AE153))</f>
        <v>属性耐性重視・他能力は平均</v>
      </c>
      <c r="AE153">
        <f>IFERROR(MATCH(E153,個性タイプマスタ!$A$5:$A$54,0),0)</f>
        <v>26</v>
      </c>
      <c r="AF153">
        <f>IFERROR(MATCH(F153,属性耐性マスタ!$A$5:$A$10,0),0)</f>
        <v>6</v>
      </c>
      <c r="AG153">
        <f>IF(AE153=0,1,INDEX(個性タイプマスタ!$AB$5:$AB$54,AE153))</f>
        <v>9.9996666666666663</v>
      </c>
      <c r="AH153">
        <f>IF(AE153=0,1,INDEX(個性タイプマスタ!$AC$5:$AC$54,AE153))</f>
        <v>1.5</v>
      </c>
      <c r="AI153">
        <f>IF(AE153=0,0,INDEX(個性タイプマスタ!$AD$5:$AD$54,AE153))</f>
        <v>0.94166666666666665</v>
      </c>
      <c r="AJ153" s="16">
        <v>25</v>
      </c>
      <c r="AK153" s="17">
        <f>IF(OR(AJ153="",AJ153&lt;1),"",POWER(使い方と設定!$E$6,AJ153-1))</f>
        <v>2.5633041648917527</v>
      </c>
    </row>
    <row r="154" spans="1:37">
      <c r="A154" t="str">
        <f>+[2]称号!A149</f>
        <v>TITLE_148</v>
      </c>
      <c r="B154" t="str">
        <f>+[2]称号!B149</f>
        <v>堕天の魔華</v>
      </c>
      <c r="C154" t="s">
        <v>431</v>
      </c>
      <c r="D154" t="s">
        <v>432</v>
      </c>
      <c r="E154" s="2" t="str">
        <f>[1]モンスター計算!AM152</f>
        <v>近接・重装</v>
      </c>
      <c r="F154" s="2" t="str">
        <f>[1]モンスター計算!C152</f>
        <v>闇</v>
      </c>
      <c r="G154" s="8">
        <v>1.1499999999999999</v>
      </c>
      <c r="H154" t="str">
        <f t="shared" si="6"/>
        <v>OK</v>
      </c>
      <c r="I154" s="9">
        <f>IF($H154&lt;&gt;"OK","",ROUND($G154*使い方と設定!$B$7*$AK154*INDEX(個性タイプマスタ!$Q$5:$AA$54,$AE154,1)/$AG154,4))</f>
        <v>0.62250000000000005</v>
      </c>
      <c r="J154" s="9">
        <f>IF($H154&lt;&gt;"OK","",ROUND($G154*使い方と設定!$B$7*$AK154*INDEX(個性タイプマスタ!$Q$5:$AA$54,$AE154,2)/$AG154,4))</f>
        <v>0.20749999999999999</v>
      </c>
      <c r="K154" s="9">
        <f>IF($H154&lt;&gt;"OK","",ROUND($G154*使い方と設定!$B$7*$AK154*INDEX(個性タイプマスタ!$Q$5:$AA$54,$AE154,3)/$AG154,4))</f>
        <v>1.0481</v>
      </c>
      <c r="L154" s="9">
        <f>IF($H154&lt;&gt;"OK","",ROUND($G154*使い方と設定!$B$7*$AK154*INDEX(個性タイプマスタ!$Q$5:$AA$54,$AE154,4)/$AG154,4))</f>
        <v>0.1048</v>
      </c>
      <c r="M154" s="9">
        <f>IF($H154&lt;&gt;"OK","",ROUND($G154*使い方と設定!$B$7*$AK154*INDEX(個性タイプマスタ!$Q$5:$AA$54,$AE154,5)/$AG154,4))</f>
        <v>0.49890000000000001</v>
      </c>
      <c r="N154" s="9">
        <f>IF($H154&lt;&gt;"OK","",ROUND($G154*使い方と設定!$B$7*$AK154*INDEX(個性タイプマスタ!$Q$5:$AA$54,$AE154,6)/$AG154,4))</f>
        <v>0.35630000000000001</v>
      </c>
      <c r="O154" s="9">
        <f>IF($H154&lt;&gt;"OK","",ROUND($G154*使い方と設定!$B$7*$AK154*INDEX(個性タイプマスタ!$Q$5:$AA$54,$AE154,7)/$AG154,4))</f>
        <v>0.36890000000000001</v>
      </c>
      <c r="P154" s="9">
        <f>IF($H154&lt;&gt;"OK","",ROUND($G154*使い方と設定!$B$7*$AK154*INDEX(個性タイプマスタ!$Q$5:$AA$54,$AE154,8)/$AG154,4))</f>
        <v>0.29070000000000001</v>
      </c>
      <c r="Q154" s="9">
        <f>IF($H154&lt;&gt;"OK","",ROUND($G154*使い方と設定!$B$7*$AK154*INDEX(個性タイプマスタ!$Q$5:$AA$54,$AE154,9)/$AG154,4))</f>
        <v>0.249</v>
      </c>
      <c r="R154" s="9">
        <f>IF($H154&lt;&gt;"OK","",ROUND($G154*使い方と設定!$B$7*$AK154*INDEX(個性タイプマスタ!$Q$5:$AA$54,$AE154,10)/$AG154,4))</f>
        <v>0.44019999999999998</v>
      </c>
      <c r="S154" s="9">
        <f>IF($H154&lt;&gt;"OK","",ROUND($G154*使い方と設定!$B$7*$AK154*INDEX(個性タイプマスタ!$Q$5:$AA$54,$AE154,11)/$AG154,4))</f>
        <v>0.23480000000000001</v>
      </c>
      <c r="T154" s="9">
        <f>IF($H154&lt;&gt;"OK","",ROUND($G154*使い方と設定!$B$8*$AK154*$AH154*INDEX(属性耐性マスタ!$B$5:$G$10,$AF154,1),4))</f>
        <v>1.11E-2</v>
      </c>
      <c r="U154" s="9">
        <f>IF($H154&lt;&gt;"OK","",ROUND($G154*使い方と設定!$B$8*$AK154*$AH154*INDEX(属性耐性マスタ!$B$5:$G$10,$AF154,2),4))</f>
        <v>1.11E-2</v>
      </c>
      <c r="V154" s="9">
        <f>IF($H154&lt;&gt;"OK","",ROUND($G154*使い方と設定!$B$8*$AK154*$AH154*INDEX(属性耐性マスタ!$B$5:$G$10,$AF154,3),4))</f>
        <v>1.11E-2</v>
      </c>
      <c r="W154" s="9">
        <f>IF($H154&lt;&gt;"OK","",ROUND($G154*使い方と設定!$B$8*$AK154*$AH154*INDEX(属性耐性マスタ!$B$5:$G$10,$AF154,4),4))</f>
        <v>1.11E-2</v>
      </c>
      <c r="X154" s="9">
        <f>IF($H154&lt;&gt;"OK","",ROUND($G154*使い方と設定!$B$8*$AK154*$AH154*INDEX(属性耐性マスタ!$B$5:$G$10,$AF154,5),4))</f>
        <v>2.9700000000000001E-2</v>
      </c>
      <c r="Y154" s="9">
        <f>IF($H154&lt;&gt;"OK","",ROUND($G154*使い方と設定!$B$8*$AK154*$AH154*INDEX(属性耐性マスタ!$B$5:$G$10,$AF154,6),4))</f>
        <v>0.22289999999999999</v>
      </c>
      <c r="Z154" s="9">
        <f>IF($H154&lt;&gt;"OK","",ROUND($G154*使い方と設定!$B$9*$AK154*$AI154,4))</f>
        <v>1.5476000000000001</v>
      </c>
      <c r="AA154" s="10">
        <v>0.55000000000000004</v>
      </c>
      <c r="AB154" s="11">
        <f t="shared" si="7"/>
        <v>4.4217000000000004</v>
      </c>
      <c r="AC154" s="11">
        <f t="shared" si="8"/>
        <v>0.29699999999999999</v>
      </c>
      <c r="AD154" s="7" t="str">
        <f>IF($H154&lt;&gt;"OK","",INDEX(個性タイプマスタ!$P$5:$P$54,$AE154))</f>
        <v>高耐久の近接型。耐性も高め</v>
      </c>
      <c r="AE154">
        <f>IFERROR(MATCH(E154,個性タイプマスタ!$A$5:$A$54,0),0)</f>
        <v>5</v>
      </c>
      <c r="AF154">
        <f>IFERROR(MATCH(F154,属性耐性マスタ!$A$5:$A$10,0),0)</f>
        <v>6</v>
      </c>
      <c r="AG154">
        <f>IF(AE154=0,1,INDEX(個性タイプマスタ!$AB$5:$AB$54,AE154))</f>
        <v>10.547333333333334</v>
      </c>
      <c r="AH154">
        <f>IF(AE154=0,1,INDEX(個性タイプマスタ!$AC$5:$AC$54,AE154))</f>
        <v>1.26</v>
      </c>
      <c r="AI154">
        <f>IF(AE154=0,0,INDEX(個性タイプマスタ!$AD$5:$AD$54,AE154))</f>
        <v>1.05</v>
      </c>
      <c r="AJ154" s="16">
        <v>25</v>
      </c>
      <c r="AK154" s="17">
        <f>IF(OR(AJ154="",AJ154&lt;1),"",POWER(使い方と設定!$E$6,AJ154-1))</f>
        <v>2.5633041648917527</v>
      </c>
    </row>
    <row r="155" spans="1:37">
      <c r="A155" t="str">
        <f>+[2]称号!A150</f>
        <v>TITLE_149</v>
      </c>
      <c r="B155" t="str">
        <f>+[2]称号!B150</f>
        <v>屠殺の巨鬼</v>
      </c>
      <c r="C155" t="s">
        <v>433</v>
      </c>
      <c r="D155" t="s">
        <v>434</v>
      </c>
      <c r="E155" s="2" t="str">
        <f>[1]モンスター計算!AM153</f>
        <v>近接・刺突</v>
      </c>
      <c r="F155" s="2" t="str">
        <f>[1]モンスター計算!C153</f>
        <v>闇</v>
      </c>
      <c r="G155" s="8">
        <v>1.2</v>
      </c>
      <c r="H155" t="str">
        <f t="shared" si="6"/>
        <v>OK</v>
      </c>
      <c r="I155" s="9">
        <f>IF($H155&lt;&gt;"OK","",ROUND($G155*使い方と設定!$B$7*$AK155*INDEX(個性タイプマスタ!$Q$5:$AA$54,$AE155,1)/$AG155,4))</f>
        <v>0.39240000000000003</v>
      </c>
      <c r="J155" s="9">
        <f>IF($H155&lt;&gt;"OK","",ROUND($G155*使い方と設定!$B$7*$AK155*INDEX(個性タイプマスタ!$Q$5:$AA$54,$AE155,2)/$AG155,4))</f>
        <v>0.184</v>
      </c>
      <c r="K155" s="9">
        <f>IF($H155&lt;&gt;"OK","",ROUND($G155*使い方と設定!$B$7*$AK155*INDEX(個性タイプマスタ!$Q$5:$AA$54,$AE155,3)/$AG155,4))</f>
        <v>1.1149</v>
      </c>
      <c r="L155" s="9">
        <f>IF($H155&lt;&gt;"OK","",ROUND($G155*使い方と設定!$B$7*$AK155*INDEX(個性タイプマスタ!$Q$5:$AA$54,$AE155,4)/$AG155,4))</f>
        <v>8.4699999999999998E-2</v>
      </c>
      <c r="M155" s="9">
        <f>IF($H155&lt;&gt;"OK","",ROUND($G155*使い方と設定!$B$7*$AK155*INDEX(個性タイプマスタ!$Q$5:$AA$54,$AE155,5)/$AG155,4))</f>
        <v>0.31080000000000002</v>
      </c>
      <c r="N155" s="9">
        <f>IF($H155&lt;&gt;"OK","",ROUND($G155*使い方と設定!$B$7*$AK155*INDEX(個性タイプマスタ!$Q$5:$AA$54,$AE155,6)/$AG155,4))</f>
        <v>0.28810000000000002</v>
      </c>
      <c r="O155" s="9">
        <f>IF($H155&lt;&gt;"OK","",ROUND($G155*使い方と設定!$B$7*$AK155*INDEX(個性タイプマスタ!$Q$5:$AA$54,$AE155,7)/$AG155,4))</f>
        <v>0.63770000000000004</v>
      </c>
      <c r="P155" s="9">
        <f>IF($H155&lt;&gt;"OK","",ROUND($G155*使い方と設定!$B$7*$AK155*INDEX(個性タイプマスタ!$Q$5:$AA$54,$AE155,8)/$AG155,4))</f>
        <v>0.32850000000000001</v>
      </c>
      <c r="Q155" s="9">
        <f>IF($H155&lt;&gt;"OK","",ROUND($G155*使い方と設定!$B$7*$AK155*INDEX(個性タイプマスタ!$Q$5:$AA$54,$AE155,9)/$AG155,4))</f>
        <v>0.29430000000000001</v>
      </c>
      <c r="R155" s="9">
        <f>IF($H155&lt;&gt;"OK","",ROUND($G155*使い方と設定!$B$7*$AK155*INDEX(個性タイプマスタ!$Q$5:$AA$54,$AE155,10)/$AG155,4))</f>
        <v>0.47270000000000001</v>
      </c>
      <c r="S155" s="9">
        <f>IF($H155&lt;&gt;"OK","",ROUND($G155*使い方と設定!$B$7*$AK155*INDEX(個性タイプマスタ!$Q$5:$AA$54,$AE155,11)/$AG155,4))</f>
        <v>0.50570000000000004</v>
      </c>
      <c r="T155" s="9">
        <f>IF($H155&lt;&gt;"OK","",ROUND($G155*使い方と設定!$B$8*$AK155*$AH155*INDEX(属性耐性マスタ!$B$5:$G$10,$AF155,1),4))</f>
        <v>7.6E-3</v>
      </c>
      <c r="U155" s="9">
        <f>IF($H155&lt;&gt;"OK","",ROUND($G155*使い方と設定!$B$8*$AK155*$AH155*INDEX(属性耐性マスタ!$B$5:$G$10,$AF155,2),4))</f>
        <v>7.6E-3</v>
      </c>
      <c r="V155" s="9">
        <f>IF($H155&lt;&gt;"OK","",ROUND($G155*使い方と設定!$B$8*$AK155*$AH155*INDEX(属性耐性マスタ!$B$5:$G$10,$AF155,3),4))</f>
        <v>7.6E-3</v>
      </c>
      <c r="W155" s="9">
        <f>IF($H155&lt;&gt;"OK","",ROUND($G155*使い方と設定!$B$8*$AK155*$AH155*INDEX(属性耐性マスタ!$B$5:$G$10,$AF155,4),4))</f>
        <v>7.6E-3</v>
      </c>
      <c r="X155" s="9">
        <f>IF($H155&lt;&gt;"OK","",ROUND($G155*使い方と設定!$B$8*$AK155*$AH155*INDEX(属性耐性マスタ!$B$5:$G$10,$AF155,5),4))</f>
        <v>2.0199999999999999E-2</v>
      </c>
      <c r="Y155" s="9">
        <f>IF($H155&lt;&gt;"OK","",ROUND($G155*使い方と設定!$B$8*$AK155*$AH155*INDEX(属性耐性マスタ!$B$5:$G$10,$AF155,6),4))</f>
        <v>0.15129999999999999</v>
      </c>
      <c r="Z155" s="9">
        <f>IF($H155&lt;&gt;"OK","",ROUND($G155*使い方と設定!$B$9*$AK155*$AI155,4))</f>
        <v>1.6918</v>
      </c>
      <c r="AA155" s="10">
        <v>0.5</v>
      </c>
      <c r="AB155" s="11">
        <f t="shared" si="7"/>
        <v>4.6138000000000003</v>
      </c>
      <c r="AC155" s="11">
        <f t="shared" si="8"/>
        <v>0.2019</v>
      </c>
      <c r="AD155" s="7" t="str">
        <f>IF($H155&lt;&gt;"OK","",INDEX(個性タイプマスタ!$P$5:$P$54,$AE155))</f>
        <v>近接としては長めの射程</v>
      </c>
      <c r="AE155">
        <f>IFERROR(MATCH(E155,個性タイプマスタ!$A$5:$A$54,0),0)</f>
        <v>34</v>
      </c>
      <c r="AF155">
        <f>IFERROR(MATCH(F155,属性耐性マスタ!$A$5:$A$10,0),0)</f>
        <v>6</v>
      </c>
      <c r="AG155">
        <f>IF(AE155=0,1,INDEX(個性タイプマスタ!$AB$5:$AB$54,AE155))</f>
        <v>10.346166666666667</v>
      </c>
      <c r="AH155">
        <f>IF(AE155=0,1,INDEX(個性タイプマスタ!$AC$5:$AC$54,AE155))</f>
        <v>0.82000000000000006</v>
      </c>
      <c r="AI155">
        <f>IF(AE155=0,0,INDEX(個性タイプマスタ!$AD$5:$AD$54,AE155))</f>
        <v>1.1000000000000001</v>
      </c>
      <c r="AJ155" s="16">
        <v>25</v>
      </c>
      <c r="AK155" s="17">
        <f>IF(OR(AJ155="",AJ155&lt;1),"",POWER(使い方と設定!$E$6,AJ155-1))</f>
        <v>2.5633041648917527</v>
      </c>
    </row>
    <row r="156" spans="1:37">
      <c r="A156" t="str">
        <f>+[2]称号!A151</f>
        <v>TITLE_150</v>
      </c>
      <c r="B156" t="str">
        <f>+[2]称号!B151</f>
        <v>虚無の暴王</v>
      </c>
      <c r="C156" t="s">
        <v>435</v>
      </c>
      <c r="D156" t="s">
        <v>436</v>
      </c>
      <c r="E156" s="2" t="str">
        <f>[1]モンスター計算!AM154</f>
        <v>魔法・高会心</v>
      </c>
      <c r="F156" s="2" t="str">
        <f>[1]モンスター計算!C154</f>
        <v>闇</v>
      </c>
      <c r="G156" s="8">
        <v>1.25</v>
      </c>
      <c r="H156" t="str">
        <f t="shared" si="6"/>
        <v>OK</v>
      </c>
      <c r="I156" s="9">
        <f>IF($H156&lt;&gt;"OK","",ROUND($G156*使い方と設定!$B$7*$AK156*INDEX(個性タイプマスタ!$Q$5:$AA$54,$AE156,1)/$AG156,4))</f>
        <v>0.31730000000000003</v>
      </c>
      <c r="J156" s="9">
        <f>IF($H156&lt;&gt;"OK","",ROUND($G156*使い方と設定!$B$7*$AK156*INDEX(個性タイプマスタ!$Q$5:$AA$54,$AE156,2)/$AG156,4))</f>
        <v>0.51290000000000002</v>
      </c>
      <c r="K156" s="9">
        <f>IF($H156&lt;&gt;"OK","",ROUND($G156*使い方と設定!$B$7*$AK156*INDEX(個性タイプマスタ!$Q$5:$AA$54,$AE156,3)/$AG156,4))</f>
        <v>5.5300000000000002E-2</v>
      </c>
      <c r="L156" s="9">
        <f>IF($H156&lt;&gt;"OK","",ROUND($G156*使い方と設定!$B$7*$AK156*INDEX(個性タイプマスタ!$Q$5:$AA$54,$AE156,4)/$AG156,4))</f>
        <v>0.98799999999999999</v>
      </c>
      <c r="M156" s="9">
        <f>IF($H156&lt;&gt;"OK","",ROUND($G156*使い方と設定!$B$7*$AK156*INDEX(個性タイプマスタ!$Q$5:$AA$54,$AE156,5)/$AG156,4))</f>
        <v>0.2586</v>
      </c>
      <c r="N156" s="9">
        <f>IF($H156&lt;&gt;"OK","",ROUND($G156*使い方と設定!$B$7*$AK156*INDEX(個性タイプマスタ!$Q$5:$AA$54,$AE156,6)/$AG156,4))</f>
        <v>0.28549999999999998</v>
      </c>
      <c r="O156" s="9">
        <f>IF($H156&lt;&gt;"OK","",ROUND($G156*使い方と設定!$B$7*$AK156*INDEX(個性タイプマスタ!$Q$5:$AA$54,$AE156,7)/$AG156,4))</f>
        <v>1.1302000000000001</v>
      </c>
      <c r="P156" s="9">
        <f>IF($H156&lt;&gt;"OK","",ROUND($G156*使い方と設定!$B$7*$AK156*INDEX(個性タイプマスタ!$Q$5:$AA$54,$AE156,8)/$AG156,4))</f>
        <v>0.33389999999999997</v>
      </c>
      <c r="Q156" s="9">
        <f>IF($H156&lt;&gt;"OK","",ROUND($G156*使い方と設定!$B$7*$AK156*INDEX(個性タイプマスタ!$Q$5:$AA$54,$AE156,9)/$AG156,4))</f>
        <v>0.23910000000000001</v>
      </c>
      <c r="R156" s="9">
        <f>IF($H156&lt;&gt;"OK","",ROUND($G156*使い方と設定!$B$7*$AK156*INDEX(個性タイプマスタ!$Q$5:$AA$54,$AE156,10)/$AG156,4))</f>
        <v>0.37540000000000001</v>
      </c>
      <c r="S156" s="9">
        <f>IF($H156&lt;&gt;"OK","",ROUND($G156*使い方と設定!$B$7*$AK156*INDEX(個性タイプマスタ!$Q$5:$AA$54,$AE156,11)/$AG156,4))</f>
        <v>0.30980000000000002</v>
      </c>
      <c r="T156" s="9">
        <f>IF($H156&lt;&gt;"OK","",ROUND($G156*使い方と設定!$B$8*$AK156*$AH156*INDEX(属性耐性マスタ!$B$5:$G$10,$AF156,1),4))</f>
        <v>7.7000000000000002E-3</v>
      </c>
      <c r="U156" s="9">
        <f>IF($H156&lt;&gt;"OK","",ROUND($G156*使い方と設定!$B$8*$AK156*$AH156*INDEX(属性耐性マスタ!$B$5:$G$10,$AF156,2),4))</f>
        <v>7.7000000000000002E-3</v>
      </c>
      <c r="V156" s="9">
        <f>IF($H156&lt;&gt;"OK","",ROUND($G156*使い方と設定!$B$8*$AK156*$AH156*INDEX(属性耐性マスタ!$B$5:$G$10,$AF156,3),4))</f>
        <v>7.7000000000000002E-3</v>
      </c>
      <c r="W156" s="9">
        <f>IF($H156&lt;&gt;"OK","",ROUND($G156*使い方と設定!$B$8*$AK156*$AH156*INDEX(属性耐性マスタ!$B$5:$G$10,$AF156,4),4))</f>
        <v>7.7000000000000002E-3</v>
      </c>
      <c r="X156" s="9">
        <f>IF($H156&lt;&gt;"OK","",ROUND($G156*使い方と設定!$B$8*$AK156*$AH156*INDEX(属性耐性マスタ!$B$5:$G$10,$AF156,5),4))</f>
        <v>2.0500000000000001E-2</v>
      </c>
      <c r="Y156" s="9">
        <f>IF($H156&lt;&gt;"OK","",ROUND($G156*使い方と設定!$B$8*$AK156*$AH156*INDEX(属性耐性マスタ!$B$5:$G$10,$AF156,6),4))</f>
        <v>0.15379999999999999</v>
      </c>
      <c r="Z156" s="9">
        <f>IF($H156&lt;&gt;"OK","",ROUND($G156*使い方と設定!$B$9*$AK156*$AI156,4))</f>
        <v>1.6955</v>
      </c>
      <c r="AA156" s="10">
        <v>0.25</v>
      </c>
      <c r="AB156" s="11">
        <f t="shared" si="7"/>
        <v>4.806</v>
      </c>
      <c r="AC156" s="11">
        <f t="shared" si="8"/>
        <v>0.2051</v>
      </c>
      <c r="AD156" s="7" t="str">
        <f>IF($H156&lt;&gt;"OK","",INDEX(個性タイプマスタ!$P$5:$P$54,$AE156))</f>
        <v>高い会心率で平均火力を確保</v>
      </c>
      <c r="AE156">
        <f>IFERROR(MATCH(E156,個性タイプマスタ!$A$5:$A$54,0),0)</f>
        <v>22</v>
      </c>
      <c r="AF156">
        <f>IFERROR(MATCH(F156,属性耐性マスタ!$A$5:$A$10,0),0)</f>
        <v>6</v>
      </c>
      <c r="AG156">
        <f>IF(AE156=0,1,INDEX(個性タイプマスタ!$AB$5:$AB$54,AE156))</f>
        <v>12.162000000000001</v>
      </c>
      <c r="AH156">
        <f>IF(AE156=0,1,INDEX(個性タイプマスタ!$AC$5:$AC$54,AE156))</f>
        <v>0.8</v>
      </c>
      <c r="AI156">
        <f>IF(AE156=0,0,INDEX(個性タイプマスタ!$AD$5:$AD$54,AE156))</f>
        <v>1.0583333333333333</v>
      </c>
      <c r="AJ156" s="16">
        <v>25</v>
      </c>
      <c r="AK156" s="17">
        <f>IF(OR(AJ156="",AJ156&lt;1),"",POWER(使い方と設定!$E$6,AJ156-1))</f>
        <v>2.5633041648917527</v>
      </c>
    </row>
    <row r="157" spans="1:37">
      <c r="A157" t="str">
        <f>+[2]称号!A152</f>
        <v>TITLE_151</v>
      </c>
      <c r="B157" t="str">
        <f>+[2]称号!B152</f>
        <v>朽鉄を啜る坑骸</v>
      </c>
      <c r="C157" t="s">
        <v>437</v>
      </c>
      <c r="D157" t="s">
        <v>438</v>
      </c>
      <c r="E157" s="2" t="str">
        <f>[1]モンスター計算!AM155</f>
        <v>魔法・超軽量</v>
      </c>
      <c r="F157" s="2" t="str">
        <f>[1]モンスター計算!C155</f>
        <v>闇</v>
      </c>
      <c r="G157" s="8">
        <v>1</v>
      </c>
      <c r="H157" t="str">
        <f t="shared" si="6"/>
        <v>OK</v>
      </c>
      <c r="I157" s="9">
        <f>IF($H157&lt;&gt;"OK","",ROUND($G157*使い方と設定!$B$7*$AK157*INDEX(個性タイプマスタ!$Q$5:$AA$54,$AE157,1)/$AG157,4))</f>
        <v>0.26319999999999999</v>
      </c>
      <c r="J157" s="9">
        <f>IF($H157&lt;&gt;"OK","",ROUND($G157*使い方と設定!$B$7*$AK157*INDEX(個性タイプマスタ!$Q$5:$AA$54,$AE157,2)/$AG157,4))</f>
        <v>0.35399999999999998</v>
      </c>
      <c r="K157" s="9">
        <f>IF($H157&lt;&gt;"OK","",ROUND($G157*使い方と設定!$B$7*$AK157*INDEX(個性タイプマスタ!$Q$5:$AA$54,$AE157,3)/$AG157,4))</f>
        <v>5.16E-2</v>
      </c>
      <c r="L157" s="9">
        <f>IF($H157&lt;&gt;"OK","",ROUND($G157*使い方と設定!$B$7*$AK157*INDEX(個性タイプマスタ!$Q$5:$AA$54,$AE157,4)/$AG157,4))</f>
        <v>1.0313000000000001</v>
      </c>
      <c r="M157" s="9">
        <f>IF($H157&lt;&gt;"OK","",ROUND($G157*使い方と設定!$B$7*$AK157*INDEX(個性タイプマスタ!$Q$5:$AA$54,$AE157,5)/$AG157,4))</f>
        <v>0.22439999999999999</v>
      </c>
      <c r="N157" s="9">
        <f>IF($H157&lt;&gt;"OK","",ROUND($G157*使い方と設定!$B$7*$AK157*INDEX(個性タイプマスタ!$Q$5:$AA$54,$AE157,6)/$AG157,4))</f>
        <v>0.22789999999999999</v>
      </c>
      <c r="O157" s="9">
        <f>IF($H157&lt;&gt;"OK","",ROUND($G157*使い方と設定!$B$7*$AK157*INDEX(個性タイプマスタ!$Q$5:$AA$54,$AE157,7)/$AG157,4))</f>
        <v>0.36299999999999999</v>
      </c>
      <c r="P157" s="9">
        <f>IF($H157&lt;&gt;"OK","",ROUND($G157*使い方と設定!$B$7*$AK157*INDEX(個性タイプマスタ!$Q$5:$AA$54,$AE157,8)/$AG157,4))</f>
        <v>0.27710000000000001</v>
      </c>
      <c r="Q157" s="9">
        <f>IF($H157&lt;&gt;"OK","",ROUND($G157*使い方と設定!$B$7*$AK157*INDEX(個性タイプマスタ!$Q$5:$AA$54,$AE157,9)/$AG157,4))</f>
        <v>0.38119999999999998</v>
      </c>
      <c r="R157" s="9">
        <f>IF($H157&lt;&gt;"OK","",ROUND($G157*使い方と設定!$B$7*$AK157*INDEX(個性タイプマスタ!$Q$5:$AA$54,$AE157,10)/$AG157,4))</f>
        <v>0.5363</v>
      </c>
      <c r="S157" s="9">
        <f>IF($H157&lt;&gt;"OK","",ROUND($G157*使い方と設定!$B$7*$AK157*INDEX(個性タイプマスタ!$Q$5:$AA$54,$AE157,11)/$AG157,4))</f>
        <v>0.2888</v>
      </c>
      <c r="T157" s="9">
        <f>IF($H157&lt;&gt;"OK","",ROUND($G157*使い方と設定!$B$8*$AK157*$AH157*INDEX(属性耐性マスタ!$B$5:$G$10,$AF157,1),4))</f>
        <v>5.1000000000000004E-3</v>
      </c>
      <c r="U157" s="9">
        <f>IF($H157&lt;&gt;"OK","",ROUND($G157*使い方と設定!$B$8*$AK157*$AH157*INDEX(属性耐性マスタ!$B$5:$G$10,$AF157,2),4))</f>
        <v>5.1000000000000004E-3</v>
      </c>
      <c r="V157" s="9">
        <f>IF($H157&lt;&gt;"OK","",ROUND($G157*使い方と設定!$B$8*$AK157*$AH157*INDEX(属性耐性マスタ!$B$5:$G$10,$AF157,3),4))</f>
        <v>5.1000000000000004E-3</v>
      </c>
      <c r="W157" s="9">
        <f>IF($H157&lt;&gt;"OK","",ROUND($G157*使い方と設定!$B$8*$AK157*$AH157*INDEX(属性耐性マスタ!$B$5:$G$10,$AF157,4),4))</f>
        <v>5.1000000000000004E-3</v>
      </c>
      <c r="X157" s="9">
        <f>IF($H157&lt;&gt;"OK","",ROUND($G157*使い方と設定!$B$8*$AK157*$AH157*INDEX(属性耐性マスタ!$B$5:$G$10,$AF157,5),4))</f>
        <v>1.3599999999999999E-2</v>
      </c>
      <c r="Y157" s="9">
        <f>IF($H157&lt;&gt;"OK","",ROUND($G157*使い方と設定!$B$8*$AK157*$AH157*INDEX(属性耐性マスタ!$B$5:$G$10,$AF157,6),4))</f>
        <v>0.1024</v>
      </c>
      <c r="Z157" s="9">
        <f>IF($H157&lt;&gt;"OK","",ROUND($G157*使い方と設定!$B$9*$AK157*$AI157,4))</f>
        <v>1.7327999999999999</v>
      </c>
      <c r="AA157" s="10">
        <v>1</v>
      </c>
      <c r="AB157" s="11">
        <f t="shared" si="7"/>
        <v>3.9988000000000001</v>
      </c>
      <c r="AC157" s="11">
        <f t="shared" si="8"/>
        <v>0.13639999999999999</v>
      </c>
      <c r="AD157" s="7" t="str">
        <f>IF($H157&lt;&gt;"OK","",INDEX(個性タイプマスタ!$P$5:$P$54,$AE157))</f>
        <v>超高速移動・極低耐久</v>
      </c>
      <c r="AE157">
        <f>IFERROR(MATCH(E157,個性タイプマスタ!$A$5:$A$54,0),0)</f>
        <v>18</v>
      </c>
      <c r="AF157">
        <f>IFERROR(MATCH(F157,属性耐性マスタ!$A$5:$A$10,0),0)</f>
        <v>6</v>
      </c>
      <c r="AG157">
        <f>IF(AE157=0,1,INDEX(個性タイプマスタ!$AB$5:$AB$54,AE157))</f>
        <v>9.6931666666666683</v>
      </c>
      <c r="AH157">
        <f>IF(AE157=0,1,INDEX(個性タイプマスタ!$AC$5:$AC$54,AE157))</f>
        <v>0.64</v>
      </c>
      <c r="AI157">
        <f>IF(AE157=0,0,INDEX(個性タイプマスタ!$AD$5:$AD$54,AE157))</f>
        <v>1.3</v>
      </c>
      <c r="AJ157" s="16">
        <v>26</v>
      </c>
      <c r="AK157" s="17">
        <f>IF(OR(AJ157="",AJ157&lt;1),"",POWER(使い方と設定!$E$6,AJ157-1))</f>
        <v>2.6658363314874234</v>
      </c>
    </row>
    <row r="158" spans="1:37">
      <c r="A158" t="str">
        <f>+[2]称号!A153</f>
        <v>TITLE_152</v>
      </c>
      <c r="B158" t="str">
        <f>+[2]称号!B153</f>
        <v>鉱欲を担う屈背の穿掘鬼</v>
      </c>
      <c r="C158" t="s">
        <v>439</v>
      </c>
      <c r="D158" t="s">
        <v>440</v>
      </c>
      <c r="E158" s="2" t="str">
        <f>[1]モンスター計算!AM156</f>
        <v>魔法・物防障壁</v>
      </c>
      <c r="F158" s="2" t="str">
        <f>[1]モンスター計算!C156</f>
        <v>雷</v>
      </c>
      <c r="G158" s="8">
        <v>1.05</v>
      </c>
      <c r="H158" t="str">
        <f t="shared" si="6"/>
        <v>OK</v>
      </c>
      <c r="I158" s="9">
        <f>IF($H158&lt;&gt;"OK","",ROUND($G158*使い方と設定!$B$7*$AK158*INDEX(個性タイプマスタ!$Q$5:$AA$54,$AE158,1)/$AG158,4))</f>
        <v>0.47710000000000002</v>
      </c>
      <c r="J158" s="9">
        <f>IF($H158&lt;&gt;"OK","",ROUND($G158*使い方と設定!$B$7*$AK158*INDEX(個性タイプマスタ!$Q$5:$AA$54,$AE158,2)/$AG158,4))</f>
        <v>0.57509999999999994</v>
      </c>
      <c r="K158" s="9">
        <f>IF($H158&lt;&gt;"OK","",ROUND($G158*使い方と設定!$B$7*$AK158*INDEX(個性タイプマスタ!$Q$5:$AA$54,$AE158,3)/$AG158,4))</f>
        <v>6.3899999999999998E-2</v>
      </c>
      <c r="L158" s="9">
        <f>IF($H158&lt;&gt;"OK","",ROUND($G158*使い方と設定!$B$7*$AK158*INDEX(個性タイプマスタ!$Q$5:$AA$54,$AE158,4)/$AG158,4))</f>
        <v>0.96819999999999995</v>
      </c>
      <c r="M158" s="9">
        <f>IF($H158&lt;&gt;"OK","",ROUND($G158*使い方と設定!$B$7*$AK158*INDEX(個性タイプマスタ!$Q$5:$AA$54,$AE158,5)/$AG158,4))</f>
        <v>0.64190000000000003</v>
      </c>
      <c r="N158" s="9">
        <f>IF($H158&lt;&gt;"OK","",ROUND($G158*使い方と設定!$B$7*$AK158*INDEX(個性タイプマスタ!$Q$5:$AA$54,$AE158,6)/$AG158,4))</f>
        <v>0.23699999999999999</v>
      </c>
      <c r="O158" s="9">
        <f>IF($H158&lt;&gt;"OK","",ROUND($G158*使い方と設定!$B$7*$AK158*INDEX(個性タイプマスタ!$Q$5:$AA$54,$AE158,7)/$AG158,4))</f>
        <v>0.23430000000000001</v>
      </c>
      <c r="P158" s="9">
        <f>IF($H158&lt;&gt;"OK","",ROUND($G158*使い方と設定!$B$7*$AK158*INDEX(個性タイプマスタ!$Q$5:$AA$54,$AE158,8)/$AG158,4))</f>
        <v>0.25169999999999998</v>
      </c>
      <c r="Q158" s="9">
        <f>IF($H158&lt;&gt;"OK","",ROUND($G158*使い方と設定!$B$7*$AK158*INDEX(個性タイプマスタ!$Q$5:$AA$54,$AE158,9)/$AG158,4))</f>
        <v>0.15759999999999999</v>
      </c>
      <c r="R158" s="9">
        <f>IF($H158&lt;&gt;"OK","",ROUND($G158*使い方と設定!$B$7*$AK158*INDEX(個性タイプマスタ!$Q$5:$AA$54,$AE158,10)/$AG158,4))</f>
        <v>0.33689999999999998</v>
      </c>
      <c r="S158" s="9">
        <f>IF($H158&lt;&gt;"OK","",ROUND($G158*使い方と設定!$B$7*$AK158*INDEX(個性タイプマスタ!$Q$5:$AA$54,$AE158,11)/$AG158,4))</f>
        <v>0.25480000000000003</v>
      </c>
      <c r="T158" s="9">
        <f>IF($H158&lt;&gt;"OK","",ROUND($G158*使い方と設定!$B$8*$AK158*$AH158*INDEX(属性耐性マスタ!$B$5:$G$10,$AF158,1),4))</f>
        <v>1.41E-2</v>
      </c>
      <c r="U158" s="9">
        <f>IF($H158&lt;&gt;"OK","",ROUND($G158*使い方と設定!$B$8*$AK158*$AH158*INDEX(属性耐性マスタ!$B$5:$G$10,$AF158,2),4))</f>
        <v>1.41E-2</v>
      </c>
      <c r="V158" s="9">
        <f>IF($H158&lt;&gt;"OK","",ROUND($G158*使い方と設定!$B$8*$AK158*$AH158*INDEX(属性耐性マスタ!$B$5:$G$10,$AF158,3),4))</f>
        <v>5.2900000000000003E-2</v>
      </c>
      <c r="W158" s="9">
        <f>IF($H158&lt;&gt;"OK","",ROUND($G158*使い方と設定!$B$8*$AK158*$AH158*INDEX(属性耐性マスタ!$B$5:$G$10,$AF158,4),4))</f>
        <v>0.21160000000000001</v>
      </c>
      <c r="X158" s="9">
        <f>IF($H158&lt;&gt;"OK","",ROUND($G158*使い方と設定!$B$8*$AK158*$AH158*INDEX(属性耐性マスタ!$B$5:$G$10,$AF158,5),4))</f>
        <v>1.06E-2</v>
      </c>
      <c r="Y158" s="9">
        <f>IF($H158&lt;&gt;"OK","",ROUND($G158*使い方と設定!$B$8*$AK158*$AH158*INDEX(属性耐性マスタ!$B$5:$G$10,$AF158,6),4))</f>
        <v>1.06E-2</v>
      </c>
      <c r="Z158" s="9">
        <f>IF($H158&lt;&gt;"OK","",ROUND($G158*使い方と設定!$B$9*$AK158*$AI158,4))</f>
        <v>1.2713000000000001</v>
      </c>
      <c r="AA158" s="10">
        <v>1</v>
      </c>
      <c r="AB158" s="11">
        <f t="shared" si="7"/>
        <v>4.1985000000000001</v>
      </c>
      <c r="AC158" s="11">
        <f t="shared" si="8"/>
        <v>0.31390000000000001</v>
      </c>
      <c r="AD158" s="7" t="str">
        <f>IF($H158&lt;&gt;"OK","",INDEX(個性タイプマスタ!$P$5:$P$54,$AE158))</f>
        <v>物理防御を集中的に強化</v>
      </c>
      <c r="AE158">
        <f>IFERROR(MATCH(E158,個性タイプマスタ!$A$5:$A$54,0),0)</f>
        <v>25</v>
      </c>
      <c r="AF158">
        <f>IFERROR(MATCH(F158,属性耐性マスタ!$A$5:$A$10,0),0)</f>
        <v>4</v>
      </c>
      <c r="AG158">
        <f>IF(AE158=0,1,INDEX(個性タイプマスタ!$AB$5:$AB$54,AE158))</f>
        <v>10.8415</v>
      </c>
      <c r="AH158">
        <f>IF(AE158=0,1,INDEX(個性タイプマスタ!$AC$5:$AC$54,AE158))</f>
        <v>1.26</v>
      </c>
      <c r="AI158">
        <f>IF(AE158=0,0,INDEX(個性タイプマスタ!$AD$5:$AD$54,AE158))</f>
        <v>0.90833333333333333</v>
      </c>
      <c r="AJ158" s="16">
        <v>26</v>
      </c>
      <c r="AK158" s="17">
        <f>IF(OR(AJ158="",AJ158&lt;1),"",POWER(使い方と設定!$E$6,AJ158-1))</f>
        <v>2.6658363314874234</v>
      </c>
    </row>
    <row r="159" spans="1:37">
      <c r="A159" t="str">
        <f>+[2]称号!A154</f>
        <v>TITLE_153</v>
      </c>
      <c r="B159" t="str">
        <f>+[2]称号!B154</f>
        <v>屑鋼を呑み込む漂灰核</v>
      </c>
      <c r="C159" t="s">
        <v>441</v>
      </c>
      <c r="D159" t="s">
        <v>442</v>
      </c>
      <c r="E159" s="2" t="str">
        <f>[1]モンスター計算!AM157</f>
        <v>魔法・軽量</v>
      </c>
      <c r="F159" s="2" t="str">
        <f>[1]モンスター計算!C157</f>
        <v>雷</v>
      </c>
      <c r="G159" s="8">
        <v>1.1000000000000001</v>
      </c>
      <c r="H159" t="str">
        <f t="shared" si="6"/>
        <v>OK</v>
      </c>
      <c r="I159" s="9">
        <f>IF($H159&lt;&gt;"OK","",ROUND($G159*使い方と設定!$B$7*$AK159*INDEX(個性タイプマスタ!$Q$5:$AA$54,$AE159,1)/$AG159,4))</f>
        <v>0.4153</v>
      </c>
      <c r="J159" s="9">
        <f>IF($H159&lt;&gt;"OK","",ROUND($G159*使い方と設定!$B$7*$AK159*INDEX(個性タイプマスタ!$Q$5:$AA$54,$AE159,2)/$AG159,4))</f>
        <v>0.45579999999999998</v>
      </c>
      <c r="K159" s="9">
        <f>IF($H159&lt;&gt;"OK","",ROUND($G159*使い方と設定!$B$7*$AK159*INDEX(個性タイプマスタ!$Q$5:$AA$54,$AE159,3)/$AG159,4))</f>
        <v>0.11509999999999999</v>
      </c>
      <c r="L159" s="9">
        <f>IF($H159&lt;&gt;"OK","",ROUND($G159*使い方と設定!$B$7*$AK159*INDEX(個性タイプマスタ!$Q$5:$AA$54,$AE159,4)/$AG159,4))</f>
        <v>1.1509</v>
      </c>
      <c r="M159" s="9">
        <f>IF($H159&lt;&gt;"OK","",ROUND($G159*使い方と設定!$B$7*$AK159*INDEX(個性タイプマスタ!$Q$5:$AA$54,$AE159,5)/$AG159,4))</f>
        <v>0.33260000000000001</v>
      </c>
      <c r="N159" s="9">
        <f>IF($H159&lt;&gt;"OK","",ROUND($G159*使い方と設定!$B$7*$AK159*INDEX(個性タイプマスタ!$Q$5:$AA$54,$AE159,6)/$AG159,4))</f>
        <v>0.39129999999999998</v>
      </c>
      <c r="O159" s="9">
        <f>IF($H159&lt;&gt;"OK","",ROUND($G159*使い方と設定!$B$7*$AK159*INDEX(個性タイプマスタ!$Q$5:$AA$54,$AE159,7)/$AG159,4))</f>
        <v>0.25319999999999998</v>
      </c>
      <c r="P159" s="9">
        <f>IF($H159&lt;&gt;"OK","",ROUND($G159*使い方と設定!$B$7*$AK159*INDEX(個性タイプマスタ!$Q$5:$AA$54,$AE159,8)/$AG159,4))</f>
        <v>0.29920000000000002</v>
      </c>
      <c r="Q159" s="9">
        <f>IF($H159&lt;&gt;"OK","",ROUND($G159*使い方と設定!$B$7*$AK159*INDEX(個性タイプマスタ!$Q$5:$AA$54,$AE159,9)/$AG159,4))</f>
        <v>0.2026</v>
      </c>
      <c r="R159" s="9">
        <f>IF($H159&lt;&gt;"OK","",ROUND($G159*使い方と設定!$B$7*$AK159*INDEX(個性タイプマスタ!$Q$5:$AA$54,$AE159,10)/$AG159,4))</f>
        <v>0.46039999999999998</v>
      </c>
      <c r="S159" s="9">
        <f>IF($H159&lt;&gt;"OK","",ROUND($G159*使い方と設定!$B$7*$AK159*INDEX(個性タイプマスタ!$Q$5:$AA$54,$AE159,11)/$AG159,4))</f>
        <v>0.32229999999999998</v>
      </c>
      <c r="T159" s="9">
        <f>IF($H159&lt;&gt;"OK","",ROUND($G159*使い方と設定!$B$8*$AK159*$AH159*INDEX(属性耐性マスタ!$B$5:$G$10,$AF159,1),4))</f>
        <v>1.0800000000000001E-2</v>
      </c>
      <c r="U159" s="9">
        <f>IF($H159&lt;&gt;"OK","",ROUND($G159*使い方と設定!$B$8*$AK159*$AH159*INDEX(属性耐性マスタ!$B$5:$G$10,$AF159,2),4))</f>
        <v>1.0800000000000001E-2</v>
      </c>
      <c r="V159" s="9">
        <f>IF($H159&lt;&gt;"OK","",ROUND($G159*使い方と設定!$B$8*$AK159*$AH159*INDEX(属性耐性マスタ!$B$5:$G$10,$AF159,3),4))</f>
        <v>4.0500000000000001E-2</v>
      </c>
      <c r="W159" s="9">
        <f>IF($H159&lt;&gt;"OK","",ROUND($G159*使い方と設定!$B$8*$AK159*$AH159*INDEX(属性耐性マスタ!$B$5:$G$10,$AF159,4),4))</f>
        <v>0.16189999999999999</v>
      </c>
      <c r="X159" s="9">
        <f>IF($H159&lt;&gt;"OK","",ROUND($G159*使い方と設定!$B$8*$AK159*$AH159*INDEX(属性耐性マスタ!$B$5:$G$10,$AF159,5),4))</f>
        <v>8.0999999999999996E-3</v>
      </c>
      <c r="Y159" s="9">
        <f>IF($H159&lt;&gt;"OK","",ROUND($G159*使い方と設定!$B$8*$AK159*$AH159*INDEX(属性耐性マスタ!$B$5:$G$10,$AF159,6),4))</f>
        <v>8.0999999999999996E-3</v>
      </c>
      <c r="Z159" s="9">
        <f>IF($H159&lt;&gt;"OK","",ROUND($G159*使い方と設定!$B$9*$AK159*$AI159,4))</f>
        <v>1.3685</v>
      </c>
      <c r="AA159" s="10">
        <v>0.9</v>
      </c>
      <c r="AB159" s="11">
        <f t="shared" si="7"/>
        <v>4.3986999999999998</v>
      </c>
      <c r="AC159" s="11">
        <f t="shared" si="8"/>
        <v>0.2402</v>
      </c>
      <c r="AD159" s="7" t="str">
        <f>IF($H159&lt;&gt;"OK","",INDEX(個性タイプマスタ!$P$5:$P$54,$AE159))</f>
        <v>軽快な魔法型。耐久控えめ・成長余地大</v>
      </c>
      <c r="AE159">
        <f>IFERROR(MATCH(E159,個性タイプマスタ!$A$5:$A$54,0),0)</f>
        <v>1</v>
      </c>
      <c r="AF159">
        <f>IFERROR(MATCH(F159,属性耐性マスタ!$A$5:$A$10,0),0)</f>
        <v>4</v>
      </c>
      <c r="AG159">
        <f>IF(AE159=0,1,INDEX(個性タイプマスタ!$AB$5:$AB$54,AE159))</f>
        <v>9.5545000000000009</v>
      </c>
      <c r="AH159">
        <f>IF(AE159=0,1,INDEX(個性タイプマスタ!$AC$5:$AC$54,AE159))</f>
        <v>0.92</v>
      </c>
      <c r="AI159">
        <f>IF(AE159=0,0,INDEX(個性タイプマスタ!$AD$5:$AD$54,AE159))</f>
        <v>0.93333333333333335</v>
      </c>
      <c r="AJ159" s="16">
        <v>26</v>
      </c>
      <c r="AK159" s="17">
        <f>IF(OR(AJ159="",AJ159&lt;1),"",POWER(使い方と設定!$E$6,AJ159-1))</f>
        <v>2.6658363314874234</v>
      </c>
    </row>
    <row r="160" spans="1:37">
      <c r="A160" t="str">
        <f>+[2]称号!A155</f>
        <v>TITLE_154</v>
      </c>
      <c r="B160" t="str">
        <f>+[2]称号!B155</f>
        <v>大地を噛み砕く崩岩獣</v>
      </c>
      <c r="C160" t="s">
        <v>443</v>
      </c>
      <c r="D160" t="s">
        <v>444</v>
      </c>
      <c r="E160" s="2" t="str">
        <f>[1]モンスター計算!AM158</f>
        <v>近接・重撃</v>
      </c>
      <c r="F160" s="2" t="str">
        <f>[1]モンスター計算!C158</f>
        <v>雷</v>
      </c>
      <c r="G160" s="8">
        <v>1.1499999999999999</v>
      </c>
      <c r="H160" t="str">
        <f t="shared" si="6"/>
        <v>OK</v>
      </c>
      <c r="I160" s="9">
        <f>IF($H160&lt;&gt;"OK","",ROUND($G160*使い方と設定!$B$7*$AK160*INDEX(個性タイプマスタ!$Q$5:$AA$54,$AE160,1)/$AG160,4))</f>
        <v>0.68069999999999997</v>
      </c>
      <c r="J160" s="9">
        <f>IF($H160&lt;&gt;"OK","",ROUND($G160*使い方と設定!$B$7*$AK160*INDEX(個性タイプマスタ!$Q$5:$AA$54,$AE160,2)/$AG160,4))</f>
        <v>0.18759999999999999</v>
      </c>
      <c r="K160" s="9">
        <f>IF($H160&lt;&gt;"OK","",ROUND($G160*使い方と設定!$B$7*$AK160*INDEX(個性タイプマスタ!$Q$5:$AA$54,$AE160,3)/$AG160,4))</f>
        <v>1.2181</v>
      </c>
      <c r="L160" s="9">
        <f>IF($H160&lt;&gt;"OK","",ROUND($G160*使い方と設定!$B$7*$AK160*INDEX(個性タイプマスタ!$Q$5:$AA$54,$AE160,4)/$AG160,4))</f>
        <v>7.9200000000000007E-2</v>
      </c>
      <c r="M160" s="9">
        <f>IF($H160&lt;&gt;"OK","",ROUND($G160*使い方と設定!$B$7*$AK160*INDEX(個性タイプマスタ!$Q$5:$AA$54,$AE160,5)/$AG160,4))</f>
        <v>0.43490000000000001</v>
      </c>
      <c r="N160" s="9">
        <f>IF($H160&lt;&gt;"OK","",ROUND($G160*使い方と設定!$B$7*$AK160*INDEX(個性タイプマスタ!$Q$5:$AA$54,$AE160,6)/$AG160,4))</f>
        <v>0.36449999999999999</v>
      </c>
      <c r="O160" s="9">
        <f>IF($H160&lt;&gt;"OK","",ROUND($G160*使い方と設定!$B$7*$AK160*INDEX(個性タイプマスタ!$Q$5:$AA$54,$AE160,7)/$AG160,4))</f>
        <v>0.3216</v>
      </c>
      <c r="P160" s="9">
        <f>IF($H160&lt;&gt;"OK","",ROUND($G160*使い方と設定!$B$7*$AK160*INDEX(個性タイプマスタ!$Q$5:$AA$54,$AE160,8)/$AG160,4))</f>
        <v>0.45400000000000001</v>
      </c>
      <c r="Q160" s="9">
        <f>IF($H160&lt;&gt;"OK","",ROUND($G160*使い方と設定!$B$7*$AK160*INDEX(個性タイプマスタ!$Q$5:$AA$54,$AE160,9)/$AG160,4))</f>
        <v>0.1769</v>
      </c>
      <c r="R160" s="9">
        <f>IF($H160&lt;&gt;"OK","",ROUND($G160*使い方と設定!$B$7*$AK160*INDEX(個性タイプマスタ!$Q$5:$AA$54,$AE160,10)/$AG160,4))</f>
        <v>0.25819999999999999</v>
      </c>
      <c r="S160" s="9">
        <f>IF($H160&lt;&gt;"OK","",ROUND($G160*使い方と設定!$B$7*$AK160*INDEX(個性タイプマスタ!$Q$5:$AA$54,$AE160,11)/$AG160,4))</f>
        <v>0.4229</v>
      </c>
      <c r="T160" s="9">
        <f>IF($H160&lt;&gt;"OK","",ROUND($G160*使い方と設定!$B$8*$AK160*$AH160*INDEX(属性耐性マスタ!$B$5:$G$10,$AF160,1),4))</f>
        <v>1.0999999999999999E-2</v>
      </c>
      <c r="U160" s="9">
        <f>IF($H160&lt;&gt;"OK","",ROUND($G160*使い方と設定!$B$8*$AK160*$AH160*INDEX(属性耐性マスタ!$B$5:$G$10,$AF160,2),4))</f>
        <v>1.0999999999999999E-2</v>
      </c>
      <c r="V160" s="9">
        <f>IF($H160&lt;&gt;"OK","",ROUND($G160*使い方と設定!$B$8*$AK160*$AH160*INDEX(属性耐性マスタ!$B$5:$G$10,$AF160,3),4))</f>
        <v>4.1399999999999999E-2</v>
      </c>
      <c r="W160" s="9">
        <f>IF($H160&lt;&gt;"OK","",ROUND($G160*使い方と設定!$B$8*$AK160*$AH160*INDEX(属性耐性マスタ!$B$5:$G$10,$AF160,4),4))</f>
        <v>0.16550000000000001</v>
      </c>
      <c r="X160" s="9">
        <f>IF($H160&lt;&gt;"OK","",ROUND($G160*使い方と設定!$B$8*$AK160*$AH160*INDEX(属性耐性マスタ!$B$5:$G$10,$AF160,5),4))</f>
        <v>8.3000000000000001E-3</v>
      </c>
      <c r="Y160" s="9">
        <f>IF($H160&lt;&gt;"OK","",ROUND($G160*使い方と設定!$B$8*$AK160*$AH160*INDEX(属性耐性マスタ!$B$5:$G$10,$AF160,6),4))</f>
        <v>8.3000000000000001E-3</v>
      </c>
      <c r="Z160" s="9">
        <f>IF($H160&lt;&gt;"OK","",ROUND($G160*使い方と設定!$B$9*$AK160*$AI160,4))</f>
        <v>1.3411999999999999</v>
      </c>
      <c r="AA160" s="10">
        <v>0.55000000000000004</v>
      </c>
      <c r="AB160" s="11">
        <f t="shared" si="7"/>
        <v>4.5986000000000002</v>
      </c>
      <c r="AC160" s="11">
        <f t="shared" si="8"/>
        <v>0.2455</v>
      </c>
      <c r="AD160" s="7" t="str">
        <f>IF($H160&lt;&gt;"OK","",INDEX(個性タイプマスタ!$P$5:$P$54,$AE160))</f>
        <v>一撃重視の低速型</v>
      </c>
      <c r="AE160">
        <f>IFERROR(MATCH(E160,個性タイプマスタ!$A$5:$A$54,0),0)</f>
        <v>33</v>
      </c>
      <c r="AF160">
        <f>IFERROR(MATCH(F160,属性耐性マスタ!$A$5:$A$10,0),0)</f>
        <v>4</v>
      </c>
      <c r="AG160">
        <f>IF(AE160=0,1,INDEX(個性タイプマスタ!$AB$5:$AB$54,AE160))</f>
        <v>9.4376666666666669</v>
      </c>
      <c r="AH160">
        <f>IF(AE160=0,1,INDEX(個性タイプマスタ!$AC$5:$AC$54,AE160))</f>
        <v>0.9</v>
      </c>
      <c r="AI160">
        <f>IF(AE160=0,0,INDEX(個性タイプマスタ!$AD$5:$AD$54,AE160))</f>
        <v>0.875</v>
      </c>
      <c r="AJ160" s="16">
        <v>26</v>
      </c>
      <c r="AK160" s="17">
        <f>IF(OR(AJ160="",AJ160&lt;1),"",POWER(使い方と設定!$E$6,AJ160-1))</f>
        <v>2.6658363314874234</v>
      </c>
    </row>
    <row r="161" spans="1:37">
      <c r="A161" t="str">
        <f>+[2]称号!A156</f>
        <v>TITLE_155</v>
      </c>
      <c r="B161" t="str">
        <f>+[2]称号!B156</f>
        <v>煤界より滲み出る揺影</v>
      </c>
      <c r="C161" t="s">
        <v>445</v>
      </c>
      <c r="D161" t="s">
        <v>446</v>
      </c>
      <c r="E161" s="2" t="str">
        <f>[1]モンスター計算!AM159</f>
        <v>近接・長柄</v>
      </c>
      <c r="F161" s="2" t="str">
        <f>[1]モンスター計算!C159</f>
        <v>闇</v>
      </c>
      <c r="G161" s="8">
        <v>1.2</v>
      </c>
      <c r="H161" t="str">
        <f t="shared" si="6"/>
        <v>OK</v>
      </c>
      <c r="I161" s="9">
        <f>IF($H161&lt;&gt;"OK","",ROUND($G161*使い方と設定!$B$7*$AK161*INDEX(個性タイプマスタ!$Q$5:$AA$54,$AE161,1)/$AG161,4))</f>
        <v>0.48909999999999998</v>
      </c>
      <c r="J161" s="9">
        <f>IF($H161&lt;&gt;"OK","",ROUND($G161*使い方と設定!$B$7*$AK161*INDEX(個性タイプマスタ!$Q$5:$AA$54,$AE161,2)/$AG161,4))</f>
        <v>0.23930000000000001</v>
      </c>
      <c r="K161" s="9">
        <f>IF($H161&lt;&gt;"OK","",ROUND($G161*使い方と設定!$B$7*$AK161*INDEX(個性タイプマスタ!$Q$5:$AA$54,$AE161,3)/$AG161,4))</f>
        <v>1.2082999999999999</v>
      </c>
      <c r="L161" s="9">
        <f>IF($H161&lt;&gt;"OK","",ROUND($G161*使い方と設定!$B$7*$AK161*INDEX(個性タイプマスタ!$Q$5:$AA$54,$AE161,4)/$AG161,4))</f>
        <v>9.6699999999999994E-2</v>
      </c>
      <c r="M161" s="9">
        <f>IF($H161&lt;&gt;"OK","",ROUND($G161*使い方と設定!$B$7*$AK161*INDEX(個性タイプマスタ!$Q$5:$AA$54,$AE161,5)/$AG161,4))</f>
        <v>0.378</v>
      </c>
      <c r="N161" s="9">
        <f>IF($H161&lt;&gt;"OK","",ROUND($G161*使い方と設定!$B$7*$AK161*INDEX(個性タイプマスタ!$Q$5:$AA$54,$AE161,6)/$AG161,4))</f>
        <v>0.34920000000000001</v>
      </c>
      <c r="O161" s="9">
        <f>IF($H161&lt;&gt;"OK","",ROUND($G161*使い方と設定!$B$7*$AK161*INDEX(個性タイプマスタ!$Q$5:$AA$54,$AE161,7)/$AG161,4))</f>
        <v>0.37219999999999998</v>
      </c>
      <c r="P161" s="9">
        <f>IF($H161&lt;&gt;"OK","",ROUND($G161*使い方と設定!$B$7*$AK161*INDEX(個性タイプマスタ!$Q$5:$AA$54,$AE161,8)/$AG161,4))</f>
        <v>0.33510000000000001</v>
      </c>
      <c r="Q161" s="9">
        <f>IF($H161&lt;&gt;"OK","",ROUND($G161*使い方と設定!$B$7*$AK161*INDEX(個性タイプマスタ!$Q$5:$AA$54,$AE161,9)/$AG161,4))</f>
        <v>0.26050000000000001</v>
      </c>
      <c r="R161" s="9">
        <f>IF($H161&lt;&gt;"OK","",ROUND($G161*使い方と設定!$B$7*$AK161*INDEX(個性タイプマスタ!$Q$5:$AA$54,$AE161,10)/$AG161,4))</f>
        <v>0.45429999999999998</v>
      </c>
      <c r="S161" s="9">
        <f>IF($H161&lt;&gt;"OK","",ROUND($G161*使い方と設定!$B$7*$AK161*INDEX(個性タイプマスタ!$Q$5:$AA$54,$AE161,11)/$AG161,4))</f>
        <v>0.61580000000000001</v>
      </c>
      <c r="T161" s="9">
        <f>IF($H161&lt;&gt;"OK","",ROUND($G161*使い方と設定!$B$8*$AK161*$AH161*INDEX(属性耐性マスタ!$B$5:$G$10,$AF161,1),4))</f>
        <v>8.3000000000000001E-3</v>
      </c>
      <c r="U161" s="9">
        <f>IF($H161&lt;&gt;"OK","",ROUND($G161*使い方と設定!$B$8*$AK161*$AH161*INDEX(属性耐性マスタ!$B$5:$G$10,$AF161,2),4))</f>
        <v>8.3000000000000001E-3</v>
      </c>
      <c r="V161" s="9">
        <f>IF($H161&lt;&gt;"OK","",ROUND($G161*使い方と設定!$B$8*$AK161*$AH161*INDEX(属性耐性マスタ!$B$5:$G$10,$AF161,3),4))</f>
        <v>8.3000000000000001E-3</v>
      </c>
      <c r="W161" s="9">
        <f>IF($H161&lt;&gt;"OK","",ROUND($G161*使い方と設定!$B$8*$AK161*$AH161*INDEX(属性耐性マスタ!$B$5:$G$10,$AF161,4),4))</f>
        <v>8.3000000000000001E-3</v>
      </c>
      <c r="X161" s="9">
        <f>IF($H161&lt;&gt;"OK","",ROUND($G161*使い方と設定!$B$8*$AK161*$AH161*INDEX(属性耐性マスタ!$B$5:$G$10,$AF161,5),4))</f>
        <v>2.1999999999999999E-2</v>
      </c>
      <c r="Y161" s="9">
        <f>IF($H161&lt;&gt;"OK","",ROUND($G161*使い方と設定!$B$8*$AK161*$AH161*INDEX(属性耐性マスタ!$B$5:$G$10,$AF161,6),4))</f>
        <v>0.1651</v>
      </c>
      <c r="Z161" s="9">
        <f>IF($H161&lt;&gt;"OK","",ROUND($G161*使い方と設定!$B$9*$AK161*$AI161,4))</f>
        <v>1.6128</v>
      </c>
      <c r="AA161" s="10">
        <v>0.5</v>
      </c>
      <c r="AB161" s="11">
        <f t="shared" si="7"/>
        <v>4.7984999999999998</v>
      </c>
      <c r="AC161" s="11">
        <f t="shared" si="8"/>
        <v>0.2203</v>
      </c>
      <c r="AD161" s="7" t="str">
        <f>IF($H161&lt;&gt;"OK","",INDEX(個性タイプマスタ!$P$5:$P$54,$AE161))</f>
        <v>攻撃範囲の広い近接</v>
      </c>
      <c r="AE161">
        <f>IFERROR(MATCH(E161,個性タイプマスタ!$A$5:$A$54,0),0)</f>
        <v>40</v>
      </c>
      <c r="AF161">
        <f>IFERROR(MATCH(F161,属性耐性マスタ!$A$5:$A$10,0),0)</f>
        <v>6</v>
      </c>
      <c r="AG161">
        <f>IF(AE161=0,1,INDEX(個性タイプマスタ!$AB$5:$AB$54,AE161))</f>
        <v>9.9278333333333357</v>
      </c>
      <c r="AH161">
        <f>IF(AE161=0,1,INDEX(個性タイプマスタ!$AC$5:$AC$54,AE161))</f>
        <v>0.86</v>
      </c>
      <c r="AI161">
        <f>IF(AE161=0,0,INDEX(個性タイプマスタ!$AD$5:$AD$54,AE161))</f>
        <v>1.0083333333333333</v>
      </c>
      <c r="AJ161" s="16">
        <v>26</v>
      </c>
      <c r="AK161" s="17">
        <f>IF(OR(AJ161="",AJ161&lt;1),"",POWER(使い方と設定!$E$6,AJ161-1))</f>
        <v>2.6658363314874234</v>
      </c>
    </row>
    <row r="162" spans="1:37">
      <c r="A162" t="str">
        <f>+[2]称号!A157</f>
        <v>TITLE_156</v>
      </c>
      <c r="B162" t="str">
        <f>+[2]称号!B157</f>
        <v>万鉱を統べる骸晶の王</v>
      </c>
      <c r="C162" t="s">
        <v>447</v>
      </c>
      <c r="D162" t="s">
        <v>448</v>
      </c>
      <c r="E162" s="2" t="str">
        <f>[1]モンスター計算!AM160</f>
        <v>魔法・探索</v>
      </c>
      <c r="F162" s="2" t="str">
        <f>[1]モンスター計算!C160</f>
        <v>雷</v>
      </c>
      <c r="G162" s="8">
        <v>1.25</v>
      </c>
      <c r="H162" t="str">
        <f t="shared" si="6"/>
        <v>OK</v>
      </c>
      <c r="I162" s="9">
        <f>IF($H162&lt;&gt;"OK","",ROUND($G162*使い方と設定!$B$7*$AK162*INDEX(個性タイプマスタ!$Q$5:$AA$54,$AE162,1)/$AG162,4))</f>
        <v>0.47060000000000002</v>
      </c>
      <c r="J162" s="9">
        <f>IF($H162&lt;&gt;"OK","",ROUND($G162*使い方と設定!$B$7*$AK162*INDEX(個性タイプマスタ!$Q$5:$AA$54,$AE162,2)/$AG162,4))</f>
        <v>0.50239999999999996</v>
      </c>
      <c r="K162" s="9">
        <f>IF($H162&lt;&gt;"OK","",ROUND($G162*使い方と設定!$B$7*$AK162*INDEX(個性タイプマスタ!$Q$5:$AA$54,$AE162,3)/$AG162,4))</f>
        <v>7.2099999999999997E-2</v>
      </c>
      <c r="L162" s="9">
        <f>IF($H162&lt;&gt;"OK","",ROUND($G162*使い方と設定!$B$7*$AK162*INDEX(個性タイプマスタ!$Q$5:$AA$54,$AE162,4)/$AG162,4))</f>
        <v>1.2018</v>
      </c>
      <c r="M162" s="9">
        <f>IF($H162&lt;&gt;"OK","",ROUND($G162*使い方と設定!$B$7*$AK162*INDEX(個性タイプマスタ!$Q$5:$AA$54,$AE162,5)/$AG162,4))</f>
        <v>0.37590000000000001</v>
      </c>
      <c r="N162" s="9">
        <f>IF($H162&lt;&gt;"OK","",ROUND($G162*使い方と設定!$B$7*$AK162*INDEX(個性タイプマスタ!$Q$5:$AA$54,$AE162,6)/$AG162,4))</f>
        <v>0.37180000000000002</v>
      </c>
      <c r="O162" s="9">
        <f>IF($H162&lt;&gt;"OK","",ROUND($G162*使い方と設定!$B$7*$AK162*INDEX(個性タイプマスタ!$Q$5:$AA$54,$AE162,7)/$AG162,4))</f>
        <v>0.39660000000000001</v>
      </c>
      <c r="P162" s="9">
        <f>IF($H162&lt;&gt;"OK","",ROUND($G162*使い方と設定!$B$7*$AK162*INDEX(個性タイプマスタ!$Q$5:$AA$54,$AE162,8)/$AG162,4))</f>
        <v>0.3125</v>
      </c>
      <c r="Q162" s="9">
        <f>IF($H162&lt;&gt;"OK","",ROUND($G162*使い方と設定!$B$7*$AK162*INDEX(個性タイプマスタ!$Q$5:$AA$54,$AE162,9)/$AG162,4))</f>
        <v>0.32790000000000002</v>
      </c>
      <c r="R162" s="9">
        <f>IF($H162&lt;&gt;"OK","",ROUND($G162*使い方と設定!$B$7*$AK162*INDEX(個性タイプマスタ!$Q$5:$AA$54,$AE162,10)/$AG162,4))</f>
        <v>0.55279999999999996</v>
      </c>
      <c r="S162" s="9">
        <f>IF($H162&lt;&gt;"OK","",ROUND($G162*使い方と設定!$B$7*$AK162*INDEX(個性タイプマスタ!$Q$5:$AA$54,$AE162,11)/$AG162,4))</f>
        <v>0.41389999999999999</v>
      </c>
      <c r="T162" s="9">
        <f>IF($H162&lt;&gt;"OK","",ROUND($G162*使い方と設定!$B$8*$AK162*$AH162*INDEX(属性耐性マスタ!$B$5:$G$10,$AF162,1),4))</f>
        <v>1.2800000000000001E-2</v>
      </c>
      <c r="U162" s="9">
        <f>IF($H162&lt;&gt;"OK","",ROUND($G162*使い方と設定!$B$8*$AK162*$AH162*INDEX(属性耐性マスタ!$B$5:$G$10,$AF162,2),4))</f>
        <v>1.2800000000000001E-2</v>
      </c>
      <c r="V162" s="9">
        <f>IF($H162&lt;&gt;"OK","",ROUND($G162*使い方と設定!$B$8*$AK162*$AH162*INDEX(属性耐性マスタ!$B$5:$G$10,$AF162,3),4))</f>
        <v>4.8000000000000001E-2</v>
      </c>
      <c r="W162" s="9">
        <f>IF($H162&lt;&gt;"OK","",ROUND($G162*使い方と設定!$B$8*$AK162*$AH162*INDEX(属性耐性マスタ!$B$5:$G$10,$AF162,4),4))</f>
        <v>0.19189999999999999</v>
      </c>
      <c r="X162" s="9">
        <f>IF($H162&lt;&gt;"OK","",ROUND($G162*使い方と設定!$B$8*$AK162*$AH162*INDEX(属性耐性マスタ!$B$5:$G$10,$AF162,5),4))</f>
        <v>9.5999999999999992E-3</v>
      </c>
      <c r="Y162" s="9">
        <f>IF($H162&lt;&gt;"OK","",ROUND($G162*使い方と設定!$B$8*$AK162*$AH162*INDEX(属性耐性マスタ!$B$5:$G$10,$AF162,6),4))</f>
        <v>9.5999999999999992E-3</v>
      </c>
      <c r="Z162" s="9">
        <f>IF($H162&lt;&gt;"OK","",ROUND($G162*使い方と設定!$B$9*$AK162*$AI162,4))</f>
        <v>3.1101000000000001</v>
      </c>
      <c r="AA162" s="10">
        <v>0.25</v>
      </c>
      <c r="AB162" s="11">
        <f t="shared" si="7"/>
        <v>4.9983000000000004</v>
      </c>
      <c r="AC162" s="11">
        <f t="shared" si="8"/>
        <v>0.28470000000000001</v>
      </c>
      <c r="AD162" s="7" t="str">
        <f>IF($H162&lt;&gt;"OK","",INDEX(個性タイプマスタ!$P$5:$P$54,$AE162))</f>
        <v>高索敵・長射程寄りの探索型</v>
      </c>
      <c r="AE162">
        <f>IFERROR(MATCH(E162,個性タイプマスタ!$A$5:$A$54,0),0)</f>
        <v>28</v>
      </c>
      <c r="AF162">
        <f>IFERROR(MATCH(F162,属性耐性マスタ!$A$5:$A$10,0),0)</f>
        <v>4</v>
      </c>
      <c r="AG162">
        <f>IF(AE162=0,1,INDEX(個性タイプマスタ!$AB$5:$AB$54,AE162))</f>
        <v>10.397500000000001</v>
      </c>
      <c r="AH162">
        <f>IF(AE162=0,1,INDEX(個性タイプマスタ!$AC$5:$AC$54,AE162))</f>
        <v>0.96</v>
      </c>
      <c r="AI162">
        <f>IF(AE162=0,0,INDEX(個性タイプマスタ!$AD$5:$AD$54,AE162))</f>
        <v>1.8666666666666667</v>
      </c>
      <c r="AJ162" s="16">
        <v>26</v>
      </c>
      <c r="AK162" s="17">
        <f>IF(OR(AJ162="",AJ162&lt;1),"",POWER(使い方と設定!$E$6,AJ162-1))</f>
        <v>2.6658363314874234</v>
      </c>
    </row>
    <row r="163" spans="1:37">
      <c r="A163" t="str">
        <f>+[2]称号!A158</f>
        <v>TITLE_157</v>
      </c>
      <c r="B163" t="str">
        <f>+[2]称号!B158</f>
        <v>滲緑の溶解核</v>
      </c>
      <c r="C163" t="s">
        <v>449</v>
      </c>
      <c r="D163" t="s">
        <v>450</v>
      </c>
      <c r="E163" s="2" t="str">
        <f>[1]モンスター計算!AM161</f>
        <v>魔法・魔防障壁</v>
      </c>
      <c r="F163" s="2" t="str">
        <f>[1]モンスター計算!C161</f>
        <v>水</v>
      </c>
      <c r="G163" s="8">
        <v>1</v>
      </c>
      <c r="H163" t="str">
        <f t="shared" si="6"/>
        <v>OK</v>
      </c>
      <c r="I163" s="9">
        <f>IF($H163&lt;&gt;"OK","",ROUND($G163*使い方と設定!$B$7*$AK163*INDEX(個性タイプマスタ!$Q$5:$AA$54,$AE163,1)/$AG163,4))</f>
        <v>0.43009999999999998</v>
      </c>
      <c r="J163" s="9">
        <f>IF($H163&lt;&gt;"OK","",ROUND($G163*使い方と設定!$B$7*$AK163*INDEX(個性タイプマスタ!$Q$5:$AA$54,$AE163,2)/$AG163,4))</f>
        <v>0.71009999999999995</v>
      </c>
      <c r="K163" s="9">
        <f>IF($H163&lt;&gt;"OK","",ROUND($G163*使い方と設定!$B$7*$AK163*INDEX(個性タイプマスタ!$Q$5:$AA$54,$AE163,3)/$AG163,4))</f>
        <v>5.9900000000000002E-2</v>
      </c>
      <c r="L163" s="9">
        <f>IF($H163&lt;&gt;"OK","",ROUND($G163*使い方と設定!$B$7*$AK163*INDEX(個性タイプマスタ!$Q$5:$AA$54,$AE163,4)/$AG163,4))</f>
        <v>0.92220000000000002</v>
      </c>
      <c r="M163" s="9">
        <f>IF($H163&lt;&gt;"OK","",ROUND($G163*使い方と設定!$B$7*$AK163*INDEX(個性タイプマスタ!$Q$5:$AA$54,$AE163,5)/$AG163,4))</f>
        <v>0.2414</v>
      </c>
      <c r="N163" s="9">
        <f>IF($H163&lt;&gt;"OK","",ROUND($G163*使い方と設定!$B$7*$AK163*INDEX(個性タイプマスタ!$Q$5:$AA$54,$AE163,6)/$AG163,4))</f>
        <v>0.64280000000000004</v>
      </c>
      <c r="O163" s="9">
        <f>IF($H163&lt;&gt;"OK","",ROUND($G163*使い方と設定!$B$7*$AK163*INDEX(個性タイプマスタ!$Q$5:$AA$54,$AE163,7)/$AG163,4))</f>
        <v>0.18260000000000001</v>
      </c>
      <c r="P163" s="9">
        <f>IF($H163&lt;&gt;"OK","",ROUND($G163*使い方と設定!$B$7*$AK163*INDEX(個性タイプマスタ!$Q$5:$AA$54,$AE163,8)/$AG163,4))</f>
        <v>0.23180000000000001</v>
      </c>
      <c r="Q163" s="9">
        <f>IF($H163&lt;&gt;"OK","",ROUND($G163*使い方と設定!$B$7*$AK163*INDEX(個性タイプマスタ!$Q$5:$AA$54,$AE163,9)/$AG163,4))</f>
        <v>0.1542</v>
      </c>
      <c r="R163" s="9">
        <f>IF($H163&lt;&gt;"OK","",ROUND($G163*使い方と設定!$B$7*$AK163*INDEX(個性タイプマスタ!$Q$5:$AA$54,$AE163,10)/$AG163,4))</f>
        <v>0.30990000000000001</v>
      </c>
      <c r="S163" s="9">
        <f>IF($H163&lt;&gt;"OK","",ROUND($G163*使い方と設定!$B$7*$AK163*INDEX(個性タイプマスタ!$Q$5:$AA$54,$AE163,11)/$AG163,4))</f>
        <v>0.2737</v>
      </c>
      <c r="T163" s="9">
        <f>IF($H163&lt;&gt;"OK","",ROUND($G163*使い方と設定!$B$8*$AK163*$AH163*INDEX(属性耐性マスタ!$B$5:$G$10,$AF163,1),4))</f>
        <v>4.5199999999999997E-2</v>
      </c>
      <c r="U163" s="9">
        <f>IF($H163&lt;&gt;"OK","",ROUND($G163*使い方と設定!$B$8*$AK163*$AH163*INDEX(属性耐性マスタ!$B$5:$G$10,$AF163,2),4))</f>
        <v>0.22620000000000001</v>
      </c>
      <c r="V163" s="9">
        <f>IF($H163&lt;&gt;"OK","",ROUND($G163*使い方と設定!$B$8*$AK163*$AH163*INDEX(属性耐性マスタ!$B$5:$G$10,$AF163,3),4))</f>
        <v>1.5100000000000001E-2</v>
      </c>
      <c r="W163" s="9">
        <f>IF($H163&lt;&gt;"OK","",ROUND($G163*使い方と設定!$B$8*$AK163*$AH163*INDEX(属性耐性マスタ!$B$5:$G$10,$AF163,4),4))</f>
        <v>1.5100000000000001E-2</v>
      </c>
      <c r="X163" s="9">
        <f>IF($H163&lt;&gt;"OK","",ROUND($G163*使い方と設定!$B$8*$AK163*$AH163*INDEX(属性耐性マスタ!$B$5:$G$10,$AF163,5),4))</f>
        <v>1.1299999999999999E-2</v>
      </c>
      <c r="Y163" s="9">
        <f>IF($H163&lt;&gt;"OK","",ROUND($G163*使い方と設定!$B$8*$AK163*$AH163*INDEX(属性耐性マスタ!$B$5:$G$10,$AF163,6),4))</f>
        <v>1.1299999999999999E-2</v>
      </c>
      <c r="Z163" s="9">
        <f>IF($H163&lt;&gt;"OK","",ROUND($G163*使い方と設定!$B$9*$AK163*$AI163,4))</f>
        <v>1.2706999999999999</v>
      </c>
      <c r="AA163" s="10">
        <v>1</v>
      </c>
      <c r="AB163" s="11">
        <f t="shared" si="7"/>
        <v>4.1586999999999996</v>
      </c>
      <c r="AC163" s="11">
        <f t="shared" si="8"/>
        <v>0.32419999999999999</v>
      </c>
      <c r="AD163" s="7" t="str">
        <f>IF($H163&lt;&gt;"OK","",INDEX(個性タイプマスタ!$P$5:$P$54,$AE163))</f>
        <v>魔法防御に偏重した耐久型</v>
      </c>
      <c r="AE163">
        <f>IFERROR(MATCH(E163,個性タイプマスタ!$A$5:$A$54,0),0)</f>
        <v>24</v>
      </c>
      <c r="AF163">
        <f>IFERROR(MATCH(F163,属性耐性マスタ!$A$5:$A$10,0),0)</f>
        <v>2</v>
      </c>
      <c r="AG163">
        <f>IF(AE163=0,1,INDEX(個性タイプマスタ!$AB$5:$AB$54,AE163))</f>
        <v>11.273833333333332</v>
      </c>
      <c r="AH163">
        <f>IF(AE163=0,1,INDEX(個性タイプマスタ!$AC$5:$AC$54,AE163))</f>
        <v>1.3599999999999999</v>
      </c>
      <c r="AI163">
        <f>IF(AE163=0,0,INDEX(個性タイプマスタ!$AD$5:$AD$54,AE163))</f>
        <v>0.91666666666666663</v>
      </c>
      <c r="AJ163" s="16">
        <v>27</v>
      </c>
      <c r="AK163" s="17">
        <f>IF(OR(AJ163="",AJ163&lt;1),"",POWER(使い方と設定!$E$6,AJ163-1))</f>
        <v>2.77246978474692</v>
      </c>
    </row>
    <row r="164" spans="1:37">
      <c r="A164" t="str">
        <f>+[2]称号!A159</f>
        <v>TITLE_158</v>
      </c>
      <c r="B164" t="str">
        <f>+[2]称号!B159</f>
        <v>腐水を駆ける濡牙</v>
      </c>
      <c r="C164" t="s">
        <v>451</v>
      </c>
      <c r="D164" t="s">
        <v>452</v>
      </c>
      <c r="E164" s="2" t="str">
        <f>[1]モンスター計算!AM162</f>
        <v>魔法・薄命結界</v>
      </c>
      <c r="F164" s="2" t="str">
        <f>[1]モンスター計算!C162</f>
        <v>水</v>
      </c>
      <c r="G164" s="8">
        <v>1.05</v>
      </c>
      <c r="H164" t="str">
        <f t="shared" si="6"/>
        <v>OK</v>
      </c>
      <c r="I164" s="9">
        <f>IF($H164&lt;&gt;"OK","",ROUND($G164*使い方と設定!$B$7*$AK164*INDEX(個性タイプマスタ!$Q$5:$AA$54,$AE164,1)/$AG164,4))</f>
        <v>0.2321</v>
      </c>
      <c r="J164" s="9">
        <f>IF($H164&lt;&gt;"OK","",ROUND($G164*使い方と設定!$B$7*$AK164*INDEX(個性タイプマスタ!$Q$5:$AA$54,$AE164,2)/$AG164,4))</f>
        <v>0.63290000000000002</v>
      </c>
      <c r="K164" s="9">
        <f>IF($H164&lt;&gt;"OK","",ROUND($G164*使い方と設定!$B$7*$AK164*INDEX(個性タイプマスタ!$Q$5:$AA$54,$AE164,3)/$AG164,4))</f>
        <v>7.6700000000000004E-2</v>
      </c>
      <c r="L164" s="9">
        <f>IF($H164&lt;&gt;"OK","",ROUND($G164*使い方と設定!$B$7*$AK164*INDEX(個性タイプマスタ!$Q$5:$AA$54,$AE164,4)/$AG164,4))</f>
        <v>0.95889999999999997</v>
      </c>
      <c r="M164" s="9">
        <f>IF($H164&lt;&gt;"OK","",ROUND($G164*使い方と設定!$B$7*$AK164*INDEX(個性タイプマスタ!$Q$5:$AA$54,$AE164,5)/$AG164,4))</f>
        <v>0.4728</v>
      </c>
      <c r="N164" s="9">
        <f>IF($H164&lt;&gt;"OK","",ROUND($G164*使い方と設定!$B$7*$AK164*INDEX(個性タイプマスタ!$Q$5:$AA$54,$AE164,6)/$AG164,4))</f>
        <v>0.73360000000000003</v>
      </c>
      <c r="O164" s="9">
        <f>IF($H164&lt;&gt;"OK","",ROUND($G164*使い方と設定!$B$7*$AK164*INDEX(個性タイプマスタ!$Q$5:$AA$54,$AE164,7)/$AG164,4))</f>
        <v>0.16880000000000001</v>
      </c>
      <c r="P164" s="9">
        <f>IF($H164&lt;&gt;"OK","",ROUND($G164*使い方と設定!$B$7*$AK164*INDEX(個性タイプマスタ!$Q$5:$AA$54,$AE164,8)/$AG164,4))</f>
        <v>0.22939999999999999</v>
      </c>
      <c r="Q164" s="9">
        <f>IF($H164&lt;&gt;"OK","",ROUND($G164*使い方と設定!$B$7*$AK164*INDEX(個性タイプマスタ!$Q$5:$AA$54,$AE164,9)/$AG164,4))</f>
        <v>0.1857</v>
      </c>
      <c r="R164" s="9">
        <f>IF($H164&lt;&gt;"OK","",ROUND($G164*使い方と設定!$B$7*$AK164*INDEX(個性タイプマスタ!$Q$5:$AA$54,$AE164,10)/$AG164,4))</f>
        <v>0.33750000000000002</v>
      </c>
      <c r="S164" s="9">
        <f>IF($H164&lt;&gt;"OK","",ROUND($G164*使い方と設定!$B$7*$AK164*INDEX(個性タイプマスタ!$Q$5:$AA$54,$AE164,11)/$AG164,4))</f>
        <v>0.33829999999999999</v>
      </c>
      <c r="T164" s="9">
        <f>IF($H164&lt;&gt;"OK","",ROUND($G164*使い方と設定!$B$8*$AK164*$AH164*INDEX(属性耐性マスタ!$B$5:$G$10,$AF164,1),4))</f>
        <v>5.2400000000000002E-2</v>
      </c>
      <c r="U164" s="9">
        <f>IF($H164&lt;&gt;"OK","",ROUND($G164*使い方と設定!$B$8*$AK164*$AH164*INDEX(属性耐性マスタ!$B$5:$G$10,$AF164,2),4))</f>
        <v>0.26200000000000001</v>
      </c>
      <c r="V164" s="9">
        <f>IF($H164&lt;&gt;"OK","",ROUND($G164*使い方と設定!$B$8*$AK164*$AH164*INDEX(属性耐性マスタ!$B$5:$G$10,$AF164,3),4))</f>
        <v>1.7500000000000002E-2</v>
      </c>
      <c r="W164" s="9">
        <f>IF($H164&lt;&gt;"OK","",ROUND($G164*使い方と設定!$B$8*$AK164*$AH164*INDEX(属性耐性マスタ!$B$5:$G$10,$AF164,4),4))</f>
        <v>1.7500000000000002E-2</v>
      </c>
      <c r="X164" s="9">
        <f>IF($H164&lt;&gt;"OK","",ROUND($G164*使い方と設定!$B$8*$AK164*$AH164*INDEX(属性耐性マスタ!$B$5:$G$10,$AF164,5),4))</f>
        <v>1.3100000000000001E-2</v>
      </c>
      <c r="Y164" s="9">
        <f>IF($H164&lt;&gt;"OK","",ROUND($G164*使い方と設定!$B$8*$AK164*$AH164*INDEX(属性耐性マスタ!$B$5:$G$10,$AF164,6),4))</f>
        <v>1.3100000000000001E-2</v>
      </c>
      <c r="Z164" s="9">
        <f>IF($H164&lt;&gt;"OK","",ROUND($G164*使い方と設定!$B$9*$AK164*$AI164,4))</f>
        <v>1.407</v>
      </c>
      <c r="AA164" s="10">
        <v>1</v>
      </c>
      <c r="AB164" s="11">
        <f t="shared" si="7"/>
        <v>4.3666999999999998</v>
      </c>
      <c r="AC164" s="11">
        <f t="shared" si="8"/>
        <v>0.37559999999999999</v>
      </c>
      <c r="AD164" s="7" t="str">
        <f>IF($H164&lt;&gt;"OK","",INDEX(個性タイプマスタ!$P$5:$P$54,$AE164))</f>
        <v>低HPだが防御・耐性が高い極端な守護型</v>
      </c>
      <c r="AE164">
        <f>IFERROR(MATCH(E164,個性タイプマスタ!$A$5:$A$54,0),0)</f>
        <v>31</v>
      </c>
      <c r="AF164">
        <f>IFERROR(MATCH(F164,属性耐性マスタ!$A$5:$A$10,0),0)</f>
        <v>2</v>
      </c>
      <c r="AG164">
        <f>IF(AE164=0,1,INDEX(個性タイプマスタ!$AB$5:$AB$54,AE164))</f>
        <v>11.384</v>
      </c>
      <c r="AH164">
        <f>IF(AE164=0,1,INDEX(個性タイプマスタ!$AC$5:$AC$54,AE164))</f>
        <v>1.5</v>
      </c>
      <c r="AI164">
        <f>IF(AE164=0,0,INDEX(個性タイプマスタ!$AD$5:$AD$54,AE164))</f>
        <v>0.96666666666666667</v>
      </c>
      <c r="AJ164" s="16">
        <v>27</v>
      </c>
      <c r="AK164" s="17">
        <f>IF(OR(AJ164="",AJ164&lt;1),"",POWER(使い方と設定!$E$6,AJ164-1))</f>
        <v>2.77246978474692</v>
      </c>
    </row>
    <row r="165" spans="1:37">
      <c r="A165" t="str">
        <f>+[2]称号!A160</f>
        <v>TITLE_159</v>
      </c>
      <c r="B165" t="str">
        <f>+[2]称号!B160</f>
        <v>藻骸の漂流戦士</v>
      </c>
      <c r="C165" t="s">
        <v>453</v>
      </c>
      <c r="D165" t="s">
        <v>454</v>
      </c>
      <c r="E165" s="2" t="str">
        <f>[1]モンスター計算!AM163</f>
        <v>魔法・支援</v>
      </c>
      <c r="F165" s="2" t="str">
        <f>[1]モンスター計算!C163</f>
        <v>水</v>
      </c>
      <c r="G165" s="8">
        <v>1.1000000000000001</v>
      </c>
      <c r="H165" t="str">
        <f t="shared" si="6"/>
        <v>OK</v>
      </c>
      <c r="I165" s="9">
        <f>IF($H165&lt;&gt;"OK","",ROUND($G165*使い方と設定!$B$7*$AK165*INDEX(個性タイプマスタ!$Q$5:$AA$54,$AE165,1)/$AG165,4))</f>
        <v>0.46600000000000003</v>
      </c>
      <c r="J165" s="9">
        <f>IF($H165&lt;&gt;"OK","",ROUND($G165*使い方と設定!$B$7*$AK165*INDEX(個性タイプマスタ!$Q$5:$AA$54,$AE165,2)/$AG165,4))</f>
        <v>0.67569999999999997</v>
      </c>
      <c r="K165" s="9">
        <f>IF($H165&lt;&gt;"OK","",ROUND($G165*使い方と設定!$B$7*$AK165*INDEX(個性タイプマスタ!$Q$5:$AA$54,$AE165,3)/$AG165,4))</f>
        <v>0.10589999999999999</v>
      </c>
      <c r="L165" s="9">
        <f>IF($H165&lt;&gt;"OK","",ROUND($G165*使い方と設定!$B$7*$AK165*INDEX(個性タイプマスタ!$Q$5:$AA$54,$AE165,4)/$AG165,4))</f>
        <v>1.0590999999999999</v>
      </c>
      <c r="M165" s="9">
        <f>IF($H165&lt;&gt;"OK","",ROUND($G165*使い方と設定!$B$7*$AK165*INDEX(個性タイプマスタ!$Q$5:$AA$54,$AE165,5)/$AG165,4))</f>
        <v>0.36009999999999998</v>
      </c>
      <c r="N165" s="9">
        <f>IF($H165&lt;&gt;"OK","",ROUND($G165*使い方と設定!$B$7*$AK165*INDEX(個性タイプマスタ!$Q$5:$AA$54,$AE165,6)/$AG165,4))</f>
        <v>0.43209999999999998</v>
      </c>
      <c r="O165" s="9">
        <f>IF($H165&lt;&gt;"OK","",ROUND($G165*使い方と設定!$B$7*$AK165*INDEX(個性タイプマスタ!$Q$5:$AA$54,$AE165,7)/$AG165,4))</f>
        <v>0.27960000000000002</v>
      </c>
      <c r="P165" s="9">
        <f>IF($H165&lt;&gt;"OK","",ROUND($G165*使い方と設定!$B$7*$AK165*INDEX(個性タイプマスタ!$Q$5:$AA$54,$AE165,8)/$AG165,4))</f>
        <v>0.25700000000000001</v>
      </c>
      <c r="Q165" s="9">
        <f>IF($H165&lt;&gt;"OK","",ROUND($G165*使い方と設定!$B$7*$AK165*INDEX(個性タイプマスタ!$Q$5:$AA$54,$AE165,9)/$AG165,4))</f>
        <v>0.19570000000000001</v>
      </c>
      <c r="R165" s="9">
        <f>IF($H165&lt;&gt;"OK","",ROUND($G165*使い方と設定!$B$7*$AK165*INDEX(個性タイプマスタ!$Q$5:$AA$54,$AE165,10)/$AG165,4))</f>
        <v>0.40239999999999998</v>
      </c>
      <c r="S165" s="9">
        <f>IF($H165&lt;&gt;"OK","",ROUND($G165*使い方と設定!$B$7*$AK165*INDEX(個性タイプマスタ!$Q$5:$AA$54,$AE165,11)/$AG165,4))</f>
        <v>0.34100000000000003</v>
      </c>
      <c r="T165" s="9">
        <f>IF($H165&lt;&gt;"OK","",ROUND($G165*使い方と設定!$B$8*$AK165*$AH165*INDEX(属性耐性マスタ!$B$5:$G$10,$AF165,1),4))</f>
        <v>4.1000000000000002E-2</v>
      </c>
      <c r="U165" s="9">
        <f>IF($H165&lt;&gt;"OK","",ROUND($G165*使い方と設定!$B$8*$AK165*$AH165*INDEX(属性耐性マスタ!$B$5:$G$10,$AF165,2),4))</f>
        <v>0.2049</v>
      </c>
      <c r="V165" s="9">
        <f>IF($H165&lt;&gt;"OK","",ROUND($G165*使い方と設定!$B$8*$AK165*$AH165*INDEX(属性耐性マスタ!$B$5:$G$10,$AF165,3),4))</f>
        <v>1.37E-2</v>
      </c>
      <c r="W165" s="9">
        <f>IF($H165&lt;&gt;"OK","",ROUND($G165*使い方と設定!$B$8*$AK165*$AH165*INDEX(属性耐性マスタ!$B$5:$G$10,$AF165,4),4))</f>
        <v>1.37E-2</v>
      </c>
      <c r="X165" s="9">
        <f>IF($H165&lt;&gt;"OK","",ROUND($G165*使い方と設定!$B$8*$AK165*$AH165*INDEX(属性耐性マスタ!$B$5:$G$10,$AF165,5),4))</f>
        <v>1.0200000000000001E-2</v>
      </c>
      <c r="Y165" s="9">
        <f>IF($H165&lt;&gt;"OK","",ROUND($G165*使い方と設定!$B$8*$AK165*$AH165*INDEX(属性耐性マスタ!$B$5:$G$10,$AF165,6),4))</f>
        <v>1.0200000000000001E-2</v>
      </c>
      <c r="Z165" s="9">
        <f>IF($H165&lt;&gt;"OK","",ROUND($G165*使い方と設定!$B$9*$AK165*$AI165,4))</f>
        <v>1.4486000000000001</v>
      </c>
      <c r="AA165" s="10">
        <v>0.9</v>
      </c>
      <c r="AB165" s="11">
        <f t="shared" si="7"/>
        <v>4.5746000000000002</v>
      </c>
      <c r="AC165" s="11">
        <f t="shared" si="8"/>
        <v>0.29370000000000002</v>
      </c>
      <c r="AD165" s="7" t="str">
        <f>IF($H165&lt;&gt;"OK","",INDEX(個性タイプマスタ!$P$5:$P$54,$AE165))</f>
        <v>MPと魔防寄りの支援型</v>
      </c>
      <c r="AE165">
        <f>IFERROR(MATCH(E165,個性タイプマスタ!$A$5:$A$54,0),0)</f>
        <v>10</v>
      </c>
      <c r="AF165">
        <f>IFERROR(MATCH(F165,属性耐性マスタ!$A$5:$A$10,0),0)</f>
        <v>2</v>
      </c>
      <c r="AG165">
        <f>IF(AE165=0,1,INDEX(個性タイプマスタ!$AB$5:$AB$54,AE165))</f>
        <v>10.798666666666666</v>
      </c>
      <c r="AH165">
        <f>IF(AE165=0,1,INDEX(個性タイプマスタ!$AC$5:$AC$54,AE165))</f>
        <v>1.1200000000000001</v>
      </c>
      <c r="AI165">
        <f>IF(AE165=0,0,INDEX(個性タイプマスタ!$AD$5:$AD$54,AE165))</f>
        <v>0.95</v>
      </c>
      <c r="AJ165" s="16">
        <v>27</v>
      </c>
      <c r="AK165" s="17">
        <f>IF(OR(AJ165="",AJ165&lt;1),"",POWER(使い方と設定!$E$6,AJ165-1))</f>
        <v>2.77246978474692</v>
      </c>
    </row>
    <row r="166" spans="1:37">
      <c r="A166" t="str">
        <f>+[2]称号!A161</f>
        <v>TITLE_160</v>
      </c>
      <c r="B166" t="str">
        <f>+[2]称号!B161</f>
        <v>泥鱗の潜伏者</v>
      </c>
      <c r="C166" t="s">
        <v>455</v>
      </c>
      <c r="D166" t="s">
        <v>456</v>
      </c>
      <c r="E166" s="2" t="str">
        <f>[1]モンスター計算!AM164</f>
        <v>近接・耐性鎧</v>
      </c>
      <c r="F166" s="2" t="str">
        <f>[1]モンスター計算!C164</f>
        <v>水</v>
      </c>
      <c r="G166" s="8">
        <v>1.1499999999999999</v>
      </c>
      <c r="H166" t="str">
        <f t="shared" si="6"/>
        <v>OK</v>
      </c>
      <c r="I166" s="9">
        <f>IF($H166&lt;&gt;"OK","",ROUND($G166*使い方と設定!$B$7*$AK166*INDEX(個性タイプマスタ!$Q$5:$AA$54,$AE166,1)/$AG166,4))</f>
        <v>0.64890000000000003</v>
      </c>
      <c r="J166" s="9">
        <f>IF($H166&lt;&gt;"OK","",ROUND($G166*使い方と設定!$B$7*$AK166*INDEX(個性タイプマスタ!$Q$5:$AA$54,$AE166,2)/$AG166,4))</f>
        <v>0.28870000000000001</v>
      </c>
      <c r="K166" s="9">
        <f>IF($H166&lt;&gt;"OK","",ROUND($G166*使い方と設定!$B$7*$AK166*INDEX(個性タイプマスタ!$Q$5:$AA$54,$AE166,3)/$AG166,4))</f>
        <v>1.2499</v>
      </c>
      <c r="L166" s="9">
        <f>IF($H166&lt;&gt;"OK","",ROUND($G166*使い方と設定!$B$7*$AK166*INDEX(個性タイプマスタ!$Q$5:$AA$54,$AE166,4)/$AG166,4))</f>
        <v>8.7499999999999994E-2</v>
      </c>
      <c r="M166" s="9">
        <f>IF($H166&lt;&gt;"OK","",ROUND($G166*使い方と設定!$B$7*$AK166*INDEX(個性タイプマスタ!$Q$5:$AA$54,$AE166,5)/$AG166,4))</f>
        <v>0.4844</v>
      </c>
      <c r="N166" s="9">
        <f>IF($H166&lt;&gt;"OK","",ROUND($G166*使い方と設定!$B$7*$AK166*INDEX(個性タイプマスタ!$Q$5:$AA$54,$AE166,6)/$AG166,4))</f>
        <v>0.4844</v>
      </c>
      <c r="O166" s="9">
        <f>IF($H166&lt;&gt;"OK","",ROUND($G166*使い方と設定!$B$7*$AK166*INDEX(個性タイプマスタ!$Q$5:$AA$54,$AE166,7)/$AG166,4))</f>
        <v>0.22</v>
      </c>
      <c r="P166" s="9">
        <f>IF($H166&lt;&gt;"OK","",ROUND($G166*使い方と設定!$B$7*$AK166*INDEX(個性タイプマスタ!$Q$5:$AA$54,$AE166,8)/$AG166,4))</f>
        <v>0.30980000000000002</v>
      </c>
      <c r="Q166" s="9">
        <f>IF($H166&lt;&gt;"OK","",ROUND($G166*使い方と設定!$B$7*$AK166*INDEX(個性タイプマスタ!$Q$5:$AA$54,$AE166,9)/$AG166,4))</f>
        <v>0.23649999999999999</v>
      </c>
      <c r="R166" s="9">
        <f>IF($H166&lt;&gt;"OK","",ROUND($G166*使い方と設定!$B$7*$AK166*INDEX(個性タイプマスタ!$Q$5:$AA$54,$AE166,10)/$AG166,4))</f>
        <v>0.43990000000000001</v>
      </c>
      <c r="S166" s="9">
        <f>IF($H166&lt;&gt;"OK","",ROUND($G166*使い方と設定!$B$7*$AK166*INDEX(個性タイプマスタ!$Q$5:$AA$54,$AE166,11)/$AG166,4))</f>
        <v>0.33250000000000002</v>
      </c>
      <c r="T166" s="9">
        <f>IF($H166&lt;&gt;"OK","",ROUND($G166*使い方と設定!$B$8*$AK166*$AH166*INDEX(属性耐性マスタ!$B$5:$G$10,$AF166,1),4))</f>
        <v>5.74E-2</v>
      </c>
      <c r="U166" s="9">
        <f>IF($H166&lt;&gt;"OK","",ROUND($G166*使い方と設定!$B$8*$AK166*$AH166*INDEX(属性耐性マスタ!$B$5:$G$10,$AF166,2),4))</f>
        <v>0.28699999999999998</v>
      </c>
      <c r="V166" s="9">
        <f>IF($H166&lt;&gt;"OK","",ROUND($G166*使い方と設定!$B$8*$AK166*$AH166*INDEX(属性耐性マスタ!$B$5:$G$10,$AF166,3),4))</f>
        <v>1.9099999999999999E-2</v>
      </c>
      <c r="W166" s="9">
        <f>IF($H166&lt;&gt;"OK","",ROUND($G166*使い方と設定!$B$8*$AK166*$AH166*INDEX(属性耐性マスタ!$B$5:$G$10,$AF166,4),4))</f>
        <v>1.9099999999999999E-2</v>
      </c>
      <c r="X166" s="9">
        <f>IF($H166&lt;&gt;"OK","",ROUND($G166*使い方と設定!$B$8*$AK166*$AH166*INDEX(属性耐性マスタ!$B$5:$G$10,$AF166,5),4))</f>
        <v>1.43E-2</v>
      </c>
      <c r="Y166" s="9">
        <f>IF($H166&lt;&gt;"OK","",ROUND($G166*使い方と設定!$B$8*$AK166*$AH166*INDEX(属性耐性マスタ!$B$5:$G$10,$AF166,6),4))</f>
        <v>1.43E-2</v>
      </c>
      <c r="Z166" s="9">
        <f>IF($H166&lt;&gt;"OK","",ROUND($G166*使い方と設定!$B$9*$AK166*$AI166,4))</f>
        <v>1.5277000000000001</v>
      </c>
      <c r="AA166" s="10">
        <v>0.55000000000000004</v>
      </c>
      <c r="AB166" s="11">
        <f t="shared" si="7"/>
        <v>4.7824999999999998</v>
      </c>
      <c r="AC166" s="11">
        <f t="shared" si="8"/>
        <v>0.41120000000000001</v>
      </c>
      <c r="AD166" s="7" t="str">
        <f>IF($H166&lt;&gt;"OK","",INDEX(個性タイプマスタ!$P$5:$P$54,$AE166))</f>
        <v>属性耐性重視の堅実型</v>
      </c>
      <c r="AE166">
        <f>IFERROR(MATCH(E166,個性タイプマスタ!$A$5:$A$54,0),0)</f>
        <v>39</v>
      </c>
      <c r="AF166">
        <f>IFERROR(MATCH(F166,属性耐性マスタ!$A$5:$A$10,0),0)</f>
        <v>2</v>
      </c>
      <c r="AG166">
        <f>IF(AE166=0,1,INDEX(個性タイプマスタ!$AB$5:$AB$54,AE166))</f>
        <v>9.5661666666666676</v>
      </c>
      <c r="AH166">
        <f>IF(AE166=0,1,INDEX(個性タイプマスタ!$AC$5:$AC$54,AE166))</f>
        <v>1.5</v>
      </c>
      <c r="AI166">
        <f>IF(AE166=0,0,INDEX(個性タイプマスタ!$AD$5:$AD$54,AE166))</f>
        <v>0.95833333333333326</v>
      </c>
      <c r="AJ166" s="16">
        <v>27</v>
      </c>
      <c r="AK166" s="17">
        <f>IF(OR(AJ166="",AJ166&lt;1),"",POWER(使い方と設定!$E$6,AJ166-1))</f>
        <v>2.77246978474692</v>
      </c>
    </row>
    <row r="167" spans="1:37">
      <c r="A167" t="str">
        <f>+[2]称号!A162</f>
        <v>TITLE_161</v>
      </c>
      <c r="B167" t="str">
        <f>+[2]称号!B162</f>
        <v>滴水の深穴喰い</v>
      </c>
      <c r="C167" t="s">
        <v>457</v>
      </c>
      <c r="D167" t="s">
        <v>458</v>
      </c>
      <c r="E167" s="2" t="str">
        <f>[1]モンスター計算!AM165</f>
        <v>近接・会心</v>
      </c>
      <c r="F167" s="2" t="str">
        <f>[1]モンスター計算!C165</f>
        <v>水</v>
      </c>
      <c r="G167" s="8">
        <v>1.2</v>
      </c>
      <c r="H167" t="str">
        <f t="shared" si="6"/>
        <v>OK</v>
      </c>
      <c r="I167" s="9">
        <f>IF($H167&lt;&gt;"OK","",ROUND($G167*使い方と設定!$B$7*$AK167*INDEX(個性タイプマスタ!$Q$5:$AA$54,$AE167,1)/$AG167,4))</f>
        <v>0.41139999999999999</v>
      </c>
      <c r="J167" s="9">
        <f>IF($H167&lt;&gt;"OK","",ROUND($G167*使い方と設定!$B$7*$AK167*INDEX(個性タイプマスタ!$Q$5:$AA$54,$AE167,2)/$AG167,4))</f>
        <v>0.17019999999999999</v>
      </c>
      <c r="K167" s="9">
        <f>IF($H167&lt;&gt;"OK","",ROUND($G167*使い方と設定!$B$7*$AK167*INDEX(個性タイプマスタ!$Q$5:$AA$54,$AE167,3)/$AG167,4))</f>
        <v>1.0746</v>
      </c>
      <c r="L167" s="9">
        <f>IF($H167&lt;&gt;"OK","",ROUND($G167*使い方と設定!$B$7*$AK167*INDEX(個性タイプマスタ!$Q$5:$AA$54,$AE167,4)/$AG167,4))</f>
        <v>6.9900000000000004E-2</v>
      </c>
      <c r="M167" s="9">
        <f>IF($H167&lt;&gt;"OK","",ROUND($G167*使い方と設定!$B$7*$AK167*INDEX(個性タイプマスタ!$Q$5:$AA$54,$AE167,5)/$AG167,4))</f>
        <v>0.31419999999999998</v>
      </c>
      <c r="N167" s="9">
        <f>IF($H167&lt;&gt;"OK","",ROUND($G167*使い方と設定!$B$7*$AK167*INDEX(個性タイプマスタ!$Q$5:$AA$54,$AE167,6)/$AG167,4))</f>
        <v>0.28129999999999999</v>
      </c>
      <c r="O167" s="9">
        <f>IF($H167&lt;&gt;"OK","",ROUND($G167*使い方と設定!$B$7*$AK167*INDEX(個性タイプマスタ!$Q$5:$AA$54,$AE167,7)/$AG167,4))</f>
        <v>1.2766999999999999</v>
      </c>
      <c r="P167" s="9">
        <f>IF($H167&lt;&gt;"OK","",ROUND($G167*使い方と設定!$B$7*$AK167*INDEX(個性タイプマスタ!$Q$5:$AA$54,$AE167,8)/$AG167,4))</f>
        <v>0.37809999999999999</v>
      </c>
      <c r="Q167" s="9">
        <f>IF($H167&lt;&gt;"OK","",ROUND($G167*使い方と設定!$B$7*$AK167*INDEX(個性タイプマスタ!$Q$5:$AA$54,$AE167,9)/$AG167,4))</f>
        <v>0.2601</v>
      </c>
      <c r="R167" s="9">
        <f>IF($H167&lt;&gt;"OK","",ROUND($G167*使い方と設定!$B$7*$AK167*INDEX(個性タイプマスタ!$Q$5:$AA$54,$AE167,10)/$AG167,4))</f>
        <v>0.44700000000000001</v>
      </c>
      <c r="S167" s="9">
        <f>IF($H167&lt;&gt;"OK","",ROUND($G167*使い方と設定!$B$7*$AK167*INDEX(個性タイプマスタ!$Q$5:$AA$54,$AE167,11)/$AG167,4))</f>
        <v>0.30690000000000001</v>
      </c>
      <c r="T167" s="9">
        <f>IF($H167&lt;&gt;"OK","",ROUND($G167*使い方と設定!$B$8*$AK167*$AH167*INDEX(属性耐性マスタ!$B$5:$G$10,$AF167,1),4))</f>
        <v>3.0300000000000001E-2</v>
      </c>
      <c r="U167" s="9">
        <f>IF($H167&lt;&gt;"OK","",ROUND($G167*使い方と設定!$B$8*$AK167*$AH167*INDEX(属性耐性マスタ!$B$5:$G$10,$AF167,2),4))</f>
        <v>0.1517</v>
      </c>
      <c r="V167" s="9">
        <f>IF($H167&lt;&gt;"OK","",ROUND($G167*使い方と設定!$B$8*$AK167*$AH167*INDEX(属性耐性マスタ!$B$5:$G$10,$AF167,3),4))</f>
        <v>1.01E-2</v>
      </c>
      <c r="W167" s="9">
        <f>IF($H167&lt;&gt;"OK","",ROUND($G167*使い方と設定!$B$8*$AK167*$AH167*INDEX(属性耐性マスタ!$B$5:$G$10,$AF167,4),4))</f>
        <v>1.01E-2</v>
      </c>
      <c r="X167" s="9">
        <f>IF($H167&lt;&gt;"OK","",ROUND($G167*使い方と設定!$B$8*$AK167*$AH167*INDEX(属性耐性マスタ!$B$5:$G$10,$AF167,5),4))</f>
        <v>7.6E-3</v>
      </c>
      <c r="Y167" s="9">
        <f>IF($H167&lt;&gt;"OK","",ROUND($G167*使い方と設定!$B$8*$AK167*$AH167*INDEX(属性耐性マスタ!$B$5:$G$10,$AF167,6),4))</f>
        <v>7.6E-3</v>
      </c>
      <c r="Z167" s="9">
        <f>IF($H167&lt;&gt;"OK","",ROUND($G167*使い方と設定!$B$9*$AK167*$AI167,4))</f>
        <v>1.7605</v>
      </c>
      <c r="AA167" s="10">
        <v>0.5</v>
      </c>
      <c r="AB167" s="11">
        <f t="shared" si="7"/>
        <v>4.9904000000000002</v>
      </c>
      <c r="AC167" s="11">
        <f t="shared" si="8"/>
        <v>0.21740000000000001</v>
      </c>
      <c r="AD167" s="7" t="str">
        <f>IF($H167&lt;&gt;"OK","",INDEX(個性タイプマスタ!$P$5:$P$54,$AE167))</f>
        <v>クリティカル確率に特化</v>
      </c>
      <c r="AE167">
        <f>IFERROR(MATCH(E167,個性タイプマスタ!$A$5:$A$54,0),0)</f>
        <v>46</v>
      </c>
      <c r="AF167">
        <f>IFERROR(MATCH(F167,属性耐性マスタ!$A$5:$A$10,0),0)</f>
        <v>2</v>
      </c>
      <c r="AG167">
        <f>IF(AE167=0,1,INDEX(個性タイプマスタ!$AB$5:$AB$54,AE167))</f>
        <v>11.609666666666667</v>
      </c>
      <c r="AH167">
        <f>IF(AE167=0,1,INDEX(個性タイプマスタ!$AC$5:$AC$54,AE167))</f>
        <v>0.76</v>
      </c>
      <c r="AI167">
        <f>IF(AE167=0,0,INDEX(個性タイプマスタ!$AD$5:$AD$54,AE167))</f>
        <v>1.0583333333333333</v>
      </c>
      <c r="AJ167" s="16">
        <v>27</v>
      </c>
      <c r="AK167" s="17">
        <f>IF(OR(AJ167="",AJ167&lt;1),"",POWER(使い方と設定!$E$6,AJ167-1))</f>
        <v>2.77246978474692</v>
      </c>
    </row>
    <row r="168" spans="1:37">
      <c r="A168" t="str">
        <f>+[2]称号!A163</f>
        <v>TITLE_162</v>
      </c>
      <c r="B168" t="str">
        <f>+[2]称号!B163</f>
        <v>苔濤を統べる深渠王</v>
      </c>
      <c r="C168" t="s">
        <v>459</v>
      </c>
      <c r="D168" t="s">
        <v>460</v>
      </c>
      <c r="E168" s="2" t="str">
        <f>[1]モンスター計算!AM166</f>
        <v>魔法・速攻</v>
      </c>
      <c r="F168" s="2" t="str">
        <f>[1]モンスター計算!C166</f>
        <v>風</v>
      </c>
      <c r="G168" s="8">
        <v>1.25</v>
      </c>
      <c r="H168" t="str">
        <f t="shared" si="6"/>
        <v>OK</v>
      </c>
      <c r="I168" s="9">
        <f>IF($H168&lt;&gt;"OK","",ROUND($G168*使い方と設定!$B$7*$AK168*INDEX(個性タイプマスタ!$Q$5:$AA$54,$AE168,1)/$AG168,4))</f>
        <v>0.53910000000000002</v>
      </c>
      <c r="J168" s="9">
        <f>IF($H168&lt;&gt;"OK","",ROUND($G168*使い方と設定!$B$7*$AK168*INDEX(個性タイプマスタ!$Q$5:$AA$54,$AE168,2)/$AG168,4))</f>
        <v>0.59309999999999996</v>
      </c>
      <c r="K168" s="9">
        <f>IF($H168&lt;&gt;"OK","",ROUND($G168*使い方と設定!$B$7*$AK168*INDEX(個性タイプマスタ!$Q$5:$AA$54,$AE168,3)/$AG168,4))</f>
        <v>0.1225</v>
      </c>
      <c r="L168" s="9">
        <f>IF($H168&lt;&gt;"OK","",ROUND($G168*使い方と設定!$B$7*$AK168*INDEX(個性タイプマスタ!$Q$5:$AA$54,$AE168,4)/$AG168,4))</f>
        <v>1.2253000000000001</v>
      </c>
      <c r="M168" s="9">
        <f>IF($H168&lt;&gt;"OK","",ROUND($G168*使い方と設定!$B$7*$AK168*INDEX(個性タイプマスタ!$Q$5:$AA$54,$AE168,5)/$AG168,4))</f>
        <v>0.39579999999999999</v>
      </c>
      <c r="N168" s="9">
        <f>IF($H168&lt;&gt;"OK","",ROUND($G168*使い方と設定!$B$7*$AK168*INDEX(個性タイプマスタ!$Q$5:$AA$54,$AE168,6)/$AG168,4))</f>
        <v>0.45829999999999999</v>
      </c>
      <c r="O168" s="9">
        <f>IF($H168&lt;&gt;"OK","",ROUND($G168*使い方と設定!$B$7*$AK168*INDEX(個性タイプマスタ!$Q$5:$AA$54,$AE168,7)/$AG168,4))</f>
        <v>0.37740000000000001</v>
      </c>
      <c r="P168" s="9">
        <f>IF($H168&lt;&gt;"OK","",ROUND($G168*使い方と設定!$B$7*$AK168*INDEX(個性タイプマスタ!$Q$5:$AA$54,$AE168,8)/$AG168,4))</f>
        <v>0.32919999999999999</v>
      </c>
      <c r="Q168" s="9">
        <f>IF($H168&lt;&gt;"OK","",ROUND($G168*使い方と設定!$B$7*$AK168*INDEX(個性タイプマスタ!$Q$5:$AA$54,$AE168,9)/$AG168,4))</f>
        <v>0.248</v>
      </c>
      <c r="R168" s="9">
        <f>IF($H168&lt;&gt;"OK","",ROUND($G168*使い方と設定!$B$7*$AK168*INDEX(個性タイプマスタ!$Q$5:$AA$54,$AE168,10)/$AG168,4))</f>
        <v>0.53910000000000002</v>
      </c>
      <c r="S168" s="9">
        <f>IF($H168&lt;&gt;"OK","",ROUND($G168*使い方と設定!$B$7*$AK168*INDEX(個性タイプマスタ!$Q$5:$AA$54,$AE168,11)/$AG168,4))</f>
        <v>0.3705</v>
      </c>
      <c r="T168" s="9">
        <f>IF($H168&lt;&gt;"OK","",ROUND($G168*使い方と設定!$B$8*$AK168*$AH168*INDEX(属性耐性マスタ!$B$5:$G$10,$AF168,1),4))</f>
        <v>1.2200000000000001E-2</v>
      </c>
      <c r="U168" s="9">
        <f>IF($H168&lt;&gt;"OK","",ROUND($G168*使い方と設定!$B$8*$AK168*$AH168*INDEX(属性耐性マスタ!$B$5:$G$10,$AF168,2),4))</f>
        <v>1.2200000000000001E-2</v>
      </c>
      <c r="V168" s="9">
        <f>IF($H168&lt;&gt;"OK","",ROUND($G168*使い方と設定!$B$8*$AK168*$AH168*INDEX(属性耐性マスタ!$B$5:$G$10,$AF168,3),4))</f>
        <v>0.183</v>
      </c>
      <c r="W168" s="9">
        <f>IF($H168&lt;&gt;"OK","",ROUND($G168*使い方と設定!$B$8*$AK168*$AH168*INDEX(属性耐性マスタ!$B$5:$G$10,$AF168,4),4))</f>
        <v>4.5699999999999998E-2</v>
      </c>
      <c r="X168" s="9">
        <f>IF($H168&lt;&gt;"OK","",ROUND($G168*使い方と設定!$B$8*$AK168*$AH168*INDEX(属性耐性マスタ!$B$5:$G$10,$AF168,5),4))</f>
        <v>9.1000000000000004E-3</v>
      </c>
      <c r="Y168" s="9">
        <f>IF($H168&lt;&gt;"OK","",ROUND($G168*使い方と設定!$B$8*$AK168*$AH168*INDEX(属性耐性マスタ!$B$5:$G$10,$AF168,6),4))</f>
        <v>9.1000000000000004E-3</v>
      </c>
      <c r="Z168" s="9">
        <f>IF($H168&lt;&gt;"OK","",ROUND($G168*使い方と設定!$B$9*$AK168*$AI168,4))</f>
        <v>1.7039</v>
      </c>
      <c r="AA168" s="10">
        <v>0.25</v>
      </c>
      <c r="AB168" s="11">
        <f t="shared" si="7"/>
        <v>5.1982999999999997</v>
      </c>
      <c r="AC168" s="11">
        <f t="shared" si="8"/>
        <v>0.27129999999999999</v>
      </c>
      <c r="AD168" s="7" t="str">
        <f>IF($H168&lt;&gt;"OK","",INDEX(個性タイプマスタ!$P$5:$P$54,$AE168))</f>
        <v>高速の魔法型。攻速と射程が優秀</v>
      </c>
      <c r="AE168">
        <f>IFERROR(MATCH(E168,個性タイプマスタ!$A$5:$A$54,0),0)</f>
        <v>3</v>
      </c>
      <c r="AF168">
        <f>IFERROR(MATCH(F168,属性耐性マスタ!$A$5:$A$10,0),0)</f>
        <v>3</v>
      </c>
      <c r="AG168">
        <f>IF(AE168=0,1,INDEX(個性タイプマスタ!$AB$5:$AB$54,AE168))</f>
        <v>10.606166666666667</v>
      </c>
      <c r="AH168">
        <f>IF(AE168=0,1,INDEX(個性タイプマスタ!$AC$5:$AC$54,AE168))</f>
        <v>0.88</v>
      </c>
      <c r="AI168">
        <f>IF(AE168=0,0,INDEX(個性タイプマスタ!$AD$5:$AD$54,AE168))</f>
        <v>0.98333333333333328</v>
      </c>
      <c r="AJ168" s="16">
        <v>27</v>
      </c>
      <c r="AK168" s="17">
        <f>IF(OR(AJ168="",AJ168&lt;1),"",POWER(使い方と設定!$E$6,AJ168-1))</f>
        <v>2.77246978474692</v>
      </c>
    </row>
    <row r="169" spans="1:37">
      <c r="A169" t="str">
        <f>+[2]称号!A164</f>
        <v>TITLE_163</v>
      </c>
      <c r="B169" t="str">
        <f>+[2]称号!B164</f>
        <v>朽墓の骸兵</v>
      </c>
      <c r="C169" t="s">
        <v>461</v>
      </c>
      <c r="D169" t="s">
        <v>462</v>
      </c>
      <c r="E169" s="2" t="str">
        <f>[1]モンスター計算!AM167</f>
        <v>魔法・鈍足賢者</v>
      </c>
      <c r="F169" s="2" t="str">
        <f>[1]モンスター計算!C167</f>
        <v>闇</v>
      </c>
      <c r="G169" s="8">
        <v>1</v>
      </c>
      <c r="H169" t="str">
        <f t="shared" si="6"/>
        <v>OK</v>
      </c>
      <c r="I169" s="9">
        <f>IF($H169&lt;&gt;"OK","",ROUND($G169*使い方と設定!$B$7*$AK169*INDEX(個性タイプマスタ!$Q$5:$AA$54,$AE169,1)/$AG169,4))</f>
        <v>0.5151</v>
      </c>
      <c r="J169" s="9">
        <f>IF($H169&lt;&gt;"OK","",ROUND($G169*使い方と設定!$B$7*$AK169*INDEX(個性タイプマスタ!$Q$5:$AA$54,$AE169,2)/$AG169,4))</f>
        <v>0.8095</v>
      </c>
      <c r="K169" s="9">
        <f>IF($H169&lt;&gt;"OK","",ROUND($G169*使い方と設定!$B$7*$AK169*INDEX(個性タイプマスタ!$Q$5:$AA$54,$AE169,3)/$AG169,4))</f>
        <v>7.0199999999999999E-2</v>
      </c>
      <c r="L169" s="9">
        <f>IF($H169&lt;&gt;"OK","",ROUND($G169*使い方と設定!$B$7*$AK169*INDEX(個性タイプマスタ!$Q$5:$AA$54,$AE169,4)/$AG169,4))</f>
        <v>0.83620000000000005</v>
      </c>
      <c r="M169" s="9">
        <f>IF($H169&lt;&gt;"OK","",ROUND($G169*使い方と設定!$B$7*$AK169*INDEX(個性タイプマスタ!$Q$5:$AA$54,$AE169,5)/$AG169,4))</f>
        <v>0.27010000000000001</v>
      </c>
      <c r="N169" s="9">
        <f>IF($H169&lt;&gt;"OK","",ROUND($G169*使い方と設定!$B$7*$AK169*INDEX(個性タイプマスタ!$Q$5:$AA$54,$AE169,6)/$AG169,4))</f>
        <v>0.47760000000000002</v>
      </c>
      <c r="O169" s="9">
        <f>IF($H169&lt;&gt;"OK","",ROUND($G169*使い方と設定!$B$7*$AK169*INDEX(個性タイプマスタ!$Q$5:$AA$54,$AE169,7)/$AG169,4))</f>
        <v>0.42309999999999998</v>
      </c>
      <c r="P169" s="9">
        <f>IF($H169&lt;&gt;"OK","",ROUND($G169*使い方と設定!$B$7*$AK169*INDEX(個性タイプマスタ!$Q$5:$AA$54,$AE169,8)/$AG169,4))</f>
        <v>0.28260000000000002</v>
      </c>
      <c r="Q169" s="9">
        <f>IF($H169&lt;&gt;"OK","",ROUND($G169*使い方と設定!$B$7*$AK169*INDEX(個性タイプマスタ!$Q$5:$AA$54,$AE169,9)/$AG169,4))</f>
        <v>8.8300000000000003E-2</v>
      </c>
      <c r="R169" s="9">
        <f>IF($H169&lt;&gt;"OK","",ROUND($G169*使い方と設定!$B$7*$AK169*INDEX(個性タイプマスタ!$Q$5:$AA$54,$AE169,10)/$AG169,4))</f>
        <v>0.24079999999999999</v>
      </c>
      <c r="S169" s="9">
        <f>IF($H169&lt;&gt;"OK","",ROUND($G169*使い方と設定!$B$7*$AK169*INDEX(個性タイプマスタ!$Q$5:$AA$54,$AE169,11)/$AG169,4))</f>
        <v>0.31140000000000001</v>
      </c>
      <c r="T169" s="9">
        <f>IF($H169&lt;&gt;"OK","",ROUND($G169*使い方と設定!$B$8*$AK169*$AH169*INDEX(属性耐性マスタ!$B$5:$G$10,$AF169,1),4))</f>
        <v>1.14E-2</v>
      </c>
      <c r="U169" s="9">
        <f>IF($H169&lt;&gt;"OK","",ROUND($G169*使い方と設定!$B$8*$AK169*$AH169*INDEX(属性耐性マスタ!$B$5:$G$10,$AF169,2),4))</f>
        <v>1.14E-2</v>
      </c>
      <c r="V169" s="9">
        <f>IF($H169&lt;&gt;"OK","",ROUND($G169*使い方と設定!$B$8*$AK169*$AH169*INDEX(属性耐性マスタ!$B$5:$G$10,$AF169,3),4))</f>
        <v>1.14E-2</v>
      </c>
      <c r="W169" s="9">
        <f>IF($H169&lt;&gt;"OK","",ROUND($G169*使い方と設定!$B$8*$AK169*$AH169*INDEX(属性耐性マスタ!$B$5:$G$10,$AF169,4),4))</f>
        <v>1.14E-2</v>
      </c>
      <c r="X169" s="9">
        <f>IF($H169&lt;&gt;"OK","",ROUND($G169*使い方と設定!$B$8*$AK169*$AH169*INDEX(属性耐性マスタ!$B$5:$G$10,$AF169,5),4))</f>
        <v>3.04E-2</v>
      </c>
      <c r="Y169" s="9">
        <f>IF($H169&lt;&gt;"OK","",ROUND($G169*使い方と設定!$B$8*$AK169*$AH169*INDEX(属性耐性マスタ!$B$5:$G$10,$AF169,6),4))</f>
        <v>0.22839999999999999</v>
      </c>
      <c r="Z169" s="9">
        <f>IF($H169&lt;&gt;"OK","",ROUND($G169*使い方と設定!$B$9*$AK169*$AI169,4))</f>
        <v>1.1533</v>
      </c>
      <c r="AA169" s="10">
        <v>1</v>
      </c>
      <c r="AB169" s="11">
        <f t="shared" si="7"/>
        <v>4.3249000000000004</v>
      </c>
      <c r="AC169" s="11">
        <f t="shared" si="8"/>
        <v>0.3044</v>
      </c>
      <c r="AD169" s="7" t="str">
        <f>IF($H169&lt;&gt;"OK","",INDEX(個性タイプマスタ!$P$5:$P$54,$AE169))</f>
        <v>低機動・高MP・高魔防</v>
      </c>
      <c r="AE169">
        <f>IFERROR(MATCH(E169,個性タイプマスタ!$A$5:$A$54,0),0)</f>
        <v>30</v>
      </c>
      <c r="AF169">
        <f>IFERROR(MATCH(F169,属性耐性マスタ!$A$5:$A$10,0),0)</f>
        <v>6</v>
      </c>
      <c r="AG169">
        <f>IF(AE169=0,1,INDEX(個性タイプマスタ!$AB$5:$AB$54,AE169))</f>
        <v>12.9305</v>
      </c>
      <c r="AH169">
        <f>IF(AE169=0,1,INDEX(個性タイプマスタ!$AC$5:$AC$54,AE169))</f>
        <v>1.32</v>
      </c>
      <c r="AI169">
        <f>IF(AE169=0,0,INDEX(個性タイプマスタ!$AD$5:$AD$54,AE169))</f>
        <v>0.79999999999999993</v>
      </c>
      <c r="AJ169" s="16">
        <v>28</v>
      </c>
      <c r="AK169" s="17">
        <f>IF(OR(AJ169="",AJ169&lt;1),"",POWER(使い方と設定!$E$6,AJ169-1))</f>
        <v>2.8833685761367969</v>
      </c>
    </row>
    <row r="170" spans="1:37">
      <c r="A170" t="str">
        <f>+[2]称号!A165</f>
        <v>TITLE_164</v>
      </c>
      <c r="B170" t="str">
        <f>+[2]称号!B165</f>
        <v>鎧墓の守屍</v>
      </c>
      <c r="C170" t="s">
        <v>463</v>
      </c>
      <c r="D170" t="s">
        <v>464</v>
      </c>
      <c r="E170" s="2" t="str">
        <f>[1]モンスター計算!AM168</f>
        <v>魔法・火力</v>
      </c>
      <c r="F170" s="2" t="str">
        <f>[1]モンスター計算!C168</f>
        <v>闇</v>
      </c>
      <c r="G170" s="8">
        <v>1.05</v>
      </c>
      <c r="H170" t="str">
        <f t="shared" si="6"/>
        <v>OK</v>
      </c>
      <c r="I170" s="9">
        <f>IF($H170&lt;&gt;"OK","",ROUND($G170*使い方と設定!$B$7*$AK170*INDEX(個性タイプマスタ!$Q$5:$AA$54,$AE170,1)/$AG170,4))</f>
        <v>0.37219999999999998</v>
      </c>
      <c r="J170" s="9">
        <f>IF($H170&lt;&gt;"OK","",ROUND($G170*使い方と設定!$B$7*$AK170*INDEX(個性タイプマスタ!$Q$5:$AA$54,$AE170,2)/$AG170,4))</f>
        <v>0.54869999999999997</v>
      </c>
      <c r="K170" s="9">
        <f>IF($H170&lt;&gt;"OK","",ROUND($G170*使い方と設定!$B$7*$AK170*INDEX(個性タイプマスタ!$Q$5:$AA$54,$AE170,3)/$AG170,4))</f>
        <v>0.1084</v>
      </c>
      <c r="L170" s="9">
        <f>IF($H170&lt;&gt;"OK","",ROUND($G170*使い方と設定!$B$7*$AK170*INDEX(個性タイプマスタ!$Q$5:$AA$54,$AE170,4)/$AG170,4))</f>
        <v>1.0844</v>
      </c>
      <c r="M170" s="9">
        <f>IF($H170&lt;&gt;"OK","",ROUND($G170*使い方と設定!$B$7*$AK170*INDEX(個性タイプマスタ!$Q$5:$AA$54,$AE170,5)/$AG170,4))</f>
        <v>0.27650000000000002</v>
      </c>
      <c r="N170" s="9">
        <f>IF($H170&lt;&gt;"OK","",ROUND($G170*使い方と設定!$B$7*$AK170*INDEX(個性タイプマスタ!$Q$5:$AA$54,$AE170,6)/$AG170,4))</f>
        <v>0.29499999999999998</v>
      </c>
      <c r="O170" s="9">
        <f>IF($H170&lt;&gt;"OK","",ROUND($G170*使い方と設定!$B$7*$AK170*INDEX(個性タイプマスタ!$Q$5:$AA$54,$AE170,7)/$AG170,4))</f>
        <v>0.52490000000000003</v>
      </c>
      <c r="P170" s="9">
        <f>IF($H170&lt;&gt;"OK","",ROUND($G170*使い方と設定!$B$7*$AK170*INDEX(個性タイプマスタ!$Q$5:$AA$54,$AE170,8)/$AG170,4))</f>
        <v>0.31009999999999999</v>
      </c>
      <c r="Q170" s="9">
        <f>IF($H170&lt;&gt;"OK","",ROUND($G170*使い方と設定!$B$7*$AK170*INDEX(個性タイプマスタ!$Q$5:$AA$54,$AE170,9)/$AG170,4))</f>
        <v>0.2099</v>
      </c>
      <c r="R170" s="9">
        <f>IF($H170&lt;&gt;"OK","",ROUND($G170*使い方と設定!$B$7*$AK170*INDEX(個性タイプマスタ!$Q$5:$AA$54,$AE170,10)/$AG170,4))</f>
        <v>0.47710000000000002</v>
      </c>
      <c r="S170" s="9">
        <f>IF($H170&lt;&gt;"OK","",ROUND($G170*使い方と設定!$B$7*$AK170*INDEX(個性タイプマスタ!$Q$5:$AA$54,$AE170,11)/$AG170,4))</f>
        <v>0.33400000000000002</v>
      </c>
      <c r="T170" s="9">
        <f>IF($H170&lt;&gt;"OK","",ROUND($G170*使い方と設定!$B$8*$AK170*$AH170*INDEX(属性耐性マスタ!$B$5:$G$10,$AF170,1),4))</f>
        <v>7.6E-3</v>
      </c>
      <c r="U170" s="9">
        <f>IF($H170&lt;&gt;"OK","",ROUND($G170*使い方と設定!$B$8*$AK170*$AH170*INDEX(属性耐性マスタ!$B$5:$G$10,$AF170,2),4))</f>
        <v>7.6E-3</v>
      </c>
      <c r="V170" s="9">
        <f>IF($H170&lt;&gt;"OK","",ROUND($G170*使い方と設定!$B$8*$AK170*$AH170*INDEX(属性耐性マスタ!$B$5:$G$10,$AF170,3),4))</f>
        <v>7.6E-3</v>
      </c>
      <c r="W170" s="9">
        <f>IF($H170&lt;&gt;"OK","",ROUND($G170*使い方と設定!$B$8*$AK170*$AH170*INDEX(属性耐性マスタ!$B$5:$G$10,$AF170,4),4))</f>
        <v>7.6E-3</v>
      </c>
      <c r="X170" s="9">
        <f>IF($H170&lt;&gt;"OK","",ROUND($G170*使い方と設定!$B$8*$AK170*$AH170*INDEX(属性耐性マスタ!$B$5:$G$10,$AF170,5),4))</f>
        <v>2.0299999999999999E-2</v>
      </c>
      <c r="Y170" s="9">
        <f>IF($H170&lt;&gt;"OK","",ROUND($G170*使い方と設定!$B$8*$AK170*$AH170*INDEX(属性耐性マスタ!$B$5:$G$10,$AF170,6),4))</f>
        <v>0.15260000000000001</v>
      </c>
      <c r="Z170" s="9">
        <f>IF($H170&lt;&gt;"OK","",ROUND($G170*使い方と設定!$B$9*$AK170*$AI170,4))</f>
        <v>1.4633</v>
      </c>
      <c r="AA170" s="10">
        <v>1</v>
      </c>
      <c r="AB170" s="11">
        <f t="shared" si="7"/>
        <v>4.5411999999999999</v>
      </c>
      <c r="AC170" s="11">
        <f t="shared" si="8"/>
        <v>0.20330000000000001</v>
      </c>
      <c r="AD170" s="7" t="str">
        <f>IF($H170&lt;&gt;"OK","",INDEX(個性タイプマスタ!$P$5:$P$54,$AE170))</f>
        <v>火力偏重。反撃に弱い</v>
      </c>
      <c r="AE170">
        <f>IFERROR(MATCH(E170,個性タイプマスタ!$A$5:$A$54,0),0)</f>
        <v>9</v>
      </c>
      <c r="AF170">
        <f>IFERROR(MATCH(F170,属性耐性マスタ!$A$5:$A$10,0),0)</f>
        <v>6</v>
      </c>
      <c r="AG170">
        <f>IF(AE170=0,1,INDEX(個性タイプマスタ!$AB$5:$AB$54,AE170))</f>
        <v>10.4695</v>
      </c>
      <c r="AH170">
        <f>IF(AE170=0,1,INDEX(個性タイプマスタ!$AC$5:$AC$54,AE170))</f>
        <v>0.84</v>
      </c>
      <c r="AI170">
        <f>IF(AE170=0,0,INDEX(個性タイプマスタ!$AD$5:$AD$54,AE170))</f>
        <v>0.96666666666666667</v>
      </c>
      <c r="AJ170" s="16">
        <v>28</v>
      </c>
      <c r="AK170" s="17">
        <f>IF(OR(AJ170="",AJ170&lt;1),"",POWER(使い方と設定!$E$6,AJ170-1))</f>
        <v>2.8833685761367969</v>
      </c>
    </row>
    <row r="171" spans="1:37">
      <c r="A171" t="str">
        <f>+[2]称号!A166</f>
        <v>TITLE_165</v>
      </c>
      <c r="B171" t="str">
        <f>+[2]称号!B166</f>
        <v>蒼焔の魂火</v>
      </c>
      <c r="C171" t="s">
        <v>465</v>
      </c>
      <c r="D171" t="s">
        <v>466</v>
      </c>
      <c r="E171" s="2" t="str">
        <f>[1]モンスター計算!AM169</f>
        <v>魔法・重装砲</v>
      </c>
      <c r="F171" s="2" t="str">
        <f>[1]モンスター計算!C169</f>
        <v>火</v>
      </c>
      <c r="G171" s="8">
        <v>1.1000000000000001</v>
      </c>
      <c r="H171" t="str">
        <f t="shared" si="6"/>
        <v>OK</v>
      </c>
      <c r="I171" s="9">
        <f>IF($H171&lt;&gt;"OK","",ROUND($G171*使い方と設定!$B$7*$AK171*INDEX(個性タイプマスタ!$Q$5:$AA$54,$AE171,1)/$AG171,4))</f>
        <v>0.78</v>
      </c>
      <c r="J171" s="9">
        <f>IF($H171&lt;&gt;"OK","",ROUND($G171*使い方と設定!$B$7*$AK171*INDEX(個性タイプマスタ!$Q$5:$AA$54,$AE171,2)/$AG171,4))</f>
        <v>0.61219999999999997</v>
      </c>
      <c r="K171" s="9">
        <f>IF($H171&lt;&gt;"OK","",ROUND($G171*使い方と設定!$B$7*$AK171*INDEX(個性タイプマスタ!$Q$5:$AA$54,$AE171,3)/$AG171,4))</f>
        <v>6.7000000000000004E-2</v>
      </c>
      <c r="L171" s="9">
        <f>IF($H171&lt;&gt;"OK","",ROUND($G171*使い方と設定!$B$7*$AK171*INDEX(個性タイプマスタ!$Q$5:$AA$54,$AE171,4)/$AG171,4))</f>
        <v>1.0306</v>
      </c>
      <c r="M171" s="9">
        <f>IF($H171&lt;&gt;"OK","",ROUND($G171*使い方と設定!$B$7*$AK171*INDEX(個性タイプマスタ!$Q$5:$AA$54,$AE171,5)/$AG171,4))</f>
        <v>0.57469999999999999</v>
      </c>
      <c r="N171" s="9">
        <f>IF($H171&lt;&gt;"OK","",ROUND($G171*使い方と設定!$B$7*$AK171*INDEX(個性タイプマスタ!$Q$5:$AA$54,$AE171,6)/$AG171,4))</f>
        <v>0.54310000000000003</v>
      </c>
      <c r="O171" s="9">
        <f>IF($H171&lt;&gt;"OK","",ROUND($G171*使い方と設定!$B$7*$AK171*INDEX(個性タイプマスタ!$Q$5:$AA$54,$AE171,7)/$AG171,4))</f>
        <v>0.15870000000000001</v>
      </c>
      <c r="P171" s="9">
        <f>IF($H171&lt;&gt;"OK","",ROUND($G171*使い方と設定!$B$7*$AK171*INDEX(個性タイプマスタ!$Q$5:$AA$54,$AE171,8)/$AG171,4))</f>
        <v>0.25009999999999999</v>
      </c>
      <c r="Q171" s="9">
        <f>IF($H171&lt;&gt;"OK","",ROUND($G171*使い方と設定!$B$7*$AK171*INDEX(個性タイプマスタ!$Q$5:$AA$54,$AE171,9)/$AG171,4))</f>
        <v>0.13600000000000001</v>
      </c>
      <c r="R171" s="9">
        <f>IF($H171&lt;&gt;"OK","",ROUND($G171*使い方と設定!$B$7*$AK171*INDEX(個性タイプマスタ!$Q$5:$AA$54,$AE171,10)/$AG171,4))</f>
        <v>0.24729999999999999</v>
      </c>
      <c r="S171" s="9">
        <f>IF($H171&lt;&gt;"OK","",ROUND($G171*使い方と設定!$B$7*$AK171*INDEX(個性タイプマスタ!$Q$5:$AA$54,$AE171,11)/$AG171,4))</f>
        <v>0.35780000000000001</v>
      </c>
      <c r="T171" s="9">
        <f>IF($H171&lt;&gt;"OK","",ROUND($G171*使い方と設定!$B$8*$AK171*$AH171*INDEX(属性耐性マスタ!$B$5:$G$10,$AF171,1),4))</f>
        <v>0.28160000000000002</v>
      </c>
      <c r="U171" s="9">
        <f>IF($H171&lt;&gt;"OK","",ROUND($G171*使い方と設定!$B$8*$AK171*$AH171*INDEX(属性耐性マスタ!$B$5:$G$10,$AF171,2),4))</f>
        <v>5.6300000000000003E-2</v>
      </c>
      <c r="V171" s="9">
        <f>IF($H171&lt;&gt;"OK","",ROUND($G171*使い方と設定!$B$8*$AK171*$AH171*INDEX(属性耐性マスタ!$B$5:$G$10,$AF171,3),4))</f>
        <v>1.8800000000000001E-2</v>
      </c>
      <c r="W171" s="9">
        <f>IF($H171&lt;&gt;"OK","",ROUND($G171*使い方と設定!$B$8*$AK171*$AH171*INDEX(属性耐性マスタ!$B$5:$G$10,$AF171,4),4))</f>
        <v>1.8800000000000001E-2</v>
      </c>
      <c r="X171" s="9">
        <f>IF($H171&lt;&gt;"OK","",ROUND($G171*使い方と設定!$B$8*$AK171*$AH171*INDEX(属性耐性マスタ!$B$5:$G$10,$AF171,5),4))</f>
        <v>1.41E-2</v>
      </c>
      <c r="Y171" s="9">
        <f>IF($H171&lt;&gt;"OK","",ROUND($G171*使い方と設定!$B$8*$AK171*$AH171*INDEX(属性耐性マスタ!$B$5:$G$10,$AF171,6),4))</f>
        <v>1.41E-2</v>
      </c>
      <c r="Z171" s="9">
        <f>IF($H171&lt;&gt;"OK","",ROUND($G171*使い方と設定!$B$9*$AK171*$AI171,4))</f>
        <v>1.3480000000000001</v>
      </c>
      <c r="AA171" s="10">
        <v>0.9</v>
      </c>
      <c r="AB171" s="11">
        <f t="shared" si="7"/>
        <v>4.7575000000000003</v>
      </c>
      <c r="AC171" s="11">
        <f t="shared" si="8"/>
        <v>0.4037</v>
      </c>
      <c r="AD171" s="7" t="str">
        <f>IF($H171&lt;&gt;"OK","",INDEX(個性タイプマスタ!$P$5:$P$54,$AE171))</f>
        <v>高耐久・射撃間隔は長い</v>
      </c>
      <c r="AE171">
        <f>IFERROR(MATCH(E171,個性タイプマスタ!$A$5:$A$54,0),0)</f>
        <v>19</v>
      </c>
      <c r="AF171">
        <f>IFERROR(MATCH(F171,属性耐性マスタ!$A$5:$A$10,0),0)</f>
        <v>1</v>
      </c>
      <c r="AG171">
        <f>IF(AE171=0,1,INDEX(個性タイプマスタ!$AB$5:$AB$54,AE171))</f>
        <v>11.540666666666668</v>
      </c>
      <c r="AH171">
        <f>IF(AE171=0,1,INDEX(個性タイプマスタ!$AC$5:$AC$54,AE171))</f>
        <v>1.48</v>
      </c>
      <c r="AI171">
        <f>IF(AE171=0,0,INDEX(個性タイプマスタ!$AD$5:$AD$54,AE171))</f>
        <v>0.85</v>
      </c>
      <c r="AJ171" s="16">
        <v>28</v>
      </c>
      <c r="AK171" s="17">
        <f>IF(OR(AJ171="",AJ171&lt;1),"",POWER(使い方と設定!$E$6,AJ171-1))</f>
        <v>2.8833685761367969</v>
      </c>
    </row>
    <row r="172" spans="1:37">
      <c r="A172" t="str">
        <f>+[2]称号!A167</f>
        <v>TITLE_166</v>
      </c>
      <c r="B172" t="str">
        <f>+[2]称号!B167</f>
        <v>石葬の巨像</v>
      </c>
      <c r="C172" t="s">
        <v>467</v>
      </c>
      <c r="D172" t="s">
        <v>468</v>
      </c>
      <c r="E172" s="2" t="str">
        <f>[1]モンスター計算!AM170</f>
        <v>近接・巨体</v>
      </c>
      <c r="F172" s="2" t="str">
        <f>[1]モンスター計算!C170</f>
        <v>闇</v>
      </c>
      <c r="G172" s="8">
        <v>1.1499999999999999</v>
      </c>
      <c r="H172" t="str">
        <f t="shared" si="6"/>
        <v>OK</v>
      </c>
      <c r="I172" s="9">
        <f>IF($H172&lt;&gt;"OK","",ROUND($G172*使い方と設定!$B$7*$AK172*INDEX(個性タイプマスタ!$Q$5:$AA$54,$AE172,1)/$AG172,4))</f>
        <v>1.1301000000000001</v>
      </c>
      <c r="J172" s="9">
        <f>IF($H172&lt;&gt;"OK","",ROUND($G172*使い方と設定!$B$7*$AK172*INDEX(個性タイプマスタ!$Q$5:$AA$54,$AE172,2)/$AG172,4))</f>
        <v>0.16539999999999999</v>
      </c>
      <c r="K172" s="9">
        <f>IF($H172&lt;&gt;"OK","",ROUND($G172*使い方と設定!$B$7*$AK172*INDEX(個性タイプマスタ!$Q$5:$AA$54,$AE172,3)/$AG172,4))</f>
        <v>1.2527999999999999</v>
      </c>
      <c r="L172" s="9">
        <f>IF($H172&lt;&gt;"OK","",ROUND($G172*使い方と設定!$B$7*$AK172*INDEX(個性タイプマスタ!$Q$5:$AA$54,$AE172,4)/$AG172,4))</f>
        <v>0.1128</v>
      </c>
      <c r="M172" s="9">
        <f>IF($H172&lt;&gt;"OK","",ROUND($G172*使い方と設定!$B$7*$AK172*INDEX(個性タイプマスタ!$Q$5:$AA$54,$AE172,5)/$AG172,4))</f>
        <v>0.64749999999999996</v>
      </c>
      <c r="N172" s="9">
        <f>IF($H172&lt;&gt;"OK","",ROUND($G172*使い方と設定!$B$7*$AK172*INDEX(個性タイプマスタ!$Q$5:$AA$54,$AE172,6)/$AG172,4))</f>
        <v>0.55379999999999996</v>
      </c>
      <c r="O172" s="9">
        <f>IF($H172&lt;&gt;"OK","",ROUND($G172*使い方と設定!$B$7*$AK172*INDEX(個性タイプマスタ!$Q$5:$AA$54,$AE172,7)/$AG172,4))</f>
        <v>0.13780000000000001</v>
      </c>
      <c r="P172" s="9">
        <f>IF($H172&lt;&gt;"OK","",ROUND($G172*使い方と設定!$B$7*$AK172*INDEX(個性タイプマスタ!$Q$5:$AA$54,$AE172,8)/$AG172,4))</f>
        <v>0.29320000000000002</v>
      </c>
      <c r="Q172" s="9">
        <f>IF($H172&lt;&gt;"OK","",ROUND($G172*使い方と設定!$B$7*$AK172*INDEX(個性タイプマスタ!$Q$5:$AA$54,$AE172,9)/$AG172,4))</f>
        <v>0.1268</v>
      </c>
      <c r="R172" s="9">
        <f>IF($H172&lt;&gt;"OK","",ROUND($G172*使い方と設定!$B$7*$AK172*INDEX(個性タイプマスタ!$Q$5:$AA$54,$AE172,10)/$AG172,4))</f>
        <v>0.25559999999999999</v>
      </c>
      <c r="S172" s="9">
        <f>IF($H172&lt;&gt;"OK","",ROUND($G172*使い方と設定!$B$7*$AK172*INDEX(個性タイプマスタ!$Q$5:$AA$54,$AE172,11)/$AG172,4))</f>
        <v>0.29820000000000002</v>
      </c>
      <c r="T172" s="9">
        <f>IF($H172&lt;&gt;"OK","",ROUND($G172*使い方と設定!$B$8*$AK172*$AH172*INDEX(属性耐性マスタ!$B$5:$G$10,$AF172,1),4))</f>
        <v>1.1900000000000001E-2</v>
      </c>
      <c r="U172" s="9">
        <f>IF($H172&lt;&gt;"OK","",ROUND($G172*使い方と設定!$B$8*$AK172*$AH172*INDEX(属性耐性マスタ!$B$5:$G$10,$AF172,2),4))</f>
        <v>1.1900000000000001E-2</v>
      </c>
      <c r="V172" s="9">
        <f>IF($H172&lt;&gt;"OK","",ROUND($G172*使い方と設定!$B$8*$AK172*$AH172*INDEX(属性耐性マスタ!$B$5:$G$10,$AF172,3),4))</f>
        <v>1.1900000000000001E-2</v>
      </c>
      <c r="W172" s="9">
        <f>IF($H172&lt;&gt;"OK","",ROUND($G172*使い方と設定!$B$8*$AK172*$AH172*INDEX(属性耐性マスタ!$B$5:$G$10,$AF172,4),4))</f>
        <v>1.1900000000000001E-2</v>
      </c>
      <c r="X172" s="9">
        <f>IF($H172&lt;&gt;"OK","",ROUND($G172*使い方と設定!$B$8*$AK172*$AH172*INDEX(属性耐性マスタ!$B$5:$G$10,$AF172,5),4))</f>
        <v>3.1800000000000002E-2</v>
      </c>
      <c r="Y172" s="9">
        <f>IF($H172&lt;&gt;"OK","",ROUND($G172*使い方と設定!$B$8*$AK172*$AH172*INDEX(属性耐性マスタ!$B$5:$G$10,$AF172,6),4))</f>
        <v>0.2387</v>
      </c>
      <c r="Z172" s="9">
        <f>IF($H172&lt;&gt;"OK","",ROUND($G172*使い方と設定!$B$9*$AK172*$AI172,4))</f>
        <v>1.3125</v>
      </c>
      <c r="AA172" s="10">
        <v>0.55000000000000004</v>
      </c>
      <c r="AB172" s="11">
        <f t="shared" si="7"/>
        <v>4.9740000000000002</v>
      </c>
      <c r="AC172" s="11">
        <f t="shared" si="8"/>
        <v>0.31809999999999999</v>
      </c>
      <c r="AD172" s="7" t="str">
        <f>IF($H172&lt;&gt;"OK","",INDEX(個性タイプマスタ!$P$5:$P$54,$AE172))</f>
        <v>巨大なHPと極端な鈍足</v>
      </c>
      <c r="AE172">
        <f>IFERROR(MATCH(E172,個性タイプマスタ!$A$5:$A$54,0),0)</f>
        <v>45</v>
      </c>
      <c r="AF172">
        <f>IFERROR(MATCH(F172,属性耐性マスタ!$A$5:$A$10,0),0)</f>
        <v>6</v>
      </c>
      <c r="AG172">
        <f>IF(AE172=0,1,INDEX(個性タイプマスタ!$AB$5:$AB$54,AE172))</f>
        <v>9.9250000000000007</v>
      </c>
      <c r="AH172">
        <f>IF(AE172=0,1,INDEX(個性タイプマスタ!$AC$5:$AC$54,AE172))</f>
        <v>1.2</v>
      </c>
      <c r="AI172">
        <f>IF(AE172=0,0,INDEX(個性タイプマスタ!$AD$5:$AD$54,AE172))</f>
        <v>0.79166666666666663</v>
      </c>
      <c r="AJ172" s="16">
        <v>28</v>
      </c>
      <c r="AK172" s="17">
        <f>IF(OR(AJ172="",AJ172&lt;1),"",POWER(使い方と設定!$E$6,AJ172-1))</f>
        <v>2.8833685761367969</v>
      </c>
    </row>
    <row r="173" spans="1:37">
      <c r="A173" t="str">
        <f>+[2]称号!A168</f>
        <v>TITLE_167</v>
      </c>
      <c r="B173" t="str">
        <f>+[2]称号!B168</f>
        <v>霧哭の漂霊</v>
      </c>
      <c r="C173" t="s">
        <v>469</v>
      </c>
      <c r="D173" t="s">
        <v>470</v>
      </c>
      <c r="E173" s="2" t="str">
        <f>[1]モンスター計算!AM171</f>
        <v>近接・重装</v>
      </c>
      <c r="F173" s="2" t="str">
        <f>[1]モンスター計算!C171</f>
        <v>闇</v>
      </c>
      <c r="G173" s="8">
        <v>1.2</v>
      </c>
      <c r="H173" t="str">
        <f t="shared" si="6"/>
        <v>OK</v>
      </c>
      <c r="I173" s="9">
        <f>IF($H173&lt;&gt;"OK","",ROUND($G173*使い方と設定!$B$7*$AK173*INDEX(個性タイプマスタ!$Q$5:$AA$54,$AE173,1)/$AG173,4))</f>
        <v>0.73070000000000002</v>
      </c>
      <c r="J173" s="9">
        <f>IF($H173&lt;&gt;"OK","",ROUND($G173*使い方と設定!$B$7*$AK173*INDEX(個性タイプマスタ!$Q$5:$AA$54,$AE173,2)/$AG173,4))</f>
        <v>0.24360000000000001</v>
      </c>
      <c r="K173" s="9">
        <f>IF($H173&lt;&gt;"OK","",ROUND($G173*使い方と設定!$B$7*$AK173*INDEX(個性タイプマスタ!$Q$5:$AA$54,$AE173,3)/$AG173,4))</f>
        <v>1.2302</v>
      </c>
      <c r="L173" s="9">
        <f>IF($H173&lt;&gt;"OK","",ROUND($G173*使い方と設定!$B$7*$AK173*INDEX(個性タイプマスタ!$Q$5:$AA$54,$AE173,4)/$AG173,4))</f>
        <v>0.123</v>
      </c>
      <c r="M173" s="9">
        <f>IF($H173&lt;&gt;"OK","",ROUND($G173*使い方と設定!$B$7*$AK173*INDEX(個性タイプマスタ!$Q$5:$AA$54,$AE173,5)/$AG173,4))</f>
        <v>0.58560000000000001</v>
      </c>
      <c r="N173" s="9">
        <f>IF($H173&lt;&gt;"OK","",ROUND($G173*使い方と設定!$B$7*$AK173*INDEX(個性タイプマスタ!$Q$5:$AA$54,$AE173,6)/$AG173,4))</f>
        <v>0.41830000000000001</v>
      </c>
      <c r="O173" s="9">
        <f>IF($H173&lt;&gt;"OK","",ROUND($G173*使い方と設定!$B$7*$AK173*INDEX(個性タイプマスタ!$Q$5:$AA$54,$AE173,7)/$AG173,4))</f>
        <v>0.433</v>
      </c>
      <c r="P173" s="9">
        <f>IF($H173&lt;&gt;"OK","",ROUND($G173*使い方と設定!$B$7*$AK173*INDEX(個性タイプマスタ!$Q$5:$AA$54,$AE173,8)/$AG173,4))</f>
        <v>0.3412</v>
      </c>
      <c r="Q173" s="9">
        <f>IF($H173&lt;&gt;"OK","",ROUND($G173*使い方と設定!$B$7*$AK173*INDEX(個性タイプマスタ!$Q$5:$AA$54,$AE173,9)/$AG173,4))</f>
        <v>0.2923</v>
      </c>
      <c r="R173" s="9">
        <f>IF($H173&lt;&gt;"OK","",ROUND($G173*使い方と設定!$B$7*$AK173*INDEX(個性タイプマスタ!$Q$5:$AA$54,$AE173,10)/$AG173,4))</f>
        <v>0.51670000000000005</v>
      </c>
      <c r="S173" s="9">
        <f>IF($H173&lt;&gt;"OK","",ROUND($G173*使い方と設定!$B$7*$AK173*INDEX(個性タイプマスタ!$Q$5:$AA$54,$AE173,11)/$AG173,4))</f>
        <v>0.27560000000000001</v>
      </c>
      <c r="T173" s="9">
        <f>IF($H173&lt;&gt;"OK","",ROUND($G173*使い方と設定!$B$8*$AK173*$AH173*INDEX(属性耐性マスタ!$B$5:$G$10,$AF173,1),4))</f>
        <v>1.3100000000000001E-2</v>
      </c>
      <c r="U173" s="9">
        <f>IF($H173&lt;&gt;"OK","",ROUND($G173*使い方と設定!$B$8*$AK173*$AH173*INDEX(属性耐性マスタ!$B$5:$G$10,$AF173,2),4))</f>
        <v>1.3100000000000001E-2</v>
      </c>
      <c r="V173" s="9">
        <f>IF($H173&lt;&gt;"OK","",ROUND($G173*使い方と設定!$B$8*$AK173*$AH173*INDEX(属性耐性マスタ!$B$5:$G$10,$AF173,3),4))</f>
        <v>1.3100000000000001E-2</v>
      </c>
      <c r="W173" s="9">
        <f>IF($H173&lt;&gt;"OK","",ROUND($G173*使い方と設定!$B$8*$AK173*$AH173*INDEX(属性耐性マスタ!$B$5:$G$10,$AF173,4),4))</f>
        <v>1.3100000000000001E-2</v>
      </c>
      <c r="X173" s="9">
        <f>IF($H173&lt;&gt;"OK","",ROUND($G173*使い方と設定!$B$8*$AK173*$AH173*INDEX(属性耐性マスタ!$B$5:$G$10,$AF173,5),4))</f>
        <v>3.49E-2</v>
      </c>
      <c r="Y173" s="9">
        <f>IF($H173&lt;&gt;"OK","",ROUND($G173*使い方と設定!$B$8*$AK173*$AH173*INDEX(属性耐性マスタ!$B$5:$G$10,$AF173,6),4))</f>
        <v>0.2616</v>
      </c>
      <c r="Z173" s="9">
        <f>IF($H173&lt;&gt;"OK","",ROUND($G173*使い方と設定!$B$9*$AK173*$AI173,4))</f>
        <v>1.8165</v>
      </c>
      <c r="AA173" s="10">
        <v>0.5</v>
      </c>
      <c r="AB173" s="11">
        <f t="shared" si="7"/>
        <v>5.1901999999999999</v>
      </c>
      <c r="AC173" s="11">
        <f t="shared" si="8"/>
        <v>0.34889999999999999</v>
      </c>
      <c r="AD173" s="7" t="str">
        <f>IF($H173&lt;&gt;"OK","",INDEX(個性タイプマスタ!$P$5:$P$54,$AE173))</f>
        <v>高耐久の近接型。耐性も高め</v>
      </c>
      <c r="AE173">
        <f>IFERROR(MATCH(E173,個性タイプマスタ!$A$5:$A$54,0),0)</f>
        <v>5</v>
      </c>
      <c r="AF173">
        <f>IFERROR(MATCH(F173,属性耐性マスタ!$A$5:$A$10,0),0)</f>
        <v>6</v>
      </c>
      <c r="AG173">
        <f>IF(AE173=0,1,INDEX(個性タイプマスタ!$AB$5:$AB$54,AE173))</f>
        <v>10.547333333333334</v>
      </c>
      <c r="AH173">
        <f>IF(AE173=0,1,INDEX(個性タイプマスタ!$AC$5:$AC$54,AE173))</f>
        <v>1.26</v>
      </c>
      <c r="AI173">
        <f>IF(AE173=0,0,INDEX(個性タイプマスタ!$AD$5:$AD$54,AE173))</f>
        <v>1.05</v>
      </c>
      <c r="AJ173" s="16">
        <v>28</v>
      </c>
      <c r="AK173" s="17">
        <f>IF(OR(AJ173="",AJ173&lt;1),"",POWER(使い方と設定!$E$6,AJ173-1))</f>
        <v>2.8833685761367969</v>
      </c>
    </row>
    <row r="174" spans="1:37">
      <c r="A174" t="str">
        <f>+[2]称号!A169</f>
        <v>TITLE_168</v>
      </c>
      <c r="B174" t="str">
        <f>+[2]称号!B169</f>
        <v>冥冠の死侯</v>
      </c>
      <c r="C174" t="s">
        <v>471</v>
      </c>
      <c r="D174" t="s">
        <v>472</v>
      </c>
      <c r="E174" s="2" t="str">
        <f>[1]モンスター計算!AM172</f>
        <v>魔法・連射</v>
      </c>
      <c r="F174" s="2" t="str">
        <f>[1]モンスター計算!C172</f>
        <v>闇</v>
      </c>
      <c r="G174" s="8">
        <v>1.25</v>
      </c>
      <c r="H174" t="str">
        <f t="shared" si="6"/>
        <v>OK</v>
      </c>
      <c r="I174" s="9">
        <f>IF($H174&lt;&gt;"OK","",ROUND($G174*使い方と設定!$B$7*$AK174*INDEX(個性タイプマスタ!$Q$5:$AA$54,$AE174,1)/$AG174,4))</f>
        <v>0.44290000000000002</v>
      </c>
      <c r="J174" s="9">
        <f>IF($H174&lt;&gt;"OK","",ROUND($G174*使い方と設定!$B$7*$AK174*INDEX(個性タイプマスタ!$Q$5:$AA$54,$AE174,2)/$AG174,4))</f>
        <v>0.56859999999999999</v>
      </c>
      <c r="K174" s="9">
        <f>IF($H174&lt;&gt;"OK","",ROUND($G174*使い方と設定!$B$7*$AK174*INDEX(個性タイプマスタ!$Q$5:$AA$54,$AE174,3)/$AG174,4))</f>
        <v>8.8400000000000006E-2</v>
      </c>
      <c r="L174" s="9">
        <f>IF($H174&lt;&gt;"OK","",ROUND($G174*使い方と設定!$B$7*$AK174*INDEX(個性タイプマスタ!$Q$5:$AA$54,$AE174,4)/$AG174,4))</f>
        <v>1.3604000000000001</v>
      </c>
      <c r="M174" s="9">
        <f>IF($H174&lt;&gt;"OK","",ROUND($G174*使い方と設定!$B$7*$AK174*INDEX(個性タイプマスタ!$Q$5:$AA$54,$AE174,5)/$AG174,4))</f>
        <v>0.33300000000000002</v>
      </c>
      <c r="N174" s="9">
        <f>IF($H174&lt;&gt;"OK","",ROUND($G174*使い方と設定!$B$7*$AK174*INDEX(個性タイプマスタ!$Q$5:$AA$54,$AE174,6)/$AG174,4))</f>
        <v>0.38850000000000001</v>
      </c>
      <c r="O174" s="9">
        <f>IF($H174&lt;&gt;"OK","",ROUND($G174*使い方と設定!$B$7*$AK174*INDEX(個性タイプマスタ!$Q$5:$AA$54,$AE174,7)/$AG174,4))</f>
        <v>0.29930000000000001</v>
      </c>
      <c r="P174" s="9">
        <f>IF($H174&lt;&gt;"OK","",ROUND($G174*使い方と設定!$B$7*$AK174*INDEX(個性タイプマスタ!$Q$5:$AA$54,$AE174,8)/$AG174,4))</f>
        <v>0.3301</v>
      </c>
      <c r="Q174" s="9">
        <f>IF($H174&lt;&gt;"OK","",ROUND($G174*使い方と設定!$B$7*$AK174*INDEX(個性タイプマスタ!$Q$5:$AA$54,$AE174,9)/$AG174,4))</f>
        <v>0.40100000000000002</v>
      </c>
      <c r="R174" s="9">
        <f>IF($H174&lt;&gt;"OK","",ROUND($G174*使い方と設定!$B$7*$AK174*INDEX(個性タイプマスタ!$Q$5:$AA$54,$AE174,10)/$AG174,4))</f>
        <v>0.84340000000000004</v>
      </c>
      <c r="S174" s="9">
        <f>IF($H174&lt;&gt;"OK","",ROUND($G174*使い方と設定!$B$7*$AK174*INDEX(個性タイプマスタ!$Q$5:$AA$54,$AE174,11)/$AG174,4))</f>
        <v>0.35039999999999999</v>
      </c>
      <c r="T174" s="9">
        <f>IF($H174&lt;&gt;"OK","",ROUND($G174*使い方と設定!$B$8*$AK174*$AH174*INDEX(属性耐性マスタ!$B$5:$G$10,$AF174,1),4))</f>
        <v>7.7999999999999996E-3</v>
      </c>
      <c r="U174" s="9">
        <f>IF($H174&lt;&gt;"OK","",ROUND($G174*使い方と設定!$B$8*$AK174*$AH174*INDEX(属性耐性マスタ!$B$5:$G$10,$AF174,2),4))</f>
        <v>7.7999999999999996E-3</v>
      </c>
      <c r="V174" s="9">
        <f>IF($H174&lt;&gt;"OK","",ROUND($G174*使い方と設定!$B$8*$AK174*$AH174*INDEX(属性耐性マスタ!$B$5:$G$10,$AF174,3),4))</f>
        <v>7.7999999999999996E-3</v>
      </c>
      <c r="W174" s="9">
        <f>IF($H174&lt;&gt;"OK","",ROUND($G174*使い方と設定!$B$8*$AK174*$AH174*INDEX(属性耐性マスタ!$B$5:$G$10,$AF174,4),4))</f>
        <v>7.7999999999999996E-3</v>
      </c>
      <c r="X174" s="9">
        <f>IF($H174&lt;&gt;"OK","",ROUND($G174*使い方と設定!$B$8*$AK174*$AH174*INDEX(属性耐性マスタ!$B$5:$G$10,$AF174,5),4))</f>
        <v>2.0799999999999999E-2</v>
      </c>
      <c r="Y174" s="9">
        <f>IF($H174&lt;&gt;"OK","",ROUND($G174*使い方と設定!$B$8*$AK174*$AH174*INDEX(属性耐性マスタ!$B$5:$G$10,$AF174,6),4))</f>
        <v>0.15570000000000001</v>
      </c>
      <c r="Z174" s="9">
        <f>IF($H174&lt;&gt;"OK","",ROUND($G174*使い方と設定!$B$9*$AK174*$AI174,4))</f>
        <v>2.0874000000000001</v>
      </c>
      <c r="AA174" s="10">
        <v>0.25</v>
      </c>
      <c r="AB174" s="11">
        <f t="shared" si="7"/>
        <v>5.4059999999999997</v>
      </c>
      <c r="AC174" s="11">
        <f t="shared" si="8"/>
        <v>0.2077</v>
      </c>
      <c r="AD174" s="7" t="str">
        <f>IF($H174&lt;&gt;"OK","",INDEX(個性タイプマスタ!$P$5:$P$54,$AE174))</f>
        <v>手数重視。ひと撃ちは軽いが高速</v>
      </c>
      <c r="AE174">
        <f>IFERROR(MATCH(E174,個性タイプマスタ!$A$5:$A$54,0),0)</f>
        <v>15</v>
      </c>
      <c r="AF174">
        <f>IFERROR(MATCH(F174,属性耐性マスタ!$A$5:$A$10,0),0)</f>
        <v>6</v>
      </c>
      <c r="AG174">
        <f>IF(AE174=0,1,INDEX(個性タイプマスタ!$AB$5:$AB$54,AE174))</f>
        <v>9.9351666666666674</v>
      </c>
      <c r="AH174">
        <f>IF(AE174=0,1,INDEX(個性タイプマスタ!$AC$5:$AC$54,AE174))</f>
        <v>0.72</v>
      </c>
      <c r="AI174">
        <f>IF(AE174=0,0,INDEX(個性タイプマスタ!$AD$5:$AD$54,AE174))</f>
        <v>1.1583333333333332</v>
      </c>
      <c r="AJ174" s="16">
        <v>28</v>
      </c>
      <c r="AK174" s="17">
        <f>IF(OR(AJ174="",AJ174&lt;1),"",POWER(使い方と設定!$E$6,AJ174-1))</f>
        <v>2.8833685761367969</v>
      </c>
    </row>
    <row r="175" spans="1:37">
      <c r="A175" t="str">
        <f>+[2]称号!A170</f>
        <v>TITLE_169</v>
      </c>
      <c r="B175" t="str">
        <f>+[2]称号!B170</f>
        <v>殻岩の守蟹</v>
      </c>
      <c r="C175" t="s">
        <v>473</v>
      </c>
      <c r="D175" t="s">
        <v>474</v>
      </c>
      <c r="E175" s="2" t="str">
        <f>[1]モンスター計算!AM173</f>
        <v>魔法・最終層</v>
      </c>
      <c r="F175" s="2" t="str">
        <f>[1]モンスター計算!C173</f>
        <v>雷</v>
      </c>
      <c r="G175" s="8">
        <v>1</v>
      </c>
      <c r="H175" t="str">
        <f t="shared" si="6"/>
        <v>OK</v>
      </c>
      <c r="I175" s="9">
        <f>IF($H175&lt;&gt;"OK","",ROUND($G175*使い方と設定!$B$7*$AK175*INDEX(個性タイプマスタ!$Q$5:$AA$54,$AE175,1)/$AG175,4))</f>
        <v>0.5454</v>
      </c>
      <c r="J175" s="9">
        <f>IF($H175&lt;&gt;"OK","",ROUND($G175*使い方と設定!$B$7*$AK175*INDEX(個性タイプマスタ!$Q$5:$AA$54,$AE175,2)/$AG175,4))</f>
        <v>0.45450000000000002</v>
      </c>
      <c r="K175" s="9">
        <f>IF($H175&lt;&gt;"OK","",ROUND($G175*使い方と設定!$B$7*$AK175*INDEX(個性タイプマスタ!$Q$5:$AA$54,$AE175,3)/$AG175,4))</f>
        <v>0.1033</v>
      </c>
      <c r="L175" s="9">
        <f>IF($H175&lt;&gt;"OK","",ROUND($G175*使い方と設定!$B$7*$AK175*INDEX(個性タイプマスタ!$Q$5:$AA$54,$AE175,4)/$AG175,4))</f>
        <v>1.0328999999999999</v>
      </c>
      <c r="M175" s="9">
        <f>IF($H175&lt;&gt;"OK","",ROUND($G175*使い方と設定!$B$7*$AK175*INDEX(個性タイプマスタ!$Q$5:$AA$54,$AE175,5)/$AG175,4))</f>
        <v>0.45650000000000002</v>
      </c>
      <c r="N175" s="9">
        <f>IF($H175&lt;&gt;"OK","",ROUND($G175*使い方と設定!$B$7*$AK175*INDEX(個性タイプマスタ!$Q$5:$AA$54,$AE175,6)/$AG175,4))</f>
        <v>0.29849999999999999</v>
      </c>
      <c r="O175" s="9">
        <f>IF($H175&lt;&gt;"OK","",ROUND($G175*使い方と設定!$B$7*$AK175*INDEX(個性タイプマスタ!$Q$5:$AA$54,$AE175,7)/$AG175,4))</f>
        <v>0.36359999999999998</v>
      </c>
      <c r="P175" s="9">
        <f>IF($H175&lt;&gt;"OK","",ROUND($G175*使い方と設定!$B$7*$AK175*INDEX(個性タイプマスタ!$Q$5:$AA$54,$AE175,8)/$AG175,4))</f>
        <v>0.28649999999999998</v>
      </c>
      <c r="Q175" s="9">
        <f>IF($H175&lt;&gt;"OK","",ROUND($G175*使い方と設定!$B$7*$AK175*INDEX(個性タイプマスタ!$Q$5:$AA$54,$AE175,9)/$AG175,4))</f>
        <v>0.2545</v>
      </c>
      <c r="R175" s="9">
        <f>IF($H175&lt;&gt;"OK","",ROUND($G175*使い方と設定!$B$7*$AK175*INDEX(個性タイプマスタ!$Q$5:$AA$54,$AE175,10)/$AG175,4))</f>
        <v>0.41320000000000001</v>
      </c>
      <c r="S175" s="9">
        <f>IF($H175&lt;&gt;"OK","",ROUND($G175*使い方と設定!$B$7*$AK175*INDEX(個性タイプマスタ!$Q$5:$AA$54,$AE175,11)/$AG175,4))</f>
        <v>0.28920000000000001</v>
      </c>
      <c r="T175" s="9">
        <f>IF($H175&lt;&gt;"OK","",ROUND($G175*使い方と設定!$B$8*$AK175*$AH175*INDEX(属性耐性マスタ!$B$5:$G$10,$AF175,1),4))</f>
        <v>1.2699999999999999E-2</v>
      </c>
      <c r="U175" s="9">
        <f>IF($H175&lt;&gt;"OK","",ROUND($G175*使い方と設定!$B$8*$AK175*$AH175*INDEX(属性耐性マスタ!$B$5:$G$10,$AF175,2),4))</f>
        <v>1.2699999999999999E-2</v>
      </c>
      <c r="V175" s="9">
        <f>IF($H175&lt;&gt;"OK","",ROUND($G175*使い方と設定!$B$8*$AK175*$AH175*INDEX(属性耐性マスタ!$B$5:$G$10,$AF175,3),4))</f>
        <v>4.7699999999999999E-2</v>
      </c>
      <c r="W175" s="9">
        <f>IF($H175&lt;&gt;"OK","",ROUND($G175*使い方と設定!$B$8*$AK175*$AH175*INDEX(属性耐性マスタ!$B$5:$G$10,$AF175,4),4))</f>
        <v>0.19070000000000001</v>
      </c>
      <c r="X175" s="9">
        <f>IF($H175&lt;&gt;"OK","",ROUND($G175*使い方と設定!$B$8*$AK175*$AH175*INDEX(属性耐性マスタ!$B$5:$G$10,$AF175,5),4))</f>
        <v>9.4999999999999998E-3</v>
      </c>
      <c r="Y175" s="9">
        <f>IF($H175&lt;&gt;"OK","",ROUND($G175*使い方と設定!$B$8*$AK175*$AH175*INDEX(属性耐性マスタ!$B$5:$G$10,$AF175,6),4))</f>
        <v>9.4999999999999998E-3</v>
      </c>
      <c r="Z175" s="9">
        <f>IF($H175&lt;&gt;"OK","",ROUND($G175*使い方と設定!$B$9*$AK175*$AI175,4))</f>
        <v>1.5992999999999999</v>
      </c>
      <c r="AA175" s="10">
        <v>1</v>
      </c>
      <c r="AB175" s="11">
        <f t="shared" si="7"/>
        <v>4.4981</v>
      </c>
      <c r="AC175" s="11">
        <f t="shared" si="8"/>
        <v>0.2828</v>
      </c>
      <c r="AD175" s="7" t="str">
        <f>IF($H175&lt;&gt;"OK","",INDEX(個性タイプマスタ!$P$5:$P$54,$AE175))</f>
        <v>終盤魔法の特別配分</v>
      </c>
      <c r="AE175">
        <f>IFERROR(MATCH(E175,個性タイプマスタ!$A$5:$A$54,0),0)</f>
        <v>8</v>
      </c>
      <c r="AF175">
        <f>IFERROR(MATCH(F175,属性耐性マスタ!$A$5:$A$10,0),0)</f>
        <v>4</v>
      </c>
      <c r="AG175">
        <f>IF(AE175=0,1,INDEX(個性タイプマスタ!$AB$5:$AB$54,AE175))</f>
        <v>10.886833333333332</v>
      </c>
      <c r="AH175">
        <f>IF(AE175=0,1,INDEX(個性タイプマスタ!$AC$5:$AC$54,AE175))</f>
        <v>1.06</v>
      </c>
      <c r="AI175">
        <f>IF(AE175=0,0,INDEX(個性タイプマスタ!$AD$5:$AD$54,AE175))</f>
        <v>1.0666666666666667</v>
      </c>
      <c r="AJ175" s="16">
        <v>29</v>
      </c>
      <c r="AK175" s="17">
        <f>IF(OR(AJ175="",AJ175&lt;1),"",POWER(使い方と設定!$E$6,AJ175-1))</f>
        <v>2.9987033191822694</v>
      </c>
    </row>
    <row r="176" spans="1:37">
      <c r="A176" t="str">
        <f>+[2]称号!A171</f>
        <v>TITLE_170</v>
      </c>
      <c r="B176" t="str">
        <f>+[2]称号!B171</f>
        <v>硬翼の裂蝠</v>
      </c>
      <c r="C176" t="s">
        <v>475</v>
      </c>
      <c r="D176" t="s">
        <v>476</v>
      </c>
      <c r="E176" s="2" t="str">
        <f>[1]モンスター計算!AM174</f>
        <v>魔法・超軽量</v>
      </c>
      <c r="F176" s="2" t="str">
        <f>[1]モンスター計算!C174</f>
        <v>闇</v>
      </c>
      <c r="G176" s="8">
        <v>1.05</v>
      </c>
      <c r="H176" t="str">
        <f t="shared" si="6"/>
        <v>OK</v>
      </c>
      <c r="I176" s="9">
        <f>IF($H176&lt;&gt;"OK","",ROUND($G176*使い方と設定!$B$7*$AK176*INDEX(個性タイプマスタ!$Q$5:$AA$54,$AE176,1)/$AG176,4))</f>
        <v>0.31090000000000001</v>
      </c>
      <c r="J176" s="9">
        <f>IF($H176&lt;&gt;"OK","",ROUND($G176*使い方と設定!$B$7*$AK176*INDEX(個性タイプマスタ!$Q$5:$AA$54,$AE176,2)/$AG176,4))</f>
        <v>0.41810000000000003</v>
      </c>
      <c r="K176" s="9">
        <f>IF($H176&lt;&gt;"OK","",ROUND($G176*使い方と設定!$B$7*$AK176*INDEX(個性タイプマスタ!$Q$5:$AA$54,$AE176,3)/$AG176,4))</f>
        <v>6.0900000000000003E-2</v>
      </c>
      <c r="L176" s="9">
        <f>IF($H176&lt;&gt;"OK","",ROUND($G176*使い方と設定!$B$7*$AK176*INDEX(個性タイプマスタ!$Q$5:$AA$54,$AE176,4)/$AG176,4))</f>
        <v>1.2181</v>
      </c>
      <c r="M176" s="9">
        <f>IF($H176&lt;&gt;"OK","",ROUND($G176*使い方と設定!$B$7*$AK176*INDEX(個性タイプマスタ!$Q$5:$AA$54,$AE176,5)/$AG176,4))</f>
        <v>0.2651</v>
      </c>
      <c r="N176" s="9">
        <f>IF($H176&lt;&gt;"OK","",ROUND($G176*使い方と設定!$B$7*$AK176*INDEX(個性タイプマスタ!$Q$5:$AA$54,$AE176,6)/$AG176,4))</f>
        <v>0.26919999999999999</v>
      </c>
      <c r="O176" s="9">
        <f>IF($H176&lt;&gt;"OK","",ROUND($G176*使い方と設定!$B$7*$AK176*INDEX(個性タイプマスタ!$Q$5:$AA$54,$AE176,7)/$AG176,4))</f>
        <v>0.42880000000000001</v>
      </c>
      <c r="P176" s="9">
        <f>IF($H176&lt;&gt;"OK","",ROUND($G176*使い方と設定!$B$7*$AK176*INDEX(個性タイプマスタ!$Q$5:$AA$54,$AE176,8)/$AG176,4))</f>
        <v>0.32729999999999998</v>
      </c>
      <c r="Q176" s="9">
        <f>IF($H176&lt;&gt;"OK","",ROUND($G176*使い方と設定!$B$7*$AK176*INDEX(個性タイプマスタ!$Q$5:$AA$54,$AE176,9)/$AG176,4))</f>
        <v>0.45019999999999999</v>
      </c>
      <c r="R176" s="9">
        <f>IF($H176&lt;&gt;"OK","",ROUND($G176*使い方と設定!$B$7*$AK176*INDEX(個性タイプマスタ!$Q$5:$AA$54,$AE176,10)/$AG176,4))</f>
        <v>0.63339999999999996</v>
      </c>
      <c r="S176" s="9">
        <f>IF($H176&lt;&gt;"OK","",ROUND($G176*使い方と設定!$B$7*$AK176*INDEX(個性タイプマスタ!$Q$5:$AA$54,$AE176,11)/$AG176,4))</f>
        <v>0.34110000000000001</v>
      </c>
      <c r="T176" s="9">
        <f>IF($H176&lt;&gt;"OK","",ROUND($G176*使い方と設定!$B$8*$AK176*$AH176*INDEX(属性耐性マスタ!$B$5:$G$10,$AF176,1),4))</f>
        <v>6.0000000000000001E-3</v>
      </c>
      <c r="U176" s="9">
        <f>IF($H176&lt;&gt;"OK","",ROUND($G176*使い方と設定!$B$8*$AK176*$AH176*INDEX(属性耐性マスタ!$B$5:$G$10,$AF176,2),4))</f>
        <v>6.0000000000000001E-3</v>
      </c>
      <c r="V176" s="9">
        <f>IF($H176&lt;&gt;"OK","",ROUND($G176*使い方と設定!$B$8*$AK176*$AH176*INDEX(属性耐性マスタ!$B$5:$G$10,$AF176,3),4))</f>
        <v>6.0000000000000001E-3</v>
      </c>
      <c r="W176" s="9">
        <f>IF($H176&lt;&gt;"OK","",ROUND($G176*使い方と設定!$B$8*$AK176*$AH176*INDEX(属性耐性マスタ!$B$5:$G$10,$AF176,4),4))</f>
        <v>6.0000000000000001E-3</v>
      </c>
      <c r="X176" s="9">
        <f>IF($H176&lt;&gt;"OK","",ROUND($G176*使い方と設定!$B$8*$AK176*$AH176*INDEX(属性耐性マスタ!$B$5:$G$10,$AF176,5),4))</f>
        <v>1.61E-2</v>
      </c>
      <c r="Y176" s="9">
        <f>IF($H176&lt;&gt;"OK","",ROUND($G176*使い方と設定!$B$8*$AK176*$AH176*INDEX(属性耐性マスタ!$B$5:$G$10,$AF176,6),4))</f>
        <v>0.12089999999999999</v>
      </c>
      <c r="Z176" s="9">
        <f>IF($H176&lt;&gt;"OK","",ROUND($G176*使い方と設定!$B$9*$AK176*$AI176,4))</f>
        <v>2.0466000000000002</v>
      </c>
      <c r="AA176" s="10">
        <v>1</v>
      </c>
      <c r="AB176" s="11">
        <f t="shared" si="7"/>
        <v>4.7230999999999996</v>
      </c>
      <c r="AC176" s="11">
        <f t="shared" si="8"/>
        <v>0.161</v>
      </c>
      <c r="AD176" s="7" t="str">
        <f>IF($H176&lt;&gt;"OK","",INDEX(個性タイプマスタ!$P$5:$P$54,$AE176))</f>
        <v>超高速移動・極低耐久</v>
      </c>
      <c r="AE176">
        <f>IFERROR(MATCH(E176,個性タイプマスタ!$A$5:$A$54,0),0)</f>
        <v>18</v>
      </c>
      <c r="AF176">
        <f>IFERROR(MATCH(F176,属性耐性マスタ!$A$5:$A$10,0),0)</f>
        <v>6</v>
      </c>
      <c r="AG176">
        <f>IF(AE176=0,1,INDEX(個性タイプマスタ!$AB$5:$AB$54,AE176))</f>
        <v>9.6931666666666683</v>
      </c>
      <c r="AH176">
        <f>IF(AE176=0,1,INDEX(個性タイプマスタ!$AC$5:$AC$54,AE176))</f>
        <v>0.64</v>
      </c>
      <c r="AI176">
        <f>IF(AE176=0,0,INDEX(個性タイプマスタ!$AD$5:$AD$54,AE176))</f>
        <v>1.3</v>
      </c>
      <c r="AJ176" s="16">
        <v>29</v>
      </c>
      <c r="AK176" s="17">
        <f>IF(OR(AJ176="",AJ176&lt;1),"",POWER(使い方と設定!$E$6,AJ176-1))</f>
        <v>2.9987033191822694</v>
      </c>
    </row>
    <row r="177" spans="1:37">
      <c r="A177" t="str">
        <f>+[2]称号!A172</f>
        <v>TITLE_171</v>
      </c>
      <c r="B177" t="str">
        <f>+[2]称号!B172</f>
        <v>岩膚の暴鬼</v>
      </c>
      <c r="C177" t="s">
        <v>477</v>
      </c>
      <c r="D177" t="s">
        <v>478</v>
      </c>
      <c r="E177" s="2" t="str">
        <f>[1]モンスター計算!AM175</f>
        <v>魔法・物防障壁</v>
      </c>
      <c r="F177" s="2" t="str">
        <f>[1]モンスター計算!C175</f>
        <v>雷</v>
      </c>
      <c r="G177" s="8">
        <v>1.1000000000000001</v>
      </c>
      <c r="H177" t="str">
        <f t="shared" si="6"/>
        <v>OK</v>
      </c>
      <c r="I177" s="9">
        <f>IF($H177&lt;&gt;"OK","",ROUND($G177*使い方と設定!$B$7*$AK177*INDEX(個性タイプマスタ!$Q$5:$AA$54,$AE177,1)/$AG177,4))</f>
        <v>0.56230000000000002</v>
      </c>
      <c r="J177" s="9">
        <f>IF($H177&lt;&gt;"OK","",ROUND($G177*使い方と設定!$B$7*$AK177*INDEX(個性タイプマスタ!$Q$5:$AA$54,$AE177,2)/$AG177,4))</f>
        <v>0.67769999999999997</v>
      </c>
      <c r="K177" s="9">
        <f>IF($H177&lt;&gt;"OK","",ROUND($G177*使い方と設定!$B$7*$AK177*INDEX(個性タイプマスタ!$Q$5:$AA$54,$AE177,3)/$AG177,4))</f>
        <v>7.5300000000000006E-2</v>
      </c>
      <c r="L177" s="9">
        <f>IF($H177&lt;&gt;"OK","",ROUND($G177*使い方と設定!$B$7*$AK177*INDEX(個性タイプマスタ!$Q$5:$AA$54,$AE177,4)/$AG177,4))</f>
        <v>1.141</v>
      </c>
      <c r="M177" s="9">
        <f>IF($H177&lt;&gt;"OK","",ROUND($G177*使い方と設定!$B$7*$AK177*INDEX(個性タイプマスタ!$Q$5:$AA$54,$AE177,5)/$AG177,4))</f>
        <v>0.75649999999999995</v>
      </c>
      <c r="N177" s="9">
        <f>IF($H177&lt;&gt;"OK","",ROUND($G177*使い方と設定!$B$7*$AK177*INDEX(個性タイプマスタ!$Q$5:$AA$54,$AE177,6)/$AG177,4))</f>
        <v>0.27929999999999999</v>
      </c>
      <c r="O177" s="9">
        <f>IF($H177&lt;&gt;"OK","",ROUND($G177*使い方と設定!$B$7*$AK177*INDEX(個性タイプマスタ!$Q$5:$AA$54,$AE177,7)/$AG177,4))</f>
        <v>0.27610000000000001</v>
      </c>
      <c r="P177" s="9">
        <f>IF($H177&lt;&gt;"OK","",ROUND($G177*使い方と設定!$B$7*$AK177*INDEX(個性タイプマスタ!$Q$5:$AA$54,$AE177,8)/$AG177,4))</f>
        <v>0.29659999999999997</v>
      </c>
      <c r="Q177" s="9">
        <f>IF($H177&lt;&gt;"OK","",ROUND($G177*使い方と設定!$B$7*$AK177*INDEX(個性タイプマスタ!$Q$5:$AA$54,$AE177,9)/$AG177,4))</f>
        <v>0.1857</v>
      </c>
      <c r="R177" s="9">
        <f>IF($H177&lt;&gt;"OK","",ROUND($G177*使い方と設定!$B$7*$AK177*INDEX(個性タイプマスタ!$Q$5:$AA$54,$AE177,10)/$AG177,4))</f>
        <v>0.39710000000000001</v>
      </c>
      <c r="S177" s="9">
        <f>IF($H177&lt;&gt;"OK","",ROUND($G177*使い方と設定!$B$7*$AK177*INDEX(個性タイプマスタ!$Q$5:$AA$54,$AE177,11)/$AG177,4))</f>
        <v>0.30030000000000001</v>
      </c>
      <c r="T177" s="9">
        <f>IF($H177&lt;&gt;"OK","",ROUND($G177*使い方と設定!$B$8*$AK177*$AH177*INDEX(属性耐性マスタ!$B$5:$G$10,$AF177,1),4))</f>
        <v>1.66E-2</v>
      </c>
      <c r="U177" s="9">
        <f>IF($H177&lt;&gt;"OK","",ROUND($G177*使い方と設定!$B$8*$AK177*$AH177*INDEX(属性耐性マスタ!$B$5:$G$10,$AF177,2),4))</f>
        <v>1.66E-2</v>
      </c>
      <c r="V177" s="9">
        <f>IF($H177&lt;&gt;"OK","",ROUND($G177*使い方と設定!$B$8*$AK177*$AH177*INDEX(属性耐性マスタ!$B$5:$G$10,$AF177,3),4))</f>
        <v>6.2300000000000001E-2</v>
      </c>
      <c r="W177" s="9">
        <f>IF($H177&lt;&gt;"OK","",ROUND($G177*使い方と設定!$B$8*$AK177*$AH177*INDEX(属性耐性マスタ!$B$5:$G$10,$AF177,4),4))</f>
        <v>0.24940000000000001</v>
      </c>
      <c r="X177" s="9">
        <f>IF($H177&lt;&gt;"OK","",ROUND($G177*使い方と設定!$B$8*$AK177*$AH177*INDEX(属性耐性マスタ!$B$5:$G$10,$AF177,5),4))</f>
        <v>1.2500000000000001E-2</v>
      </c>
      <c r="Y177" s="9">
        <f>IF($H177&lt;&gt;"OK","",ROUND($G177*使い方と設定!$B$8*$AK177*$AH177*INDEX(属性耐性マスタ!$B$5:$G$10,$AF177,6),4))</f>
        <v>1.2500000000000001E-2</v>
      </c>
      <c r="Z177" s="9">
        <f>IF($H177&lt;&gt;"OK","",ROUND($G177*使い方と設定!$B$9*$AK177*$AI177,4))</f>
        <v>1.4981</v>
      </c>
      <c r="AA177" s="10">
        <v>0.9</v>
      </c>
      <c r="AB177" s="11">
        <f t="shared" si="7"/>
        <v>4.9478999999999997</v>
      </c>
      <c r="AC177" s="11">
        <f t="shared" si="8"/>
        <v>0.36990000000000001</v>
      </c>
      <c r="AD177" s="7" t="str">
        <f>IF($H177&lt;&gt;"OK","",INDEX(個性タイプマスタ!$P$5:$P$54,$AE177))</f>
        <v>物理防御を集中的に強化</v>
      </c>
      <c r="AE177">
        <f>IFERROR(MATCH(E177,個性タイプマスタ!$A$5:$A$54,0),0)</f>
        <v>25</v>
      </c>
      <c r="AF177">
        <f>IFERROR(MATCH(F177,属性耐性マスタ!$A$5:$A$10,0),0)</f>
        <v>4</v>
      </c>
      <c r="AG177">
        <f>IF(AE177=0,1,INDEX(個性タイプマスタ!$AB$5:$AB$54,AE177))</f>
        <v>10.8415</v>
      </c>
      <c r="AH177">
        <f>IF(AE177=0,1,INDEX(個性タイプマスタ!$AC$5:$AC$54,AE177))</f>
        <v>1.26</v>
      </c>
      <c r="AI177">
        <f>IF(AE177=0,0,INDEX(個性タイプマスタ!$AD$5:$AD$54,AE177))</f>
        <v>0.90833333333333333</v>
      </c>
      <c r="AJ177" s="16">
        <v>29</v>
      </c>
      <c r="AK177" s="17">
        <f>IF(OR(AJ177="",AJ177&lt;1),"",POWER(使い方と設定!$E$6,AJ177-1))</f>
        <v>2.9987033191822694</v>
      </c>
    </row>
    <row r="178" spans="1:37">
      <c r="A178" t="str">
        <f>+[2]称号!A173</f>
        <v>TITLE_172</v>
      </c>
      <c r="B178" t="str">
        <f>+[2]称号!B173</f>
        <v>裂地の泥核</v>
      </c>
      <c r="C178" t="s">
        <v>479</v>
      </c>
      <c r="D178" t="s">
        <v>480</v>
      </c>
      <c r="E178" s="2" t="str">
        <f>[1]モンスター計算!AM176</f>
        <v>近接・耐久</v>
      </c>
      <c r="F178" s="2" t="str">
        <f>[1]モンスター計算!C176</f>
        <v>雷</v>
      </c>
      <c r="G178" s="8">
        <v>1.1499999999999999</v>
      </c>
      <c r="H178" t="str">
        <f t="shared" si="6"/>
        <v>OK</v>
      </c>
      <c r="I178" s="9">
        <f>IF($H178&lt;&gt;"OK","",ROUND($G178*使い方と設定!$B$7*$AK178*INDEX(個性タイプマスタ!$Q$5:$AA$54,$AE178,1)/$AG178,4))</f>
        <v>0.67510000000000003</v>
      </c>
      <c r="J178" s="9">
        <f>IF($H178&lt;&gt;"OK","",ROUND($G178*使い方と設定!$B$7*$AK178*INDEX(個性タイプマスタ!$Q$5:$AA$54,$AE178,2)/$AG178,4))</f>
        <v>0.23910000000000001</v>
      </c>
      <c r="K178" s="9">
        <f>IF($H178&lt;&gt;"OK","",ROUND($G178*使い方と設定!$B$7*$AK178*INDEX(個性タイプマスタ!$Q$5:$AA$54,$AE178,3)/$AG178,4))</f>
        <v>1.2786</v>
      </c>
      <c r="L178" s="9">
        <f>IF($H178&lt;&gt;"OK","",ROUND($G178*使い方と設定!$B$7*$AK178*INDEX(個性タイプマスタ!$Q$5:$AA$54,$AE178,4)/$AG178,4))</f>
        <v>0.12790000000000001</v>
      </c>
      <c r="M178" s="9">
        <f>IF($H178&lt;&gt;"OK","",ROUND($G178*使い方と設定!$B$7*$AK178*INDEX(個性タイプマスタ!$Q$5:$AA$54,$AE178,5)/$AG178,4))</f>
        <v>0.56510000000000005</v>
      </c>
      <c r="N178" s="9">
        <f>IF($H178&lt;&gt;"OK","",ROUND($G178*使い方と設定!$B$7*$AK178*INDEX(個性タイプマスタ!$Q$5:$AA$54,$AE178,6)/$AG178,4))</f>
        <v>0.3695</v>
      </c>
      <c r="O178" s="9">
        <f>IF($H178&lt;&gt;"OK","",ROUND($G178*使い方と設定!$B$7*$AK178*INDEX(個性タイプマスタ!$Q$5:$AA$54,$AE178,7)/$AG178,4))</f>
        <v>0.4501</v>
      </c>
      <c r="P178" s="9">
        <f>IF($H178&lt;&gt;"OK","",ROUND($G178*使い方と設定!$B$7*$AK178*INDEX(個性タイプマスタ!$Q$5:$AA$54,$AE178,8)/$AG178,4))</f>
        <v>0.35460000000000003</v>
      </c>
      <c r="Q178" s="9">
        <f>IF($H178&lt;&gt;"OK","",ROUND($G178*使い方と設定!$B$7*$AK178*INDEX(個性タイプマスタ!$Q$5:$AA$54,$AE178,9)/$AG178,4))</f>
        <v>0.315</v>
      </c>
      <c r="R178" s="9">
        <f>IF($H178&lt;&gt;"OK","",ROUND($G178*使い方と設定!$B$7*$AK178*INDEX(個性タイプマスタ!$Q$5:$AA$54,$AE178,10)/$AG178,4))</f>
        <v>0.51139999999999997</v>
      </c>
      <c r="S178" s="9">
        <f>IF($H178&lt;&gt;"OK","",ROUND($G178*使い方と設定!$B$7*$AK178*INDEX(個性タイプマスタ!$Q$5:$AA$54,$AE178,11)/$AG178,4))</f>
        <v>0.28639999999999999</v>
      </c>
      <c r="T178" s="9">
        <f>IF($H178&lt;&gt;"OK","",ROUND($G178*使い方と設定!$B$8*$AK178*$AH178*INDEX(属性耐性マスタ!$B$5:$G$10,$AF178,1),4))</f>
        <v>1.5699999999999999E-2</v>
      </c>
      <c r="U178" s="9">
        <f>IF($H178&lt;&gt;"OK","",ROUND($G178*使い方と設定!$B$8*$AK178*$AH178*INDEX(属性耐性マスタ!$B$5:$G$10,$AF178,2),4))</f>
        <v>1.5699999999999999E-2</v>
      </c>
      <c r="V178" s="9">
        <f>IF($H178&lt;&gt;"OK","",ROUND($G178*使い方と設定!$B$8*$AK178*$AH178*INDEX(属性耐性マスタ!$B$5:$G$10,$AF178,3),4))</f>
        <v>5.8999999999999997E-2</v>
      </c>
      <c r="W178" s="9">
        <f>IF($H178&lt;&gt;"OK","",ROUND($G178*使い方と設定!$B$8*$AK178*$AH178*INDEX(属性耐性マスタ!$B$5:$G$10,$AF178,4),4))</f>
        <v>0.2359</v>
      </c>
      <c r="X178" s="9">
        <f>IF($H178&lt;&gt;"OK","",ROUND($G178*使い方と設定!$B$8*$AK178*$AH178*INDEX(属性耐性マスタ!$B$5:$G$10,$AF178,5),4))</f>
        <v>1.18E-2</v>
      </c>
      <c r="Y178" s="9">
        <f>IF($H178&lt;&gt;"OK","",ROUND($G178*使い方と設定!$B$8*$AK178*$AH178*INDEX(属性耐性マスタ!$B$5:$G$10,$AF178,6),4))</f>
        <v>1.18E-2</v>
      </c>
      <c r="Z178" s="9">
        <f>IF($H178&lt;&gt;"OK","",ROUND($G178*使い方と設定!$B$9*$AK178*$AI178,4))</f>
        <v>1.8391999999999999</v>
      </c>
      <c r="AA178" s="10">
        <v>0.55000000000000004</v>
      </c>
      <c r="AB178" s="11">
        <f t="shared" si="7"/>
        <v>5.1727999999999996</v>
      </c>
      <c r="AC178" s="11">
        <f t="shared" si="8"/>
        <v>0.34989999999999999</v>
      </c>
      <c r="AD178" s="7" t="str">
        <f>IF($H178&lt;&gt;"OK","",INDEX(個性タイプマスタ!$P$5:$P$54,$AE178))</f>
        <v>HP・物防寄りの近接型</v>
      </c>
      <c r="AE178">
        <f>IFERROR(MATCH(E178,個性タイプマスタ!$A$5:$A$54,0),0)</f>
        <v>4</v>
      </c>
      <c r="AF178">
        <f>IFERROR(MATCH(F178,属性耐性マスタ!$A$5:$A$10,0),0)</f>
        <v>4</v>
      </c>
      <c r="AG178">
        <f>IF(AE178=0,1,INDEX(個性タイプマスタ!$AB$5:$AB$54,AE178))</f>
        <v>10.114333333333335</v>
      </c>
      <c r="AH178">
        <f>IF(AE178=0,1,INDEX(個性タイプマスタ!$AC$5:$AC$54,AE178))</f>
        <v>1.1400000000000001</v>
      </c>
      <c r="AI178">
        <f>IF(AE178=0,0,INDEX(個性タイプマスタ!$AD$5:$AD$54,AE178))</f>
        <v>1.0666666666666667</v>
      </c>
      <c r="AJ178" s="16">
        <v>29</v>
      </c>
      <c r="AK178" s="17">
        <f>IF(OR(AJ178="",AJ178&lt;1),"",POWER(使い方と設定!$E$6,AJ178-1))</f>
        <v>2.9987033191822694</v>
      </c>
    </row>
    <row r="179" spans="1:37">
      <c r="A179" t="str">
        <f>+[2]称号!A174</f>
        <v>TITLE_173</v>
      </c>
      <c r="B179" t="str">
        <f>+[2]称号!B174</f>
        <v>穿角の掘甲</v>
      </c>
      <c r="C179" t="s">
        <v>481</v>
      </c>
      <c r="D179" t="s">
        <v>482</v>
      </c>
      <c r="E179" s="2" t="str">
        <f>[1]モンスター計算!AM177</f>
        <v>近接・重撃</v>
      </c>
      <c r="F179" s="2" t="str">
        <f>[1]モンスター計算!C177</f>
        <v>雷</v>
      </c>
      <c r="G179" s="8">
        <v>1.2</v>
      </c>
      <c r="H179" t="str">
        <f t="shared" si="6"/>
        <v>OK</v>
      </c>
      <c r="I179" s="9">
        <f>IF($H179&lt;&gt;"OK","",ROUND($G179*使い方と設定!$B$7*$AK179*INDEX(個性タイプマスタ!$Q$5:$AA$54,$AE179,1)/$AG179,4))</f>
        <v>0.79900000000000004</v>
      </c>
      <c r="J179" s="9">
        <f>IF($H179&lt;&gt;"OK","",ROUND($G179*使い方と設定!$B$7*$AK179*INDEX(個性タイプマスタ!$Q$5:$AA$54,$AE179,2)/$AG179,4))</f>
        <v>0.22020000000000001</v>
      </c>
      <c r="K179" s="9">
        <f>IF($H179&lt;&gt;"OK","",ROUND($G179*使い方と設定!$B$7*$AK179*INDEX(個性タイプマスタ!$Q$5:$AA$54,$AE179,3)/$AG179,4))</f>
        <v>1.4298</v>
      </c>
      <c r="L179" s="9">
        <f>IF($H179&lt;&gt;"OK","",ROUND($G179*使い方と設定!$B$7*$AK179*INDEX(個性タイプマスタ!$Q$5:$AA$54,$AE179,4)/$AG179,4))</f>
        <v>9.2899999999999996E-2</v>
      </c>
      <c r="M179" s="9">
        <f>IF($H179&lt;&gt;"OK","",ROUND($G179*使い方と設定!$B$7*$AK179*INDEX(個性タイプマスタ!$Q$5:$AA$54,$AE179,5)/$AG179,4))</f>
        <v>0.51039999999999996</v>
      </c>
      <c r="N179" s="9">
        <f>IF($H179&lt;&gt;"OK","",ROUND($G179*使い方と設定!$B$7*$AK179*INDEX(個性タイプマスタ!$Q$5:$AA$54,$AE179,6)/$AG179,4))</f>
        <v>0.42780000000000001</v>
      </c>
      <c r="O179" s="9">
        <f>IF($H179&lt;&gt;"OK","",ROUND($G179*使い方と設定!$B$7*$AK179*INDEX(個性タイプマスタ!$Q$5:$AA$54,$AE179,7)/$AG179,4))</f>
        <v>0.3775</v>
      </c>
      <c r="P179" s="9">
        <f>IF($H179&lt;&gt;"OK","",ROUND($G179*使い方と設定!$B$7*$AK179*INDEX(個性タイプマスタ!$Q$5:$AA$54,$AE179,8)/$AG179,4))</f>
        <v>0.53280000000000005</v>
      </c>
      <c r="Q179" s="9">
        <f>IF($H179&lt;&gt;"OK","",ROUND($G179*使い方と設定!$B$7*$AK179*INDEX(個性タイプマスタ!$Q$5:$AA$54,$AE179,9)/$AG179,4))</f>
        <v>0.20760000000000001</v>
      </c>
      <c r="R179" s="9">
        <f>IF($H179&lt;&gt;"OK","",ROUND($G179*使い方と設定!$B$7*$AK179*INDEX(個性タイプマスタ!$Q$5:$AA$54,$AE179,10)/$AG179,4))</f>
        <v>0.30309999999999998</v>
      </c>
      <c r="S179" s="9">
        <f>IF($H179&lt;&gt;"OK","",ROUND($G179*使い方と設定!$B$7*$AK179*INDEX(個性タイプマスタ!$Q$5:$AA$54,$AE179,11)/$AG179,4))</f>
        <v>0.49640000000000001</v>
      </c>
      <c r="T179" s="9">
        <f>IF($H179&lt;&gt;"OK","",ROUND($G179*使い方と設定!$B$8*$AK179*$AH179*INDEX(属性耐性マスタ!$B$5:$G$10,$AF179,1),4))</f>
        <v>1.2999999999999999E-2</v>
      </c>
      <c r="U179" s="9">
        <f>IF($H179&lt;&gt;"OK","",ROUND($G179*使い方と設定!$B$8*$AK179*$AH179*INDEX(属性耐性マスタ!$B$5:$G$10,$AF179,2),4))</f>
        <v>1.2999999999999999E-2</v>
      </c>
      <c r="V179" s="9">
        <f>IF($H179&lt;&gt;"OK","",ROUND($G179*使い方と設定!$B$8*$AK179*$AH179*INDEX(属性耐性マスタ!$B$5:$G$10,$AF179,3),4))</f>
        <v>4.8599999999999997E-2</v>
      </c>
      <c r="W179" s="9">
        <f>IF($H179&lt;&gt;"OK","",ROUND($G179*使い方と設定!$B$8*$AK179*$AH179*INDEX(属性耐性マスタ!$B$5:$G$10,$AF179,4),4))</f>
        <v>0.1943</v>
      </c>
      <c r="X179" s="9">
        <f>IF($H179&lt;&gt;"OK","",ROUND($G179*使い方と設定!$B$8*$AK179*$AH179*INDEX(属性耐性マスタ!$B$5:$G$10,$AF179,5),4))</f>
        <v>9.7000000000000003E-3</v>
      </c>
      <c r="Y179" s="9">
        <f>IF($H179&lt;&gt;"OK","",ROUND($G179*使い方と設定!$B$8*$AK179*$AH179*INDEX(属性耐性マスタ!$B$5:$G$10,$AF179,6),4))</f>
        <v>9.7000000000000003E-3</v>
      </c>
      <c r="Z179" s="9">
        <f>IF($H179&lt;&gt;"OK","",ROUND($G179*使い方と設定!$B$9*$AK179*$AI179,4))</f>
        <v>1.5743</v>
      </c>
      <c r="AA179" s="10">
        <v>0.5</v>
      </c>
      <c r="AB179" s="11">
        <f t="shared" si="7"/>
        <v>5.3975</v>
      </c>
      <c r="AC179" s="11">
        <f t="shared" si="8"/>
        <v>0.2883</v>
      </c>
      <c r="AD179" s="7" t="str">
        <f>IF($H179&lt;&gt;"OK","",INDEX(個性タイプマスタ!$P$5:$P$54,$AE179))</f>
        <v>一撃重視の低速型</v>
      </c>
      <c r="AE179">
        <f>IFERROR(MATCH(E179,個性タイプマスタ!$A$5:$A$54,0),0)</f>
        <v>33</v>
      </c>
      <c r="AF179">
        <f>IFERROR(MATCH(F179,属性耐性マスタ!$A$5:$A$10,0),0)</f>
        <v>4</v>
      </c>
      <c r="AG179">
        <f>IF(AE179=0,1,INDEX(個性タイプマスタ!$AB$5:$AB$54,AE179))</f>
        <v>9.4376666666666669</v>
      </c>
      <c r="AH179">
        <f>IF(AE179=0,1,INDEX(個性タイプマスタ!$AC$5:$AC$54,AE179))</f>
        <v>0.9</v>
      </c>
      <c r="AI179">
        <f>IF(AE179=0,0,INDEX(個性タイプマスタ!$AD$5:$AD$54,AE179))</f>
        <v>0.875</v>
      </c>
      <c r="AJ179" s="16">
        <v>29</v>
      </c>
      <c r="AK179" s="17">
        <f>IF(OR(AJ179="",AJ179&lt;1),"",POWER(使い方と設定!$E$6,AJ179-1))</f>
        <v>2.9987033191822694</v>
      </c>
    </row>
    <row r="180" spans="1:37">
      <c r="A180" t="str">
        <f>+[2]称号!A175</f>
        <v>TITLE_174</v>
      </c>
      <c r="B180" t="str">
        <f>+[2]称号!B175</f>
        <v>崩山の巨骸</v>
      </c>
      <c r="C180" t="s">
        <v>483</v>
      </c>
      <c r="D180" t="s">
        <v>484</v>
      </c>
      <c r="E180" s="2" t="str">
        <f>[1]モンスター計算!AM178</f>
        <v>魔法・近距離</v>
      </c>
      <c r="F180" s="2" t="str">
        <f>[1]モンスター計算!C178</f>
        <v>雷</v>
      </c>
      <c r="G180" s="8">
        <v>1.25</v>
      </c>
      <c r="H180" t="str">
        <f t="shared" si="6"/>
        <v>OK</v>
      </c>
      <c r="I180" s="9">
        <f>IF($H180&lt;&gt;"OK","",ROUND($G180*使い方と設定!$B$7*$AK180*INDEX(個性タイプマスタ!$Q$5:$AA$54,$AE180,1)/$AG180,4))</f>
        <v>0.71430000000000005</v>
      </c>
      <c r="J180" s="9">
        <f>IF($H180&lt;&gt;"OK","",ROUND($G180*使い方と設定!$B$7*$AK180*INDEX(個性タイプマスタ!$Q$5:$AA$54,$AE180,2)/$AG180,4))</f>
        <v>0.53010000000000002</v>
      </c>
      <c r="K180" s="9">
        <f>IF($H180&lt;&gt;"OK","",ROUND($G180*使い方と設定!$B$7*$AK180*INDEX(個性タイプマスタ!$Q$5:$AA$54,$AE180,3)/$AG180,4))</f>
        <v>0.10780000000000001</v>
      </c>
      <c r="L180" s="9">
        <f>IF($H180&lt;&gt;"OK","",ROUND($G180*使い方と設定!$B$7*$AK180*INDEX(個性タイプマスタ!$Q$5:$AA$54,$AE180,4)/$AG180,4))</f>
        <v>1.2683</v>
      </c>
      <c r="M180" s="9">
        <f>IF($H180&lt;&gt;"OK","",ROUND($G180*使い方と設定!$B$7*$AK180*INDEX(個性タイプマスタ!$Q$5:$AA$54,$AE180,5)/$AG180,4))</f>
        <v>0.53039999999999998</v>
      </c>
      <c r="N180" s="9">
        <f>IF($H180&lt;&gt;"OK","",ROUND($G180*使い方と設定!$B$7*$AK180*INDEX(個性タイプマスタ!$Q$5:$AA$54,$AE180,6)/$AG180,4))</f>
        <v>0.48299999999999998</v>
      </c>
      <c r="O180" s="9">
        <f>IF($H180&lt;&gt;"OK","",ROUND($G180*使い方と設定!$B$7*$AK180*INDEX(個性タイプマスタ!$Q$5:$AA$54,$AE180,7)/$AG180,4))</f>
        <v>0.3906</v>
      </c>
      <c r="P180" s="9">
        <f>IF($H180&lt;&gt;"OK","",ROUND($G180*使い方と設定!$B$7*$AK180*INDEX(個性タイプマスタ!$Q$5:$AA$54,$AE180,8)/$AG180,4))</f>
        <v>0.32979999999999998</v>
      </c>
      <c r="Q180" s="9">
        <f>IF($H180&lt;&gt;"OK","",ROUND($G180*使い方と設定!$B$7*$AK180*INDEX(個性タイプマスタ!$Q$5:$AA$54,$AE180,9)/$AG180,4))</f>
        <v>0.3125</v>
      </c>
      <c r="R180" s="9">
        <f>IF($H180&lt;&gt;"OK","",ROUND($G180*使い方と設定!$B$7*$AK180*INDEX(個性タイプマスタ!$Q$5:$AA$54,$AE180,10)/$AG180,4))</f>
        <v>0.73560000000000003</v>
      </c>
      <c r="S180" s="9">
        <f>IF($H180&lt;&gt;"OK","",ROUND($G180*使い方と設定!$B$7*$AK180*INDEX(個性タイプマスタ!$Q$5:$AA$54,$AE180,11)/$AG180,4))</f>
        <v>0.22020000000000001</v>
      </c>
      <c r="T180" s="9">
        <f>IF($H180&lt;&gt;"OK","",ROUND($G180*使い方と設定!$B$8*$AK180*$AH180*INDEX(属性耐性マスタ!$B$5:$G$10,$AF180,1),4))</f>
        <v>1.6799999999999999E-2</v>
      </c>
      <c r="U180" s="9">
        <f>IF($H180&lt;&gt;"OK","",ROUND($G180*使い方と設定!$B$8*$AK180*$AH180*INDEX(属性耐性マスタ!$B$5:$G$10,$AF180,2),4))</f>
        <v>1.6799999999999999E-2</v>
      </c>
      <c r="V180" s="9">
        <f>IF($H180&lt;&gt;"OK","",ROUND($G180*使い方と設定!$B$8*$AK180*$AH180*INDEX(属性耐性マスタ!$B$5:$G$10,$AF180,3),4))</f>
        <v>6.3E-2</v>
      </c>
      <c r="W180" s="9">
        <f>IF($H180&lt;&gt;"OK","",ROUND($G180*使い方と設定!$B$8*$AK180*$AH180*INDEX(属性耐性マスタ!$B$5:$G$10,$AF180,4),4))</f>
        <v>0.25190000000000001</v>
      </c>
      <c r="X180" s="9">
        <f>IF($H180&lt;&gt;"OK","",ROUND($G180*使い方と設定!$B$8*$AK180*$AH180*INDEX(属性耐性マスタ!$B$5:$G$10,$AF180,5),4))</f>
        <v>1.26E-2</v>
      </c>
      <c r="Y180" s="9">
        <f>IF($H180&lt;&gt;"OK","",ROUND($G180*使い方と設定!$B$8*$AK180*$AH180*INDEX(属性耐性マスタ!$B$5:$G$10,$AF180,6),4))</f>
        <v>1.26E-2</v>
      </c>
      <c r="Z180" s="9">
        <f>IF($H180&lt;&gt;"OK","",ROUND($G180*使い方と設定!$B$9*$AK180*$AI180,4))</f>
        <v>1.9991000000000001</v>
      </c>
      <c r="AA180" s="10">
        <v>0.25</v>
      </c>
      <c r="AB180" s="11">
        <f t="shared" si="7"/>
        <v>5.6226000000000003</v>
      </c>
      <c r="AC180" s="11">
        <f t="shared" si="8"/>
        <v>0.37369999999999998</v>
      </c>
      <c r="AD180" s="7" t="str">
        <f>IF($H180&lt;&gt;"OK","",INDEX(個性タイプマスタ!$P$5:$P$54,$AE180))</f>
        <v>短射程の連発型</v>
      </c>
      <c r="AE180">
        <f>IFERROR(MATCH(E180,個性タイプマスタ!$A$5:$A$54,0),0)</f>
        <v>21</v>
      </c>
      <c r="AF180">
        <f>IFERROR(MATCH(F180,属性耐性マスタ!$A$5:$A$10,0),0)</f>
        <v>4</v>
      </c>
      <c r="AG180">
        <f>IF(AE180=0,1,INDEX(個性タイプマスタ!$AB$5:$AB$54,AE180))</f>
        <v>11.082999999999998</v>
      </c>
      <c r="AH180">
        <f>IF(AE180=0,1,INDEX(個性タイプマスタ!$AC$5:$AC$54,AE180))</f>
        <v>1.1200000000000001</v>
      </c>
      <c r="AI180">
        <f>IF(AE180=0,0,INDEX(個性タイプマスタ!$AD$5:$AD$54,AE180))</f>
        <v>1.0666666666666667</v>
      </c>
      <c r="AJ180" s="16">
        <v>29</v>
      </c>
      <c r="AK180" s="17">
        <f>IF(OR(AJ180="",AJ180&lt;1),"",POWER(使い方と設定!$E$6,AJ180-1))</f>
        <v>2.9987033191822694</v>
      </c>
    </row>
    <row r="181" spans="1:37">
      <c r="A181" t="str">
        <f>+[2]称号!A176</f>
        <v>TITLE_175</v>
      </c>
      <c r="B181" t="str">
        <f>+[2]称号!B176</f>
        <v>尾火の悪戯者</v>
      </c>
      <c r="C181" t="s">
        <v>485</v>
      </c>
      <c r="D181" t="s">
        <v>486</v>
      </c>
      <c r="E181" s="2" t="str">
        <f>[1]モンスター計算!AM179</f>
        <v>魔法・砲撃</v>
      </c>
      <c r="F181" s="2" t="str">
        <f>[1]モンスター計算!C179</f>
        <v>火</v>
      </c>
      <c r="G181" s="8">
        <v>1</v>
      </c>
      <c r="H181" t="str">
        <f t="shared" si="6"/>
        <v>OK</v>
      </c>
      <c r="I181" s="9">
        <f>IF($H181&lt;&gt;"OK","",ROUND($G181*使い方と設定!$B$7*$AK181*INDEX(個性タイプマスタ!$Q$5:$AA$54,$AE181,1)/$AG181,4))</f>
        <v>0.44869999999999999</v>
      </c>
      <c r="J181" s="9">
        <f>IF($H181&lt;&gt;"OK","",ROUND($G181*使い方と設定!$B$7*$AK181*INDEX(個性タイプマスタ!$Q$5:$AA$54,$AE181,2)/$AG181,4))</f>
        <v>0.78890000000000005</v>
      </c>
      <c r="K181" s="9">
        <f>IF($H181&lt;&gt;"OK","",ROUND($G181*使い方と設定!$B$7*$AK181*INDEX(個性タイプマスタ!$Q$5:$AA$54,$AE181,3)/$AG181,4))</f>
        <v>8.4000000000000005E-2</v>
      </c>
      <c r="L181" s="9">
        <f>IF($H181&lt;&gt;"OK","",ROUND($G181*使い方と設定!$B$7*$AK181*INDEX(個性タイプマスタ!$Q$5:$AA$54,$AE181,4)/$AG181,4))</f>
        <v>1.1206</v>
      </c>
      <c r="M181" s="9">
        <f>IF($H181&lt;&gt;"OK","",ROUND($G181*使い方と設定!$B$7*$AK181*INDEX(個性タイプマスタ!$Q$5:$AA$54,$AE181,5)/$AG181,4))</f>
        <v>0.33529999999999999</v>
      </c>
      <c r="N181" s="9">
        <f>IF($H181&lt;&gt;"OK","",ROUND($G181*使い方と設定!$B$7*$AK181*INDEX(個性タイプマスタ!$Q$5:$AA$54,$AE181,6)/$AG181,4))</f>
        <v>0.36199999999999999</v>
      </c>
      <c r="O181" s="9">
        <f>IF($H181&lt;&gt;"OK","",ROUND($G181*使い方と設定!$B$7*$AK181*INDEX(個性タイプマスタ!$Q$5:$AA$54,$AE181,7)/$AG181,4))</f>
        <v>0.19719999999999999</v>
      </c>
      <c r="P181" s="9">
        <f>IF($H181&lt;&gt;"OK","",ROUND($G181*使い方と設定!$B$7*$AK181*INDEX(個性タイプマスタ!$Q$5:$AA$54,$AE181,8)/$AG181,4))</f>
        <v>0.42730000000000001</v>
      </c>
      <c r="Q181" s="9">
        <f>IF($H181&lt;&gt;"OK","",ROUND($G181*使い方と設定!$B$7*$AK181*INDEX(個性タイプマスタ!$Q$5:$AA$54,$AE181,9)/$AG181,4))</f>
        <v>0.16270000000000001</v>
      </c>
      <c r="R181" s="9">
        <f>IF($H181&lt;&gt;"OK","",ROUND($G181*使い方と設定!$B$7*$AK181*INDEX(個性タイプマスタ!$Q$5:$AA$54,$AE181,10)/$AG181,4))</f>
        <v>0.28689999999999999</v>
      </c>
      <c r="S181" s="9">
        <f>IF($H181&lt;&gt;"OK","",ROUND($G181*使い方と設定!$B$7*$AK181*INDEX(個性タイプマスタ!$Q$5:$AA$54,$AE181,11)/$AG181,4))</f>
        <v>0.46439999999999998</v>
      </c>
      <c r="T181" s="9">
        <f>IF($H181&lt;&gt;"OK","",ROUND($G181*使い方と設定!$B$8*$AK181*$AH181*INDEX(属性耐性マスタ!$B$5:$G$10,$AF181,1),4))</f>
        <v>0.16839999999999999</v>
      </c>
      <c r="U181" s="9">
        <f>IF($H181&lt;&gt;"OK","",ROUND($G181*使い方と設定!$B$8*$AK181*$AH181*INDEX(属性耐性マスタ!$B$5:$G$10,$AF181,2),4))</f>
        <v>3.3700000000000001E-2</v>
      </c>
      <c r="V181" s="9">
        <f>IF($H181&lt;&gt;"OK","",ROUND($G181*使い方と設定!$B$8*$AK181*$AH181*INDEX(属性耐性マスタ!$B$5:$G$10,$AF181,3),4))</f>
        <v>1.12E-2</v>
      </c>
      <c r="W181" s="9">
        <f>IF($H181&lt;&gt;"OK","",ROUND($G181*使い方と設定!$B$8*$AK181*$AH181*INDEX(属性耐性マスタ!$B$5:$G$10,$AF181,4),4))</f>
        <v>1.12E-2</v>
      </c>
      <c r="X181" s="9">
        <f>IF($H181&lt;&gt;"OK","",ROUND($G181*使い方と設定!$B$8*$AK181*$AH181*INDEX(属性耐性マスタ!$B$5:$G$10,$AF181,5),4))</f>
        <v>8.3999999999999995E-3</v>
      </c>
      <c r="Y181" s="9">
        <f>IF($H181&lt;&gt;"OK","",ROUND($G181*使い方と設定!$B$8*$AK181*$AH181*INDEX(属性耐性マスタ!$B$5:$G$10,$AF181,6),4))</f>
        <v>8.3999999999999995E-3</v>
      </c>
      <c r="Z181" s="9">
        <f>IF($H181&lt;&gt;"OK","",ROUND($G181*使い方と設定!$B$9*$AK181*$AI181,4))</f>
        <v>1.3644000000000001</v>
      </c>
      <c r="AA181" s="10">
        <v>1</v>
      </c>
      <c r="AB181" s="11">
        <f t="shared" si="7"/>
        <v>4.6779999999999999</v>
      </c>
      <c r="AC181" s="11">
        <f t="shared" si="8"/>
        <v>0.24129999999999999</v>
      </c>
      <c r="AD181" s="7" t="str">
        <f>IF($H181&lt;&gt;"OK","",INDEX(個性タイプマスタ!$P$5:$P$54,$AE181))</f>
        <v>低速高威力の遠距離砲台</v>
      </c>
      <c r="AE181">
        <f>IFERROR(MATCH(E181,個性タイプマスタ!$A$5:$A$54,0),0)</f>
        <v>17</v>
      </c>
      <c r="AF181">
        <f>IFERROR(MATCH(F181,属性耐性マスタ!$A$5:$A$10,0),0)</f>
        <v>1</v>
      </c>
      <c r="AG181">
        <f>IF(AE181=0,1,INDEX(個性タイプマスタ!$AB$5:$AB$54,AE181))</f>
        <v>10.436333333333334</v>
      </c>
      <c r="AH181">
        <f>IF(AE181=0,1,INDEX(個性タイプマスタ!$AC$5:$AC$54,AE181))</f>
        <v>0.9</v>
      </c>
      <c r="AI181">
        <f>IF(AE181=0,0,INDEX(個性タイプマスタ!$AD$5:$AD$54,AE181))</f>
        <v>0.875</v>
      </c>
      <c r="AJ181" s="16">
        <v>30</v>
      </c>
      <c r="AK181" s="17">
        <f>IF(OR(AJ181="",AJ181&lt;1),"",POWER(使い方と設定!$E$6,AJ181-1))</f>
        <v>3.1186514519495603</v>
      </c>
    </row>
    <row r="182" spans="1:37">
      <c r="A182" t="str">
        <f>+[2]称号!A177</f>
        <v>TITLE_176</v>
      </c>
      <c r="B182" t="str">
        <f>+[2]称号!B177</f>
        <v>熔心胎動体</v>
      </c>
      <c r="C182" t="s">
        <v>487</v>
      </c>
      <c r="D182" t="s">
        <v>488</v>
      </c>
      <c r="E182" s="2" t="str">
        <f>[1]モンスター計算!AM180</f>
        <v>魔法・魔防障壁</v>
      </c>
      <c r="F182" s="2" t="str">
        <f>[1]モンスター計算!C180</f>
        <v>火</v>
      </c>
      <c r="G182" s="8">
        <v>1.05</v>
      </c>
      <c r="H182" t="str">
        <f t="shared" si="6"/>
        <v>OK</v>
      </c>
      <c r="I182" s="9">
        <f>IF($H182&lt;&gt;"OK","",ROUND($G182*使い方と設定!$B$7*$AK182*INDEX(個性タイプマスタ!$Q$5:$AA$54,$AE182,1)/$AG182,4))</f>
        <v>0.50800000000000001</v>
      </c>
      <c r="J182" s="9">
        <f>IF($H182&lt;&gt;"OK","",ROUND($G182*使い方と設定!$B$7*$AK182*INDEX(個性タイプマスタ!$Q$5:$AA$54,$AE182,2)/$AG182,4))</f>
        <v>0.8387</v>
      </c>
      <c r="K182" s="9">
        <f>IF($H182&lt;&gt;"OK","",ROUND($G182*使い方と設定!$B$7*$AK182*INDEX(個性タイプマスタ!$Q$5:$AA$54,$AE182,3)/$AG182,4))</f>
        <v>7.0800000000000002E-2</v>
      </c>
      <c r="L182" s="9">
        <f>IF($H182&lt;&gt;"OK","",ROUND($G182*使い方と設定!$B$7*$AK182*INDEX(個性タイプマスタ!$Q$5:$AA$54,$AE182,4)/$AG182,4))</f>
        <v>1.0891999999999999</v>
      </c>
      <c r="M182" s="9">
        <f>IF($H182&lt;&gt;"OK","",ROUND($G182*使い方と設定!$B$7*$AK182*INDEX(個性タイプマスタ!$Q$5:$AA$54,$AE182,5)/$AG182,4))</f>
        <v>0.28520000000000001</v>
      </c>
      <c r="N182" s="9">
        <f>IF($H182&lt;&gt;"OK","",ROUND($G182*使い方と設定!$B$7*$AK182*INDEX(個性タイプマスタ!$Q$5:$AA$54,$AE182,6)/$AG182,4))</f>
        <v>0.75919999999999999</v>
      </c>
      <c r="O182" s="9">
        <f>IF($H182&lt;&gt;"OK","",ROUND($G182*使い方と設定!$B$7*$AK182*INDEX(個性タイプマスタ!$Q$5:$AA$54,$AE182,7)/$AG182,4))</f>
        <v>0.2157</v>
      </c>
      <c r="P182" s="9">
        <f>IF($H182&lt;&gt;"OK","",ROUND($G182*使い方と設定!$B$7*$AK182*INDEX(個性タイプマスタ!$Q$5:$AA$54,$AE182,8)/$AG182,4))</f>
        <v>0.27379999999999999</v>
      </c>
      <c r="Q182" s="9">
        <f>IF($H182&lt;&gt;"OK","",ROUND($G182*使い方と設定!$B$7*$AK182*INDEX(個性タイプマスタ!$Q$5:$AA$54,$AE182,9)/$AG182,4))</f>
        <v>0.18210000000000001</v>
      </c>
      <c r="R182" s="9">
        <f>IF($H182&lt;&gt;"OK","",ROUND($G182*使い方と設定!$B$7*$AK182*INDEX(個性タイプマスタ!$Q$5:$AA$54,$AE182,10)/$AG182,4))</f>
        <v>0.36599999999999999</v>
      </c>
      <c r="S182" s="9">
        <f>IF($H182&lt;&gt;"OK","",ROUND($G182*使い方と設定!$B$7*$AK182*INDEX(個性タイプマスタ!$Q$5:$AA$54,$AE182,11)/$AG182,4))</f>
        <v>0.32329999999999998</v>
      </c>
      <c r="T182" s="9">
        <f>IF($H182&lt;&gt;"OK","",ROUND($G182*使い方と設定!$B$8*$AK182*$AH182*INDEX(属性耐性マスタ!$B$5:$G$10,$AF182,1),4))</f>
        <v>0.26719999999999999</v>
      </c>
      <c r="U182" s="9">
        <f>IF($H182&lt;&gt;"OK","",ROUND($G182*使い方と設定!$B$8*$AK182*$AH182*INDEX(属性耐性マスタ!$B$5:$G$10,$AF182,2),4))</f>
        <v>5.3400000000000003E-2</v>
      </c>
      <c r="V182" s="9">
        <f>IF($H182&lt;&gt;"OK","",ROUND($G182*使い方と設定!$B$8*$AK182*$AH182*INDEX(属性耐性マスタ!$B$5:$G$10,$AF182,3),4))</f>
        <v>1.78E-2</v>
      </c>
      <c r="W182" s="9">
        <f>IF($H182&lt;&gt;"OK","",ROUND($G182*使い方と設定!$B$8*$AK182*$AH182*INDEX(属性耐性マスタ!$B$5:$G$10,$AF182,4),4))</f>
        <v>1.78E-2</v>
      </c>
      <c r="X182" s="9">
        <f>IF($H182&lt;&gt;"OK","",ROUND($G182*使い方と設定!$B$8*$AK182*$AH182*INDEX(属性耐性マスタ!$B$5:$G$10,$AF182,5),4))</f>
        <v>1.34E-2</v>
      </c>
      <c r="Y182" s="9">
        <f>IF($H182&lt;&gt;"OK","",ROUND($G182*使い方と設定!$B$8*$AK182*$AH182*INDEX(属性耐性マスタ!$B$5:$G$10,$AF182,6),4))</f>
        <v>1.34E-2</v>
      </c>
      <c r="Z182" s="9">
        <f>IF($H182&lt;&gt;"OK","",ROUND($G182*使い方と設定!$B$9*$AK182*$AI182,4))</f>
        <v>1.5008999999999999</v>
      </c>
      <c r="AA182" s="10">
        <v>1</v>
      </c>
      <c r="AB182" s="11">
        <f t="shared" si="7"/>
        <v>4.9119999999999999</v>
      </c>
      <c r="AC182" s="11">
        <f t="shared" si="8"/>
        <v>0.38300000000000001</v>
      </c>
      <c r="AD182" s="7" t="str">
        <f>IF($H182&lt;&gt;"OK","",INDEX(個性タイプマスタ!$P$5:$P$54,$AE182))</f>
        <v>魔法防御に偏重した耐久型</v>
      </c>
      <c r="AE182">
        <f>IFERROR(MATCH(E182,個性タイプマスタ!$A$5:$A$54,0),0)</f>
        <v>24</v>
      </c>
      <c r="AF182">
        <f>IFERROR(MATCH(F182,属性耐性マスタ!$A$5:$A$10,0),0)</f>
        <v>1</v>
      </c>
      <c r="AG182">
        <f>IF(AE182=0,1,INDEX(個性タイプマスタ!$AB$5:$AB$54,AE182))</f>
        <v>11.273833333333332</v>
      </c>
      <c r="AH182">
        <f>IF(AE182=0,1,INDEX(個性タイプマスタ!$AC$5:$AC$54,AE182))</f>
        <v>1.3599999999999999</v>
      </c>
      <c r="AI182">
        <f>IF(AE182=0,0,INDEX(個性タイプマスタ!$AD$5:$AD$54,AE182))</f>
        <v>0.91666666666666663</v>
      </c>
      <c r="AJ182" s="16">
        <v>30</v>
      </c>
      <c r="AK182" s="17">
        <f>IF(OR(AJ182="",AJ182&lt;1),"",POWER(使い方と設定!$E$6,AJ182-1))</f>
        <v>3.1186514519495603</v>
      </c>
    </row>
    <row r="183" spans="1:37">
      <c r="A183" t="str">
        <f>+[2]称号!A178</f>
        <v>TITLE_177</v>
      </c>
      <c r="B183" t="str">
        <f>+[2]称号!B178</f>
        <v>紅骸の戦鬼</v>
      </c>
      <c r="C183" t="s">
        <v>489</v>
      </c>
      <c r="D183" t="s">
        <v>490</v>
      </c>
      <c r="E183" s="2" t="str">
        <f>[1]モンスター計算!AM181</f>
        <v>魔法・薄命結界</v>
      </c>
      <c r="F183" s="2" t="str">
        <f>[1]モンスター計算!C181</f>
        <v>火</v>
      </c>
      <c r="G183" s="8">
        <v>1.1000000000000001</v>
      </c>
      <c r="H183" t="str">
        <f t="shared" si="6"/>
        <v>OK</v>
      </c>
      <c r="I183" s="9">
        <f>IF($H183&lt;&gt;"OK","",ROUND($G183*使い方と設定!$B$7*$AK183*INDEX(個性タイプマスタ!$Q$5:$AA$54,$AE183,1)/$AG183,4))</f>
        <v>0.27350000000000002</v>
      </c>
      <c r="J183" s="9">
        <f>IF($H183&lt;&gt;"OK","",ROUND($G183*使い方と設定!$B$7*$AK183*INDEX(個性タイプマスタ!$Q$5:$AA$54,$AE183,2)/$AG183,4))</f>
        <v>0.74580000000000002</v>
      </c>
      <c r="K183" s="9">
        <f>IF($H183&lt;&gt;"OK","",ROUND($G183*使い方と設定!$B$7*$AK183*INDEX(個性タイプマスタ!$Q$5:$AA$54,$AE183,3)/$AG183,4))</f>
        <v>9.0399999999999994E-2</v>
      </c>
      <c r="L183" s="9">
        <f>IF($H183&lt;&gt;"OK","",ROUND($G183*使い方と設定!$B$7*$AK183*INDEX(個性タイプマスタ!$Q$5:$AA$54,$AE183,4)/$AG183,4))</f>
        <v>1.1299999999999999</v>
      </c>
      <c r="M183" s="9">
        <f>IF($H183&lt;&gt;"OK","",ROUND($G183*使い方と設定!$B$7*$AK183*INDEX(個性タイプマスタ!$Q$5:$AA$54,$AE183,5)/$AG183,4))</f>
        <v>0.55710000000000004</v>
      </c>
      <c r="N183" s="9">
        <f>IF($H183&lt;&gt;"OK","",ROUND($G183*使い方と設定!$B$7*$AK183*INDEX(個性タイプマスタ!$Q$5:$AA$54,$AE183,6)/$AG183,4))</f>
        <v>0.86450000000000005</v>
      </c>
      <c r="O183" s="9">
        <f>IF($H183&lt;&gt;"OK","",ROUND($G183*使い方と設定!$B$7*$AK183*INDEX(個性タイプマスタ!$Q$5:$AA$54,$AE183,7)/$AG183,4))</f>
        <v>0.19889999999999999</v>
      </c>
      <c r="P183" s="9">
        <f>IF($H183&lt;&gt;"OK","",ROUND($G183*使い方と設定!$B$7*$AK183*INDEX(個性タイプマスタ!$Q$5:$AA$54,$AE183,8)/$AG183,4))</f>
        <v>0.27029999999999998</v>
      </c>
      <c r="Q183" s="9">
        <f>IF($H183&lt;&gt;"OK","",ROUND($G183*使い方と設定!$B$7*$AK183*INDEX(個性タイプマスタ!$Q$5:$AA$54,$AE183,9)/$AG183,4))</f>
        <v>0.21879999999999999</v>
      </c>
      <c r="R183" s="9">
        <f>IF($H183&lt;&gt;"OK","",ROUND($G183*使い方と設定!$B$7*$AK183*INDEX(個性タイプマスタ!$Q$5:$AA$54,$AE183,10)/$AG183,4))</f>
        <v>0.39779999999999999</v>
      </c>
      <c r="S183" s="9">
        <f>IF($H183&lt;&gt;"OK","",ROUND($G183*使い方と設定!$B$7*$AK183*INDEX(個性タイプマスタ!$Q$5:$AA$54,$AE183,11)/$AG183,4))</f>
        <v>0.3987</v>
      </c>
      <c r="T183" s="9">
        <f>IF($H183&lt;&gt;"OK","",ROUND($G183*使い方と設定!$B$8*$AK183*$AH183*INDEX(属性耐性マスタ!$B$5:$G$10,$AF183,1),4))</f>
        <v>0.30869999999999997</v>
      </c>
      <c r="U183" s="9">
        <f>IF($H183&lt;&gt;"OK","",ROUND($G183*使い方と設定!$B$8*$AK183*$AH183*INDEX(属性耐性マスタ!$B$5:$G$10,$AF183,2),4))</f>
        <v>6.1699999999999998E-2</v>
      </c>
      <c r="V183" s="9">
        <f>IF($H183&lt;&gt;"OK","",ROUND($G183*使い方と設定!$B$8*$AK183*$AH183*INDEX(属性耐性マスタ!$B$5:$G$10,$AF183,3),4))</f>
        <v>2.06E-2</v>
      </c>
      <c r="W183" s="9">
        <f>IF($H183&lt;&gt;"OK","",ROUND($G183*使い方と設定!$B$8*$AK183*$AH183*INDEX(属性耐性マスタ!$B$5:$G$10,$AF183,4),4))</f>
        <v>2.06E-2</v>
      </c>
      <c r="X183" s="9">
        <f>IF($H183&lt;&gt;"OK","",ROUND($G183*使い方と設定!$B$8*$AK183*$AH183*INDEX(属性耐性マスタ!$B$5:$G$10,$AF183,5),4))</f>
        <v>1.54E-2</v>
      </c>
      <c r="Y183" s="9">
        <f>IF($H183&lt;&gt;"OK","",ROUND($G183*使い方と設定!$B$8*$AK183*$AH183*INDEX(属性耐性マスタ!$B$5:$G$10,$AF183,6),4))</f>
        <v>1.54E-2</v>
      </c>
      <c r="Z183" s="9">
        <f>IF($H183&lt;&gt;"OK","",ROUND($G183*使い方と設定!$B$9*$AK183*$AI183,4))</f>
        <v>1.6580999999999999</v>
      </c>
      <c r="AA183" s="10">
        <v>0.9</v>
      </c>
      <c r="AB183" s="11">
        <f t="shared" si="7"/>
        <v>5.1458000000000004</v>
      </c>
      <c r="AC183" s="11">
        <f t="shared" si="8"/>
        <v>0.44240000000000002</v>
      </c>
      <c r="AD183" s="7" t="str">
        <f>IF($H183&lt;&gt;"OK","",INDEX(個性タイプマスタ!$P$5:$P$54,$AE183))</f>
        <v>低HPだが防御・耐性が高い極端な守護型</v>
      </c>
      <c r="AE183">
        <f>IFERROR(MATCH(E183,個性タイプマスタ!$A$5:$A$54,0),0)</f>
        <v>31</v>
      </c>
      <c r="AF183">
        <f>IFERROR(MATCH(F183,属性耐性マスタ!$A$5:$A$10,0),0)</f>
        <v>1</v>
      </c>
      <c r="AG183">
        <f>IF(AE183=0,1,INDEX(個性タイプマスタ!$AB$5:$AB$54,AE183))</f>
        <v>11.384</v>
      </c>
      <c r="AH183">
        <f>IF(AE183=0,1,INDEX(個性タイプマスタ!$AC$5:$AC$54,AE183))</f>
        <v>1.5</v>
      </c>
      <c r="AI183">
        <f>IF(AE183=0,0,INDEX(個性タイプマスタ!$AD$5:$AD$54,AE183))</f>
        <v>0.96666666666666667</v>
      </c>
      <c r="AJ183" s="16">
        <v>30</v>
      </c>
      <c r="AK183" s="17">
        <f>IF(OR(AJ183="",AJ183&lt;1),"",POWER(使い方と設定!$E$6,AJ183-1))</f>
        <v>3.1186514519495603</v>
      </c>
    </row>
    <row r="184" spans="1:37">
      <c r="A184" t="str">
        <f>+[2]称号!A179</f>
        <v>TITLE_178</v>
      </c>
      <c r="B184" t="str">
        <f>+[2]称号!B179</f>
        <v>灼鱗の地走者</v>
      </c>
      <c r="C184" t="s">
        <v>491</v>
      </c>
      <c r="D184" t="s">
        <v>492</v>
      </c>
      <c r="E184" s="2" t="str">
        <f>[1]モンスター計算!AM182</f>
        <v>近接・狂戦士</v>
      </c>
      <c r="F184" s="2" t="str">
        <f>[1]モンスター計算!C182</f>
        <v>火</v>
      </c>
      <c r="G184" s="8">
        <v>1.1499999999999999</v>
      </c>
      <c r="H184" t="str">
        <f t="shared" si="6"/>
        <v>OK</v>
      </c>
      <c r="I184" s="9">
        <f>IF($H184&lt;&gt;"OK","",ROUND($G184*使い方と設定!$B$7*$AK184*INDEX(個性タイプマスタ!$Q$5:$AA$54,$AE184,1)/$AG184,4))</f>
        <v>0.37409999999999999</v>
      </c>
      <c r="J184" s="9">
        <f>IF($H184&lt;&gt;"OK","",ROUND($G184*使い方と設定!$B$7*$AK184*INDEX(個性タイプマスタ!$Q$5:$AA$54,$AE184,2)/$AG184,4))</f>
        <v>0.1381</v>
      </c>
      <c r="K184" s="9">
        <f>IF($H184&lt;&gt;"OK","",ROUND($G184*使い方と設定!$B$7*$AK184*INDEX(個性タイプマスタ!$Q$5:$AA$54,$AE184,3)/$AG184,4))</f>
        <v>1.3081</v>
      </c>
      <c r="L184" s="9">
        <f>IF($H184&lt;&gt;"OK","",ROUND($G184*使い方と設定!$B$7*$AK184*INDEX(個性タイプマスタ!$Q$5:$AA$54,$AE184,4)/$AG184,4))</f>
        <v>8.5000000000000006E-2</v>
      </c>
      <c r="M184" s="9">
        <f>IF($H184&lt;&gt;"OK","",ROUND($G184*使い方と設定!$B$7*$AK184*INDEX(個性タイプマスタ!$Q$5:$AA$54,$AE184,5)/$AG184,4))</f>
        <v>0.2757</v>
      </c>
      <c r="N184" s="9">
        <f>IF($H184&lt;&gt;"OK","",ROUND($G184*使い方と設定!$B$7*$AK184*INDEX(個性タイプマスタ!$Q$5:$AA$54,$AE184,6)/$AG184,4))</f>
        <v>0.3024</v>
      </c>
      <c r="O184" s="9">
        <f>IF($H184&lt;&gt;"OK","",ROUND($G184*使い方と設定!$B$7*$AK184*INDEX(個性タイプマスタ!$Q$5:$AA$54,$AE184,7)/$AG184,4))</f>
        <v>1.036</v>
      </c>
      <c r="P184" s="9">
        <f>IF($H184&lt;&gt;"OK","",ROUND($G184*使い方と設定!$B$7*$AK184*INDEX(個性タイプマスタ!$Q$5:$AA$54,$AE184,8)/$AG184,4))</f>
        <v>0.47610000000000002</v>
      </c>
      <c r="Q184" s="9">
        <f>IF($H184&lt;&gt;"OK","",ROUND($G184*使い方と設定!$B$7*$AK184*INDEX(個性タイプマスタ!$Q$5:$AA$54,$AE184,9)/$AG184,4))</f>
        <v>0.36259999999999998</v>
      </c>
      <c r="R184" s="9">
        <f>IF($H184&lt;&gt;"OK","",ROUND($G184*使い方と設定!$B$7*$AK184*INDEX(個性タイプマスタ!$Q$5:$AA$54,$AE184,10)/$AG184,4))</f>
        <v>0.70640000000000003</v>
      </c>
      <c r="S184" s="9">
        <f>IF($H184&lt;&gt;"OK","",ROUND($G184*使い方と設定!$B$7*$AK184*INDEX(個性タイプマスタ!$Q$5:$AA$54,$AE184,11)/$AG184,4))</f>
        <v>0.315</v>
      </c>
      <c r="T184" s="9">
        <f>IF($H184&lt;&gt;"OK","",ROUND($G184*使い方と設定!$B$8*$AK184*$AH184*INDEX(属性耐性マスタ!$B$5:$G$10,$AF184,1),4))</f>
        <v>0.14630000000000001</v>
      </c>
      <c r="U184" s="9">
        <f>IF($H184&lt;&gt;"OK","",ROUND($G184*使い方と設定!$B$8*$AK184*$AH184*INDEX(属性耐性マスタ!$B$5:$G$10,$AF184,2),4))</f>
        <v>2.93E-2</v>
      </c>
      <c r="V184" s="9">
        <f>IF($H184&lt;&gt;"OK","",ROUND($G184*使い方と設定!$B$8*$AK184*$AH184*INDEX(属性耐性マスタ!$B$5:$G$10,$AF184,3),4))</f>
        <v>9.7999999999999997E-3</v>
      </c>
      <c r="W184" s="9">
        <f>IF($H184&lt;&gt;"OK","",ROUND($G184*使い方と設定!$B$8*$AK184*$AH184*INDEX(属性耐性マスタ!$B$5:$G$10,$AF184,4),4))</f>
        <v>9.7999999999999997E-3</v>
      </c>
      <c r="X184" s="9">
        <f>IF($H184&lt;&gt;"OK","",ROUND($G184*使い方と設定!$B$8*$AK184*$AH184*INDEX(属性耐性マスタ!$B$5:$G$10,$AF184,5),4))</f>
        <v>7.3000000000000001E-3</v>
      </c>
      <c r="Y184" s="9">
        <f>IF($H184&lt;&gt;"OK","",ROUND($G184*使い方と設定!$B$8*$AK184*$AH184*INDEX(属性耐性マスタ!$B$5:$G$10,$AF184,6),4))</f>
        <v>7.3000000000000001E-3</v>
      </c>
      <c r="Z184" s="9">
        <f>IF($H184&lt;&gt;"OK","",ROUND($G184*使い方と設定!$B$9*$AK184*$AI184,4))</f>
        <v>2.0173999999999999</v>
      </c>
      <c r="AA184" s="10">
        <v>0.55000000000000004</v>
      </c>
      <c r="AB184" s="11">
        <f t="shared" si="7"/>
        <v>5.3795000000000002</v>
      </c>
      <c r="AC184" s="11">
        <f t="shared" si="8"/>
        <v>0.20979999999999999</v>
      </c>
      <c r="AD184" s="7" t="str">
        <f>IF($H184&lt;&gt;"OK","",INDEX(個性タイプマスタ!$P$5:$P$54,$AE184))</f>
        <v>紙耐久の高回転会心型</v>
      </c>
      <c r="AE184">
        <f>IFERROR(MATCH(E184,個性タイプマスタ!$A$5:$A$54,0),0)</f>
        <v>32</v>
      </c>
      <c r="AF184">
        <f>IFERROR(MATCH(F184,属性耐性マスタ!$A$5:$A$10,0),0)</f>
        <v>1</v>
      </c>
      <c r="AG184">
        <f>IF(AE184=0,1,INDEX(個性タイプマスタ!$AB$5:$AB$54,AE184))</f>
        <v>10.281499999999999</v>
      </c>
      <c r="AH184">
        <f>IF(AE184=0,1,INDEX(個性タイプマスタ!$AC$5:$AC$54,AE184))</f>
        <v>0.67999999999999994</v>
      </c>
      <c r="AI184">
        <f>IF(AE184=0,0,INDEX(個性タイプマスタ!$AD$5:$AD$54,AE184))</f>
        <v>1.125</v>
      </c>
      <c r="AJ184" s="16">
        <v>30</v>
      </c>
      <c r="AK184" s="17">
        <f>IF(OR(AJ184="",AJ184&lt;1),"",POWER(使い方と設定!$E$6,AJ184-1))</f>
        <v>3.1186514519495603</v>
      </c>
    </row>
    <row r="185" spans="1:37">
      <c r="A185" t="str">
        <f>+[2]称号!A180</f>
        <v>TITLE_179</v>
      </c>
      <c r="B185" t="str">
        <f>+[2]称号!B180</f>
        <v>灰翼の夜翔</v>
      </c>
      <c r="C185" t="s">
        <v>493</v>
      </c>
      <c r="D185" t="s">
        <v>494</v>
      </c>
      <c r="E185" s="2" t="str">
        <f>[1]モンスター計算!AM183</f>
        <v>近接・耐性鎧</v>
      </c>
      <c r="F185" s="2" t="str">
        <f>[1]モンスター計算!C183</f>
        <v>火</v>
      </c>
      <c r="G185" s="8">
        <v>1.2</v>
      </c>
      <c r="H185" t="str">
        <f t="shared" si="6"/>
        <v>OK</v>
      </c>
      <c r="I185" s="9">
        <f>IF($H185&lt;&gt;"OK","",ROUND($G185*使い方と設定!$B$7*$AK185*INDEX(個性タイプマスタ!$Q$5:$AA$54,$AE185,1)/$AG185,4))</f>
        <v>0.76170000000000004</v>
      </c>
      <c r="J185" s="9">
        <f>IF($H185&lt;&gt;"OK","",ROUND($G185*使い方と設定!$B$7*$AK185*INDEX(個性タイプマスタ!$Q$5:$AA$54,$AE185,2)/$AG185,4))</f>
        <v>0.33889999999999998</v>
      </c>
      <c r="K185" s="9">
        <f>IF($H185&lt;&gt;"OK","",ROUND($G185*使い方と設定!$B$7*$AK185*INDEX(個性タイプマスタ!$Q$5:$AA$54,$AE185,3)/$AG185,4))</f>
        <v>1.4670000000000001</v>
      </c>
      <c r="L185" s="9">
        <f>IF($H185&lt;&gt;"OK","",ROUND($G185*使い方と設定!$B$7*$AK185*INDEX(個性タイプマスタ!$Q$5:$AA$54,$AE185,4)/$AG185,4))</f>
        <v>0.1027</v>
      </c>
      <c r="M185" s="9">
        <f>IF($H185&lt;&gt;"OK","",ROUND($G185*使い方と設定!$B$7*$AK185*INDEX(個性タイプマスタ!$Q$5:$AA$54,$AE185,5)/$AG185,4))</f>
        <v>0.56859999999999999</v>
      </c>
      <c r="N185" s="9">
        <f>IF($H185&lt;&gt;"OK","",ROUND($G185*使い方と設定!$B$7*$AK185*INDEX(個性タイプマスタ!$Q$5:$AA$54,$AE185,6)/$AG185,4))</f>
        <v>0.56859999999999999</v>
      </c>
      <c r="O185" s="9">
        <f>IF($H185&lt;&gt;"OK","",ROUND($G185*使い方と設定!$B$7*$AK185*INDEX(個性タイプマスタ!$Q$5:$AA$54,$AE185,7)/$AG185,4))</f>
        <v>0.25819999999999999</v>
      </c>
      <c r="P185" s="9">
        <f>IF($H185&lt;&gt;"OK","",ROUND($G185*使い方と設定!$B$7*$AK185*INDEX(個性タイプマスタ!$Q$5:$AA$54,$AE185,8)/$AG185,4))</f>
        <v>0.36359999999999998</v>
      </c>
      <c r="Q185" s="9">
        <f>IF($H185&lt;&gt;"OK","",ROUND($G185*使い方と設定!$B$7*$AK185*INDEX(個性タイプマスタ!$Q$5:$AA$54,$AE185,9)/$AG185,4))</f>
        <v>0.27760000000000001</v>
      </c>
      <c r="R185" s="9">
        <f>IF($H185&lt;&gt;"OK","",ROUND($G185*使い方と設定!$B$7*$AK185*INDEX(個性タイプマスタ!$Q$5:$AA$54,$AE185,10)/$AG185,4))</f>
        <v>0.51639999999999997</v>
      </c>
      <c r="S185" s="9">
        <f>IF($H185&lt;&gt;"OK","",ROUND($G185*使い方と設定!$B$7*$AK185*INDEX(個性タイプマスタ!$Q$5:$AA$54,$AE185,11)/$AG185,4))</f>
        <v>0.39019999999999999</v>
      </c>
      <c r="T185" s="9">
        <f>IF($H185&lt;&gt;"OK","",ROUND($G185*使い方と設定!$B$8*$AK185*$AH185*INDEX(属性耐性マスタ!$B$5:$G$10,$AF185,1),4))</f>
        <v>0.33679999999999999</v>
      </c>
      <c r="U185" s="9">
        <f>IF($H185&lt;&gt;"OK","",ROUND($G185*使い方と設定!$B$8*$AK185*$AH185*INDEX(属性耐性マスタ!$B$5:$G$10,$AF185,2),4))</f>
        <v>6.7400000000000002E-2</v>
      </c>
      <c r="V185" s="9">
        <f>IF($H185&lt;&gt;"OK","",ROUND($G185*使い方と設定!$B$8*$AK185*$AH185*INDEX(属性耐性マスタ!$B$5:$G$10,$AF185,3),4))</f>
        <v>2.2499999999999999E-2</v>
      </c>
      <c r="W185" s="9">
        <f>IF($H185&lt;&gt;"OK","",ROUND($G185*使い方と設定!$B$8*$AK185*$AH185*INDEX(属性耐性マスタ!$B$5:$G$10,$AF185,4),4))</f>
        <v>2.2499999999999999E-2</v>
      </c>
      <c r="X185" s="9">
        <f>IF($H185&lt;&gt;"OK","",ROUND($G185*使い方と設定!$B$8*$AK185*$AH185*INDEX(属性耐性マスタ!$B$5:$G$10,$AF185,5),4))</f>
        <v>1.6799999999999999E-2</v>
      </c>
      <c r="Y185" s="9">
        <f>IF($H185&lt;&gt;"OK","",ROUND($G185*使い方と設定!$B$8*$AK185*$AH185*INDEX(属性耐性マスタ!$B$5:$G$10,$AF185,6),4))</f>
        <v>1.6799999999999999E-2</v>
      </c>
      <c r="Z185" s="9">
        <f>IF($H185&lt;&gt;"OK","",ROUND($G185*使い方と設定!$B$9*$AK185*$AI185,4))</f>
        <v>1.7931999999999999</v>
      </c>
      <c r="AA185" s="10">
        <v>0.5</v>
      </c>
      <c r="AB185" s="11">
        <f t="shared" si="7"/>
        <v>5.6135000000000002</v>
      </c>
      <c r="AC185" s="11">
        <f t="shared" si="8"/>
        <v>0.48280000000000001</v>
      </c>
      <c r="AD185" s="7" t="str">
        <f>IF($H185&lt;&gt;"OK","",INDEX(個性タイプマスタ!$P$5:$P$54,$AE185))</f>
        <v>属性耐性重視の堅実型</v>
      </c>
      <c r="AE185">
        <f>IFERROR(MATCH(E185,個性タイプマスタ!$A$5:$A$54,0),0)</f>
        <v>39</v>
      </c>
      <c r="AF185">
        <f>IFERROR(MATCH(F185,属性耐性マスタ!$A$5:$A$10,0),0)</f>
        <v>1</v>
      </c>
      <c r="AG185">
        <f>IF(AE185=0,1,INDEX(個性タイプマスタ!$AB$5:$AB$54,AE185))</f>
        <v>9.5661666666666676</v>
      </c>
      <c r="AH185">
        <f>IF(AE185=0,1,INDEX(個性タイプマスタ!$AC$5:$AC$54,AE185))</f>
        <v>1.5</v>
      </c>
      <c r="AI185">
        <f>IF(AE185=0,0,INDEX(個性タイプマスタ!$AD$5:$AD$54,AE185))</f>
        <v>0.95833333333333326</v>
      </c>
      <c r="AJ185" s="16">
        <v>30</v>
      </c>
      <c r="AK185" s="17">
        <f>IF(OR(AJ185="",AJ185&lt;1),"",POWER(使い方と設定!$E$6,AJ185-1))</f>
        <v>3.1186514519495603</v>
      </c>
    </row>
    <row r="186" spans="1:37">
      <c r="A186" t="str">
        <f>+[2]称号!A181</f>
        <v>TITLE_180</v>
      </c>
      <c r="B186" t="str">
        <f>+[2]称号!B181</f>
        <v>熔界の覇竜</v>
      </c>
      <c r="C186" t="s">
        <v>495</v>
      </c>
      <c r="D186" t="s">
        <v>496</v>
      </c>
      <c r="E186" s="2" t="str">
        <f>[1]モンスター計算!AM184</f>
        <v>魔法・高MP</v>
      </c>
      <c r="F186" s="2" t="str">
        <f>[1]モンスター計算!C184</f>
        <v>火</v>
      </c>
      <c r="G186" s="8">
        <v>1.25</v>
      </c>
      <c r="H186" t="str">
        <f t="shared" si="6"/>
        <v>OK</v>
      </c>
      <c r="I186" s="9">
        <f>IF($H186&lt;&gt;"OK","",ROUND($G186*使い方と設定!$B$7*$AK186*INDEX(個性タイプマスタ!$Q$5:$AA$54,$AE186,1)/$AG186,4))</f>
        <v>0.55069999999999997</v>
      </c>
      <c r="J186" s="9">
        <f>IF($H186&lt;&gt;"OK","",ROUND($G186*使い方と設定!$B$7*$AK186*INDEX(個性タイプマスタ!$Q$5:$AA$54,$AE186,2)/$AG186,4))</f>
        <v>1.4167000000000001</v>
      </c>
      <c r="K186" s="9">
        <f>IF($H186&lt;&gt;"OK","",ROUND($G186*使い方と設定!$B$7*$AK186*INDEX(個性タイプマスタ!$Q$5:$AA$54,$AE186,3)/$AG186,4))</f>
        <v>8.5099999999999995E-2</v>
      </c>
      <c r="L186" s="9">
        <f>IF($H186&lt;&gt;"OK","",ROUND($G186*使い方と設定!$B$7*$AK186*INDEX(個性タイプマスタ!$Q$5:$AA$54,$AE186,4)/$AG186,4))</f>
        <v>1.2151000000000001</v>
      </c>
      <c r="M186" s="9">
        <f>IF($H186&lt;&gt;"OK","",ROUND($G186*使い方と設定!$B$7*$AK186*INDEX(個性タイプマスタ!$Q$5:$AA$54,$AE186,5)/$AG186,4))</f>
        <v>0.39660000000000001</v>
      </c>
      <c r="N186" s="9">
        <f>IF($H186&lt;&gt;"OK","",ROUND($G186*使い方と設定!$B$7*$AK186*INDEX(個性タイプマスタ!$Q$5:$AA$54,$AE186,6)/$AG186,4))</f>
        <v>0.48749999999999999</v>
      </c>
      <c r="O186" s="9">
        <f>IF($H186&lt;&gt;"OK","",ROUND($G186*使い方と設定!$B$7*$AK186*INDEX(個性タイプマスタ!$Q$5:$AA$54,$AE186,7)/$AG186,4))</f>
        <v>0.34749999999999998</v>
      </c>
      <c r="P186" s="9">
        <f>IF($H186&lt;&gt;"OK","",ROUND($G186*使い方と設定!$B$7*$AK186*INDEX(個性タイプマスタ!$Q$5:$AA$54,$AE186,8)/$AG186,4))</f>
        <v>0.3054</v>
      </c>
      <c r="Q186" s="9">
        <f>IF($H186&lt;&gt;"OK","",ROUND($G186*使い方と設定!$B$7*$AK186*INDEX(個性タイプマスタ!$Q$5:$AA$54,$AE186,9)/$AG186,4))</f>
        <v>0.22450000000000001</v>
      </c>
      <c r="R186" s="9">
        <f>IF($H186&lt;&gt;"OK","",ROUND($G186*使い方と設定!$B$7*$AK186*INDEX(個性タイプマスタ!$Q$5:$AA$54,$AE186,10)/$AG186,4))</f>
        <v>0.43740000000000001</v>
      </c>
      <c r="S186" s="9">
        <f>IF($H186&lt;&gt;"OK","",ROUND($G186*使い方と設定!$B$7*$AK186*INDEX(個性タイプマスタ!$Q$5:$AA$54,$AE186,11)/$AG186,4))</f>
        <v>0.38100000000000001</v>
      </c>
      <c r="T186" s="9">
        <f>IF($H186&lt;&gt;"OK","",ROUND($G186*使い方と設定!$B$8*$AK186*$AH186*INDEX(属性耐性マスタ!$B$5:$G$10,$AF186,1),4))</f>
        <v>0.25259999999999999</v>
      </c>
      <c r="U186" s="9">
        <f>IF($H186&lt;&gt;"OK","",ROUND($G186*使い方と設定!$B$8*$AK186*$AH186*INDEX(属性耐性マスタ!$B$5:$G$10,$AF186,2),4))</f>
        <v>5.0500000000000003E-2</v>
      </c>
      <c r="V186" s="9">
        <f>IF($H186&lt;&gt;"OK","",ROUND($G186*使い方と設定!$B$8*$AK186*$AH186*INDEX(属性耐性マスタ!$B$5:$G$10,$AF186,3),4))</f>
        <v>1.6799999999999999E-2</v>
      </c>
      <c r="W186" s="9">
        <f>IF($H186&lt;&gt;"OK","",ROUND($G186*使い方と設定!$B$8*$AK186*$AH186*INDEX(属性耐性マスタ!$B$5:$G$10,$AF186,4),4))</f>
        <v>1.6799999999999999E-2</v>
      </c>
      <c r="X186" s="9">
        <f>IF($H186&lt;&gt;"OK","",ROUND($G186*使い方と設定!$B$8*$AK186*$AH186*INDEX(属性耐性マスタ!$B$5:$G$10,$AF186,5),4))</f>
        <v>1.26E-2</v>
      </c>
      <c r="Y186" s="9">
        <f>IF($H186&lt;&gt;"OK","",ROUND($G186*使い方と設定!$B$8*$AK186*$AH186*INDEX(属性耐性マスタ!$B$5:$G$10,$AF186,6),4))</f>
        <v>1.26E-2</v>
      </c>
      <c r="Z186" s="9">
        <f>IF($H186&lt;&gt;"OK","",ROUND($G186*使い方と設定!$B$9*$AK186*$AI186,4))</f>
        <v>1.8516999999999999</v>
      </c>
      <c r="AA186" s="10">
        <v>0.25</v>
      </c>
      <c r="AB186" s="11">
        <f t="shared" si="7"/>
        <v>5.8475000000000001</v>
      </c>
      <c r="AC186" s="11">
        <f t="shared" si="8"/>
        <v>0.3619</v>
      </c>
      <c r="AD186" s="7" t="str">
        <f>IF($H186&lt;&gt;"OK","",INDEX(個性タイプマスタ!$P$5:$P$54,$AE186))</f>
        <v>MP容量を重視する後衛</v>
      </c>
      <c r="AE186">
        <f>IFERROR(MATCH(E186,個性タイプマスタ!$A$5:$A$54,0),0)</f>
        <v>27</v>
      </c>
      <c r="AF186">
        <f>IFERROR(MATCH(F186,属性耐性マスタ!$A$5:$A$10,0),0)</f>
        <v>1</v>
      </c>
      <c r="AG186">
        <f>IF(AE186=0,1,INDEX(個性タイプマスタ!$AB$5:$AB$54,AE186))</f>
        <v>12.031333333333334</v>
      </c>
      <c r="AH186">
        <f>IF(AE186=0,1,INDEX(個性タイプマスタ!$AC$5:$AC$54,AE186))</f>
        <v>1.08</v>
      </c>
      <c r="AI186">
        <f>IF(AE186=0,0,INDEX(個性タイプマスタ!$AD$5:$AD$54,AE186))</f>
        <v>0.95</v>
      </c>
      <c r="AJ186" s="16">
        <v>30</v>
      </c>
      <c r="AK186" s="17">
        <f>IF(OR(AJ186="",AJ186&lt;1),"",POWER(使い方と設定!$E$6,AJ186-1))</f>
        <v>3.1186514519495603</v>
      </c>
    </row>
    <row r="187" spans="1:37">
      <c r="A187" t="str">
        <f>+[2]称号!A182</f>
        <v>TITLE_181</v>
      </c>
      <c r="B187" t="str">
        <f>+[2]称号!B182</f>
        <v>氷晶核宿</v>
      </c>
      <c r="C187" t="s">
        <v>497</v>
      </c>
      <c r="D187" t="s">
        <v>498</v>
      </c>
      <c r="E187" s="2" t="str">
        <f>[1]モンスター計算!AM185</f>
        <v>魔法・会心一撃</v>
      </c>
      <c r="F187" s="2" t="str">
        <f>[1]モンスター計算!C185</f>
        <v>水</v>
      </c>
      <c r="G187" s="8">
        <v>1</v>
      </c>
      <c r="H187" t="str">
        <f t="shared" si="6"/>
        <v>OK</v>
      </c>
      <c r="I187" s="9">
        <f>IF($H187&lt;&gt;"OK","",ROUND($G187*使い方と設定!$B$7*$AK187*INDEX(個性タイプマスタ!$Q$5:$AA$54,$AE187,1)/$AG187,4))</f>
        <v>0.39639999999999997</v>
      </c>
      <c r="J187" s="9">
        <f>IF($H187&lt;&gt;"OK","",ROUND($G187*使い方と設定!$B$7*$AK187*INDEX(個性タイプマスタ!$Q$5:$AA$54,$AE187,2)/$AG187,4))</f>
        <v>0.65259999999999996</v>
      </c>
      <c r="K187" s="9">
        <f>IF($H187&lt;&gt;"OK","",ROUND($G187*使い方と設定!$B$7*$AK187*INDEX(個性タイプマスタ!$Q$5:$AA$54,$AE187,3)/$AG187,4))</f>
        <v>6.59E-2</v>
      </c>
      <c r="L187" s="9">
        <f>IF($H187&lt;&gt;"OK","",ROUND($G187*使い方と設定!$B$7*$AK187*INDEX(個性タイプマスタ!$Q$5:$AA$54,$AE187,4)/$AG187,4))</f>
        <v>1.0987</v>
      </c>
      <c r="M187" s="9">
        <f>IF($H187&lt;&gt;"OK","",ROUND($G187*使い方と設定!$B$7*$AK187*INDEX(個性タイプマスタ!$Q$5:$AA$54,$AE187,5)/$AG187,4))</f>
        <v>0.30259999999999998</v>
      </c>
      <c r="N187" s="9">
        <f>IF($H187&lt;&gt;"OK","",ROUND($G187*使い方と設定!$B$7*$AK187*INDEX(個性タイプマスタ!$Q$5:$AA$54,$AE187,6)/$AG187,4))</f>
        <v>0.32500000000000001</v>
      </c>
      <c r="O187" s="9">
        <f>IF($H187&lt;&gt;"OK","",ROUND($G187*使い方と設定!$B$7*$AK187*INDEX(個性タイプマスタ!$Q$5:$AA$54,$AE187,7)/$AG187,4))</f>
        <v>0.58009999999999995</v>
      </c>
      <c r="P187" s="9">
        <f>IF($H187&lt;&gt;"OK","",ROUND($G187*使い方と設定!$B$7*$AK187*INDEX(個性タイプマスタ!$Q$5:$AA$54,$AE187,8)/$AG187,4))</f>
        <v>0.48559999999999998</v>
      </c>
      <c r="Q187" s="9">
        <f>IF($H187&lt;&gt;"OK","",ROUND($G187*使い方と設定!$B$7*$AK187*INDEX(個性タイプマスタ!$Q$5:$AA$54,$AE187,9)/$AG187,4))</f>
        <v>0.22239999999999999</v>
      </c>
      <c r="R187" s="9">
        <f>IF($H187&lt;&gt;"OK","",ROUND($G187*使い方と設定!$B$7*$AK187*INDEX(個性タイプマスタ!$Q$5:$AA$54,$AE187,10)/$AG187,4))</f>
        <v>0.29880000000000001</v>
      </c>
      <c r="S187" s="9">
        <f>IF($H187&lt;&gt;"OK","",ROUND($G187*使い方と設定!$B$7*$AK187*INDEX(個性タイプマスタ!$Q$5:$AA$54,$AE187,11)/$AG187,4))</f>
        <v>0.43680000000000002</v>
      </c>
      <c r="T187" s="9">
        <f>IF($H187&lt;&gt;"OK","",ROUND($G187*使い方と設定!$B$8*$AK187*$AH187*INDEX(属性耐性マスタ!$B$5:$G$10,$AF187,1),4))</f>
        <v>3.04E-2</v>
      </c>
      <c r="U187" s="9">
        <f>IF($H187&lt;&gt;"OK","",ROUND($G187*使い方と設定!$B$8*$AK187*$AH187*INDEX(属性耐性マスタ!$B$5:$G$10,$AF187,2),4))</f>
        <v>0.15179999999999999</v>
      </c>
      <c r="V187" s="9">
        <f>IF($H187&lt;&gt;"OK","",ROUND($G187*使い方と設定!$B$8*$AK187*$AH187*INDEX(属性耐性マスタ!$B$5:$G$10,$AF187,3),4))</f>
        <v>1.01E-2</v>
      </c>
      <c r="W187" s="9">
        <f>IF($H187&lt;&gt;"OK","",ROUND($G187*使い方と設定!$B$8*$AK187*$AH187*INDEX(属性耐性マスタ!$B$5:$G$10,$AF187,4),4))</f>
        <v>1.01E-2</v>
      </c>
      <c r="X187" s="9">
        <f>IF($H187&lt;&gt;"OK","",ROUND($G187*使い方と設定!$B$8*$AK187*$AH187*INDEX(属性耐性マスタ!$B$5:$G$10,$AF187,5),4))</f>
        <v>7.6E-3</v>
      </c>
      <c r="Y187" s="9">
        <f>IF($H187&lt;&gt;"OK","",ROUND($G187*使い方と設定!$B$8*$AK187*$AH187*INDEX(属性耐性マスタ!$B$5:$G$10,$AF187,6),4))</f>
        <v>7.6E-3</v>
      </c>
      <c r="Z187" s="9">
        <f>IF($H187&lt;&gt;"OK","",ROUND($G187*使い方と設定!$B$9*$AK187*$AI187,4))</f>
        <v>1.5947</v>
      </c>
      <c r="AA187" s="10">
        <v>1</v>
      </c>
      <c r="AB187" s="11">
        <f t="shared" si="7"/>
        <v>4.8648999999999996</v>
      </c>
      <c r="AC187" s="11">
        <f t="shared" si="8"/>
        <v>0.21759999999999999</v>
      </c>
      <c r="AD187" s="7" t="str">
        <f>IF($H187&lt;&gt;"OK","",INDEX(個性タイプマスタ!$P$5:$P$54,$AE187))</f>
        <v>会心倍率が極めて高い一撃型</v>
      </c>
      <c r="AE187">
        <f>IFERROR(MATCH(E187,個性タイプマスタ!$A$5:$A$54,0),0)</f>
        <v>23</v>
      </c>
      <c r="AF187">
        <f>IFERROR(MATCH(F187,属性耐性マスタ!$A$5:$A$10,0),0)</f>
        <v>2</v>
      </c>
      <c r="AG187">
        <f>IF(AE187=0,1,INDEX(個性タイプマスタ!$AB$5:$AB$54,AE187))</f>
        <v>11.07</v>
      </c>
      <c r="AH187">
        <f>IF(AE187=0,1,INDEX(個性タイプマスタ!$AC$5:$AC$54,AE187))</f>
        <v>0.78</v>
      </c>
      <c r="AI187">
        <f>IF(AE187=0,0,INDEX(個性タイプマスタ!$AD$5:$AD$54,AE187))</f>
        <v>0.98333333333333328</v>
      </c>
      <c r="AJ187" s="16">
        <v>31</v>
      </c>
      <c r="AK187" s="17">
        <f>IF(OR(AJ187="",AJ187&lt;1),"",POWER(使い方と設定!$E$6,AJ187-1))</f>
        <v>3.2433975100275423</v>
      </c>
    </row>
    <row r="188" spans="1:37">
      <c r="A188" t="str">
        <f>+[2]称号!A183</f>
        <v>TITLE_182</v>
      </c>
      <c r="B188" t="str">
        <f>+[2]称号!B183</f>
        <v>凍骨統率者</v>
      </c>
      <c r="C188" t="s">
        <v>499</v>
      </c>
      <c r="D188" t="s">
        <v>500</v>
      </c>
      <c r="E188" s="2" t="str">
        <f>[1]モンスター計算!AM186</f>
        <v>魔法・鈍足賢者</v>
      </c>
      <c r="F188" s="2" t="str">
        <f>[1]モンスター計算!C186</f>
        <v>水</v>
      </c>
      <c r="G188" s="8">
        <v>1.05</v>
      </c>
      <c r="H188" t="str">
        <f t="shared" si="6"/>
        <v>OK</v>
      </c>
      <c r="I188" s="9">
        <f>IF($H188&lt;&gt;"OK","",ROUND($G188*使い方と設定!$B$7*$AK188*INDEX(個性タイプマスタ!$Q$5:$AA$54,$AE188,1)/$AG188,4))</f>
        <v>0.60840000000000005</v>
      </c>
      <c r="J188" s="9">
        <f>IF($H188&lt;&gt;"OK","",ROUND($G188*使い方と設定!$B$7*$AK188*INDEX(個性タイプマスタ!$Q$5:$AA$54,$AE188,2)/$AG188,4))</f>
        <v>0.95609999999999995</v>
      </c>
      <c r="K188" s="9">
        <f>IF($H188&lt;&gt;"OK","",ROUND($G188*使い方と設定!$B$7*$AK188*INDEX(個性タイプマスタ!$Q$5:$AA$54,$AE188,3)/$AG188,4))</f>
        <v>8.3000000000000004E-2</v>
      </c>
      <c r="L188" s="9">
        <f>IF($H188&lt;&gt;"OK","",ROUND($G188*使い方と設定!$B$7*$AK188*INDEX(個性タイプマスタ!$Q$5:$AA$54,$AE188,4)/$AG188,4))</f>
        <v>0.98770000000000002</v>
      </c>
      <c r="M188" s="9">
        <f>IF($H188&lt;&gt;"OK","",ROUND($G188*使い方と設定!$B$7*$AK188*INDEX(個性タイプマスタ!$Q$5:$AA$54,$AE188,5)/$AG188,4))</f>
        <v>0.31900000000000001</v>
      </c>
      <c r="N188" s="9">
        <f>IF($H188&lt;&gt;"OK","",ROUND($G188*使い方と設定!$B$7*$AK188*INDEX(個性タイプマスタ!$Q$5:$AA$54,$AE188,6)/$AG188,4))</f>
        <v>0.56410000000000005</v>
      </c>
      <c r="O188" s="9">
        <f>IF($H188&lt;&gt;"OK","",ROUND($G188*使い方と設定!$B$7*$AK188*INDEX(個性タイプマスタ!$Q$5:$AA$54,$AE188,7)/$AG188,4))</f>
        <v>0.49980000000000002</v>
      </c>
      <c r="P188" s="9">
        <f>IF($H188&lt;&gt;"OK","",ROUND($G188*使い方と設定!$B$7*$AK188*INDEX(個性タイプマスタ!$Q$5:$AA$54,$AE188,8)/$AG188,4))</f>
        <v>0.33379999999999999</v>
      </c>
      <c r="Q188" s="9">
        <f>IF($H188&lt;&gt;"OK","",ROUND($G188*使い方と設定!$B$7*$AK188*INDEX(個性タイプマスタ!$Q$5:$AA$54,$AE188,9)/$AG188,4))</f>
        <v>0.1043</v>
      </c>
      <c r="R188" s="9">
        <f>IF($H188&lt;&gt;"OK","",ROUND($G188*使い方と設定!$B$7*$AK188*INDEX(個性タイプマスタ!$Q$5:$AA$54,$AE188,10)/$AG188,4))</f>
        <v>0.28439999999999999</v>
      </c>
      <c r="S188" s="9">
        <f>IF($H188&lt;&gt;"OK","",ROUND($G188*使い方と設定!$B$7*$AK188*INDEX(個性タイプマスタ!$Q$5:$AA$54,$AE188,11)/$AG188,4))</f>
        <v>0.36780000000000002</v>
      </c>
      <c r="T188" s="9">
        <f>IF($H188&lt;&gt;"OK","",ROUND($G188*使い方と設定!$B$8*$AK188*$AH188*INDEX(属性耐性マスタ!$B$5:$G$10,$AF188,1),4))</f>
        <v>5.3900000000000003E-2</v>
      </c>
      <c r="U188" s="9">
        <f>IF($H188&lt;&gt;"OK","",ROUND($G188*使い方と設定!$B$8*$AK188*$AH188*INDEX(属性耐性マスタ!$B$5:$G$10,$AF188,2),4))</f>
        <v>0.2697</v>
      </c>
      <c r="V188" s="9">
        <f>IF($H188&lt;&gt;"OK","",ROUND($G188*使い方と設定!$B$8*$AK188*$AH188*INDEX(属性耐性マスタ!$B$5:$G$10,$AF188,3),4))</f>
        <v>1.7999999999999999E-2</v>
      </c>
      <c r="W188" s="9">
        <f>IF($H188&lt;&gt;"OK","",ROUND($G188*使い方と設定!$B$8*$AK188*$AH188*INDEX(属性耐性マスタ!$B$5:$G$10,$AF188,4),4))</f>
        <v>1.7999999999999999E-2</v>
      </c>
      <c r="X188" s="9">
        <f>IF($H188&lt;&gt;"OK","",ROUND($G188*使い方と設定!$B$8*$AK188*$AH188*INDEX(属性耐性マスタ!$B$5:$G$10,$AF188,5),4))</f>
        <v>1.35E-2</v>
      </c>
      <c r="Y188" s="9">
        <f>IF($H188&lt;&gt;"OK","",ROUND($G188*使い方と設定!$B$8*$AK188*$AH188*INDEX(属性耐性マスタ!$B$5:$G$10,$AF188,6),4))</f>
        <v>1.35E-2</v>
      </c>
      <c r="Z188" s="9">
        <f>IF($H188&lt;&gt;"OK","",ROUND($G188*使い方と設定!$B$9*$AK188*$AI188,4))</f>
        <v>1.3622000000000001</v>
      </c>
      <c r="AA188" s="10">
        <v>1</v>
      </c>
      <c r="AB188" s="11">
        <f t="shared" si="7"/>
        <v>5.1083999999999996</v>
      </c>
      <c r="AC188" s="11">
        <f t="shared" si="8"/>
        <v>0.3866</v>
      </c>
      <c r="AD188" s="7" t="str">
        <f>IF($H188&lt;&gt;"OK","",INDEX(個性タイプマスタ!$P$5:$P$54,$AE188))</f>
        <v>低機動・高MP・高魔防</v>
      </c>
      <c r="AE188">
        <f>IFERROR(MATCH(E188,個性タイプマスタ!$A$5:$A$54,0),0)</f>
        <v>30</v>
      </c>
      <c r="AF188">
        <f>IFERROR(MATCH(F188,属性耐性マスタ!$A$5:$A$10,0),0)</f>
        <v>2</v>
      </c>
      <c r="AG188">
        <f>IF(AE188=0,1,INDEX(個性タイプマスタ!$AB$5:$AB$54,AE188))</f>
        <v>12.9305</v>
      </c>
      <c r="AH188">
        <f>IF(AE188=0,1,INDEX(個性タイプマスタ!$AC$5:$AC$54,AE188))</f>
        <v>1.32</v>
      </c>
      <c r="AI188">
        <f>IF(AE188=0,0,INDEX(個性タイプマスタ!$AD$5:$AD$54,AE188))</f>
        <v>0.79999999999999993</v>
      </c>
      <c r="AJ188" s="16">
        <v>31</v>
      </c>
      <c r="AK188" s="17">
        <f>IF(OR(AJ188="",AJ188&lt;1),"",POWER(使い方と設定!$E$6,AJ188-1))</f>
        <v>3.2433975100275423</v>
      </c>
    </row>
    <row r="189" spans="1:37">
      <c r="A189" t="str">
        <f>+[2]称号!A184</f>
        <v>TITLE_183</v>
      </c>
      <c r="B189" t="str">
        <f>+[2]称号!B184</f>
        <v>白銀狩人</v>
      </c>
      <c r="C189" t="s">
        <v>501</v>
      </c>
      <c r="D189" t="s">
        <v>502</v>
      </c>
      <c r="E189" s="2" t="str">
        <f>[1]モンスター計算!AM187</f>
        <v>魔法・火力</v>
      </c>
      <c r="F189" s="2" t="str">
        <f>[1]モンスター計算!C187</f>
        <v>水</v>
      </c>
      <c r="G189" s="8">
        <v>1.1000000000000001</v>
      </c>
      <c r="H189" t="str">
        <f t="shared" si="6"/>
        <v>OK</v>
      </c>
      <c r="I189" s="9">
        <f>IF($H189&lt;&gt;"OK","",ROUND($G189*使い方と設定!$B$7*$AK189*INDEX(個性タイプマスタ!$Q$5:$AA$54,$AE189,1)/$AG189,4))</f>
        <v>0.43859999999999999</v>
      </c>
      <c r="J189" s="9">
        <f>IF($H189&lt;&gt;"OK","",ROUND($G189*使い方と設定!$B$7*$AK189*INDEX(個性タイプマスタ!$Q$5:$AA$54,$AE189,2)/$AG189,4))</f>
        <v>0.64659999999999995</v>
      </c>
      <c r="K189" s="9">
        <f>IF($H189&lt;&gt;"OK","",ROUND($G189*使い方と設定!$B$7*$AK189*INDEX(個性タイプマスタ!$Q$5:$AA$54,$AE189,3)/$AG189,4))</f>
        <v>0.1278</v>
      </c>
      <c r="L189" s="9">
        <f>IF($H189&lt;&gt;"OK","",ROUND($G189*使い方と設定!$B$7*$AK189*INDEX(個性タイプマスタ!$Q$5:$AA$54,$AE189,4)/$AG189,4))</f>
        <v>1.2779</v>
      </c>
      <c r="M189" s="9">
        <f>IF($H189&lt;&gt;"OK","",ROUND($G189*使い方と設定!$B$7*$AK189*INDEX(個性タイプマスタ!$Q$5:$AA$54,$AE189,5)/$AG189,4))</f>
        <v>0.32590000000000002</v>
      </c>
      <c r="N189" s="9">
        <f>IF($H189&lt;&gt;"OK","",ROUND($G189*使い方と設定!$B$7*$AK189*INDEX(個性タイプマスタ!$Q$5:$AA$54,$AE189,6)/$AG189,4))</f>
        <v>0.34760000000000002</v>
      </c>
      <c r="O189" s="9">
        <f>IF($H189&lt;&gt;"OK","",ROUND($G189*使い方と設定!$B$7*$AK189*INDEX(個性タイプマスタ!$Q$5:$AA$54,$AE189,7)/$AG189,4))</f>
        <v>0.61850000000000005</v>
      </c>
      <c r="P189" s="9">
        <f>IF($H189&lt;&gt;"OK","",ROUND($G189*使い方と設定!$B$7*$AK189*INDEX(個性タイプマスタ!$Q$5:$AA$54,$AE189,8)/$AG189,4))</f>
        <v>0.36549999999999999</v>
      </c>
      <c r="Q189" s="9">
        <f>IF($H189&lt;&gt;"OK","",ROUND($G189*使い方と設定!$B$7*$AK189*INDEX(個性タイプマスタ!$Q$5:$AA$54,$AE189,9)/$AG189,4))</f>
        <v>0.24740000000000001</v>
      </c>
      <c r="R189" s="9">
        <f>IF($H189&lt;&gt;"OK","",ROUND($G189*使い方と設定!$B$7*$AK189*INDEX(個性タイプマスタ!$Q$5:$AA$54,$AE189,10)/$AG189,4))</f>
        <v>0.56230000000000002</v>
      </c>
      <c r="S189" s="9">
        <f>IF($H189&lt;&gt;"OK","",ROUND($G189*使い方と設定!$B$7*$AK189*INDEX(個性タイプマスタ!$Q$5:$AA$54,$AE189,11)/$AG189,4))</f>
        <v>0.39360000000000001</v>
      </c>
      <c r="T189" s="9">
        <f>IF($H189&lt;&gt;"OK","",ROUND($G189*使い方と設定!$B$8*$AK189*$AH189*INDEX(属性耐性マスタ!$B$5:$G$10,$AF189,1),4))</f>
        <v>3.5999999999999997E-2</v>
      </c>
      <c r="U189" s="9">
        <f>IF($H189&lt;&gt;"OK","",ROUND($G189*使い方と設定!$B$8*$AK189*$AH189*INDEX(属性耐性マスタ!$B$5:$G$10,$AF189,2),4))</f>
        <v>0.17979999999999999</v>
      </c>
      <c r="V189" s="9">
        <f>IF($H189&lt;&gt;"OK","",ROUND($G189*使い方と設定!$B$8*$AK189*$AH189*INDEX(属性耐性マスタ!$B$5:$G$10,$AF189,3),4))</f>
        <v>1.2E-2</v>
      </c>
      <c r="W189" s="9">
        <f>IF($H189&lt;&gt;"OK","",ROUND($G189*使い方と設定!$B$8*$AK189*$AH189*INDEX(属性耐性マスタ!$B$5:$G$10,$AF189,4),4))</f>
        <v>1.2E-2</v>
      </c>
      <c r="X189" s="9">
        <f>IF($H189&lt;&gt;"OK","",ROUND($G189*使い方と設定!$B$8*$AK189*$AH189*INDEX(属性耐性マスタ!$B$5:$G$10,$AF189,5),4))</f>
        <v>8.9999999999999993E-3</v>
      </c>
      <c r="Y189" s="9">
        <f>IF($H189&lt;&gt;"OK","",ROUND($G189*使い方と設定!$B$8*$AK189*$AH189*INDEX(属性耐性マスタ!$B$5:$G$10,$AF189,6),4))</f>
        <v>8.9999999999999993E-3</v>
      </c>
      <c r="Z189" s="9">
        <f>IF($H189&lt;&gt;"OK","",ROUND($G189*使い方と設定!$B$9*$AK189*$AI189,4))</f>
        <v>1.7243999999999999</v>
      </c>
      <c r="AA189" s="10">
        <v>0.9</v>
      </c>
      <c r="AB189" s="11">
        <f t="shared" si="7"/>
        <v>5.3517000000000001</v>
      </c>
      <c r="AC189" s="11">
        <f t="shared" si="8"/>
        <v>0.25779999999999997</v>
      </c>
      <c r="AD189" s="7" t="str">
        <f>IF($H189&lt;&gt;"OK","",INDEX(個性タイプマスタ!$P$5:$P$54,$AE189))</f>
        <v>火力偏重。反撃に弱い</v>
      </c>
      <c r="AE189">
        <f>IFERROR(MATCH(E189,個性タイプマスタ!$A$5:$A$54,0),0)</f>
        <v>9</v>
      </c>
      <c r="AF189">
        <f>IFERROR(MATCH(F189,属性耐性マスタ!$A$5:$A$10,0),0)</f>
        <v>2</v>
      </c>
      <c r="AG189">
        <f>IF(AE189=0,1,INDEX(個性タイプマスタ!$AB$5:$AB$54,AE189))</f>
        <v>10.4695</v>
      </c>
      <c r="AH189">
        <f>IF(AE189=0,1,INDEX(個性タイプマスタ!$AC$5:$AC$54,AE189))</f>
        <v>0.84</v>
      </c>
      <c r="AI189">
        <f>IF(AE189=0,0,INDEX(個性タイプマスタ!$AD$5:$AD$54,AE189))</f>
        <v>0.96666666666666667</v>
      </c>
      <c r="AJ189" s="16">
        <v>31</v>
      </c>
      <c r="AK189" s="17">
        <f>IF(OR(AJ189="",AJ189&lt;1),"",POWER(使い方と設定!$E$6,AJ189-1))</f>
        <v>3.2433975100275423</v>
      </c>
    </row>
    <row r="190" spans="1:37">
      <c r="A190" t="str">
        <f>+[2]称号!A185</f>
        <v>TITLE_184</v>
      </c>
      <c r="B190" t="str">
        <f>+[2]称号!B185</f>
        <v>氷翼夜行</v>
      </c>
      <c r="C190" t="s">
        <v>503</v>
      </c>
      <c r="D190" t="s">
        <v>504</v>
      </c>
      <c r="E190" s="2" t="str">
        <f>[1]モンスター計算!AM188</f>
        <v>近接・魔法盾</v>
      </c>
      <c r="F190" s="2" t="str">
        <f>[1]モンスター計算!C188</f>
        <v>水</v>
      </c>
      <c r="G190" s="8">
        <v>1.1499999999999999</v>
      </c>
      <c r="H190" t="str">
        <f t="shared" si="6"/>
        <v>OK</v>
      </c>
      <c r="I190" s="9">
        <f>IF($H190&lt;&gt;"OK","",ROUND($G190*使い方と設定!$B$7*$AK190*INDEX(個性タイプマスタ!$Q$5:$AA$54,$AE190,1)/$AG190,4))</f>
        <v>0.85850000000000004</v>
      </c>
      <c r="J190" s="9">
        <f>IF($H190&lt;&gt;"OK","",ROUND($G190*使い方と設定!$B$7*$AK190*INDEX(個性タイプマスタ!$Q$5:$AA$54,$AE190,2)/$AG190,4))</f>
        <v>0.29199999999999998</v>
      </c>
      <c r="K190" s="9">
        <f>IF($H190&lt;&gt;"OK","",ROUND($G190*使い方と設定!$B$7*$AK190*INDEX(個性タイプマスタ!$Q$5:$AA$54,$AE190,3)/$AG190,4))</f>
        <v>1.3272999999999999</v>
      </c>
      <c r="L190" s="9">
        <f>IF($H190&lt;&gt;"OK","",ROUND($G190*使い方と設定!$B$7*$AK190*INDEX(個性タイプマスタ!$Q$5:$AA$54,$AE190,4)/$AG190,4))</f>
        <v>0.1009</v>
      </c>
      <c r="M190" s="9">
        <f>IF($H190&lt;&gt;"OK","",ROUND($G190*使い方と設定!$B$7*$AK190*INDEX(個性タイプマスタ!$Q$5:$AA$54,$AE190,5)/$AG190,4))</f>
        <v>0.41520000000000001</v>
      </c>
      <c r="N190" s="9">
        <f>IF($H190&lt;&gt;"OK","",ROUND($G190*使い方と設定!$B$7*$AK190*INDEX(個性タイプマスタ!$Q$5:$AA$54,$AE190,6)/$AG190,4))</f>
        <v>0.99280000000000002</v>
      </c>
      <c r="O190" s="9">
        <f>IF($H190&lt;&gt;"OK","",ROUND($G190*使い方と設定!$B$7*$AK190*INDEX(個性タイプマスタ!$Q$5:$AA$54,$AE190,7)/$AG190,4))</f>
        <v>0.29199999999999998</v>
      </c>
      <c r="P190" s="9">
        <f>IF($H190&lt;&gt;"OK","",ROUND($G190*使い方と設定!$B$7*$AK190*INDEX(個性タイプマスタ!$Q$5:$AA$54,$AE190,8)/$AG190,4))</f>
        <v>0.34510000000000002</v>
      </c>
      <c r="Q190" s="9">
        <f>IF($H190&lt;&gt;"OK","",ROUND($G190*使い方と設定!$B$7*$AK190*INDEX(個性タイプマスタ!$Q$5:$AA$54,$AE190,9)/$AG190,4))</f>
        <v>0.2394</v>
      </c>
      <c r="R190" s="9">
        <f>IF($H190&lt;&gt;"OK","",ROUND($G190*使い方と設定!$B$7*$AK190*INDEX(個性タイプマスタ!$Q$5:$AA$54,$AE190,10)/$AG190,4))</f>
        <v>0.4194</v>
      </c>
      <c r="S190" s="9">
        <f>IF($H190&lt;&gt;"OK","",ROUND($G190*使い方と設定!$B$7*$AK190*INDEX(個性タイプマスタ!$Q$5:$AA$54,$AE190,11)/$AG190,4))</f>
        <v>0.31219999999999998</v>
      </c>
      <c r="T190" s="9">
        <f>IF($H190&lt;&gt;"OK","",ROUND($G190*使い方と設定!$B$8*$AK190*$AH190*INDEX(属性耐性マスタ!$B$5:$G$10,$AF190,1),4))</f>
        <v>5.7299999999999997E-2</v>
      </c>
      <c r="U190" s="9">
        <f>IF($H190&lt;&gt;"OK","",ROUND($G190*使い方と設定!$B$8*$AK190*$AH190*INDEX(属性耐性マスタ!$B$5:$G$10,$AF190,2),4))</f>
        <v>0.28649999999999998</v>
      </c>
      <c r="V190" s="9">
        <f>IF($H190&lt;&gt;"OK","",ROUND($G190*使い方と設定!$B$8*$AK190*$AH190*INDEX(属性耐性マスタ!$B$5:$G$10,$AF190,3),4))</f>
        <v>1.9099999999999999E-2</v>
      </c>
      <c r="W190" s="9">
        <f>IF($H190&lt;&gt;"OK","",ROUND($G190*使い方と設定!$B$8*$AK190*$AH190*INDEX(属性耐性マスタ!$B$5:$G$10,$AF190,4),4))</f>
        <v>1.9099999999999999E-2</v>
      </c>
      <c r="X190" s="9">
        <f>IF($H190&lt;&gt;"OK","",ROUND($G190*使い方と設定!$B$8*$AK190*$AH190*INDEX(属性耐性マスタ!$B$5:$G$10,$AF190,5),4))</f>
        <v>1.43E-2</v>
      </c>
      <c r="Y190" s="9">
        <f>IF($H190&lt;&gt;"OK","",ROUND($G190*使い方と設定!$B$8*$AK190*$AH190*INDEX(属性耐性マスタ!$B$5:$G$10,$AF190,6),4))</f>
        <v>1.43E-2</v>
      </c>
      <c r="Z190" s="9">
        <f>IF($H190&lt;&gt;"OK","",ROUND($G190*使い方と設定!$B$9*$AK190*$AI190,4))</f>
        <v>1.7562</v>
      </c>
      <c r="AA190" s="10">
        <v>0.55000000000000004</v>
      </c>
      <c r="AB190" s="11">
        <f t="shared" si="7"/>
        <v>5.5948000000000002</v>
      </c>
      <c r="AC190" s="11">
        <f t="shared" si="8"/>
        <v>0.41060000000000002</v>
      </c>
      <c r="AD190" s="7" t="str">
        <f>IF($H190&lt;&gt;"OK","",INDEX(個性タイプマスタ!$P$5:$P$54,$AE190))</f>
        <v>魔法耐久を重視した近接</v>
      </c>
      <c r="AE190">
        <f>IFERROR(MATCH(E190,個性タイプマスタ!$A$5:$A$54,0),0)</f>
        <v>38</v>
      </c>
      <c r="AF190">
        <f>IFERROR(MATCH(F190,属性耐性マスタ!$A$5:$A$10,0),0)</f>
        <v>2</v>
      </c>
      <c r="AG190">
        <f>IF(AE190=0,1,INDEX(個性タイプマスタ!$AB$5:$AB$54,AE190))</f>
        <v>10.538000000000002</v>
      </c>
      <c r="AH190">
        <f>IF(AE190=0,1,INDEX(個性タイプマスタ!$AC$5:$AC$54,AE190))</f>
        <v>1.28</v>
      </c>
      <c r="AI190">
        <f>IF(AE190=0,0,INDEX(個性タイプマスタ!$AD$5:$AD$54,AE190))</f>
        <v>0.94166666666666665</v>
      </c>
      <c r="AJ190" s="16">
        <v>31</v>
      </c>
      <c r="AK190" s="17">
        <f>IF(OR(AJ190="",AJ190&lt;1),"",POWER(使い方と設定!$E$6,AJ190-1))</f>
        <v>3.2433975100275423</v>
      </c>
    </row>
    <row r="191" spans="1:37">
      <c r="A191" t="str">
        <f>+[2]称号!A186</f>
        <v>TITLE_185</v>
      </c>
      <c r="B191" t="str">
        <f>+[2]称号!B186</f>
        <v>霜巨踏破</v>
      </c>
      <c r="C191" t="s">
        <v>505</v>
      </c>
      <c r="D191" t="s">
        <v>506</v>
      </c>
      <c r="E191" s="2" t="str">
        <f>[1]モンスター計算!AM189</f>
        <v>近接・巨体</v>
      </c>
      <c r="F191" s="2" t="str">
        <f>[1]モンスター計算!C189</f>
        <v>水</v>
      </c>
      <c r="G191" s="8">
        <v>1.2</v>
      </c>
      <c r="H191" t="str">
        <f t="shared" si="6"/>
        <v>OK</v>
      </c>
      <c r="I191" s="9">
        <f>IF($H191&lt;&gt;"OK","",ROUND($G191*使い方と設定!$B$7*$AK191*INDEX(個性タイプマスタ!$Q$5:$AA$54,$AE191,1)/$AG191,4))</f>
        <v>1.3264</v>
      </c>
      <c r="J191" s="9">
        <f>IF($H191&lt;&gt;"OK","",ROUND($G191*使い方と設定!$B$7*$AK191*INDEX(個性タイプマスタ!$Q$5:$AA$54,$AE191,2)/$AG191,4))</f>
        <v>0.19409999999999999</v>
      </c>
      <c r="K191" s="9">
        <f>IF($H191&lt;&gt;"OK","",ROUND($G191*使い方と設定!$B$7*$AK191*INDEX(個性タイプマスタ!$Q$5:$AA$54,$AE191,3)/$AG191,4))</f>
        <v>1.4705999999999999</v>
      </c>
      <c r="L191" s="9">
        <f>IF($H191&lt;&gt;"OK","",ROUND($G191*使い方と設定!$B$7*$AK191*INDEX(個性タイプマスタ!$Q$5:$AA$54,$AE191,4)/$AG191,4))</f>
        <v>0.13239999999999999</v>
      </c>
      <c r="M191" s="9">
        <f>IF($H191&lt;&gt;"OK","",ROUND($G191*使い方と設定!$B$7*$AK191*INDEX(個性タイプマスタ!$Q$5:$AA$54,$AE191,5)/$AG191,4))</f>
        <v>0.76</v>
      </c>
      <c r="N191" s="9">
        <f>IF($H191&lt;&gt;"OK","",ROUND($G191*使い方と設定!$B$7*$AK191*INDEX(個性タイプマスタ!$Q$5:$AA$54,$AE191,6)/$AG191,4))</f>
        <v>0.65</v>
      </c>
      <c r="O191" s="9">
        <f>IF($H191&lt;&gt;"OK","",ROUND($G191*使い方と設定!$B$7*$AK191*INDEX(個性タイプマスタ!$Q$5:$AA$54,$AE191,7)/$AG191,4))</f>
        <v>0.1618</v>
      </c>
      <c r="P191" s="9">
        <f>IF($H191&lt;&gt;"OK","",ROUND($G191*使い方と設定!$B$7*$AK191*INDEX(個性タイプマスタ!$Q$5:$AA$54,$AE191,8)/$AG191,4))</f>
        <v>0.34410000000000002</v>
      </c>
      <c r="Q191" s="9">
        <f>IF($H191&lt;&gt;"OK","",ROUND($G191*使い方と設定!$B$7*$AK191*INDEX(個性タイプマスタ!$Q$5:$AA$54,$AE191,9)/$AG191,4))</f>
        <v>0.14879999999999999</v>
      </c>
      <c r="R191" s="9">
        <f>IF($H191&lt;&gt;"OK","",ROUND($G191*使い方と設定!$B$7*$AK191*INDEX(個性タイプマスタ!$Q$5:$AA$54,$AE191,10)/$AG191,4))</f>
        <v>0.3</v>
      </c>
      <c r="S191" s="9">
        <f>IF($H191&lt;&gt;"OK","",ROUND($G191*使い方と設定!$B$7*$AK191*INDEX(個性タイプマスタ!$Q$5:$AA$54,$AE191,11)/$AG191,4))</f>
        <v>0.35</v>
      </c>
      <c r="T191" s="9">
        <f>IF($H191&lt;&gt;"OK","",ROUND($G191*使い方と設定!$B$8*$AK191*$AH191*INDEX(属性耐性マスタ!$B$5:$G$10,$AF191,1),4))</f>
        <v>5.6000000000000001E-2</v>
      </c>
      <c r="U191" s="9">
        <f>IF($H191&lt;&gt;"OK","",ROUND($G191*使い方と設定!$B$8*$AK191*$AH191*INDEX(属性耐性マスタ!$B$5:$G$10,$AF191,2),4))</f>
        <v>0.2802</v>
      </c>
      <c r="V191" s="9">
        <f>IF($H191&lt;&gt;"OK","",ROUND($G191*使い方と設定!$B$8*$AK191*$AH191*INDEX(属性耐性マスタ!$B$5:$G$10,$AF191,3),4))</f>
        <v>1.8700000000000001E-2</v>
      </c>
      <c r="W191" s="9">
        <f>IF($H191&lt;&gt;"OK","",ROUND($G191*使い方と設定!$B$8*$AK191*$AH191*INDEX(属性耐性マスタ!$B$5:$G$10,$AF191,4),4))</f>
        <v>1.8700000000000001E-2</v>
      </c>
      <c r="X191" s="9">
        <f>IF($H191&lt;&gt;"OK","",ROUND($G191*使い方と設定!$B$8*$AK191*$AH191*INDEX(属性耐性マスタ!$B$5:$G$10,$AF191,5),4))</f>
        <v>1.4E-2</v>
      </c>
      <c r="Y191" s="9">
        <f>IF($H191&lt;&gt;"OK","",ROUND($G191*使い方と設定!$B$8*$AK191*$AH191*INDEX(属性耐性マスタ!$B$5:$G$10,$AF191,6),4))</f>
        <v>1.4E-2</v>
      </c>
      <c r="Z191" s="9">
        <f>IF($H191&lt;&gt;"OK","",ROUND($G191*使い方と設定!$B$9*$AK191*$AI191,4))</f>
        <v>1.5406</v>
      </c>
      <c r="AA191" s="10">
        <v>0.5</v>
      </c>
      <c r="AB191" s="11">
        <f t="shared" si="7"/>
        <v>5.8381999999999996</v>
      </c>
      <c r="AC191" s="11">
        <f t="shared" si="8"/>
        <v>0.40160000000000001</v>
      </c>
      <c r="AD191" s="7" t="str">
        <f>IF($H191&lt;&gt;"OK","",INDEX(個性タイプマスタ!$P$5:$P$54,$AE191))</f>
        <v>巨大なHPと極端な鈍足</v>
      </c>
      <c r="AE191">
        <f>IFERROR(MATCH(E191,個性タイプマスタ!$A$5:$A$54,0),0)</f>
        <v>45</v>
      </c>
      <c r="AF191">
        <f>IFERROR(MATCH(F191,属性耐性マスタ!$A$5:$A$10,0),0)</f>
        <v>2</v>
      </c>
      <c r="AG191">
        <f>IF(AE191=0,1,INDEX(個性タイプマスタ!$AB$5:$AB$54,AE191))</f>
        <v>9.9250000000000007</v>
      </c>
      <c r="AH191">
        <f>IF(AE191=0,1,INDEX(個性タイプマスタ!$AC$5:$AC$54,AE191))</f>
        <v>1.2</v>
      </c>
      <c r="AI191">
        <f>IF(AE191=0,0,INDEX(個性タイプマスタ!$AD$5:$AD$54,AE191))</f>
        <v>0.79166666666666663</v>
      </c>
      <c r="AJ191" s="16">
        <v>31</v>
      </c>
      <c r="AK191" s="17">
        <f>IF(OR(AJ191="",AJ191&lt;1),"",POWER(使い方と設定!$E$6,AJ191-1))</f>
        <v>3.2433975100275423</v>
      </c>
    </row>
    <row r="192" spans="1:37">
      <c r="A192" t="str">
        <f>+[2]称号!A187</f>
        <v>TITLE_186</v>
      </c>
      <c r="B192" t="str">
        <f>+[2]称号!B187</f>
        <v>氷王覇者</v>
      </c>
      <c r="C192" t="s">
        <v>507</v>
      </c>
      <c r="D192" t="s">
        <v>508</v>
      </c>
      <c r="E192" s="2" t="str">
        <f>[1]モンスター計算!AM190</f>
        <v>魔法・均衡</v>
      </c>
      <c r="F192" s="2" t="str">
        <f>[1]モンスター計算!C190</f>
        <v>水</v>
      </c>
      <c r="G192" s="8">
        <v>1.25</v>
      </c>
      <c r="H192" t="str">
        <f t="shared" si="6"/>
        <v>OK</v>
      </c>
      <c r="I192" s="9">
        <f>IF($H192&lt;&gt;"OK","",ROUND($G192*使い方と設定!$B$7*$AK192*INDEX(個性タイプマスタ!$Q$5:$AA$54,$AE192,1)/$AG192,4))</f>
        <v>0.61839999999999995</v>
      </c>
      <c r="J192" s="9">
        <f>IF($H192&lt;&gt;"OK","",ROUND($G192*使い方と設定!$B$7*$AK192*INDEX(個性タイプマスタ!$Q$5:$AA$54,$AE192,2)/$AG192,4))</f>
        <v>0.67220000000000002</v>
      </c>
      <c r="K192" s="9">
        <f>IF($H192&lt;&gt;"OK","",ROUND($G192*使い方と設定!$B$7*$AK192*INDEX(個性タイプマスタ!$Q$5:$AA$54,$AE192,3)/$AG192,4))</f>
        <v>0.15279999999999999</v>
      </c>
      <c r="L192" s="9">
        <f>IF($H192&lt;&gt;"OK","",ROUND($G192*使い方と設定!$B$7*$AK192*INDEX(個性タイプマスタ!$Q$5:$AA$54,$AE192,4)/$AG192,4))</f>
        <v>1.5277000000000001</v>
      </c>
      <c r="M192" s="9">
        <f>IF($H192&lt;&gt;"OK","",ROUND($G192*使い方と設定!$B$7*$AK192*INDEX(個性タイプマスタ!$Q$5:$AA$54,$AE192,5)/$AG192,4))</f>
        <v>0.49340000000000001</v>
      </c>
      <c r="N192" s="9">
        <f>IF($H192&lt;&gt;"OK","",ROUND($G192*使い方と設定!$B$7*$AK192*INDEX(個性タイプマスタ!$Q$5:$AA$54,$AE192,6)/$AG192,4))</f>
        <v>0.5454</v>
      </c>
      <c r="O192" s="9">
        <f>IF($H192&lt;&gt;"OK","",ROUND($G192*使い方と設定!$B$7*$AK192*INDEX(個性タイプマスタ!$Q$5:$AA$54,$AE192,7)/$AG192,4))</f>
        <v>0.33610000000000001</v>
      </c>
      <c r="P192" s="9">
        <f>IF($H192&lt;&gt;"OK","",ROUND($G192*使い方と設定!$B$7*$AK192*INDEX(個性タイプマスタ!$Q$5:$AA$54,$AE192,8)/$AG192,4))</f>
        <v>0.3972</v>
      </c>
      <c r="Q192" s="9">
        <f>IF($H192&lt;&gt;"OK","",ROUND($G192*使い方と設定!$B$7*$AK192*INDEX(個性タイプマスタ!$Q$5:$AA$54,$AE192,9)/$AG192,4))</f>
        <v>0.26889999999999997</v>
      </c>
      <c r="R192" s="9">
        <f>IF($H192&lt;&gt;"OK","",ROUND($G192*使い方と設定!$B$7*$AK192*INDEX(個性タイプマスタ!$Q$5:$AA$54,$AE192,10)/$AG192,4))</f>
        <v>0.64159999999999995</v>
      </c>
      <c r="S192" s="9">
        <f>IF($H192&lt;&gt;"OK","",ROUND($G192*使い方と設定!$B$7*$AK192*INDEX(個性タイプマスタ!$Q$5:$AA$54,$AE192,11)/$AG192,4))</f>
        <v>0.42770000000000002</v>
      </c>
      <c r="T192" s="9">
        <f>IF($H192&lt;&gt;"OK","",ROUND($G192*使い方と設定!$B$8*$AK192*$AH192*INDEX(属性耐性マスタ!$B$5:$G$10,$AF192,1),4))</f>
        <v>4.87E-2</v>
      </c>
      <c r="U192" s="9">
        <f>IF($H192&lt;&gt;"OK","",ROUND($G192*使い方と設定!$B$8*$AK192*$AH192*INDEX(属性耐性マスタ!$B$5:$G$10,$AF192,2),4))</f>
        <v>0.24329999999999999</v>
      </c>
      <c r="V192" s="9">
        <f>IF($H192&lt;&gt;"OK","",ROUND($G192*使い方と設定!$B$8*$AK192*$AH192*INDEX(属性耐性マスタ!$B$5:$G$10,$AF192,3),4))</f>
        <v>1.6199999999999999E-2</v>
      </c>
      <c r="W192" s="9">
        <f>IF($H192&lt;&gt;"OK","",ROUND($G192*使い方と設定!$B$8*$AK192*$AH192*INDEX(属性耐性マスタ!$B$5:$G$10,$AF192,4),4))</f>
        <v>1.6199999999999999E-2</v>
      </c>
      <c r="X192" s="9">
        <f>IF($H192&lt;&gt;"OK","",ROUND($G192*使い方と設定!$B$8*$AK192*$AH192*INDEX(属性耐性マスタ!$B$5:$G$10,$AF192,5),4))</f>
        <v>1.2200000000000001E-2</v>
      </c>
      <c r="Y192" s="9">
        <f>IF($H192&lt;&gt;"OK","",ROUND($G192*使い方と設定!$B$8*$AK192*$AH192*INDEX(属性耐性マスタ!$B$5:$G$10,$AF192,6),4))</f>
        <v>1.2200000000000001E-2</v>
      </c>
      <c r="Z192" s="9">
        <f>IF($H192&lt;&gt;"OK","",ROUND($G192*使い方と設定!$B$9*$AK192*$AI192,4))</f>
        <v>1.8919999999999999</v>
      </c>
      <c r="AA192" s="10">
        <v>0.25</v>
      </c>
      <c r="AB192" s="11">
        <f t="shared" si="7"/>
        <v>6.0814000000000004</v>
      </c>
      <c r="AC192" s="11">
        <f t="shared" si="8"/>
        <v>0.3488</v>
      </c>
      <c r="AD192" s="7" t="str">
        <f>IF($H192&lt;&gt;"OK","",INDEX(個性タイプマスタ!$P$5:$P$54,$AE192))</f>
        <v>標準的な魔法型</v>
      </c>
      <c r="AE192">
        <f>IFERROR(MATCH(E192,個性タイプマスタ!$A$5:$A$54,0),0)</f>
        <v>2</v>
      </c>
      <c r="AF192">
        <f>IFERROR(MATCH(F192,属性耐性マスタ!$A$5:$A$10,0),0)</f>
        <v>2</v>
      </c>
      <c r="AG192">
        <f>IF(AE192=0,1,INDEX(個性タイプマスタ!$AB$5:$AB$54,AE192))</f>
        <v>9.952</v>
      </c>
      <c r="AH192">
        <f>IF(AE192=0,1,INDEX(個性タイプマスタ!$AC$5:$AC$54,AE192))</f>
        <v>1</v>
      </c>
      <c r="AI192">
        <f>IF(AE192=0,0,INDEX(個性タイプマスタ!$AD$5:$AD$54,AE192))</f>
        <v>0.93333333333333335</v>
      </c>
      <c r="AJ192" s="16">
        <v>31</v>
      </c>
      <c r="AK192" s="17">
        <f>IF(OR(AJ192="",AJ192&lt;1),"",POWER(使い方と設定!$E$6,AJ192-1))</f>
        <v>3.2433975100275423</v>
      </c>
    </row>
    <row r="193" spans="1:37">
      <c r="A193" t="str">
        <f>+[2]称号!A188</f>
        <v>TITLE_187</v>
      </c>
      <c r="B193" t="str">
        <f>+[2]称号!B188</f>
        <v>刃翼の疾風</v>
      </c>
      <c r="C193" t="s">
        <v>509</v>
      </c>
      <c r="D193" t="s">
        <v>510</v>
      </c>
      <c r="E193" s="2" t="str">
        <f>[1]モンスター計算!AM191</f>
        <v>魔法・疾走</v>
      </c>
      <c r="F193" s="2" t="str">
        <f>[1]モンスター計算!C191</f>
        <v>風</v>
      </c>
      <c r="G193" s="8">
        <v>1</v>
      </c>
      <c r="H193" t="str">
        <f t="shared" si="6"/>
        <v>OK</v>
      </c>
      <c r="I193" s="9">
        <f>IF($H193&lt;&gt;"OK","",ROUND($G193*使い方と設定!$B$7*$AK193*INDEX(個性タイプマスタ!$Q$5:$AA$54,$AE193,1)/$AG193,4))</f>
        <v>0.42370000000000002</v>
      </c>
      <c r="J193" s="9">
        <f>IF($H193&lt;&gt;"OK","",ROUND($G193*使い方と設定!$B$7*$AK193*INDEX(個性タイプマスタ!$Q$5:$AA$54,$AE193,2)/$AG193,4))</f>
        <v>0.48270000000000002</v>
      </c>
      <c r="K193" s="9">
        <f>IF($H193&lt;&gt;"OK","",ROUND($G193*使い方と設定!$B$7*$AK193*INDEX(個性タイプマスタ!$Q$5:$AA$54,$AE193,3)/$AG193,4))</f>
        <v>6.4600000000000005E-2</v>
      </c>
      <c r="L193" s="9">
        <f>IF($H193&lt;&gt;"OK","",ROUND($G193*使い方と設定!$B$7*$AK193*INDEX(個性タイプマスタ!$Q$5:$AA$54,$AE193,4)/$AG193,4))</f>
        <v>1.2189000000000001</v>
      </c>
      <c r="M193" s="9">
        <f>IF($H193&lt;&gt;"OK","",ROUND($G193*使い方と設定!$B$7*$AK193*INDEX(個性タイプマスタ!$Q$5:$AA$54,$AE193,5)/$AG193,4))</f>
        <v>0.3523</v>
      </c>
      <c r="N193" s="9">
        <f>IF($H193&lt;&gt;"OK","",ROUND($G193*使い方と設定!$B$7*$AK193*INDEX(個性タイプマスタ!$Q$5:$AA$54,$AE193,6)/$AG193,4))</f>
        <v>0.3357</v>
      </c>
      <c r="O193" s="9">
        <f>IF($H193&lt;&gt;"OK","",ROUND($G193*使い方と設定!$B$7*$AK193*INDEX(個性タイプマスタ!$Q$5:$AA$54,$AE193,7)/$AG193,4))</f>
        <v>0.34860000000000002</v>
      </c>
      <c r="P193" s="9">
        <f>IF($H193&lt;&gt;"OK","",ROUND($G193*使い方と設定!$B$7*$AK193*INDEX(個性タイプマスタ!$Q$5:$AA$54,$AE193,8)/$AG193,4))</f>
        <v>0.30630000000000002</v>
      </c>
      <c r="Q193" s="9">
        <f>IF($H193&lt;&gt;"OK","",ROUND($G193*使い方と設定!$B$7*$AK193*INDEX(個性タイプマスタ!$Q$5:$AA$54,$AE193,9)/$AG193,4))</f>
        <v>0.42899999999999999</v>
      </c>
      <c r="R193" s="9">
        <f>IF($H193&lt;&gt;"OK","",ROUND($G193*使い方と設定!$B$7*$AK193*INDEX(個性タイプマスタ!$Q$5:$AA$54,$AE193,10)/$AG193,4))</f>
        <v>0.83860000000000001</v>
      </c>
      <c r="S193" s="9">
        <f>IF($H193&lt;&gt;"OK","",ROUND($G193*使い方と設定!$B$7*$AK193*INDEX(個性タイプマスタ!$Q$5:$AA$54,$AE193,11)/$AG193,4))</f>
        <v>0.25940000000000002</v>
      </c>
      <c r="T193" s="9">
        <f>IF($H193&lt;&gt;"OK","",ROUND($G193*使い方と設定!$B$8*$AK193*$AH193*INDEX(属性耐性マスタ!$B$5:$G$10,$AF193,1),4))</f>
        <v>9.7000000000000003E-3</v>
      </c>
      <c r="U193" s="9">
        <f>IF($H193&lt;&gt;"OK","",ROUND($G193*使い方と設定!$B$8*$AK193*$AH193*INDEX(属性耐性マスタ!$B$5:$G$10,$AF193,2),4))</f>
        <v>9.7000000000000003E-3</v>
      </c>
      <c r="V193" s="9">
        <f>IF($H193&lt;&gt;"OK","",ROUND($G193*使い方と設定!$B$8*$AK193*$AH193*INDEX(属性耐性マスタ!$B$5:$G$10,$AF193,3),4))</f>
        <v>0.1457</v>
      </c>
      <c r="W193" s="9">
        <f>IF($H193&lt;&gt;"OK","",ROUND($G193*使い方と設定!$B$8*$AK193*$AH193*INDEX(属性耐性マスタ!$B$5:$G$10,$AF193,4),4))</f>
        <v>3.6400000000000002E-2</v>
      </c>
      <c r="X193" s="9">
        <f>IF($H193&lt;&gt;"OK","",ROUND($G193*使い方と設定!$B$8*$AK193*$AH193*INDEX(属性耐性マスタ!$B$5:$G$10,$AF193,5),4))</f>
        <v>7.3000000000000001E-3</v>
      </c>
      <c r="Y193" s="9">
        <f>IF($H193&lt;&gt;"OK","",ROUND($G193*使い方と設定!$B$8*$AK193*$AH193*INDEX(属性耐性マスタ!$B$5:$G$10,$AF193,6),4))</f>
        <v>7.3000000000000001E-3</v>
      </c>
      <c r="Z193" s="9">
        <f>IF($H193&lt;&gt;"OK","",ROUND($G193*使い方と設定!$B$9*$AK193*$AI193,4))</f>
        <v>2.1362999999999999</v>
      </c>
      <c r="AA193" s="10">
        <v>1</v>
      </c>
      <c r="AB193" s="11">
        <f t="shared" si="7"/>
        <v>5.0598000000000001</v>
      </c>
      <c r="AC193" s="11">
        <f t="shared" si="8"/>
        <v>0.21609999999999999</v>
      </c>
      <c r="AD193" s="7" t="str">
        <f>IF($H193&lt;&gt;"OK","",INDEX(個性タイプマスタ!$P$5:$P$54,$AE193))</f>
        <v>移動と攻撃速度に特化</v>
      </c>
      <c r="AE193">
        <f>IFERROR(MATCH(E193,個性タイプマスタ!$A$5:$A$54,0),0)</f>
        <v>29</v>
      </c>
      <c r="AF193">
        <f>IFERROR(MATCH(F193,属性耐性マスタ!$A$5:$A$10,0),0)</f>
        <v>3</v>
      </c>
      <c r="AG193">
        <f>IF(AE193=0,1,INDEX(個性タイプマスタ!$AB$5:$AB$54,AE193))</f>
        <v>10.377833333333335</v>
      </c>
      <c r="AH193">
        <f>IF(AE193=0,1,INDEX(個性タイプマスタ!$AC$5:$AC$54,AE193))</f>
        <v>0.72</v>
      </c>
      <c r="AI193">
        <f>IF(AE193=0,0,INDEX(個性タイプマスタ!$AD$5:$AD$54,AE193))</f>
        <v>1.2666666666666666</v>
      </c>
      <c r="AJ193" s="16">
        <v>32</v>
      </c>
      <c r="AK193" s="17">
        <f>IF(OR(AJ193="",AJ193&lt;1),"",POWER(使い方と設定!$E$6,AJ193-1))</f>
        <v>3.3731334104286441</v>
      </c>
    </row>
    <row r="194" spans="1:37">
      <c r="A194" t="str">
        <f>+[2]称号!A189</f>
        <v>TITLE_188</v>
      </c>
      <c r="B194" t="str">
        <f>+[2]称号!B189</f>
        <v>峡影の潜徒</v>
      </c>
      <c r="C194" t="s">
        <v>511</v>
      </c>
      <c r="D194" t="s">
        <v>512</v>
      </c>
      <c r="E194" s="2" t="str">
        <f>[1]モンスター計算!AM192</f>
        <v>魔法・最終層</v>
      </c>
      <c r="F194" s="2" t="str">
        <f>[1]モンスター計算!C192</f>
        <v>風</v>
      </c>
      <c r="G194" s="8">
        <v>1.05</v>
      </c>
      <c r="H194" t="str">
        <f t="shared" si="6"/>
        <v>OK</v>
      </c>
      <c r="I194" s="9">
        <f>IF($H194&lt;&gt;"OK","",ROUND($G194*使い方と設定!$B$7*$AK194*INDEX(個性タイプマスタ!$Q$5:$AA$54,$AE194,1)/$AG194,4))</f>
        <v>0.64410000000000001</v>
      </c>
      <c r="J194" s="9">
        <f>IF($H194&lt;&gt;"OK","",ROUND($G194*使い方と設定!$B$7*$AK194*INDEX(個性タイプマスタ!$Q$5:$AA$54,$AE194,2)/$AG194,4))</f>
        <v>0.53680000000000005</v>
      </c>
      <c r="K194" s="9">
        <f>IF($H194&lt;&gt;"OK","",ROUND($G194*使い方と設定!$B$7*$AK194*INDEX(個性タイプマスタ!$Q$5:$AA$54,$AE194,3)/$AG194,4))</f>
        <v>0.122</v>
      </c>
      <c r="L194" s="9">
        <f>IF($H194&lt;&gt;"OK","",ROUND($G194*使い方と設定!$B$7*$AK194*INDEX(個性タイプマスタ!$Q$5:$AA$54,$AE194,4)/$AG194,4))</f>
        <v>1.22</v>
      </c>
      <c r="M194" s="9">
        <f>IF($H194&lt;&gt;"OK","",ROUND($G194*使い方と設定!$B$7*$AK194*INDEX(個性タイプマスタ!$Q$5:$AA$54,$AE194,5)/$AG194,4))</f>
        <v>0.53920000000000001</v>
      </c>
      <c r="N194" s="9">
        <f>IF($H194&lt;&gt;"OK","",ROUND($G194*使い方と設定!$B$7*$AK194*INDEX(個性タイプマスタ!$Q$5:$AA$54,$AE194,6)/$AG194,4))</f>
        <v>0.35260000000000002</v>
      </c>
      <c r="O194" s="9">
        <f>IF($H194&lt;&gt;"OK","",ROUND($G194*使い方と設定!$B$7*$AK194*INDEX(個性タイプマスタ!$Q$5:$AA$54,$AE194,7)/$AG194,4))</f>
        <v>0.4294</v>
      </c>
      <c r="P194" s="9">
        <f>IF($H194&lt;&gt;"OK","",ROUND($G194*使い方と設定!$B$7*$AK194*INDEX(個性タイプマスタ!$Q$5:$AA$54,$AE194,8)/$AG194,4))</f>
        <v>0.33829999999999999</v>
      </c>
      <c r="Q194" s="9">
        <f>IF($H194&lt;&gt;"OK","",ROUND($G194*使い方と設定!$B$7*$AK194*INDEX(個性タイプマスタ!$Q$5:$AA$54,$AE194,9)/$AG194,4))</f>
        <v>0.30059999999999998</v>
      </c>
      <c r="R194" s="9">
        <f>IF($H194&lt;&gt;"OK","",ROUND($G194*使い方と設定!$B$7*$AK194*INDEX(個性タイプマスタ!$Q$5:$AA$54,$AE194,10)/$AG194,4))</f>
        <v>0.48799999999999999</v>
      </c>
      <c r="S194" s="9">
        <f>IF($H194&lt;&gt;"OK","",ROUND($G194*使い方と設定!$B$7*$AK194*INDEX(個性タイプマスタ!$Q$5:$AA$54,$AE194,11)/$AG194,4))</f>
        <v>0.34160000000000001</v>
      </c>
      <c r="T194" s="9">
        <f>IF($H194&lt;&gt;"OK","",ROUND($G194*使い方と設定!$B$8*$AK194*$AH194*INDEX(属性耐性マスタ!$B$5:$G$10,$AF194,1),4))</f>
        <v>1.4999999999999999E-2</v>
      </c>
      <c r="U194" s="9">
        <f>IF($H194&lt;&gt;"OK","",ROUND($G194*使い方と設定!$B$8*$AK194*$AH194*INDEX(属性耐性マスタ!$B$5:$G$10,$AF194,2),4))</f>
        <v>1.4999999999999999E-2</v>
      </c>
      <c r="V194" s="9">
        <f>IF($H194&lt;&gt;"OK","",ROUND($G194*使い方と設定!$B$8*$AK194*$AH194*INDEX(属性耐性マスタ!$B$5:$G$10,$AF194,3),4))</f>
        <v>0.2253</v>
      </c>
      <c r="W194" s="9">
        <f>IF($H194&lt;&gt;"OK","",ROUND($G194*使い方と設定!$B$8*$AK194*$AH194*INDEX(属性耐性マスタ!$B$5:$G$10,$AF194,4),4))</f>
        <v>5.6300000000000003E-2</v>
      </c>
      <c r="X194" s="9">
        <f>IF($H194&lt;&gt;"OK","",ROUND($G194*使い方と設定!$B$8*$AK194*$AH194*INDEX(属性耐性マスタ!$B$5:$G$10,$AF194,5),4))</f>
        <v>1.1299999999999999E-2</v>
      </c>
      <c r="Y194" s="9">
        <f>IF($H194&lt;&gt;"OK","",ROUND($G194*使い方と設定!$B$8*$AK194*$AH194*INDEX(属性耐性マスタ!$B$5:$G$10,$AF194,6),4))</f>
        <v>1.1299999999999999E-2</v>
      </c>
      <c r="Z194" s="9">
        <f>IF($H194&lt;&gt;"OK","",ROUND($G194*使い方と設定!$B$9*$AK194*$AI194,4))</f>
        <v>1.889</v>
      </c>
      <c r="AA194" s="10">
        <v>1</v>
      </c>
      <c r="AB194" s="11">
        <f t="shared" si="7"/>
        <v>5.3125999999999998</v>
      </c>
      <c r="AC194" s="11">
        <f t="shared" si="8"/>
        <v>0.3342</v>
      </c>
      <c r="AD194" s="7" t="str">
        <f>IF($H194&lt;&gt;"OK","",INDEX(個性タイプマスタ!$P$5:$P$54,$AE194))</f>
        <v>終盤魔法の特別配分</v>
      </c>
      <c r="AE194">
        <f>IFERROR(MATCH(E194,個性タイプマスタ!$A$5:$A$54,0),0)</f>
        <v>8</v>
      </c>
      <c r="AF194">
        <f>IFERROR(MATCH(F194,属性耐性マスタ!$A$5:$A$10,0),0)</f>
        <v>3</v>
      </c>
      <c r="AG194">
        <f>IF(AE194=0,1,INDEX(個性タイプマスタ!$AB$5:$AB$54,AE194))</f>
        <v>10.886833333333332</v>
      </c>
      <c r="AH194">
        <f>IF(AE194=0,1,INDEX(個性タイプマスタ!$AC$5:$AC$54,AE194))</f>
        <v>1.06</v>
      </c>
      <c r="AI194">
        <f>IF(AE194=0,0,INDEX(個性タイプマスタ!$AD$5:$AD$54,AE194))</f>
        <v>1.0666666666666667</v>
      </c>
      <c r="AJ194" s="16">
        <v>32</v>
      </c>
      <c r="AK194" s="17">
        <f>IF(OR(AJ194="",AJ194&lt;1),"",POWER(使い方と設定!$E$6,AJ194-1))</f>
        <v>3.3731334104286441</v>
      </c>
    </row>
    <row r="195" spans="1:37">
      <c r="A195" t="str">
        <f>+[2]称号!A190</f>
        <v>TITLE_189</v>
      </c>
      <c r="B195" t="str">
        <f>+[2]称号!B190</f>
        <v>揺嵐の核体</v>
      </c>
      <c r="C195" t="s">
        <v>513</v>
      </c>
      <c r="D195" t="s">
        <v>514</v>
      </c>
      <c r="E195" s="2" t="str">
        <f>[1]モンスター計算!AM193</f>
        <v>魔法・超軽量</v>
      </c>
      <c r="F195" s="2" t="str">
        <f>[1]モンスター計算!C193</f>
        <v>風</v>
      </c>
      <c r="G195" s="8">
        <v>1.1000000000000001</v>
      </c>
      <c r="H195" t="str">
        <f t="shared" si="6"/>
        <v>OK</v>
      </c>
      <c r="I195" s="9">
        <f>IF($H195&lt;&gt;"OK","",ROUND($G195*使い方と設定!$B$7*$AK195*INDEX(個性タイプマスタ!$Q$5:$AA$54,$AE195,1)/$AG195,4))</f>
        <v>0.36630000000000001</v>
      </c>
      <c r="J195" s="9">
        <f>IF($H195&lt;&gt;"OK","",ROUND($G195*使い方と設定!$B$7*$AK195*INDEX(個性タイプマスタ!$Q$5:$AA$54,$AE195,2)/$AG195,4))</f>
        <v>0.49270000000000003</v>
      </c>
      <c r="K195" s="9">
        <f>IF($H195&lt;&gt;"OK","",ROUND($G195*使い方と設定!$B$7*$AK195*INDEX(個性タイプマスタ!$Q$5:$AA$54,$AE195,3)/$AG195,4))</f>
        <v>7.1800000000000003E-2</v>
      </c>
      <c r="L195" s="9">
        <f>IF($H195&lt;&gt;"OK","",ROUND($G195*使い方と設定!$B$7*$AK195*INDEX(個性タイプマスタ!$Q$5:$AA$54,$AE195,4)/$AG195,4))</f>
        <v>1.4355</v>
      </c>
      <c r="M195" s="9">
        <f>IF($H195&lt;&gt;"OK","",ROUND($G195*使い方と設定!$B$7*$AK195*INDEX(個性タイプマスタ!$Q$5:$AA$54,$AE195,5)/$AG195,4))</f>
        <v>0.31240000000000001</v>
      </c>
      <c r="N195" s="9">
        <f>IF($H195&lt;&gt;"OK","",ROUND($G195*使い方と設定!$B$7*$AK195*INDEX(個性タイプマスタ!$Q$5:$AA$54,$AE195,6)/$AG195,4))</f>
        <v>0.31719999999999998</v>
      </c>
      <c r="O195" s="9">
        <f>IF($H195&lt;&gt;"OK","",ROUND($G195*使い方と設定!$B$7*$AK195*INDEX(個性タイプマスタ!$Q$5:$AA$54,$AE195,7)/$AG195,4))</f>
        <v>0.50529999999999997</v>
      </c>
      <c r="P195" s="9">
        <f>IF($H195&lt;&gt;"OK","",ROUND($G195*使い方と設定!$B$7*$AK195*INDEX(個性タイプマスタ!$Q$5:$AA$54,$AE195,8)/$AG195,4))</f>
        <v>0.38569999999999999</v>
      </c>
      <c r="Q195" s="9">
        <f>IF($H195&lt;&gt;"OK","",ROUND($G195*使い方と設定!$B$7*$AK195*INDEX(個性タイプマスタ!$Q$5:$AA$54,$AE195,9)/$AG195,4))</f>
        <v>0.53049999999999997</v>
      </c>
      <c r="R195" s="9">
        <f>IF($H195&lt;&gt;"OK","",ROUND($G195*使い方と設定!$B$7*$AK195*INDEX(個性タイプマスタ!$Q$5:$AA$54,$AE195,10)/$AG195,4))</f>
        <v>0.74639999999999995</v>
      </c>
      <c r="S195" s="9">
        <f>IF($H195&lt;&gt;"OK","",ROUND($G195*使い方と設定!$B$7*$AK195*INDEX(個性タイプマスタ!$Q$5:$AA$54,$AE195,11)/$AG195,4))</f>
        <v>0.40189999999999998</v>
      </c>
      <c r="T195" s="9">
        <f>IF($H195&lt;&gt;"OK","",ROUND($G195*使い方と設定!$B$8*$AK195*$AH195*INDEX(属性耐性マスタ!$B$5:$G$10,$AF195,1),4))</f>
        <v>9.4999999999999998E-3</v>
      </c>
      <c r="U195" s="9">
        <f>IF($H195&lt;&gt;"OK","",ROUND($G195*使い方と設定!$B$8*$AK195*$AH195*INDEX(属性耐性マスタ!$B$5:$G$10,$AF195,2),4))</f>
        <v>9.4999999999999998E-3</v>
      </c>
      <c r="V195" s="9">
        <f>IF($H195&lt;&gt;"OK","",ROUND($G195*使い方と設定!$B$8*$AK195*$AH195*INDEX(属性耐性マスタ!$B$5:$G$10,$AF195,3),4))</f>
        <v>0.14249999999999999</v>
      </c>
      <c r="W195" s="9">
        <f>IF($H195&lt;&gt;"OK","",ROUND($G195*使い方と設定!$B$8*$AK195*$AH195*INDEX(属性耐性マスタ!$B$5:$G$10,$AF195,4),4))</f>
        <v>3.56E-2</v>
      </c>
      <c r="X195" s="9">
        <f>IF($H195&lt;&gt;"OK","",ROUND($G195*使い方と設定!$B$8*$AK195*$AH195*INDEX(属性耐性マスタ!$B$5:$G$10,$AF195,5),4))</f>
        <v>7.1000000000000004E-3</v>
      </c>
      <c r="Y195" s="9">
        <f>IF($H195&lt;&gt;"OK","",ROUND($G195*使い方と設定!$B$8*$AK195*$AH195*INDEX(属性耐性マスタ!$B$5:$G$10,$AF195,6),4))</f>
        <v>7.1000000000000004E-3</v>
      </c>
      <c r="Z195" s="9">
        <f>IF($H195&lt;&gt;"OK","",ROUND($G195*使い方と設定!$B$9*$AK195*$AI195,4))</f>
        <v>2.4117999999999999</v>
      </c>
      <c r="AA195" s="10">
        <v>0.9</v>
      </c>
      <c r="AB195" s="11">
        <f t="shared" si="7"/>
        <v>5.5656999999999996</v>
      </c>
      <c r="AC195" s="11">
        <f t="shared" si="8"/>
        <v>0.21129999999999999</v>
      </c>
      <c r="AD195" s="7" t="str">
        <f>IF($H195&lt;&gt;"OK","",INDEX(個性タイプマスタ!$P$5:$P$54,$AE195))</f>
        <v>超高速移動・極低耐久</v>
      </c>
      <c r="AE195">
        <f>IFERROR(MATCH(E195,個性タイプマスタ!$A$5:$A$54,0),0)</f>
        <v>18</v>
      </c>
      <c r="AF195">
        <f>IFERROR(MATCH(F195,属性耐性マスタ!$A$5:$A$10,0),0)</f>
        <v>3</v>
      </c>
      <c r="AG195">
        <f>IF(AE195=0,1,INDEX(個性タイプマスタ!$AB$5:$AB$54,AE195))</f>
        <v>9.6931666666666683</v>
      </c>
      <c r="AH195">
        <f>IF(AE195=0,1,INDEX(個性タイプマスタ!$AC$5:$AC$54,AE195))</f>
        <v>0.64</v>
      </c>
      <c r="AI195">
        <f>IF(AE195=0,0,INDEX(個性タイプマスタ!$AD$5:$AD$54,AE195))</f>
        <v>1.3</v>
      </c>
      <c r="AJ195" s="16">
        <v>32</v>
      </c>
      <c r="AK195" s="17">
        <f>IF(OR(AJ195="",AJ195&lt;1),"",POWER(使い方と設定!$E$6,AJ195-1))</f>
        <v>3.3731334104286441</v>
      </c>
    </row>
    <row r="196" spans="1:37">
      <c r="A196" t="str">
        <f>+[2]称号!A191</f>
        <v>TITLE_190</v>
      </c>
      <c r="B196" t="str">
        <f>+[2]称号!B191</f>
        <v>断崖の跳獣</v>
      </c>
      <c r="C196" t="s">
        <v>515</v>
      </c>
      <c r="D196" t="s">
        <v>516</v>
      </c>
      <c r="E196" s="2" t="str">
        <f>[1]モンスター計算!AM194</f>
        <v>近接・強襲</v>
      </c>
      <c r="F196" s="2" t="str">
        <f>[1]モンスター計算!C194</f>
        <v>風</v>
      </c>
      <c r="G196" s="8">
        <v>1.1499999999999999</v>
      </c>
      <c r="H196" t="str">
        <f t="shared" si="6"/>
        <v>OK</v>
      </c>
      <c r="I196" s="9">
        <f>IF($H196&lt;&gt;"OK","",ROUND($G196*使い方と設定!$B$7*$AK196*INDEX(個性タイプマスタ!$Q$5:$AA$54,$AE196,1)/$AG196,4))</f>
        <v>0.48920000000000002</v>
      </c>
      <c r="J196" s="9">
        <f>IF($H196&lt;&gt;"OK","",ROUND($G196*使い方と設定!$B$7*$AK196*INDEX(個性タイプマスタ!$Q$5:$AA$54,$AE196,2)/$AG196,4))</f>
        <v>0.26319999999999999</v>
      </c>
      <c r="K196" s="9">
        <f>IF($H196&lt;&gt;"OK","",ROUND($G196*使い方と設定!$B$7*$AK196*INDEX(個性タイプマスタ!$Q$5:$AA$54,$AE196,3)/$AG196,4))</f>
        <v>1.4075</v>
      </c>
      <c r="L196" s="9">
        <f>IF($H196&lt;&gt;"OK","",ROUND($G196*使い方と設定!$B$7*$AK196*INDEX(個性タイプマスタ!$Q$5:$AA$54,$AE196,4)/$AG196,4))</f>
        <v>9.8500000000000004E-2</v>
      </c>
      <c r="M196" s="9">
        <f>IF($H196&lt;&gt;"OK","",ROUND($G196*使い方と設定!$B$7*$AK196*INDEX(個性タイプマスタ!$Q$5:$AA$54,$AE196,5)/$AG196,4))</f>
        <v>0.37809999999999999</v>
      </c>
      <c r="N196" s="9">
        <f>IF($H196&lt;&gt;"OK","",ROUND($G196*使い方と設定!$B$7*$AK196*INDEX(個性タイプマスタ!$Q$5:$AA$54,$AE196,6)/$AG196,4))</f>
        <v>0.3493</v>
      </c>
      <c r="O196" s="9">
        <f>IF($H196&lt;&gt;"OK","",ROUND($G196*使い方と設定!$B$7*$AK196*INDEX(個性タイプマスタ!$Q$5:$AA$54,$AE196,7)/$AG196,4))</f>
        <v>0.61929999999999996</v>
      </c>
      <c r="P196" s="9">
        <f>IF($H196&lt;&gt;"OK","",ROUND($G196*使い方と設定!$B$7*$AK196*INDEX(個性タイプマスタ!$Q$5:$AA$54,$AE196,8)/$AG196,4))</f>
        <v>0.45129999999999998</v>
      </c>
      <c r="Q196" s="9">
        <f>IF($H196&lt;&gt;"OK","",ROUND($G196*使い方と設定!$B$7*$AK196*INDEX(個性タイプマスタ!$Q$5:$AA$54,$AE196,9)/$AG196,4))</f>
        <v>0.49540000000000001</v>
      </c>
      <c r="R196" s="9">
        <f>IF($H196&lt;&gt;"OK","",ROUND($G196*使い方と設定!$B$7*$AK196*INDEX(個性タイプマスタ!$Q$5:$AA$54,$AE196,10)/$AG196,4))</f>
        <v>0.79379999999999995</v>
      </c>
      <c r="S196" s="9">
        <f>IF($H196&lt;&gt;"OK","",ROUND($G196*使い方と設定!$B$7*$AK196*INDEX(個性タイプマスタ!$Q$5:$AA$54,$AE196,11)/$AG196,4))</f>
        <v>0.47289999999999999</v>
      </c>
      <c r="T196" s="9">
        <f>IF($H196&lt;&gt;"OK","",ROUND($G196*使い方と設定!$B$8*$AK196*$AH196*INDEX(属性耐性マスタ!$B$5:$G$10,$AF196,1),4))</f>
        <v>1.21E-2</v>
      </c>
      <c r="U196" s="9">
        <f>IF($H196&lt;&gt;"OK","",ROUND($G196*使い方と設定!$B$8*$AK196*$AH196*INDEX(属性耐性マスタ!$B$5:$G$10,$AF196,2),4))</f>
        <v>1.21E-2</v>
      </c>
      <c r="V196" s="9">
        <f>IF($H196&lt;&gt;"OK","",ROUND($G196*使い方と設定!$B$8*$AK196*$AH196*INDEX(属性耐性マスタ!$B$5:$G$10,$AF196,3),4))</f>
        <v>0.18149999999999999</v>
      </c>
      <c r="W196" s="9">
        <f>IF($H196&lt;&gt;"OK","",ROUND($G196*使い方と設定!$B$8*$AK196*$AH196*INDEX(属性耐性マスタ!$B$5:$G$10,$AF196,4),4))</f>
        <v>4.5400000000000003E-2</v>
      </c>
      <c r="X196" s="9">
        <f>IF($H196&lt;&gt;"OK","",ROUND($G196*使い方と設定!$B$8*$AK196*$AH196*INDEX(属性耐性マスタ!$B$5:$G$10,$AF196,5),4))</f>
        <v>9.1000000000000004E-3</v>
      </c>
      <c r="Y196" s="9">
        <f>IF($H196&lt;&gt;"OK","",ROUND($G196*使い方と設定!$B$8*$AK196*$AH196*INDEX(属性耐性マスタ!$B$5:$G$10,$AF196,6),4))</f>
        <v>9.1000000000000004E-3</v>
      </c>
      <c r="Z196" s="9">
        <f>IF($H196&lt;&gt;"OK","",ROUND($G196*使い方と設定!$B$9*$AK196*$AI196,4))</f>
        <v>2.4567999999999999</v>
      </c>
      <c r="AA196" s="10">
        <v>0.55000000000000004</v>
      </c>
      <c r="AB196" s="11">
        <f t="shared" si="7"/>
        <v>5.8185000000000002</v>
      </c>
      <c r="AC196" s="11">
        <f t="shared" si="8"/>
        <v>0.26929999999999998</v>
      </c>
      <c r="AD196" s="7" t="str">
        <f>IF($H196&lt;&gt;"OK","",INDEX(個性タイプマスタ!$P$5:$P$54,$AE196))</f>
        <v>速い接近・間合い広めの強襲型</v>
      </c>
      <c r="AE196">
        <f>IFERROR(MATCH(E196,個性タイプマスタ!$A$5:$A$54,0),0)</f>
        <v>44</v>
      </c>
      <c r="AF196">
        <f>IFERROR(MATCH(F196,属性耐性マスタ!$A$5:$A$10,0),0)</f>
        <v>3</v>
      </c>
      <c r="AG196">
        <f>IF(AE196=0,1,INDEX(個性タイプマスタ!$AB$5:$AB$54,AE196))</f>
        <v>10.335166666666666</v>
      </c>
      <c r="AH196">
        <f>IF(AE196=0,1,INDEX(個性タイプマスタ!$AC$5:$AC$54,AE196))</f>
        <v>0.78</v>
      </c>
      <c r="AI196">
        <f>IF(AE196=0,0,INDEX(個性タイプマスタ!$AD$5:$AD$54,AE196))</f>
        <v>1.2666666666666666</v>
      </c>
      <c r="AJ196" s="16">
        <v>32</v>
      </c>
      <c r="AK196" s="17">
        <f>IF(OR(AJ196="",AJ196&lt;1),"",POWER(使い方と設定!$E$6,AJ196-1))</f>
        <v>3.3731334104286441</v>
      </c>
    </row>
    <row r="197" spans="1:37">
      <c r="A197" t="str">
        <f>+[2]称号!A192</f>
        <v>TITLE_191</v>
      </c>
      <c r="B197" t="str">
        <f>+[2]称号!B192</f>
        <v>裂空の残光</v>
      </c>
      <c r="C197" t="s">
        <v>517</v>
      </c>
      <c r="D197" t="s">
        <v>518</v>
      </c>
      <c r="E197" s="2" t="str">
        <f>[1]モンスター計算!AM195</f>
        <v>近接・耐久</v>
      </c>
      <c r="F197" s="2" t="str">
        <f>[1]モンスター計算!C195</f>
        <v>風</v>
      </c>
      <c r="G197" s="8">
        <v>1.2</v>
      </c>
      <c r="H197" t="str">
        <f t="shared" si="6"/>
        <v>OK</v>
      </c>
      <c r="I197" s="9">
        <f>IF($H197&lt;&gt;"OK","",ROUND($G197*使い方と設定!$B$7*$AK197*INDEX(個性タイプマスタ!$Q$5:$AA$54,$AE197,1)/$AG197,4))</f>
        <v>0.79239999999999999</v>
      </c>
      <c r="J197" s="9">
        <f>IF($H197&lt;&gt;"OK","",ROUND($G197*使い方と設定!$B$7*$AK197*INDEX(個性タイプマスタ!$Q$5:$AA$54,$AE197,2)/$AG197,4))</f>
        <v>0.28060000000000002</v>
      </c>
      <c r="K197" s="9">
        <f>IF($H197&lt;&gt;"OK","",ROUND($G197*使い方と設定!$B$7*$AK197*INDEX(個性タイプマスタ!$Q$5:$AA$54,$AE197,3)/$AG197,4))</f>
        <v>1.5007999999999999</v>
      </c>
      <c r="L197" s="9">
        <f>IF($H197&lt;&gt;"OK","",ROUND($G197*使い方と設定!$B$7*$AK197*INDEX(個性タイプマスタ!$Q$5:$AA$54,$AE197,4)/$AG197,4))</f>
        <v>0.15010000000000001</v>
      </c>
      <c r="M197" s="9">
        <f>IF($H197&lt;&gt;"OK","",ROUND($G197*使い方と設定!$B$7*$AK197*INDEX(個性タイプマスタ!$Q$5:$AA$54,$AE197,5)/$AG197,4))</f>
        <v>0.6633</v>
      </c>
      <c r="N197" s="9">
        <f>IF($H197&lt;&gt;"OK","",ROUND($G197*使い方と設定!$B$7*$AK197*INDEX(個性タイプマスタ!$Q$5:$AA$54,$AE197,6)/$AG197,4))</f>
        <v>0.43369999999999997</v>
      </c>
      <c r="O197" s="9">
        <f>IF($H197&lt;&gt;"OK","",ROUND($G197*使い方と設定!$B$7*$AK197*INDEX(個性タイプマスタ!$Q$5:$AA$54,$AE197,7)/$AG197,4))</f>
        <v>0.52829999999999999</v>
      </c>
      <c r="P197" s="9">
        <f>IF($H197&lt;&gt;"OK","",ROUND($G197*使い方と設定!$B$7*$AK197*INDEX(個性タイプマスタ!$Q$5:$AA$54,$AE197,8)/$AG197,4))</f>
        <v>0.41620000000000001</v>
      </c>
      <c r="Q197" s="9">
        <f>IF($H197&lt;&gt;"OK","",ROUND($G197*使い方と設定!$B$7*$AK197*INDEX(個性タイプマスタ!$Q$5:$AA$54,$AE197,9)/$AG197,4))</f>
        <v>0.36980000000000002</v>
      </c>
      <c r="R197" s="9">
        <f>IF($H197&lt;&gt;"OK","",ROUND($G197*使い方と設定!$B$7*$AK197*INDEX(個性タイプマスタ!$Q$5:$AA$54,$AE197,10)/$AG197,4))</f>
        <v>0.60029999999999994</v>
      </c>
      <c r="S197" s="9">
        <f>IF($H197&lt;&gt;"OK","",ROUND($G197*使い方と設定!$B$7*$AK197*INDEX(個性タイプマスタ!$Q$5:$AA$54,$AE197,11)/$AG197,4))</f>
        <v>0.3362</v>
      </c>
      <c r="T197" s="9">
        <f>IF($H197&lt;&gt;"OK","",ROUND($G197*使い方と設定!$B$8*$AK197*$AH197*INDEX(属性耐性マスタ!$B$5:$G$10,$AF197,1),4))</f>
        <v>1.8499999999999999E-2</v>
      </c>
      <c r="U197" s="9">
        <f>IF($H197&lt;&gt;"OK","",ROUND($G197*使い方と設定!$B$8*$AK197*$AH197*INDEX(属性耐性マスタ!$B$5:$G$10,$AF197,2),4))</f>
        <v>1.8499999999999999E-2</v>
      </c>
      <c r="V197" s="9">
        <f>IF($H197&lt;&gt;"OK","",ROUND($G197*使い方と設定!$B$8*$AK197*$AH197*INDEX(属性耐性マスタ!$B$5:$G$10,$AF197,3),4))</f>
        <v>0.27689999999999998</v>
      </c>
      <c r="W197" s="9">
        <f>IF($H197&lt;&gt;"OK","",ROUND($G197*使い方と設定!$B$8*$AK197*$AH197*INDEX(属性耐性マスタ!$B$5:$G$10,$AF197,4),4))</f>
        <v>6.9199999999999998E-2</v>
      </c>
      <c r="X197" s="9">
        <f>IF($H197&lt;&gt;"OK","",ROUND($G197*使い方と設定!$B$8*$AK197*$AH197*INDEX(属性耐性マスタ!$B$5:$G$10,$AF197,5),4))</f>
        <v>1.38E-2</v>
      </c>
      <c r="Y197" s="9">
        <f>IF($H197&lt;&gt;"OK","",ROUND($G197*使い方と設定!$B$8*$AK197*$AH197*INDEX(属性耐性マスタ!$B$5:$G$10,$AF197,6),4))</f>
        <v>1.38E-2</v>
      </c>
      <c r="Z197" s="9">
        <f>IF($H197&lt;&gt;"OK","",ROUND($G197*使い方と設定!$B$9*$AK197*$AI197,4))</f>
        <v>2.1587999999999998</v>
      </c>
      <c r="AA197" s="10">
        <v>0.5</v>
      </c>
      <c r="AB197" s="11">
        <f t="shared" si="7"/>
        <v>6.0716999999999999</v>
      </c>
      <c r="AC197" s="11">
        <f t="shared" si="8"/>
        <v>0.41070000000000001</v>
      </c>
      <c r="AD197" s="7" t="str">
        <f>IF($H197&lt;&gt;"OK","",INDEX(個性タイプマスタ!$P$5:$P$54,$AE197))</f>
        <v>HP・物防寄りの近接型</v>
      </c>
      <c r="AE197">
        <f>IFERROR(MATCH(E197,個性タイプマスタ!$A$5:$A$54,0),0)</f>
        <v>4</v>
      </c>
      <c r="AF197">
        <f>IFERROR(MATCH(F197,属性耐性マスタ!$A$5:$A$10,0),0)</f>
        <v>3</v>
      </c>
      <c r="AG197">
        <f>IF(AE197=0,1,INDEX(個性タイプマスタ!$AB$5:$AB$54,AE197))</f>
        <v>10.114333333333335</v>
      </c>
      <c r="AH197">
        <f>IF(AE197=0,1,INDEX(個性タイプマスタ!$AC$5:$AC$54,AE197))</f>
        <v>1.1400000000000001</v>
      </c>
      <c r="AI197">
        <f>IF(AE197=0,0,INDEX(個性タイプマスタ!$AD$5:$AD$54,AE197))</f>
        <v>1.0666666666666667</v>
      </c>
      <c r="AJ197" s="16">
        <v>32</v>
      </c>
      <c r="AK197" s="17">
        <f>IF(OR(AJ197="",AJ197&lt;1),"",POWER(使い方と設定!$E$6,AJ197-1))</f>
        <v>3.3731334104286441</v>
      </c>
    </row>
    <row r="198" spans="1:37">
      <c r="A198" t="str">
        <f>+[2]称号!A193</f>
        <v>TITLE_192</v>
      </c>
      <c r="B198" t="str">
        <f>+[2]称号!B193</f>
        <v>暴嵐の覇狼</v>
      </c>
      <c r="C198" t="s">
        <v>519</v>
      </c>
      <c r="D198" t="s">
        <v>520</v>
      </c>
      <c r="E198" s="2" t="str">
        <f>[1]モンスター計算!AM196</f>
        <v>魔法・万能</v>
      </c>
      <c r="F198" s="2" t="str">
        <f>[1]モンスター計算!C196</f>
        <v>風</v>
      </c>
      <c r="G198" s="8">
        <v>1.25</v>
      </c>
      <c r="H198" t="str">
        <f t="shared" si="6"/>
        <v>OK</v>
      </c>
      <c r="I198" s="9">
        <f>IF($H198&lt;&gt;"OK","",ROUND($G198*使い方と設定!$B$7*$AK198*INDEX(個性タイプマスタ!$Q$5:$AA$54,$AE198,1)/$AG198,4))</f>
        <v>0.71830000000000005</v>
      </c>
      <c r="J198" s="9">
        <f>IF($H198&lt;&gt;"OK","",ROUND($G198*使い方と設定!$B$7*$AK198*INDEX(個性タイプマスタ!$Q$5:$AA$54,$AE198,2)/$AG198,4))</f>
        <v>0.68559999999999999</v>
      </c>
      <c r="K198" s="9">
        <f>IF($H198&lt;&gt;"OK","",ROUND($G198*使い方と設定!$B$7*$AK198*INDEX(個性タイプマスタ!$Q$5:$AA$54,$AE198,3)/$AG198,4))</f>
        <v>0.1484</v>
      </c>
      <c r="L198" s="9">
        <f>IF($H198&lt;&gt;"OK","",ROUND($G198*使い方と設定!$B$7*$AK198*INDEX(個性タイプマスタ!$Q$5:$AA$54,$AE198,4)/$AG198,4))</f>
        <v>1.484</v>
      </c>
      <c r="M198" s="9">
        <f>IF($H198&lt;&gt;"OK","",ROUND($G198*使い方と設定!$B$7*$AK198*INDEX(個性タイプマスタ!$Q$5:$AA$54,$AE198,5)/$AG198,4))</f>
        <v>0.55500000000000005</v>
      </c>
      <c r="N198" s="9">
        <f>IF($H198&lt;&gt;"OK","",ROUND($G198*使い方と設定!$B$7*$AK198*INDEX(個性タイプマスタ!$Q$5:$AA$54,$AE198,6)/$AG198,4))</f>
        <v>0.55500000000000005</v>
      </c>
      <c r="O198" s="9">
        <f>IF($H198&lt;&gt;"OK","",ROUND($G198*使い方と設定!$B$7*$AK198*INDEX(個性タイプマスタ!$Q$5:$AA$54,$AE198,7)/$AG198,4))</f>
        <v>0.45710000000000001</v>
      </c>
      <c r="P198" s="9">
        <f>IF($H198&lt;&gt;"OK","",ROUND($G198*使い方と設定!$B$7*$AK198*INDEX(個性タイプマスタ!$Q$5:$AA$54,$AE198,8)/$AG198,4))</f>
        <v>0.3987</v>
      </c>
      <c r="Q198" s="9">
        <f>IF($H198&lt;&gt;"OK","",ROUND($G198*使い方と設定!$B$7*$AK198*INDEX(個性タイプマスタ!$Q$5:$AA$54,$AE198,9)/$AG198,4))</f>
        <v>0.31340000000000001</v>
      </c>
      <c r="R198" s="9">
        <f>IF($H198&lt;&gt;"OK","",ROUND($G198*使い方と設定!$B$7*$AK198*INDEX(個性タイプマスタ!$Q$5:$AA$54,$AE198,10)/$AG198,4))</f>
        <v>0.59360000000000002</v>
      </c>
      <c r="S198" s="9">
        <f>IF($H198&lt;&gt;"OK","",ROUND($G198*使い方と設定!$B$7*$AK198*INDEX(個性タイプマスタ!$Q$5:$AA$54,$AE198,11)/$AG198,4))</f>
        <v>0.41549999999999998</v>
      </c>
      <c r="T198" s="9">
        <f>IF($H198&lt;&gt;"OK","",ROUND($G198*使い方と設定!$B$8*$AK198*$AH198*INDEX(属性耐性マスタ!$B$5:$G$10,$AF198,1),4))</f>
        <v>1.8200000000000001E-2</v>
      </c>
      <c r="U198" s="9">
        <f>IF($H198&lt;&gt;"OK","",ROUND($G198*使い方と設定!$B$8*$AK198*$AH198*INDEX(属性耐性マスタ!$B$5:$G$10,$AF198,2),4))</f>
        <v>1.8200000000000001E-2</v>
      </c>
      <c r="V198" s="9">
        <f>IF($H198&lt;&gt;"OK","",ROUND($G198*使い方と設定!$B$8*$AK198*$AH198*INDEX(属性耐性マスタ!$B$5:$G$10,$AF198,3),4))</f>
        <v>0.2732</v>
      </c>
      <c r="W198" s="9">
        <f>IF($H198&lt;&gt;"OK","",ROUND($G198*使い方と設定!$B$8*$AK198*$AH198*INDEX(属性耐性マスタ!$B$5:$G$10,$AF198,4),4))</f>
        <v>6.83E-2</v>
      </c>
      <c r="X198" s="9">
        <f>IF($H198&lt;&gt;"OK","",ROUND($G198*使い方と設定!$B$8*$AK198*$AH198*INDEX(属性耐性マスタ!$B$5:$G$10,$AF198,5),4))</f>
        <v>1.37E-2</v>
      </c>
      <c r="Y198" s="9">
        <f>IF($H198&lt;&gt;"OK","",ROUND($G198*使い方と設定!$B$8*$AK198*$AH198*INDEX(属性耐性マスタ!$B$5:$G$10,$AF198,6),4))</f>
        <v>1.37E-2</v>
      </c>
      <c r="Z198" s="9">
        <f>IF($H198&lt;&gt;"OK","",ROUND($G198*使い方と設定!$B$9*$AK198*$AI198,4))</f>
        <v>2.1082000000000001</v>
      </c>
      <c r="AA198" s="10">
        <v>0.25</v>
      </c>
      <c r="AB198" s="11">
        <f t="shared" si="7"/>
        <v>6.3246000000000002</v>
      </c>
      <c r="AC198" s="11">
        <f t="shared" si="8"/>
        <v>0.40529999999999999</v>
      </c>
      <c r="AD198" s="7" t="str">
        <f>IF($H198&lt;&gt;"OK","",INDEX(個性タイプマスタ!$P$5:$P$54,$AE198))</f>
        <v>バランス重視</v>
      </c>
      <c r="AE198">
        <f>IFERROR(MATCH(E198,個性タイプマスタ!$A$5:$A$54,0),0)</f>
        <v>14</v>
      </c>
      <c r="AF198">
        <f>IFERROR(MATCH(F198,属性耐性マスタ!$A$5:$A$10,0),0)</f>
        <v>3</v>
      </c>
      <c r="AG198">
        <f>IF(AE198=0,1,INDEX(個性タイプマスタ!$AB$5:$AB$54,AE198))</f>
        <v>10.654666666666667</v>
      </c>
      <c r="AH198">
        <f>IF(AE198=0,1,INDEX(個性タイプマスタ!$AC$5:$AC$54,AE198))</f>
        <v>1.08</v>
      </c>
      <c r="AI198">
        <f>IF(AE198=0,0,INDEX(個性タイプマスタ!$AD$5:$AD$54,AE198))</f>
        <v>1</v>
      </c>
      <c r="AJ198" s="16">
        <v>32</v>
      </c>
      <c r="AK198" s="17">
        <f>IF(OR(AJ198="",AJ198&lt;1),"",POWER(使い方と設定!$E$6,AJ198-1))</f>
        <v>3.3731334104286441</v>
      </c>
    </row>
    <row r="199" spans="1:37">
      <c r="A199" t="str">
        <f>+[2]称号!A194</f>
        <v>TITLE_193</v>
      </c>
      <c r="B199" t="str">
        <f>+[2]称号!B194</f>
        <v>雷脈踏破者</v>
      </c>
      <c r="C199" t="s">
        <v>521</v>
      </c>
      <c r="D199" t="s">
        <v>522</v>
      </c>
      <c r="E199" s="2" t="str">
        <f>[1]モンスター計算!AM197</f>
        <v>魔法・守護</v>
      </c>
      <c r="F199" s="2" t="str">
        <f>[1]モンスター計算!C197</f>
        <v>雷</v>
      </c>
      <c r="G199" s="8">
        <v>1</v>
      </c>
      <c r="H199" t="str">
        <f t="shared" ref="H199:H262" si="9">IF(OR(E199="",F199=""),"未入力",IF(IFERROR(AND(ISNUMBER(AJ199),AJ199&gt;=1,AJ199=INT(AJ199)),FALSE),IF(AE199=0,"タイプ未登録",IF(AF199=0,"属性未登録","OK")),"ステージ未設定"))</f>
        <v>OK</v>
      </c>
      <c r="I199" s="9">
        <f>IF($H199&lt;&gt;"OK","",ROUND($G199*使い方と設定!$B$7*$AK199*INDEX(個性タイプマスタ!$Q$5:$AA$54,$AE199,1)/$AG199,4))</f>
        <v>0.6855</v>
      </c>
      <c r="J199" s="9">
        <f>IF($H199&lt;&gt;"OK","",ROUND($G199*使い方と設定!$B$7*$AK199*INDEX(個性タイプマスタ!$Q$5:$AA$54,$AE199,2)/$AG199,4))</f>
        <v>0.57120000000000004</v>
      </c>
      <c r="K199" s="9">
        <f>IF($H199&lt;&gt;"OK","",ROUND($G199*使い方と設定!$B$7*$AK199*INDEX(個性タイプマスタ!$Q$5:$AA$54,$AE199,3)/$AG199,4))</f>
        <v>0.10390000000000001</v>
      </c>
      <c r="L199" s="9">
        <f>IF($H199&lt;&gt;"OK","",ROUND($G199*使い方と設定!$B$7*$AK199*INDEX(個性タイプマスタ!$Q$5:$AA$54,$AE199,4)/$AG199,4))</f>
        <v>1.0386</v>
      </c>
      <c r="M199" s="9">
        <f>IF($H199&lt;&gt;"OK","",ROUND($G199*使い方と設定!$B$7*$AK199*INDEX(個性タイプマスタ!$Q$5:$AA$54,$AE199,5)/$AG199,4))</f>
        <v>0.52969999999999995</v>
      </c>
      <c r="N199" s="9">
        <f>IF($H199&lt;&gt;"OK","",ROUND($G199*使い方と設定!$B$7*$AK199*INDEX(個性タイプマスタ!$Q$5:$AA$54,$AE199,6)/$AG199,4))</f>
        <v>0.49440000000000001</v>
      </c>
      <c r="O199" s="9">
        <f>IF($H199&lt;&gt;"OK","",ROUND($G199*使い方と設定!$B$7*$AK199*INDEX(個性タイプマスタ!$Q$5:$AA$54,$AE199,7)/$AG199,4))</f>
        <v>0.45700000000000002</v>
      </c>
      <c r="P199" s="9">
        <f>IF($H199&lt;&gt;"OK","",ROUND($G199*使い方と設定!$B$7*$AK199*INDEX(個性タイプマスタ!$Q$5:$AA$54,$AE199,8)/$AG199,4))</f>
        <v>0.315</v>
      </c>
      <c r="Q199" s="9">
        <f>IF($H199&lt;&gt;"OK","",ROUND($G199*使い方と設定!$B$7*$AK199*INDEX(個性タイプマスタ!$Q$5:$AA$54,$AE199,9)/$AG199,4))</f>
        <v>0.21940000000000001</v>
      </c>
      <c r="R199" s="9">
        <f>IF($H199&lt;&gt;"OK","",ROUND($G199*使い方と設定!$B$7*$AK199*INDEX(個性タイプマスタ!$Q$5:$AA$54,$AE199,10)/$AG199,4))</f>
        <v>0.4985</v>
      </c>
      <c r="S199" s="9">
        <f>IF($H199&lt;&gt;"OK","",ROUND($G199*使い方と設定!$B$7*$AK199*INDEX(個性タイプマスタ!$Q$5:$AA$54,$AE199,11)/$AG199,4))</f>
        <v>0.34899999999999998</v>
      </c>
      <c r="T199" s="9">
        <f>IF($H199&lt;&gt;"OK","",ROUND($G199*使い方と設定!$B$8*$AK199*$AH199*INDEX(属性耐性マスタ!$B$5:$G$10,$AF199,1),4))</f>
        <v>1.8499999999999999E-2</v>
      </c>
      <c r="U199" s="9">
        <f>IF($H199&lt;&gt;"OK","",ROUND($G199*使い方と設定!$B$8*$AK199*$AH199*INDEX(属性耐性マスタ!$B$5:$G$10,$AF199,2),4))</f>
        <v>1.8499999999999999E-2</v>
      </c>
      <c r="V199" s="9">
        <f>IF($H199&lt;&gt;"OK","",ROUND($G199*使い方と設定!$B$8*$AK199*$AH199*INDEX(属性耐性マスタ!$B$5:$G$10,$AF199,3),4))</f>
        <v>6.9500000000000006E-2</v>
      </c>
      <c r="W199" s="9">
        <f>IF($H199&lt;&gt;"OK","",ROUND($G199*使い方と設定!$B$8*$AK199*$AH199*INDEX(属性耐性マスタ!$B$5:$G$10,$AF199,4),4))</f>
        <v>0.27779999999999999</v>
      </c>
      <c r="X199" s="9">
        <f>IF($H199&lt;&gt;"OK","",ROUND($G199*使い方と設定!$B$8*$AK199*$AH199*INDEX(属性耐性マスタ!$B$5:$G$10,$AF199,5),4))</f>
        <v>1.3899999999999999E-2</v>
      </c>
      <c r="Y199" s="9">
        <f>IF($H199&lt;&gt;"OK","",ROUND($G199*使い方と設定!$B$8*$AK199*$AH199*INDEX(属性耐性マスタ!$B$5:$G$10,$AF199,6),4))</f>
        <v>1.3899999999999999E-2</v>
      </c>
      <c r="Z199" s="9">
        <f>IF($H199&lt;&gt;"OK","",ROUND($G199*使い方と設定!$B$9*$AK199*$AI199,4))</f>
        <v>1.754</v>
      </c>
      <c r="AA199" s="10">
        <v>1</v>
      </c>
      <c r="AB199" s="11">
        <f t="shared" ref="AB199:AB262" si="10">IF($H199&lt;&gt;"OK","",ROUND(SUM(I199:S199),4))</f>
        <v>5.2622</v>
      </c>
      <c r="AC199" s="11">
        <f t="shared" ref="AC199:AC262" si="11">IF($H199&lt;&gt;"OK","",ROUND(SUM(T199:Y199),4))</f>
        <v>0.41210000000000002</v>
      </c>
      <c r="AD199" s="7" t="str">
        <f>IF($H199&lt;&gt;"OK","",INDEX(個性タイプマスタ!$P$5:$P$54,$AE199))</f>
        <v>HP・防御・耐性の高い魔法型</v>
      </c>
      <c r="AE199">
        <f>IFERROR(MATCH(E199,個性タイプマスタ!$A$5:$A$54,0),0)</f>
        <v>6</v>
      </c>
      <c r="AF199">
        <f>IFERROR(MATCH(F199,属性耐性マスタ!$A$5:$A$10,0),0)</f>
        <v>4</v>
      </c>
      <c r="AG199">
        <f>IF(AE199=0,1,INDEX(個性タイプマスタ!$AB$5:$AB$54,AE199))</f>
        <v>12.666333333333332</v>
      </c>
      <c r="AH199">
        <f>IF(AE199=0,1,INDEX(個性タイプマスタ!$AC$5:$AC$54,AE199))</f>
        <v>1.32</v>
      </c>
      <c r="AI199">
        <f>IF(AE199=0,0,INDEX(個性タイプマスタ!$AD$5:$AD$54,AE199))</f>
        <v>1</v>
      </c>
      <c r="AJ199" s="16">
        <v>33</v>
      </c>
      <c r="AK199" s="17">
        <f>IF(OR(AJ199="",AJ199&lt;1),"",POWER(使い方と設定!$E$6,AJ199-1))</f>
        <v>3.5080587468457902</v>
      </c>
    </row>
    <row r="200" spans="1:37">
      <c r="A200" t="str">
        <f>+[2]称号!A195</f>
        <v>TITLE_194</v>
      </c>
      <c r="B200" t="str">
        <f>+[2]称号!B195</f>
        <v>骸雷征服者</v>
      </c>
      <c r="C200" t="s">
        <v>523</v>
      </c>
      <c r="D200" t="s">
        <v>524</v>
      </c>
      <c r="E200" s="2" t="str">
        <f>[1]モンスター計算!AM198</f>
        <v>魔法・砲撃</v>
      </c>
      <c r="F200" s="2" t="str">
        <f>[1]モンスター計算!C198</f>
        <v>雷</v>
      </c>
      <c r="G200" s="8">
        <v>1.05</v>
      </c>
      <c r="H200" t="str">
        <f t="shared" si="9"/>
        <v>OK</v>
      </c>
      <c r="I200" s="9">
        <f>IF($H200&lt;&gt;"OK","",ROUND($G200*使い方と設定!$B$7*$AK200*INDEX(個性タイプマスタ!$Q$5:$AA$54,$AE200,1)/$AG200,4))</f>
        <v>0.52990000000000004</v>
      </c>
      <c r="J200" s="9">
        <f>IF($H200&lt;&gt;"OK","",ROUND($G200*使い方と設定!$B$7*$AK200*INDEX(個性タイプマスタ!$Q$5:$AA$54,$AE200,2)/$AG200,4))</f>
        <v>0.93179999999999996</v>
      </c>
      <c r="K200" s="9">
        <f>IF($H200&lt;&gt;"OK","",ROUND($G200*使い方と設定!$B$7*$AK200*INDEX(個性タイプマスタ!$Q$5:$AA$54,$AE200,3)/$AG200,4))</f>
        <v>9.9299999999999999E-2</v>
      </c>
      <c r="L200" s="9">
        <f>IF($H200&lt;&gt;"OK","",ROUND($G200*使い方と設定!$B$7*$AK200*INDEX(個性タイプマスタ!$Q$5:$AA$54,$AE200,4)/$AG200,4))</f>
        <v>1.3234999999999999</v>
      </c>
      <c r="M200" s="9">
        <f>IF($H200&lt;&gt;"OK","",ROUND($G200*使い方と設定!$B$7*$AK200*INDEX(個性タイプマスタ!$Q$5:$AA$54,$AE200,5)/$AG200,4))</f>
        <v>0.39600000000000002</v>
      </c>
      <c r="N200" s="9">
        <f>IF($H200&lt;&gt;"OK","",ROUND($G200*使い方と設定!$B$7*$AK200*INDEX(個性タイプマスタ!$Q$5:$AA$54,$AE200,6)/$AG200,4))</f>
        <v>0.42749999999999999</v>
      </c>
      <c r="O200" s="9">
        <f>IF($H200&lt;&gt;"OK","",ROUND($G200*使い方と設定!$B$7*$AK200*INDEX(個性タイプマスタ!$Q$5:$AA$54,$AE200,7)/$AG200,4))</f>
        <v>0.2329</v>
      </c>
      <c r="P200" s="9">
        <f>IF($H200&lt;&gt;"OK","",ROUND($G200*使い方と設定!$B$7*$AK200*INDEX(個性タイプマスタ!$Q$5:$AA$54,$AE200,8)/$AG200,4))</f>
        <v>0.50470000000000004</v>
      </c>
      <c r="Q200" s="9">
        <f>IF($H200&lt;&gt;"OK","",ROUND($G200*使い方と設定!$B$7*$AK200*INDEX(個性タイプマスタ!$Q$5:$AA$54,$AE200,9)/$AG200,4))</f>
        <v>0.19220000000000001</v>
      </c>
      <c r="R200" s="9">
        <f>IF($H200&lt;&gt;"OK","",ROUND($G200*使い方と設定!$B$7*$AK200*INDEX(個性タイプマスタ!$Q$5:$AA$54,$AE200,10)/$AG200,4))</f>
        <v>0.33879999999999999</v>
      </c>
      <c r="S200" s="9">
        <f>IF($H200&lt;&gt;"OK","",ROUND($G200*使い方と設定!$B$7*$AK200*INDEX(個性タイプマスタ!$Q$5:$AA$54,$AE200,11)/$AG200,4))</f>
        <v>0.54849999999999999</v>
      </c>
      <c r="T200" s="9">
        <f>IF($H200&lt;&gt;"OK","",ROUND($G200*使い方と設定!$B$8*$AK200*$AH200*INDEX(属性耐性マスタ!$B$5:$G$10,$AF200,1),4))</f>
        <v>1.3299999999999999E-2</v>
      </c>
      <c r="U200" s="9">
        <f>IF($H200&lt;&gt;"OK","",ROUND($G200*使い方と設定!$B$8*$AK200*$AH200*INDEX(属性耐性マスタ!$B$5:$G$10,$AF200,2),4))</f>
        <v>1.3299999999999999E-2</v>
      </c>
      <c r="V200" s="9">
        <f>IF($H200&lt;&gt;"OK","",ROUND($G200*使い方と設定!$B$8*$AK200*$AH200*INDEX(属性耐性マスタ!$B$5:$G$10,$AF200,3),4))</f>
        <v>4.9700000000000001E-2</v>
      </c>
      <c r="W200" s="9">
        <f>IF($H200&lt;&gt;"OK","",ROUND($G200*使い方と設定!$B$8*$AK200*$AH200*INDEX(属性耐性マスタ!$B$5:$G$10,$AF200,4),4))</f>
        <v>0.19889999999999999</v>
      </c>
      <c r="X200" s="9">
        <f>IF($H200&lt;&gt;"OK","",ROUND($G200*使い方と設定!$B$8*$AK200*$AH200*INDEX(属性耐性マスタ!$B$5:$G$10,$AF200,5),4))</f>
        <v>9.9000000000000008E-3</v>
      </c>
      <c r="Y200" s="9">
        <f>IF($H200&lt;&gt;"OK","",ROUND($G200*使い方と設定!$B$8*$AK200*$AH200*INDEX(属性耐性マスタ!$B$5:$G$10,$AF200,6),4))</f>
        <v>9.9000000000000008E-3</v>
      </c>
      <c r="Z200" s="9">
        <f>IF($H200&lt;&gt;"OK","",ROUND($G200*使い方と設定!$B$9*$AK200*$AI200,4))</f>
        <v>1.6114999999999999</v>
      </c>
      <c r="AA200" s="10">
        <v>1</v>
      </c>
      <c r="AB200" s="11">
        <f t="shared" si="10"/>
        <v>5.5251000000000001</v>
      </c>
      <c r="AC200" s="11">
        <f t="shared" si="11"/>
        <v>0.29499999999999998</v>
      </c>
      <c r="AD200" s="7" t="str">
        <f>IF($H200&lt;&gt;"OK","",INDEX(個性タイプマスタ!$P$5:$P$54,$AE200))</f>
        <v>低速高威力の遠距離砲台</v>
      </c>
      <c r="AE200">
        <f>IFERROR(MATCH(E200,個性タイプマスタ!$A$5:$A$54,0),0)</f>
        <v>17</v>
      </c>
      <c r="AF200">
        <f>IFERROR(MATCH(F200,属性耐性マスタ!$A$5:$A$10,0),0)</f>
        <v>4</v>
      </c>
      <c r="AG200">
        <f>IF(AE200=0,1,INDEX(個性タイプマスタ!$AB$5:$AB$54,AE200))</f>
        <v>10.436333333333334</v>
      </c>
      <c r="AH200">
        <f>IF(AE200=0,1,INDEX(個性タイプマスタ!$AC$5:$AC$54,AE200))</f>
        <v>0.9</v>
      </c>
      <c r="AI200">
        <f>IF(AE200=0,0,INDEX(個性タイプマスタ!$AD$5:$AD$54,AE200))</f>
        <v>0.875</v>
      </c>
      <c r="AJ200" s="16">
        <v>33</v>
      </c>
      <c r="AK200" s="17">
        <f>IF(OR(AJ200="",AJ200&lt;1),"",POWER(使い方と設定!$E$6,AJ200-1))</f>
        <v>3.5080587468457902</v>
      </c>
    </row>
    <row r="201" spans="1:37">
      <c r="A201" t="str">
        <f>+[2]称号!A196</f>
        <v>TITLE_195</v>
      </c>
      <c r="B201" t="str">
        <f>+[2]称号!B196</f>
        <v>火花妖統率者</v>
      </c>
      <c r="C201" t="s">
        <v>525</v>
      </c>
      <c r="D201" t="s">
        <v>526</v>
      </c>
      <c r="E201" s="2" t="str">
        <f>[1]モンスター計算!AM199</f>
        <v>魔法・魔防障壁</v>
      </c>
      <c r="F201" s="2" t="str">
        <f>[1]モンスター計算!C199</f>
        <v>雷</v>
      </c>
      <c r="G201" s="8">
        <v>1.1000000000000001</v>
      </c>
      <c r="H201" t="str">
        <f t="shared" si="9"/>
        <v>OK</v>
      </c>
      <c r="I201" s="9">
        <f>IF($H201&lt;&gt;"OK","",ROUND($G201*使い方と設定!$B$7*$AK201*INDEX(個性タイプマスタ!$Q$5:$AA$54,$AE201,1)/$AG201,4))</f>
        <v>0.59870000000000001</v>
      </c>
      <c r="J201" s="9">
        <f>IF($H201&lt;&gt;"OK","",ROUND($G201*使い方と設定!$B$7*$AK201*INDEX(個性タイプマスタ!$Q$5:$AA$54,$AE201,2)/$AG201,4))</f>
        <v>0.98829999999999996</v>
      </c>
      <c r="K201" s="9">
        <f>IF($H201&lt;&gt;"OK","",ROUND($G201*使い方と設定!$B$7*$AK201*INDEX(個性タイプマスタ!$Q$5:$AA$54,$AE201,3)/$AG201,4))</f>
        <v>8.3400000000000002E-2</v>
      </c>
      <c r="L201" s="9">
        <f>IF($H201&lt;&gt;"OK","",ROUND($G201*使い方と設定!$B$7*$AK201*INDEX(個性タイプマスタ!$Q$5:$AA$54,$AE201,4)/$AG201,4))</f>
        <v>1.2836000000000001</v>
      </c>
      <c r="M201" s="9">
        <f>IF($H201&lt;&gt;"OK","",ROUND($G201*使い方と設定!$B$7*$AK201*INDEX(個性タイプマスタ!$Q$5:$AA$54,$AE201,5)/$AG201,4))</f>
        <v>0.33600000000000002</v>
      </c>
      <c r="N201" s="9">
        <f>IF($H201&lt;&gt;"OK","",ROUND($G201*使い方と設定!$B$7*$AK201*INDEX(個性タイプマスタ!$Q$5:$AA$54,$AE201,6)/$AG201,4))</f>
        <v>0.89459999999999995</v>
      </c>
      <c r="O201" s="9">
        <f>IF($H201&lt;&gt;"OK","",ROUND($G201*使い方と設定!$B$7*$AK201*INDEX(個性タイプマスタ!$Q$5:$AA$54,$AE201,7)/$AG201,4))</f>
        <v>0.25409999999999999</v>
      </c>
      <c r="P201" s="9">
        <f>IF($H201&lt;&gt;"OK","",ROUND($G201*使い方と設定!$B$7*$AK201*INDEX(個性タイプマスタ!$Q$5:$AA$54,$AE201,8)/$AG201,4))</f>
        <v>0.3226</v>
      </c>
      <c r="Q201" s="9">
        <f>IF($H201&lt;&gt;"OK","",ROUND($G201*使い方と設定!$B$7*$AK201*INDEX(個性タイプマスタ!$Q$5:$AA$54,$AE201,9)/$AG201,4))</f>
        <v>0.21460000000000001</v>
      </c>
      <c r="R201" s="9">
        <f>IF($H201&lt;&gt;"OK","",ROUND($G201*使い方と設定!$B$7*$AK201*INDEX(個性タイプマスタ!$Q$5:$AA$54,$AE201,10)/$AG201,4))</f>
        <v>0.43130000000000002</v>
      </c>
      <c r="S201" s="9">
        <f>IF($H201&lt;&gt;"OK","",ROUND($G201*使い方と設定!$B$7*$AK201*INDEX(個性タイプマスタ!$Q$5:$AA$54,$AE201,11)/$AG201,4))</f>
        <v>0.38100000000000001</v>
      </c>
      <c r="T201" s="9">
        <f>IF($H201&lt;&gt;"OK","",ROUND($G201*使い方と設定!$B$8*$AK201*$AH201*INDEX(属性耐性マスタ!$B$5:$G$10,$AF201,1),4))</f>
        <v>2.1000000000000001E-2</v>
      </c>
      <c r="U201" s="9">
        <f>IF($H201&lt;&gt;"OK","",ROUND($G201*使い方と設定!$B$8*$AK201*$AH201*INDEX(属性耐性マスタ!$B$5:$G$10,$AF201,2),4))</f>
        <v>2.1000000000000001E-2</v>
      </c>
      <c r="V201" s="9">
        <f>IF($H201&lt;&gt;"OK","",ROUND($G201*使い方と設定!$B$8*$AK201*$AH201*INDEX(属性耐性マスタ!$B$5:$G$10,$AF201,3),4))</f>
        <v>7.8700000000000006E-2</v>
      </c>
      <c r="W201" s="9">
        <f>IF($H201&lt;&gt;"OK","",ROUND($G201*使い方と設定!$B$8*$AK201*$AH201*INDEX(属性耐性マスタ!$B$5:$G$10,$AF201,4),4))</f>
        <v>0.31490000000000001</v>
      </c>
      <c r="X201" s="9">
        <f>IF($H201&lt;&gt;"OK","",ROUND($G201*使い方と設定!$B$8*$AK201*$AH201*INDEX(属性耐性マスタ!$B$5:$G$10,$AF201,5),4))</f>
        <v>1.5699999999999999E-2</v>
      </c>
      <c r="Y201" s="9">
        <f>IF($H201&lt;&gt;"OK","",ROUND($G201*使い方と設定!$B$8*$AK201*$AH201*INDEX(属性耐性マスタ!$B$5:$G$10,$AF201,6),4))</f>
        <v>1.5699999999999999E-2</v>
      </c>
      <c r="Z201" s="9">
        <f>IF($H201&lt;&gt;"OK","",ROUND($G201*使い方と設定!$B$9*$AK201*$AI201,4))</f>
        <v>1.7685999999999999</v>
      </c>
      <c r="AA201" s="10">
        <v>0.9</v>
      </c>
      <c r="AB201" s="11">
        <f t="shared" si="10"/>
        <v>5.7881999999999998</v>
      </c>
      <c r="AC201" s="11">
        <f t="shared" si="11"/>
        <v>0.46700000000000003</v>
      </c>
      <c r="AD201" s="7" t="str">
        <f>IF($H201&lt;&gt;"OK","",INDEX(個性タイプマスタ!$P$5:$P$54,$AE201))</f>
        <v>魔法防御に偏重した耐久型</v>
      </c>
      <c r="AE201">
        <f>IFERROR(MATCH(E201,個性タイプマスタ!$A$5:$A$54,0),0)</f>
        <v>24</v>
      </c>
      <c r="AF201">
        <f>IFERROR(MATCH(F201,属性耐性マスタ!$A$5:$A$10,0),0)</f>
        <v>4</v>
      </c>
      <c r="AG201">
        <f>IF(AE201=0,1,INDEX(個性タイプマスタ!$AB$5:$AB$54,AE201))</f>
        <v>11.273833333333332</v>
      </c>
      <c r="AH201">
        <f>IF(AE201=0,1,INDEX(個性タイプマスタ!$AC$5:$AC$54,AE201))</f>
        <v>1.3599999999999999</v>
      </c>
      <c r="AI201">
        <f>IF(AE201=0,0,INDEX(個性タイプマスタ!$AD$5:$AD$54,AE201))</f>
        <v>0.91666666666666663</v>
      </c>
      <c r="AJ201" s="16">
        <v>33</v>
      </c>
      <c r="AK201" s="17">
        <f>IF(OR(AJ201="",AJ201&lt;1),"",POWER(使い方と設定!$E$6,AJ201-1))</f>
        <v>3.5080587468457902</v>
      </c>
    </row>
    <row r="202" spans="1:37">
      <c r="A202" t="str">
        <f>+[2]称号!A197</f>
        <v>TITLE_196</v>
      </c>
      <c r="B202" t="str">
        <f>+[2]称号!B197</f>
        <v>電殻破壊者</v>
      </c>
      <c r="C202" t="s">
        <v>527</v>
      </c>
      <c r="D202" t="s">
        <v>528</v>
      </c>
      <c r="E202" s="2" t="str">
        <f>[1]モンスター計算!AM200</f>
        <v>近接・軽装強打</v>
      </c>
      <c r="F202" s="2" t="str">
        <f>[1]モンスター計算!C200</f>
        <v>雷</v>
      </c>
      <c r="G202" s="8">
        <v>1.1499999999999999</v>
      </c>
      <c r="H202" t="str">
        <f t="shared" si="9"/>
        <v>OK</v>
      </c>
      <c r="I202" s="9">
        <f>IF($H202&lt;&gt;"OK","",ROUND($G202*使い方と設定!$B$7*$AK202*INDEX(個性タイプマスタ!$Q$5:$AA$54,$AE202,1)/$AG202,4))</f>
        <v>0.52229999999999999</v>
      </c>
      <c r="J202" s="9">
        <f>IF($H202&lt;&gt;"OK","",ROUND($G202*使い方と設定!$B$7*$AK202*INDEX(個性タイプマスタ!$Q$5:$AA$54,$AE202,2)/$AG202,4))</f>
        <v>0.21299999999999999</v>
      </c>
      <c r="K202" s="9">
        <f>IF($H202&lt;&gt;"OK","",ROUND($G202*使い方と設定!$B$7*$AK202*INDEX(個性タイプマスタ!$Q$5:$AA$54,$AE202,3)/$AG202,4))</f>
        <v>1.5619000000000001</v>
      </c>
      <c r="L202" s="9">
        <f>IF($H202&lt;&gt;"OK","",ROUND($G202*使い方と設定!$B$7*$AK202*INDEX(個性タイプマスタ!$Q$5:$AA$54,$AE202,4)/$AG202,4))</f>
        <v>9.6799999999999997E-2</v>
      </c>
      <c r="M202" s="9">
        <f>IF($H202&lt;&gt;"OK","",ROUND($G202*使い方と設定!$B$7*$AK202*INDEX(個性タイプマスタ!$Q$5:$AA$54,$AE202,5)/$AG202,4))</f>
        <v>0.40360000000000001</v>
      </c>
      <c r="N202" s="9">
        <f>IF($H202&lt;&gt;"OK","",ROUND($G202*使い方と設定!$B$7*$AK202*INDEX(個性タイプマスタ!$Q$5:$AA$54,$AE202,6)/$AG202,4))</f>
        <v>0.37169999999999997</v>
      </c>
      <c r="O202" s="9">
        <f>IF($H202&lt;&gt;"OK","",ROUND($G202*使い方と設定!$B$7*$AK202*INDEX(個性タイプマスタ!$Q$5:$AA$54,$AE202,7)/$AG202,4))</f>
        <v>0.65290000000000004</v>
      </c>
      <c r="P202" s="9">
        <f>IF($H202&lt;&gt;"OK","",ROUND($G202*使い方と設定!$B$7*$AK202*INDEX(個性タイプマスタ!$Q$5:$AA$54,$AE202,8)/$AG202,4))</f>
        <v>0.64970000000000006</v>
      </c>
      <c r="Q202" s="9">
        <f>IF($H202&lt;&gt;"OK","",ROUND($G202*使い方と設定!$B$7*$AK202*INDEX(個性タイプマスタ!$Q$5:$AA$54,$AE202,9)/$AG202,4))</f>
        <v>0.46039999999999998</v>
      </c>
      <c r="R202" s="9">
        <f>IF($H202&lt;&gt;"OK","",ROUND($G202*使い方と設定!$B$7*$AK202*INDEX(個性タイプマスタ!$Q$5:$AA$54,$AE202,10)/$AG202,4))</f>
        <v>0.5373</v>
      </c>
      <c r="S202" s="9">
        <f>IF($H202&lt;&gt;"OK","",ROUND($G202*使い方と設定!$B$7*$AK202*INDEX(個性タイプマスタ!$Q$5:$AA$54,$AE202,11)/$AG202,4))</f>
        <v>0.58160000000000001</v>
      </c>
      <c r="T202" s="9">
        <f>IF($H202&lt;&gt;"OK","",ROUND($G202*使い方と設定!$B$8*$AK202*$AH202*INDEX(属性耐性マスタ!$B$5:$G$10,$AF202,1),4))</f>
        <v>1.1599999999999999E-2</v>
      </c>
      <c r="U202" s="9">
        <f>IF($H202&lt;&gt;"OK","",ROUND($G202*使い方と設定!$B$8*$AK202*$AH202*INDEX(属性耐性マスタ!$B$5:$G$10,$AF202,2),4))</f>
        <v>1.1599999999999999E-2</v>
      </c>
      <c r="V202" s="9">
        <f>IF($H202&lt;&gt;"OK","",ROUND($G202*使い方と設定!$B$8*$AK202*$AH202*INDEX(属性耐性マスタ!$B$5:$G$10,$AF202,3),4))</f>
        <v>4.36E-2</v>
      </c>
      <c r="W202" s="9">
        <f>IF($H202&lt;&gt;"OK","",ROUND($G202*使い方と設定!$B$8*$AK202*$AH202*INDEX(属性耐性マスタ!$B$5:$G$10,$AF202,4),4))</f>
        <v>0.17430000000000001</v>
      </c>
      <c r="X202" s="9">
        <f>IF($H202&lt;&gt;"OK","",ROUND($G202*使い方と設定!$B$8*$AK202*$AH202*INDEX(属性耐性マスタ!$B$5:$G$10,$AF202,5),4))</f>
        <v>8.6999999999999994E-3</v>
      </c>
      <c r="Y202" s="9">
        <f>IF($H202&lt;&gt;"OK","",ROUND($G202*使い方と設定!$B$8*$AK202*$AH202*INDEX(属性耐性マスタ!$B$5:$G$10,$AF202,6),4))</f>
        <v>8.6999999999999994E-3</v>
      </c>
      <c r="Z202" s="9">
        <f>IF($H202&lt;&gt;"OK","",ROUND($G202*使い方と設定!$B$9*$AK202*$AI202,4))</f>
        <v>2.3365</v>
      </c>
      <c r="AA202" s="10">
        <v>0.55000000000000004</v>
      </c>
      <c r="AB202" s="11">
        <f t="shared" si="10"/>
        <v>6.0511999999999997</v>
      </c>
      <c r="AC202" s="11">
        <f t="shared" si="11"/>
        <v>0.25850000000000001</v>
      </c>
      <c r="AD202" s="7" t="str">
        <f>IF($H202&lt;&gt;"OK","",INDEX(個性タイプマスタ!$P$5:$P$54,$AE202))</f>
        <v>高い会心倍率と中距離の強打</v>
      </c>
      <c r="AE202">
        <f>IFERROR(MATCH(E202,個性タイプマスタ!$A$5:$A$54,0),0)</f>
        <v>50</v>
      </c>
      <c r="AF202">
        <f>IFERROR(MATCH(F202,属性耐性マスタ!$A$5:$A$10,0),0)</f>
        <v>4</v>
      </c>
      <c r="AG202">
        <f>IF(AE202=0,1,INDEX(個性タイプマスタ!$AB$5:$AB$54,AE202))</f>
        <v>9.6859999999999982</v>
      </c>
      <c r="AH202">
        <f>IF(AE202=0,1,INDEX(個性タイプマスタ!$AC$5:$AC$54,AE202))</f>
        <v>0.72</v>
      </c>
      <c r="AI202">
        <f>IF(AE202=0,0,INDEX(個性タイプマスタ!$AD$5:$AD$54,AE202))</f>
        <v>1.1583333333333332</v>
      </c>
      <c r="AJ202" s="16">
        <v>33</v>
      </c>
      <c r="AK202" s="17">
        <f>IF(OR(AJ202="",AJ202&lt;1),"",POWER(使い方と設定!$E$6,AJ202-1))</f>
        <v>3.5080587468457902</v>
      </c>
    </row>
    <row r="203" spans="1:37">
      <c r="A203" t="str">
        <f>+[2]称号!A198</f>
        <v>TITLE_197</v>
      </c>
      <c r="B203" t="str">
        <f>+[2]称号!B198</f>
        <v>雷翼翔覇者</v>
      </c>
      <c r="C203" t="s">
        <v>529</v>
      </c>
      <c r="D203" t="s">
        <v>530</v>
      </c>
      <c r="E203" s="2" t="str">
        <f>[1]モンスター計算!AM201</f>
        <v>近接・狂戦士</v>
      </c>
      <c r="F203" s="2" t="str">
        <f>[1]モンスター計算!C201</f>
        <v>雷</v>
      </c>
      <c r="G203" s="8">
        <v>1.2</v>
      </c>
      <c r="H203" t="str">
        <f t="shared" si="9"/>
        <v>OK</v>
      </c>
      <c r="I203" s="9">
        <f>IF($H203&lt;&gt;"OK","",ROUND($G203*使い方と設定!$B$7*$AK203*INDEX(個性タイプマスタ!$Q$5:$AA$54,$AE203,1)/$AG203,4))</f>
        <v>0.43909999999999999</v>
      </c>
      <c r="J203" s="9">
        <f>IF($H203&lt;&gt;"OK","",ROUND($G203*使い方と設定!$B$7*$AK203*INDEX(個性タイプマスタ!$Q$5:$AA$54,$AE203,2)/$AG203,4))</f>
        <v>0.16209999999999999</v>
      </c>
      <c r="K203" s="9">
        <f>IF($H203&lt;&gt;"OK","",ROUND($G203*使い方と設定!$B$7*$AK203*INDEX(個性タイプマスタ!$Q$5:$AA$54,$AE203,3)/$AG203,4))</f>
        <v>1.5354000000000001</v>
      </c>
      <c r="L203" s="9">
        <f>IF($H203&lt;&gt;"OK","",ROUND($G203*使い方と設定!$B$7*$AK203*INDEX(個性タイプマスタ!$Q$5:$AA$54,$AE203,4)/$AG203,4))</f>
        <v>9.98E-2</v>
      </c>
      <c r="M203" s="9">
        <f>IF($H203&lt;&gt;"OK","",ROUND($G203*使い方と設定!$B$7*$AK203*INDEX(個性タイプマスタ!$Q$5:$AA$54,$AE203,5)/$AG203,4))</f>
        <v>0.32369999999999999</v>
      </c>
      <c r="N203" s="9">
        <f>IF($H203&lt;&gt;"OK","",ROUND($G203*使い方と設定!$B$7*$AK203*INDEX(個性タイプマスタ!$Q$5:$AA$54,$AE203,6)/$AG203,4))</f>
        <v>0.35499999999999998</v>
      </c>
      <c r="O203" s="9">
        <f>IF($H203&lt;&gt;"OK","",ROUND($G203*使い方と設定!$B$7*$AK203*INDEX(個性タイプマスタ!$Q$5:$AA$54,$AE203,7)/$AG203,4))</f>
        <v>1.216</v>
      </c>
      <c r="P203" s="9">
        <f>IF($H203&lt;&gt;"OK","",ROUND($G203*使い方と設定!$B$7*$AK203*INDEX(個性タイプマスタ!$Q$5:$AA$54,$AE203,8)/$AG203,4))</f>
        <v>0.55889999999999995</v>
      </c>
      <c r="Q203" s="9">
        <f>IF($H203&lt;&gt;"OK","",ROUND($G203*使い方と設定!$B$7*$AK203*INDEX(個性タイプマスタ!$Q$5:$AA$54,$AE203,9)/$AG203,4))</f>
        <v>0.42559999999999998</v>
      </c>
      <c r="R203" s="9">
        <f>IF($H203&lt;&gt;"OK","",ROUND($G203*使い方と設定!$B$7*$AK203*INDEX(個性タイプマスタ!$Q$5:$AA$54,$AE203,10)/$AG203,4))</f>
        <v>0.82909999999999995</v>
      </c>
      <c r="S203" s="9">
        <f>IF($H203&lt;&gt;"OK","",ROUND($G203*使い方と設定!$B$7*$AK203*INDEX(個性タイプマスタ!$Q$5:$AA$54,$AE203,11)/$AG203,4))</f>
        <v>0.36969999999999997</v>
      </c>
      <c r="T203" s="9">
        <f>IF($H203&lt;&gt;"OK","",ROUND($G203*使い方と設定!$B$8*$AK203*$AH203*INDEX(属性耐性マスタ!$B$5:$G$10,$AF203,1),4))</f>
        <v>1.15E-2</v>
      </c>
      <c r="U203" s="9">
        <f>IF($H203&lt;&gt;"OK","",ROUND($G203*使い方と設定!$B$8*$AK203*$AH203*INDEX(属性耐性マスタ!$B$5:$G$10,$AF203,2),4))</f>
        <v>1.15E-2</v>
      </c>
      <c r="V203" s="9">
        <f>IF($H203&lt;&gt;"OK","",ROUND($G203*使い方と設定!$B$8*$AK203*$AH203*INDEX(属性耐性マスタ!$B$5:$G$10,$AF203,3),4))</f>
        <v>4.2900000000000001E-2</v>
      </c>
      <c r="W203" s="9">
        <f>IF($H203&lt;&gt;"OK","",ROUND($G203*使い方と設定!$B$8*$AK203*$AH203*INDEX(属性耐性マスタ!$B$5:$G$10,$AF203,4),4))</f>
        <v>0.17180000000000001</v>
      </c>
      <c r="X203" s="9">
        <f>IF($H203&lt;&gt;"OK","",ROUND($G203*使い方と設定!$B$8*$AK203*$AH203*INDEX(属性耐性マスタ!$B$5:$G$10,$AF203,5),4))</f>
        <v>8.6E-3</v>
      </c>
      <c r="Y203" s="9">
        <f>IF($H203&lt;&gt;"OK","",ROUND($G203*使い方と設定!$B$8*$AK203*$AH203*INDEX(属性耐性マスタ!$B$5:$G$10,$AF203,6),4))</f>
        <v>8.6E-3</v>
      </c>
      <c r="Z203" s="9">
        <f>IF($H203&lt;&gt;"OK","",ROUND($G203*使い方と設定!$B$9*$AK203*$AI203,4))</f>
        <v>2.3679000000000001</v>
      </c>
      <c r="AA203" s="10">
        <v>0.5</v>
      </c>
      <c r="AB203" s="11">
        <f t="shared" si="10"/>
        <v>6.3144</v>
      </c>
      <c r="AC203" s="11">
        <f t="shared" si="11"/>
        <v>0.25490000000000002</v>
      </c>
      <c r="AD203" s="7" t="str">
        <f>IF($H203&lt;&gt;"OK","",INDEX(個性タイプマスタ!$P$5:$P$54,$AE203))</f>
        <v>紙耐久の高回転会心型</v>
      </c>
      <c r="AE203">
        <f>IFERROR(MATCH(E203,個性タイプマスタ!$A$5:$A$54,0),0)</f>
        <v>32</v>
      </c>
      <c r="AF203">
        <f>IFERROR(MATCH(F203,属性耐性マスタ!$A$5:$A$10,0),0)</f>
        <v>4</v>
      </c>
      <c r="AG203">
        <f>IF(AE203=0,1,INDEX(個性タイプマスタ!$AB$5:$AB$54,AE203))</f>
        <v>10.281499999999999</v>
      </c>
      <c r="AH203">
        <f>IF(AE203=0,1,INDEX(個性タイプマスタ!$AC$5:$AC$54,AE203))</f>
        <v>0.67999999999999994</v>
      </c>
      <c r="AI203">
        <f>IF(AE203=0,0,INDEX(個性タイプマスタ!$AD$5:$AD$54,AE203))</f>
        <v>1.125</v>
      </c>
      <c r="AJ203" s="16">
        <v>33</v>
      </c>
      <c r="AK203" s="17">
        <f>IF(OR(AJ203="",AJ203&lt;1),"",POWER(使い方と設定!$E$6,AJ203-1))</f>
        <v>3.5080587468457902</v>
      </c>
    </row>
    <row r="204" spans="1:37">
      <c r="A204" t="str">
        <f>+[2]称号!A199</f>
        <v>TITLE_198</v>
      </c>
      <c r="B204" t="str">
        <f>+[2]称号!B199</f>
        <v>雷帝討滅者</v>
      </c>
      <c r="C204" t="s">
        <v>531</v>
      </c>
      <c r="D204" t="s">
        <v>532</v>
      </c>
      <c r="E204" s="2" t="str">
        <f>[1]モンスター計算!AM202</f>
        <v>魔法・長射程</v>
      </c>
      <c r="F204" s="2" t="str">
        <f>[1]モンスター計算!C202</f>
        <v>雷</v>
      </c>
      <c r="G204" s="8">
        <v>1.25</v>
      </c>
      <c r="H204" t="str">
        <f t="shared" si="9"/>
        <v>OK</v>
      </c>
      <c r="I204" s="9">
        <f>IF($H204&lt;&gt;"OK","",ROUND($G204*使い方と設定!$B$7*$AK204*INDEX(個性タイプマスタ!$Q$5:$AA$54,$AE204,1)/$AG204,4))</f>
        <v>0.66279999999999994</v>
      </c>
      <c r="J204" s="9">
        <f>IF($H204&lt;&gt;"OK","",ROUND($G204*使い方と設定!$B$7*$AK204*INDEX(個性タイプマスタ!$Q$5:$AA$54,$AE204,2)/$AG204,4))</f>
        <v>0.75939999999999996</v>
      </c>
      <c r="K204" s="9">
        <f>IF($H204&lt;&gt;"OK","",ROUND($G204*使い方と設定!$B$7*$AK204*INDEX(個性タイプマスタ!$Q$5:$AA$54,$AE204,3)/$AG204,4))</f>
        <v>9.7299999999999998E-2</v>
      </c>
      <c r="L204" s="9">
        <f>IF($H204&lt;&gt;"OK","",ROUND($G204*使い方と設定!$B$7*$AK204*INDEX(個性タイプマスタ!$Q$5:$AA$54,$AE204,4)/$AG204,4))</f>
        <v>1.5690999999999999</v>
      </c>
      <c r="M204" s="9">
        <f>IF($H204&lt;&gt;"OK","",ROUND($G204*使い方と設定!$B$7*$AK204*INDEX(個性タイプマスタ!$Q$5:$AA$54,$AE204,5)/$AG204,4))</f>
        <v>0.4375</v>
      </c>
      <c r="N204" s="9">
        <f>IF($H204&lt;&gt;"OK","",ROUND($G204*使い方と設定!$B$7*$AK204*INDEX(個性タイプマスタ!$Q$5:$AA$54,$AE204,6)/$AG204,4))</f>
        <v>0.48549999999999999</v>
      </c>
      <c r="O204" s="9">
        <f>IF($H204&lt;&gt;"OK","",ROUND($G204*使い方と設定!$B$7*$AK204*INDEX(個性タイプマスタ!$Q$5:$AA$54,$AE204,7)/$AG204,4))</f>
        <v>0.41420000000000001</v>
      </c>
      <c r="P204" s="9">
        <f>IF($H204&lt;&gt;"OK","",ROUND($G204*使い方と設定!$B$7*$AK204*INDEX(個性タイプマスタ!$Q$5:$AA$54,$AE204,8)/$AG204,4))</f>
        <v>0.43519999999999998</v>
      </c>
      <c r="Q204" s="9">
        <f>IF($H204&lt;&gt;"OK","",ROUND($G204*使い方と設定!$B$7*$AK204*INDEX(個性タイプマスタ!$Q$5:$AA$54,$AE204,9)/$AG204,4))</f>
        <v>0.31069999999999998</v>
      </c>
      <c r="R204" s="9">
        <f>IF($H204&lt;&gt;"OK","",ROUND($G204*使い方と設定!$B$7*$AK204*INDEX(個性タイプマスタ!$Q$5:$AA$54,$AE204,10)/$AG204,4))</f>
        <v>0.57120000000000004</v>
      </c>
      <c r="S204" s="9">
        <f>IF($H204&lt;&gt;"OK","",ROUND($G204*使い方と設定!$B$7*$AK204*INDEX(個性タイプマスタ!$Q$5:$AA$54,$AE204,11)/$AG204,4))</f>
        <v>0.83479999999999999</v>
      </c>
      <c r="T204" s="9">
        <f>IF($H204&lt;&gt;"OK","",ROUND($G204*使い方と設定!$B$8*$AK204*$AH204*INDEX(属性耐性マスタ!$B$5:$G$10,$AF204,1),4))</f>
        <v>1.61E-2</v>
      </c>
      <c r="U204" s="9">
        <f>IF($H204&lt;&gt;"OK","",ROUND($G204*使い方と設定!$B$8*$AK204*$AH204*INDEX(属性耐性マスタ!$B$5:$G$10,$AF204,2),4))</f>
        <v>1.61E-2</v>
      </c>
      <c r="V204" s="9">
        <f>IF($H204&lt;&gt;"OK","",ROUND($G204*使い方と設定!$B$8*$AK204*$AH204*INDEX(属性耐性マスタ!$B$5:$G$10,$AF204,3),4))</f>
        <v>6.0499999999999998E-2</v>
      </c>
      <c r="W204" s="9">
        <f>IF($H204&lt;&gt;"OK","",ROUND($G204*使い方と設定!$B$8*$AK204*$AH204*INDEX(属性耐性マスタ!$B$5:$G$10,$AF204,4),4))</f>
        <v>0.24210000000000001</v>
      </c>
      <c r="X204" s="9">
        <f>IF($H204&lt;&gt;"OK","",ROUND($G204*使い方と設定!$B$8*$AK204*$AH204*INDEX(属性耐性マスタ!$B$5:$G$10,$AF204,5),4))</f>
        <v>1.21E-2</v>
      </c>
      <c r="Y204" s="9">
        <f>IF($H204&lt;&gt;"OK","",ROUND($G204*使い方と設定!$B$8*$AK204*$AH204*INDEX(属性耐性マスタ!$B$5:$G$10,$AF204,6),4))</f>
        <v>1.21E-2</v>
      </c>
      <c r="Z204" s="9">
        <f>IF($H204&lt;&gt;"OK","",ROUND($G204*使い方と設定!$B$9*$AK204*$AI204,4))</f>
        <v>2.1377000000000002</v>
      </c>
      <c r="AA204" s="10">
        <v>0.25</v>
      </c>
      <c r="AB204" s="11">
        <f t="shared" si="10"/>
        <v>6.5777000000000001</v>
      </c>
      <c r="AC204" s="11">
        <f t="shared" si="11"/>
        <v>0.35899999999999999</v>
      </c>
      <c r="AD204" s="7" t="str">
        <f>IF($H204&lt;&gt;"OK","",INDEX(個性タイプマスタ!$P$5:$P$54,$AE204))</f>
        <v>射程を優先した後衛</v>
      </c>
      <c r="AE204">
        <f>IFERROR(MATCH(E204,個性タイプマスタ!$A$5:$A$54,0),0)</f>
        <v>20</v>
      </c>
      <c r="AF204">
        <f>IFERROR(MATCH(F204,属性耐性マスタ!$A$5:$A$10,0),0)</f>
        <v>4</v>
      </c>
      <c r="AG204">
        <f>IF(AE204=0,1,INDEX(個性タイプマスタ!$AB$5:$AB$54,AE204))</f>
        <v>10.479833333333334</v>
      </c>
      <c r="AH204">
        <f>IF(AE204=0,1,INDEX(個性タイプマスタ!$AC$5:$AC$54,AE204))</f>
        <v>0.92</v>
      </c>
      <c r="AI204">
        <f>IF(AE204=0,0,INDEX(個性タイプマスタ!$AD$5:$AD$54,AE204))</f>
        <v>0.97499999999999998</v>
      </c>
      <c r="AJ204" s="16">
        <v>33</v>
      </c>
      <c r="AK204" s="17">
        <f>IF(OR(AJ204="",AJ204&lt;1),"",POWER(使い方と設定!$E$6,AJ204-1))</f>
        <v>3.5080587468457902</v>
      </c>
    </row>
    <row r="205" spans="1:37">
      <c r="A205" t="str">
        <f>+[2]称号!A200</f>
        <v>TITLE_199</v>
      </c>
      <c r="B205" t="str">
        <f>+[2]称号!B200</f>
        <v>砂骸亡者</v>
      </c>
      <c r="C205" t="s">
        <v>533</v>
      </c>
      <c r="D205" t="s">
        <v>534</v>
      </c>
      <c r="E205" s="2" t="str">
        <f>[1]モンスター計算!AM203</f>
        <v>魔法・狙撃</v>
      </c>
      <c r="F205" s="2" t="str">
        <f>[1]モンスター計算!C203</f>
        <v>風</v>
      </c>
      <c r="G205" s="8">
        <v>1</v>
      </c>
      <c r="H205" t="str">
        <f t="shared" si="9"/>
        <v>OK</v>
      </c>
      <c r="I205" s="9">
        <f>IF($H205&lt;&gt;"OK","",ROUND($G205*使い方と設定!$B$7*$AK205*INDEX(個性タイプマスタ!$Q$5:$AA$54,$AE205,1)/$AG205,4))</f>
        <v>0.3654</v>
      </c>
      <c r="J205" s="9">
        <f>IF($H205&lt;&gt;"OK","",ROUND($G205*使い方と設定!$B$7*$AK205*INDEX(個性タイプマスタ!$Q$5:$AA$54,$AE205,2)/$AG205,4))</f>
        <v>0.59989999999999999</v>
      </c>
      <c r="K205" s="9">
        <f>IF($H205&lt;&gt;"OK","",ROUND($G205*使い方と設定!$B$7*$AK205*INDEX(個性タイプマスタ!$Q$5:$AA$54,$AE205,3)/$AG205,4))</f>
        <v>6.4500000000000002E-2</v>
      </c>
      <c r="L205" s="9">
        <f>IF($H205&lt;&gt;"OK","",ROUND($G205*使い方と設定!$B$7*$AK205*INDEX(個性タイプマスタ!$Q$5:$AA$54,$AE205,4)/$AG205,4))</f>
        <v>1.2395</v>
      </c>
      <c r="M205" s="9">
        <f>IF($H205&lt;&gt;"OK","",ROUND($G205*使い方と設定!$B$7*$AK205*INDEX(個性タイプマスタ!$Q$5:$AA$54,$AE205,5)/$AG205,4))</f>
        <v>0.27389999999999998</v>
      </c>
      <c r="N205" s="9">
        <f>IF($H205&lt;&gt;"OK","",ROUND($G205*使い方と設定!$B$7*$AK205*INDEX(個性タイプマスタ!$Q$5:$AA$54,$AE205,6)/$AG205,4))</f>
        <v>0.33710000000000001</v>
      </c>
      <c r="O205" s="9">
        <f>IF($H205&lt;&gt;"OK","",ROUND($G205*使い方と設定!$B$7*$AK205*INDEX(個性タイプマスタ!$Q$5:$AA$54,$AE205,7)/$AG205,4))</f>
        <v>0.98170000000000002</v>
      </c>
      <c r="P205" s="9">
        <f>IF($H205&lt;&gt;"OK","",ROUND($G205*使い方と設定!$B$7*$AK205*INDEX(個性タイプマスタ!$Q$5:$AA$54,$AE205,8)/$AG205,4))</f>
        <v>0.39750000000000002</v>
      </c>
      <c r="Q205" s="9">
        <f>IF($H205&lt;&gt;"OK","",ROUND($G205*使い方と設定!$B$7*$AK205*INDEX(個性タイプマスタ!$Q$5:$AA$54,$AE205,9)/$AG205,4))</f>
        <v>0.22359999999999999</v>
      </c>
      <c r="R205" s="9">
        <f>IF($H205&lt;&gt;"OK","",ROUND($G205*使い方と設定!$B$7*$AK205*INDEX(個性タイプマスタ!$Q$5:$AA$54,$AE205,10)/$AG205,4))</f>
        <v>0.37180000000000002</v>
      </c>
      <c r="S205" s="9">
        <f>IF($H205&lt;&gt;"OK","",ROUND($G205*使い方と設定!$B$7*$AK205*INDEX(個性タイプマスタ!$Q$5:$AA$54,$AE205,11)/$AG205,4))</f>
        <v>0.61770000000000003</v>
      </c>
      <c r="T205" s="9">
        <f>IF($H205&lt;&gt;"OK","",ROUND($G205*使い方と設定!$B$8*$AK205*$AH205*INDEX(属性耐性マスタ!$B$5:$G$10,$AF205,1),4))</f>
        <v>1.11E-2</v>
      </c>
      <c r="U205" s="9">
        <f>IF($H205&lt;&gt;"OK","",ROUND($G205*使い方と設定!$B$8*$AK205*$AH205*INDEX(属性耐性マスタ!$B$5:$G$10,$AF205,2),4))</f>
        <v>1.11E-2</v>
      </c>
      <c r="V205" s="9">
        <f>IF($H205&lt;&gt;"OK","",ROUND($G205*使い方と設定!$B$8*$AK205*$AH205*INDEX(属性耐性マスタ!$B$5:$G$10,$AF205,3),4))</f>
        <v>0.16639999999999999</v>
      </c>
      <c r="W205" s="9">
        <f>IF($H205&lt;&gt;"OK","",ROUND($G205*使い方と設定!$B$8*$AK205*$AH205*INDEX(属性耐性マスタ!$B$5:$G$10,$AF205,4),4))</f>
        <v>4.1599999999999998E-2</v>
      </c>
      <c r="X205" s="9">
        <f>IF($H205&lt;&gt;"OK","",ROUND($G205*使い方と設定!$B$8*$AK205*$AH205*INDEX(属性耐性マスタ!$B$5:$G$10,$AF205,5),4))</f>
        <v>8.3000000000000001E-3</v>
      </c>
      <c r="Y205" s="9">
        <f>IF($H205&lt;&gt;"OK","",ROUND($G205*使い方と設定!$B$8*$AK205*$AH205*INDEX(属性耐性マスタ!$B$5:$G$10,$AF205,6),4))</f>
        <v>8.3000000000000001E-3</v>
      </c>
      <c r="Z205" s="9">
        <f>IF($H205&lt;&gt;"OK","",ROUND($G205*使い方と設定!$B$9*$AK205*$AI205,4))</f>
        <v>1.7178</v>
      </c>
      <c r="AA205" s="10">
        <v>1</v>
      </c>
      <c r="AB205" s="11">
        <f t="shared" si="10"/>
        <v>5.4725999999999999</v>
      </c>
      <c r="AC205" s="11">
        <f t="shared" si="11"/>
        <v>0.24679999999999999</v>
      </c>
      <c r="AD205" s="7" t="str">
        <f>IF($H205&lt;&gt;"OK","",INDEX(個性タイプマスタ!$P$5:$P$54,$AE205))</f>
        <v>長射程・高会心。接近戦に弱い</v>
      </c>
      <c r="AE205">
        <f>IFERROR(MATCH(E205,個性タイプマスタ!$A$5:$A$54,0),0)</f>
        <v>16</v>
      </c>
      <c r="AF205">
        <f>IFERROR(MATCH(F205,属性耐性マスタ!$A$5:$A$10,0),0)</f>
        <v>3</v>
      </c>
      <c r="AG205">
        <f>IF(AE205=0,1,INDEX(個性タイプマスタ!$AB$5:$AB$54,AE205))</f>
        <v>11.038166666666667</v>
      </c>
      <c r="AH205">
        <f>IF(AE205=0,1,INDEX(個性タイプマスタ!$AC$5:$AC$54,AE205))</f>
        <v>0.76</v>
      </c>
      <c r="AI205">
        <f>IF(AE205=0,0,INDEX(個性タイプマスタ!$AD$5:$AD$54,AE205))</f>
        <v>0.94166666666666665</v>
      </c>
      <c r="AJ205" s="16">
        <v>34</v>
      </c>
      <c r="AK205" s="17">
        <f>IF(OR(AJ205="",AJ205&lt;1),"",POWER(使い方と設定!$E$6,AJ205-1))</f>
        <v>3.6483810967196217</v>
      </c>
    </row>
    <row r="206" spans="1:37">
      <c r="A206" t="str">
        <f>+[2]称号!A201</f>
        <v>TITLE_200</v>
      </c>
      <c r="B206" t="str">
        <f>+[2]称号!B201</f>
        <v>煌殻秘虫</v>
      </c>
      <c r="C206" t="s">
        <v>535</v>
      </c>
      <c r="D206" t="s">
        <v>536</v>
      </c>
      <c r="E206" s="2" t="str">
        <f>[1]モンスター計算!AM204</f>
        <v>魔法・会心一撃</v>
      </c>
      <c r="F206" s="2" t="str">
        <f>[1]モンスター計算!C204</f>
        <v>雷</v>
      </c>
      <c r="G206" s="8">
        <v>1.05</v>
      </c>
      <c r="H206" t="str">
        <f t="shared" si="9"/>
        <v>OK</v>
      </c>
      <c r="I206" s="9">
        <f>IF($H206&lt;&gt;"OK","",ROUND($G206*使い方と設定!$B$7*$AK206*INDEX(個性タイプマスタ!$Q$5:$AA$54,$AE206,1)/$AG206,4))</f>
        <v>0.46820000000000001</v>
      </c>
      <c r="J206" s="9">
        <f>IF($H206&lt;&gt;"OK","",ROUND($G206*使い方と設定!$B$7*$AK206*INDEX(個性タイプマスタ!$Q$5:$AA$54,$AE206,2)/$AG206,4))</f>
        <v>0.77080000000000004</v>
      </c>
      <c r="K206" s="9">
        <f>IF($H206&lt;&gt;"OK","",ROUND($G206*使い方と設定!$B$7*$AK206*INDEX(個性タイプマスタ!$Q$5:$AA$54,$AE206,3)/$AG206,4))</f>
        <v>7.7899999999999997E-2</v>
      </c>
      <c r="L206" s="9">
        <f>IF($H206&lt;&gt;"OK","",ROUND($G206*使い方と設定!$B$7*$AK206*INDEX(個性タイプマスタ!$Q$5:$AA$54,$AE206,4)/$AG206,4))</f>
        <v>1.2977000000000001</v>
      </c>
      <c r="M206" s="9">
        <f>IF($H206&lt;&gt;"OK","",ROUND($G206*使い方と設定!$B$7*$AK206*INDEX(個性タイプマスタ!$Q$5:$AA$54,$AE206,5)/$AG206,4))</f>
        <v>0.3574</v>
      </c>
      <c r="N206" s="9">
        <f>IF($H206&lt;&gt;"OK","",ROUND($G206*使い方と設定!$B$7*$AK206*INDEX(個性タイプマスタ!$Q$5:$AA$54,$AE206,6)/$AG206,4))</f>
        <v>0.38390000000000002</v>
      </c>
      <c r="O206" s="9">
        <f>IF($H206&lt;&gt;"OK","",ROUND($G206*使い方と設定!$B$7*$AK206*INDEX(個性タイプマスタ!$Q$5:$AA$54,$AE206,7)/$AG206,4))</f>
        <v>0.68520000000000003</v>
      </c>
      <c r="P206" s="9">
        <f>IF($H206&lt;&gt;"OK","",ROUND($G206*使い方と設定!$B$7*$AK206*INDEX(個性タイプマスタ!$Q$5:$AA$54,$AE206,8)/$AG206,4))</f>
        <v>0.5736</v>
      </c>
      <c r="Q206" s="9">
        <f>IF($H206&lt;&gt;"OK","",ROUND($G206*使い方と設定!$B$7*$AK206*INDEX(個性タイプマスタ!$Q$5:$AA$54,$AE206,9)/$AG206,4))</f>
        <v>0.26269999999999999</v>
      </c>
      <c r="R206" s="9">
        <f>IF($H206&lt;&gt;"OK","",ROUND($G206*使い方と設定!$B$7*$AK206*INDEX(個性タイプマスタ!$Q$5:$AA$54,$AE206,10)/$AG206,4))</f>
        <v>0.35299999999999998</v>
      </c>
      <c r="S206" s="9">
        <f>IF($H206&lt;&gt;"OK","",ROUND($G206*使い方と設定!$B$7*$AK206*INDEX(個性タイプマスタ!$Q$5:$AA$54,$AE206,11)/$AG206,4))</f>
        <v>0.51600000000000001</v>
      </c>
      <c r="T206" s="9">
        <f>IF($H206&lt;&gt;"OK","",ROUND($G206*使い方と設定!$B$8*$AK206*$AH206*INDEX(属性耐性マスタ!$B$5:$G$10,$AF206,1),4))</f>
        <v>1.2E-2</v>
      </c>
      <c r="U206" s="9">
        <f>IF($H206&lt;&gt;"OK","",ROUND($G206*使い方と設定!$B$8*$AK206*$AH206*INDEX(属性耐性マスタ!$B$5:$G$10,$AF206,2),4))</f>
        <v>1.2E-2</v>
      </c>
      <c r="V206" s="9">
        <f>IF($H206&lt;&gt;"OK","",ROUND($G206*使い方と設定!$B$8*$AK206*$AH206*INDEX(属性耐性マスタ!$B$5:$G$10,$AF206,3),4))</f>
        <v>4.48E-2</v>
      </c>
      <c r="W206" s="9">
        <f>IF($H206&lt;&gt;"OK","",ROUND($G206*使い方と設定!$B$8*$AK206*$AH206*INDEX(属性耐性マスタ!$B$5:$G$10,$AF206,4),4))</f>
        <v>0.17929999999999999</v>
      </c>
      <c r="X206" s="9">
        <f>IF($H206&lt;&gt;"OK","",ROUND($G206*使い方と設定!$B$8*$AK206*$AH206*INDEX(属性耐性マスタ!$B$5:$G$10,$AF206,5),4))</f>
        <v>8.9999999999999993E-3</v>
      </c>
      <c r="Y206" s="9">
        <f>IF($H206&lt;&gt;"OK","",ROUND($G206*使い方と設定!$B$8*$AK206*$AH206*INDEX(属性耐性マスタ!$B$5:$G$10,$AF206,6),4))</f>
        <v>8.9999999999999993E-3</v>
      </c>
      <c r="Z206" s="9">
        <f>IF($H206&lt;&gt;"OK","",ROUND($G206*使い方と設定!$B$9*$AK206*$AI206,4))</f>
        <v>1.8835</v>
      </c>
      <c r="AA206" s="10">
        <v>1</v>
      </c>
      <c r="AB206" s="11">
        <f t="shared" si="10"/>
        <v>5.7464000000000004</v>
      </c>
      <c r="AC206" s="11">
        <f t="shared" si="11"/>
        <v>0.2661</v>
      </c>
      <c r="AD206" s="7" t="str">
        <f>IF($H206&lt;&gt;"OK","",INDEX(個性タイプマスタ!$P$5:$P$54,$AE206))</f>
        <v>会心倍率が極めて高い一撃型</v>
      </c>
      <c r="AE206">
        <f>IFERROR(MATCH(E206,個性タイプマスタ!$A$5:$A$54,0),0)</f>
        <v>23</v>
      </c>
      <c r="AF206">
        <f>IFERROR(MATCH(F206,属性耐性マスタ!$A$5:$A$10,0),0)</f>
        <v>4</v>
      </c>
      <c r="AG206">
        <f>IF(AE206=0,1,INDEX(個性タイプマスタ!$AB$5:$AB$54,AE206))</f>
        <v>11.07</v>
      </c>
      <c r="AH206">
        <f>IF(AE206=0,1,INDEX(個性タイプマスタ!$AC$5:$AC$54,AE206))</f>
        <v>0.78</v>
      </c>
      <c r="AI206">
        <f>IF(AE206=0,0,INDEX(個性タイプマスタ!$AD$5:$AD$54,AE206))</f>
        <v>0.98333333333333328</v>
      </c>
      <c r="AJ206" s="16">
        <v>34</v>
      </c>
      <c r="AK206" s="17">
        <f>IF(OR(AJ206="",AJ206&lt;1),"",POWER(使い方と設定!$E$6,AJ206-1))</f>
        <v>3.6483810967196217</v>
      </c>
    </row>
    <row r="207" spans="1:37">
      <c r="A207" t="str">
        <f>+[2]称号!A202</f>
        <v>TITLE_201</v>
      </c>
      <c r="B207" t="str">
        <f>+[2]称号!B202</f>
        <v>流牙砂蛇</v>
      </c>
      <c r="C207" t="s">
        <v>537</v>
      </c>
      <c r="D207" t="s">
        <v>538</v>
      </c>
      <c r="E207" s="2" t="str">
        <f>[1]モンスター計算!AM205</f>
        <v>魔法・鈍足賢者</v>
      </c>
      <c r="F207" s="2" t="str">
        <f>[1]モンスター計算!C205</f>
        <v>風</v>
      </c>
      <c r="G207" s="8">
        <v>1.1000000000000001</v>
      </c>
      <c r="H207" t="str">
        <f t="shared" si="9"/>
        <v>OK</v>
      </c>
      <c r="I207" s="9">
        <f>IF($H207&lt;&gt;"OK","",ROUND($G207*使い方と設定!$B$7*$AK207*INDEX(個性タイプマスタ!$Q$5:$AA$54,$AE207,1)/$AG207,4))</f>
        <v>0.71699999999999997</v>
      </c>
      <c r="J207" s="9">
        <f>IF($H207&lt;&gt;"OK","",ROUND($G207*使い方と設定!$B$7*$AK207*INDEX(個性タイプマスタ!$Q$5:$AA$54,$AE207,2)/$AG207,4))</f>
        <v>1.1266</v>
      </c>
      <c r="K207" s="9">
        <f>IF($H207&lt;&gt;"OK","",ROUND($G207*使い方と設定!$B$7*$AK207*INDEX(個性タイプマスタ!$Q$5:$AA$54,$AE207,3)/$AG207,4))</f>
        <v>9.7799999999999998E-2</v>
      </c>
      <c r="L207" s="9">
        <f>IF($H207&lt;&gt;"OK","",ROUND($G207*使い方と設定!$B$7*$AK207*INDEX(個性タイプマスタ!$Q$5:$AA$54,$AE207,4)/$AG207,4))</f>
        <v>1.1638999999999999</v>
      </c>
      <c r="M207" s="9">
        <f>IF($H207&lt;&gt;"OK","",ROUND($G207*使い方と設定!$B$7*$AK207*INDEX(個性タイプマスタ!$Q$5:$AA$54,$AE207,5)/$AG207,4))</f>
        <v>0.37590000000000001</v>
      </c>
      <c r="N207" s="9">
        <f>IF($H207&lt;&gt;"OK","",ROUND($G207*使い方と設定!$B$7*$AK207*INDEX(個性タイプマスタ!$Q$5:$AA$54,$AE207,6)/$AG207,4))</f>
        <v>0.66479999999999995</v>
      </c>
      <c r="O207" s="9">
        <f>IF($H207&lt;&gt;"OK","",ROUND($G207*使い方と設定!$B$7*$AK207*INDEX(個性タイプマスタ!$Q$5:$AA$54,$AE207,7)/$AG207,4))</f>
        <v>0.58889999999999998</v>
      </c>
      <c r="P207" s="9">
        <f>IF($H207&lt;&gt;"OK","",ROUND($G207*使い方と設定!$B$7*$AK207*INDEX(個性タイプマスタ!$Q$5:$AA$54,$AE207,8)/$AG207,4))</f>
        <v>0.39340000000000003</v>
      </c>
      <c r="Q207" s="9">
        <f>IF($H207&lt;&gt;"OK","",ROUND($G207*使い方と設定!$B$7*$AK207*INDEX(個性タイプマスタ!$Q$5:$AA$54,$AE207,9)/$AG207,4))</f>
        <v>0.1229</v>
      </c>
      <c r="R207" s="9">
        <f>IF($H207&lt;&gt;"OK","",ROUND($G207*使い方と設定!$B$7*$AK207*INDEX(個性タイプマスタ!$Q$5:$AA$54,$AE207,10)/$AG207,4))</f>
        <v>0.3352</v>
      </c>
      <c r="S207" s="9">
        <f>IF($H207&lt;&gt;"OK","",ROUND($G207*使い方と設定!$B$7*$AK207*INDEX(個性タイプマスタ!$Q$5:$AA$54,$AE207,11)/$AG207,4))</f>
        <v>0.43340000000000001</v>
      </c>
      <c r="T207" s="9">
        <f>IF($H207&lt;&gt;"OK","",ROUND($G207*使い方と設定!$B$8*$AK207*$AH207*INDEX(属性耐性マスタ!$B$5:$G$10,$AF207,1),4))</f>
        <v>2.12E-2</v>
      </c>
      <c r="U207" s="9">
        <f>IF($H207&lt;&gt;"OK","",ROUND($G207*使い方と設定!$B$8*$AK207*$AH207*INDEX(属性耐性マスタ!$B$5:$G$10,$AF207,2),4))</f>
        <v>2.12E-2</v>
      </c>
      <c r="V207" s="9">
        <f>IF($H207&lt;&gt;"OK","",ROUND($G207*使い方と設定!$B$8*$AK207*$AH207*INDEX(属性耐性マスタ!$B$5:$G$10,$AF207,3),4))</f>
        <v>0.31780000000000003</v>
      </c>
      <c r="W207" s="9">
        <f>IF($H207&lt;&gt;"OK","",ROUND($G207*使い方と設定!$B$8*$AK207*$AH207*INDEX(属性耐性マスタ!$B$5:$G$10,$AF207,4),4))</f>
        <v>7.9500000000000001E-2</v>
      </c>
      <c r="X207" s="9">
        <f>IF($H207&lt;&gt;"OK","",ROUND($G207*使い方と設定!$B$8*$AK207*$AH207*INDEX(属性耐性マスタ!$B$5:$G$10,$AF207,5),4))</f>
        <v>1.5900000000000001E-2</v>
      </c>
      <c r="Y207" s="9">
        <f>IF($H207&lt;&gt;"OK","",ROUND($G207*使い方と設定!$B$8*$AK207*$AH207*INDEX(属性耐性マスタ!$B$5:$G$10,$AF207,6),4))</f>
        <v>1.5900000000000001E-2</v>
      </c>
      <c r="Z207" s="9">
        <f>IF($H207&lt;&gt;"OK","",ROUND($G207*使い方と設定!$B$9*$AK207*$AI207,4))</f>
        <v>1.6052999999999999</v>
      </c>
      <c r="AA207" s="10">
        <v>0.9</v>
      </c>
      <c r="AB207" s="11">
        <f t="shared" si="10"/>
        <v>6.0198</v>
      </c>
      <c r="AC207" s="11">
        <f t="shared" si="11"/>
        <v>0.47149999999999997</v>
      </c>
      <c r="AD207" s="7" t="str">
        <f>IF($H207&lt;&gt;"OK","",INDEX(個性タイプマスタ!$P$5:$P$54,$AE207))</f>
        <v>低機動・高MP・高魔防</v>
      </c>
      <c r="AE207">
        <f>IFERROR(MATCH(E207,個性タイプマスタ!$A$5:$A$54,0),0)</f>
        <v>30</v>
      </c>
      <c r="AF207">
        <f>IFERROR(MATCH(F207,属性耐性マスタ!$A$5:$A$10,0),0)</f>
        <v>3</v>
      </c>
      <c r="AG207">
        <f>IF(AE207=0,1,INDEX(個性タイプマスタ!$AB$5:$AB$54,AE207))</f>
        <v>12.9305</v>
      </c>
      <c r="AH207">
        <f>IF(AE207=0,1,INDEX(個性タイプマスタ!$AC$5:$AC$54,AE207))</f>
        <v>1.32</v>
      </c>
      <c r="AI207">
        <f>IF(AE207=0,0,INDEX(個性タイプマスタ!$AD$5:$AD$54,AE207))</f>
        <v>0.79999999999999993</v>
      </c>
      <c r="AJ207" s="16">
        <v>34</v>
      </c>
      <c r="AK207" s="17">
        <f>IF(OR(AJ207="",AJ207&lt;1),"",POWER(使い方と設定!$E$6,AJ207-1))</f>
        <v>3.6483810967196217</v>
      </c>
    </row>
    <row r="208" spans="1:37">
      <c r="A208" t="str">
        <f>+[2]称号!A203</f>
        <v>TITLE_202</v>
      </c>
      <c r="B208" t="str">
        <f>+[2]称号!B203</f>
        <v>古碑守護像</v>
      </c>
      <c r="C208" t="s">
        <v>539</v>
      </c>
      <c r="D208" t="s">
        <v>540</v>
      </c>
      <c r="E208" s="2" t="str">
        <f>[1]モンスター計算!AM206</f>
        <v>近接・守護</v>
      </c>
      <c r="F208" s="2" t="str">
        <f>[1]モンスター計算!C206</f>
        <v>雷</v>
      </c>
      <c r="G208" s="8">
        <v>1.1499999999999999</v>
      </c>
      <c r="H208" t="str">
        <f t="shared" si="9"/>
        <v>OK</v>
      </c>
      <c r="I208" s="9">
        <f>IF($H208&lt;&gt;"OK","",ROUND($G208*使い方と設定!$B$7*$AK208*INDEX(個性タイプマスタ!$Q$5:$AA$54,$AE208,1)/$AG208,4))</f>
        <v>1.0654999999999999</v>
      </c>
      <c r="J208" s="9">
        <f>IF($H208&lt;&gt;"OK","",ROUND($G208*使い方と設定!$B$7*$AK208*INDEX(個性タイプマスタ!$Q$5:$AA$54,$AE208,2)/$AG208,4))</f>
        <v>0.28299999999999997</v>
      </c>
      <c r="K208" s="9">
        <f>IF($H208&lt;&gt;"OK","",ROUND($G208*使い方と設定!$B$7*$AK208*INDEX(個性タイプマスタ!$Q$5:$AA$54,$AE208,3)/$AG208,4))</f>
        <v>1.5135000000000001</v>
      </c>
      <c r="L208" s="9">
        <f>IF($H208&lt;&gt;"OK","",ROUND($G208*使い方と設定!$B$7*$AK208*INDEX(個性タイプマスタ!$Q$5:$AA$54,$AE208,4)/$AG208,4))</f>
        <v>0.15129999999999999</v>
      </c>
      <c r="M208" s="9">
        <f>IF($H208&lt;&gt;"OK","",ROUND($G208*使い方と設定!$B$7*$AK208*INDEX(個性タイプマスタ!$Q$5:$AA$54,$AE208,5)/$AG208,4))</f>
        <v>0.79759999999999998</v>
      </c>
      <c r="N208" s="9">
        <f>IF($H208&lt;&gt;"OK","",ROUND($G208*使い方と設定!$B$7*$AK208*INDEX(個性タイプマスタ!$Q$5:$AA$54,$AE208,6)/$AG208,4))</f>
        <v>0.72040000000000004</v>
      </c>
      <c r="O208" s="9">
        <f>IF($H208&lt;&gt;"OK","",ROUND($G208*使い方と設定!$B$7*$AK208*INDEX(個性タイプマスタ!$Q$5:$AA$54,$AE208,7)/$AG208,4))</f>
        <v>0.26640000000000003</v>
      </c>
      <c r="P208" s="9">
        <f>IF($H208&lt;&gt;"OK","",ROUND($G208*使い方と設定!$B$7*$AK208*INDEX(個性タイプマスタ!$Q$5:$AA$54,$AE208,8)/$AG208,4))</f>
        <v>0.36730000000000002</v>
      </c>
      <c r="Q208" s="9">
        <f>IF($H208&lt;&gt;"OK","",ROUND($G208*使い方と設定!$B$7*$AK208*INDEX(個性タイプマスタ!$Q$5:$AA$54,$AE208,9)/$AG208,4))</f>
        <v>0.29299999999999998</v>
      </c>
      <c r="R208" s="9">
        <f>IF($H208&lt;&gt;"OK","",ROUND($G208*使い方と設定!$B$7*$AK208*INDEX(個性タイプマスタ!$Q$5:$AA$54,$AE208,10)/$AG208,4))</f>
        <v>0.49640000000000001</v>
      </c>
      <c r="S208" s="9">
        <f>IF($H208&lt;&gt;"OK","",ROUND($G208*使い方と設定!$B$7*$AK208*INDEX(個性タイプマスタ!$Q$5:$AA$54,$AE208,11)/$AG208,4))</f>
        <v>0.33900000000000002</v>
      </c>
      <c r="T208" s="9">
        <f>IF($H208&lt;&gt;"OK","",ROUND($G208*使い方と設定!$B$8*$AK208*$AH208*INDEX(属性耐性マスタ!$B$5:$G$10,$AF208,1),4))</f>
        <v>2.35E-2</v>
      </c>
      <c r="U208" s="9">
        <f>IF($H208&lt;&gt;"OK","",ROUND($G208*使い方と設定!$B$8*$AK208*$AH208*INDEX(属性耐性マスタ!$B$5:$G$10,$AF208,2),4))</f>
        <v>2.35E-2</v>
      </c>
      <c r="V208" s="9">
        <f>IF($H208&lt;&gt;"OK","",ROUND($G208*使い方と設定!$B$8*$AK208*$AH208*INDEX(属性耐性マスタ!$B$5:$G$10,$AF208,3),4))</f>
        <v>8.8099999999999998E-2</v>
      </c>
      <c r="W208" s="9">
        <f>IF($H208&lt;&gt;"OK","",ROUND($G208*使い方と設定!$B$8*$AK208*$AH208*INDEX(属性耐性マスタ!$B$5:$G$10,$AF208,4),4))</f>
        <v>0.35239999999999999</v>
      </c>
      <c r="X208" s="9">
        <f>IF($H208&lt;&gt;"OK","",ROUND($G208*使い方と設定!$B$8*$AK208*$AH208*INDEX(属性耐性マスタ!$B$5:$G$10,$AF208,5),4))</f>
        <v>1.7600000000000001E-2</v>
      </c>
      <c r="Y208" s="9">
        <f>IF($H208&lt;&gt;"OK","",ROUND($G208*使い方と設定!$B$8*$AK208*$AH208*INDEX(属性耐性マスタ!$B$5:$G$10,$AF208,6),4))</f>
        <v>1.7600000000000001E-2</v>
      </c>
      <c r="Z208" s="9">
        <f>IF($H208&lt;&gt;"OK","",ROUND($G208*使い方と設定!$B$9*$AK208*$AI208,4))</f>
        <v>2.0278999999999998</v>
      </c>
      <c r="AA208" s="10">
        <v>0.55000000000000004</v>
      </c>
      <c r="AB208" s="11">
        <f t="shared" si="10"/>
        <v>6.2934000000000001</v>
      </c>
      <c r="AC208" s="11">
        <f t="shared" si="11"/>
        <v>0.52270000000000005</v>
      </c>
      <c r="AD208" s="7" t="str">
        <f>IF($H208&lt;&gt;"OK","",INDEX(個性タイプマスタ!$P$5:$P$54,$AE208))</f>
        <v>高防御・低攻速の盾役</v>
      </c>
      <c r="AE208">
        <f>IFERROR(MATCH(E208,個性タイプマスタ!$A$5:$A$54,0),0)</f>
        <v>13</v>
      </c>
      <c r="AF208">
        <f>IFERROR(MATCH(F208,属性耐性マスタ!$A$5:$A$10,0),0)</f>
        <v>4</v>
      </c>
      <c r="AG208">
        <f>IF(AE208=0,1,INDEX(個性タイプマスタ!$AB$5:$AB$54,AE208))</f>
        <v>10.395666666666667</v>
      </c>
      <c r="AH208">
        <f>IF(AE208=0,1,INDEX(個性タイプマスタ!$AC$5:$AC$54,AE208))</f>
        <v>1.4</v>
      </c>
      <c r="AI208">
        <f>IF(AE208=0,0,INDEX(個性タイプマスタ!$AD$5:$AD$54,AE208))</f>
        <v>0.96666666666666667</v>
      </c>
      <c r="AJ208" s="16">
        <v>34</v>
      </c>
      <c r="AK208" s="17">
        <f>IF(OR(AJ208="",AJ208&lt;1),"",POWER(使い方と設定!$E$6,AJ208-1))</f>
        <v>3.6483810967196217</v>
      </c>
    </row>
    <row r="209" spans="1:37">
      <c r="A209" t="str">
        <f>+[2]称号!A204</f>
        <v>TITLE_203</v>
      </c>
      <c r="B209" t="str">
        <f>+[2]称号!B204</f>
        <v>飢渇砂魂</v>
      </c>
      <c r="C209" t="s">
        <v>541</v>
      </c>
      <c r="D209" t="s">
        <v>542</v>
      </c>
      <c r="E209" s="2" t="str">
        <f>[1]モンスター計算!AM207</f>
        <v>近接・魔法盾</v>
      </c>
      <c r="F209" s="2" t="str">
        <f>[1]モンスター計算!C207</f>
        <v>風</v>
      </c>
      <c r="G209" s="8">
        <v>1.2</v>
      </c>
      <c r="H209" t="str">
        <f t="shared" si="9"/>
        <v>OK</v>
      </c>
      <c r="I209" s="9">
        <f>IF($H209&lt;&gt;"OK","",ROUND($G209*使い方と設定!$B$7*$AK209*INDEX(個性タイプマスタ!$Q$5:$AA$54,$AE209,1)/$AG209,4))</f>
        <v>1.0077</v>
      </c>
      <c r="J209" s="9">
        <f>IF($H209&lt;&gt;"OK","",ROUND($G209*使い方と設定!$B$7*$AK209*INDEX(個性タイプマスタ!$Q$5:$AA$54,$AE209,2)/$AG209,4))</f>
        <v>0.3427</v>
      </c>
      <c r="K209" s="9">
        <f>IF($H209&lt;&gt;"OK","",ROUND($G209*使い方と設定!$B$7*$AK209*INDEX(個性タイプマスタ!$Q$5:$AA$54,$AE209,3)/$AG209,4))</f>
        <v>1.5580000000000001</v>
      </c>
      <c r="L209" s="9">
        <f>IF($H209&lt;&gt;"OK","",ROUND($G209*使い方と設定!$B$7*$AK209*INDEX(個性タイプマスタ!$Q$5:$AA$54,$AE209,4)/$AG209,4))</f>
        <v>0.11840000000000001</v>
      </c>
      <c r="M209" s="9">
        <f>IF($H209&lt;&gt;"OK","",ROUND($G209*使い方と設定!$B$7*$AK209*INDEX(個性タイプマスタ!$Q$5:$AA$54,$AE209,5)/$AG209,4))</f>
        <v>0.48730000000000001</v>
      </c>
      <c r="N209" s="9">
        <f>IF($H209&lt;&gt;"OK","",ROUND($G209*使い方と設定!$B$7*$AK209*INDEX(個性タイプマスタ!$Q$5:$AA$54,$AE209,6)/$AG209,4))</f>
        <v>1.1653</v>
      </c>
      <c r="O209" s="9">
        <f>IF($H209&lt;&gt;"OK","",ROUND($G209*使い方と設定!$B$7*$AK209*INDEX(個性タイプマスタ!$Q$5:$AA$54,$AE209,7)/$AG209,4))</f>
        <v>0.3427</v>
      </c>
      <c r="P209" s="9">
        <f>IF($H209&lt;&gt;"OK","",ROUND($G209*使い方と設定!$B$7*$AK209*INDEX(個性タイプマスタ!$Q$5:$AA$54,$AE209,8)/$AG209,4))</f>
        <v>0.40510000000000002</v>
      </c>
      <c r="Q209" s="9">
        <f>IF($H209&lt;&gt;"OK","",ROUND($G209*使い方と設定!$B$7*$AK209*INDEX(個性タイプマスタ!$Q$5:$AA$54,$AE209,9)/$AG209,4))</f>
        <v>0.28110000000000002</v>
      </c>
      <c r="R209" s="9">
        <f>IF($H209&lt;&gt;"OK","",ROUND($G209*使い方と設定!$B$7*$AK209*INDEX(個性タイプマスタ!$Q$5:$AA$54,$AE209,10)/$AG209,4))</f>
        <v>0.49230000000000002</v>
      </c>
      <c r="S209" s="9">
        <f>IF($H209&lt;&gt;"OK","",ROUND($G209*使い方と設定!$B$7*$AK209*INDEX(個性タイプマスタ!$Q$5:$AA$54,$AE209,11)/$AG209,4))</f>
        <v>0.3664</v>
      </c>
      <c r="T209" s="9">
        <f>IF($H209&lt;&gt;"OK","",ROUND($G209*使い方と設定!$B$8*$AK209*$AH209*INDEX(属性耐性マスタ!$B$5:$G$10,$AF209,1),4))</f>
        <v>2.24E-2</v>
      </c>
      <c r="U209" s="9">
        <f>IF($H209&lt;&gt;"OK","",ROUND($G209*使い方と設定!$B$8*$AK209*$AH209*INDEX(属性耐性マスタ!$B$5:$G$10,$AF209,2),4))</f>
        <v>2.24E-2</v>
      </c>
      <c r="V209" s="9">
        <f>IF($H209&lt;&gt;"OK","",ROUND($G209*使い方と設定!$B$8*$AK209*$AH209*INDEX(属性耐性マスタ!$B$5:$G$10,$AF209,3),4))</f>
        <v>0.3362</v>
      </c>
      <c r="W209" s="9">
        <f>IF($H209&lt;&gt;"OK","",ROUND($G209*使い方と設定!$B$8*$AK209*$AH209*INDEX(属性耐性マスタ!$B$5:$G$10,$AF209,4),4))</f>
        <v>8.4099999999999994E-2</v>
      </c>
      <c r="X209" s="9">
        <f>IF($H209&lt;&gt;"OK","",ROUND($G209*使い方と設定!$B$8*$AK209*$AH209*INDEX(属性耐性マスタ!$B$5:$G$10,$AF209,5),4))</f>
        <v>1.6799999999999999E-2</v>
      </c>
      <c r="Y209" s="9">
        <f>IF($H209&lt;&gt;"OK","",ROUND($G209*使い方と設定!$B$8*$AK209*$AH209*INDEX(属性耐性マスタ!$B$5:$G$10,$AF209,6),4))</f>
        <v>1.6799999999999999E-2</v>
      </c>
      <c r="Z209" s="9">
        <f>IF($H209&lt;&gt;"OK","",ROUND($G209*使い方と設定!$B$9*$AK209*$AI209,4))</f>
        <v>2.0613000000000001</v>
      </c>
      <c r="AA209" s="10">
        <v>0.5</v>
      </c>
      <c r="AB209" s="11">
        <f t="shared" si="10"/>
        <v>6.5670000000000002</v>
      </c>
      <c r="AC209" s="11">
        <f t="shared" si="11"/>
        <v>0.49869999999999998</v>
      </c>
      <c r="AD209" s="7" t="str">
        <f>IF($H209&lt;&gt;"OK","",INDEX(個性タイプマスタ!$P$5:$P$54,$AE209))</f>
        <v>魔法耐久を重視した近接</v>
      </c>
      <c r="AE209">
        <f>IFERROR(MATCH(E209,個性タイプマスタ!$A$5:$A$54,0),0)</f>
        <v>38</v>
      </c>
      <c r="AF209">
        <f>IFERROR(MATCH(F209,属性耐性マスタ!$A$5:$A$10,0),0)</f>
        <v>3</v>
      </c>
      <c r="AG209">
        <f>IF(AE209=0,1,INDEX(個性タイプマスタ!$AB$5:$AB$54,AE209))</f>
        <v>10.538000000000002</v>
      </c>
      <c r="AH209">
        <f>IF(AE209=0,1,INDEX(個性タイプマスタ!$AC$5:$AC$54,AE209))</f>
        <v>1.28</v>
      </c>
      <c r="AI209">
        <f>IF(AE209=0,0,INDEX(個性タイプマスタ!$AD$5:$AD$54,AE209))</f>
        <v>0.94166666666666665</v>
      </c>
      <c r="AJ209" s="16">
        <v>34</v>
      </c>
      <c r="AK209" s="17">
        <f>IF(OR(AJ209="",AJ209&lt;1),"",POWER(使い方と設定!$E$6,AJ209-1))</f>
        <v>3.6483810967196217</v>
      </c>
    </row>
    <row r="210" spans="1:37">
      <c r="A210" t="str">
        <f>+[2]称号!A205</f>
        <v>TITLE_204</v>
      </c>
      <c r="B210" t="str">
        <f>+[2]称号!B205</f>
        <v>砂漠冥王</v>
      </c>
      <c r="C210" t="s">
        <v>543</v>
      </c>
      <c r="D210" t="s">
        <v>544</v>
      </c>
      <c r="E210" s="2" t="str">
        <f>[1]モンスター計算!AM208</f>
        <v>魔法・耐性特化</v>
      </c>
      <c r="F210" s="2" t="str">
        <f>[1]モンスター計算!C208</f>
        <v>光</v>
      </c>
      <c r="G210" s="8">
        <v>1.25</v>
      </c>
      <c r="H210" t="str">
        <f t="shared" si="9"/>
        <v>OK</v>
      </c>
      <c r="I210" s="9">
        <f>IF($H210&lt;&gt;"OK","",ROUND($G210*使い方と設定!$B$7*$AK210*INDEX(個性タイプマスタ!$Q$5:$AA$54,$AE210,1)/$AG210,4))</f>
        <v>0.75249999999999995</v>
      </c>
      <c r="J210" s="9">
        <f>IF($H210&lt;&gt;"OK","",ROUND($G210*使い方と設定!$B$7*$AK210*INDEX(個性タイプマスタ!$Q$5:$AA$54,$AE210,2)/$AG210,4))</f>
        <v>0.90300000000000002</v>
      </c>
      <c r="K210" s="9">
        <f>IF($H210&lt;&gt;"OK","",ROUND($G210*使い方と設定!$B$7*$AK210*INDEX(個性タイプマスタ!$Q$5:$AA$54,$AE210,3)/$AG210,4))</f>
        <v>0.1197</v>
      </c>
      <c r="L210" s="9">
        <f>IF($H210&lt;&gt;"OK","",ROUND($G210*使い方と設定!$B$7*$AK210*INDEX(個性タイプマスタ!$Q$5:$AA$54,$AE210,4)/$AG210,4))</f>
        <v>1.7101999999999999</v>
      </c>
      <c r="M210" s="9">
        <f>IF($H210&lt;&gt;"OK","",ROUND($G210*使い方と設定!$B$7*$AK210*INDEX(個性タイプマスタ!$Q$5:$AA$54,$AE210,5)/$AG210,4))</f>
        <v>0.55820000000000003</v>
      </c>
      <c r="N210" s="9">
        <f>IF($H210&lt;&gt;"OK","",ROUND($G210*使い方と設定!$B$7*$AK210*INDEX(個性タイプマスタ!$Q$5:$AA$54,$AE210,6)/$AG210,4))</f>
        <v>0.59309999999999996</v>
      </c>
      <c r="O210" s="9">
        <f>IF($H210&lt;&gt;"OK","",ROUND($G210*使い方と設定!$B$7*$AK210*INDEX(個性タイプマスタ!$Q$5:$AA$54,$AE210,7)/$AG210,4))</f>
        <v>0.33860000000000001</v>
      </c>
      <c r="P210" s="9">
        <f>IF($H210&lt;&gt;"OK","",ROUND($G210*使い方と設定!$B$7*$AK210*INDEX(個性タイプマスタ!$Q$5:$AA$54,$AE210,8)/$AG210,4))</f>
        <v>0.41499999999999998</v>
      </c>
      <c r="Q210" s="9">
        <f>IF($H210&lt;&gt;"OK","",ROUND($G210*使い方と設定!$B$7*$AK210*INDEX(個性タイプマスタ!$Q$5:$AA$54,$AE210,9)/$AG210,4))</f>
        <v>0.3085</v>
      </c>
      <c r="R210" s="9">
        <f>IF($H210&lt;&gt;"OK","",ROUND($G210*使い方と設定!$B$7*$AK210*INDEX(個性タイプマスタ!$Q$5:$AA$54,$AE210,10)/$AG210,4))</f>
        <v>0.62939999999999996</v>
      </c>
      <c r="S210" s="9">
        <f>IF($H210&lt;&gt;"OK","",ROUND($G210*使い方と設定!$B$7*$AK210*INDEX(個性タイプマスタ!$Q$5:$AA$54,$AE210,11)/$AG210,4))</f>
        <v>0.51239999999999997</v>
      </c>
      <c r="T210" s="9">
        <f>IF($H210&lt;&gt;"OK","",ROUND($G210*使い方と設定!$B$8*$AK210*$AH210*INDEX(属性耐性マスタ!$B$5:$G$10,$AF210,1),4))</f>
        <v>2.0500000000000001E-2</v>
      </c>
      <c r="U210" s="9">
        <f>IF($H210&lt;&gt;"OK","",ROUND($G210*使い方と設定!$B$8*$AK210*$AH210*INDEX(属性耐性マスタ!$B$5:$G$10,$AF210,2),4))</f>
        <v>2.0500000000000001E-2</v>
      </c>
      <c r="V210" s="9">
        <f>IF($H210&lt;&gt;"OK","",ROUND($G210*使い方と設定!$B$8*$AK210*$AH210*INDEX(属性耐性マスタ!$B$5:$G$10,$AF210,3),4))</f>
        <v>2.0500000000000001E-2</v>
      </c>
      <c r="W210" s="9">
        <f>IF($H210&lt;&gt;"OK","",ROUND($G210*使い方と設定!$B$8*$AK210*$AH210*INDEX(属性耐性マスタ!$B$5:$G$10,$AF210,4),4))</f>
        <v>2.0500000000000001E-2</v>
      </c>
      <c r="X210" s="9">
        <f>IF($H210&lt;&gt;"OK","",ROUND($G210*使い方と設定!$B$8*$AK210*$AH210*INDEX(属性耐性マスタ!$B$5:$G$10,$AF210,5),4))</f>
        <v>0.41039999999999999</v>
      </c>
      <c r="Y210" s="9">
        <f>IF($H210&lt;&gt;"OK","",ROUND($G210*使い方と設定!$B$8*$AK210*$AH210*INDEX(属性耐性マスタ!$B$5:$G$10,$AF210,6),4))</f>
        <v>5.4699999999999999E-2</v>
      </c>
      <c r="Z210" s="9">
        <f>IF($H210&lt;&gt;"OK","",ROUND($G210*使い方と設定!$B$9*$AK210*$AI210,4))</f>
        <v>2.1472000000000002</v>
      </c>
      <c r="AA210" s="10">
        <v>0.25</v>
      </c>
      <c r="AB210" s="11">
        <f t="shared" si="10"/>
        <v>6.8406000000000002</v>
      </c>
      <c r="AC210" s="11">
        <f t="shared" si="11"/>
        <v>0.54710000000000003</v>
      </c>
      <c r="AD210" s="7" t="str">
        <f>IF($H210&lt;&gt;"OK","",INDEX(個性タイプマスタ!$P$5:$P$54,$AE210))</f>
        <v>属性耐性重視・他能力は平均</v>
      </c>
      <c r="AE210">
        <f>IFERROR(MATCH(E210,個性タイプマスタ!$A$5:$A$54,0),0)</f>
        <v>26</v>
      </c>
      <c r="AF210">
        <f>IFERROR(MATCH(F210,属性耐性マスタ!$A$5:$A$10,0),0)</f>
        <v>5</v>
      </c>
      <c r="AG210">
        <f>IF(AE210=0,1,INDEX(個性タイプマスタ!$AB$5:$AB$54,AE210))</f>
        <v>9.9996666666666663</v>
      </c>
      <c r="AH210">
        <f>IF(AE210=0,1,INDEX(個性タイプマスタ!$AC$5:$AC$54,AE210))</f>
        <v>1.5</v>
      </c>
      <c r="AI210">
        <f>IF(AE210=0,0,INDEX(個性タイプマスタ!$AD$5:$AD$54,AE210))</f>
        <v>0.94166666666666665</v>
      </c>
      <c r="AJ210" s="16">
        <v>34</v>
      </c>
      <c r="AK210" s="17">
        <f>IF(OR(AJ210="",AJ210&lt;1),"",POWER(使い方と設定!$E$6,AJ210-1))</f>
        <v>3.6483810967196217</v>
      </c>
    </row>
    <row r="211" spans="1:37">
      <c r="A211" t="str">
        <f>+[2]称号!A206</f>
        <v>TITLE_205</v>
      </c>
      <c r="B211" t="str">
        <f>+[2]称号!B206</f>
        <v>紫泡魔核</v>
      </c>
      <c r="C211" t="s">
        <v>545</v>
      </c>
      <c r="D211" t="s">
        <v>546</v>
      </c>
      <c r="E211" s="2" t="str">
        <f>[1]モンスター計算!AM209</f>
        <v>魔法・高会心</v>
      </c>
      <c r="F211" s="2" t="str">
        <f>[1]モンスター計算!C209</f>
        <v>闇</v>
      </c>
      <c r="G211" s="8">
        <v>1</v>
      </c>
      <c r="H211" t="str">
        <f t="shared" si="9"/>
        <v>OK</v>
      </c>
      <c r="I211" s="9">
        <f>IF($H211&lt;&gt;"OK","",ROUND($G211*使い方と設定!$B$7*$AK211*INDEX(個性タイプマスタ!$Q$5:$AA$54,$AE211,1)/$AG211,4))</f>
        <v>0.37580000000000002</v>
      </c>
      <c r="J211" s="9">
        <f>IF($H211&lt;&gt;"OK","",ROUND($G211*使い方と設定!$B$7*$AK211*INDEX(個性タイプマスタ!$Q$5:$AA$54,$AE211,2)/$AG211,4))</f>
        <v>0.60740000000000005</v>
      </c>
      <c r="K211" s="9">
        <f>IF($H211&lt;&gt;"OK","",ROUND($G211*使い方と設定!$B$7*$AK211*INDEX(個性タイプマスタ!$Q$5:$AA$54,$AE211,3)/$AG211,4))</f>
        <v>6.5500000000000003E-2</v>
      </c>
      <c r="L211" s="9">
        <f>IF($H211&lt;&gt;"OK","",ROUND($G211*使い方と設定!$B$7*$AK211*INDEX(個性タイプマスタ!$Q$5:$AA$54,$AE211,4)/$AG211,4))</f>
        <v>1.1698999999999999</v>
      </c>
      <c r="M211" s="9">
        <f>IF($H211&lt;&gt;"OK","",ROUND($G211*使い方と設定!$B$7*$AK211*INDEX(個性タイプマスタ!$Q$5:$AA$54,$AE211,5)/$AG211,4))</f>
        <v>0.30630000000000002</v>
      </c>
      <c r="N211" s="9">
        <f>IF($H211&lt;&gt;"OK","",ROUND($G211*使い方と設定!$B$7*$AK211*INDEX(個性タイプマスタ!$Q$5:$AA$54,$AE211,6)/$AG211,4))</f>
        <v>0.33810000000000001</v>
      </c>
      <c r="O211" s="9">
        <f>IF($H211&lt;&gt;"OK","",ROUND($G211*使い方と設定!$B$7*$AK211*INDEX(個性タイプマスタ!$Q$5:$AA$54,$AE211,7)/$AG211,4))</f>
        <v>1.3384</v>
      </c>
      <c r="P211" s="9">
        <f>IF($H211&lt;&gt;"OK","",ROUND($G211*使い方と設定!$B$7*$AK211*INDEX(個性タイプマスタ!$Q$5:$AA$54,$AE211,8)/$AG211,4))</f>
        <v>0.39539999999999997</v>
      </c>
      <c r="Q211" s="9">
        <f>IF($H211&lt;&gt;"OK","",ROUND($G211*使い方と設定!$B$7*$AK211*INDEX(個性タイプマスタ!$Q$5:$AA$54,$AE211,9)/$AG211,4))</f>
        <v>0.28310000000000002</v>
      </c>
      <c r="R211" s="9">
        <f>IF($H211&lt;&gt;"OK","",ROUND($G211*使い方と設定!$B$7*$AK211*INDEX(個性タイプマスタ!$Q$5:$AA$54,$AE211,10)/$AG211,4))</f>
        <v>0.4446</v>
      </c>
      <c r="S211" s="9">
        <f>IF($H211&lt;&gt;"OK","",ROUND($G211*使い方と設定!$B$7*$AK211*INDEX(個性タイプマスタ!$Q$5:$AA$54,$AE211,11)/$AG211,4))</f>
        <v>0.3669</v>
      </c>
      <c r="T211" s="9">
        <f>IF($H211&lt;&gt;"OK","",ROUND($G211*使い方と設定!$B$8*$AK211*$AH211*INDEX(属性耐性マスタ!$B$5:$G$10,$AF211,1),4))</f>
        <v>9.1000000000000004E-3</v>
      </c>
      <c r="U211" s="9">
        <f>IF($H211&lt;&gt;"OK","",ROUND($G211*使い方と設定!$B$8*$AK211*$AH211*INDEX(属性耐性マスタ!$B$5:$G$10,$AF211,2),4))</f>
        <v>9.1000000000000004E-3</v>
      </c>
      <c r="V211" s="9">
        <f>IF($H211&lt;&gt;"OK","",ROUND($G211*使い方と設定!$B$8*$AK211*$AH211*INDEX(属性耐性マスタ!$B$5:$G$10,$AF211,3),4))</f>
        <v>9.1000000000000004E-3</v>
      </c>
      <c r="W211" s="9">
        <f>IF($H211&lt;&gt;"OK","",ROUND($G211*使い方と設定!$B$8*$AK211*$AH211*INDEX(属性耐性マスタ!$B$5:$G$10,$AF211,4),4))</f>
        <v>9.1000000000000004E-3</v>
      </c>
      <c r="X211" s="9">
        <f>IF($H211&lt;&gt;"OK","",ROUND($G211*使い方と設定!$B$8*$AK211*$AH211*INDEX(属性耐性マスタ!$B$5:$G$10,$AF211,5),4))</f>
        <v>2.4299999999999999E-2</v>
      </c>
      <c r="Y211" s="9">
        <f>IF($H211&lt;&gt;"OK","",ROUND($G211*使い方と設定!$B$8*$AK211*$AH211*INDEX(属性耐性マスタ!$B$5:$G$10,$AF211,6),4))</f>
        <v>0.18210000000000001</v>
      </c>
      <c r="Z211" s="9">
        <f>IF($H211&lt;&gt;"OK","",ROUND($G211*使い方と設定!$B$9*$AK211*$AI211,4))</f>
        <v>2.0078</v>
      </c>
      <c r="AA211" s="10">
        <v>1</v>
      </c>
      <c r="AB211" s="11">
        <f t="shared" si="10"/>
        <v>5.6913999999999998</v>
      </c>
      <c r="AC211" s="11">
        <f t="shared" si="11"/>
        <v>0.24279999999999999</v>
      </c>
      <c r="AD211" s="7" t="str">
        <f>IF($H211&lt;&gt;"OK","",INDEX(個性タイプマスタ!$P$5:$P$54,$AE211))</f>
        <v>高い会心率で平均火力を確保</v>
      </c>
      <c r="AE211">
        <f>IFERROR(MATCH(E211,個性タイプマスタ!$A$5:$A$54,0),0)</f>
        <v>22</v>
      </c>
      <c r="AF211">
        <f>IFERROR(MATCH(F211,属性耐性マスタ!$A$5:$A$10,0),0)</f>
        <v>6</v>
      </c>
      <c r="AG211">
        <f>IF(AE211=0,1,INDEX(個性タイプマスタ!$AB$5:$AB$54,AE211))</f>
        <v>12.162000000000001</v>
      </c>
      <c r="AH211">
        <f>IF(AE211=0,1,INDEX(個性タイプマスタ!$AC$5:$AC$54,AE211))</f>
        <v>0.8</v>
      </c>
      <c r="AI211">
        <f>IF(AE211=0,0,INDEX(個性タイプマスタ!$AD$5:$AD$54,AE211))</f>
        <v>1.0583333333333333</v>
      </c>
      <c r="AJ211" s="16">
        <v>35</v>
      </c>
      <c r="AK211" s="17">
        <f>IF(OR(AJ211="",AJ211&lt;1),"",POWER(使い方と設定!$E$6,AJ211-1))</f>
        <v>3.7943163405884071</v>
      </c>
    </row>
    <row r="212" spans="1:37">
      <c r="A212" t="str">
        <f>+[2]称号!A207</f>
        <v>TITLE_206</v>
      </c>
      <c r="B212" t="str">
        <f>+[2]称号!B207</f>
        <v>朽葉骸兵</v>
      </c>
      <c r="C212" t="s">
        <v>547</v>
      </c>
      <c r="D212" t="s">
        <v>548</v>
      </c>
      <c r="E212" s="2" t="str">
        <f>[1]モンスター計算!AM210</f>
        <v>魔法・疾走</v>
      </c>
      <c r="F212" s="2" t="str">
        <f>[1]モンスター計算!C210</f>
        <v>闇</v>
      </c>
      <c r="G212" s="8">
        <v>1.05</v>
      </c>
      <c r="H212" t="str">
        <f t="shared" si="9"/>
        <v>OK</v>
      </c>
      <c r="I212" s="9">
        <f>IF($H212&lt;&gt;"OK","",ROUND($G212*使い方と設定!$B$7*$AK212*INDEX(個性タイプマスタ!$Q$5:$AA$54,$AE212,1)/$AG212,4))</f>
        <v>0.50039999999999996</v>
      </c>
      <c r="J212" s="9">
        <f>IF($H212&lt;&gt;"OK","",ROUND($G212*使い方と設定!$B$7*$AK212*INDEX(個性タイプマスタ!$Q$5:$AA$54,$AE212,2)/$AG212,4))</f>
        <v>0.57010000000000005</v>
      </c>
      <c r="K212" s="9">
        <f>IF($H212&lt;&gt;"OK","",ROUND($G212*使い方と設定!$B$7*$AK212*INDEX(個性タイプマスタ!$Q$5:$AA$54,$AE212,3)/$AG212,4))</f>
        <v>7.6300000000000007E-2</v>
      </c>
      <c r="L212" s="9">
        <f>IF($H212&lt;&gt;"OK","",ROUND($G212*使い方と設定!$B$7*$AK212*INDEX(個性タイプマスタ!$Q$5:$AA$54,$AE212,4)/$AG212,4))</f>
        <v>1.4396</v>
      </c>
      <c r="M212" s="9">
        <f>IF($H212&lt;&gt;"OK","",ROUND($G212*使い方と設定!$B$7*$AK212*INDEX(個性タイプマスタ!$Q$5:$AA$54,$AE212,5)/$AG212,4))</f>
        <v>0.41599999999999998</v>
      </c>
      <c r="N212" s="9">
        <f>IF($H212&lt;&gt;"OK","",ROUND($G212*使い方と設定!$B$7*$AK212*INDEX(個性タイプマスタ!$Q$5:$AA$54,$AE212,6)/$AG212,4))</f>
        <v>0.39650000000000002</v>
      </c>
      <c r="O212" s="9">
        <f>IF($H212&lt;&gt;"OK","",ROUND($G212*使い方と設定!$B$7*$AK212*INDEX(個性タイプマスタ!$Q$5:$AA$54,$AE212,7)/$AG212,4))</f>
        <v>0.41170000000000001</v>
      </c>
      <c r="P212" s="9">
        <f>IF($H212&lt;&gt;"OK","",ROUND($G212*使い方と設定!$B$7*$AK212*INDEX(個性タイプマスタ!$Q$5:$AA$54,$AE212,8)/$AG212,4))</f>
        <v>0.36180000000000001</v>
      </c>
      <c r="Q212" s="9">
        <f>IF($H212&lt;&gt;"OK","",ROUND($G212*使い方と設定!$B$7*$AK212*INDEX(個性タイプマスタ!$Q$5:$AA$54,$AE212,9)/$AG212,4))</f>
        <v>0.50670000000000004</v>
      </c>
      <c r="R212" s="9">
        <f>IF($H212&lt;&gt;"OK","",ROUND($G212*使い方と設定!$B$7*$AK212*INDEX(個性タイプマスタ!$Q$5:$AA$54,$AE212,10)/$AG212,4))</f>
        <v>0.99050000000000005</v>
      </c>
      <c r="S212" s="9">
        <f>IF($H212&lt;&gt;"OK","",ROUND($G212*使い方と設定!$B$7*$AK212*INDEX(個性タイプマスタ!$Q$5:$AA$54,$AE212,11)/$AG212,4))</f>
        <v>0.30640000000000001</v>
      </c>
      <c r="T212" s="9">
        <f>IF($H212&lt;&gt;"OK","",ROUND($G212*使い方と設定!$B$8*$AK212*$AH212*INDEX(属性耐性マスタ!$B$5:$G$10,$AF212,1),4))</f>
        <v>8.6E-3</v>
      </c>
      <c r="U212" s="9">
        <f>IF($H212&lt;&gt;"OK","",ROUND($G212*使い方と設定!$B$8*$AK212*$AH212*INDEX(属性耐性マスタ!$B$5:$G$10,$AF212,2),4))</f>
        <v>8.6E-3</v>
      </c>
      <c r="V212" s="9">
        <f>IF($H212&lt;&gt;"OK","",ROUND($G212*使い方と設定!$B$8*$AK212*$AH212*INDEX(属性耐性マスタ!$B$5:$G$10,$AF212,3),4))</f>
        <v>8.6E-3</v>
      </c>
      <c r="W212" s="9">
        <f>IF($H212&lt;&gt;"OK","",ROUND($G212*使い方と設定!$B$8*$AK212*$AH212*INDEX(属性耐性マスタ!$B$5:$G$10,$AF212,4),4))</f>
        <v>8.6E-3</v>
      </c>
      <c r="X212" s="9">
        <f>IF($H212&lt;&gt;"OK","",ROUND($G212*使い方と設定!$B$8*$AK212*$AH212*INDEX(属性耐性マスタ!$B$5:$G$10,$AF212,5),4))</f>
        <v>2.29E-2</v>
      </c>
      <c r="Y212" s="9">
        <f>IF($H212&lt;&gt;"OK","",ROUND($G212*使い方と設定!$B$8*$AK212*$AH212*INDEX(属性耐性マスタ!$B$5:$G$10,$AF212,6),4))</f>
        <v>0.1721</v>
      </c>
      <c r="Z212" s="9">
        <f>IF($H212&lt;&gt;"OK","",ROUND($G212*使い方と設定!$B$9*$AK212*$AI212,4))</f>
        <v>2.5232000000000001</v>
      </c>
      <c r="AA212" s="10">
        <v>1</v>
      </c>
      <c r="AB212" s="11">
        <f t="shared" si="10"/>
        <v>5.976</v>
      </c>
      <c r="AC212" s="11">
        <f t="shared" si="11"/>
        <v>0.22939999999999999</v>
      </c>
      <c r="AD212" s="7" t="str">
        <f>IF($H212&lt;&gt;"OK","",INDEX(個性タイプマスタ!$P$5:$P$54,$AE212))</f>
        <v>移動と攻撃速度に特化</v>
      </c>
      <c r="AE212">
        <f>IFERROR(MATCH(E212,個性タイプマスタ!$A$5:$A$54,0),0)</f>
        <v>29</v>
      </c>
      <c r="AF212">
        <f>IFERROR(MATCH(F212,属性耐性マスタ!$A$5:$A$10,0),0)</f>
        <v>6</v>
      </c>
      <c r="AG212">
        <f>IF(AE212=0,1,INDEX(個性タイプマスタ!$AB$5:$AB$54,AE212))</f>
        <v>10.377833333333335</v>
      </c>
      <c r="AH212">
        <f>IF(AE212=0,1,INDEX(個性タイプマスタ!$AC$5:$AC$54,AE212))</f>
        <v>0.72</v>
      </c>
      <c r="AI212">
        <f>IF(AE212=0,0,INDEX(個性タイプマスタ!$AD$5:$AD$54,AE212))</f>
        <v>1.2666666666666666</v>
      </c>
      <c r="AJ212" s="16">
        <v>35</v>
      </c>
      <c r="AK212" s="17">
        <f>IF(OR(AJ212="",AJ212&lt;1),"",POWER(使い方と設定!$E$6,AJ212-1))</f>
        <v>3.7943163405884071</v>
      </c>
    </row>
    <row r="213" spans="1:37">
      <c r="A213" t="str">
        <f>+[2]称号!A208</f>
        <v>TITLE_207</v>
      </c>
      <c r="B213" t="str">
        <f>+[2]称号!B208</f>
        <v>碧牙毒狼</v>
      </c>
      <c r="C213" t="s">
        <v>549</v>
      </c>
      <c r="D213" t="s">
        <v>550</v>
      </c>
      <c r="E213" s="2" t="str">
        <f>[1]モンスター計算!AM211</f>
        <v>魔法・最終層</v>
      </c>
      <c r="F213" s="2" t="str">
        <f>[1]モンスター計算!C211</f>
        <v>闇</v>
      </c>
      <c r="G213" s="8">
        <v>1.1000000000000001</v>
      </c>
      <c r="H213" t="str">
        <f t="shared" si="9"/>
        <v>OK</v>
      </c>
      <c r="I213" s="9">
        <f>IF($H213&lt;&gt;"OK","",ROUND($G213*使い方と設定!$B$7*$AK213*INDEX(個性タイプマスタ!$Q$5:$AA$54,$AE213,1)/$AG213,4))</f>
        <v>0.7591</v>
      </c>
      <c r="J213" s="9">
        <f>IF($H213&lt;&gt;"OK","",ROUND($G213*使い方と設定!$B$7*$AK213*INDEX(個性タイプマスタ!$Q$5:$AA$54,$AE213,2)/$AG213,4))</f>
        <v>0.63260000000000005</v>
      </c>
      <c r="K213" s="9">
        <f>IF($H213&lt;&gt;"OK","",ROUND($G213*使い方と設定!$B$7*$AK213*INDEX(個性タイプマスタ!$Q$5:$AA$54,$AE213,3)/$AG213,4))</f>
        <v>0.14380000000000001</v>
      </c>
      <c r="L213" s="9">
        <f>IF($H213&lt;&gt;"OK","",ROUND($G213*使い方と設定!$B$7*$AK213*INDEX(個性タイプマスタ!$Q$5:$AA$54,$AE213,4)/$AG213,4))</f>
        <v>1.4377</v>
      </c>
      <c r="M213" s="9">
        <f>IF($H213&lt;&gt;"OK","",ROUND($G213*使い方と設定!$B$7*$AK213*INDEX(個性タイプマスタ!$Q$5:$AA$54,$AE213,5)/$AG213,4))</f>
        <v>0.63539999999999996</v>
      </c>
      <c r="N213" s="9">
        <f>IF($H213&lt;&gt;"OK","",ROUND($G213*使い方と設定!$B$7*$AK213*INDEX(個性タイプマスタ!$Q$5:$AA$54,$AE213,6)/$AG213,4))</f>
        <v>0.41549999999999998</v>
      </c>
      <c r="O213" s="9">
        <f>IF($H213&lt;&gt;"OK","",ROUND($G213*使い方と設定!$B$7*$AK213*INDEX(個性タイプマスタ!$Q$5:$AA$54,$AE213,7)/$AG213,4))</f>
        <v>0.50609999999999999</v>
      </c>
      <c r="P213" s="9">
        <f>IF($H213&lt;&gt;"OK","",ROUND($G213*使い方と設定!$B$7*$AK213*INDEX(個性タイプマスタ!$Q$5:$AA$54,$AE213,8)/$AG213,4))</f>
        <v>0.3987</v>
      </c>
      <c r="Q213" s="9">
        <f>IF($H213&lt;&gt;"OK","",ROUND($G213*使い方と設定!$B$7*$AK213*INDEX(個性タイプマスタ!$Q$5:$AA$54,$AE213,9)/$AG213,4))</f>
        <v>0.35420000000000001</v>
      </c>
      <c r="R213" s="9">
        <f>IF($H213&lt;&gt;"OK","",ROUND($G213*使い方と設定!$B$7*$AK213*INDEX(個性タイプマスタ!$Q$5:$AA$54,$AE213,10)/$AG213,4))</f>
        <v>0.57509999999999994</v>
      </c>
      <c r="S213" s="9">
        <f>IF($H213&lt;&gt;"OK","",ROUND($G213*使い方と設定!$B$7*$AK213*INDEX(個性タイプマスタ!$Q$5:$AA$54,$AE213,11)/$AG213,4))</f>
        <v>0.40250000000000002</v>
      </c>
      <c r="T213" s="9">
        <f>IF($H213&lt;&gt;"OK","",ROUND($G213*使い方と設定!$B$8*$AK213*$AH213*INDEX(属性耐性マスタ!$B$5:$G$10,$AF213,1),4))</f>
        <v>1.3299999999999999E-2</v>
      </c>
      <c r="U213" s="9">
        <f>IF($H213&lt;&gt;"OK","",ROUND($G213*使い方と設定!$B$8*$AK213*$AH213*INDEX(属性耐性マスタ!$B$5:$G$10,$AF213,2),4))</f>
        <v>1.3299999999999999E-2</v>
      </c>
      <c r="V213" s="9">
        <f>IF($H213&lt;&gt;"OK","",ROUND($G213*使い方と設定!$B$8*$AK213*$AH213*INDEX(属性耐性マスタ!$B$5:$G$10,$AF213,3),4))</f>
        <v>1.3299999999999999E-2</v>
      </c>
      <c r="W213" s="9">
        <f>IF($H213&lt;&gt;"OK","",ROUND($G213*使い方と設定!$B$8*$AK213*$AH213*INDEX(属性耐性マスタ!$B$5:$G$10,$AF213,4),4))</f>
        <v>1.3299999999999999E-2</v>
      </c>
      <c r="X213" s="9">
        <f>IF($H213&lt;&gt;"OK","",ROUND($G213*使い方と設定!$B$8*$AK213*$AH213*INDEX(属性耐性マスタ!$B$5:$G$10,$AF213,5),4))</f>
        <v>3.5400000000000001E-2</v>
      </c>
      <c r="Y213" s="9">
        <f>IF($H213&lt;&gt;"OK","",ROUND($G213*使い方と設定!$B$8*$AK213*$AH213*INDEX(属性耐性マスタ!$B$5:$G$10,$AF213,6),4))</f>
        <v>0.26550000000000001</v>
      </c>
      <c r="Z213" s="9">
        <f>IF($H213&lt;&gt;"OK","",ROUND($G213*使い方と設定!$B$9*$AK213*$AI213,4))</f>
        <v>2.226</v>
      </c>
      <c r="AA213" s="10">
        <v>0.9</v>
      </c>
      <c r="AB213" s="11">
        <f t="shared" si="10"/>
        <v>6.2606999999999999</v>
      </c>
      <c r="AC213" s="11">
        <f t="shared" si="11"/>
        <v>0.35410000000000003</v>
      </c>
      <c r="AD213" s="7" t="str">
        <f>IF($H213&lt;&gt;"OK","",INDEX(個性タイプマスタ!$P$5:$P$54,$AE213))</f>
        <v>終盤魔法の特別配分</v>
      </c>
      <c r="AE213">
        <f>IFERROR(MATCH(E213,個性タイプマスタ!$A$5:$A$54,0),0)</f>
        <v>8</v>
      </c>
      <c r="AF213">
        <f>IFERROR(MATCH(F213,属性耐性マスタ!$A$5:$A$10,0),0)</f>
        <v>6</v>
      </c>
      <c r="AG213">
        <f>IF(AE213=0,1,INDEX(個性タイプマスタ!$AB$5:$AB$54,AE213))</f>
        <v>10.886833333333332</v>
      </c>
      <c r="AH213">
        <f>IF(AE213=0,1,INDEX(個性タイプマスタ!$AC$5:$AC$54,AE213))</f>
        <v>1.06</v>
      </c>
      <c r="AI213">
        <f>IF(AE213=0,0,INDEX(個性タイプマスタ!$AD$5:$AD$54,AE213))</f>
        <v>1.0666666666666667</v>
      </c>
      <c r="AJ213" s="16">
        <v>35</v>
      </c>
      <c r="AK213" s="17">
        <f>IF(OR(AJ213="",AJ213&lt;1),"",POWER(使い方と設定!$E$6,AJ213-1))</f>
        <v>3.7943163405884071</v>
      </c>
    </row>
    <row r="214" spans="1:37">
      <c r="A214" t="str">
        <f>+[2]称号!A209</f>
        <v>TITLE_208</v>
      </c>
      <c r="B214" t="str">
        <f>+[2]称号!B209</f>
        <v>紫煙妖霊</v>
      </c>
      <c r="C214" t="s">
        <v>551</v>
      </c>
      <c r="D214" t="s">
        <v>552</v>
      </c>
      <c r="E214" s="2" t="str">
        <f>[1]モンスター計算!AM212</f>
        <v>近接・鉄壁</v>
      </c>
      <c r="F214" s="2" t="str">
        <f>[1]モンスター計算!C212</f>
        <v>闇</v>
      </c>
      <c r="G214" s="8">
        <v>1.1499999999999999</v>
      </c>
      <c r="H214" t="str">
        <f t="shared" si="9"/>
        <v>OK</v>
      </c>
      <c r="I214" s="9">
        <f>IF($H214&lt;&gt;"OK","",ROUND($G214*使い方と設定!$B$7*$AK214*INDEX(個性タイプマスタ!$Q$5:$AA$54,$AE214,1)/$AG214,4))</f>
        <v>1.2837000000000001</v>
      </c>
      <c r="J214" s="9">
        <f>IF($H214&lt;&gt;"OK","",ROUND($G214*使い方と設定!$B$7*$AK214*INDEX(個性タイプマスタ!$Q$5:$AA$54,$AE214,2)/$AG214,4))</f>
        <v>0.25390000000000001</v>
      </c>
      <c r="K214" s="9">
        <f>IF($H214&lt;&gt;"OK","",ROUND($G214*使い方と設定!$B$7*$AK214*INDEX(個性タイプマスタ!$Q$5:$AA$54,$AE214,3)/$AG214,4))</f>
        <v>1.603</v>
      </c>
      <c r="L214" s="9">
        <f>IF($H214&lt;&gt;"OK","",ROUND($G214*使い方と設定!$B$7*$AK214*INDEX(個性タイプマスタ!$Q$5:$AA$54,$AE214,4)/$AG214,4))</f>
        <v>0.13469999999999999</v>
      </c>
      <c r="M214" s="9">
        <f>IF($H214&lt;&gt;"OK","",ROUND($G214*使い方と設定!$B$7*$AK214*INDEX(個性タイプマスタ!$Q$5:$AA$54,$AE214,5)/$AG214,4))</f>
        <v>1.1718</v>
      </c>
      <c r="N214" s="9">
        <f>IF($H214&lt;&gt;"OK","",ROUND($G214*使い方と設定!$B$7*$AK214*INDEX(個性タイプマスタ!$Q$5:$AA$54,$AE214,6)/$AG214,4))</f>
        <v>0.57769999999999999</v>
      </c>
      <c r="O214" s="9">
        <f>IF($H214&lt;&gt;"OK","",ROUND($G214*使い方と設定!$B$7*$AK214*INDEX(個性タイプマスタ!$Q$5:$AA$54,$AE214,7)/$AG214,4))</f>
        <v>0.21160000000000001</v>
      </c>
      <c r="P214" s="9">
        <f>IF($H214&lt;&gt;"OK","",ROUND($G214*使い方と設定!$B$7*$AK214*INDEX(個性タイプマスタ!$Q$5:$AA$54,$AE214,8)/$AG214,4))</f>
        <v>0.37509999999999999</v>
      </c>
      <c r="Q214" s="9">
        <f>IF($H214&lt;&gt;"OK","",ROUND($G214*使い方と設定!$B$7*$AK214*INDEX(個性タイプマスタ!$Q$5:$AA$54,$AE214,9)/$AG214,4))</f>
        <v>0.21160000000000001</v>
      </c>
      <c r="R214" s="9">
        <f>IF($H214&lt;&gt;"OK","",ROUND($G214*使い方と設定!$B$7*$AK214*INDEX(個性タイプマスタ!$Q$5:$AA$54,$AE214,10)/$AG214,4))</f>
        <v>0.4168</v>
      </c>
      <c r="S214" s="9">
        <f>IF($H214&lt;&gt;"OK","",ROUND($G214*使い方と設定!$B$7*$AK214*INDEX(個性タイプマスタ!$Q$5:$AA$54,$AE214,11)/$AG214,4))</f>
        <v>0.30520000000000003</v>
      </c>
      <c r="T214" s="9">
        <f>IF($H214&lt;&gt;"OK","",ROUND($G214*使い方と設定!$B$8*$AK214*$AH214*INDEX(属性耐性マスタ!$B$5:$G$10,$AF214,1),4))</f>
        <v>1.83E-2</v>
      </c>
      <c r="U214" s="9">
        <f>IF($H214&lt;&gt;"OK","",ROUND($G214*使い方と設定!$B$8*$AK214*$AH214*INDEX(属性耐性マスタ!$B$5:$G$10,$AF214,2),4))</f>
        <v>1.83E-2</v>
      </c>
      <c r="V214" s="9">
        <f>IF($H214&lt;&gt;"OK","",ROUND($G214*使い方と設定!$B$8*$AK214*$AH214*INDEX(属性耐性マスタ!$B$5:$G$10,$AF214,3),4))</f>
        <v>1.83E-2</v>
      </c>
      <c r="W214" s="9">
        <f>IF($H214&lt;&gt;"OK","",ROUND($G214*使い方と設定!$B$8*$AK214*$AH214*INDEX(属性耐性マスタ!$B$5:$G$10,$AF214,4),4))</f>
        <v>1.83E-2</v>
      </c>
      <c r="X214" s="9">
        <f>IF($H214&lt;&gt;"OK","",ROUND($G214*使い方と設定!$B$8*$AK214*$AH214*INDEX(属性耐性マスタ!$B$5:$G$10,$AF214,5),4))</f>
        <v>4.8899999999999999E-2</v>
      </c>
      <c r="Y214" s="9">
        <f>IF($H214&lt;&gt;"OK","",ROUND($G214*使い方と設定!$B$8*$AK214*$AH214*INDEX(属性耐性マスタ!$B$5:$G$10,$AF214,6),4))</f>
        <v>0.36649999999999999</v>
      </c>
      <c r="Z214" s="9">
        <f>IF($H214&lt;&gt;"OK","",ROUND($G214*使い方と設定!$B$9*$AK214*$AI214,4))</f>
        <v>1.8545</v>
      </c>
      <c r="AA214" s="10">
        <v>0.55000000000000004</v>
      </c>
      <c r="AB214" s="11">
        <f t="shared" si="10"/>
        <v>6.5450999999999997</v>
      </c>
      <c r="AC214" s="11">
        <f t="shared" si="11"/>
        <v>0.48859999999999998</v>
      </c>
      <c r="AD214" s="7" t="str">
        <f>IF($H214&lt;&gt;"OK","",INDEX(個性タイプマスタ!$P$5:$P$54,$AE214))</f>
        <v>物防とHPが突出した防壁型</v>
      </c>
      <c r="AE214">
        <f>IFERROR(MATCH(E214,個性タイプマスタ!$A$5:$A$54,0),0)</f>
        <v>37</v>
      </c>
      <c r="AF214">
        <f>IFERROR(MATCH(F214,属性耐性マスタ!$A$5:$A$10,0),0)</f>
        <v>6</v>
      </c>
      <c r="AG214">
        <f>IF(AE214=0,1,INDEX(個性タイプマスタ!$AB$5:$AB$54,AE214))</f>
        <v>10.2075</v>
      </c>
      <c r="AH214">
        <f>IF(AE214=0,1,INDEX(個性タイプマスタ!$AC$5:$AC$54,AE214))</f>
        <v>1.4</v>
      </c>
      <c r="AI214">
        <f>IF(AE214=0,0,INDEX(個性タイプマスタ!$AD$5:$AD$54,AE214))</f>
        <v>0.85</v>
      </c>
      <c r="AJ214" s="16">
        <v>35</v>
      </c>
      <c r="AK214" s="17">
        <f>IF(OR(AJ214="",AJ214&lt;1),"",POWER(使い方と設定!$E$6,AJ214-1))</f>
        <v>3.7943163405884071</v>
      </c>
    </row>
    <row r="215" spans="1:37">
      <c r="A215" t="str">
        <f>+[2]称号!A210</f>
        <v>TITLE_209</v>
      </c>
      <c r="B215" t="str">
        <f>+[2]称号!B210</f>
        <v>歪根樹王</v>
      </c>
      <c r="C215" t="s">
        <v>553</v>
      </c>
      <c r="D215" t="s">
        <v>554</v>
      </c>
      <c r="E215" s="2" t="str">
        <f>[1]モンスター計算!AM213</f>
        <v>近接・強襲</v>
      </c>
      <c r="F215" s="2" t="str">
        <f>[1]モンスター計算!C213</f>
        <v>闇</v>
      </c>
      <c r="G215" s="8">
        <v>1.2</v>
      </c>
      <c r="H215" t="str">
        <f t="shared" si="9"/>
        <v>OK</v>
      </c>
      <c r="I215" s="9">
        <f>IF($H215&lt;&gt;"OK","",ROUND($G215*使い方と設定!$B$7*$AK215*INDEX(個性タイプマスタ!$Q$5:$AA$54,$AE215,1)/$AG215,4))</f>
        <v>0.57430000000000003</v>
      </c>
      <c r="J215" s="9">
        <f>IF($H215&lt;&gt;"OK","",ROUND($G215*使い方と設定!$B$7*$AK215*INDEX(個性タイプマスタ!$Q$5:$AA$54,$AE215,2)/$AG215,4))</f>
        <v>0.30890000000000001</v>
      </c>
      <c r="K215" s="9">
        <f>IF($H215&lt;&gt;"OK","",ROUND($G215*使い方と設定!$B$7*$AK215*INDEX(個性タイプマスタ!$Q$5:$AA$54,$AE215,3)/$AG215,4))</f>
        <v>1.6520999999999999</v>
      </c>
      <c r="L215" s="9">
        <f>IF($H215&lt;&gt;"OK","",ROUND($G215*使い方と設定!$B$7*$AK215*INDEX(個性タイプマスタ!$Q$5:$AA$54,$AE215,4)/$AG215,4))</f>
        <v>0.11559999999999999</v>
      </c>
      <c r="M215" s="9">
        <f>IF($H215&lt;&gt;"OK","",ROUND($G215*使い方と設定!$B$7*$AK215*INDEX(個性タイプマスタ!$Q$5:$AA$54,$AE215,5)/$AG215,4))</f>
        <v>0.44369999999999998</v>
      </c>
      <c r="N215" s="9">
        <f>IF($H215&lt;&gt;"OK","",ROUND($G215*使い方と設定!$B$7*$AK215*INDEX(個性タイプマスタ!$Q$5:$AA$54,$AE215,6)/$AG215,4))</f>
        <v>0.41</v>
      </c>
      <c r="O215" s="9">
        <f>IF($H215&lt;&gt;"OK","",ROUND($G215*使い方と設定!$B$7*$AK215*INDEX(個性タイプマスタ!$Q$5:$AA$54,$AE215,7)/$AG215,4))</f>
        <v>0.72689999999999999</v>
      </c>
      <c r="P215" s="9">
        <f>IF($H215&lt;&gt;"OK","",ROUND($G215*使い方と設定!$B$7*$AK215*INDEX(個性タイプマスタ!$Q$5:$AA$54,$AE215,8)/$AG215,4))</f>
        <v>0.52980000000000005</v>
      </c>
      <c r="Q215" s="9">
        <f>IF($H215&lt;&gt;"OK","",ROUND($G215*使い方と設定!$B$7*$AK215*INDEX(個性タイプマスタ!$Q$5:$AA$54,$AE215,9)/$AG215,4))</f>
        <v>0.58150000000000002</v>
      </c>
      <c r="R215" s="9">
        <f>IF($H215&lt;&gt;"OK","",ROUND($G215*使い方と設定!$B$7*$AK215*INDEX(個性タイプマスタ!$Q$5:$AA$54,$AE215,10)/$AG215,4))</f>
        <v>0.93179999999999996</v>
      </c>
      <c r="S215" s="9">
        <f>IF($H215&lt;&gt;"OK","",ROUND($G215*使い方と設定!$B$7*$AK215*INDEX(個性タイプマスタ!$Q$5:$AA$54,$AE215,11)/$AG215,4))</f>
        <v>0.55510000000000004</v>
      </c>
      <c r="T215" s="9">
        <f>IF($H215&lt;&gt;"OK","",ROUND($G215*使い方と設定!$B$8*$AK215*$AH215*INDEX(属性耐性マスタ!$B$5:$G$10,$AF215,1),4))</f>
        <v>1.0699999999999999E-2</v>
      </c>
      <c r="U215" s="9">
        <f>IF($H215&lt;&gt;"OK","",ROUND($G215*使い方と設定!$B$8*$AK215*$AH215*INDEX(属性耐性マスタ!$B$5:$G$10,$AF215,2),4))</f>
        <v>1.0699999999999999E-2</v>
      </c>
      <c r="V215" s="9">
        <f>IF($H215&lt;&gt;"OK","",ROUND($G215*使い方と設定!$B$8*$AK215*$AH215*INDEX(属性耐性マスタ!$B$5:$G$10,$AF215,3),4))</f>
        <v>1.0699999999999999E-2</v>
      </c>
      <c r="W215" s="9">
        <f>IF($H215&lt;&gt;"OK","",ROUND($G215*使い方と設定!$B$8*$AK215*$AH215*INDEX(属性耐性マスタ!$B$5:$G$10,$AF215,4),4))</f>
        <v>1.0699999999999999E-2</v>
      </c>
      <c r="X215" s="9">
        <f>IF($H215&lt;&gt;"OK","",ROUND($G215*使い方と設定!$B$8*$AK215*$AH215*INDEX(属性耐性マスタ!$B$5:$G$10,$AF215,5),4))</f>
        <v>2.8400000000000002E-2</v>
      </c>
      <c r="Y215" s="9">
        <f>IF($H215&lt;&gt;"OK","",ROUND($G215*使い方と設定!$B$8*$AK215*$AH215*INDEX(属性耐性マスタ!$B$5:$G$10,$AF215,6),4))</f>
        <v>0.21310000000000001</v>
      </c>
      <c r="Z215" s="9">
        <f>IF($H215&lt;&gt;"OK","",ROUND($G215*使い方と設定!$B$9*$AK215*$AI215,4))</f>
        <v>2.8837000000000002</v>
      </c>
      <c r="AA215" s="10">
        <v>0.5</v>
      </c>
      <c r="AB215" s="11">
        <f t="shared" si="10"/>
        <v>6.8296999999999999</v>
      </c>
      <c r="AC215" s="11">
        <f t="shared" si="11"/>
        <v>0.2843</v>
      </c>
      <c r="AD215" s="7" t="str">
        <f>IF($H215&lt;&gt;"OK","",INDEX(個性タイプマスタ!$P$5:$P$54,$AE215))</f>
        <v>速い接近・間合い広めの強襲型</v>
      </c>
      <c r="AE215">
        <f>IFERROR(MATCH(E215,個性タイプマスタ!$A$5:$A$54,0),0)</f>
        <v>44</v>
      </c>
      <c r="AF215">
        <f>IFERROR(MATCH(F215,属性耐性マスタ!$A$5:$A$10,0),0)</f>
        <v>6</v>
      </c>
      <c r="AG215">
        <f>IF(AE215=0,1,INDEX(個性タイプマスタ!$AB$5:$AB$54,AE215))</f>
        <v>10.335166666666666</v>
      </c>
      <c r="AH215">
        <f>IF(AE215=0,1,INDEX(個性タイプマスタ!$AC$5:$AC$54,AE215))</f>
        <v>0.78</v>
      </c>
      <c r="AI215">
        <f>IF(AE215=0,0,INDEX(個性タイプマスタ!$AD$5:$AD$54,AE215))</f>
        <v>1.2666666666666666</v>
      </c>
      <c r="AJ215" s="16">
        <v>35</v>
      </c>
      <c r="AK215" s="17">
        <f>IF(OR(AJ215="",AJ215&lt;1),"",POWER(使い方と設定!$E$6,AJ215-1))</f>
        <v>3.7943163405884071</v>
      </c>
    </row>
    <row r="216" spans="1:37">
      <c r="A216" t="str">
        <f>+[2]称号!A211</f>
        <v>TITLE_210</v>
      </c>
      <c r="B216" t="str">
        <f>+[2]称号!B211</f>
        <v>瘴森女王</v>
      </c>
      <c r="C216" t="s">
        <v>555</v>
      </c>
      <c r="D216" t="s">
        <v>556</v>
      </c>
      <c r="E216" s="2" t="str">
        <f>[1]モンスター計算!AM214</f>
        <v>魔法・軽量</v>
      </c>
      <c r="F216" s="2" t="str">
        <f>[1]モンスター計算!C214</f>
        <v>闇</v>
      </c>
      <c r="G216" s="8">
        <v>1.25</v>
      </c>
      <c r="H216" t="str">
        <f t="shared" si="9"/>
        <v>OK</v>
      </c>
      <c r="I216" s="9">
        <f>IF($H216&lt;&gt;"OK","",ROUND($G216*使い方と設定!$B$7*$AK216*INDEX(個性タイプマスタ!$Q$5:$AA$54,$AE216,1)/$AG216,4))</f>
        <v>0.67159999999999997</v>
      </c>
      <c r="J216" s="9">
        <f>IF($H216&lt;&gt;"OK","",ROUND($G216*使い方と設定!$B$7*$AK216*INDEX(個性タイプマスタ!$Q$5:$AA$54,$AE216,2)/$AG216,4))</f>
        <v>0.73719999999999997</v>
      </c>
      <c r="K216" s="9">
        <f>IF($H216&lt;&gt;"OK","",ROUND($G216*使い方と設定!$B$7*$AK216*INDEX(個性タイプマスタ!$Q$5:$AA$54,$AE216,3)/$AG216,4))</f>
        <v>0.1862</v>
      </c>
      <c r="L216" s="9">
        <f>IF($H216&lt;&gt;"OK","",ROUND($G216*使い方と設定!$B$7*$AK216*INDEX(個性タイプマスタ!$Q$5:$AA$54,$AE216,4)/$AG216,4))</f>
        <v>1.8614999999999999</v>
      </c>
      <c r="M216" s="9">
        <f>IF($H216&lt;&gt;"OK","",ROUND($G216*使い方と設定!$B$7*$AK216*INDEX(個性タイプマスタ!$Q$5:$AA$54,$AE216,5)/$AG216,4))</f>
        <v>0.53800000000000003</v>
      </c>
      <c r="N216" s="9">
        <f>IF($H216&lt;&gt;"OK","",ROUND($G216*使い方と設定!$B$7*$AK216*INDEX(個性タイプマスタ!$Q$5:$AA$54,$AE216,6)/$AG216,4))</f>
        <v>0.63290000000000002</v>
      </c>
      <c r="O216" s="9">
        <f>IF($H216&lt;&gt;"OK","",ROUND($G216*使い方と設定!$B$7*$AK216*INDEX(個性タイプマスタ!$Q$5:$AA$54,$AE216,7)/$AG216,4))</f>
        <v>0.40949999999999998</v>
      </c>
      <c r="P216" s="9">
        <f>IF($H216&lt;&gt;"OK","",ROUND($G216*使い方と設定!$B$7*$AK216*INDEX(個性タイプマスタ!$Q$5:$AA$54,$AE216,8)/$AG216,4))</f>
        <v>0.48399999999999999</v>
      </c>
      <c r="Q216" s="9">
        <f>IF($H216&lt;&gt;"OK","",ROUND($G216*使い方と設定!$B$7*$AK216*INDEX(個性タイプマスタ!$Q$5:$AA$54,$AE216,9)/$AG216,4))</f>
        <v>0.3276</v>
      </c>
      <c r="R216" s="9">
        <f>IF($H216&lt;&gt;"OK","",ROUND($G216*使い方と設定!$B$7*$AK216*INDEX(個性タイプマスタ!$Q$5:$AA$54,$AE216,10)/$AG216,4))</f>
        <v>0.74460000000000004</v>
      </c>
      <c r="S216" s="9">
        <f>IF($H216&lt;&gt;"OK","",ROUND($G216*使い方と設定!$B$7*$AK216*INDEX(個性タイプマスタ!$Q$5:$AA$54,$AE216,11)/$AG216,4))</f>
        <v>0.5212</v>
      </c>
      <c r="T216" s="9">
        <f>IF($H216&lt;&gt;"OK","",ROUND($G216*使い方と設定!$B$8*$AK216*$AH216*INDEX(属性耐性マスタ!$B$5:$G$10,$AF216,1),4))</f>
        <v>1.3100000000000001E-2</v>
      </c>
      <c r="U216" s="9">
        <f>IF($H216&lt;&gt;"OK","",ROUND($G216*使い方と設定!$B$8*$AK216*$AH216*INDEX(属性耐性マスタ!$B$5:$G$10,$AF216,2),4))</f>
        <v>1.3100000000000001E-2</v>
      </c>
      <c r="V216" s="9">
        <f>IF($H216&lt;&gt;"OK","",ROUND($G216*使い方と設定!$B$8*$AK216*$AH216*INDEX(属性耐性マスタ!$B$5:$G$10,$AF216,3),4))</f>
        <v>1.3100000000000001E-2</v>
      </c>
      <c r="W216" s="9">
        <f>IF($H216&lt;&gt;"OK","",ROUND($G216*使い方と設定!$B$8*$AK216*$AH216*INDEX(属性耐性マスタ!$B$5:$G$10,$AF216,4),4))</f>
        <v>1.3100000000000001E-2</v>
      </c>
      <c r="X216" s="9">
        <f>IF($H216&lt;&gt;"OK","",ROUND($G216*使い方と設定!$B$8*$AK216*$AH216*INDEX(属性耐性マスタ!$B$5:$G$10,$AF216,5),4))</f>
        <v>3.49E-2</v>
      </c>
      <c r="Y216" s="9">
        <f>IF($H216&lt;&gt;"OK","",ROUND($G216*使い方と設定!$B$8*$AK216*$AH216*INDEX(属性耐性マスタ!$B$5:$G$10,$AF216,6),4))</f>
        <v>0.26179999999999998</v>
      </c>
      <c r="Z216" s="9">
        <f>IF($H216&lt;&gt;"OK","",ROUND($G216*使い方と設定!$B$9*$AK216*$AI216,4))</f>
        <v>2.2134</v>
      </c>
      <c r="AA216" s="10">
        <v>0.25</v>
      </c>
      <c r="AB216" s="11">
        <f t="shared" si="10"/>
        <v>7.1143000000000001</v>
      </c>
      <c r="AC216" s="11">
        <f t="shared" si="11"/>
        <v>0.34910000000000002</v>
      </c>
      <c r="AD216" s="7" t="str">
        <f>IF($H216&lt;&gt;"OK","",INDEX(個性タイプマスタ!$P$5:$P$54,$AE216))</f>
        <v>軽快な魔法型。耐久控えめ・成長余地大</v>
      </c>
      <c r="AE216">
        <f>IFERROR(MATCH(E216,個性タイプマスタ!$A$5:$A$54,0),0)</f>
        <v>1</v>
      </c>
      <c r="AF216">
        <f>IFERROR(MATCH(F216,属性耐性マスタ!$A$5:$A$10,0),0)</f>
        <v>6</v>
      </c>
      <c r="AG216">
        <f>IF(AE216=0,1,INDEX(個性タイプマスタ!$AB$5:$AB$54,AE216))</f>
        <v>9.5545000000000009</v>
      </c>
      <c r="AH216">
        <f>IF(AE216=0,1,INDEX(個性タイプマスタ!$AC$5:$AC$54,AE216))</f>
        <v>0.92</v>
      </c>
      <c r="AI216">
        <f>IF(AE216=0,0,INDEX(個性タイプマスタ!$AD$5:$AD$54,AE216))</f>
        <v>0.93333333333333335</v>
      </c>
      <c r="AJ216" s="16">
        <v>35</v>
      </c>
      <c r="AK216" s="17">
        <f>IF(OR(AJ216="",AJ216&lt;1),"",POWER(使い方と設定!$E$6,AJ216-1))</f>
        <v>3.7943163405884071</v>
      </c>
    </row>
    <row r="217" spans="1:37">
      <c r="A217" t="str">
        <f>+[2]称号!A212</f>
        <v>TITLE_211</v>
      </c>
      <c r="B217" t="str">
        <f>+[2]称号!B212</f>
        <v>封骸司書</v>
      </c>
      <c r="C217" t="s">
        <v>557</v>
      </c>
      <c r="D217" t="s">
        <v>558</v>
      </c>
      <c r="E217" s="2" t="str">
        <f>[1]モンスター計算!AM215</f>
        <v>魔法・探索</v>
      </c>
      <c r="F217" s="2" t="str">
        <f>[1]モンスター計算!C215</f>
        <v>闇</v>
      </c>
      <c r="G217" s="8">
        <v>1</v>
      </c>
      <c r="H217" t="str">
        <f t="shared" si="9"/>
        <v>OK</v>
      </c>
      <c r="I217" s="9">
        <f>IF($H217&lt;&gt;"OK","",ROUND($G217*使い方と設定!$B$7*$AK217*INDEX(個性タイプマスタ!$Q$5:$AA$54,$AE217,1)/$AG217,4))</f>
        <v>0.55730000000000002</v>
      </c>
      <c r="J217" s="9">
        <f>IF($H217&lt;&gt;"OK","",ROUND($G217*使い方と設定!$B$7*$AK217*INDEX(個性タイプマスタ!$Q$5:$AA$54,$AE217,2)/$AG217,4))</f>
        <v>0.59489999999999998</v>
      </c>
      <c r="K217" s="9">
        <f>IF($H217&lt;&gt;"OK","",ROUND($G217*使い方と設定!$B$7*$AK217*INDEX(個性タイプマスタ!$Q$5:$AA$54,$AE217,3)/$AG217,4))</f>
        <v>8.5400000000000004E-2</v>
      </c>
      <c r="L217" s="9">
        <f>IF($H217&lt;&gt;"OK","",ROUND($G217*使い方と設定!$B$7*$AK217*INDEX(個性タイプマスタ!$Q$5:$AA$54,$AE217,4)/$AG217,4))</f>
        <v>1.4232</v>
      </c>
      <c r="M217" s="9">
        <f>IF($H217&lt;&gt;"OK","",ROUND($G217*使い方と設定!$B$7*$AK217*INDEX(個性タイプマスタ!$Q$5:$AA$54,$AE217,5)/$AG217,4))</f>
        <v>0.44519999999999998</v>
      </c>
      <c r="N217" s="9">
        <f>IF($H217&lt;&gt;"OK","",ROUND($G217*使い方と設定!$B$7*$AK217*INDEX(個性タイプマスタ!$Q$5:$AA$54,$AE217,6)/$AG217,4))</f>
        <v>0.44030000000000002</v>
      </c>
      <c r="O217" s="9">
        <f>IF($H217&lt;&gt;"OK","",ROUND($G217*使い方と設定!$B$7*$AK217*INDEX(個性タイプマスタ!$Q$5:$AA$54,$AE217,7)/$AG217,4))</f>
        <v>0.46970000000000001</v>
      </c>
      <c r="P217" s="9">
        <f>IF($H217&lt;&gt;"OK","",ROUND($G217*使い方と設定!$B$7*$AK217*INDEX(個性タイプマスタ!$Q$5:$AA$54,$AE217,8)/$AG217,4))</f>
        <v>0.37</v>
      </c>
      <c r="Q217" s="9">
        <f>IF($H217&lt;&gt;"OK","",ROUND($G217*使い方と設定!$B$7*$AK217*INDEX(個性タイプマスタ!$Q$5:$AA$54,$AE217,9)/$AG217,4))</f>
        <v>0.38829999999999998</v>
      </c>
      <c r="R217" s="9">
        <f>IF($H217&lt;&gt;"OK","",ROUND($G217*使い方と設定!$B$7*$AK217*INDEX(個性タイプマスタ!$Q$5:$AA$54,$AE217,10)/$AG217,4))</f>
        <v>0.65469999999999995</v>
      </c>
      <c r="S217" s="9">
        <f>IF($H217&lt;&gt;"OK","",ROUND($G217*使い方と設定!$B$7*$AK217*INDEX(個性タイプマスタ!$Q$5:$AA$54,$AE217,11)/$AG217,4))</f>
        <v>0.49020000000000002</v>
      </c>
      <c r="T217" s="9">
        <f>IF($H217&lt;&gt;"OK","",ROUND($G217*使い方と設定!$B$8*$AK217*$AH217*INDEX(属性耐性マスタ!$B$5:$G$10,$AF217,1),4))</f>
        <v>1.14E-2</v>
      </c>
      <c r="U217" s="9">
        <f>IF($H217&lt;&gt;"OK","",ROUND($G217*使い方と設定!$B$8*$AK217*$AH217*INDEX(属性耐性マスタ!$B$5:$G$10,$AF217,2),4))</f>
        <v>1.14E-2</v>
      </c>
      <c r="V217" s="9">
        <f>IF($H217&lt;&gt;"OK","",ROUND($G217*使い方と設定!$B$8*$AK217*$AH217*INDEX(属性耐性マスタ!$B$5:$G$10,$AF217,3),4))</f>
        <v>1.14E-2</v>
      </c>
      <c r="W217" s="9">
        <f>IF($H217&lt;&gt;"OK","",ROUND($G217*使い方と設定!$B$8*$AK217*$AH217*INDEX(属性耐性マスタ!$B$5:$G$10,$AF217,4),4))</f>
        <v>1.14E-2</v>
      </c>
      <c r="X217" s="9">
        <f>IF($H217&lt;&gt;"OK","",ROUND($G217*使い方と設定!$B$8*$AK217*$AH217*INDEX(属性耐性マスタ!$B$5:$G$10,$AF217,5),4))</f>
        <v>3.0300000000000001E-2</v>
      </c>
      <c r="Y217" s="9">
        <f>IF($H217&lt;&gt;"OK","",ROUND($G217*使い方と設定!$B$8*$AK217*$AH217*INDEX(属性耐性マスタ!$B$5:$G$10,$AF217,6),4))</f>
        <v>0.2273</v>
      </c>
      <c r="Z217" s="9">
        <f>IF($H217&lt;&gt;"OK","",ROUND($G217*使い方と設定!$B$9*$AK217*$AI217,4))</f>
        <v>3.6829999999999998</v>
      </c>
      <c r="AA217" s="10">
        <v>1</v>
      </c>
      <c r="AB217" s="11">
        <f t="shared" si="10"/>
        <v>5.9192</v>
      </c>
      <c r="AC217" s="11">
        <f t="shared" si="11"/>
        <v>0.30320000000000003</v>
      </c>
      <c r="AD217" s="7" t="str">
        <f>IF($H217&lt;&gt;"OK","",INDEX(個性タイプマスタ!$P$5:$P$54,$AE217))</f>
        <v>高索敵・長射程寄りの探索型</v>
      </c>
      <c r="AE217">
        <f>IFERROR(MATCH(E217,個性タイプマスタ!$A$5:$A$54,0),0)</f>
        <v>28</v>
      </c>
      <c r="AF217">
        <f>IFERROR(MATCH(F217,属性耐性マスタ!$A$5:$A$10,0),0)</f>
        <v>6</v>
      </c>
      <c r="AG217">
        <f>IF(AE217=0,1,INDEX(個性タイプマスタ!$AB$5:$AB$54,AE217))</f>
        <v>10.397500000000001</v>
      </c>
      <c r="AH217">
        <f>IF(AE217=0,1,INDEX(個性タイプマスタ!$AC$5:$AC$54,AE217))</f>
        <v>0.96</v>
      </c>
      <c r="AI217">
        <f>IF(AE217=0,0,INDEX(個性タイプマスタ!$AD$5:$AD$54,AE217))</f>
        <v>1.8666666666666667</v>
      </c>
      <c r="AJ217" s="16">
        <v>36</v>
      </c>
      <c r="AK217" s="17">
        <f>IF(OR(AJ217="",AJ217&lt;1),"",POWER(使い方と設定!$E$6,AJ217-1))</f>
        <v>3.9460889942119435</v>
      </c>
    </row>
    <row r="218" spans="1:37">
      <c r="A218" t="str">
        <f>+[2]称号!A213</f>
        <v>TITLE_212</v>
      </c>
      <c r="B218" t="str">
        <f>+[2]称号!B213</f>
        <v>頁喰暴典</v>
      </c>
      <c r="C218" t="s">
        <v>559</v>
      </c>
      <c r="D218" t="s">
        <v>560</v>
      </c>
      <c r="E218" s="2" t="str">
        <f>[1]モンスター計算!AM216</f>
        <v>魔法・守護</v>
      </c>
      <c r="F218" s="2" t="str">
        <f>[1]モンスター計算!C216</f>
        <v>雷</v>
      </c>
      <c r="G218" s="8">
        <v>1.05</v>
      </c>
      <c r="H218" t="str">
        <f t="shared" si="9"/>
        <v>OK</v>
      </c>
      <c r="I218" s="9">
        <f>IF($H218&lt;&gt;"OK","",ROUND($G218*使い方と設定!$B$7*$AK218*INDEX(個性タイプマスタ!$Q$5:$AA$54,$AE218,1)/$AG218,4))</f>
        <v>0.80959999999999999</v>
      </c>
      <c r="J218" s="9">
        <f>IF($H218&lt;&gt;"OK","",ROUND($G218*使い方と設定!$B$7*$AK218*INDEX(個性タイプマスタ!$Q$5:$AA$54,$AE218,2)/$AG218,4))</f>
        <v>0.67469999999999997</v>
      </c>
      <c r="K218" s="9">
        <f>IF($H218&lt;&gt;"OK","",ROUND($G218*使い方と設定!$B$7*$AK218*INDEX(個性タイプマスタ!$Q$5:$AA$54,$AE218,3)/$AG218,4))</f>
        <v>0.1227</v>
      </c>
      <c r="L218" s="9">
        <f>IF($H218&lt;&gt;"OK","",ROUND($G218*使い方と設定!$B$7*$AK218*INDEX(個性タイプマスタ!$Q$5:$AA$54,$AE218,4)/$AG218,4))</f>
        <v>1.2266999999999999</v>
      </c>
      <c r="M218" s="9">
        <f>IF($H218&lt;&gt;"OK","",ROUND($G218*使い方と設定!$B$7*$AK218*INDEX(個性タイプマスタ!$Q$5:$AA$54,$AE218,5)/$AG218,4))</f>
        <v>0.62560000000000004</v>
      </c>
      <c r="N218" s="9">
        <f>IF($H218&lt;&gt;"OK","",ROUND($G218*使い方と設定!$B$7*$AK218*INDEX(個性タイプマスタ!$Q$5:$AA$54,$AE218,6)/$AG218,4))</f>
        <v>0.58389999999999997</v>
      </c>
      <c r="O218" s="9">
        <f>IF($H218&lt;&gt;"OK","",ROUND($G218*使い方と設定!$B$7*$AK218*INDEX(個性タイプマスタ!$Q$5:$AA$54,$AE218,7)/$AG218,4))</f>
        <v>0.53969999999999996</v>
      </c>
      <c r="P218" s="9">
        <f>IF($H218&lt;&gt;"OK","",ROUND($G218*使い方と設定!$B$7*$AK218*INDEX(個性タイプマスタ!$Q$5:$AA$54,$AE218,8)/$AG218,4))</f>
        <v>0.37209999999999999</v>
      </c>
      <c r="Q218" s="9">
        <f>IF($H218&lt;&gt;"OK","",ROUND($G218*使い方と設定!$B$7*$AK218*INDEX(個性タイプマスタ!$Q$5:$AA$54,$AE218,9)/$AG218,4))</f>
        <v>0.2591</v>
      </c>
      <c r="R218" s="9">
        <f>IF($H218&lt;&gt;"OK","",ROUND($G218*使い方と設定!$B$7*$AK218*INDEX(個性タイプマスタ!$Q$5:$AA$54,$AE218,10)/$AG218,4))</f>
        <v>0.58879999999999999</v>
      </c>
      <c r="S218" s="9">
        <f>IF($H218&lt;&gt;"OK","",ROUND($G218*使い方と設定!$B$7*$AK218*INDEX(個性タイプマスタ!$Q$5:$AA$54,$AE218,11)/$AG218,4))</f>
        <v>0.41220000000000001</v>
      </c>
      <c r="T218" s="9">
        <f>IF($H218&lt;&gt;"OK","",ROUND($G218*使い方と設定!$B$8*$AK218*$AH218*INDEX(属性耐性マスタ!$B$5:$G$10,$AF218,1),4))</f>
        <v>2.1899999999999999E-2</v>
      </c>
      <c r="U218" s="9">
        <f>IF($H218&lt;&gt;"OK","",ROUND($G218*使い方と設定!$B$8*$AK218*$AH218*INDEX(属性耐性マスタ!$B$5:$G$10,$AF218,2),4))</f>
        <v>2.1899999999999999E-2</v>
      </c>
      <c r="V218" s="9">
        <f>IF($H218&lt;&gt;"OK","",ROUND($G218*使い方と設定!$B$8*$AK218*$AH218*INDEX(属性耐性マスタ!$B$5:$G$10,$AF218,3),4))</f>
        <v>8.2000000000000003E-2</v>
      </c>
      <c r="W218" s="9">
        <f>IF($H218&lt;&gt;"OK","",ROUND($G218*使い方と設定!$B$8*$AK218*$AH218*INDEX(属性耐性マスタ!$B$5:$G$10,$AF218,4),4))</f>
        <v>0.32819999999999999</v>
      </c>
      <c r="X218" s="9">
        <f>IF($H218&lt;&gt;"OK","",ROUND($G218*使い方と設定!$B$8*$AK218*$AH218*INDEX(属性耐性マスタ!$B$5:$G$10,$AF218,5),4))</f>
        <v>1.6400000000000001E-2</v>
      </c>
      <c r="Y218" s="9">
        <f>IF($H218&lt;&gt;"OK","",ROUND($G218*使い方と設定!$B$8*$AK218*$AH218*INDEX(属性耐性マスタ!$B$5:$G$10,$AF218,6),4))</f>
        <v>1.6400000000000001E-2</v>
      </c>
      <c r="Z218" s="9">
        <f>IF($H218&lt;&gt;"OK","",ROUND($G218*使い方と設定!$B$9*$AK218*$AI218,4))</f>
        <v>2.0716999999999999</v>
      </c>
      <c r="AA218" s="10">
        <v>1</v>
      </c>
      <c r="AB218" s="11">
        <f t="shared" si="10"/>
        <v>6.2150999999999996</v>
      </c>
      <c r="AC218" s="11">
        <f t="shared" si="11"/>
        <v>0.48680000000000001</v>
      </c>
      <c r="AD218" s="7" t="str">
        <f>IF($H218&lt;&gt;"OK","",INDEX(個性タイプマスタ!$P$5:$P$54,$AE218))</f>
        <v>HP・防御・耐性の高い魔法型</v>
      </c>
      <c r="AE218">
        <f>IFERROR(MATCH(E218,個性タイプマスタ!$A$5:$A$54,0),0)</f>
        <v>6</v>
      </c>
      <c r="AF218">
        <f>IFERROR(MATCH(F218,属性耐性マスタ!$A$5:$A$10,0),0)</f>
        <v>4</v>
      </c>
      <c r="AG218">
        <f>IF(AE218=0,1,INDEX(個性タイプマスタ!$AB$5:$AB$54,AE218))</f>
        <v>12.666333333333332</v>
      </c>
      <c r="AH218">
        <f>IF(AE218=0,1,INDEX(個性タイプマスタ!$AC$5:$AC$54,AE218))</f>
        <v>1.32</v>
      </c>
      <c r="AI218">
        <f>IF(AE218=0,0,INDEX(個性タイプマスタ!$AD$5:$AD$54,AE218))</f>
        <v>1</v>
      </c>
      <c r="AJ218" s="16">
        <v>36</v>
      </c>
      <c r="AK218" s="17">
        <f>IF(OR(AJ218="",AJ218&lt;1),"",POWER(使い方と設定!$E$6,AJ218-1))</f>
        <v>3.9460889942119435</v>
      </c>
    </row>
    <row r="219" spans="1:37">
      <c r="A219" t="str">
        <f>+[2]称号!A214</f>
        <v>TITLE_213</v>
      </c>
      <c r="B219" t="str">
        <f>+[2]称号!B214</f>
        <v>漆黒滴王</v>
      </c>
      <c r="C219" t="s">
        <v>561</v>
      </c>
      <c r="D219" t="s">
        <v>562</v>
      </c>
      <c r="E219" s="2" t="str">
        <f>[1]モンスター計算!AM217</f>
        <v>魔法・砲撃</v>
      </c>
      <c r="F219" s="2" t="str">
        <f>[1]モンスター計算!C217</f>
        <v>闇</v>
      </c>
      <c r="G219" s="8">
        <v>1.1000000000000001</v>
      </c>
      <c r="H219" t="str">
        <f t="shared" si="9"/>
        <v>OK</v>
      </c>
      <c r="I219" s="9">
        <f>IF($H219&lt;&gt;"OK","",ROUND($G219*使い方と設定!$B$7*$AK219*INDEX(個性タイプマスタ!$Q$5:$AA$54,$AE219,1)/$AG219,4))</f>
        <v>0.62450000000000006</v>
      </c>
      <c r="J219" s="9">
        <f>IF($H219&lt;&gt;"OK","",ROUND($G219*使い方と設定!$B$7*$AK219*INDEX(個性タイプマスタ!$Q$5:$AA$54,$AE219,2)/$AG219,4))</f>
        <v>1.0980000000000001</v>
      </c>
      <c r="K219" s="9">
        <f>IF($H219&lt;&gt;"OK","",ROUND($G219*使い方と設定!$B$7*$AK219*INDEX(個性タイプマスタ!$Q$5:$AA$54,$AE219,3)/$AG219,4))</f>
        <v>0.11700000000000001</v>
      </c>
      <c r="L219" s="9">
        <f>IF($H219&lt;&gt;"OK","",ROUND($G219*使い方と設定!$B$7*$AK219*INDEX(個性タイプマスタ!$Q$5:$AA$54,$AE219,4)/$AG219,4))</f>
        <v>1.5597000000000001</v>
      </c>
      <c r="M219" s="9">
        <f>IF($H219&lt;&gt;"OK","",ROUND($G219*使い方と設定!$B$7*$AK219*INDEX(個性タイプマスタ!$Q$5:$AA$54,$AE219,5)/$AG219,4))</f>
        <v>0.4667</v>
      </c>
      <c r="N219" s="9">
        <f>IF($H219&lt;&gt;"OK","",ROUND($G219*使い方と設定!$B$7*$AK219*INDEX(個性タイプマスタ!$Q$5:$AA$54,$AE219,6)/$AG219,4))</f>
        <v>0.50380000000000003</v>
      </c>
      <c r="O219" s="9">
        <f>IF($H219&lt;&gt;"OK","",ROUND($G219*使い方と設定!$B$7*$AK219*INDEX(個性タイプマスタ!$Q$5:$AA$54,$AE219,7)/$AG219,4))</f>
        <v>0.27450000000000002</v>
      </c>
      <c r="P219" s="9">
        <f>IF($H219&lt;&gt;"OK","",ROUND($G219*使い方と設定!$B$7*$AK219*INDEX(個性タイプマスタ!$Q$5:$AA$54,$AE219,8)/$AG219,4))</f>
        <v>0.5948</v>
      </c>
      <c r="Q219" s="9">
        <f>IF($H219&lt;&gt;"OK","",ROUND($G219*使い方と設定!$B$7*$AK219*INDEX(個性タイプマスタ!$Q$5:$AA$54,$AE219,9)/$AG219,4))</f>
        <v>0.22650000000000001</v>
      </c>
      <c r="R219" s="9">
        <f>IF($H219&lt;&gt;"OK","",ROUND($G219*使い方と設定!$B$7*$AK219*INDEX(個性タイプマスタ!$Q$5:$AA$54,$AE219,10)/$AG219,4))</f>
        <v>0.39929999999999999</v>
      </c>
      <c r="S219" s="9">
        <f>IF($H219&lt;&gt;"OK","",ROUND($G219*使い方と設定!$B$7*$AK219*INDEX(個性タイプマスタ!$Q$5:$AA$54,$AE219,11)/$AG219,4))</f>
        <v>0.64629999999999999</v>
      </c>
      <c r="T219" s="9">
        <f>IF($H219&lt;&gt;"OK","",ROUND($G219*使い方と設定!$B$8*$AK219*$AH219*INDEX(属性耐性マスタ!$B$5:$G$10,$AF219,1),4))</f>
        <v>1.17E-2</v>
      </c>
      <c r="U219" s="9">
        <f>IF($H219&lt;&gt;"OK","",ROUND($G219*使い方と設定!$B$8*$AK219*$AH219*INDEX(属性耐性マスタ!$B$5:$G$10,$AF219,2),4))</f>
        <v>1.17E-2</v>
      </c>
      <c r="V219" s="9">
        <f>IF($H219&lt;&gt;"OK","",ROUND($G219*使い方と設定!$B$8*$AK219*$AH219*INDEX(属性耐性マスタ!$B$5:$G$10,$AF219,3),4))</f>
        <v>1.17E-2</v>
      </c>
      <c r="W219" s="9">
        <f>IF($H219&lt;&gt;"OK","",ROUND($G219*使い方と設定!$B$8*$AK219*$AH219*INDEX(属性耐性マスタ!$B$5:$G$10,$AF219,4),4))</f>
        <v>1.17E-2</v>
      </c>
      <c r="X219" s="9">
        <f>IF($H219&lt;&gt;"OK","",ROUND($G219*使い方と設定!$B$8*$AK219*$AH219*INDEX(属性耐性マスタ!$B$5:$G$10,$AF219,5),4))</f>
        <v>3.1300000000000001E-2</v>
      </c>
      <c r="Y219" s="9">
        <f>IF($H219&lt;&gt;"OK","",ROUND($G219*使い方と設定!$B$8*$AK219*$AH219*INDEX(属性耐性マスタ!$B$5:$G$10,$AF219,6),4))</f>
        <v>0.2344</v>
      </c>
      <c r="Z219" s="9">
        <f>IF($H219&lt;&gt;"OK","",ROUND($G219*使い方と設定!$B$9*$AK219*$AI219,4))</f>
        <v>1.8991</v>
      </c>
      <c r="AA219" s="10">
        <v>0.9</v>
      </c>
      <c r="AB219" s="11">
        <f t="shared" si="10"/>
        <v>6.5110999999999999</v>
      </c>
      <c r="AC219" s="11">
        <f t="shared" si="11"/>
        <v>0.3125</v>
      </c>
      <c r="AD219" s="7" t="str">
        <f>IF($H219&lt;&gt;"OK","",INDEX(個性タイプマスタ!$P$5:$P$54,$AE219))</f>
        <v>低速高威力の遠距離砲台</v>
      </c>
      <c r="AE219">
        <f>IFERROR(MATCH(E219,個性タイプマスタ!$A$5:$A$54,0),0)</f>
        <v>17</v>
      </c>
      <c r="AF219">
        <f>IFERROR(MATCH(F219,属性耐性マスタ!$A$5:$A$10,0),0)</f>
        <v>6</v>
      </c>
      <c r="AG219">
        <f>IF(AE219=0,1,INDEX(個性タイプマスタ!$AB$5:$AB$54,AE219))</f>
        <v>10.436333333333334</v>
      </c>
      <c r="AH219">
        <f>IF(AE219=0,1,INDEX(個性タイプマスタ!$AC$5:$AC$54,AE219))</f>
        <v>0.9</v>
      </c>
      <c r="AI219">
        <f>IF(AE219=0,0,INDEX(個性タイプマスタ!$AD$5:$AD$54,AE219))</f>
        <v>0.875</v>
      </c>
      <c r="AJ219" s="16">
        <v>36</v>
      </c>
      <c r="AK219" s="17">
        <f>IF(OR(AJ219="",AJ219&lt;1),"",POWER(使い方と設定!$E$6,AJ219-1))</f>
        <v>3.9460889942119435</v>
      </c>
    </row>
    <row r="220" spans="1:37">
      <c r="A220" t="str">
        <f>+[2]称号!A215</f>
        <v>TITLE_214</v>
      </c>
      <c r="B220" t="str">
        <f>+[2]称号!B215</f>
        <v>書楼巨兵</v>
      </c>
      <c r="C220" t="s">
        <v>563</v>
      </c>
      <c r="D220" t="s">
        <v>564</v>
      </c>
      <c r="E220" s="2" t="str">
        <f>[1]モンスター計算!AM218</f>
        <v>近接・堅実</v>
      </c>
      <c r="F220" s="2" t="str">
        <f>[1]モンスター計算!C218</f>
        <v>雷</v>
      </c>
      <c r="G220" s="8">
        <v>1.1499999999999999</v>
      </c>
      <c r="H220" t="str">
        <f t="shared" si="9"/>
        <v>OK</v>
      </c>
      <c r="I220" s="9">
        <f>IF($H220&lt;&gt;"OK","",ROUND($G220*使い方と設定!$B$7*$AK220*INDEX(個性タイプマスタ!$Q$5:$AA$54,$AE220,1)/$AG220,4))</f>
        <v>0.84909999999999997</v>
      </c>
      <c r="J220" s="9">
        <f>IF($H220&lt;&gt;"OK","",ROUND($G220*使い方と設定!$B$7*$AK220*INDEX(個性タイプマスタ!$Q$5:$AA$54,$AE220,2)/$AG220,4))</f>
        <v>0.36009999999999998</v>
      </c>
      <c r="K220" s="9">
        <f>IF($H220&lt;&gt;"OK","",ROUND($G220*使い方と設定!$B$7*$AK220*INDEX(個性タイプマスタ!$Q$5:$AA$54,$AE220,3)/$AG220,4))</f>
        <v>1.7231000000000001</v>
      </c>
      <c r="L220" s="9">
        <f>IF($H220&lt;&gt;"OK","",ROUND($G220*使い方と設定!$B$7*$AK220*INDEX(個性タイプマスタ!$Q$5:$AA$54,$AE220,4)/$AG220,4))</f>
        <v>0.13439999999999999</v>
      </c>
      <c r="M220" s="9">
        <f>IF($H220&lt;&gt;"OK","",ROUND($G220*使い方と設定!$B$7*$AK220*INDEX(個性タイプマスタ!$Q$5:$AA$54,$AE220,5)/$AG220,4))</f>
        <v>0.73819999999999997</v>
      </c>
      <c r="N220" s="9">
        <f>IF($H220&lt;&gt;"OK","",ROUND($G220*使い方と設定!$B$7*$AK220*INDEX(個性タイプマスタ!$Q$5:$AA$54,$AE220,6)/$AG220,4))</f>
        <v>0.72650000000000003</v>
      </c>
      <c r="O220" s="9">
        <f>IF($H220&lt;&gt;"OK","",ROUND($G220*使い方と設定!$B$7*$AK220*INDEX(個性タイプマスタ!$Q$5:$AA$54,$AE220,7)/$AG220,4))</f>
        <v>0.30330000000000001</v>
      </c>
      <c r="P220" s="9">
        <f>IF($H220&lt;&gt;"OK","",ROUND($G220*使い方と設定!$B$7*$AK220*INDEX(個性タイプマスタ!$Q$5:$AA$54,$AE220,8)/$AG220,4))</f>
        <v>0.41810000000000003</v>
      </c>
      <c r="Q220" s="9">
        <f>IF($H220&lt;&gt;"OK","",ROUND($G220*使い方と設定!$B$7*$AK220*INDEX(個性タイプマスタ!$Q$5:$AA$54,$AE220,9)/$AG220,4))</f>
        <v>0.3715</v>
      </c>
      <c r="R220" s="9">
        <f>IF($H220&lt;&gt;"OK","",ROUND($G220*使い方と設定!$B$7*$AK220*INDEX(個性タイプマスタ!$Q$5:$AA$54,$AE220,10)/$AG220,4))</f>
        <v>0.70989999999999998</v>
      </c>
      <c r="S220" s="9">
        <f>IF($H220&lt;&gt;"OK","",ROUND($G220*使い方と設定!$B$7*$AK220*INDEX(個性タイプマスタ!$Q$5:$AA$54,$AE220,11)/$AG220,4))</f>
        <v>0.4728</v>
      </c>
      <c r="T220" s="9">
        <f>IF($H220&lt;&gt;"OK","",ROUND($G220*使い方と設定!$B$8*$AK220*$AH220*INDEX(属性耐性マスタ!$B$5:$G$10,$AF220,1),4))</f>
        <v>2.1100000000000001E-2</v>
      </c>
      <c r="U220" s="9">
        <f>IF($H220&lt;&gt;"OK","",ROUND($G220*使い方と設定!$B$8*$AK220*$AH220*INDEX(属性耐性マスタ!$B$5:$G$10,$AF220,2),4))</f>
        <v>2.1100000000000001E-2</v>
      </c>
      <c r="V220" s="9">
        <f>IF($H220&lt;&gt;"OK","",ROUND($G220*使い方と設定!$B$8*$AK220*$AH220*INDEX(属性耐性マスタ!$B$5:$G$10,$AF220,3),4))</f>
        <v>7.9000000000000001E-2</v>
      </c>
      <c r="W220" s="9">
        <f>IF($H220&lt;&gt;"OK","",ROUND($G220*使い方と設定!$B$8*$AK220*$AH220*INDEX(属性耐性マスタ!$B$5:$G$10,$AF220,4),4))</f>
        <v>0.31580000000000003</v>
      </c>
      <c r="X220" s="9">
        <f>IF($H220&lt;&gt;"OK","",ROUND($G220*使い方と設定!$B$8*$AK220*$AH220*INDEX(属性耐性マスタ!$B$5:$G$10,$AF220,5),4))</f>
        <v>1.5800000000000002E-2</v>
      </c>
      <c r="Y220" s="9">
        <f>IF($H220&lt;&gt;"OK","",ROUND($G220*使い方と設定!$B$8*$AK220*$AH220*INDEX(属性耐性マスタ!$B$5:$G$10,$AF220,6),4))</f>
        <v>1.5800000000000002E-2</v>
      </c>
      <c r="Z220" s="9">
        <f>IF($H220&lt;&gt;"OK","",ROUND($G220*使い方と設定!$B$9*$AK220*$AI220,4))</f>
        <v>2.2879</v>
      </c>
      <c r="AA220" s="10">
        <v>0.55000000000000004</v>
      </c>
      <c r="AB220" s="11">
        <f t="shared" si="10"/>
        <v>6.8070000000000004</v>
      </c>
      <c r="AC220" s="11">
        <f t="shared" si="11"/>
        <v>0.46860000000000002</v>
      </c>
      <c r="AD220" s="7" t="str">
        <f>IF($H220&lt;&gt;"OK","",INDEX(個性タイプマスタ!$P$5:$P$54,$AE220))</f>
        <v>手堅いステータスの安定型</v>
      </c>
      <c r="AE220">
        <f>IFERROR(MATCH(E220,個性タイプマスタ!$A$5:$A$54,0),0)</f>
        <v>43</v>
      </c>
      <c r="AF220">
        <f>IFERROR(MATCH(F220,属性耐性マスタ!$A$5:$A$10,0),0)</f>
        <v>4</v>
      </c>
      <c r="AG220">
        <f>IF(AE220=0,1,INDEX(個性タイプマスタ!$AB$5:$AB$54,AE220))</f>
        <v>9.8761666666666663</v>
      </c>
      <c r="AH220">
        <f>IF(AE220=0,1,INDEX(個性タイプマスタ!$AC$5:$AC$54,AE220))</f>
        <v>1.1599999999999999</v>
      </c>
      <c r="AI220">
        <f>IF(AE220=0,0,INDEX(個性タイプマスタ!$AD$5:$AD$54,AE220))</f>
        <v>1.0083333333333333</v>
      </c>
      <c r="AJ220" s="16">
        <v>36</v>
      </c>
      <c r="AK220" s="17">
        <f>IF(OR(AJ220="",AJ220&lt;1),"",POWER(使い方と設定!$E$6,AJ220-1))</f>
        <v>3.9460889942119435</v>
      </c>
    </row>
    <row r="221" spans="1:37">
      <c r="A221" t="str">
        <f>+[2]称号!A216</f>
        <v>TITLE_215</v>
      </c>
      <c r="B221" t="str">
        <f>+[2]称号!B216</f>
        <v>詠環幽灯</v>
      </c>
      <c r="C221" t="s">
        <v>565</v>
      </c>
      <c r="D221" t="s">
        <v>566</v>
      </c>
      <c r="E221" s="2" t="str">
        <f>[1]モンスター計算!AM219</f>
        <v>近接・軽装強打</v>
      </c>
      <c r="F221" s="2" t="str">
        <f>[1]モンスター計算!C219</f>
        <v>光</v>
      </c>
      <c r="G221" s="8">
        <v>1.2</v>
      </c>
      <c r="H221" t="str">
        <f t="shared" si="9"/>
        <v>OK</v>
      </c>
      <c r="I221" s="9">
        <f>IF($H221&lt;&gt;"OK","",ROUND($G221*使い方と設定!$B$7*$AK221*INDEX(個性タイプマスタ!$Q$5:$AA$54,$AE221,1)/$AG221,4))</f>
        <v>0.61309999999999998</v>
      </c>
      <c r="J221" s="9">
        <f>IF($H221&lt;&gt;"OK","",ROUND($G221*使い方と設定!$B$7*$AK221*INDEX(個性タイプマスタ!$Q$5:$AA$54,$AE221,2)/$AG221,4))</f>
        <v>0.25009999999999999</v>
      </c>
      <c r="K221" s="9">
        <f>IF($H221&lt;&gt;"OK","",ROUND($G221*使い方と設定!$B$7*$AK221*INDEX(個性タイプマスタ!$Q$5:$AA$54,$AE221,3)/$AG221,4))</f>
        <v>1.8332999999999999</v>
      </c>
      <c r="L221" s="9">
        <f>IF($H221&lt;&gt;"OK","",ROUND($G221*使い方と設定!$B$7*$AK221*INDEX(個性タイプマスタ!$Q$5:$AA$54,$AE221,4)/$AG221,4))</f>
        <v>0.1137</v>
      </c>
      <c r="M221" s="9">
        <f>IF($H221&lt;&gt;"OK","",ROUND($G221*使い方と設定!$B$7*$AK221*INDEX(個性タイプマスタ!$Q$5:$AA$54,$AE221,5)/$AG221,4))</f>
        <v>0.47370000000000001</v>
      </c>
      <c r="N221" s="9">
        <f>IF($H221&lt;&gt;"OK","",ROUND($G221*使い方と設定!$B$7*$AK221*INDEX(個性タイプマスタ!$Q$5:$AA$54,$AE221,6)/$AG221,4))</f>
        <v>0.43630000000000002</v>
      </c>
      <c r="O221" s="9">
        <f>IF($H221&lt;&gt;"OK","",ROUND($G221*使い方と設定!$B$7*$AK221*INDEX(個性タイプマスタ!$Q$5:$AA$54,$AE221,7)/$AG221,4))</f>
        <v>0.76629999999999998</v>
      </c>
      <c r="P221" s="9">
        <f>IF($H221&lt;&gt;"OK","",ROUND($G221*使い方と設定!$B$7*$AK221*INDEX(個性タイプマスタ!$Q$5:$AA$54,$AE221,8)/$AG221,4))</f>
        <v>0.76270000000000004</v>
      </c>
      <c r="Q221" s="9">
        <f>IF($H221&lt;&gt;"OK","",ROUND($G221*使い方と設定!$B$7*$AK221*INDEX(個性タイプマスタ!$Q$5:$AA$54,$AE221,9)/$AG221,4))</f>
        <v>0.54049999999999998</v>
      </c>
      <c r="R221" s="9">
        <f>IF($H221&lt;&gt;"OK","",ROUND($G221*使い方と設定!$B$7*$AK221*INDEX(個性タイプマスタ!$Q$5:$AA$54,$AE221,10)/$AG221,4))</f>
        <v>0.63070000000000004</v>
      </c>
      <c r="S221" s="9">
        <f>IF($H221&lt;&gt;"OK","",ROUND($G221*使い方と設定!$B$7*$AK221*INDEX(個性タイプマスタ!$Q$5:$AA$54,$AE221,11)/$AG221,4))</f>
        <v>0.68269999999999997</v>
      </c>
      <c r="T221" s="9">
        <f>IF($H221&lt;&gt;"OK","",ROUND($G221*使い方と設定!$B$8*$AK221*$AH221*INDEX(属性耐性マスタ!$B$5:$G$10,$AF221,1),4))</f>
        <v>1.0200000000000001E-2</v>
      </c>
      <c r="U221" s="9">
        <f>IF($H221&lt;&gt;"OK","",ROUND($G221*使い方と設定!$B$8*$AK221*$AH221*INDEX(属性耐性マスタ!$B$5:$G$10,$AF221,2),4))</f>
        <v>1.0200000000000001E-2</v>
      </c>
      <c r="V221" s="9">
        <f>IF($H221&lt;&gt;"OK","",ROUND($G221*使い方と設定!$B$8*$AK221*$AH221*INDEX(属性耐性マスタ!$B$5:$G$10,$AF221,3),4))</f>
        <v>1.0200000000000001E-2</v>
      </c>
      <c r="W221" s="9">
        <f>IF($H221&lt;&gt;"OK","",ROUND($G221*使い方と設定!$B$8*$AK221*$AH221*INDEX(属性耐性マスタ!$B$5:$G$10,$AF221,4),4))</f>
        <v>1.0200000000000001E-2</v>
      </c>
      <c r="X221" s="9">
        <f>IF($H221&lt;&gt;"OK","",ROUND($G221*使い方と設定!$B$8*$AK221*$AH221*INDEX(属性耐性マスタ!$B$5:$G$10,$AF221,5),4))</f>
        <v>0.2046</v>
      </c>
      <c r="Y221" s="9">
        <f>IF($H221&lt;&gt;"OK","",ROUND($G221*使い方と設定!$B$8*$AK221*$AH221*INDEX(属性耐性マスタ!$B$5:$G$10,$AF221,6),4))</f>
        <v>2.7300000000000001E-2</v>
      </c>
      <c r="Z221" s="9">
        <f>IF($H221&lt;&gt;"OK","",ROUND($G221*使い方と設定!$B$9*$AK221*$AI221,4))</f>
        <v>2.7425000000000002</v>
      </c>
      <c r="AA221" s="10">
        <v>0.5</v>
      </c>
      <c r="AB221" s="11">
        <f t="shared" si="10"/>
        <v>7.1031000000000004</v>
      </c>
      <c r="AC221" s="11">
        <f t="shared" si="11"/>
        <v>0.2727</v>
      </c>
      <c r="AD221" s="7" t="str">
        <f>IF($H221&lt;&gt;"OK","",INDEX(個性タイプマスタ!$P$5:$P$54,$AE221))</f>
        <v>高い会心倍率と中距離の強打</v>
      </c>
      <c r="AE221">
        <f>IFERROR(MATCH(E221,個性タイプマスタ!$A$5:$A$54,0),0)</f>
        <v>50</v>
      </c>
      <c r="AF221">
        <f>IFERROR(MATCH(F221,属性耐性マスタ!$A$5:$A$10,0),0)</f>
        <v>5</v>
      </c>
      <c r="AG221">
        <f>IF(AE221=0,1,INDEX(個性タイプマスタ!$AB$5:$AB$54,AE221))</f>
        <v>9.6859999999999982</v>
      </c>
      <c r="AH221">
        <f>IF(AE221=0,1,INDEX(個性タイプマスタ!$AC$5:$AC$54,AE221))</f>
        <v>0.72</v>
      </c>
      <c r="AI221">
        <f>IF(AE221=0,0,INDEX(個性タイプマスタ!$AD$5:$AD$54,AE221))</f>
        <v>1.1583333333333332</v>
      </c>
      <c r="AJ221" s="16">
        <v>36</v>
      </c>
      <c r="AK221" s="17">
        <f>IF(OR(AJ221="",AJ221&lt;1),"",POWER(使い方と設定!$E$6,AJ221-1))</f>
        <v>3.9460889942119435</v>
      </c>
    </row>
    <row r="222" spans="1:37">
      <c r="A222" t="str">
        <f>+[2]称号!A217</f>
        <v>TITLE_216</v>
      </c>
      <c r="B222" t="str">
        <f>+[2]称号!B217</f>
        <v>禁架冥主</v>
      </c>
      <c r="C222" t="s">
        <v>567</v>
      </c>
      <c r="D222" t="s">
        <v>568</v>
      </c>
      <c r="E222" s="2" t="str">
        <f>[1]モンスター計算!AM220</f>
        <v>魔法・支援</v>
      </c>
      <c r="F222" s="2" t="str">
        <f>[1]モンスター計算!C220</f>
        <v>光</v>
      </c>
      <c r="G222" s="8">
        <v>1.25</v>
      </c>
      <c r="H222" t="str">
        <f t="shared" si="9"/>
        <v>OK</v>
      </c>
      <c r="I222" s="9">
        <f>IF($H222&lt;&gt;"OK","",ROUND($G222*使い方と設定!$B$7*$AK222*INDEX(個性タイプマスタ!$Q$5:$AA$54,$AE222,1)/$AG222,4))</f>
        <v>0.75370000000000004</v>
      </c>
      <c r="J222" s="9">
        <f>IF($H222&lt;&gt;"OK","",ROUND($G222*使い方と設定!$B$7*$AK222*INDEX(個性タイプマスタ!$Q$5:$AA$54,$AE222,2)/$AG222,4))</f>
        <v>1.0928</v>
      </c>
      <c r="K222" s="9">
        <f>IF($H222&lt;&gt;"OK","",ROUND($G222*使い方と設定!$B$7*$AK222*INDEX(個性タイプマスタ!$Q$5:$AA$54,$AE222,3)/$AG222,4))</f>
        <v>0.17130000000000001</v>
      </c>
      <c r="L222" s="9">
        <f>IF($H222&lt;&gt;"OK","",ROUND($G222*使い方と設定!$B$7*$AK222*INDEX(個性タイプマスタ!$Q$5:$AA$54,$AE222,4)/$AG222,4))</f>
        <v>1.7129000000000001</v>
      </c>
      <c r="M222" s="9">
        <f>IF($H222&lt;&gt;"OK","",ROUND($G222*使い方と設定!$B$7*$AK222*INDEX(個性タイプマスタ!$Q$5:$AA$54,$AE222,5)/$AG222,4))</f>
        <v>0.58240000000000003</v>
      </c>
      <c r="N222" s="9">
        <f>IF($H222&lt;&gt;"OK","",ROUND($G222*使い方と設定!$B$7*$AK222*INDEX(個性タイプマスタ!$Q$5:$AA$54,$AE222,6)/$AG222,4))</f>
        <v>0.69889999999999997</v>
      </c>
      <c r="O222" s="9">
        <f>IF($H222&lt;&gt;"OK","",ROUND($G222*使い方と設定!$B$7*$AK222*INDEX(個性タイプマスタ!$Q$5:$AA$54,$AE222,7)/$AG222,4))</f>
        <v>0.45219999999999999</v>
      </c>
      <c r="P222" s="9">
        <f>IF($H222&lt;&gt;"OK","",ROUND($G222*使い方と設定!$B$7*$AK222*INDEX(個性タイプマスタ!$Q$5:$AA$54,$AE222,8)/$AG222,4))</f>
        <v>0.41570000000000001</v>
      </c>
      <c r="Q222" s="9">
        <f>IF($H222&lt;&gt;"OK","",ROUND($G222*使い方と設定!$B$7*$AK222*INDEX(個性タイプマスタ!$Q$5:$AA$54,$AE222,9)/$AG222,4))</f>
        <v>0.3165</v>
      </c>
      <c r="R222" s="9">
        <f>IF($H222&lt;&gt;"OK","",ROUND($G222*使い方と設定!$B$7*$AK222*INDEX(個性タイプマスタ!$Q$5:$AA$54,$AE222,10)/$AG222,4))</f>
        <v>0.65090000000000003</v>
      </c>
      <c r="S222" s="9">
        <f>IF($H222&lt;&gt;"OK","",ROUND($G222*使い方と設定!$B$7*$AK222*INDEX(個性タイプマスタ!$Q$5:$AA$54,$AE222,11)/$AG222,4))</f>
        <v>0.55159999999999998</v>
      </c>
      <c r="T222" s="9">
        <f>IF($H222&lt;&gt;"OK","",ROUND($G222*使い方と設定!$B$8*$AK222*$AH222*INDEX(属性耐性マスタ!$B$5:$G$10,$AF222,1),4))</f>
        <v>1.66E-2</v>
      </c>
      <c r="U222" s="9">
        <f>IF($H222&lt;&gt;"OK","",ROUND($G222*使い方と設定!$B$8*$AK222*$AH222*INDEX(属性耐性マスタ!$B$5:$G$10,$AF222,2),4))</f>
        <v>1.66E-2</v>
      </c>
      <c r="V222" s="9">
        <f>IF($H222&lt;&gt;"OK","",ROUND($G222*使い方と設定!$B$8*$AK222*$AH222*INDEX(属性耐性マスタ!$B$5:$G$10,$AF222,3),4))</f>
        <v>1.66E-2</v>
      </c>
      <c r="W222" s="9">
        <f>IF($H222&lt;&gt;"OK","",ROUND($G222*使い方と設定!$B$8*$AK222*$AH222*INDEX(属性耐性マスタ!$B$5:$G$10,$AF222,4),4))</f>
        <v>1.66E-2</v>
      </c>
      <c r="X222" s="9">
        <f>IF($H222&lt;&gt;"OK","",ROUND($G222*使い方と設定!$B$8*$AK222*$AH222*INDEX(属性耐性マスタ!$B$5:$G$10,$AF222,5),4))</f>
        <v>0.33150000000000002</v>
      </c>
      <c r="Y222" s="9">
        <f>IF($H222&lt;&gt;"OK","",ROUND($G222*使い方と設定!$B$8*$AK222*$AH222*INDEX(属性耐性マスタ!$B$5:$G$10,$AF222,6),4))</f>
        <v>4.4200000000000003E-2</v>
      </c>
      <c r="Z222" s="9">
        <f>IF($H222&lt;&gt;"OK","",ROUND($G222*使い方と設定!$B$9*$AK222*$AI222,4))</f>
        <v>2.343</v>
      </c>
      <c r="AA222" s="10">
        <v>0.25</v>
      </c>
      <c r="AB222" s="11">
        <f t="shared" si="10"/>
        <v>7.3989000000000003</v>
      </c>
      <c r="AC222" s="11">
        <f t="shared" si="11"/>
        <v>0.44209999999999999</v>
      </c>
      <c r="AD222" s="7" t="str">
        <f>IF($H222&lt;&gt;"OK","",INDEX(個性タイプマスタ!$P$5:$P$54,$AE222))</f>
        <v>MPと魔防寄りの支援型</v>
      </c>
      <c r="AE222">
        <f>IFERROR(MATCH(E222,個性タイプマスタ!$A$5:$A$54,0),0)</f>
        <v>10</v>
      </c>
      <c r="AF222">
        <f>IFERROR(MATCH(F222,属性耐性マスタ!$A$5:$A$10,0),0)</f>
        <v>5</v>
      </c>
      <c r="AG222">
        <f>IF(AE222=0,1,INDEX(個性タイプマスタ!$AB$5:$AB$54,AE222))</f>
        <v>10.798666666666666</v>
      </c>
      <c r="AH222">
        <f>IF(AE222=0,1,INDEX(個性タイプマスタ!$AC$5:$AC$54,AE222))</f>
        <v>1.1200000000000001</v>
      </c>
      <c r="AI222">
        <f>IF(AE222=0,0,INDEX(個性タイプマスタ!$AD$5:$AD$54,AE222))</f>
        <v>0.95</v>
      </c>
      <c r="AJ222" s="16">
        <v>36</v>
      </c>
      <c r="AK222" s="17">
        <f>IF(OR(AJ222="",AJ222&lt;1),"",POWER(使い方と設定!$E$6,AJ222-1))</f>
        <v>3.9460889942119435</v>
      </c>
    </row>
    <row r="223" spans="1:37">
      <c r="A223" t="str">
        <f>+[2]称号!A218</f>
        <v>TITLE_217</v>
      </c>
      <c r="B223" t="str">
        <f>+[2]称号!B218</f>
        <v>濃影に侵された骸剣士</v>
      </c>
      <c r="C223" t="s">
        <v>569</v>
      </c>
      <c r="D223" t="s">
        <v>570</v>
      </c>
      <c r="E223" s="2" t="str">
        <f>[1]モンスター計算!AM221</f>
        <v>魔法・速攻</v>
      </c>
      <c r="F223" s="2" t="str">
        <f>[1]モンスター計算!C221</f>
        <v>闇</v>
      </c>
      <c r="G223" s="8">
        <v>1</v>
      </c>
      <c r="H223" t="str">
        <f t="shared" si="9"/>
        <v>OK</v>
      </c>
      <c r="I223" s="9">
        <f>IF($H223&lt;&gt;"OK","",ROUND($G223*使い方と設定!$B$7*$AK223*INDEX(個性タイプマスタ!$Q$5:$AA$54,$AE223,1)/$AG223,4))</f>
        <v>0.63839999999999997</v>
      </c>
      <c r="J223" s="9">
        <f>IF($H223&lt;&gt;"OK","",ROUND($G223*使い方と設定!$B$7*$AK223*INDEX(個性タイプマスタ!$Q$5:$AA$54,$AE223,2)/$AG223,4))</f>
        <v>0.70230000000000004</v>
      </c>
      <c r="K223" s="9">
        <f>IF($H223&lt;&gt;"OK","",ROUND($G223*使い方と設定!$B$7*$AK223*INDEX(個性タイプマスタ!$Q$5:$AA$54,$AE223,3)/$AG223,4))</f>
        <v>0.14510000000000001</v>
      </c>
      <c r="L223" s="9">
        <f>IF($H223&lt;&gt;"OK","",ROUND($G223*使い方と設定!$B$7*$AK223*INDEX(個性タイプマスタ!$Q$5:$AA$54,$AE223,4)/$AG223,4))</f>
        <v>1.4510000000000001</v>
      </c>
      <c r="M223" s="9">
        <f>IF($H223&lt;&gt;"OK","",ROUND($G223*使い方と設定!$B$7*$AK223*INDEX(個性タイプマスタ!$Q$5:$AA$54,$AE223,5)/$AG223,4))</f>
        <v>0.46870000000000001</v>
      </c>
      <c r="N223" s="9">
        <f>IF($H223&lt;&gt;"OK","",ROUND($G223*使い方と設定!$B$7*$AK223*INDEX(個性タイプマスタ!$Q$5:$AA$54,$AE223,6)/$AG223,4))</f>
        <v>0.54269999999999996</v>
      </c>
      <c r="O223" s="9">
        <f>IF($H223&lt;&gt;"OK","",ROUND($G223*使い方と設定!$B$7*$AK223*INDEX(個性タイプマスタ!$Q$5:$AA$54,$AE223,7)/$AG223,4))</f>
        <v>0.44690000000000002</v>
      </c>
      <c r="P223" s="9">
        <f>IF($H223&lt;&gt;"OK","",ROUND($G223*使い方と設定!$B$7*$AK223*INDEX(個性タイプマスタ!$Q$5:$AA$54,$AE223,8)/$AG223,4))</f>
        <v>0.38979999999999998</v>
      </c>
      <c r="Q223" s="9">
        <f>IF($H223&lt;&gt;"OK","",ROUND($G223*使い方と設定!$B$7*$AK223*INDEX(個性タイプマスタ!$Q$5:$AA$54,$AE223,9)/$AG223,4))</f>
        <v>0.29370000000000002</v>
      </c>
      <c r="R223" s="9">
        <f>IF($H223&lt;&gt;"OK","",ROUND($G223*使い方と設定!$B$7*$AK223*INDEX(個性タイプマスタ!$Q$5:$AA$54,$AE223,10)/$AG223,4))</f>
        <v>0.63839999999999997</v>
      </c>
      <c r="S223" s="9">
        <f>IF($H223&lt;&gt;"OK","",ROUND($G223*使い方と設定!$B$7*$AK223*INDEX(個性タイプマスタ!$Q$5:$AA$54,$AE223,11)/$AG223,4))</f>
        <v>0.43880000000000002</v>
      </c>
      <c r="T223" s="9">
        <f>IF($H223&lt;&gt;"OK","",ROUND($G223*使い方と設定!$B$8*$AK223*$AH223*INDEX(属性耐性マスタ!$B$5:$G$10,$AF223,1),4))</f>
        <v>1.0800000000000001E-2</v>
      </c>
      <c r="U223" s="9">
        <f>IF($H223&lt;&gt;"OK","",ROUND($G223*使い方と設定!$B$8*$AK223*$AH223*INDEX(属性耐性マスタ!$B$5:$G$10,$AF223,2),4))</f>
        <v>1.0800000000000001E-2</v>
      </c>
      <c r="V223" s="9">
        <f>IF($H223&lt;&gt;"OK","",ROUND($G223*使い方と設定!$B$8*$AK223*$AH223*INDEX(属性耐性マスタ!$B$5:$G$10,$AF223,3),4))</f>
        <v>1.0800000000000001E-2</v>
      </c>
      <c r="W223" s="9">
        <f>IF($H223&lt;&gt;"OK","",ROUND($G223*使い方と設定!$B$8*$AK223*$AH223*INDEX(属性耐性マスタ!$B$5:$G$10,$AF223,4),4))</f>
        <v>1.0800000000000001E-2</v>
      </c>
      <c r="X223" s="9">
        <f>IF($H223&lt;&gt;"OK","",ROUND($G223*使い方と設定!$B$8*$AK223*$AH223*INDEX(属性耐性マスタ!$B$5:$G$10,$AF223,5),4))</f>
        <v>2.8899999999999999E-2</v>
      </c>
      <c r="Y223" s="9">
        <f>IF($H223&lt;&gt;"OK","",ROUND($G223*使い方と設定!$B$8*$AK223*$AH223*INDEX(属性耐性マスタ!$B$5:$G$10,$AF223,6),4))</f>
        <v>0.2167</v>
      </c>
      <c r="Z223" s="9">
        <f>IF($H223&lt;&gt;"OK","",ROUND($G223*使い方と設定!$B$9*$AK223*$AI223,4))</f>
        <v>2.0177999999999998</v>
      </c>
      <c r="AA223" s="10">
        <v>1</v>
      </c>
      <c r="AB223" s="11">
        <f t="shared" si="10"/>
        <v>6.1558000000000002</v>
      </c>
      <c r="AC223" s="11">
        <f t="shared" si="11"/>
        <v>0.2888</v>
      </c>
      <c r="AD223" s="7" t="str">
        <f>IF($H223&lt;&gt;"OK","",INDEX(個性タイプマスタ!$P$5:$P$54,$AE223))</f>
        <v>高速の魔法型。攻速と射程が優秀</v>
      </c>
      <c r="AE223">
        <f>IFERROR(MATCH(E223,個性タイプマスタ!$A$5:$A$54,0),0)</f>
        <v>3</v>
      </c>
      <c r="AF223">
        <f>IFERROR(MATCH(F223,属性耐性マスタ!$A$5:$A$10,0),0)</f>
        <v>6</v>
      </c>
      <c r="AG223">
        <f>IF(AE223=0,1,INDEX(個性タイプマスタ!$AB$5:$AB$54,AE223))</f>
        <v>10.606166666666667</v>
      </c>
      <c r="AH223">
        <f>IF(AE223=0,1,INDEX(個性タイプマスタ!$AC$5:$AC$54,AE223))</f>
        <v>0.88</v>
      </c>
      <c r="AI223">
        <f>IF(AE223=0,0,INDEX(個性タイプマスタ!$AD$5:$AD$54,AE223))</f>
        <v>0.98333333333333328</v>
      </c>
      <c r="AJ223" s="16">
        <v>37</v>
      </c>
      <c r="AK223" s="17">
        <f>IF(OR(AJ223="",AJ223&lt;1),"",POWER(使い方と設定!$E$6,AJ223-1))</f>
        <v>4.103932553980421</v>
      </c>
    </row>
    <row r="224" spans="1:37">
      <c r="A224" t="str">
        <f>+[2]称号!A219</f>
        <v>TITLE_218</v>
      </c>
      <c r="B224" t="str">
        <f>+[2]称号!B219</f>
        <v>揺らぎ嗤う影戯の小悪魔</v>
      </c>
      <c r="C224" t="s">
        <v>571</v>
      </c>
      <c r="D224" t="s">
        <v>572</v>
      </c>
      <c r="E224" s="2" t="str">
        <f>[1]モンスター計算!AM222</f>
        <v>魔法・狙撃</v>
      </c>
      <c r="F224" s="2" t="str">
        <f>[1]モンスター計算!C222</f>
        <v>闇</v>
      </c>
      <c r="G224" s="8">
        <v>1.05</v>
      </c>
      <c r="H224" t="str">
        <f t="shared" si="9"/>
        <v>OK</v>
      </c>
      <c r="I224" s="9">
        <f>IF($H224&lt;&gt;"OK","",ROUND($G224*使い方と設定!$B$7*$AK224*INDEX(個性タイプマスタ!$Q$5:$AA$54,$AE224,1)/$AG224,4))</f>
        <v>0.43159999999999998</v>
      </c>
      <c r="J224" s="9">
        <f>IF($H224&lt;&gt;"OK","",ROUND($G224*使い方と設定!$B$7*$AK224*INDEX(個性タイプマスタ!$Q$5:$AA$54,$AE224,2)/$AG224,4))</f>
        <v>0.70850000000000002</v>
      </c>
      <c r="K224" s="9">
        <f>IF($H224&lt;&gt;"OK","",ROUND($G224*使い方と設定!$B$7*$AK224*INDEX(個性タイプマスタ!$Q$5:$AA$54,$AE224,3)/$AG224,4))</f>
        <v>7.6100000000000001E-2</v>
      </c>
      <c r="L224" s="9">
        <f>IF($H224&lt;&gt;"OK","",ROUND($G224*使い方と設定!$B$7*$AK224*INDEX(個性タイプマスタ!$Q$5:$AA$54,$AE224,4)/$AG224,4))</f>
        <v>1.4639</v>
      </c>
      <c r="M224" s="9">
        <f>IF($H224&lt;&gt;"OK","",ROUND($G224*使い方と設定!$B$7*$AK224*INDEX(個性タイプマスタ!$Q$5:$AA$54,$AE224,5)/$AG224,4))</f>
        <v>0.32350000000000001</v>
      </c>
      <c r="N224" s="9">
        <f>IF($H224&lt;&gt;"OK","",ROUND($G224*使い方と設定!$B$7*$AK224*INDEX(個性タイプマスタ!$Q$5:$AA$54,$AE224,6)/$AG224,4))</f>
        <v>0.3982</v>
      </c>
      <c r="O224" s="9">
        <f>IF($H224&lt;&gt;"OK","",ROUND($G224*使い方と設定!$B$7*$AK224*INDEX(個性タイプマスタ!$Q$5:$AA$54,$AE224,7)/$AG224,4))</f>
        <v>1.1594</v>
      </c>
      <c r="P224" s="9">
        <f>IF($H224&lt;&gt;"OK","",ROUND($G224*使い方と設定!$B$7*$AK224*INDEX(個性タイプマスタ!$Q$5:$AA$54,$AE224,8)/$AG224,4))</f>
        <v>0.46939999999999998</v>
      </c>
      <c r="Q224" s="9">
        <f>IF($H224&lt;&gt;"OK","",ROUND($G224*使い方と設定!$B$7*$AK224*INDEX(個性タイプマスタ!$Q$5:$AA$54,$AE224,9)/$AG224,4))</f>
        <v>0.2641</v>
      </c>
      <c r="R224" s="9">
        <f>IF($H224&lt;&gt;"OK","",ROUND($G224*使い方と設定!$B$7*$AK224*INDEX(個性タイプマスタ!$Q$5:$AA$54,$AE224,10)/$AG224,4))</f>
        <v>0.43919999999999998</v>
      </c>
      <c r="S224" s="9">
        <f>IF($H224&lt;&gt;"OK","",ROUND($G224*使い方と設定!$B$7*$AK224*INDEX(個性タイプマスタ!$Q$5:$AA$54,$AE224,11)/$AG224,4))</f>
        <v>0.72960000000000003</v>
      </c>
      <c r="T224" s="9">
        <f>IF($H224&lt;&gt;"OK","",ROUND($G224*使い方と設定!$B$8*$AK224*$AH224*INDEX(属性耐性マスタ!$B$5:$G$10,$AF224,1),4))</f>
        <v>9.7999999999999997E-3</v>
      </c>
      <c r="U224" s="9">
        <f>IF($H224&lt;&gt;"OK","",ROUND($G224*使い方と設定!$B$8*$AK224*$AH224*INDEX(属性耐性マスタ!$B$5:$G$10,$AF224,2),4))</f>
        <v>9.7999999999999997E-3</v>
      </c>
      <c r="V224" s="9">
        <f>IF($H224&lt;&gt;"OK","",ROUND($G224*使い方と設定!$B$8*$AK224*$AH224*INDEX(属性耐性マスタ!$B$5:$G$10,$AF224,3),4))</f>
        <v>9.7999999999999997E-3</v>
      </c>
      <c r="W224" s="9">
        <f>IF($H224&lt;&gt;"OK","",ROUND($G224*使い方と設定!$B$8*$AK224*$AH224*INDEX(属性耐性マスタ!$B$5:$G$10,$AF224,4),4))</f>
        <v>9.7999999999999997E-3</v>
      </c>
      <c r="X224" s="9">
        <f>IF($H224&lt;&gt;"OK","",ROUND($G224*使い方と設定!$B$8*$AK224*$AH224*INDEX(属性耐性マスタ!$B$5:$G$10,$AF224,5),4))</f>
        <v>2.6200000000000001E-2</v>
      </c>
      <c r="Y224" s="9">
        <f>IF($H224&lt;&gt;"OK","",ROUND($G224*使い方と設定!$B$8*$AK224*$AH224*INDEX(属性耐性マスタ!$B$5:$G$10,$AF224,6),4))</f>
        <v>0.19650000000000001</v>
      </c>
      <c r="Z224" s="9">
        <f>IF($H224&lt;&gt;"OK","",ROUND($G224*使い方と設定!$B$9*$AK224*$AI224,4))</f>
        <v>2.0289000000000001</v>
      </c>
      <c r="AA224" s="10">
        <v>1</v>
      </c>
      <c r="AB224" s="11">
        <f t="shared" si="10"/>
        <v>6.4634999999999998</v>
      </c>
      <c r="AC224" s="11">
        <f t="shared" si="11"/>
        <v>0.26190000000000002</v>
      </c>
      <c r="AD224" s="7" t="str">
        <f>IF($H224&lt;&gt;"OK","",INDEX(個性タイプマスタ!$P$5:$P$54,$AE224))</f>
        <v>長射程・高会心。接近戦に弱い</v>
      </c>
      <c r="AE224">
        <f>IFERROR(MATCH(E224,個性タイプマスタ!$A$5:$A$54,0),0)</f>
        <v>16</v>
      </c>
      <c r="AF224">
        <f>IFERROR(MATCH(F224,属性耐性マスタ!$A$5:$A$10,0),0)</f>
        <v>6</v>
      </c>
      <c r="AG224">
        <f>IF(AE224=0,1,INDEX(個性タイプマスタ!$AB$5:$AB$54,AE224))</f>
        <v>11.038166666666667</v>
      </c>
      <c r="AH224">
        <f>IF(AE224=0,1,INDEX(個性タイプマスタ!$AC$5:$AC$54,AE224))</f>
        <v>0.76</v>
      </c>
      <c r="AI224">
        <f>IF(AE224=0,0,INDEX(個性タイプマスタ!$AD$5:$AD$54,AE224))</f>
        <v>0.94166666666666665</v>
      </c>
      <c r="AJ224" s="16">
        <v>37</v>
      </c>
      <c r="AK224" s="17">
        <f>IF(OR(AJ224="",AJ224&lt;1),"",POWER(使い方と設定!$E$6,AJ224-1))</f>
        <v>4.103932553980421</v>
      </c>
    </row>
    <row r="225" spans="1:37">
      <c r="A225" t="str">
        <f>+[2]称号!A220</f>
        <v>TITLE_219</v>
      </c>
      <c r="B225" t="str">
        <f>+[2]称号!B220</f>
        <v>光を呑む黒淵の滴王</v>
      </c>
      <c r="C225" t="s">
        <v>573</v>
      </c>
      <c r="D225" t="s">
        <v>574</v>
      </c>
      <c r="E225" s="2" t="str">
        <f>[1]モンスター計算!AM223</f>
        <v>魔法・会心一撃</v>
      </c>
      <c r="F225" s="2" t="str">
        <f>[1]モンスター計算!C223</f>
        <v>闇</v>
      </c>
      <c r="G225" s="8">
        <v>1.1000000000000001</v>
      </c>
      <c r="H225" t="str">
        <f t="shared" si="9"/>
        <v>OK</v>
      </c>
      <c r="I225" s="9">
        <f>IF($H225&lt;&gt;"OK","",ROUND($G225*使い方と設定!$B$7*$AK225*INDEX(個性タイプマスタ!$Q$5:$AA$54,$AE225,1)/$AG225,4))</f>
        <v>0.55179999999999996</v>
      </c>
      <c r="J225" s="9">
        <f>IF($H225&lt;&gt;"OK","",ROUND($G225*使い方と設定!$B$7*$AK225*INDEX(個性タイプマスタ!$Q$5:$AA$54,$AE225,2)/$AG225,4))</f>
        <v>0.90839999999999999</v>
      </c>
      <c r="K225" s="9">
        <f>IF($H225&lt;&gt;"OK","",ROUND($G225*使い方と設定!$B$7*$AK225*INDEX(個性タイプマスタ!$Q$5:$AA$54,$AE225,3)/$AG225,4))</f>
        <v>9.1800000000000007E-2</v>
      </c>
      <c r="L225" s="9">
        <f>IF($H225&lt;&gt;"OK","",ROUND($G225*使い方と設定!$B$7*$AK225*INDEX(個性タイプマスタ!$Q$5:$AA$54,$AE225,4)/$AG225,4))</f>
        <v>1.5291999999999999</v>
      </c>
      <c r="M225" s="9">
        <f>IF($H225&lt;&gt;"OK","",ROUND($G225*使い方と設定!$B$7*$AK225*INDEX(個性タイプマスタ!$Q$5:$AA$54,$AE225,5)/$AG225,4))</f>
        <v>0.42120000000000002</v>
      </c>
      <c r="N225" s="9">
        <f>IF($H225&lt;&gt;"OK","",ROUND($G225*使い方と設定!$B$7*$AK225*INDEX(個性タイプマスタ!$Q$5:$AA$54,$AE225,6)/$AG225,4))</f>
        <v>0.45240000000000002</v>
      </c>
      <c r="O225" s="9">
        <f>IF($H225&lt;&gt;"OK","",ROUND($G225*使い方と設定!$B$7*$AK225*INDEX(個性タイプマスタ!$Q$5:$AA$54,$AE225,7)/$AG225,4))</f>
        <v>0.80740000000000001</v>
      </c>
      <c r="P225" s="9">
        <f>IF($H225&lt;&gt;"OK","",ROUND($G225*使い方と設定!$B$7*$AK225*INDEX(個性タイプマスタ!$Q$5:$AA$54,$AE225,8)/$AG225,4))</f>
        <v>0.67589999999999995</v>
      </c>
      <c r="Q225" s="9">
        <f>IF($H225&lt;&gt;"OK","",ROUND($G225*使い方と設定!$B$7*$AK225*INDEX(個性タイプマスタ!$Q$5:$AA$54,$AE225,9)/$AG225,4))</f>
        <v>0.3095</v>
      </c>
      <c r="R225" s="9">
        <f>IF($H225&lt;&gt;"OK","",ROUND($G225*使い方と設定!$B$7*$AK225*INDEX(個性タイプマスタ!$Q$5:$AA$54,$AE225,10)/$AG225,4))</f>
        <v>0.41599999999999998</v>
      </c>
      <c r="S225" s="9">
        <f>IF($H225&lt;&gt;"OK","",ROUND($G225*使い方と設定!$B$7*$AK225*INDEX(個性タイプマスタ!$Q$5:$AA$54,$AE225,11)/$AG225,4))</f>
        <v>0.60799999999999998</v>
      </c>
      <c r="T225" s="9">
        <f>IF($H225&lt;&gt;"OK","",ROUND($G225*使い方と設定!$B$8*$AK225*$AH225*INDEX(属性耐性マスタ!$B$5:$G$10,$AF225,1),4))</f>
        <v>1.06E-2</v>
      </c>
      <c r="U225" s="9">
        <f>IF($H225&lt;&gt;"OK","",ROUND($G225*使い方と設定!$B$8*$AK225*$AH225*INDEX(属性耐性マスタ!$B$5:$G$10,$AF225,2),4))</f>
        <v>1.06E-2</v>
      </c>
      <c r="V225" s="9">
        <f>IF($H225&lt;&gt;"OK","",ROUND($G225*使い方と設定!$B$8*$AK225*$AH225*INDEX(属性耐性マスタ!$B$5:$G$10,$AF225,3),4))</f>
        <v>1.06E-2</v>
      </c>
      <c r="W225" s="9">
        <f>IF($H225&lt;&gt;"OK","",ROUND($G225*使い方と設定!$B$8*$AK225*$AH225*INDEX(属性耐性マスタ!$B$5:$G$10,$AF225,4),4))</f>
        <v>1.06E-2</v>
      </c>
      <c r="X225" s="9">
        <f>IF($H225&lt;&gt;"OK","",ROUND($G225*使い方と設定!$B$8*$AK225*$AH225*INDEX(属性耐性マスタ!$B$5:$G$10,$AF225,5),4))</f>
        <v>2.8199999999999999E-2</v>
      </c>
      <c r="Y225" s="9">
        <f>IF($H225&lt;&gt;"OK","",ROUND($G225*使い方と設定!$B$8*$AK225*$AH225*INDEX(属性耐性マスタ!$B$5:$G$10,$AF225,6),4))</f>
        <v>0.21129999999999999</v>
      </c>
      <c r="Z225" s="9">
        <f>IF($H225&lt;&gt;"OK","",ROUND($G225*使い方と設定!$B$9*$AK225*$AI225,4))</f>
        <v>2.2195</v>
      </c>
      <c r="AA225" s="10">
        <v>0.9</v>
      </c>
      <c r="AB225" s="11">
        <f t="shared" si="10"/>
        <v>6.7716000000000003</v>
      </c>
      <c r="AC225" s="11">
        <f t="shared" si="11"/>
        <v>0.28189999999999998</v>
      </c>
      <c r="AD225" s="7" t="str">
        <f>IF($H225&lt;&gt;"OK","",INDEX(個性タイプマスタ!$P$5:$P$54,$AE225))</f>
        <v>会心倍率が極めて高い一撃型</v>
      </c>
      <c r="AE225">
        <f>IFERROR(MATCH(E225,個性タイプマスタ!$A$5:$A$54,0),0)</f>
        <v>23</v>
      </c>
      <c r="AF225">
        <f>IFERROR(MATCH(F225,属性耐性マスタ!$A$5:$A$10,0),0)</f>
        <v>6</v>
      </c>
      <c r="AG225">
        <f>IF(AE225=0,1,INDEX(個性タイプマスタ!$AB$5:$AB$54,AE225))</f>
        <v>11.07</v>
      </c>
      <c r="AH225">
        <f>IF(AE225=0,1,INDEX(個性タイプマスタ!$AC$5:$AC$54,AE225))</f>
        <v>0.78</v>
      </c>
      <c r="AI225">
        <f>IF(AE225=0,0,INDEX(個性タイプマスタ!$AD$5:$AD$54,AE225))</f>
        <v>0.98333333333333328</v>
      </c>
      <c r="AJ225" s="16">
        <v>37</v>
      </c>
      <c r="AK225" s="17">
        <f>IF(OR(AJ225="",AJ225&lt;1),"",POWER(使い方と設定!$E$6,AJ225-1))</f>
        <v>4.103932553980421</v>
      </c>
    </row>
    <row r="226" spans="1:37">
      <c r="A226" t="str">
        <f>+[2]称号!A221</f>
        <v>TITLE_220</v>
      </c>
      <c r="B226" t="str">
        <f>+[2]称号!B221</f>
        <v>残影を裂く夜駆けの魔獣</v>
      </c>
      <c r="C226" t="s">
        <v>575</v>
      </c>
      <c r="D226" t="s">
        <v>576</v>
      </c>
      <c r="E226" s="2" t="str">
        <f>[1]モンスター計算!AM224</f>
        <v>近接・槍盾</v>
      </c>
      <c r="F226" s="2" t="str">
        <f>[1]モンスター計算!C224</f>
        <v>闇</v>
      </c>
      <c r="G226" s="8">
        <v>1.1499999999999999</v>
      </c>
      <c r="H226" t="str">
        <f t="shared" si="9"/>
        <v>OK</v>
      </c>
      <c r="I226" s="9">
        <f>IF($H226&lt;&gt;"OK","",ROUND($G226*使い方と設定!$B$7*$AK226*INDEX(個性タイプマスタ!$Q$5:$AA$54,$AE226,1)/$AG226,4))</f>
        <v>1.1463000000000001</v>
      </c>
      <c r="J226" s="9">
        <f>IF($H226&lt;&gt;"OK","",ROUND($G226*使い方と設定!$B$7*$AK226*INDEX(個性タイプマスタ!$Q$5:$AA$54,$AE226,2)/$AG226,4))</f>
        <v>0.31879999999999997</v>
      </c>
      <c r="K226" s="9">
        <f>IF($H226&lt;&gt;"OK","",ROUND($G226*使い方と設定!$B$7*$AK226*INDEX(個性タイプマスタ!$Q$5:$AA$54,$AE226,3)/$AG226,4))</f>
        <v>1.7253000000000001</v>
      </c>
      <c r="L226" s="9">
        <f>IF($H226&lt;&gt;"OK","",ROUND($G226*使い方と設定!$B$7*$AK226*INDEX(個性タイプマスタ!$Q$5:$AA$54,$AE226,4)/$AG226,4))</f>
        <v>0.1346</v>
      </c>
      <c r="M226" s="9">
        <f>IF($H226&lt;&gt;"OK","",ROUND($G226*使い方と設定!$B$7*$AK226*INDEX(個性タイプマスタ!$Q$5:$AA$54,$AE226,5)/$AG226,4))</f>
        <v>0.99129999999999996</v>
      </c>
      <c r="N226" s="9">
        <f>IF($H226&lt;&gt;"OK","",ROUND($G226*使い方と設定!$B$7*$AK226*INDEX(個性タイプマスタ!$Q$5:$AA$54,$AE226,6)/$AG226,4))</f>
        <v>0.5514</v>
      </c>
      <c r="O226" s="9">
        <f>IF($H226&lt;&gt;"OK","",ROUND($G226*使い方と設定!$B$7*$AK226*INDEX(個性タイプマスタ!$Q$5:$AA$54,$AE226,7)/$AG226,4))</f>
        <v>0.26569999999999999</v>
      </c>
      <c r="P226" s="9">
        <f>IF($H226&lt;&gt;"OK","",ROUND($G226*使い方と設定!$B$7*$AK226*INDEX(個性タイプマスタ!$Q$5:$AA$54,$AE226,8)/$AG226,4))</f>
        <v>0.42759999999999998</v>
      </c>
      <c r="Q226" s="9">
        <f>IF($H226&lt;&gt;"OK","",ROUND($G226*使い方と設定!$B$7*$AK226*INDEX(個性タイプマスタ!$Q$5:$AA$54,$AE226,9)/$AG226,4))</f>
        <v>0.26569999999999999</v>
      </c>
      <c r="R226" s="9">
        <f>IF($H226&lt;&gt;"OK","",ROUND($G226*使い方と設定!$B$7*$AK226*INDEX(個性タイプマスタ!$Q$5:$AA$54,$AE226,10)/$AG226,4))</f>
        <v>0.50380000000000003</v>
      </c>
      <c r="S226" s="9">
        <f>IF($H226&lt;&gt;"OK","",ROUND($G226*使い方と設定!$B$7*$AK226*INDEX(個性タイプマスタ!$Q$5:$AA$54,$AE226,11)/$AG226,4))</f>
        <v>0.74880000000000002</v>
      </c>
      <c r="T226" s="9">
        <f>IF($H226&lt;&gt;"OK","",ROUND($G226*使い方と設定!$B$8*$AK226*$AH226*INDEX(属性耐性マスタ!$B$5:$G$10,$AF226,1),4))</f>
        <v>1.9300000000000001E-2</v>
      </c>
      <c r="U226" s="9">
        <f>IF($H226&lt;&gt;"OK","",ROUND($G226*使い方と設定!$B$8*$AK226*$AH226*INDEX(属性耐性マスタ!$B$5:$G$10,$AF226,2),4))</f>
        <v>1.9300000000000001E-2</v>
      </c>
      <c r="V226" s="9">
        <f>IF($H226&lt;&gt;"OK","",ROUND($G226*使い方と設定!$B$8*$AK226*$AH226*INDEX(属性耐性マスタ!$B$5:$G$10,$AF226,3),4))</f>
        <v>1.9300000000000001E-2</v>
      </c>
      <c r="W226" s="9">
        <f>IF($H226&lt;&gt;"OK","",ROUND($G226*使い方と設定!$B$8*$AK226*$AH226*INDEX(属性耐性マスタ!$B$5:$G$10,$AF226,4),4))</f>
        <v>1.9300000000000001E-2</v>
      </c>
      <c r="X226" s="9">
        <f>IF($H226&lt;&gt;"OK","",ROUND($G226*使い方と設定!$B$8*$AK226*$AH226*INDEX(属性耐性マスタ!$B$5:$G$10,$AF226,5),4))</f>
        <v>5.1299999999999998E-2</v>
      </c>
      <c r="Y226" s="9">
        <f>IF($H226&lt;&gt;"OK","",ROUND($G226*使い方と設定!$B$8*$AK226*$AH226*INDEX(属性耐性マスタ!$B$5:$G$10,$AF226,6),4))</f>
        <v>0.3851</v>
      </c>
      <c r="Z226" s="9">
        <f>IF($H226&lt;&gt;"OK","",ROUND($G226*使い方と設定!$B$9*$AK226*$AI226,4))</f>
        <v>2.1040999999999999</v>
      </c>
      <c r="AA226" s="10">
        <v>0.55000000000000004</v>
      </c>
      <c r="AB226" s="11">
        <f t="shared" si="10"/>
        <v>7.0792999999999999</v>
      </c>
      <c r="AC226" s="11">
        <f t="shared" si="11"/>
        <v>0.51359999999999995</v>
      </c>
      <c r="AD226" s="7" t="str">
        <f>IF($H226&lt;&gt;"OK","",INDEX(個性タイプマスタ!$P$5:$P$54,$AE226))</f>
        <v>長い射程と物防を両立</v>
      </c>
      <c r="AE226">
        <f>IFERROR(MATCH(E226,個性タイプマスタ!$A$5:$A$54,0),0)</f>
        <v>49</v>
      </c>
      <c r="AF226">
        <f>IFERROR(MATCH(F226,属性耐性マスタ!$A$5:$A$10,0),0)</f>
        <v>6</v>
      </c>
      <c r="AG226">
        <f>IF(AE226=0,1,INDEX(個性タイプマスタ!$AB$5:$AB$54,AE226))</f>
        <v>10.258166666666668</v>
      </c>
      <c r="AH226">
        <f>IF(AE226=0,1,INDEX(個性タイプマスタ!$AC$5:$AC$54,AE226))</f>
        <v>1.3599999999999999</v>
      </c>
      <c r="AI226">
        <f>IF(AE226=0,0,INDEX(個性タイプマスタ!$AD$5:$AD$54,AE226))</f>
        <v>0.89166666666666661</v>
      </c>
      <c r="AJ226" s="16">
        <v>37</v>
      </c>
      <c r="AK226" s="17">
        <f>IF(OR(AJ226="",AJ226&lt;1),"",POWER(使い方と設定!$E$6,AJ226-1))</f>
        <v>4.103932553980421</v>
      </c>
    </row>
    <row r="227" spans="1:37">
      <c r="A227" t="str">
        <f>+[2]称号!A222</f>
        <v>TITLE_221</v>
      </c>
      <c r="B227" t="str">
        <f>+[2]称号!B222</f>
        <v>幽布を漂う沈黙の灯霊</v>
      </c>
      <c r="C227" t="s">
        <v>577</v>
      </c>
      <c r="D227" t="s">
        <v>578</v>
      </c>
      <c r="E227" s="2" t="str">
        <f>[1]モンスター計算!AM225</f>
        <v>近接・守護</v>
      </c>
      <c r="F227" s="2" t="str">
        <f>[1]モンスター計算!C225</f>
        <v>闇</v>
      </c>
      <c r="G227" s="8">
        <v>1.2</v>
      </c>
      <c r="H227" t="str">
        <f t="shared" si="9"/>
        <v>OK</v>
      </c>
      <c r="I227" s="9">
        <f>IF($H227&lt;&gt;"OK","",ROUND($G227*使い方と設定!$B$7*$AK227*INDEX(個性タイプマスタ!$Q$5:$AA$54,$AE227,1)/$AG227,4))</f>
        <v>1.2505999999999999</v>
      </c>
      <c r="J227" s="9">
        <f>IF($H227&lt;&gt;"OK","",ROUND($G227*使い方と設定!$B$7*$AK227*INDEX(個性タイプマスタ!$Q$5:$AA$54,$AE227,2)/$AG227,4))</f>
        <v>0.3322</v>
      </c>
      <c r="K227" s="9">
        <f>IF($H227&lt;&gt;"OK","",ROUND($G227*使い方と設定!$B$7*$AK227*INDEX(個性タイプマスタ!$Q$5:$AA$54,$AE227,3)/$AG227,4))</f>
        <v>1.7765</v>
      </c>
      <c r="L227" s="9">
        <f>IF($H227&lt;&gt;"OK","",ROUND($G227*使い方と設定!$B$7*$AK227*INDEX(個性タイプマスタ!$Q$5:$AA$54,$AE227,4)/$AG227,4))</f>
        <v>0.17760000000000001</v>
      </c>
      <c r="M227" s="9">
        <f>IF($H227&lt;&gt;"OK","",ROUND($G227*使い方と設定!$B$7*$AK227*INDEX(個性タイプマスタ!$Q$5:$AA$54,$AE227,5)/$AG227,4))</f>
        <v>0.93620000000000003</v>
      </c>
      <c r="N227" s="9">
        <f>IF($H227&lt;&gt;"OK","",ROUND($G227*使い方と設定!$B$7*$AK227*INDEX(個性タイプマスタ!$Q$5:$AA$54,$AE227,6)/$AG227,4))</f>
        <v>0.84560000000000002</v>
      </c>
      <c r="O227" s="9">
        <f>IF($H227&lt;&gt;"OK","",ROUND($G227*使い方と設定!$B$7*$AK227*INDEX(個性タイプマスタ!$Q$5:$AA$54,$AE227,7)/$AG227,4))</f>
        <v>0.31269999999999998</v>
      </c>
      <c r="P227" s="9">
        <f>IF($H227&lt;&gt;"OK","",ROUND($G227*使い方と設定!$B$7*$AK227*INDEX(個性タイプマスタ!$Q$5:$AA$54,$AE227,8)/$AG227,4))</f>
        <v>0.43109999999999998</v>
      </c>
      <c r="Q227" s="9">
        <f>IF($H227&lt;&gt;"OK","",ROUND($G227*使い方と設定!$B$7*$AK227*INDEX(個性タイプマスタ!$Q$5:$AA$54,$AE227,9)/$AG227,4))</f>
        <v>0.34389999999999998</v>
      </c>
      <c r="R227" s="9">
        <f>IF($H227&lt;&gt;"OK","",ROUND($G227*使い方と設定!$B$7*$AK227*INDEX(個性タイプマスタ!$Q$5:$AA$54,$AE227,10)/$AG227,4))</f>
        <v>0.5827</v>
      </c>
      <c r="S227" s="9">
        <f>IF($H227&lt;&gt;"OK","",ROUND($G227*使い方と設定!$B$7*$AK227*INDEX(個性タイプマスタ!$Q$5:$AA$54,$AE227,11)/$AG227,4))</f>
        <v>0.39789999999999998</v>
      </c>
      <c r="T227" s="9">
        <f>IF($H227&lt;&gt;"OK","",ROUND($G227*使い方と設定!$B$8*$AK227*$AH227*INDEX(属性耐性マスタ!$B$5:$G$10,$AF227,1),4))</f>
        <v>2.07E-2</v>
      </c>
      <c r="U227" s="9">
        <f>IF($H227&lt;&gt;"OK","",ROUND($G227*使い方と設定!$B$8*$AK227*$AH227*INDEX(属性耐性マスタ!$B$5:$G$10,$AF227,2),4))</f>
        <v>2.07E-2</v>
      </c>
      <c r="V227" s="9">
        <f>IF($H227&lt;&gt;"OK","",ROUND($G227*使い方と設定!$B$8*$AK227*$AH227*INDEX(属性耐性マスタ!$B$5:$G$10,$AF227,3),4))</f>
        <v>2.07E-2</v>
      </c>
      <c r="W227" s="9">
        <f>IF($H227&lt;&gt;"OK","",ROUND($G227*使い方と設定!$B$8*$AK227*$AH227*INDEX(属性耐性マスタ!$B$5:$G$10,$AF227,4),4))</f>
        <v>2.07E-2</v>
      </c>
      <c r="X227" s="9">
        <f>IF($H227&lt;&gt;"OK","",ROUND($G227*使い方と設定!$B$8*$AK227*$AH227*INDEX(属性耐性マスタ!$B$5:$G$10,$AF227,5),4))</f>
        <v>5.5199999999999999E-2</v>
      </c>
      <c r="Y227" s="9">
        <f>IF($H227&lt;&gt;"OK","",ROUND($G227*使い方と設定!$B$8*$AK227*$AH227*INDEX(属性耐性マスタ!$B$5:$G$10,$AF227,6),4))</f>
        <v>0.41370000000000001</v>
      </c>
      <c r="Z227" s="9">
        <f>IF($H227&lt;&gt;"OK","",ROUND($G227*使い方と設定!$B$9*$AK227*$AI227,4))</f>
        <v>2.3803000000000001</v>
      </c>
      <c r="AA227" s="10">
        <v>0.5</v>
      </c>
      <c r="AB227" s="11">
        <f t="shared" si="10"/>
        <v>7.3869999999999996</v>
      </c>
      <c r="AC227" s="11">
        <f t="shared" si="11"/>
        <v>0.55169999999999997</v>
      </c>
      <c r="AD227" s="7" t="str">
        <f>IF($H227&lt;&gt;"OK","",INDEX(個性タイプマスタ!$P$5:$P$54,$AE227))</f>
        <v>高防御・低攻速の盾役</v>
      </c>
      <c r="AE227">
        <f>IFERROR(MATCH(E227,個性タイプマスタ!$A$5:$A$54,0),0)</f>
        <v>13</v>
      </c>
      <c r="AF227">
        <f>IFERROR(MATCH(F227,属性耐性マスタ!$A$5:$A$10,0),0)</f>
        <v>6</v>
      </c>
      <c r="AG227">
        <f>IF(AE227=0,1,INDEX(個性タイプマスタ!$AB$5:$AB$54,AE227))</f>
        <v>10.395666666666667</v>
      </c>
      <c r="AH227">
        <f>IF(AE227=0,1,INDEX(個性タイプマスタ!$AC$5:$AC$54,AE227))</f>
        <v>1.4</v>
      </c>
      <c r="AI227">
        <f>IF(AE227=0,0,INDEX(個性タイプマスタ!$AD$5:$AD$54,AE227))</f>
        <v>0.96666666666666667</v>
      </c>
      <c r="AJ227" s="16">
        <v>37</v>
      </c>
      <c r="AK227" s="17">
        <f>IF(OR(AJ227="",AJ227&lt;1),"",POWER(使い方と設定!$E$6,AJ227-1))</f>
        <v>4.103932553980421</v>
      </c>
    </row>
    <row r="228" spans="1:37">
      <c r="A228" t="str">
        <f>+[2]称号!A223</f>
        <v>TITLE_222</v>
      </c>
      <c r="B228" t="str">
        <f>+[2]称号!B223</f>
        <v>断章を縫い統べる冥影の王</v>
      </c>
      <c r="C228" t="s">
        <v>579</v>
      </c>
      <c r="D228" t="s">
        <v>580</v>
      </c>
      <c r="E228" s="2" t="str">
        <f>[1]モンスター計算!AM226</f>
        <v>魔法・重装砲</v>
      </c>
      <c r="F228" s="2" t="str">
        <f>[1]モンスター計算!C226</f>
        <v>闇</v>
      </c>
      <c r="G228" s="8">
        <v>1.25</v>
      </c>
      <c r="H228" t="str">
        <f t="shared" si="9"/>
        <v>OK</v>
      </c>
      <c r="I228" s="9">
        <f>IF($H228&lt;&gt;"OK","",ROUND($G228*使い方と設定!$B$7*$AK228*INDEX(個性タイプマスタ!$Q$5:$AA$54,$AE228,1)/$AG228,4))</f>
        <v>1.2615000000000001</v>
      </c>
      <c r="J228" s="9">
        <f>IF($H228&lt;&gt;"OK","",ROUND($G228*使い方と設定!$B$7*$AK228*INDEX(個性タイプマスタ!$Q$5:$AA$54,$AE228,2)/$AG228,4))</f>
        <v>0.99009999999999998</v>
      </c>
      <c r="K228" s="9">
        <f>IF($H228&lt;&gt;"OK","",ROUND($G228*使い方と設定!$B$7*$AK228*INDEX(個性タイプマスタ!$Q$5:$AA$54,$AE228,3)/$AG228,4))</f>
        <v>0.10829999999999999</v>
      </c>
      <c r="L228" s="9">
        <f>IF($H228&lt;&gt;"OK","",ROUND($G228*使い方と設定!$B$7*$AK228*INDEX(個性タイプマスタ!$Q$5:$AA$54,$AE228,4)/$AG228,4))</f>
        <v>1.6669</v>
      </c>
      <c r="M228" s="9">
        <f>IF($H228&lt;&gt;"OK","",ROUND($G228*使い方と設定!$B$7*$AK228*INDEX(個性タイプマスタ!$Q$5:$AA$54,$AE228,5)/$AG228,4))</f>
        <v>0.92949999999999999</v>
      </c>
      <c r="N228" s="9">
        <f>IF($H228&lt;&gt;"OK","",ROUND($G228*使い方と設定!$B$7*$AK228*INDEX(個性タイプマスタ!$Q$5:$AA$54,$AE228,6)/$AG228,4))</f>
        <v>0.87849999999999995</v>
      </c>
      <c r="O228" s="9">
        <f>IF($H228&lt;&gt;"OK","",ROUND($G228*使い方と設定!$B$7*$AK228*INDEX(個性タイプマスタ!$Q$5:$AA$54,$AE228,7)/$AG228,4))</f>
        <v>0.25669999999999998</v>
      </c>
      <c r="P228" s="9">
        <f>IF($H228&lt;&gt;"OK","",ROUND($G228*使い方と設定!$B$7*$AK228*INDEX(個性タイプマスタ!$Q$5:$AA$54,$AE228,8)/$AG228,4))</f>
        <v>0.40450000000000003</v>
      </c>
      <c r="Q228" s="9">
        <f>IF($H228&lt;&gt;"OK","",ROUND($G228*使い方と設定!$B$7*$AK228*INDEX(個性タイプマスタ!$Q$5:$AA$54,$AE228,9)/$AG228,4))</f>
        <v>0.22</v>
      </c>
      <c r="R228" s="9">
        <f>IF($H228&lt;&gt;"OK","",ROUND($G228*使い方と設定!$B$7*$AK228*INDEX(個性タイプマスタ!$Q$5:$AA$54,$AE228,10)/$AG228,4))</f>
        <v>0.40010000000000001</v>
      </c>
      <c r="S228" s="9">
        <f>IF($H228&lt;&gt;"OK","",ROUND($G228*使い方と設定!$B$7*$AK228*INDEX(個性タイプマスタ!$Q$5:$AA$54,$AE228,11)/$AG228,4))</f>
        <v>0.57869999999999999</v>
      </c>
      <c r="T228" s="9">
        <f>IF($H228&lt;&gt;"OK","",ROUND($G228*使い方と設定!$B$8*$AK228*$AH228*INDEX(属性耐性マスタ!$B$5:$G$10,$AF228,1),4))</f>
        <v>2.2800000000000001E-2</v>
      </c>
      <c r="U228" s="9">
        <f>IF($H228&lt;&gt;"OK","",ROUND($G228*使い方と設定!$B$8*$AK228*$AH228*INDEX(属性耐性マスタ!$B$5:$G$10,$AF228,2),4))</f>
        <v>2.2800000000000001E-2</v>
      </c>
      <c r="V228" s="9">
        <f>IF($H228&lt;&gt;"OK","",ROUND($G228*使い方と設定!$B$8*$AK228*$AH228*INDEX(属性耐性マスタ!$B$5:$G$10,$AF228,3),4))</f>
        <v>2.2800000000000001E-2</v>
      </c>
      <c r="W228" s="9">
        <f>IF($H228&lt;&gt;"OK","",ROUND($G228*使い方と設定!$B$8*$AK228*$AH228*INDEX(属性耐性マスタ!$B$5:$G$10,$AF228,4),4))</f>
        <v>2.2800000000000001E-2</v>
      </c>
      <c r="X228" s="9">
        <f>IF($H228&lt;&gt;"OK","",ROUND($G228*使い方と設定!$B$8*$AK228*$AH228*INDEX(属性耐性マスタ!$B$5:$G$10,$AF228,5),4))</f>
        <v>6.0699999999999997E-2</v>
      </c>
      <c r="Y228" s="9">
        <f>IF($H228&lt;&gt;"OK","",ROUND($G228*使い方と設定!$B$8*$AK228*$AH228*INDEX(属性耐性マスタ!$B$5:$G$10,$AF228,6),4))</f>
        <v>0.45550000000000002</v>
      </c>
      <c r="Z228" s="9">
        <f>IF($H228&lt;&gt;"OK","",ROUND($G228*使い方と設定!$B$9*$AK228*$AI228,4))</f>
        <v>2.1802000000000001</v>
      </c>
      <c r="AA228" s="10">
        <v>0.25</v>
      </c>
      <c r="AB228" s="11">
        <f t="shared" si="10"/>
        <v>7.6947999999999999</v>
      </c>
      <c r="AC228" s="11">
        <f t="shared" si="11"/>
        <v>0.60740000000000005</v>
      </c>
      <c r="AD228" s="7" t="str">
        <f>IF($H228&lt;&gt;"OK","",INDEX(個性タイプマスタ!$P$5:$P$54,$AE228))</f>
        <v>高耐久・射撃間隔は長い</v>
      </c>
      <c r="AE228">
        <f>IFERROR(MATCH(E228,個性タイプマスタ!$A$5:$A$54,0),0)</f>
        <v>19</v>
      </c>
      <c r="AF228">
        <f>IFERROR(MATCH(F228,属性耐性マスタ!$A$5:$A$10,0),0)</f>
        <v>6</v>
      </c>
      <c r="AG228">
        <f>IF(AE228=0,1,INDEX(個性タイプマスタ!$AB$5:$AB$54,AE228))</f>
        <v>11.540666666666668</v>
      </c>
      <c r="AH228">
        <f>IF(AE228=0,1,INDEX(個性タイプマスタ!$AC$5:$AC$54,AE228))</f>
        <v>1.48</v>
      </c>
      <c r="AI228">
        <f>IF(AE228=0,0,INDEX(個性タイプマスタ!$AD$5:$AD$54,AE228))</f>
        <v>0.85</v>
      </c>
      <c r="AJ228" s="16">
        <v>37</v>
      </c>
      <c r="AK228" s="17">
        <f>IF(OR(AJ228="",AJ228&lt;1),"",POWER(使い方と設定!$E$6,AJ228-1))</f>
        <v>4.103932553980421</v>
      </c>
    </row>
    <row r="229" spans="1:37">
      <c r="A229" t="str">
        <f>+[2]称号!A224</f>
        <v>TITLE_223</v>
      </c>
      <c r="B229" t="str">
        <f>+[2]称号!B224</f>
        <v>反転世界の蒼眼骸</v>
      </c>
      <c r="C229" t="s">
        <v>581</v>
      </c>
      <c r="D229" t="s">
        <v>582</v>
      </c>
      <c r="E229" s="2" t="str">
        <f>[1]モンスター計算!AM227</f>
        <v>魔法・連射</v>
      </c>
      <c r="F229" s="2" t="str">
        <f>[1]モンスター計算!C227</f>
        <v>光</v>
      </c>
      <c r="G229" s="8">
        <v>1</v>
      </c>
      <c r="H229" t="str">
        <f t="shared" si="9"/>
        <v>OK</v>
      </c>
      <c r="I229" s="9">
        <f>IF($H229&lt;&gt;"OK","",ROUND($G229*使い方と設定!$B$7*$AK229*INDEX(個性タイプマスタ!$Q$5:$AA$54,$AE229,1)/$AG229,4))</f>
        <v>0.52449999999999997</v>
      </c>
      <c r="J229" s="9">
        <f>IF($H229&lt;&gt;"OK","",ROUND($G229*使い方と設定!$B$7*$AK229*INDEX(個性タイプマスタ!$Q$5:$AA$54,$AE229,2)/$AG229,4))</f>
        <v>0.6734</v>
      </c>
      <c r="K229" s="9">
        <f>IF($H229&lt;&gt;"OK","",ROUND($G229*使い方と設定!$B$7*$AK229*INDEX(個性タイプマスタ!$Q$5:$AA$54,$AE229,3)/$AG229,4))</f>
        <v>0.1047</v>
      </c>
      <c r="L229" s="9">
        <f>IF($H229&lt;&gt;"OK","",ROUND($G229*使い方と設定!$B$7*$AK229*INDEX(個性タイプマスタ!$Q$5:$AA$54,$AE229,4)/$AG229,4))</f>
        <v>1.611</v>
      </c>
      <c r="M229" s="9">
        <f>IF($H229&lt;&gt;"OK","",ROUND($G229*使い方と設定!$B$7*$AK229*INDEX(個性タイプマスタ!$Q$5:$AA$54,$AE229,5)/$AG229,4))</f>
        <v>0.39439999999999997</v>
      </c>
      <c r="N229" s="9">
        <f>IF($H229&lt;&gt;"OK","",ROUND($G229*使い方と設定!$B$7*$AK229*INDEX(個性タイプマスタ!$Q$5:$AA$54,$AE229,6)/$AG229,4))</f>
        <v>0.46010000000000001</v>
      </c>
      <c r="O229" s="9">
        <f>IF($H229&lt;&gt;"OK","",ROUND($G229*使い方と設定!$B$7*$AK229*INDEX(個性タイプマスタ!$Q$5:$AA$54,$AE229,7)/$AG229,4))</f>
        <v>0.35439999999999999</v>
      </c>
      <c r="P229" s="9">
        <f>IF($H229&lt;&gt;"OK","",ROUND($G229*使い方と設定!$B$7*$AK229*INDEX(個性タイプマスタ!$Q$5:$AA$54,$AE229,8)/$AG229,4))</f>
        <v>0.39090000000000003</v>
      </c>
      <c r="Q229" s="9">
        <f>IF($H229&lt;&gt;"OK","",ROUND($G229*使い方と設定!$B$7*$AK229*INDEX(個性タイプマスタ!$Q$5:$AA$54,$AE229,9)/$AG229,4))</f>
        <v>0.47489999999999999</v>
      </c>
      <c r="R229" s="9">
        <f>IF($H229&lt;&gt;"OK","",ROUND($G229*使い方と設定!$B$7*$AK229*INDEX(個性タイプマスタ!$Q$5:$AA$54,$AE229,10)/$AG229,4))</f>
        <v>0.99880000000000002</v>
      </c>
      <c r="S229" s="9">
        <f>IF($H229&lt;&gt;"OK","",ROUND($G229*使い方と設定!$B$7*$AK229*INDEX(個性タイプマスタ!$Q$5:$AA$54,$AE229,11)/$AG229,4))</f>
        <v>0.41499999999999998</v>
      </c>
      <c r="T229" s="9">
        <f>IF($H229&lt;&gt;"OK","",ROUND($G229*使い方と設定!$B$8*$AK229*$AH229*INDEX(属性耐性マスタ!$B$5:$G$10,$AF229,1),4))</f>
        <v>9.1999999999999998E-3</v>
      </c>
      <c r="U229" s="9">
        <f>IF($H229&lt;&gt;"OK","",ROUND($G229*使い方と設定!$B$8*$AK229*$AH229*INDEX(属性耐性マスタ!$B$5:$G$10,$AF229,2),4))</f>
        <v>9.1999999999999998E-3</v>
      </c>
      <c r="V229" s="9">
        <f>IF($H229&lt;&gt;"OK","",ROUND($G229*使い方と設定!$B$8*$AK229*$AH229*INDEX(属性耐性マスタ!$B$5:$G$10,$AF229,3),4))</f>
        <v>9.1999999999999998E-3</v>
      </c>
      <c r="W229" s="9">
        <f>IF($H229&lt;&gt;"OK","",ROUND($G229*使い方と設定!$B$8*$AK229*$AH229*INDEX(属性耐性マスタ!$B$5:$G$10,$AF229,4),4))</f>
        <v>9.1999999999999998E-3</v>
      </c>
      <c r="X229" s="9">
        <f>IF($H229&lt;&gt;"OK","",ROUND($G229*使い方と設定!$B$8*$AK229*$AH229*INDEX(属性耐性マスタ!$B$5:$G$10,$AF229,5),4))</f>
        <v>0.18440000000000001</v>
      </c>
      <c r="Y229" s="9">
        <f>IF($H229&lt;&gt;"OK","",ROUND($G229*使い方と設定!$B$8*$AK229*$AH229*INDEX(属性耐性マスタ!$B$5:$G$10,$AF229,6),4))</f>
        <v>2.46E-2</v>
      </c>
      <c r="Z229" s="9">
        <f>IF($H229&lt;&gt;"OK","",ROUND($G229*使い方と設定!$B$9*$AK229*$AI229,4))</f>
        <v>2.4719000000000002</v>
      </c>
      <c r="AA229" s="10">
        <v>1</v>
      </c>
      <c r="AB229" s="11">
        <f t="shared" si="10"/>
        <v>6.4020999999999999</v>
      </c>
      <c r="AC229" s="11">
        <f t="shared" si="11"/>
        <v>0.24579999999999999</v>
      </c>
      <c r="AD229" s="7" t="str">
        <f>IF($H229&lt;&gt;"OK","",INDEX(個性タイプマスタ!$P$5:$P$54,$AE229))</f>
        <v>手数重視。ひと撃ちは軽いが高速</v>
      </c>
      <c r="AE229">
        <f>IFERROR(MATCH(E229,個性タイプマスタ!$A$5:$A$54,0),0)</f>
        <v>15</v>
      </c>
      <c r="AF229">
        <f>IFERROR(MATCH(F229,属性耐性マスタ!$A$5:$A$10,0),0)</f>
        <v>5</v>
      </c>
      <c r="AG229">
        <f>IF(AE229=0,1,INDEX(個性タイプマスタ!$AB$5:$AB$54,AE229))</f>
        <v>9.9351666666666674</v>
      </c>
      <c r="AH229">
        <f>IF(AE229=0,1,INDEX(個性タイプマスタ!$AC$5:$AC$54,AE229))</f>
        <v>0.72</v>
      </c>
      <c r="AI229">
        <f>IF(AE229=0,0,INDEX(個性タイプマスタ!$AD$5:$AD$54,AE229))</f>
        <v>1.1583333333333332</v>
      </c>
      <c r="AJ229" s="16">
        <v>38</v>
      </c>
      <c r="AK229" s="17">
        <f>IF(OR(AJ229="",AJ229&lt;1),"",POWER(使い方と設定!$E$6,AJ229-1))</f>
        <v>4.268089856139639</v>
      </c>
    </row>
    <row r="230" spans="1:37">
      <c r="A230" t="str">
        <f>+[2]称号!A225</f>
        <v>TITLE_224</v>
      </c>
      <c r="B230" t="str">
        <f>+[2]称号!B225</f>
        <v>無限増映の粘核体</v>
      </c>
      <c r="C230" t="s">
        <v>583</v>
      </c>
      <c r="D230" t="s">
        <v>584</v>
      </c>
      <c r="E230" s="2" t="str">
        <f>[1]モンスター計算!AM228</f>
        <v>魔法・高会心</v>
      </c>
      <c r="F230" s="2" t="str">
        <f>[1]モンスター計算!C228</f>
        <v>水</v>
      </c>
      <c r="G230" s="8">
        <v>1.05</v>
      </c>
      <c r="H230" t="str">
        <f t="shared" si="9"/>
        <v>OK</v>
      </c>
      <c r="I230" s="9">
        <f>IF($H230&lt;&gt;"OK","",ROUND($G230*使い方と設定!$B$7*$AK230*INDEX(個性タイプマスタ!$Q$5:$AA$54,$AE230,1)/$AG230,4))</f>
        <v>0.44379999999999997</v>
      </c>
      <c r="J230" s="9">
        <f>IF($H230&lt;&gt;"OK","",ROUND($G230*使い方と設定!$B$7*$AK230*INDEX(個性タイプマスタ!$Q$5:$AA$54,$AE230,2)/$AG230,4))</f>
        <v>0.71740000000000004</v>
      </c>
      <c r="K230" s="9">
        <f>IF($H230&lt;&gt;"OK","",ROUND($G230*使い方と設定!$B$7*$AK230*INDEX(個性タイプマスタ!$Q$5:$AA$54,$AE230,3)/$AG230,4))</f>
        <v>7.7399999999999997E-2</v>
      </c>
      <c r="L230" s="9">
        <f>IF($H230&lt;&gt;"OK","",ROUND($G230*使い方と設定!$B$7*$AK230*INDEX(個性タイプマスタ!$Q$5:$AA$54,$AE230,4)/$AG230,4))</f>
        <v>1.3817999999999999</v>
      </c>
      <c r="M230" s="9">
        <f>IF($H230&lt;&gt;"OK","",ROUND($G230*使い方と設定!$B$7*$AK230*INDEX(個性タイプマスタ!$Q$5:$AA$54,$AE230,5)/$AG230,4))</f>
        <v>0.36180000000000001</v>
      </c>
      <c r="N230" s="9">
        <f>IF($H230&lt;&gt;"OK","",ROUND($G230*使い方と設定!$B$7*$AK230*INDEX(個性タイプマスタ!$Q$5:$AA$54,$AE230,6)/$AG230,4))</f>
        <v>0.39929999999999999</v>
      </c>
      <c r="O230" s="9">
        <f>IF($H230&lt;&gt;"OK","",ROUND($G230*使い方と設定!$B$7*$AK230*INDEX(個性タイプマスタ!$Q$5:$AA$54,$AE230,7)/$AG230,4))</f>
        <v>1.5808</v>
      </c>
      <c r="P230" s="9">
        <f>IF($H230&lt;&gt;"OK","",ROUND($G230*使い方と設定!$B$7*$AK230*INDEX(個性タイプマスタ!$Q$5:$AA$54,$AE230,8)/$AG230,4))</f>
        <v>0.46710000000000002</v>
      </c>
      <c r="Q230" s="9">
        <f>IF($H230&lt;&gt;"OK","",ROUND($G230*使い方と設定!$B$7*$AK230*INDEX(個性タイプマスタ!$Q$5:$AA$54,$AE230,9)/$AG230,4))</f>
        <v>0.33439999999999998</v>
      </c>
      <c r="R230" s="9">
        <f>IF($H230&lt;&gt;"OK","",ROUND($G230*使い方と設定!$B$7*$AK230*INDEX(個性タイプマスタ!$Q$5:$AA$54,$AE230,10)/$AG230,4))</f>
        <v>0.52510000000000001</v>
      </c>
      <c r="S230" s="9">
        <f>IF($H230&lt;&gt;"OK","",ROUND($G230*使い方と設定!$B$7*$AK230*INDEX(個性タイプマスタ!$Q$5:$AA$54,$AE230,11)/$AG230,4))</f>
        <v>0.43330000000000002</v>
      </c>
      <c r="T230" s="9">
        <f>IF($H230&lt;&gt;"OK","",ROUND($G230*使い方と設定!$B$8*$AK230*$AH230*INDEX(属性耐性マスタ!$B$5:$G$10,$AF230,1),4))</f>
        <v>4.2999999999999997E-2</v>
      </c>
      <c r="U230" s="9">
        <f>IF($H230&lt;&gt;"OK","",ROUND($G230*使い方と設定!$B$8*$AK230*$AH230*INDEX(属性耐性マスタ!$B$5:$G$10,$AF230,2),4))</f>
        <v>0.21510000000000001</v>
      </c>
      <c r="V230" s="9">
        <f>IF($H230&lt;&gt;"OK","",ROUND($G230*使い方と設定!$B$8*$AK230*$AH230*INDEX(属性耐性マスタ!$B$5:$G$10,$AF230,3),4))</f>
        <v>1.43E-2</v>
      </c>
      <c r="W230" s="9">
        <f>IF($H230&lt;&gt;"OK","",ROUND($G230*使い方と設定!$B$8*$AK230*$AH230*INDEX(属性耐性マスタ!$B$5:$G$10,$AF230,4),4))</f>
        <v>1.43E-2</v>
      </c>
      <c r="X230" s="9">
        <f>IF($H230&lt;&gt;"OK","",ROUND($G230*使い方と設定!$B$8*$AK230*$AH230*INDEX(属性耐性マスタ!$B$5:$G$10,$AF230,5),4))</f>
        <v>1.0800000000000001E-2</v>
      </c>
      <c r="Y230" s="9">
        <f>IF($H230&lt;&gt;"OK","",ROUND($G230*使い方と設定!$B$8*$AK230*$AH230*INDEX(属性耐性マスタ!$B$5:$G$10,$AF230,6),4))</f>
        <v>1.0800000000000001E-2</v>
      </c>
      <c r="Z230" s="9">
        <f>IF($H230&lt;&gt;"OK","",ROUND($G230*使い方と設定!$B$9*$AK230*$AI230,4))</f>
        <v>2.3715000000000002</v>
      </c>
      <c r="AA230" s="10">
        <v>1</v>
      </c>
      <c r="AB230" s="11">
        <f t="shared" si="10"/>
        <v>6.7222</v>
      </c>
      <c r="AC230" s="11">
        <f t="shared" si="11"/>
        <v>0.30830000000000002</v>
      </c>
      <c r="AD230" s="7" t="str">
        <f>IF($H230&lt;&gt;"OK","",INDEX(個性タイプマスタ!$P$5:$P$54,$AE230))</f>
        <v>高い会心率で平均火力を確保</v>
      </c>
      <c r="AE230">
        <f>IFERROR(MATCH(E230,個性タイプマスタ!$A$5:$A$54,0),0)</f>
        <v>22</v>
      </c>
      <c r="AF230">
        <f>IFERROR(MATCH(F230,属性耐性マスタ!$A$5:$A$10,0),0)</f>
        <v>2</v>
      </c>
      <c r="AG230">
        <f>IF(AE230=0,1,INDEX(個性タイプマスタ!$AB$5:$AB$54,AE230))</f>
        <v>12.162000000000001</v>
      </c>
      <c r="AH230">
        <f>IF(AE230=0,1,INDEX(個性タイプマスタ!$AC$5:$AC$54,AE230))</f>
        <v>0.8</v>
      </c>
      <c r="AI230">
        <f>IF(AE230=0,0,INDEX(個性タイプマスタ!$AD$5:$AD$54,AE230))</f>
        <v>1.0583333333333333</v>
      </c>
      <c r="AJ230" s="16">
        <v>38</v>
      </c>
      <c r="AK230" s="17">
        <f>IF(OR(AJ230="",AJ230&lt;1),"",POWER(使い方と設定!$E$6,AJ230-1))</f>
        <v>4.268089856139639</v>
      </c>
    </row>
    <row r="231" spans="1:37">
      <c r="A231" t="str">
        <f>+[2]称号!A226</f>
        <v>TITLE_225</v>
      </c>
      <c r="B231" t="str">
        <f>+[2]称号!B226</f>
        <v>鏡殻閃光の多面蟲</v>
      </c>
      <c r="C231" t="s">
        <v>585</v>
      </c>
      <c r="D231" t="s">
        <v>586</v>
      </c>
      <c r="E231" s="2" t="str">
        <f>[1]モンスター計算!AM229</f>
        <v>魔法・疾走</v>
      </c>
      <c r="F231" s="2" t="str">
        <f>[1]モンスター計算!C229</f>
        <v>光</v>
      </c>
      <c r="G231" s="8">
        <v>1.1000000000000001</v>
      </c>
      <c r="H231" t="str">
        <f t="shared" si="9"/>
        <v>OK</v>
      </c>
      <c r="I231" s="9">
        <f>IF($H231&lt;&gt;"OK","",ROUND($G231*使い方と設定!$B$7*$AK231*INDEX(個性タイプマスタ!$Q$5:$AA$54,$AE231,1)/$AG231,4))</f>
        <v>0.5897</v>
      </c>
      <c r="J231" s="9">
        <f>IF($H231&lt;&gt;"OK","",ROUND($G231*使い方と設定!$B$7*$AK231*INDEX(個性タイプマスタ!$Q$5:$AA$54,$AE231,2)/$AG231,4))</f>
        <v>0.67179999999999995</v>
      </c>
      <c r="K231" s="9">
        <f>IF($H231&lt;&gt;"OK","",ROUND($G231*使い方と設定!$B$7*$AK231*INDEX(個性タイプマスタ!$Q$5:$AA$54,$AE231,3)/$AG231,4))</f>
        <v>8.9899999999999994E-2</v>
      </c>
      <c r="L231" s="9">
        <f>IF($H231&lt;&gt;"OK","",ROUND($G231*使い方と設定!$B$7*$AK231*INDEX(個性タイプマスタ!$Q$5:$AA$54,$AE231,4)/$AG231,4))</f>
        <v>1.6964999999999999</v>
      </c>
      <c r="M231" s="9">
        <f>IF($H231&lt;&gt;"OK","",ROUND($G231*使い方と設定!$B$7*$AK231*INDEX(個性タイプマスタ!$Q$5:$AA$54,$AE231,5)/$AG231,4))</f>
        <v>0.49030000000000001</v>
      </c>
      <c r="N231" s="9">
        <f>IF($H231&lt;&gt;"OK","",ROUND($G231*使い方と設定!$B$7*$AK231*INDEX(個性タイプマスタ!$Q$5:$AA$54,$AE231,6)/$AG231,4))</f>
        <v>0.4672</v>
      </c>
      <c r="O231" s="9">
        <f>IF($H231&lt;&gt;"OK","",ROUND($G231*使い方と設定!$B$7*$AK231*INDEX(個性タイプマスタ!$Q$5:$AA$54,$AE231,7)/$AG231,4))</f>
        <v>0.48520000000000002</v>
      </c>
      <c r="P231" s="9">
        <f>IF($H231&lt;&gt;"OK","",ROUND($G231*使い方と設定!$B$7*$AK231*INDEX(個性タイプマスタ!$Q$5:$AA$54,$AE231,8)/$AG231,4))</f>
        <v>0.4264</v>
      </c>
      <c r="Q231" s="9">
        <f>IF($H231&lt;&gt;"OK","",ROUND($G231*使い方と設定!$B$7*$AK231*INDEX(個性タイプマスタ!$Q$5:$AA$54,$AE231,9)/$AG231,4))</f>
        <v>0.59719999999999995</v>
      </c>
      <c r="R231" s="9">
        <f>IF($H231&lt;&gt;"OK","",ROUND($G231*使い方と設定!$B$7*$AK231*INDEX(個性タイプマスタ!$Q$5:$AA$54,$AE231,10)/$AG231,4))</f>
        <v>1.1672</v>
      </c>
      <c r="S231" s="9">
        <f>IF($H231&lt;&gt;"OK","",ROUND($G231*使い方と設定!$B$7*$AK231*INDEX(個性タイプマスタ!$Q$5:$AA$54,$AE231,11)/$AG231,4))</f>
        <v>0.36099999999999999</v>
      </c>
      <c r="T231" s="9">
        <f>IF($H231&lt;&gt;"OK","",ROUND($G231*使い方と設定!$B$8*$AK231*$AH231*INDEX(属性耐性マスタ!$B$5:$G$10,$AF231,1),4))</f>
        <v>1.01E-2</v>
      </c>
      <c r="U231" s="9">
        <f>IF($H231&lt;&gt;"OK","",ROUND($G231*使い方と設定!$B$8*$AK231*$AH231*INDEX(属性耐性マスタ!$B$5:$G$10,$AF231,2),4))</f>
        <v>1.01E-2</v>
      </c>
      <c r="V231" s="9">
        <f>IF($H231&lt;&gt;"OK","",ROUND($G231*使い方と設定!$B$8*$AK231*$AH231*INDEX(属性耐性マスタ!$B$5:$G$10,$AF231,3),4))</f>
        <v>1.01E-2</v>
      </c>
      <c r="W231" s="9">
        <f>IF($H231&lt;&gt;"OK","",ROUND($G231*使い方と設定!$B$8*$AK231*$AH231*INDEX(属性耐性マスタ!$B$5:$G$10,$AF231,4),4))</f>
        <v>1.01E-2</v>
      </c>
      <c r="X231" s="9">
        <f>IF($H231&lt;&gt;"OK","",ROUND($G231*使い方と設定!$B$8*$AK231*$AH231*INDEX(属性耐性マスタ!$B$5:$G$10,$AF231,5),4))</f>
        <v>0.20280000000000001</v>
      </c>
      <c r="Y231" s="9">
        <f>IF($H231&lt;&gt;"OK","",ROUND($G231*使い方と設定!$B$8*$AK231*$AH231*INDEX(属性耐性マスタ!$B$5:$G$10,$AF231,6),4))</f>
        <v>2.7E-2</v>
      </c>
      <c r="Z231" s="9">
        <f>IF($H231&lt;&gt;"OK","",ROUND($G231*使い方と設定!$B$9*$AK231*$AI231,4))</f>
        <v>2.9733999999999998</v>
      </c>
      <c r="AA231" s="10">
        <v>0.9</v>
      </c>
      <c r="AB231" s="11">
        <f t="shared" si="10"/>
        <v>7.0423999999999998</v>
      </c>
      <c r="AC231" s="11">
        <f t="shared" si="11"/>
        <v>0.2702</v>
      </c>
      <c r="AD231" s="7" t="str">
        <f>IF($H231&lt;&gt;"OK","",INDEX(個性タイプマスタ!$P$5:$P$54,$AE231))</f>
        <v>移動と攻撃速度に特化</v>
      </c>
      <c r="AE231">
        <f>IFERROR(MATCH(E231,個性タイプマスタ!$A$5:$A$54,0),0)</f>
        <v>29</v>
      </c>
      <c r="AF231">
        <f>IFERROR(MATCH(F231,属性耐性マスタ!$A$5:$A$10,0),0)</f>
        <v>5</v>
      </c>
      <c r="AG231">
        <f>IF(AE231=0,1,INDEX(個性タイプマスタ!$AB$5:$AB$54,AE231))</f>
        <v>10.377833333333335</v>
      </c>
      <c r="AH231">
        <f>IF(AE231=0,1,INDEX(個性タイプマスタ!$AC$5:$AC$54,AE231))</f>
        <v>0.72</v>
      </c>
      <c r="AI231">
        <f>IF(AE231=0,0,INDEX(個性タイプマスタ!$AD$5:$AD$54,AE231))</f>
        <v>1.2666666666666666</v>
      </c>
      <c r="AJ231" s="16">
        <v>38</v>
      </c>
      <c r="AK231" s="17">
        <f>IF(OR(AJ231="",AJ231&lt;1),"",POWER(使い方と設定!$E$6,AJ231-1))</f>
        <v>4.268089856139639</v>
      </c>
    </row>
    <row r="232" spans="1:37">
      <c r="A232" t="str">
        <f>+[2]称号!A227</f>
        <v>TITLE_226</v>
      </c>
      <c r="B232" t="str">
        <f>+[2]称号!B227</f>
        <v>影歩きの双生魔</v>
      </c>
      <c r="C232" t="s">
        <v>587</v>
      </c>
      <c r="D232" t="s">
        <v>588</v>
      </c>
      <c r="E232" s="2" t="str">
        <f>[1]モンスター計算!AM230</f>
        <v>近接・速攻</v>
      </c>
      <c r="F232" s="2" t="str">
        <f>[1]モンスター計算!C230</f>
        <v>闇</v>
      </c>
      <c r="G232" s="8">
        <v>1.1499999999999999</v>
      </c>
      <c r="H232" t="str">
        <f t="shared" si="9"/>
        <v>OK</v>
      </c>
      <c r="I232" s="9">
        <f>IF($H232&lt;&gt;"OK","",ROUND($G232*使い方と設定!$B$7*$AK232*INDEX(個性タイプマスタ!$Q$5:$AA$54,$AE232,1)/$AG232,4))</f>
        <v>0.66420000000000001</v>
      </c>
      <c r="J232" s="9">
        <f>IF($H232&lt;&gt;"OK","",ROUND($G232*使い方と設定!$B$7*$AK232*INDEX(個性タイプマスタ!$Q$5:$AA$54,$AE232,2)/$AG232,4))</f>
        <v>0.3528</v>
      </c>
      <c r="K232" s="9">
        <f>IF($H232&lt;&gt;"OK","",ROUND($G232*使い方と設定!$B$7*$AK232*INDEX(個性タイプマスタ!$Q$5:$AA$54,$AE232,3)/$AG232,4))</f>
        <v>1.8868</v>
      </c>
      <c r="L232" s="9">
        <f>IF($H232&lt;&gt;"OK","",ROUND($G232*使い方と設定!$B$7*$AK232*INDEX(個性タイプマスタ!$Q$5:$AA$54,$AE232,4)/$AG232,4))</f>
        <v>0.18870000000000001</v>
      </c>
      <c r="M232" s="9">
        <f>IF($H232&lt;&gt;"OK","",ROUND($G232*使い方と設定!$B$7*$AK232*INDEX(個性タイプマスタ!$Q$5:$AA$54,$AE232,5)/$AG232,4))</f>
        <v>0.51319999999999999</v>
      </c>
      <c r="N232" s="9">
        <f>IF($H232&lt;&gt;"OK","",ROUND($G232*使い方と設定!$B$7*$AK232*INDEX(個性タイプマスタ!$Q$5:$AA$54,$AE232,6)/$AG232,4))</f>
        <v>0.51319999999999999</v>
      </c>
      <c r="O232" s="9">
        <f>IF($H232&lt;&gt;"OK","",ROUND($G232*使い方と設定!$B$7*$AK232*INDEX(個性タイプマスタ!$Q$5:$AA$54,$AE232,7)/$AG232,4))</f>
        <v>0.66420000000000001</v>
      </c>
      <c r="P232" s="9">
        <f>IF($H232&lt;&gt;"OK","",ROUND($G232*使い方と設定!$B$7*$AK232*INDEX(個性タイプマスタ!$Q$5:$AA$54,$AE232,8)/$AG232,4))</f>
        <v>0.50690000000000002</v>
      </c>
      <c r="Q232" s="9">
        <f>IF($H232&lt;&gt;"OK","",ROUND($G232*使い方と設定!$B$7*$AK232*INDEX(個性タイプマスタ!$Q$5:$AA$54,$AE232,9)/$AG232,4))</f>
        <v>0.54790000000000005</v>
      </c>
      <c r="R232" s="9">
        <f>IF($H232&lt;&gt;"OK","",ROUND($G232*使い方と設定!$B$7*$AK232*INDEX(個性タイプマスタ!$Q$5:$AA$54,$AE232,10)/$AG232,4))</f>
        <v>0.99619999999999997</v>
      </c>
      <c r="S232" s="9">
        <f>IF($H232&lt;&gt;"OK","",ROUND($G232*使い方と設定!$B$7*$AK232*INDEX(個性タイプマスタ!$Q$5:$AA$54,$AE232,11)/$AG232,4))</f>
        <v>0.52829999999999999</v>
      </c>
      <c r="T232" s="9">
        <f>IF($H232&lt;&gt;"OK","",ROUND($G232*使い方と設定!$B$8*$AK232*$AH232*INDEX(属性耐性マスタ!$B$5:$G$10,$AF232,1),4))</f>
        <v>1.24E-2</v>
      </c>
      <c r="U232" s="9">
        <f>IF($H232&lt;&gt;"OK","",ROUND($G232*使い方と設定!$B$8*$AK232*$AH232*INDEX(属性耐性マスタ!$B$5:$G$10,$AF232,2),4))</f>
        <v>1.24E-2</v>
      </c>
      <c r="V232" s="9">
        <f>IF($H232&lt;&gt;"OK","",ROUND($G232*使い方と設定!$B$8*$AK232*$AH232*INDEX(属性耐性マスタ!$B$5:$G$10,$AF232,3),4))</f>
        <v>1.24E-2</v>
      </c>
      <c r="W232" s="9">
        <f>IF($H232&lt;&gt;"OK","",ROUND($G232*使い方と設定!$B$8*$AK232*$AH232*INDEX(属性耐性マスタ!$B$5:$G$10,$AF232,4),4))</f>
        <v>1.24E-2</v>
      </c>
      <c r="X232" s="9">
        <f>IF($H232&lt;&gt;"OK","",ROUND($G232*使い方と設定!$B$8*$AK232*$AH232*INDEX(属性耐性マスタ!$B$5:$G$10,$AF232,5),4))</f>
        <v>3.3000000000000002E-2</v>
      </c>
      <c r="Y232" s="9">
        <f>IF($H232&lt;&gt;"OK","",ROUND($G232*使い方と設定!$B$8*$AK232*$AH232*INDEX(属性耐性マスタ!$B$5:$G$10,$AF232,6),4))</f>
        <v>0.24740000000000001</v>
      </c>
      <c r="Z232" s="9">
        <f>IF($H232&lt;&gt;"OK","",ROUND($G232*使い方と設定!$B$9*$AK232*$AI232,4))</f>
        <v>2.8222999999999998</v>
      </c>
      <c r="AA232" s="10">
        <v>0.55000000000000004</v>
      </c>
      <c r="AB232" s="11">
        <f t="shared" si="10"/>
        <v>7.3624000000000001</v>
      </c>
      <c r="AC232" s="11">
        <f t="shared" si="11"/>
        <v>0.33</v>
      </c>
      <c r="AD232" s="7" t="str">
        <f>IF($H232&lt;&gt;"OK","",INDEX(個性タイプマスタ!$P$5:$P$54,$AE232))</f>
        <v>手数と移動重視</v>
      </c>
      <c r="AE232">
        <f>IFERROR(MATCH(E232,個性タイプマスタ!$A$5:$A$54,0),0)</f>
        <v>12</v>
      </c>
      <c r="AF232">
        <f>IFERROR(MATCH(F232,属性耐性マスタ!$A$5:$A$10,0),0)</f>
        <v>6</v>
      </c>
      <c r="AG232">
        <f>IF(AE232=0,1,INDEX(個性タイプマスタ!$AB$5:$AB$54,AE232))</f>
        <v>9.7551666666666659</v>
      </c>
      <c r="AH232">
        <f>IF(AE232=0,1,INDEX(個性タイプマスタ!$AC$5:$AC$54,AE232))</f>
        <v>0.84</v>
      </c>
      <c r="AI232">
        <f>IF(AE232=0,0,INDEX(個性タイプマスタ!$AD$5:$AD$54,AE232))</f>
        <v>1.1499999999999999</v>
      </c>
      <c r="AJ232" s="16">
        <v>38</v>
      </c>
      <c r="AK232" s="17">
        <f>IF(OR(AJ232="",AJ232&lt;1),"",POWER(使い方と設定!$E$6,AJ232-1))</f>
        <v>4.268089856139639</v>
      </c>
    </row>
    <row r="233" spans="1:37">
      <c r="A233" t="str">
        <f>+[2]称号!A228</f>
        <v>TITLE_227</v>
      </c>
      <c r="B233" t="str">
        <f>+[2]称号!B228</f>
        <v>破鏡彷徨の燐光霊</v>
      </c>
      <c r="C233" t="s">
        <v>589</v>
      </c>
      <c r="D233" t="s">
        <v>590</v>
      </c>
      <c r="E233" s="2" t="str">
        <f>[1]モンスター計算!AM231</f>
        <v>近接・鉄壁</v>
      </c>
      <c r="F233" s="2" t="str">
        <f>[1]モンスター計算!C231</f>
        <v>光</v>
      </c>
      <c r="G233" s="8">
        <v>1.2</v>
      </c>
      <c r="H233" t="str">
        <f t="shared" si="9"/>
        <v>OK</v>
      </c>
      <c r="I233" s="9">
        <f>IF($H233&lt;&gt;"OK","",ROUND($G233*使い方と設定!$B$7*$AK233*INDEX(個性タイプマスタ!$Q$5:$AA$54,$AE233,1)/$AG233,4))</f>
        <v>1.5067999999999999</v>
      </c>
      <c r="J233" s="9">
        <f>IF($H233&lt;&gt;"OK","",ROUND($G233*使い方と設定!$B$7*$AK233*INDEX(個性タイプマスタ!$Q$5:$AA$54,$AE233,2)/$AG233,4))</f>
        <v>0.29799999999999999</v>
      </c>
      <c r="K233" s="9">
        <f>IF($H233&lt;&gt;"OK","",ROUND($G233*使い方と設定!$B$7*$AK233*INDEX(個性タイプマスタ!$Q$5:$AA$54,$AE233,3)/$AG233,4))</f>
        <v>1.8815999999999999</v>
      </c>
      <c r="L233" s="9">
        <f>IF($H233&lt;&gt;"OK","",ROUND($G233*使い方と設定!$B$7*$AK233*INDEX(個性タイプマスタ!$Q$5:$AA$54,$AE233,4)/$AG233,4))</f>
        <v>0.15809999999999999</v>
      </c>
      <c r="M233" s="9">
        <f>IF($H233&lt;&gt;"OK","",ROUND($G233*使い方と設定!$B$7*$AK233*INDEX(個性タイプマスタ!$Q$5:$AA$54,$AE233,5)/$AG233,4))</f>
        <v>1.3754</v>
      </c>
      <c r="N233" s="9">
        <f>IF($H233&lt;&gt;"OK","",ROUND($G233*使い方と設定!$B$7*$AK233*INDEX(個性タイプマスタ!$Q$5:$AA$54,$AE233,6)/$AG233,4))</f>
        <v>0.67810000000000004</v>
      </c>
      <c r="O233" s="9">
        <f>IF($H233&lt;&gt;"OK","",ROUND($G233*使い方と設定!$B$7*$AK233*INDEX(個性タイプマスタ!$Q$5:$AA$54,$AE233,7)/$AG233,4))</f>
        <v>0.24840000000000001</v>
      </c>
      <c r="P233" s="9">
        <f>IF($H233&lt;&gt;"OK","",ROUND($G233*使い方と設定!$B$7*$AK233*INDEX(個性タイプマスタ!$Q$5:$AA$54,$AE233,8)/$AG233,4))</f>
        <v>0.44030000000000002</v>
      </c>
      <c r="Q233" s="9">
        <f>IF($H233&lt;&gt;"OK","",ROUND($G233*使い方と設定!$B$7*$AK233*INDEX(個性タイプマスタ!$Q$5:$AA$54,$AE233,9)/$AG233,4))</f>
        <v>0.24840000000000001</v>
      </c>
      <c r="R233" s="9">
        <f>IF($H233&lt;&gt;"OK","",ROUND($G233*使い方と設定!$B$7*$AK233*INDEX(個性タイプマスタ!$Q$5:$AA$54,$AE233,10)/$AG233,4))</f>
        <v>0.48920000000000002</v>
      </c>
      <c r="S233" s="9">
        <f>IF($H233&lt;&gt;"OK","",ROUND($G233*使い方と設定!$B$7*$AK233*INDEX(個性タイプマスタ!$Q$5:$AA$54,$AE233,11)/$AG233,4))</f>
        <v>0.35830000000000001</v>
      </c>
      <c r="T233" s="9">
        <f>IF($H233&lt;&gt;"OK","",ROUND($G233*使い方と設定!$B$8*$AK233*$AH233*INDEX(属性耐性マスタ!$B$5:$G$10,$AF233,1),4))</f>
        <v>2.1499999999999998E-2</v>
      </c>
      <c r="U233" s="9">
        <f>IF($H233&lt;&gt;"OK","",ROUND($G233*使い方と設定!$B$8*$AK233*$AH233*INDEX(属性耐性マスタ!$B$5:$G$10,$AF233,2),4))</f>
        <v>2.1499999999999998E-2</v>
      </c>
      <c r="V233" s="9">
        <f>IF($H233&lt;&gt;"OK","",ROUND($G233*使い方と設定!$B$8*$AK233*$AH233*INDEX(属性耐性マスタ!$B$5:$G$10,$AF233,3),4))</f>
        <v>2.1499999999999998E-2</v>
      </c>
      <c r="W233" s="9">
        <f>IF($H233&lt;&gt;"OK","",ROUND($G233*使い方と設定!$B$8*$AK233*$AH233*INDEX(属性耐性マスタ!$B$5:$G$10,$AF233,4),4))</f>
        <v>2.1499999999999998E-2</v>
      </c>
      <c r="X233" s="9">
        <f>IF($H233&lt;&gt;"OK","",ROUND($G233*使い方と設定!$B$8*$AK233*$AH233*INDEX(属性耐性マスタ!$B$5:$G$10,$AF233,5),4))</f>
        <v>0.43020000000000003</v>
      </c>
      <c r="Y233" s="9">
        <f>IF($H233&lt;&gt;"OK","",ROUND($G233*使い方と設定!$B$8*$AK233*$AH233*INDEX(属性耐性マスタ!$B$5:$G$10,$AF233,6),4))</f>
        <v>5.74E-2</v>
      </c>
      <c r="Z233" s="9">
        <f>IF($H233&lt;&gt;"OK","",ROUND($G233*使い方と設定!$B$9*$AK233*$AI233,4))</f>
        <v>2.1766999999999999</v>
      </c>
      <c r="AA233" s="10">
        <v>0.5</v>
      </c>
      <c r="AB233" s="11">
        <f t="shared" si="10"/>
        <v>7.6825999999999999</v>
      </c>
      <c r="AC233" s="11">
        <f t="shared" si="11"/>
        <v>0.5736</v>
      </c>
      <c r="AD233" s="7" t="str">
        <f>IF($H233&lt;&gt;"OK","",INDEX(個性タイプマスタ!$P$5:$P$54,$AE233))</f>
        <v>物防とHPが突出した防壁型</v>
      </c>
      <c r="AE233">
        <f>IFERROR(MATCH(E233,個性タイプマスタ!$A$5:$A$54,0),0)</f>
        <v>37</v>
      </c>
      <c r="AF233">
        <f>IFERROR(MATCH(F233,属性耐性マスタ!$A$5:$A$10,0),0)</f>
        <v>5</v>
      </c>
      <c r="AG233">
        <f>IF(AE233=0,1,INDEX(個性タイプマスタ!$AB$5:$AB$54,AE233))</f>
        <v>10.2075</v>
      </c>
      <c r="AH233">
        <f>IF(AE233=0,1,INDEX(個性タイプマスタ!$AC$5:$AC$54,AE233))</f>
        <v>1.4</v>
      </c>
      <c r="AI233">
        <f>IF(AE233=0,0,INDEX(個性タイプマスタ!$AD$5:$AD$54,AE233))</f>
        <v>0.85</v>
      </c>
      <c r="AJ233" s="16">
        <v>38</v>
      </c>
      <c r="AK233" s="17">
        <f>IF(OR(AJ233="",AJ233&lt;1),"",POWER(使い方と設定!$E$6,AJ233-1))</f>
        <v>4.268089856139639</v>
      </c>
    </row>
    <row r="234" spans="1:37">
      <c r="A234" t="str">
        <f>+[2]称号!A229</f>
        <v>TITLE_228</v>
      </c>
      <c r="B234" t="str">
        <f>+[2]称号!B229</f>
        <v>万象を歪める鏡界王</v>
      </c>
      <c r="C234" t="s">
        <v>591</v>
      </c>
      <c r="D234" t="s">
        <v>592</v>
      </c>
      <c r="E234" s="2" t="str">
        <f>[1]モンスター計算!AM232</f>
        <v>魔法・物防障壁</v>
      </c>
      <c r="F234" s="2" t="str">
        <f>[1]モンスター計算!C232</f>
        <v>光</v>
      </c>
      <c r="G234" s="8">
        <v>1.25</v>
      </c>
      <c r="H234" t="str">
        <f t="shared" si="9"/>
        <v>OK</v>
      </c>
      <c r="I234" s="9">
        <f>IF($H234&lt;&gt;"OK","",ROUND($G234*使い方と設定!$B$7*$AK234*INDEX(個性タイプマスタ!$Q$5:$AA$54,$AE234,1)/$AG234,4))</f>
        <v>0.90939999999999999</v>
      </c>
      <c r="J234" s="9">
        <f>IF($H234&lt;&gt;"OK","",ROUND($G234*使い方と設定!$B$7*$AK234*INDEX(個性タイプマスタ!$Q$5:$AA$54,$AE234,2)/$AG234,4))</f>
        <v>1.0962000000000001</v>
      </c>
      <c r="K234" s="9">
        <f>IF($H234&lt;&gt;"OK","",ROUND($G234*使い方と設定!$B$7*$AK234*INDEX(個性タイプマスタ!$Q$5:$AA$54,$AE234,3)/$AG234,4))</f>
        <v>0.12180000000000001</v>
      </c>
      <c r="L234" s="9">
        <f>IF($H234&lt;&gt;"OK","",ROUND($G234*使い方と設定!$B$7*$AK234*INDEX(個性タイプマスタ!$Q$5:$AA$54,$AE234,4)/$AG234,4))</f>
        <v>1.8453999999999999</v>
      </c>
      <c r="M234" s="9">
        <f>IF($H234&lt;&gt;"OK","",ROUND($G234*使い方と設定!$B$7*$AK234*INDEX(個性タイプマスタ!$Q$5:$AA$54,$AE234,5)/$AG234,4))</f>
        <v>1.2235</v>
      </c>
      <c r="N234" s="9">
        <f>IF($H234&lt;&gt;"OK","",ROUND($G234*使い方と設定!$B$7*$AK234*INDEX(個性タイプマスタ!$Q$5:$AA$54,$AE234,6)/$AG234,4))</f>
        <v>0.45169999999999999</v>
      </c>
      <c r="O234" s="9">
        <f>IF($H234&lt;&gt;"OK","",ROUND($G234*使い方と設定!$B$7*$AK234*INDEX(個性タイプマスタ!$Q$5:$AA$54,$AE234,7)/$AG234,4))</f>
        <v>0.4466</v>
      </c>
      <c r="P234" s="9">
        <f>IF($H234&lt;&gt;"OK","",ROUND($G234*使い方と設定!$B$7*$AK234*INDEX(個性タイプマスタ!$Q$5:$AA$54,$AE234,8)/$AG234,4))</f>
        <v>0.4798</v>
      </c>
      <c r="Q234" s="9">
        <f>IF($H234&lt;&gt;"OK","",ROUND($G234*使い方と設定!$B$7*$AK234*INDEX(個性タイプマスタ!$Q$5:$AA$54,$AE234,9)/$AG234,4))</f>
        <v>0.3004</v>
      </c>
      <c r="R234" s="9">
        <f>IF($H234&lt;&gt;"OK","",ROUND($G234*使い方と設定!$B$7*$AK234*INDEX(個性タイプマスタ!$Q$5:$AA$54,$AE234,10)/$AG234,4))</f>
        <v>0.64219999999999999</v>
      </c>
      <c r="S234" s="9">
        <f>IF($H234&lt;&gt;"OK","",ROUND($G234*使い方と設定!$B$7*$AK234*INDEX(個性タイプマスタ!$Q$5:$AA$54,$AE234,11)/$AG234,4))</f>
        <v>0.48570000000000002</v>
      </c>
      <c r="T234" s="9">
        <f>IF($H234&lt;&gt;"OK","",ROUND($G234*使い方と設定!$B$8*$AK234*$AH234*INDEX(属性耐性マスタ!$B$5:$G$10,$AF234,1),4))</f>
        <v>2.0199999999999999E-2</v>
      </c>
      <c r="U234" s="9">
        <f>IF($H234&lt;&gt;"OK","",ROUND($G234*使い方と設定!$B$8*$AK234*$AH234*INDEX(属性耐性マスタ!$B$5:$G$10,$AF234,2),4))</f>
        <v>2.0199999999999999E-2</v>
      </c>
      <c r="V234" s="9">
        <f>IF($H234&lt;&gt;"OK","",ROUND($G234*使い方と設定!$B$8*$AK234*$AH234*INDEX(属性耐性マスタ!$B$5:$G$10,$AF234,3),4))</f>
        <v>2.0199999999999999E-2</v>
      </c>
      <c r="W234" s="9">
        <f>IF($H234&lt;&gt;"OK","",ROUND($G234*使い方と設定!$B$8*$AK234*$AH234*INDEX(属性耐性マスタ!$B$5:$G$10,$AF234,4),4))</f>
        <v>2.0199999999999999E-2</v>
      </c>
      <c r="X234" s="9">
        <f>IF($H234&lt;&gt;"OK","",ROUND($G234*使い方と設定!$B$8*$AK234*$AH234*INDEX(属性耐性マスタ!$B$5:$G$10,$AF234,5),4))</f>
        <v>0.40329999999999999</v>
      </c>
      <c r="Y234" s="9">
        <f>IF($H234&lt;&gt;"OK","",ROUND($G234*使い方と設定!$B$8*$AK234*$AH234*INDEX(属性耐性マスタ!$B$5:$G$10,$AF234,6),4))</f>
        <v>5.3800000000000001E-2</v>
      </c>
      <c r="Z234" s="9">
        <f>IF($H234&lt;&gt;"OK","",ROUND($G234*使い方と設定!$B$9*$AK234*$AI234,4))</f>
        <v>2.423</v>
      </c>
      <c r="AA234" s="10">
        <v>0.25</v>
      </c>
      <c r="AB234" s="11">
        <f t="shared" si="10"/>
        <v>8.0027000000000008</v>
      </c>
      <c r="AC234" s="11">
        <f t="shared" si="11"/>
        <v>0.53790000000000004</v>
      </c>
      <c r="AD234" s="7" t="str">
        <f>IF($H234&lt;&gt;"OK","",INDEX(個性タイプマスタ!$P$5:$P$54,$AE234))</f>
        <v>物理防御を集中的に強化</v>
      </c>
      <c r="AE234">
        <f>IFERROR(MATCH(E234,個性タイプマスタ!$A$5:$A$54,0),0)</f>
        <v>25</v>
      </c>
      <c r="AF234">
        <f>IFERROR(MATCH(F234,属性耐性マスタ!$A$5:$A$10,0),0)</f>
        <v>5</v>
      </c>
      <c r="AG234">
        <f>IF(AE234=0,1,INDEX(個性タイプマスタ!$AB$5:$AB$54,AE234))</f>
        <v>10.8415</v>
      </c>
      <c r="AH234">
        <f>IF(AE234=0,1,INDEX(個性タイプマスタ!$AC$5:$AC$54,AE234))</f>
        <v>1.26</v>
      </c>
      <c r="AI234">
        <f>IF(AE234=0,0,INDEX(個性タイプマスタ!$AD$5:$AD$54,AE234))</f>
        <v>0.90833333333333333</v>
      </c>
      <c r="AJ234" s="16">
        <v>38</v>
      </c>
      <c r="AK234" s="17">
        <f>IF(OR(AJ234="",AJ234&lt;1),"",POWER(使い方と設定!$E$6,AJ234-1))</f>
        <v>4.268089856139639</v>
      </c>
    </row>
    <row r="235" spans="1:37">
      <c r="A235" t="str">
        <f>+[2]称号!A230</f>
        <v>TITLE_229</v>
      </c>
      <c r="B235" t="str">
        <f>+[2]称号!B230</f>
        <v>血骨穿つ晶骸兵</v>
      </c>
      <c r="C235" t="s">
        <v>593</v>
      </c>
      <c r="D235" t="s">
        <v>594</v>
      </c>
      <c r="E235" s="2" t="str">
        <f>[1]モンスター計算!AM233</f>
        <v>魔法・近距離</v>
      </c>
      <c r="F235" s="2" t="str">
        <f>[1]モンスター計算!C233</f>
        <v>闇</v>
      </c>
      <c r="G235" s="8">
        <v>1</v>
      </c>
      <c r="H235" t="str">
        <f t="shared" si="9"/>
        <v>OK</v>
      </c>
      <c r="I235" s="9">
        <f>IF($H235&lt;&gt;"OK","",ROUND($G235*使い方と設定!$B$7*$AK235*INDEX(個性タイプマスタ!$Q$5:$AA$54,$AE235,1)/$AG235,4))</f>
        <v>0.84589999999999999</v>
      </c>
      <c r="J235" s="9">
        <f>IF($H235&lt;&gt;"OK","",ROUND($G235*使い方と設定!$B$7*$AK235*INDEX(個性タイプマスタ!$Q$5:$AA$54,$AE235,2)/$AG235,4))</f>
        <v>0.62780000000000002</v>
      </c>
      <c r="K235" s="9">
        <f>IF($H235&lt;&gt;"OK","",ROUND($G235*使い方と設定!$B$7*$AK235*INDEX(個性タイプマスタ!$Q$5:$AA$54,$AE235,3)/$AG235,4))</f>
        <v>0.12770000000000001</v>
      </c>
      <c r="L235" s="9">
        <f>IF($H235&lt;&gt;"OK","",ROUND($G235*使い方と設定!$B$7*$AK235*INDEX(個性タイプマスタ!$Q$5:$AA$54,$AE235,4)/$AG235,4))</f>
        <v>1.5019</v>
      </c>
      <c r="M235" s="9">
        <f>IF($H235&lt;&gt;"OK","",ROUND($G235*使い方と設定!$B$7*$AK235*INDEX(個性タイプマスタ!$Q$5:$AA$54,$AE235,5)/$AG235,4))</f>
        <v>0.62809999999999999</v>
      </c>
      <c r="N235" s="9">
        <f>IF($H235&lt;&gt;"OK","",ROUND($G235*使い方と設定!$B$7*$AK235*INDEX(個性タイプマスタ!$Q$5:$AA$54,$AE235,6)/$AG235,4))</f>
        <v>0.57189999999999996</v>
      </c>
      <c r="O235" s="9">
        <f>IF($H235&lt;&gt;"OK","",ROUND($G235*使い方と設定!$B$7*$AK235*INDEX(個性タイプマスタ!$Q$5:$AA$54,$AE235,7)/$AG235,4))</f>
        <v>0.46260000000000001</v>
      </c>
      <c r="P235" s="9">
        <f>IF($H235&lt;&gt;"OK","",ROUND($G235*使い方と設定!$B$7*$AK235*INDEX(個性タイプマスタ!$Q$5:$AA$54,$AE235,8)/$AG235,4))</f>
        <v>0.39050000000000001</v>
      </c>
      <c r="Q235" s="9">
        <f>IF($H235&lt;&gt;"OK","",ROUND($G235*使い方と設定!$B$7*$AK235*INDEX(個性タイプマスタ!$Q$5:$AA$54,$AE235,9)/$AG235,4))</f>
        <v>0.37009999999999998</v>
      </c>
      <c r="R235" s="9">
        <f>IF($H235&lt;&gt;"OK","",ROUND($G235*使い方と設定!$B$7*$AK235*INDEX(個性タイプマスタ!$Q$5:$AA$54,$AE235,10)/$AG235,4))</f>
        <v>0.87109999999999999</v>
      </c>
      <c r="S235" s="9">
        <f>IF($H235&lt;&gt;"OK","",ROUND($G235*使い方と設定!$B$7*$AK235*INDEX(個性タイプマスタ!$Q$5:$AA$54,$AE235,11)/$AG235,4))</f>
        <v>0.26069999999999999</v>
      </c>
      <c r="T235" s="9">
        <f>IF($H235&lt;&gt;"OK","",ROUND($G235*使い方と設定!$B$8*$AK235*$AH235*INDEX(属性耐性マスタ!$B$5:$G$10,$AF235,1),4))</f>
        <v>1.49E-2</v>
      </c>
      <c r="U235" s="9">
        <f>IF($H235&lt;&gt;"OK","",ROUND($G235*使い方と設定!$B$8*$AK235*$AH235*INDEX(属性耐性マスタ!$B$5:$G$10,$AF235,2),4))</f>
        <v>1.49E-2</v>
      </c>
      <c r="V235" s="9">
        <f>IF($H235&lt;&gt;"OK","",ROUND($G235*使い方と設定!$B$8*$AK235*$AH235*INDEX(属性耐性マスタ!$B$5:$G$10,$AF235,3),4))</f>
        <v>1.49E-2</v>
      </c>
      <c r="W235" s="9">
        <f>IF($H235&lt;&gt;"OK","",ROUND($G235*使い方と設定!$B$8*$AK235*$AH235*INDEX(属性耐性マスタ!$B$5:$G$10,$AF235,4),4))</f>
        <v>1.49E-2</v>
      </c>
      <c r="X235" s="9">
        <f>IF($H235&lt;&gt;"OK","",ROUND($G235*使い方と設定!$B$8*$AK235*$AH235*INDEX(属性耐性マスタ!$B$5:$G$10,$AF235,5),4))</f>
        <v>3.9800000000000002E-2</v>
      </c>
      <c r="Y235" s="9">
        <f>IF($H235&lt;&gt;"OK","",ROUND($G235*使い方と設定!$B$8*$AK235*$AH235*INDEX(属性耐性マスタ!$B$5:$G$10,$AF235,6),4))</f>
        <v>0.29830000000000001</v>
      </c>
      <c r="Z235" s="9">
        <f>IF($H235&lt;&gt;"OK","",ROUND($G235*使い方と設定!$B$9*$AK235*$AI235,4))</f>
        <v>2.3673999999999999</v>
      </c>
      <c r="AA235" s="10">
        <v>1</v>
      </c>
      <c r="AB235" s="11">
        <f t="shared" si="10"/>
        <v>6.6582999999999997</v>
      </c>
      <c r="AC235" s="11">
        <f t="shared" si="11"/>
        <v>0.3977</v>
      </c>
      <c r="AD235" s="7" t="str">
        <f>IF($H235&lt;&gt;"OK","",INDEX(個性タイプマスタ!$P$5:$P$54,$AE235))</f>
        <v>短射程の連発型</v>
      </c>
      <c r="AE235">
        <f>IFERROR(MATCH(E235,個性タイプマスタ!$A$5:$A$54,0),0)</f>
        <v>21</v>
      </c>
      <c r="AF235">
        <f>IFERROR(MATCH(F235,属性耐性マスタ!$A$5:$A$10,0),0)</f>
        <v>6</v>
      </c>
      <c r="AG235">
        <f>IF(AE235=0,1,INDEX(個性タイプマスタ!$AB$5:$AB$54,AE235))</f>
        <v>11.082999999999998</v>
      </c>
      <c r="AH235">
        <f>IF(AE235=0,1,INDEX(個性タイプマスタ!$AC$5:$AC$54,AE235))</f>
        <v>1.1200000000000001</v>
      </c>
      <c r="AI235">
        <f>IF(AE235=0,0,INDEX(個性タイプマスタ!$AD$5:$AD$54,AE235))</f>
        <v>1.0666666666666667</v>
      </c>
      <c r="AJ235" s="16">
        <v>39</v>
      </c>
      <c r="AK235" s="17">
        <f>IF(OR(AJ235="",AJ235&lt;1),"",POWER(使い方と設定!$E$6,AJ235-1))</f>
        <v>4.4388134503852239</v>
      </c>
    </row>
    <row r="236" spans="1:37">
      <c r="A236" t="str">
        <f>+[2]称号!A231</f>
        <v>TITLE_230</v>
      </c>
      <c r="B236" t="str">
        <f>+[2]称号!B231</f>
        <v>紅核を抱く供儀屍者</v>
      </c>
      <c r="C236" t="s">
        <v>595</v>
      </c>
      <c r="D236" t="s">
        <v>596</v>
      </c>
      <c r="E236" s="2" t="str">
        <f>[1]モンスター計算!AM234</f>
        <v>魔法・探索</v>
      </c>
      <c r="F236" s="2" t="str">
        <f>[1]モンスター計算!C234</f>
        <v>闇</v>
      </c>
      <c r="G236" s="8">
        <v>1.05</v>
      </c>
      <c r="H236" t="str">
        <f t="shared" si="9"/>
        <v>OK</v>
      </c>
      <c r="I236" s="9">
        <f>IF($H236&lt;&gt;"OK","",ROUND($G236*使い方と設定!$B$7*$AK236*INDEX(個性タイプマスタ!$Q$5:$AA$54,$AE236,1)/$AG236,4))</f>
        <v>0.6583</v>
      </c>
      <c r="J236" s="9">
        <f>IF($H236&lt;&gt;"OK","",ROUND($G236*使い方と設定!$B$7*$AK236*INDEX(個性タイプマスタ!$Q$5:$AA$54,$AE236,2)/$AG236,4))</f>
        <v>0.7026</v>
      </c>
      <c r="K236" s="9">
        <f>IF($H236&lt;&gt;"OK","",ROUND($G236*使い方と設定!$B$7*$AK236*INDEX(個性タイプマスタ!$Q$5:$AA$54,$AE236,3)/$AG236,4))</f>
        <v>0.1009</v>
      </c>
      <c r="L236" s="9">
        <f>IF($H236&lt;&gt;"OK","",ROUND($G236*使い方と設定!$B$7*$AK236*INDEX(個性タイプマスタ!$Q$5:$AA$54,$AE236,4)/$AG236,4))</f>
        <v>1.681</v>
      </c>
      <c r="M236" s="9">
        <f>IF($H236&lt;&gt;"OK","",ROUND($G236*使い方と設定!$B$7*$AK236*INDEX(個性タイプマスタ!$Q$5:$AA$54,$AE236,5)/$AG236,4))</f>
        <v>0.52580000000000005</v>
      </c>
      <c r="N236" s="9">
        <f>IF($H236&lt;&gt;"OK","",ROUND($G236*使い方と設定!$B$7*$AK236*INDEX(個性タイプマスタ!$Q$5:$AA$54,$AE236,6)/$AG236,4))</f>
        <v>0.52010000000000001</v>
      </c>
      <c r="O236" s="9">
        <f>IF($H236&lt;&gt;"OK","",ROUND($G236*使い方と設定!$B$7*$AK236*INDEX(個性タイプマスタ!$Q$5:$AA$54,$AE236,7)/$AG236,4))</f>
        <v>0.55469999999999997</v>
      </c>
      <c r="P236" s="9">
        <f>IF($H236&lt;&gt;"OK","",ROUND($G236*使い方と設定!$B$7*$AK236*INDEX(個性タイプマスタ!$Q$5:$AA$54,$AE236,8)/$AG236,4))</f>
        <v>0.43709999999999999</v>
      </c>
      <c r="Q236" s="9">
        <f>IF($H236&lt;&gt;"OK","",ROUND($G236*使い方と設定!$B$7*$AK236*INDEX(個性タイプマスタ!$Q$5:$AA$54,$AE236,9)/$AG236,4))</f>
        <v>0.45860000000000001</v>
      </c>
      <c r="R236" s="9">
        <f>IF($H236&lt;&gt;"OK","",ROUND($G236*使い方と設定!$B$7*$AK236*INDEX(個性タイプマスタ!$Q$5:$AA$54,$AE236,10)/$AG236,4))</f>
        <v>0.7732</v>
      </c>
      <c r="S236" s="9">
        <f>IF($H236&lt;&gt;"OK","",ROUND($G236*使い方と設定!$B$7*$AK236*INDEX(個性タイプマスタ!$Q$5:$AA$54,$AE236,11)/$AG236,4))</f>
        <v>0.57889999999999997</v>
      </c>
      <c r="T236" s="9">
        <f>IF($H236&lt;&gt;"OK","",ROUND($G236*使い方と設定!$B$8*$AK236*$AH236*INDEX(属性耐性マスタ!$B$5:$G$10,$AF236,1),4))</f>
        <v>1.34E-2</v>
      </c>
      <c r="U236" s="9">
        <f>IF($H236&lt;&gt;"OK","",ROUND($G236*使い方と設定!$B$8*$AK236*$AH236*INDEX(属性耐性マスタ!$B$5:$G$10,$AF236,2),4))</f>
        <v>1.34E-2</v>
      </c>
      <c r="V236" s="9">
        <f>IF($H236&lt;&gt;"OK","",ROUND($G236*使い方と設定!$B$8*$AK236*$AH236*INDEX(属性耐性マスタ!$B$5:$G$10,$AF236,3),4))</f>
        <v>1.34E-2</v>
      </c>
      <c r="W236" s="9">
        <f>IF($H236&lt;&gt;"OK","",ROUND($G236*使い方と設定!$B$8*$AK236*$AH236*INDEX(属性耐性マスタ!$B$5:$G$10,$AF236,4),4))</f>
        <v>1.34E-2</v>
      </c>
      <c r="X236" s="9">
        <f>IF($H236&lt;&gt;"OK","",ROUND($G236*使い方と設定!$B$8*$AK236*$AH236*INDEX(属性耐性マスタ!$B$5:$G$10,$AF236,5),4))</f>
        <v>3.5799999999999998E-2</v>
      </c>
      <c r="Y236" s="9">
        <f>IF($H236&lt;&gt;"OK","",ROUND($G236*使い方と設定!$B$8*$AK236*$AH236*INDEX(属性耐性マスタ!$B$5:$G$10,$AF236,6),4))</f>
        <v>0.26850000000000002</v>
      </c>
      <c r="Z236" s="9">
        <f>IF($H236&lt;&gt;"OK","",ROUND($G236*使い方と設定!$B$9*$AK236*$AI236,4))</f>
        <v>4.3499999999999996</v>
      </c>
      <c r="AA236" s="10">
        <v>1</v>
      </c>
      <c r="AB236" s="11">
        <f t="shared" si="10"/>
        <v>6.9912000000000001</v>
      </c>
      <c r="AC236" s="11">
        <f t="shared" si="11"/>
        <v>0.3579</v>
      </c>
      <c r="AD236" s="7" t="str">
        <f>IF($H236&lt;&gt;"OK","",INDEX(個性タイプマスタ!$P$5:$P$54,$AE236))</f>
        <v>高索敵・長射程寄りの探索型</v>
      </c>
      <c r="AE236">
        <f>IFERROR(MATCH(E236,個性タイプマスタ!$A$5:$A$54,0),0)</f>
        <v>28</v>
      </c>
      <c r="AF236">
        <f>IFERROR(MATCH(F236,属性耐性マスタ!$A$5:$A$10,0),0)</f>
        <v>6</v>
      </c>
      <c r="AG236">
        <f>IF(AE236=0,1,INDEX(個性タイプマスタ!$AB$5:$AB$54,AE236))</f>
        <v>10.397500000000001</v>
      </c>
      <c r="AH236">
        <f>IF(AE236=0,1,INDEX(個性タイプマスタ!$AC$5:$AC$54,AE236))</f>
        <v>0.96</v>
      </c>
      <c r="AI236">
        <f>IF(AE236=0,0,INDEX(個性タイプマスタ!$AD$5:$AD$54,AE236))</f>
        <v>1.8666666666666667</v>
      </c>
      <c r="AJ236" s="16">
        <v>39</v>
      </c>
      <c r="AK236" s="17">
        <f>IF(OR(AJ236="",AJ236&lt;1),"",POWER(使い方と設定!$E$6,AJ236-1))</f>
        <v>4.4388134503852239</v>
      </c>
    </row>
    <row r="237" spans="1:37">
      <c r="A237" t="str">
        <f>+[2]称号!A232</f>
        <v>TITLE_231</v>
      </c>
      <c r="B237" t="str">
        <f>+[2]称号!B232</f>
        <v>滴命を喰らう紅濁体</v>
      </c>
      <c r="C237" t="s">
        <v>597</v>
      </c>
      <c r="D237" t="s">
        <v>598</v>
      </c>
      <c r="E237" s="2" t="str">
        <f>[1]モンスター計算!AM235</f>
        <v>魔法・守護</v>
      </c>
      <c r="F237" s="2" t="str">
        <f>[1]モンスター計算!C235</f>
        <v>闇</v>
      </c>
      <c r="G237" s="8">
        <v>1.1000000000000001</v>
      </c>
      <c r="H237" t="str">
        <f t="shared" si="9"/>
        <v>OK</v>
      </c>
      <c r="I237" s="9">
        <f>IF($H237&lt;&gt;"OK","",ROUND($G237*使い方と設定!$B$7*$AK237*INDEX(個性タイプマスタ!$Q$5:$AA$54,$AE237,1)/$AG237,4))</f>
        <v>0.95409999999999995</v>
      </c>
      <c r="J237" s="9">
        <f>IF($H237&lt;&gt;"OK","",ROUND($G237*使い方と設定!$B$7*$AK237*INDEX(個性タイプマスタ!$Q$5:$AA$54,$AE237,2)/$AG237,4))</f>
        <v>0.79510000000000003</v>
      </c>
      <c r="K237" s="9">
        <f>IF($H237&lt;&gt;"OK","",ROUND($G237*使い方と設定!$B$7*$AK237*INDEX(個性タイプマスタ!$Q$5:$AA$54,$AE237,3)/$AG237,4))</f>
        <v>0.14460000000000001</v>
      </c>
      <c r="L237" s="9">
        <f>IF($H237&lt;&gt;"OK","",ROUND($G237*使い方と設定!$B$7*$AK237*INDEX(個性タイプマスタ!$Q$5:$AA$54,$AE237,4)/$AG237,4))</f>
        <v>1.4456</v>
      </c>
      <c r="M237" s="9">
        <f>IF($H237&lt;&gt;"OK","",ROUND($G237*使い方と設定!$B$7*$AK237*INDEX(個性タイプマスタ!$Q$5:$AA$54,$AE237,5)/$AG237,4))</f>
        <v>0.73719999999999997</v>
      </c>
      <c r="N237" s="9">
        <f>IF($H237&lt;&gt;"OK","",ROUND($G237*使い方と設定!$B$7*$AK237*INDEX(個性タイプマスタ!$Q$5:$AA$54,$AE237,6)/$AG237,4))</f>
        <v>0.68810000000000004</v>
      </c>
      <c r="O237" s="9">
        <f>IF($H237&lt;&gt;"OK","",ROUND($G237*使い方と設定!$B$7*$AK237*INDEX(個性タイプマスタ!$Q$5:$AA$54,$AE237,7)/$AG237,4))</f>
        <v>0.6361</v>
      </c>
      <c r="P237" s="9">
        <f>IF($H237&lt;&gt;"OK","",ROUND($G237*使い方と設定!$B$7*$AK237*INDEX(個性タイプマスタ!$Q$5:$AA$54,$AE237,8)/$AG237,4))</f>
        <v>0.4385</v>
      </c>
      <c r="Q237" s="9">
        <f>IF($H237&lt;&gt;"OK","",ROUND($G237*使い方と設定!$B$7*$AK237*INDEX(個性タイプマスタ!$Q$5:$AA$54,$AE237,9)/$AG237,4))</f>
        <v>0.30530000000000002</v>
      </c>
      <c r="R237" s="9">
        <f>IF($H237&lt;&gt;"OK","",ROUND($G237*使い方と設定!$B$7*$AK237*INDEX(個性タイプマスタ!$Q$5:$AA$54,$AE237,10)/$AG237,4))</f>
        <v>0.69389999999999996</v>
      </c>
      <c r="S237" s="9">
        <f>IF($H237&lt;&gt;"OK","",ROUND($G237*使い方と設定!$B$7*$AK237*INDEX(個性タイプマスタ!$Q$5:$AA$54,$AE237,11)/$AG237,4))</f>
        <v>0.48570000000000002</v>
      </c>
      <c r="T237" s="9">
        <f>IF($H237&lt;&gt;"OK","",ROUND($G237*使い方と設定!$B$8*$AK237*$AH237*INDEX(属性耐性マスタ!$B$5:$G$10,$AF237,1),4))</f>
        <v>1.9300000000000001E-2</v>
      </c>
      <c r="U237" s="9">
        <f>IF($H237&lt;&gt;"OK","",ROUND($G237*使い方と設定!$B$8*$AK237*$AH237*INDEX(属性耐性マスタ!$B$5:$G$10,$AF237,2),4))</f>
        <v>1.9300000000000001E-2</v>
      </c>
      <c r="V237" s="9">
        <f>IF($H237&lt;&gt;"OK","",ROUND($G237*使い方と設定!$B$8*$AK237*$AH237*INDEX(属性耐性マスタ!$B$5:$G$10,$AF237,3),4))</f>
        <v>1.9300000000000001E-2</v>
      </c>
      <c r="W237" s="9">
        <f>IF($H237&lt;&gt;"OK","",ROUND($G237*使い方と設定!$B$8*$AK237*$AH237*INDEX(属性耐性マスタ!$B$5:$G$10,$AF237,4),4))</f>
        <v>1.9300000000000001E-2</v>
      </c>
      <c r="X237" s="9">
        <f>IF($H237&lt;&gt;"OK","",ROUND($G237*使い方と設定!$B$8*$AK237*$AH237*INDEX(属性耐性マスタ!$B$5:$G$10,$AF237,5),4))</f>
        <v>5.16E-2</v>
      </c>
      <c r="Y237" s="9">
        <f>IF($H237&lt;&gt;"OK","",ROUND($G237*使い方と設定!$B$8*$AK237*$AH237*INDEX(属性耐性マスタ!$B$5:$G$10,$AF237,6),4))</f>
        <v>0.38669999999999999</v>
      </c>
      <c r="Z237" s="9">
        <f>IF($H237&lt;&gt;"OK","",ROUND($G237*使い方と設定!$B$9*$AK237*$AI237,4))</f>
        <v>2.4413</v>
      </c>
      <c r="AA237" s="10">
        <v>0.9</v>
      </c>
      <c r="AB237" s="11">
        <f t="shared" si="10"/>
        <v>7.3242000000000003</v>
      </c>
      <c r="AC237" s="11">
        <f t="shared" si="11"/>
        <v>0.51549999999999996</v>
      </c>
      <c r="AD237" s="7" t="str">
        <f>IF($H237&lt;&gt;"OK","",INDEX(個性タイプマスタ!$P$5:$P$54,$AE237))</f>
        <v>HP・防御・耐性の高い魔法型</v>
      </c>
      <c r="AE237">
        <f>IFERROR(MATCH(E237,個性タイプマスタ!$A$5:$A$54,0),0)</f>
        <v>6</v>
      </c>
      <c r="AF237">
        <f>IFERROR(MATCH(F237,属性耐性マスタ!$A$5:$A$10,0),0)</f>
        <v>6</v>
      </c>
      <c r="AG237">
        <f>IF(AE237=0,1,INDEX(個性タイプマスタ!$AB$5:$AB$54,AE237))</f>
        <v>12.666333333333332</v>
      </c>
      <c r="AH237">
        <f>IF(AE237=0,1,INDEX(個性タイプマスタ!$AC$5:$AC$54,AE237))</f>
        <v>1.32</v>
      </c>
      <c r="AI237">
        <f>IF(AE237=0,0,INDEX(個性タイプマスタ!$AD$5:$AD$54,AE237))</f>
        <v>1</v>
      </c>
      <c r="AJ237" s="16">
        <v>39</v>
      </c>
      <c r="AK237" s="17">
        <f>IF(OR(AJ237="",AJ237&lt;1),"",POWER(使い方と設定!$E$6,AJ237-1))</f>
        <v>4.4388134503852239</v>
      </c>
    </row>
    <row r="238" spans="1:37">
      <c r="A238" t="str">
        <f>+[2]称号!A233</f>
        <v>TITLE_232</v>
      </c>
      <c r="B238" t="str">
        <f>+[2]称号!B233</f>
        <v>刃祀る狂血の信徒</v>
      </c>
      <c r="C238" t="s">
        <v>599</v>
      </c>
      <c r="D238" t="s">
        <v>600</v>
      </c>
      <c r="E238" s="2" t="str">
        <f>[1]モンスター計算!AM236</f>
        <v>近接・機動</v>
      </c>
      <c r="F238" s="2" t="str">
        <f>[1]モンスター計算!C236</f>
        <v>火</v>
      </c>
      <c r="G238" s="8">
        <v>1.1499999999999999</v>
      </c>
      <c r="H238" t="str">
        <f t="shared" si="9"/>
        <v>OK</v>
      </c>
      <c r="I238" s="9">
        <f>IF($H238&lt;&gt;"OK","",ROUND($G238*使い方と設定!$B$7*$AK238*INDEX(個性タイプマスタ!$Q$5:$AA$54,$AE238,1)/$AG238,4))</f>
        <v>0.58819999999999995</v>
      </c>
      <c r="J238" s="9">
        <f>IF($H238&lt;&gt;"OK","",ROUND($G238*使い方と設定!$B$7*$AK238*INDEX(個性タイプマスタ!$Q$5:$AA$54,$AE238,2)/$AG238,4))</f>
        <v>0.35709999999999997</v>
      </c>
      <c r="K238" s="9">
        <f>IF($H238&lt;&gt;"OK","",ROUND($G238*使い方と設定!$B$7*$AK238*INDEX(個性タイプマスタ!$Q$5:$AA$54,$AE238,3)/$AG238,4))</f>
        <v>1.9097</v>
      </c>
      <c r="L238" s="9">
        <f>IF($H238&lt;&gt;"OK","",ROUND($G238*使い方と設定!$B$7*$AK238*INDEX(個性タイプマスタ!$Q$5:$AA$54,$AE238,4)/$AG238,4))</f>
        <v>0.14319999999999999</v>
      </c>
      <c r="M238" s="9">
        <f>IF($H238&lt;&gt;"OK","",ROUND($G238*使い方と設定!$B$7*$AK238*INDEX(個性タイプマスタ!$Q$5:$AA$54,$AE238,5)/$AG238,4))</f>
        <v>0.49349999999999999</v>
      </c>
      <c r="N238" s="9">
        <f>IF($H238&lt;&gt;"OK","",ROUND($G238*使い方と設定!$B$7*$AK238*INDEX(個性タイプマスタ!$Q$5:$AA$54,$AE238,6)/$AG238,4))</f>
        <v>0.50649999999999995</v>
      </c>
      <c r="O238" s="9">
        <f>IF($H238&lt;&gt;"OK","",ROUND($G238*使い方と設定!$B$7*$AK238*INDEX(個性タイプマスタ!$Q$5:$AA$54,$AE238,7)/$AG238,4))</f>
        <v>0.92430000000000001</v>
      </c>
      <c r="P238" s="9">
        <f>IF($H238&lt;&gt;"OK","",ROUND($G238*使い方と設定!$B$7*$AK238*INDEX(個性タイプマスタ!$Q$5:$AA$54,$AE238,8)/$AG238,4))</f>
        <v>0.52300000000000002</v>
      </c>
      <c r="Q238" s="9">
        <f>IF($H238&lt;&gt;"OK","",ROUND($G238*使い方と設定!$B$7*$AK238*INDEX(個性タイプマスタ!$Q$5:$AA$54,$AE238,9)/$AG238,4))</f>
        <v>0.74780000000000002</v>
      </c>
      <c r="R238" s="9">
        <f>IF($H238&lt;&gt;"OK","",ROUND($G238*使い方と設定!$B$7*$AK238*INDEX(個性タイプマスタ!$Q$5:$AA$54,$AE238,10)/$AG238,4))</f>
        <v>0.99309999999999998</v>
      </c>
      <c r="S238" s="9">
        <f>IF($H238&lt;&gt;"OK","",ROUND($G238*使い方と設定!$B$7*$AK238*INDEX(個性タイプマスタ!$Q$5:$AA$54,$AE238,11)/$AG238,4))</f>
        <v>0.47060000000000002</v>
      </c>
      <c r="T238" s="9">
        <f>IF($H238&lt;&gt;"OK","",ROUND($G238*使い方と設定!$B$8*$AK238*$AH238*INDEX(属性耐性マスタ!$B$5:$G$10,$AF238,1),4))</f>
        <v>0.23280000000000001</v>
      </c>
      <c r="U238" s="9">
        <f>IF($H238&lt;&gt;"OK","",ROUND($G238*使い方と設定!$B$8*$AK238*$AH238*INDEX(属性耐性マスタ!$B$5:$G$10,$AF238,2),4))</f>
        <v>4.6600000000000003E-2</v>
      </c>
      <c r="V238" s="9">
        <f>IF($H238&lt;&gt;"OK","",ROUND($G238*使い方と設定!$B$8*$AK238*$AH238*INDEX(属性耐性マスタ!$B$5:$G$10,$AF238,3),4))</f>
        <v>1.55E-2</v>
      </c>
      <c r="W238" s="9">
        <f>IF($H238&lt;&gt;"OK","",ROUND($G238*使い方と設定!$B$8*$AK238*$AH238*INDEX(属性耐性マスタ!$B$5:$G$10,$AF238,4),4))</f>
        <v>1.55E-2</v>
      </c>
      <c r="X238" s="9">
        <f>IF($H238&lt;&gt;"OK","",ROUND($G238*使い方と設定!$B$8*$AK238*$AH238*INDEX(属性耐性マスタ!$B$5:$G$10,$AF238,5),4))</f>
        <v>1.1599999999999999E-2</v>
      </c>
      <c r="Y238" s="9">
        <f>IF($H238&lt;&gt;"OK","",ROUND($G238*使い方と設定!$B$8*$AK238*$AH238*INDEX(属性耐性マスタ!$B$5:$G$10,$AF238,6),4))</f>
        <v>1.1599999999999999E-2</v>
      </c>
      <c r="Z238" s="9">
        <f>IF($H238&lt;&gt;"OK","",ROUND($G238*使い方と設定!$B$9*$AK238*$AI238,4))</f>
        <v>3.4243999999999999</v>
      </c>
      <c r="AA238" s="10">
        <v>0.55000000000000004</v>
      </c>
      <c r="AB238" s="11">
        <f t="shared" si="10"/>
        <v>7.657</v>
      </c>
      <c r="AC238" s="11">
        <f t="shared" si="11"/>
        <v>0.33360000000000001</v>
      </c>
      <c r="AD238" s="7" t="str">
        <f>IF($H238&lt;&gt;"OK","",INDEX(個性タイプマスタ!$P$5:$P$54,$AE238))</f>
        <v>高移動速度で接敵に優れる</v>
      </c>
      <c r="AE238">
        <f>IFERROR(MATCH(E238,個性タイプマスタ!$A$5:$A$54,0),0)</f>
        <v>36</v>
      </c>
      <c r="AF238">
        <f>IFERROR(MATCH(F238,属性耐性マスタ!$A$5:$A$10,0),0)</f>
        <v>1</v>
      </c>
      <c r="AG238">
        <f>IF(AE238=0,1,INDEX(個性タイプマスタ!$AB$5:$AB$54,AE238))</f>
        <v>10.023666666666667</v>
      </c>
      <c r="AH238">
        <f>IF(AE238=0,1,INDEX(個性タイプマスタ!$AC$5:$AC$54,AE238))</f>
        <v>0.76</v>
      </c>
      <c r="AI238">
        <f>IF(AE238=0,0,INDEX(個性タイプマスタ!$AD$5:$AD$54,AE238))</f>
        <v>1.3416666666666668</v>
      </c>
      <c r="AJ238" s="16">
        <v>39</v>
      </c>
      <c r="AK238" s="17">
        <f>IF(OR(AJ238="",AJ238&lt;1),"",POWER(使い方と設定!$E$6,AJ238-1))</f>
        <v>4.4388134503852239</v>
      </c>
    </row>
    <row r="239" spans="1:37">
      <c r="A239" t="str">
        <f>+[2]称号!A234</f>
        <v>TITLE_233</v>
      </c>
      <c r="B239" t="str">
        <f>+[2]称号!B234</f>
        <v>万晶重殻の紅巨兵</v>
      </c>
      <c r="C239" t="s">
        <v>601</v>
      </c>
      <c r="D239" t="s">
        <v>602</v>
      </c>
      <c r="E239" s="2" t="str">
        <f>[1]モンスター計算!AM237</f>
        <v>近接・堅実</v>
      </c>
      <c r="F239" s="2" t="str">
        <f>[1]モンスター計算!C237</f>
        <v>光</v>
      </c>
      <c r="G239" s="8">
        <v>1.2</v>
      </c>
      <c r="H239" t="str">
        <f t="shared" si="9"/>
        <v>OK</v>
      </c>
      <c r="I239" s="9">
        <f>IF($H239&lt;&gt;"OK","",ROUND($G239*使い方と設定!$B$7*$AK239*INDEX(個性タイプマスタ!$Q$5:$AA$54,$AE239,1)/$AG239,4))</f>
        <v>0.99670000000000003</v>
      </c>
      <c r="J239" s="9">
        <f>IF($H239&lt;&gt;"OK","",ROUND($G239*使い方と設定!$B$7*$AK239*INDEX(個性タイプマスタ!$Q$5:$AA$54,$AE239,2)/$AG239,4))</f>
        <v>0.42270000000000002</v>
      </c>
      <c r="K239" s="9">
        <f>IF($H239&lt;&gt;"OK","",ROUND($G239*使い方と設定!$B$7*$AK239*INDEX(個性タイプマスタ!$Q$5:$AA$54,$AE239,3)/$AG239,4))</f>
        <v>2.0225</v>
      </c>
      <c r="L239" s="9">
        <f>IF($H239&lt;&gt;"OK","",ROUND($G239*使い方と設定!$B$7*$AK239*INDEX(個性タイプマスタ!$Q$5:$AA$54,$AE239,4)/$AG239,4))</f>
        <v>0.1578</v>
      </c>
      <c r="M239" s="9">
        <f>IF($H239&lt;&gt;"OK","",ROUND($G239*使い方と設定!$B$7*$AK239*INDEX(個性タイプマスタ!$Q$5:$AA$54,$AE239,5)/$AG239,4))</f>
        <v>0.86639999999999995</v>
      </c>
      <c r="N239" s="9">
        <f>IF($H239&lt;&gt;"OK","",ROUND($G239*使い方と設定!$B$7*$AK239*INDEX(個性タイプマスタ!$Q$5:$AA$54,$AE239,6)/$AG239,4))</f>
        <v>0.85270000000000001</v>
      </c>
      <c r="O239" s="9">
        <f>IF($H239&lt;&gt;"OK","",ROUND($G239*使い方と設定!$B$7*$AK239*INDEX(個性タイプマスタ!$Q$5:$AA$54,$AE239,7)/$AG239,4))</f>
        <v>0.35599999999999998</v>
      </c>
      <c r="P239" s="9">
        <f>IF($H239&lt;&gt;"OK","",ROUND($G239*使い方と設定!$B$7*$AK239*INDEX(個性タイプマスタ!$Q$5:$AA$54,$AE239,8)/$AG239,4))</f>
        <v>0.49080000000000001</v>
      </c>
      <c r="Q239" s="9">
        <f>IF($H239&lt;&gt;"OK","",ROUND($G239*使い方と設定!$B$7*$AK239*INDEX(個性タイプマスタ!$Q$5:$AA$54,$AE239,9)/$AG239,4))</f>
        <v>0.43609999999999999</v>
      </c>
      <c r="R239" s="9">
        <f>IF($H239&lt;&gt;"OK","",ROUND($G239*使い方と設定!$B$7*$AK239*INDEX(個性タイプマスタ!$Q$5:$AA$54,$AE239,10)/$AG239,4))</f>
        <v>0.83330000000000004</v>
      </c>
      <c r="S239" s="9">
        <f>IF($H239&lt;&gt;"OK","",ROUND($G239*使い方と設定!$B$7*$AK239*INDEX(個性タイプマスタ!$Q$5:$AA$54,$AE239,11)/$AG239,4))</f>
        <v>0.55500000000000005</v>
      </c>
      <c r="T239" s="9">
        <f>IF($H239&lt;&gt;"OK","",ROUND($G239*使い方と設定!$B$8*$AK239*$AH239*INDEX(属性耐性マスタ!$B$5:$G$10,$AF239,1),4))</f>
        <v>1.8499999999999999E-2</v>
      </c>
      <c r="U239" s="9">
        <f>IF($H239&lt;&gt;"OK","",ROUND($G239*使い方と設定!$B$8*$AK239*$AH239*INDEX(属性耐性マスタ!$B$5:$G$10,$AF239,2),4))</f>
        <v>1.8499999999999999E-2</v>
      </c>
      <c r="V239" s="9">
        <f>IF($H239&lt;&gt;"OK","",ROUND($G239*使い方と設定!$B$8*$AK239*$AH239*INDEX(属性耐性マスタ!$B$5:$G$10,$AF239,3),4))</f>
        <v>1.8499999999999999E-2</v>
      </c>
      <c r="W239" s="9">
        <f>IF($H239&lt;&gt;"OK","",ROUND($G239*使い方と設定!$B$8*$AK239*$AH239*INDEX(属性耐性マスタ!$B$5:$G$10,$AF239,4),4))</f>
        <v>1.8499999999999999E-2</v>
      </c>
      <c r="X239" s="9">
        <f>IF($H239&lt;&gt;"OK","",ROUND($G239*使い方と設定!$B$8*$AK239*$AH239*INDEX(属性耐性マスタ!$B$5:$G$10,$AF239,5),4))</f>
        <v>0.37069999999999997</v>
      </c>
      <c r="Y239" s="9">
        <f>IF($H239&lt;&gt;"OK","",ROUND($G239*使い方と設定!$B$8*$AK239*$AH239*INDEX(属性耐性マスタ!$B$5:$G$10,$AF239,6),4))</f>
        <v>4.9399999999999999E-2</v>
      </c>
      <c r="Z239" s="9">
        <f>IF($H239&lt;&gt;"OK","",ROUND($G239*使い方と設定!$B$9*$AK239*$AI239,4))</f>
        <v>2.6855000000000002</v>
      </c>
      <c r="AA239" s="10">
        <v>0.5</v>
      </c>
      <c r="AB239" s="11">
        <f t="shared" si="10"/>
        <v>7.99</v>
      </c>
      <c r="AC239" s="11">
        <f t="shared" si="11"/>
        <v>0.49409999999999998</v>
      </c>
      <c r="AD239" s="7" t="str">
        <f>IF($H239&lt;&gt;"OK","",INDEX(個性タイプマスタ!$P$5:$P$54,$AE239))</f>
        <v>手堅いステータスの安定型</v>
      </c>
      <c r="AE239">
        <f>IFERROR(MATCH(E239,個性タイプマスタ!$A$5:$A$54,0),0)</f>
        <v>43</v>
      </c>
      <c r="AF239">
        <f>IFERROR(MATCH(F239,属性耐性マスタ!$A$5:$A$10,0),0)</f>
        <v>5</v>
      </c>
      <c r="AG239">
        <f>IF(AE239=0,1,INDEX(個性タイプマスタ!$AB$5:$AB$54,AE239))</f>
        <v>9.8761666666666663</v>
      </c>
      <c r="AH239">
        <f>IF(AE239=0,1,INDEX(個性タイプマスタ!$AC$5:$AC$54,AE239))</f>
        <v>1.1599999999999999</v>
      </c>
      <c r="AI239">
        <f>IF(AE239=0,0,INDEX(個性タイプマスタ!$AD$5:$AD$54,AE239))</f>
        <v>1.0083333333333333</v>
      </c>
      <c r="AJ239" s="16">
        <v>39</v>
      </c>
      <c r="AK239" s="17">
        <f>IF(OR(AJ239="",AJ239&lt;1),"",POWER(使い方と設定!$E$6,AJ239-1))</f>
        <v>4.4388134503852239</v>
      </c>
    </row>
    <row r="240" spans="1:37">
      <c r="A240" t="str">
        <f>+[2]称号!A235</f>
        <v>TITLE_234</v>
      </c>
      <c r="B240" t="str">
        <f>+[2]称号!B235</f>
        <v>万血統べる晶王魔皇</v>
      </c>
      <c r="C240" t="s">
        <v>603</v>
      </c>
      <c r="D240" t="s">
        <v>604</v>
      </c>
      <c r="E240" s="2" t="str">
        <f>[1]モンスター計算!AM238</f>
        <v>魔法・薄命結界</v>
      </c>
      <c r="F240" s="2" t="str">
        <f>[1]モンスター計算!C238</f>
        <v>闇</v>
      </c>
      <c r="G240" s="8">
        <v>1.25</v>
      </c>
      <c r="H240" t="str">
        <f t="shared" si="9"/>
        <v>OK</v>
      </c>
      <c r="I240" s="9">
        <f>IF($H240&lt;&gt;"OK","",ROUND($G240*使い方と設定!$B$7*$AK240*INDEX(個性タイプマスタ!$Q$5:$AA$54,$AE240,1)/$AG240,4))</f>
        <v>0.44230000000000003</v>
      </c>
      <c r="J240" s="9">
        <f>IF($H240&lt;&gt;"OK","",ROUND($G240*使い方と設定!$B$7*$AK240*INDEX(個性タイプマスタ!$Q$5:$AA$54,$AE240,2)/$AG240,4))</f>
        <v>1.2062999999999999</v>
      </c>
      <c r="K240" s="9">
        <f>IF($H240&lt;&gt;"OK","",ROUND($G240*使い方と設定!$B$7*$AK240*INDEX(個性タイプマスタ!$Q$5:$AA$54,$AE240,3)/$AG240,4))</f>
        <v>0.1462</v>
      </c>
      <c r="L240" s="9">
        <f>IF($H240&lt;&gt;"OK","",ROUND($G240*使い方と設定!$B$7*$AK240*INDEX(個性タイプマスタ!$Q$5:$AA$54,$AE240,4)/$AG240,4))</f>
        <v>1.8277000000000001</v>
      </c>
      <c r="M240" s="9">
        <f>IF($H240&lt;&gt;"OK","",ROUND($G240*使い方と設定!$B$7*$AK240*INDEX(個性タイプマスタ!$Q$5:$AA$54,$AE240,5)/$AG240,4))</f>
        <v>0.90110000000000001</v>
      </c>
      <c r="N240" s="9">
        <f>IF($H240&lt;&gt;"OK","",ROUND($G240*使い方と設定!$B$7*$AK240*INDEX(個性タイプマスタ!$Q$5:$AA$54,$AE240,6)/$AG240,4))</f>
        <v>1.3982000000000001</v>
      </c>
      <c r="O240" s="9">
        <f>IF($H240&lt;&gt;"OK","",ROUND($G240*使い方と設定!$B$7*$AK240*INDEX(個性タイプマスタ!$Q$5:$AA$54,$AE240,7)/$AG240,4))</f>
        <v>0.32169999999999999</v>
      </c>
      <c r="P240" s="9">
        <f>IF($H240&lt;&gt;"OK","",ROUND($G240*使い方と設定!$B$7*$AK240*INDEX(個性タイプマスタ!$Q$5:$AA$54,$AE240,8)/$AG240,4))</f>
        <v>0.43719999999999998</v>
      </c>
      <c r="Q240" s="9">
        <f>IF($H240&lt;&gt;"OK","",ROUND($G240*使い方と設定!$B$7*$AK240*INDEX(個性タイプマスタ!$Q$5:$AA$54,$AE240,9)/$AG240,4))</f>
        <v>0.3538</v>
      </c>
      <c r="R240" s="9">
        <f>IF($H240&lt;&gt;"OK","",ROUND($G240*使い方と設定!$B$7*$AK240*INDEX(個性タイプマスタ!$Q$5:$AA$54,$AE240,10)/$AG240,4))</f>
        <v>0.64339999999999997</v>
      </c>
      <c r="S240" s="9">
        <f>IF($H240&lt;&gt;"OK","",ROUND($G240*使い方と設定!$B$7*$AK240*INDEX(個性タイプマスタ!$Q$5:$AA$54,$AE240,11)/$AG240,4))</f>
        <v>0.64480000000000004</v>
      </c>
      <c r="T240" s="9">
        <f>IF($H240&lt;&gt;"OK","",ROUND($G240*使い方と設定!$B$8*$AK240*$AH240*INDEX(属性耐性マスタ!$B$5:$G$10,$AF240,1),4))</f>
        <v>2.5000000000000001E-2</v>
      </c>
      <c r="U240" s="9">
        <f>IF($H240&lt;&gt;"OK","",ROUND($G240*使い方と設定!$B$8*$AK240*$AH240*INDEX(属性耐性マスタ!$B$5:$G$10,$AF240,2),4))</f>
        <v>2.5000000000000001E-2</v>
      </c>
      <c r="V240" s="9">
        <f>IF($H240&lt;&gt;"OK","",ROUND($G240*使い方と設定!$B$8*$AK240*$AH240*INDEX(属性耐性マスタ!$B$5:$G$10,$AF240,3),4))</f>
        <v>2.5000000000000001E-2</v>
      </c>
      <c r="W240" s="9">
        <f>IF($H240&lt;&gt;"OK","",ROUND($G240*使い方と設定!$B$8*$AK240*$AH240*INDEX(属性耐性マスタ!$B$5:$G$10,$AF240,4),4))</f>
        <v>2.5000000000000001E-2</v>
      </c>
      <c r="X240" s="9">
        <f>IF($H240&lt;&gt;"OK","",ROUND($G240*使い方と設定!$B$8*$AK240*$AH240*INDEX(属性耐性マスタ!$B$5:$G$10,$AF240,5),4))</f>
        <v>6.6600000000000006E-2</v>
      </c>
      <c r="Y240" s="9">
        <f>IF($H240&lt;&gt;"OK","",ROUND($G240*使い方と設定!$B$8*$AK240*$AH240*INDEX(属性耐性マスタ!$B$5:$G$10,$AF240,6),4))</f>
        <v>0.49940000000000001</v>
      </c>
      <c r="Z240" s="9">
        <f>IF($H240&lt;&gt;"OK","",ROUND($G240*使い方と設定!$B$9*$AK240*$AI240,4))</f>
        <v>2.6818</v>
      </c>
      <c r="AA240" s="10">
        <v>0.25</v>
      </c>
      <c r="AB240" s="11">
        <f t="shared" si="10"/>
        <v>8.3226999999999993</v>
      </c>
      <c r="AC240" s="11">
        <f t="shared" si="11"/>
        <v>0.66600000000000004</v>
      </c>
      <c r="AD240" s="7" t="str">
        <f>IF($H240&lt;&gt;"OK","",INDEX(個性タイプマスタ!$P$5:$P$54,$AE240))</f>
        <v>低HPだが防御・耐性が高い極端な守護型</v>
      </c>
      <c r="AE240">
        <f>IFERROR(MATCH(E240,個性タイプマスタ!$A$5:$A$54,0),0)</f>
        <v>31</v>
      </c>
      <c r="AF240">
        <f>IFERROR(MATCH(F240,属性耐性マスタ!$A$5:$A$10,0),0)</f>
        <v>6</v>
      </c>
      <c r="AG240">
        <f>IF(AE240=0,1,INDEX(個性タイプマスタ!$AB$5:$AB$54,AE240))</f>
        <v>11.384</v>
      </c>
      <c r="AH240">
        <f>IF(AE240=0,1,INDEX(個性タイプマスタ!$AC$5:$AC$54,AE240))</f>
        <v>1.5</v>
      </c>
      <c r="AI240">
        <f>IF(AE240=0,0,INDEX(個性タイプマスタ!$AD$5:$AD$54,AE240))</f>
        <v>0.96666666666666667</v>
      </c>
      <c r="AJ240" s="16">
        <v>39</v>
      </c>
      <c r="AK240" s="17">
        <f>IF(OR(AJ240="",AJ240&lt;1),"",POWER(使い方と設定!$E$6,AJ240-1))</f>
        <v>4.4388134503852239</v>
      </c>
    </row>
    <row r="241" spans="1:37">
      <c r="A241" t="str">
        <f>+[2]称号!A236</f>
        <v>TITLE_235</v>
      </c>
      <c r="B241" t="str">
        <f>+[2]称号!B236</f>
        <v>蒼光の守衛骸</v>
      </c>
      <c r="C241" t="s">
        <v>605</v>
      </c>
      <c r="D241" t="s">
        <v>606</v>
      </c>
      <c r="E241" s="2" t="str">
        <f>[1]モンスター計算!AM239</f>
        <v>魔法・高MP</v>
      </c>
      <c r="F241" s="2" t="str">
        <f>[1]モンスター計算!C239</f>
        <v>光</v>
      </c>
      <c r="G241" s="8">
        <v>1</v>
      </c>
      <c r="H241" t="str">
        <f t="shared" si="9"/>
        <v>OK</v>
      </c>
      <c r="I241" s="9">
        <f>IF($H241&lt;&gt;"OK","",ROUND($G241*使い方と設定!$B$7*$AK241*INDEX(個性タイプマスタ!$Q$5:$AA$54,$AE241,1)/$AG241,4))</f>
        <v>0.65210000000000001</v>
      </c>
      <c r="J241" s="9">
        <f>IF($H241&lt;&gt;"OK","",ROUND($G241*使い方と設定!$B$7*$AK241*INDEX(個性タイプマスタ!$Q$5:$AA$54,$AE241,2)/$AG241,4))</f>
        <v>1.6777</v>
      </c>
      <c r="K241" s="9">
        <f>IF($H241&lt;&gt;"OK","",ROUND($G241*使い方と設定!$B$7*$AK241*INDEX(個性タイプマスタ!$Q$5:$AA$54,$AE241,3)/$AG241,4))</f>
        <v>0.1007</v>
      </c>
      <c r="L241" s="9">
        <f>IF($H241&lt;&gt;"OK","",ROUND($G241*使い方と設定!$B$7*$AK241*INDEX(個性タイプマスタ!$Q$5:$AA$54,$AE241,4)/$AG241,4))</f>
        <v>1.4389000000000001</v>
      </c>
      <c r="M241" s="9">
        <f>IF($H241&lt;&gt;"OK","",ROUND($G241*使い方と設定!$B$7*$AK241*INDEX(個性タイプマスタ!$Q$5:$AA$54,$AE241,5)/$AG241,4))</f>
        <v>0.46960000000000002</v>
      </c>
      <c r="N241" s="9">
        <f>IF($H241&lt;&gt;"OK","",ROUND($G241*使い方と設定!$B$7*$AK241*INDEX(個性タイプマスタ!$Q$5:$AA$54,$AE241,6)/$AG241,4))</f>
        <v>0.57730000000000004</v>
      </c>
      <c r="O241" s="9">
        <f>IF($H241&lt;&gt;"OK","",ROUND($G241*使い方と設定!$B$7*$AK241*INDEX(個性タイプマスタ!$Q$5:$AA$54,$AE241,7)/$AG241,4))</f>
        <v>0.41149999999999998</v>
      </c>
      <c r="P241" s="9">
        <f>IF($H241&lt;&gt;"OK","",ROUND($G241*使い方と設定!$B$7*$AK241*INDEX(個性タイプマスタ!$Q$5:$AA$54,$AE241,8)/$AG241,4))</f>
        <v>0.36159999999999998</v>
      </c>
      <c r="Q241" s="9">
        <f>IF($H241&lt;&gt;"OK","",ROUND($G241*使い方と設定!$B$7*$AK241*INDEX(個性タイプマスタ!$Q$5:$AA$54,$AE241,9)/$AG241,4))</f>
        <v>0.26590000000000003</v>
      </c>
      <c r="R241" s="9">
        <f>IF($H241&lt;&gt;"OK","",ROUND($G241*使い方と設定!$B$7*$AK241*INDEX(個性タイプマスタ!$Q$5:$AA$54,$AE241,10)/$AG241,4))</f>
        <v>0.51800000000000002</v>
      </c>
      <c r="S241" s="9">
        <f>IF($H241&lt;&gt;"OK","",ROUND($G241*使い方と設定!$B$7*$AK241*INDEX(個性タイプマスタ!$Q$5:$AA$54,$AE241,11)/$AG241,4))</f>
        <v>0.45119999999999999</v>
      </c>
      <c r="T241" s="9">
        <f>IF($H241&lt;&gt;"OK","",ROUND($G241*使い方と設定!$B$8*$AK241*$AH241*INDEX(属性耐性マスタ!$B$5:$G$10,$AF241,1),4))</f>
        <v>1.4999999999999999E-2</v>
      </c>
      <c r="U241" s="9">
        <f>IF($H241&lt;&gt;"OK","",ROUND($G241*使い方と設定!$B$8*$AK241*$AH241*INDEX(属性耐性マスタ!$B$5:$G$10,$AF241,2),4))</f>
        <v>1.4999999999999999E-2</v>
      </c>
      <c r="V241" s="9">
        <f>IF($H241&lt;&gt;"OK","",ROUND($G241*使い方と設定!$B$8*$AK241*$AH241*INDEX(属性耐性マスタ!$B$5:$G$10,$AF241,3),4))</f>
        <v>1.4999999999999999E-2</v>
      </c>
      <c r="W241" s="9">
        <f>IF($H241&lt;&gt;"OK","",ROUND($G241*使い方と設定!$B$8*$AK241*$AH241*INDEX(属性耐性マスタ!$B$5:$G$10,$AF241,4),4))</f>
        <v>1.4999999999999999E-2</v>
      </c>
      <c r="X241" s="9">
        <f>IF($H241&lt;&gt;"OK","",ROUND($G241*使い方と設定!$B$8*$AK241*$AH241*INDEX(属性耐性マスタ!$B$5:$G$10,$AF241,5),4))</f>
        <v>0.29909999999999998</v>
      </c>
      <c r="Y241" s="9">
        <f>IF($H241&lt;&gt;"OK","",ROUND($G241*使い方と設定!$B$8*$AK241*$AH241*INDEX(属性耐性マスタ!$B$5:$G$10,$AF241,6),4))</f>
        <v>3.9899999999999998E-2</v>
      </c>
      <c r="Z241" s="9">
        <f>IF($H241&lt;&gt;"OK","",ROUND($G241*使い方と設定!$B$9*$AK241*$AI241,4))</f>
        <v>2.1928000000000001</v>
      </c>
      <c r="AA241" s="10">
        <v>1</v>
      </c>
      <c r="AB241" s="11">
        <f t="shared" si="10"/>
        <v>6.9245000000000001</v>
      </c>
      <c r="AC241" s="11">
        <f t="shared" si="11"/>
        <v>0.39900000000000002</v>
      </c>
      <c r="AD241" s="7" t="str">
        <f>IF($H241&lt;&gt;"OK","",INDEX(個性タイプマスタ!$P$5:$P$54,$AE241))</f>
        <v>MP容量を重視する後衛</v>
      </c>
      <c r="AE241">
        <f>IFERROR(MATCH(E241,個性タイプマスタ!$A$5:$A$54,0),0)</f>
        <v>27</v>
      </c>
      <c r="AF241">
        <f>IFERROR(MATCH(F241,属性耐性マスタ!$A$5:$A$10,0),0)</f>
        <v>5</v>
      </c>
      <c r="AG241">
        <f>IF(AE241=0,1,INDEX(個性タイプマスタ!$AB$5:$AB$54,AE241))</f>
        <v>12.031333333333334</v>
      </c>
      <c r="AH241">
        <f>IF(AE241=0,1,INDEX(個性タイプマスタ!$AC$5:$AC$54,AE241))</f>
        <v>1.08</v>
      </c>
      <c r="AI241">
        <f>IF(AE241=0,0,INDEX(個性タイプマスタ!$AD$5:$AD$54,AE241))</f>
        <v>0.95</v>
      </c>
      <c r="AJ241" s="16">
        <v>40</v>
      </c>
      <c r="AK241" s="17">
        <f>IF(OR(AJ241="",AJ241&lt;1),"",POWER(使い方と設定!$E$6,AJ241-1))</f>
        <v>4.6163659884006325</v>
      </c>
    </row>
    <row r="242" spans="1:37">
      <c r="A242" t="str">
        <f>+[2]称号!A237</f>
        <v>TITLE_236</v>
      </c>
      <c r="B242" t="str">
        <f>+[2]称号!B237</f>
        <v>流動結界の水晶核</v>
      </c>
      <c r="C242" t="s">
        <v>607</v>
      </c>
      <c r="D242" t="s">
        <v>608</v>
      </c>
      <c r="E242" s="2" t="str">
        <f>[1]モンスター計算!AM240</f>
        <v>魔法・速攻</v>
      </c>
      <c r="F242" s="2" t="str">
        <f>[1]モンスター計算!C240</f>
        <v>光</v>
      </c>
      <c r="G242" s="8">
        <v>1.05</v>
      </c>
      <c r="H242" t="str">
        <f t="shared" si="9"/>
        <v>OK</v>
      </c>
      <c r="I242" s="9">
        <f>IF($H242&lt;&gt;"OK","",ROUND($G242*使い方と設定!$B$7*$AK242*INDEX(個性タイプマスタ!$Q$5:$AA$54,$AE242,1)/$AG242,4))</f>
        <v>0.75409999999999999</v>
      </c>
      <c r="J242" s="9">
        <f>IF($H242&lt;&gt;"OK","",ROUND($G242*使い方と設定!$B$7*$AK242*INDEX(個性タイプマスタ!$Q$5:$AA$54,$AE242,2)/$AG242,4))</f>
        <v>0.82950000000000002</v>
      </c>
      <c r="K242" s="9">
        <f>IF($H242&lt;&gt;"OK","",ROUND($G242*使い方と設定!$B$7*$AK242*INDEX(個性タイプマスタ!$Q$5:$AA$54,$AE242,3)/$AG242,4))</f>
        <v>0.1714</v>
      </c>
      <c r="L242" s="9">
        <f>IF($H242&lt;&gt;"OK","",ROUND($G242*使い方と設定!$B$7*$AK242*INDEX(個性タイプマスタ!$Q$5:$AA$54,$AE242,4)/$AG242,4))</f>
        <v>1.7138</v>
      </c>
      <c r="M242" s="9">
        <f>IF($H242&lt;&gt;"OK","",ROUND($G242*使い方と設定!$B$7*$AK242*INDEX(個性タイプマスタ!$Q$5:$AA$54,$AE242,5)/$AG242,4))</f>
        <v>0.55359999999999998</v>
      </c>
      <c r="N242" s="9">
        <f>IF($H242&lt;&gt;"OK","",ROUND($G242*使い方と設定!$B$7*$AK242*INDEX(個性タイプマスタ!$Q$5:$AA$54,$AE242,6)/$AG242,4))</f>
        <v>0.64100000000000001</v>
      </c>
      <c r="O242" s="9">
        <f>IF($H242&lt;&gt;"OK","",ROUND($G242*使い方と設定!$B$7*$AK242*INDEX(個性タイプマスタ!$Q$5:$AA$54,$AE242,7)/$AG242,4))</f>
        <v>0.52790000000000004</v>
      </c>
      <c r="P242" s="9">
        <f>IF($H242&lt;&gt;"OK","",ROUND($G242*使い方と設定!$B$7*$AK242*INDEX(個性タイプマスタ!$Q$5:$AA$54,$AE242,8)/$AG242,4))</f>
        <v>0.46039999999999998</v>
      </c>
      <c r="Q242" s="9">
        <f>IF($H242&lt;&gt;"OK","",ROUND($G242*使い方と設定!$B$7*$AK242*INDEX(個性タイプマスタ!$Q$5:$AA$54,$AE242,9)/$AG242,4))</f>
        <v>0.34689999999999999</v>
      </c>
      <c r="R242" s="9">
        <f>IF($H242&lt;&gt;"OK","",ROUND($G242*使い方と設定!$B$7*$AK242*INDEX(個性タイプマスタ!$Q$5:$AA$54,$AE242,10)/$AG242,4))</f>
        <v>0.75409999999999999</v>
      </c>
      <c r="S242" s="9">
        <f>IF($H242&lt;&gt;"OK","",ROUND($G242*使い方と設定!$B$7*$AK242*INDEX(個性タイプマスタ!$Q$5:$AA$54,$AE242,11)/$AG242,4))</f>
        <v>0.51829999999999998</v>
      </c>
      <c r="T242" s="9">
        <f>IF($H242&lt;&gt;"OK","",ROUND($G242*使い方と設定!$B$8*$AK242*$AH242*INDEX(属性耐性マスタ!$B$5:$G$10,$AF242,1),4))</f>
        <v>1.2800000000000001E-2</v>
      </c>
      <c r="U242" s="9">
        <f>IF($H242&lt;&gt;"OK","",ROUND($G242*使い方と設定!$B$8*$AK242*$AH242*INDEX(属性耐性マスタ!$B$5:$G$10,$AF242,2),4))</f>
        <v>1.2800000000000001E-2</v>
      </c>
      <c r="V242" s="9">
        <f>IF($H242&lt;&gt;"OK","",ROUND($G242*使い方と設定!$B$8*$AK242*$AH242*INDEX(属性耐性マスタ!$B$5:$G$10,$AF242,3),4))</f>
        <v>1.2800000000000001E-2</v>
      </c>
      <c r="W242" s="9">
        <f>IF($H242&lt;&gt;"OK","",ROUND($G242*使い方と設定!$B$8*$AK242*$AH242*INDEX(属性耐性マスタ!$B$5:$G$10,$AF242,4),4))</f>
        <v>1.2800000000000001E-2</v>
      </c>
      <c r="X242" s="9">
        <f>IF($H242&lt;&gt;"OK","",ROUND($G242*使い方と設定!$B$8*$AK242*$AH242*INDEX(属性耐性マスタ!$B$5:$G$10,$AF242,5),4))</f>
        <v>0.25590000000000002</v>
      </c>
      <c r="Y242" s="9">
        <f>IF($H242&lt;&gt;"OK","",ROUND($G242*使い方と設定!$B$8*$AK242*$AH242*INDEX(属性耐性マスタ!$B$5:$G$10,$AF242,6),4))</f>
        <v>3.4099999999999998E-2</v>
      </c>
      <c r="Z242" s="9">
        <f>IF($H242&lt;&gt;"OK","",ROUND($G242*使い方と設定!$B$9*$AK242*$AI242,4))</f>
        <v>2.3832</v>
      </c>
      <c r="AA242" s="10">
        <v>1</v>
      </c>
      <c r="AB242" s="11">
        <f t="shared" si="10"/>
        <v>7.2709999999999999</v>
      </c>
      <c r="AC242" s="11">
        <f t="shared" si="11"/>
        <v>0.3412</v>
      </c>
      <c r="AD242" s="7" t="str">
        <f>IF($H242&lt;&gt;"OK","",INDEX(個性タイプマスタ!$P$5:$P$54,$AE242))</f>
        <v>高速の魔法型。攻速と射程が優秀</v>
      </c>
      <c r="AE242">
        <f>IFERROR(MATCH(E242,個性タイプマスタ!$A$5:$A$54,0),0)</f>
        <v>3</v>
      </c>
      <c r="AF242">
        <f>IFERROR(MATCH(F242,属性耐性マスタ!$A$5:$A$10,0),0)</f>
        <v>5</v>
      </c>
      <c r="AG242">
        <f>IF(AE242=0,1,INDEX(個性タイプマスタ!$AB$5:$AB$54,AE242))</f>
        <v>10.606166666666667</v>
      </c>
      <c r="AH242">
        <f>IF(AE242=0,1,INDEX(個性タイプマスタ!$AC$5:$AC$54,AE242))</f>
        <v>0.88</v>
      </c>
      <c r="AI242">
        <f>IF(AE242=0,0,INDEX(個性タイプマスタ!$AD$5:$AD$54,AE242))</f>
        <v>0.98333333333333328</v>
      </c>
      <c r="AJ242" s="16">
        <v>40</v>
      </c>
      <c r="AK242" s="17">
        <f>IF(OR(AJ242="",AJ242&lt;1),"",POWER(使い方と設定!$E$6,AJ242-1))</f>
        <v>4.6163659884006325</v>
      </c>
    </row>
    <row r="243" spans="1:37">
      <c r="A243" t="str">
        <f>+[2]称号!A238</f>
        <v>TITLE_237</v>
      </c>
      <c r="B243" t="str">
        <f>+[2]称号!B238</f>
        <v>紫冥の小悪魔導師</v>
      </c>
      <c r="C243" t="s">
        <v>609</v>
      </c>
      <c r="D243" t="s">
        <v>610</v>
      </c>
      <c r="E243" s="2" t="str">
        <f>[1]モンスター計算!AM241</f>
        <v>魔法・狙撃</v>
      </c>
      <c r="F243" s="2" t="str">
        <f>[1]モンスター計算!C241</f>
        <v>闇</v>
      </c>
      <c r="G243" s="8">
        <v>1.1000000000000001</v>
      </c>
      <c r="H243" t="str">
        <f t="shared" si="9"/>
        <v>OK</v>
      </c>
      <c r="I243" s="9">
        <f>IF($H243&lt;&gt;"OK","",ROUND($G243*使い方と設定!$B$7*$AK243*INDEX(個性タイプマスタ!$Q$5:$AA$54,$AE243,1)/$AG243,4))</f>
        <v>0.50860000000000005</v>
      </c>
      <c r="J243" s="9">
        <f>IF($H243&lt;&gt;"OK","",ROUND($G243*使い方と設定!$B$7*$AK243*INDEX(個性タイプマスタ!$Q$5:$AA$54,$AE243,2)/$AG243,4))</f>
        <v>0.83499999999999996</v>
      </c>
      <c r="K243" s="9">
        <f>IF($H243&lt;&gt;"OK","",ROUND($G243*使い方と設定!$B$7*$AK243*INDEX(個性タイプマスタ!$Q$5:$AA$54,$AE243,3)/$AG243,4))</f>
        <v>8.9700000000000002E-2</v>
      </c>
      <c r="L243" s="9">
        <f>IF($H243&lt;&gt;"OK","",ROUND($G243*使い方と設定!$B$7*$AK243*INDEX(個性タイプマスタ!$Q$5:$AA$54,$AE243,4)/$AG243,4))</f>
        <v>1.7252000000000001</v>
      </c>
      <c r="M243" s="9">
        <f>IF($H243&lt;&gt;"OK","",ROUND($G243*使い方と設定!$B$7*$AK243*INDEX(個性タイプマスタ!$Q$5:$AA$54,$AE243,5)/$AG243,4))</f>
        <v>0.38129999999999997</v>
      </c>
      <c r="N243" s="9">
        <f>IF($H243&lt;&gt;"OK","",ROUND($G243*使い方と設定!$B$7*$AK243*INDEX(個性タイプマスタ!$Q$5:$AA$54,$AE243,6)/$AG243,4))</f>
        <v>0.46920000000000001</v>
      </c>
      <c r="O243" s="9">
        <f>IF($H243&lt;&gt;"OK","",ROUND($G243*使い方と設定!$B$7*$AK243*INDEX(個性タイプマスタ!$Q$5:$AA$54,$AE243,7)/$AG243,4))</f>
        <v>1.3663000000000001</v>
      </c>
      <c r="P243" s="9">
        <f>IF($H243&lt;&gt;"OK","",ROUND($G243*使い方と設定!$B$7*$AK243*INDEX(個性タイプマスタ!$Q$5:$AA$54,$AE243,8)/$AG243,4))</f>
        <v>0.55320000000000003</v>
      </c>
      <c r="Q243" s="9">
        <f>IF($H243&lt;&gt;"OK","",ROUND($G243*使い方と設定!$B$7*$AK243*INDEX(個性タイプマスタ!$Q$5:$AA$54,$AE243,9)/$AG243,4))</f>
        <v>0.31119999999999998</v>
      </c>
      <c r="R243" s="9">
        <f>IF($H243&lt;&gt;"OK","",ROUND($G243*使い方と設定!$B$7*$AK243*INDEX(個性タイプマスタ!$Q$5:$AA$54,$AE243,10)/$AG243,4))</f>
        <v>0.51749999999999996</v>
      </c>
      <c r="S243" s="9">
        <f>IF($H243&lt;&gt;"OK","",ROUND($G243*使い方と設定!$B$7*$AK243*INDEX(個性タイプマスタ!$Q$5:$AA$54,$AE243,11)/$AG243,4))</f>
        <v>0.85980000000000001</v>
      </c>
      <c r="T243" s="9">
        <f>IF($H243&lt;&gt;"OK","",ROUND($G243*使い方と設定!$B$8*$AK243*$AH243*INDEX(属性耐性マスタ!$B$5:$G$10,$AF243,1),4))</f>
        <v>1.1599999999999999E-2</v>
      </c>
      <c r="U243" s="9">
        <f>IF($H243&lt;&gt;"OK","",ROUND($G243*使い方と設定!$B$8*$AK243*$AH243*INDEX(属性耐性マスタ!$B$5:$G$10,$AF243,2),4))</f>
        <v>1.1599999999999999E-2</v>
      </c>
      <c r="V243" s="9">
        <f>IF($H243&lt;&gt;"OK","",ROUND($G243*使い方と設定!$B$8*$AK243*$AH243*INDEX(属性耐性マスタ!$B$5:$G$10,$AF243,3),4))</f>
        <v>1.1599999999999999E-2</v>
      </c>
      <c r="W243" s="9">
        <f>IF($H243&lt;&gt;"OK","",ROUND($G243*使い方と設定!$B$8*$AK243*$AH243*INDEX(属性耐性マスタ!$B$5:$G$10,$AF243,4),4))</f>
        <v>1.1599999999999999E-2</v>
      </c>
      <c r="X243" s="9">
        <f>IF($H243&lt;&gt;"OK","",ROUND($G243*使い方と設定!$B$8*$AK243*$AH243*INDEX(属性耐性マスタ!$B$5:$G$10,$AF243,5),4))</f>
        <v>3.09E-2</v>
      </c>
      <c r="Y243" s="9">
        <f>IF($H243&lt;&gt;"OK","",ROUND($G243*使い方と設定!$B$8*$AK243*$AH243*INDEX(属性耐性マスタ!$B$5:$G$10,$AF243,6),4))</f>
        <v>0.2316</v>
      </c>
      <c r="Z243" s="9">
        <f>IF($H243&lt;&gt;"OK","",ROUND($G243*使い方と設定!$B$9*$AK243*$AI243,4))</f>
        <v>2.3908999999999998</v>
      </c>
      <c r="AA243" s="10">
        <v>0.9</v>
      </c>
      <c r="AB243" s="11">
        <f t="shared" si="10"/>
        <v>7.617</v>
      </c>
      <c r="AC243" s="11">
        <f t="shared" si="11"/>
        <v>0.30890000000000001</v>
      </c>
      <c r="AD243" s="7" t="str">
        <f>IF($H243&lt;&gt;"OK","",INDEX(個性タイプマスタ!$P$5:$P$54,$AE243))</f>
        <v>長射程・高会心。接近戦に弱い</v>
      </c>
      <c r="AE243">
        <f>IFERROR(MATCH(E243,個性タイプマスタ!$A$5:$A$54,0),0)</f>
        <v>16</v>
      </c>
      <c r="AF243">
        <f>IFERROR(MATCH(F243,属性耐性マスタ!$A$5:$A$10,0),0)</f>
        <v>6</v>
      </c>
      <c r="AG243">
        <f>IF(AE243=0,1,INDEX(個性タイプマスタ!$AB$5:$AB$54,AE243))</f>
        <v>11.038166666666667</v>
      </c>
      <c r="AH243">
        <f>IF(AE243=0,1,INDEX(個性タイプマスタ!$AC$5:$AC$54,AE243))</f>
        <v>0.76</v>
      </c>
      <c r="AI243">
        <f>IF(AE243=0,0,INDEX(個性タイプマスタ!$AD$5:$AD$54,AE243))</f>
        <v>0.94166666666666665</v>
      </c>
      <c r="AJ243" s="16">
        <v>40</v>
      </c>
      <c r="AK243" s="17">
        <f>IF(OR(AJ243="",AJ243&lt;1),"",POWER(使い方と設定!$E$6,AJ243-1))</f>
        <v>4.6163659884006325</v>
      </c>
    </row>
    <row r="244" spans="1:37">
      <c r="A244" t="str">
        <f>+[2]称号!A239</f>
        <v>TITLE_238</v>
      </c>
      <c r="B244" t="str">
        <f>+[2]称号!B239</f>
        <v>盾殻の結界重騎</v>
      </c>
      <c r="C244" t="s">
        <v>611</v>
      </c>
      <c r="D244" t="s">
        <v>612</v>
      </c>
      <c r="E244" s="2" t="str">
        <f>[1]モンスター計算!AM242</f>
        <v>近接・捨身</v>
      </c>
      <c r="F244" s="2" t="str">
        <f>[1]モンスター計算!C242</f>
        <v>光</v>
      </c>
      <c r="G244" s="8">
        <v>1.1499999999999999</v>
      </c>
      <c r="H244" t="str">
        <f t="shared" si="9"/>
        <v>OK</v>
      </c>
      <c r="I244" s="9">
        <f>IF($H244&lt;&gt;"OK","",ROUND($G244*使い方と設定!$B$7*$AK244*INDEX(個性タイプマスタ!$Q$5:$AA$54,$AE244,1)/$AG244,4))</f>
        <v>0.59109999999999996</v>
      </c>
      <c r="J244" s="9">
        <f>IF($H244&lt;&gt;"OK","",ROUND($G244*使い方と設定!$B$7*$AK244*INDEX(個性タイプマスタ!$Q$5:$AA$54,$AE244,2)/$AG244,4))</f>
        <v>0.25480000000000003</v>
      </c>
      <c r="K244" s="9">
        <f>IF($H244&lt;&gt;"OK","",ROUND($G244*使い方と設定!$B$7*$AK244*INDEX(個性タイプマスタ!$Q$5:$AA$54,$AE244,3)/$AG244,4))</f>
        <v>2.3161</v>
      </c>
      <c r="L244" s="9">
        <f>IF($H244&lt;&gt;"OK","",ROUND($G244*使い方と設定!$B$7*$AK244*INDEX(個性タイプマスタ!$Q$5:$AA$54,$AE244,4)/$AG244,4))</f>
        <v>0.1158</v>
      </c>
      <c r="M244" s="9">
        <f>IF($H244&lt;&gt;"OK","",ROUND($G244*使い方と設定!$B$7*$AK244*INDEX(個性タイプマスタ!$Q$5:$AA$54,$AE244,5)/$AG244,4))</f>
        <v>0.43309999999999998</v>
      </c>
      <c r="N244" s="9">
        <f>IF($H244&lt;&gt;"OK","",ROUND($G244*使い方と設定!$B$7*$AK244*INDEX(個性タイプマスタ!$Q$5:$AA$54,$AE244,6)/$AG244,4))</f>
        <v>0.441</v>
      </c>
      <c r="O244" s="9">
        <f>IF($H244&lt;&gt;"OK","",ROUND($G244*使い方と設定!$B$7*$AK244*INDEX(個性タイプマスタ!$Q$5:$AA$54,$AE244,7)/$AG244,4))</f>
        <v>0.81530000000000002</v>
      </c>
      <c r="P244" s="9">
        <f>IF($H244&lt;&gt;"OK","",ROUND($G244*使い方と設定!$B$7*$AK244*INDEX(個性タイプマスタ!$Q$5:$AA$54,$AE244,8)/$AG244,4))</f>
        <v>0.78280000000000005</v>
      </c>
      <c r="Q244" s="9">
        <f>IF($H244&lt;&gt;"OK","",ROUND($G244*使い方と設定!$B$7*$AK244*INDEX(個性タイプマスタ!$Q$5:$AA$54,$AE244,9)/$AG244,4))</f>
        <v>0.58089999999999997</v>
      </c>
      <c r="R244" s="9">
        <f>IF($H244&lt;&gt;"OK","",ROUND($G244*使い方と設定!$B$7*$AK244*INDEX(個性タイプマスタ!$Q$5:$AA$54,$AE244,10)/$AG244,4))</f>
        <v>1.0098</v>
      </c>
      <c r="S244" s="9">
        <f>IF($H244&lt;&gt;"OK","",ROUND($G244*使い方と設定!$B$7*$AK244*INDEX(個性タイプマスタ!$Q$5:$AA$54,$AE244,11)/$AG244,4))</f>
        <v>0.62260000000000004</v>
      </c>
      <c r="T244" s="9">
        <f>IF($H244&lt;&gt;"OK","",ROUND($G244*使い方と設定!$B$8*$AK244*$AH244*INDEX(属性耐性マスタ!$B$5:$G$10,$AF244,1),4))</f>
        <v>8.6E-3</v>
      </c>
      <c r="U244" s="9">
        <f>IF($H244&lt;&gt;"OK","",ROUND($G244*使い方と設定!$B$8*$AK244*$AH244*INDEX(属性耐性マスタ!$B$5:$G$10,$AF244,2),4))</f>
        <v>8.6E-3</v>
      </c>
      <c r="V244" s="9">
        <f>IF($H244&lt;&gt;"OK","",ROUND($G244*使い方と設定!$B$8*$AK244*$AH244*INDEX(属性耐性マスタ!$B$5:$G$10,$AF244,3),4))</f>
        <v>8.6E-3</v>
      </c>
      <c r="W244" s="9">
        <f>IF($H244&lt;&gt;"OK","",ROUND($G244*使い方と設定!$B$8*$AK244*$AH244*INDEX(属性耐性マスタ!$B$5:$G$10,$AF244,4),4))</f>
        <v>8.6E-3</v>
      </c>
      <c r="X244" s="9">
        <f>IF($H244&lt;&gt;"OK","",ROUND($G244*使い方と設定!$B$8*$AK244*$AH244*INDEX(属性耐性マスタ!$B$5:$G$10,$AF244,5),4))</f>
        <v>0.17199999999999999</v>
      </c>
      <c r="Y244" s="9">
        <f>IF($H244&lt;&gt;"OK","",ROUND($G244*使い方と設定!$B$8*$AK244*$AH244*INDEX(属性耐性マスタ!$B$5:$G$10,$AF244,6),4))</f>
        <v>2.29E-2</v>
      </c>
      <c r="Z244" s="9">
        <f>IF($H244&lt;&gt;"OK","",ROUND($G244*使い方と設定!$B$9*$AK244*$AI244,4))</f>
        <v>2.8534999999999999</v>
      </c>
      <c r="AA244" s="10">
        <v>0.55000000000000004</v>
      </c>
      <c r="AB244" s="11">
        <f t="shared" si="10"/>
        <v>7.9633000000000003</v>
      </c>
      <c r="AC244" s="11">
        <f t="shared" si="11"/>
        <v>0.2293</v>
      </c>
      <c r="AD244" s="7" t="str">
        <f>IF($H244&lt;&gt;"OK","",INDEX(個性タイプマスタ!$P$5:$P$54,$AE244))</f>
        <v>極端な低耐久・攻撃重視</v>
      </c>
      <c r="AE244">
        <f>IFERROR(MATCH(E244,個性タイプマスタ!$A$5:$A$54,0),0)</f>
        <v>42</v>
      </c>
      <c r="AF244">
        <f>IFERROR(MATCH(F244,属性耐性マスタ!$A$5:$A$10,0),0)</f>
        <v>5</v>
      </c>
      <c r="AG244">
        <f>IF(AE244=0,1,INDEX(個性タイプマスタ!$AB$5:$AB$54,AE244))</f>
        <v>8.5954999999999995</v>
      </c>
      <c r="AH244">
        <f>IF(AE244=0,1,INDEX(個性タイプマスタ!$AC$5:$AC$54,AE244))</f>
        <v>0.54</v>
      </c>
      <c r="AI244">
        <f>IF(AE244=0,0,INDEX(個性タイプマスタ!$AD$5:$AD$54,AE244))</f>
        <v>1.075</v>
      </c>
      <c r="AJ244" s="16">
        <v>40</v>
      </c>
      <c r="AK244" s="17">
        <f>IF(OR(AJ244="",AJ244&lt;1),"",POWER(使い方と設定!$E$6,AJ244-1))</f>
        <v>4.6163659884006325</v>
      </c>
    </row>
    <row r="245" spans="1:37">
      <c r="A245" t="str">
        <f>+[2]称号!A240</f>
        <v>TITLE_239</v>
      </c>
      <c r="B245" t="str">
        <f>+[2]称号!B240</f>
        <v>紋章を巡る蒼霊灯</v>
      </c>
      <c r="C245" t="s">
        <v>613</v>
      </c>
      <c r="D245" t="s">
        <v>614</v>
      </c>
      <c r="E245" s="2" t="str">
        <f>[1]モンスター計算!AM243</f>
        <v>近接・槍盾</v>
      </c>
      <c r="F245" s="2" t="str">
        <f>[1]モンスター計算!C243</f>
        <v>光</v>
      </c>
      <c r="G245" s="8">
        <v>1.2</v>
      </c>
      <c r="H245" t="str">
        <f t="shared" si="9"/>
        <v>OK</v>
      </c>
      <c r="I245" s="9">
        <f>IF($H245&lt;&gt;"OK","",ROUND($G245*使い方と設定!$B$7*$AK245*INDEX(個性タイプマスタ!$Q$5:$AA$54,$AE245,1)/$AG245,4))</f>
        <v>1.3454999999999999</v>
      </c>
      <c r="J245" s="9">
        <f>IF($H245&lt;&gt;"OK","",ROUND($G245*使い方と設定!$B$7*$AK245*INDEX(個性タイプマスタ!$Q$5:$AA$54,$AE245,2)/$AG245,4))</f>
        <v>0.37419999999999998</v>
      </c>
      <c r="K245" s="9">
        <f>IF($H245&lt;&gt;"OK","",ROUND($G245*使い方と設定!$B$7*$AK245*INDEX(個性タイプマスタ!$Q$5:$AA$54,$AE245,3)/$AG245,4))</f>
        <v>2.0251000000000001</v>
      </c>
      <c r="L245" s="9">
        <f>IF($H245&lt;&gt;"OK","",ROUND($G245*使い方と設定!$B$7*$AK245*INDEX(個性タイプマスタ!$Q$5:$AA$54,$AE245,4)/$AG245,4))</f>
        <v>0.158</v>
      </c>
      <c r="M245" s="9">
        <f>IF($H245&lt;&gt;"OK","",ROUND($G245*使い方と設定!$B$7*$AK245*INDEX(個性タイプマスタ!$Q$5:$AA$54,$AE245,5)/$AG245,4))</f>
        <v>1.1636</v>
      </c>
      <c r="N245" s="9">
        <f>IF($H245&lt;&gt;"OK","",ROUND($G245*使い方と設定!$B$7*$AK245*INDEX(個性タイプマスタ!$Q$5:$AA$54,$AE245,6)/$AG245,4))</f>
        <v>0.6472</v>
      </c>
      <c r="O245" s="9">
        <f>IF($H245&lt;&gt;"OK","",ROUND($G245*使い方と設定!$B$7*$AK245*INDEX(個性タイプマスタ!$Q$5:$AA$54,$AE245,7)/$AG245,4))</f>
        <v>0.31190000000000001</v>
      </c>
      <c r="P245" s="9">
        <f>IF($H245&lt;&gt;"OK","",ROUND($G245*使い方と設定!$B$7*$AK245*INDEX(個性タイプマスタ!$Q$5:$AA$54,$AE245,8)/$AG245,4))</f>
        <v>0.502</v>
      </c>
      <c r="Q245" s="9">
        <f>IF($H245&lt;&gt;"OK","",ROUND($G245*使い方と設定!$B$7*$AK245*INDEX(個性タイプマスタ!$Q$5:$AA$54,$AE245,9)/$AG245,4))</f>
        <v>0.31190000000000001</v>
      </c>
      <c r="R245" s="9">
        <f>IF($H245&lt;&gt;"OK","",ROUND($G245*使い方と設定!$B$7*$AK245*INDEX(個性タイプマスタ!$Q$5:$AA$54,$AE245,10)/$AG245,4))</f>
        <v>0.59130000000000005</v>
      </c>
      <c r="S245" s="9">
        <f>IF($H245&lt;&gt;"OK","",ROUND($G245*使い方と設定!$B$7*$AK245*INDEX(個性タイプマスタ!$Q$5:$AA$54,$AE245,11)/$AG245,4))</f>
        <v>0.87890000000000001</v>
      </c>
      <c r="T245" s="9">
        <f>IF($H245&lt;&gt;"OK","",ROUND($G245*使い方と設定!$B$8*$AK245*$AH245*INDEX(属性耐性マスタ!$B$5:$G$10,$AF245,1),4))</f>
        <v>2.2599999999999999E-2</v>
      </c>
      <c r="U245" s="9">
        <f>IF($H245&lt;&gt;"OK","",ROUND($G245*使い方と設定!$B$8*$AK245*$AH245*INDEX(属性耐性マスタ!$B$5:$G$10,$AF245,2),4))</f>
        <v>2.2599999999999999E-2</v>
      </c>
      <c r="V245" s="9">
        <f>IF($H245&lt;&gt;"OK","",ROUND($G245*使い方と設定!$B$8*$AK245*$AH245*INDEX(属性耐性マスタ!$B$5:$G$10,$AF245,3),4))</f>
        <v>2.2599999999999999E-2</v>
      </c>
      <c r="W245" s="9">
        <f>IF($H245&lt;&gt;"OK","",ROUND($G245*使い方と設定!$B$8*$AK245*$AH245*INDEX(属性耐性マスタ!$B$5:$G$10,$AF245,4),4))</f>
        <v>2.2599999999999999E-2</v>
      </c>
      <c r="X245" s="9">
        <f>IF($H245&lt;&gt;"OK","",ROUND($G245*使い方と設定!$B$8*$AK245*$AH245*INDEX(属性耐性マスタ!$B$5:$G$10,$AF245,5),4))</f>
        <v>0.45200000000000001</v>
      </c>
      <c r="Y245" s="9">
        <f>IF($H245&lt;&gt;"OK","",ROUND($G245*使い方と設定!$B$8*$AK245*$AH245*INDEX(属性耐性マスタ!$B$5:$G$10,$AF245,6),4))</f>
        <v>6.0299999999999999E-2</v>
      </c>
      <c r="Z245" s="9">
        <f>IF($H245&lt;&gt;"OK","",ROUND($G245*使い方と設定!$B$9*$AK245*$AI245,4))</f>
        <v>2.4698000000000002</v>
      </c>
      <c r="AA245" s="10">
        <v>0.5</v>
      </c>
      <c r="AB245" s="11">
        <f t="shared" si="10"/>
        <v>8.3095999999999997</v>
      </c>
      <c r="AC245" s="11">
        <f t="shared" si="11"/>
        <v>0.60270000000000001</v>
      </c>
      <c r="AD245" s="7" t="str">
        <f>IF($H245&lt;&gt;"OK","",INDEX(個性タイプマスタ!$P$5:$P$54,$AE245))</f>
        <v>長い射程と物防を両立</v>
      </c>
      <c r="AE245">
        <f>IFERROR(MATCH(E245,個性タイプマスタ!$A$5:$A$54,0),0)</f>
        <v>49</v>
      </c>
      <c r="AF245">
        <f>IFERROR(MATCH(F245,属性耐性マスタ!$A$5:$A$10,0),0)</f>
        <v>5</v>
      </c>
      <c r="AG245">
        <f>IF(AE245=0,1,INDEX(個性タイプマスタ!$AB$5:$AB$54,AE245))</f>
        <v>10.258166666666668</v>
      </c>
      <c r="AH245">
        <f>IF(AE245=0,1,INDEX(個性タイプマスタ!$AC$5:$AC$54,AE245))</f>
        <v>1.3599999999999999</v>
      </c>
      <c r="AI245">
        <f>IF(AE245=0,0,INDEX(個性タイプマスタ!$AD$5:$AD$54,AE245))</f>
        <v>0.89166666666666661</v>
      </c>
      <c r="AJ245" s="16">
        <v>40</v>
      </c>
      <c r="AK245" s="17">
        <f>IF(OR(AJ245="",AJ245&lt;1),"",POWER(使い方と設定!$E$6,AJ245-1))</f>
        <v>4.6163659884006325</v>
      </c>
    </row>
    <row r="246" spans="1:37">
      <c r="A246" t="str">
        <f>+[2]称号!A241</f>
        <v>TITLE_240</v>
      </c>
      <c r="B246" t="str">
        <f>+[2]称号!B241</f>
        <v>深層結界の統括機関</v>
      </c>
      <c r="C246" t="s">
        <v>615</v>
      </c>
      <c r="D246" t="s">
        <v>616</v>
      </c>
      <c r="E246" s="2" t="str">
        <f>[1]モンスター計算!AM244</f>
        <v>魔法・火力</v>
      </c>
      <c r="F246" s="2" t="str">
        <f>[1]モンスター計算!C244</f>
        <v>光</v>
      </c>
      <c r="G246" s="8">
        <v>1.25</v>
      </c>
      <c r="H246" t="str">
        <f t="shared" si="9"/>
        <v>OK</v>
      </c>
      <c r="I246" s="9">
        <f>IF($H246&lt;&gt;"OK","",ROUND($G246*使い方と設定!$B$7*$AK246*INDEX(個性タイプマスタ!$Q$5:$AA$54,$AE246,1)/$AG246,4))</f>
        <v>0.70940000000000003</v>
      </c>
      <c r="J246" s="9">
        <f>IF($H246&lt;&gt;"OK","",ROUND($G246*使い方と設定!$B$7*$AK246*INDEX(個性タイプマスタ!$Q$5:$AA$54,$AE246,2)/$AG246,4))</f>
        <v>1.0458000000000001</v>
      </c>
      <c r="K246" s="9">
        <f>IF($H246&lt;&gt;"OK","",ROUND($G246*使い方と設定!$B$7*$AK246*INDEX(個性タイプマスタ!$Q$5:$AA$54,$AE246,3)/$AG246,4))</f>
        <v>0.20669999999999999</v>
      </c>
      <c r="L246" s="9">
        <f>IF($H246&lt;&gt;"OK","",ROUND($G246*使い方と設定!$B$7*$AK246*INDEX(個性タイプマスタ!$Q$5:$AA$54,$AE246,4)/$AG246,4))</f>
        <v>2.0669</v>
      </c>
      <c r="M246" s="9">
        <f>IF($H246&lt;&gt;"OK","",ROUND($G246*使い方と設定!$B$7*$AK246*INDEX(個性タイプマスタ!$Q$5:$AA$54,$AE246,5)/$AG246,4))</f>
        <v>0.52710000000000001</v>
      </c>
      <c r="N246" s="9">
        <f>IF($H246&lt;&gt;"OK","",ROUND($G246*使い方と設定!$B$7*$AK246*INDEX(個性タイプマスタ!$Q$5:$AA$54,$AE246,6)/$AG246,4))</f>
        <v>0.56220000000000003</v>
      </c>
      <c r="O246" s="9">
        <f>IF($H246&lt;&gt;"OK","",ROUND($G246*使い方と設定!$B$7*$AK246*INDEX(個性タイプマスタ!$Q$5:$AA$54,$AE246,7)/$AG246,4))</f>
        <v>1.0004</v>
      </c>
      <c r="P246" s="9">
        <f>IF($H246&lt;&gt;"OK","",ROUND($G246*使い方と設定!$B$7*$AK246*INDEX(個性タイプマスタ!$Q$5:$AA$54,$AE246,8)/$AG246,4))</f>
        <v>0.59109999999999996</v>
      </c>
      <c r="Q246" s="9">
        <f>IF($H246&lt;&gt;"OK","",ROUND($G246*使い方と設定!$B$7*$AK246*INDEX(個性タイプマスタ!$Q$5:$AA$54,$AE246,9)/$AG246,4))</f>
        <v>0.40010000000000001</v>
      </c>
      <c r="R246" s="9">
        <f>IF($H246&lt;&gt;"OK","",ROUND($G246*使い方と設定!$B$7*$AK246*INDEX(個性タイプマスタ!$Q$5:$AA$54,$AE246,10)/$AG246,4))</f>
        <v>0.90939999999999999</v>
      </c>
      <c r="S246" s="9">
        <f>IF($H246&lt;&gt;"OK","",ROUND($G246*使い方と設定!$B$7*$AK246*INDEX(個性タイプマスタ!$Q$5:$AA$54,$AE246,11)/$AG246,4))</f>
        <v>0.63660000000000005</v>
      </c>
      <c r="T246" s="9">
        <f>IF($H246&lt;&gt;"OK","",ROUND($G246*使い方と設定!$B$8*$AK246*$AH246*INDEX(属性耐性マスタ!$B$5:$G$10,$AF246,1),4))</f>
        <v>1.4500000000000001E-2</v>
      </c>
      <c r="U246" s="9">
        <f>IF($H246&lt;&gt;"OK","",ROUND($G246*使い方と設定!$B$8*$AK246*$AH246*INDEX(属性耐性マスタ!$B$5:$G$10,$AF246,2),4))</f>
        <v>1.4500000000000001E-2</v>
      </c>
      <c r="V246" s="9">
        <f>IF($H246&lt;&gt;"OK","",ROUND($G246*使い方と設定!$B$8*$AK246*$AH246*INDEX(属性耐性マスタ!$B$5:$G$10,$AF246,3),4))</f>
        <v>1.4500000000000001E-2</v>
      </c>
      <c r="W246" s="9">
        <f>IF($H246&lt;&gt;"OK","",ROUND($G246*使い方と設定!$B$8*$AK246*$AH246*INDEX(属性耐性マスタ!$B$5:$G$10,$AF246,4),4))</f>
        <v>1.4500000000000001E-2</v>
      </c>
      <c r="X246" s="9">
        <f>IF($H246&lt;&gt;"OK","",ROUND($G246*使い方と設定!$B$8*$AK246*$AH246*INDEX(属性耐性マスタ!$B$5:$G$10,$AF246,5),4))</f>
        <v>0.2908</v>
      </c>
      <c r="Y246" s="9">
        <f>IF($H246&lt;&gt;"OK","",ROUND($G246*使い方と設定!$B$8*$AK246*$AH246*INDEX(属性耐性マスタ!$B$5:$G$10,$AF246,6),4))</f>
        <v>3.8800000000000001E-2</v>
      </c>
      <c r="Z246" s="9">
        <f>IF($H246&lt;&gt;"OK","",ROUND($G246*使い方と設定!$B$9*$AK246*$AI246,4))</f>
        <v>2.7890999999999999</v>
      </c>
      <c r="AA246" s="10">
        <v>0.25</v>
      </c>
      <c r="AB246" s="11">
        <f t="shared" si="10"/>
        <v>8.6556999999999995</v>
      </c>
      <c r="AC246" s="11">
        <f t="shared" si="11"/>
        <v>0.3876</v>
      </c>
      <c r="AD246" s="7" t="str">
        <f>IF($H246&lt;&gt;"OK","",INDEX(個性タイプマスタ!$P$5:$P$54,$AE246))</f>
        <v>火力偏重。反撃に弱い</v>
      </c>
      <c r="AE246">
        <f>IFERROR(MATCH(E246,個性タイプマスタ!$A$5:$A$54,0),0)</f>
        <v>9</v>
      </c>
      <c r="AF246">
        <f>IFERROR(MATCH(F246,属性耐性マスタ!$A$5:$A$10,0),0)</f>
        <v>5</v>
      </c>
      <c r="AG246">
        <f>IF(AE246=0,1,INDEX(個性タイプマスタ!$AB$5:$AB$54,AE246))</f>
        <v>10.4695</v>
      </c>
      <c r="AH246">
        <f>IF(AE246=0,1,INDEX(個性タイプマスタ!$AC$5:$AC$54,AE246))</f>
        <v>0.84</v>
      </c>
      <c r="AI246">
        <f>IF(AE246=0,0,INDEX(個性タイプマスタ!$AD$5:$AD$54,AE246))</f>
        <v>0.96666666666666667</v>
      </c>
      <c r="AJ246" s="16">
        <v>40</v>
      </c>
      <c r="AK246" s="17">
        <f>IF(OR(AJ246="",AJ246&lt;1),"",POWER(使い方と設定!$E$6,AJ246-1))</f>
        <v>4.6163659884006325</v>
      </c>
    </row>
    <row r="247" spans="1:37">
      <c r="A247" t="str">
        <f>+[2]称号!A242</f>
        <v>TITLE_241</v>
      </c>
      <c r="B247" t="str">
        <f>+[2]称号!B242</f>
        <v>断層を歩む骸刻兵</v>
      </c>
      <c r="C247" t="s">
        <v>617</v>
      </c>
      <c r="D247" t="s">
        <v>618</v>
      </c>
      <c r="E247" s="2" t="str">
        <f>[1]モンスター計算!AM245</f>
        <v>魔法・均衡</v>
      </c>
      <c r="F247" s="2" t="str">
        <f>[1]モンスター計算!C245</f>
        <v>闇</v>
      </c>
      <c r="G247" s="8">
        <v>1</v>
      </c>
      <c r="H247" t="str">
        <f t="shared" si="9"/>
        <v>OK</v>
      </c>
      <c r="I247" s="9">
        <f>IF($H247&lt;&gt;"OK","",ROUND($G247*使い方と設定!$B$7*$AK247*INDEX(個性タイプマスタ!$Q$5:$AA$54,$AE247,1)/$AG247,4))</f>
        <v>0.73229999999999995</v>
      </c>
      <c r="J247" s="9">
        <f>IF($H247&lt;&gt;"OK","",ROUND($G247*使い方と設定!$B$7*$AK247*INDEX(個性タイプマスタ!$Q$5:$AA$54,$AE247,2)/$AG247,4))</f>
        <v>0.79600000000000004</v>
      </c>
      <c r="K247" s="9">
        <f>IF($H247&lt;&gt;"OK","",ROUND($G247*使い方と設定!$B$7*$AK247*INDEX(個性タイプマスタ!$Q$5:$AA$54,$AE247,3)/$AG247,4))</f>
        <v>0.18090000000000001</v>
      </c>
      <c r="L247" s="9">
        <f>IF($H247&lt;&gt;"OK","",ROUND($G247*使い方と設定!$B$7*$AK247*INDEX(個性タイプマスタ!$Q$5:$AA$54,$AE247,4)/$AG247,4))</f>
        <v>1.8090999999999999</v>
      </c>
      <c r="M247" s="9">
        <f>IF($H247&lt;&gt;"OK","",ROUND($G247*使い方と設定!$B$7*$AK247*INDEX(個性タイプマスタ!$Q$5:$AA$54,$AE247,5)/$AG247,4))</f>
        <v>0.58430000000000004</v>
      </c>
      <c r="N247" s="9">
        <f>IF($H247&lt;&gt;"OK","",ROUND($G247*使い方と設定!$B$7*$AK247*INDEX(個性タイプマスタ!$Q$5:$AA$54,$AE247,6)/$AG247,4))</f>
        <v>0.64580000000000004</v>
      </c>
      <c r="O247" s="9">
        <f>IF($H247&lt;&gt;"OK","",ROUND($G247*使い方と設定!$B$7*$AK247*INDEX(個性タイプマスタ!$Q$5:$AA$54,$AE247,7)/$AG247,4))</f>
        <v>0.39800000000000002</v>
      </c>
      <c r="P247" s="9">
        <f>IF($H247&lt;&gt;"OK","",ROUND($G247*使い方と設定!$B$7*$AK247*INDEX(個性タイプマスタ!$Q$5:$AA$54,$AE247,8)/$AG247,4))</f>
        <v>0.47039999999999998</v>
      </c>
      <c r="Q247" s="9">
        <f>IF($H247&lt;&gt;"OK","",ROUND($G247*使い方と設定!$B$7*$AK247*INDEX(個性タイプマスタ!$Q$5:$AA$54,$AE247,9)/$AG247,4))</f>
        <v>0.31840000000000002</v>
      </c>
      <c r="R247" s="9">
        <f>IF($H247&lt;&gt;"OK","",ROUND($G247*使い方と設定!$B$7*$AK247*INDEX(個性タイプマスタ!$Q$5:$AA$54,$AE247,10)/$AG247,4))</f>
        <v>0.75980000000000003</v>
      </c>
      <c r="S247" s="9">
        <f>IF($H247&lt;&gt;"OK","",ROUND($G247*使い方と設定!$B$7*$AK247*INDEX(個性タイプマスタ!$Q$5:$AA$54,$AE247,11)/$AG247,4))</f>
        <v>0.50649999999999995</v>
      </c>
      <c r="T247" s="9">
        <f>IF($H247&lt;&gt;"OK","",ROUND($G247*使い方と設定!$B$8*$AK247*$AH247*INDEX(属性耐性マスタ!$B$5:$G$10,$AF247,1),4))</f>
        <v>1.44E-2</v>
      </c>
      <c r="U247" s="9">
        <f>IF($H247&lt;&gt;"OK","",ROUND($G247*使い方と設定!$B$8*$AK247*$AH247*INDEX(属性耐性マスタ!$B$5:$G$10,$AF247,2),4))</f>
        <v>1.44E-2</v>
      </c>
      <c r="V247" s="9">
        <f>IF($H247&lt;&gt;"OK","",ROUND($G247*使い方と設定!$B$8*$AK247*$AH247*INDEX(属性耐性マスタ!$B$5:$G$10,$AF247,3),4))</f>
        <v>1.44E-2</v>
      </c>
      <c r="W247" s="9">
        <f>IF($H247&lt;&gt;"OK","",ROUND($G247*使い方と設定!$B$8*$AK247*$AH247*INDEX(属性耐性マスタ!$B$5:$G$10,$AF247,4),4))</f>
        <v>1.44E-2</v>
      </c>
      <c r="X247" s="9">
        <f>IF($H247&lt;&gt;"OK","",ROUND($G247*使い方と設定!$B$8*$AK247*$AH247*INDEX(属性耐性マスタ!$B$5:$G$10,$AF247,5),4))</f>
        <v>3.8399999999999997E-2</v>
      </c>
      <c r="Y247" s="9">
        <f>IF($H247&lt;&gt;"OK","",ROUND($G247*使い方と設定!$B$8*$AK247*$AH247*INDEX(属性耐性マスタ!$B$5:$G$10,$AF247,6),4))</f>
        <v>0.28810000000000002</v>
      </c>
      <c r="Z247" s="9">
        <f>IF($H247&lt;&gt;"OK","",ROUND($G247*使い方と設定!$B$9*$AK247*$AI247,4))</f>
        <v>2.2404999999999999</v>
      </c>
      <c r="AA247" s="10">
        <v>1</v>
      </c>
      <c r="AB247" s="11">
        <f t="shared" si="10"/>
        <v>7.2015000000000002</v>
      </c>
      <c r="AC247" s="11">
        <f t="shared" si="11"/>
        <v>0.3841</v>
      </c>
      <c r="AD247" s="7" t="str">
        <f>IF($H247&lt;&gt;"OK","",INDEX(個性タイプマスタ!$P$5:$P$54,$AE247))</f>
        <v>標準的な魔法型</v>
      </c>
      <c r="AE247">
        <f>IFERROR(MATCH(E247,個性タイプマスタ!$A$5:$A$54,0),0)</f>
        <v>2</v>
      </c>
      <c r="AF247">
        <f>IFERROR(MATCH(F247,属性耐性マスタ!$A$5:$A$10,0),0)</f>
        <v>6</v>
      </c>
      <c r="AG247">
        <f>IF(AE247=0,1,INDEX(個性タイプマスタ!$AB$5:$AB$54,AE247))</f>
        <v>9.952</v>
      </c>
      <c r="AH247">
        <f>IF(AE247=0,1,INDEX(個性タイプマスタ!$AC$5:$AC$54,AE247))</f>
        <v>1</v>
      </c>
      <c r="AI247">
        <f>IF(AE247=0,0,INDEX(個性タイプマスタ!$AD$5:$AD$54,AE247))</f>
        <v>0.93333333333333335</v>
      </c>
      <c r="AJ247" s="16">
        <v>41</v>
      </c>
      <c r="AK247" s="17">
        <f>IF(OR(AJ247="",AJ247&lt;1),"",POWER(使い方と設定!$E$6,AJ247-1))</f>
        <v>4.8010206279366594</v>
      </c>
    </row>
    <row r="248" spans="1:37">
      <c r="A248" t="str">
        <f>+[2]称号!A243</f>
        <v>TITLE_242</v>
      </c>
      <c r="B248" t="str">
        <f>+[2]称号!B243</f>
        <v>瞬界を裂く紅閃鬼</v>
      </c>
      <c r="C248" t="s">
        <v>619</v>
      </c>
      <c r="D248" t="s">
        <v>620</v>
      </c>
      <c r="E248" s="2" t="str">
        <f>[1]モンスター計算!AM246</f>
        <v>魔法・連射</v>
      </c>
      <c r="F248" s="2" t="str">
        <f>[1]モンスター計算!C246</f>
        <v>雷</v>
      </c>
      <c r="G248" s="8">
        <v>1.05</v>
      </c>
      <c r="H248" t="str">
        <f t="shared" si="9"/>
        <v>OK</v>
      </c>
      <c r="I248" s="9">
        <f>IF($H248&lt;&gt;"OK","",ROUND($G248*使い方と設定!$B$7*$AK248*INDEX(個性タイプマスタ!$Q$5:$AA$54,$AE248,1)/$AG248,4))</f>
        <v>0.61950000000000005</v>
      </c>
      <c r="J248" s="9">
        <f>IF($H248&lt;&gt;"OK","",ROUND($G248*使い方と設定!$B$7*$AK248*INDEX(個性タイプマスタ!$Q$5:$AA$54,$AE248,2)/$AG248,4))</f>
        <v>0.79530000000000001</v>
      </c>
      <c r="K248" s="9">
        <f>IF($H248&lt;&gt;"OK","",ROUND($G248*使い方と設定!$B$7*$AK248*INDEX(個性タイプマスタ!$Q$5:$AA$54,$AE248,3)/$AG248,4))</f>
        <v>0.1237</v>
      </c>
      <c r="L248" s="9">
        <f>IF($H248&lt;&gt;"OK","",ROUND($G248*使い方と設定!$B$7*$AK248*INDEX(個性タイプマスタ!$Q$5:$AA$54,$AE248,4)/$AG248,4))</f>
        <v>1.9027000000000001</v>
      </c>
      <c r="M248" s="9">
        <f>IF($H248&lt;&gt;"OK","",ROUND($G248*使い方と設定!$B$7*$AK248*INDEX(個性タイプマスタ!$Q$5:$AA$54,$AE248,5)/$AG248,4))</f>
        <v>0.46579999999999999</v>
      </c>
      <c r="N248" s="9">
        <f>IF($H248&lt;&gt;"OK","",ROUND($G248*使い方と設定!$B$7*$AK248*INDEX(個性タイプマスタ!$Q$5:$AA$54,$AE248,6)/$AG248,4))</f>
        <v>0.54339999999999999</v>
      </c>
      <c r="O248" s="9">
        <f>IF($H248&lt;&gt;"OK","",ROUND($G248*使い方と設定!$B$7*$AK248*INDEX(個性タイプマスタ!$Q$5:$AA$54,$AE248,7)/$AG248,4))</f>
        <v>0.41860000000000003</v>
      </c>
      <c r="P248" s="9">
        <f>IF($H248&lt;&gt;"OK","",ROUND($G248*使い方と設定!$B$7*$AK248*INDEX(個性タイプマスタ!$Q$5:$AA$54,$AE248,8)/$AG248,4))</f>
        <v>0.4617</v>
      </c>
      <c r="Q248" s="9">
        <f>IF($H248&lt;&gt;"OK","",ROUND($G248*使い方と設定!$B$7*$AK248*INDEX(個性タイプマスタ!$Q$5:$AA$54,$AE248,9)/$AG248,4))</f>
        <v>0.56089999999999995</v>
      </c>
      <c r="R248" s="9">
        <f>IF($H248&lt;&gt;"OK","",ROUND($G248*使い方と設定!$B$7*$AK248*INDEX(個性タイプマスタ!$Q$5:$AA$54,$AE248,10)/$AG248,4))</f>
        <v>1.1797</v>
      </c>
      <c r="S248" s="9">
        <f>IF($H248&lt;&gt;"OK","",ROUND($G248*使い方と設定!$B$7*$AK248*INDEX(個性タイプマスタ!$Q$5:$AA$54,$AE248,11)/$AG248,4))</f>
        <v>0.49009999999999998</v>
      </c>
      <c r="T248" s="9">
        <f>IF($H248&lt;&gt;"OK","",ROUND($G248*使い方と設定!$B$8*$AK248*$AH248*INDEX(属性耐性マスタ!$B$5:$G$10,$AF248,1),4))</f>
        <v>1.4500000000000001E-2</v>
      </c>
      <c r="U248" s="9">
        <f>IF($H248&lt;&gt;"OK","",ROUND($G248*使い方と設定!$B$8*$AK248*$AH248*INDEX(属性耐性マスタ!$B$5:$G$10,$AF248,2),4))</f>
        <v>1.4500000000000001E-2</v>
      </c>
      <c r="V248" s="9">
        <f>IF($H248&lt;&gt;"OK","",ROUND($G248*使い方と設定!$B$8*$AK248*$AH248*INDEX(属性耐性マスタ!$B$5:$G$10,$AF248,3),4))</f>
        <v>5.4399999999999997E-2</v>
      </c>
      <c r="W248" s="9">
        <f>IF($H248&lt;&gt;"OK","",ROUND($G248*使い方と設定!$B$8*$AK248*$AH248*INDEX(属性耐性マスタ!$B$5:$G$10,$AF248,4),4))</f>
        <v>0.21779999999999999</v>
      </c>
      <c r="X248" s="9">
        <f>IF($H248&lt;&gt;"OK","",ROUND($G248*使い方と設定!$B$8*$AK248*$AH248*INDEX(属性耐性マスタ!$B$5:$G$10,$AF248,5),4))</f>
        <v>1.09E-2</v>
      </c>
      <c r="Y248" s="9">
        <f>IF($H248&lt;&gt;"OK","",ROUND($G248*使い方と設定!$B$8*$AK248*$AH248*INDEX(属性耐性マスタ!$B$5:$G$10,$AF248,6),4))</f>
        <v>1.09E-2</v>
      </c>
      <c r="Z248" s="9">
        <f>IF($H248&lt;&gt;"OK","",ROUND($G248*使い方と設定!$B$9*$AK248*$AI248,4))</f>
        <v>2.9196</v>
      </c>
      <c r="AA248" s="10">
        <v>1</v>
      </c>
      <c r="AB248" s="11">
        <f t="shared" si="10"/>
        <v>7.5613999999999999</v>
      </c>
      <c r="AC248" s="11">
        <f t="shared" si="11"/>
        <v>0.32300000000000001</v>
      </c>
      <c r="AD248" s="7" t="str">
        <f>IF($H248&lt;&gt;"OK","",INDEX(個性タイプマスタ!$P$5:$P$54,$AE248))</f>
        <v>手数重視。ひと撃ちは軽いが高速</v>
      </c>
      <c r="AE248">
        <f>IFERROR(MATCH(E248,個性タイプマスタ!$A$5:$A$54,0),0)</f>
        <v>15</v>
      </c>
      <c r="AF248">
        <f>IFERROR(MATCH(F248,属性耐性マスタ!$A$5:$A$10,0),0)</f>
        <v>4</v>
      </c>
      <c r="AG248">
        <f>IF(AE248=0,1,INDEX(個性タイプマスタ!$AB$5:$AB$54,AE248))</f>
        <v>9.9351666666666674</v>
      </c>
      <c r="AH248">
        <f>IF(AE248=0,1,INDEX(個性タイプマスタ!$AC$5:$AC$54,AE248))</f>
        <v>0.72</v>
      </c>
      <c r="AI248">
        <f>IF(AE248=0,0,INDEX(個性タイプマスタ!$AD$5:$AD$54,AE248))</f>
        <v>1.1583333333333332</v>
      </c>
      <c r="AJ248" s="16">
        <v>41</v>
      </c>
      <c r="AK248" s="17">
        <f>IF(OR(AJ248="",AJ248&lt;1),"",POWER(使い方と設定!$E$6,AJ248-1))</f>
        <v>4.8010206279366594</v>
      </c>
    </row>
    <row r="249" spans="1:37">
      <c r="A249" t="str">
        <f>+[2]称号!A244</f>
        <v>TITLE_243</v>
      </c>
      <c r="B249" t="str">
        <f>+[2]称号!B244</f>
        <v>停滞に沈む粘時核</v>
      </c>
      <c r="C249" t="s">
        <v>621</v>
      </c>
      <c r="D249" t="s">
        <v>622</v>
      </c>
      <c r="E249" s="2" t="str">
        <f>[1]モンスター計算!AM247</f>
        <v>魔法・高会心</v>
      </c>
      <c r="F249" s="2" t="str">
        <f>[1]モンスター計算!C247</f>
        <v>水</v>
      </c>
      <c r="G249" s="8">
        <v>1.1000000000000001</v>
      </c>
      <c r="H249" t="str">
        <f t="shared" si="9"/>
        <v>OK</v>
      </c>
      <c r="I249" s="9">
        <f>IF($H249&lt;&gt;"OK","",ROUND($G249*使い方と設定!$B$7*$AK249*INDEX(個性タイプマスタ!$Q$5:$AA$54,$AE249,1)/$AG249,4))</f>
        <v>0.52300000000000002</v>
      </c>
      <c r="J249" s="9">
        <f>IF($H249&lt;&gt;"OK","",ROUND($G249*使い方と設定!$B$7*$AK249*INDEX(個性タイプマスタ!$Q$5:$AA$54,$AE249,2)/$AG249,4))</f>
        <v>0.84540000000000004</v>
      </c>
      <c r="K249" s="9">
        <f>IF($H249&lt;&gt;"OK","",ROUND($G249*使い方と設定!$B$7*$AK249*INDEX(個性タイプマスタ!$Q$5:$AA$54,$AE249,3)/$AG249,4))</f>
        <v>9.1200000000000003E-2</v>
      </c>
      <c r="L249" s="9">
        <f>IF($H249&lt;&gt;"OK","",ROUND($G249*使い方と設定!$B$7*$AK249*INDEX(個性タイプマスタ!$Q$5:$AA$54,$AE249,4)/$AG249,4))</f>
        <v>1.6284000000000001</v>
      </c>
      <c r="M249" s="9">
        <f>IF($H249&lt;&gt;"OK","",ROUND($G249*使い方と設定!$B$7*$AK249*INDEX(個性タイプマスタ!$Q$5:$AA$54,$AE249,5)/$AG249,4))</f>
        <v>0.42630000000000001</v>
      </c>
      <c r="N249" s="9">
        <f>IF($H249&lt;&gt;"OK","",ROUND($G249*使い方と設定!$B$7*$AK249*INDEX(個性タイプマスタ!$Q$5:$AA$54,$AE249,6)/$AG249,4))</f>
        <v>0.47060000000000002</v>
      </c>
      <c r="O249" s="9">
        <f>IF($H249&lt;&gt;"OK","",ROUND($G249*使い方と設定!$B$7*$AK249*INDEX(個性タイプマスタ!$Q$5:$AA$54,$AE249,7)/$AG249,4))</f>
        <v>1.8629</v>
      </c>
      <c r="P249" s="9">
        <f>IF($H249&lt;&gt;"OK","",ROUND($G249*使い方と設定!$B$7*$AK249*INDEX(個性タイプマスタ!$Q$5:$AA$54,$AE249,8)/$AG249,4))</f>
        <v>0.5504</v>
      </c>
      <c r="Q249" s="9">
        <f>IF($H249&lt;&gt;"OK","",ROUND($G249*使い方と設定!$B$7*$AK249*INDEX(個性タイプマスタ!$Q$5:$AA$54,$AE249,9)/$AG249,4))</f>
        <v>0.39410000000000001</v>
      </c>
      <c r="R249" s="9">
        <f>IF($H249&lt;&gt;"OK","",ROUND($G249*使い方と設定!$B$7*$AK249*INDEX(個性タイプマスタ!$Q$5:$AA$54,$AE249,10)/$AG249,4))</f>
        <v>0.61880000000000002</v>
      </c>
      <c r="S249" s="9">
        <f>IF($H249&lt;&gt;"OK","",ROUND($G249*使い方と設定!$B$7*$AK249*INDEX(個性タイプマスタ!$Q$5:$AA$54,$AE249,11)/$AG249,4))</f>
        <v>0.51070000000000004</v>
      </c>
      <c r="T249" s="9">
        <f>IF($H249&lt;&gt;"OK","",ROUND($G249*使い方と設定!$B$8*$AK249*$AH249*INDEX(属性耐性マスタ!$B$5:$G$10,$AF249,1),4))</f>
        <v>5.0700000000000002E-2</v>
      </c>
      <c r="U249" s="9">
        <f>IF($H249&lt;&gt;"OK","",ROUND($G249*使い方と設定!$B$8*$AK249*$AH249*INDEX(属性耐性マスタ!$B$5:$G$10,$AF249,2),4))</f>
        <v>0.2535</v>
      </c>
      <c r="V249" s="9">
        <f>IF($H249&lt;&gt;"OK","",ROUND($G249*使い方と設定!$B$8*$AK249*$AH249*INDEX(属性耐性マスタ!$B$5:$G$10,$AF249,3),4))</f>
        <v>1.6899999999999998E-2</v>
      </c>
      <c r="W249" s="9">
        <f>IF($H249&lt;&gt;"OK","",ROUND($G249*使い方と設定!$B$8*$AK249*$AH249*INDEX(属性耐性マスタ!$B$5:$G$10,$AF249,4),4))</f>
        <v>1.6899999999999998E-2</v>
      </c>
      <c r="X249" s="9">
        <f>IF($H249&lt;&gt;"OK","",ROUND($G249*使い方と設定!$B$8*$AK249*$AH249*INDEX(属性耐性マスタ!$B$5:$G$10,$AF249,5),4))</f>
        <v>1.2699999999999999E-2</v>
      </c>
      <c r="Y249" s="9">
        <f>IF($H249&lt;&gt;"OK","",ROUND($G249*使い方と設定!$B$8*$AK249*$AH249*INDEX(属性耐性マスタ!$B$5:$G$10,$AF249,6),4))</f>
        <v>1.2699999999999999E-2</v>
      </c>
      <c r="Z249" s="9">
        <f>IF($H249&lt;&gt;"OK","",ROUND($G249*使い方と設定!$B$9*$AK249*$AI249,4))</f>
        <v>2.7946</v>
      </c>
      <c r="AA249" s="10">
        <v>0.9</v>
      </c>
      <c r="AB249" s="11">
        <f t="shared" si="10"/>
        <v>7.9218000000000002</v>
      </c>
      <c r="AC249" s="11">
        <f t="shared" si="11"/>
        <v>0.3634</v>
      </c>
      <c r="AD249" s="7" t="str">
        <f>IF($H249&lt;&gt;"OK","",INDEX(個性タイプマスタ!$P$5:$P$54,$AE249))</f>
        <v>高い会心率で平均火力を確保</v>
      </c>
      <c r="AE249">
        <f>IFERROR(MATCH(E249,個性タイプマスタ!$A$5:$A$54,0),0)</f>
        <v>22</v>
      </c>
      <c r="AF249">
        <f>IFERROR(MATCH(F249,属性耐性マスタ!$A$5:$A$10,0),0)</f>
        <v>2</v>
      </c>
      <c r="AG249">
        <f>IF(AE249=0,1,INDEX(個性タイプマスタ!$AB$5:$AB$54,AE249))</f>
        <v>12.162000000000001</v>
      </c>
      <c r="AH249">
        <f>IF(AE249=0,1,INDEX(個性タイプマスタ!$AC$5:$AC$54,AE249))</f>
        <v>0.8</v>
      </c>
      <c r="AI249">
        <f>IF(AE249=0,0,INDEX(個性タイプマスタ!$AD$5:$AD$54,AE249))</f>
        <v>1.0583333333333333</v>
      </c>
      <c r="AJ249" s="16">
        <v>41</v>
      </c>
      <c r="AK249" s="17">
        <f>IF(OR(AJ249="",AJ249&lt;1),"",POWER(使い方と設定!$E$6,AJ249-1))</f>
        <v>4.8010206279366594</v>
      </c>
    </row>
    <row r="250" spans="1:37">
      <c r="A250" t="str">
        <f>+[2]称号!A245</f>
        <v>TITLE_244</v>
      </c>
      <c r="B250" t="str">
        <f>+[2]称号!B245</f>
        <v>砂命を呑む環喰獣</v>
      </c>
      <c r="C250" t="s">
        <v>623</v>
      </c>
      <c r="D250" t="s">
        <v>624</v>
      </c>
      <c r="E250" s="2" t="str">
        <f>[1]モンスター計算!AM248</f>
        <v>近接・斥候</v>
      </c>
      <c r="F250" s="2" t="str">
        <f>[1]モンスター計算!C248</f>
        <v>闇</v>
      </c>
      <c r="G250" s="8">
        <v>1.1499999999999999</v>
      </c>
      <c r="H250" t="str">
        <f t="shared" si="9"/>
        <v>OK</v>
      </c>
      <c r="I250" s="9">
        <f>IF($H250&lt;&gt;"OK","",ROUND($G250*使い方と設定!$B$7*$AK250*INDEX(個性タイプマスタ!$Q$5:$AA$54,$AE250,1)/$AG250,4))</f>
        <v>0.751</v>
      </c>
      <c r="J250" s="9">
        <f>IF($H250&lt;&gt;"OK","",ROUND($G250*使い方と設定!$B$7*$AK250*INDEX(個性タイプマスタ!$Q$5:$AA$54,$AE250,2)/$AG250,4))</f>
        <v>0.49280000000000002</v>
      </c>
      <c r="K250" s="9">
        <f>IF($H250&lt;&gt;"OK","",ROUND($G250*使い方と設定!$B$7*$AK250*INDEX(個性タイプマスタ!$Q$5:$AA$54,$AE250,3)/$AG250,4))</f>
        <v>2.1334</v>
      </c>
      <c r="L250" s="9">
        <f>IF($H250&lt;&gt;"OK","",ROUND($G250*使い方と設定!$B$7*$AK250*INDEX(個性タイプマスタ!$Q$5:$AA$54,$AE250,4)/$AG250,4))</f>
        <v>0.14929999999999999</v>
      </c>
      <c r="M250" s="9">
        <f>IF($H250&lt;&gt;"OK","",ROUND($G250*使い方と設定!$B$7*$AK250*INDEX(個性タイプマスタ!$Q$5:$AA$54,$AE250,5)/$AG250,4))</f>
        <v>0.5585</v>
      </c>
      <c r="N250" s="9">
        <f>IF($H250&lt;&gt;"OK","",ROUND($G250*使い方と設定!$B$7*$AK250*INDEX(個性タイプマスタ!$Q$5:$AA$54,$AE250,6)/$AG250,4))</f>
        <v>0.60209999999999997</v>
      </c>
      <c r="O250" s="9">
        <f>IF($H250&lt;&gt;"OK","",ROUND($G250*使い方と設定!$B$7*$AK250*INDEX(個性タイプマスタ!$Q$5:$AA$54,$AE250,7)/$AG250,4))</f>
        <v>0.61019999999999996</v>
      </c>
      <c r="P250" s="9">
        <f>IF($H250&lt;&gt;"OK","",ROUND($G250*使い方と設定!$B$7*$AK250*INDEX(個性タイプマスタ!$Q$5:$AA$54,$AE250,8)/$AG250,4))</f>
        <v>0.53990000000000005</v>
      </c>
      <c r="Q250" s="9">
        <f>IF($H250&lt;&gt;"OK","",ROUND($G250*使い方と設定!$B$7*$AK250*INDEX(個性タイプマスタ!$Q$5:$AA$54,$AE250,9)/$AG250,4))</f>
        <v>0.72840000000000005</v>
      </c>
      <c r="R250" s="9">
        <f>IF($H250&lt;&gt;"OK","",ROUND($G250*使い方と設定!$B$7*$AK250*INDEX(個性タイプマスタ!$Q$5:$AA$54,$AE250,10)/$AG250,4))</f>
        <v>1.1008</v>
      </c>
      <c r="S250" s="9">
        <f>IF($H250&lt;&gt;"OK","",ROUND($G250*使い方と設定!$B$7*$AK250*INDEX(個性タイプマスタ!$Q$5:$AA$54,$AE250,11)/$AG250,4))</f>
        <v>0.61529999999999996</v>
      </c>
      <c r="T250" s="9">
        <f>IF($H250&lt;&gt;"OK","",ROUND($G250*使い方と設定!$B$8*$AK250*$AH250*INDEX(属性耐性マスタ!$B$5:$G$10,$AF250,1),4))</f>
        <v>1.3899999999999999E-2</v>
      </c>
      <c r="U250" s="9">
        <f>IF($H250&lt;&gt;"OK","",ROUND($G250*使い方と設定!$B$8*$AK250*$AH250*INDEX(属性耐性マスタ!$B$5:$G$10,$AF250,2),4))</f>
        <v>1.3899999999999999E-2</v>
      </c>
      <c r="V250" s="9">
        <f>IF($H250&lt;&gt;"OK","",ROUND($G250*使い方と設定!$B$8*$AK250*$AH250*INDEX(属性耐性マスタ!$B$5:$G$10,$AF250,3),4))</f>
        <v>1.3899999999999999E-2</v>
      </c>
      <c r="W250" s="9">
        <f>IF($H250&lt;&gt;"OK","",ROUND($G250*使い方と設定!$B$8*$AK250*$AH250*INDEX(属性耐性マスタ!$B$5:$G$10,$AF250,4),4))</f>
        <v>1.3899999999999999E-2</v>
      </c>
      <c r="X250" s="9">
        <f>IF($H250&lt;&gt;"OK","",ROUND($G250*使い方と設定!$B$8*$AK250*$AH250*INDEX(属性耐性マスタ!$B$5:$G$10,$AF250,5),4))</f>
        <v>3.7100000000000001E-2</v>
      </c>
      <c r="Y250" s="9">
        <f>IF($H250&lt;&gt;"OK","",ROUND($G250*使い方と設定!$B$8*$AK250*$AH250*INDEX(属性耐性マスタ!$B$5:$G$10,$AF250,6),4))</f>
        <v>0.27829999999999999</v>
      </c>
      <c r="Z250" s="9">
        <f>IF($H250&lt;&gt;"OK","",ROUND($G250*使い方と設定!$B$9*$AK250*$AI250,4))</f>
        <v>3.4415</v>
      </c>
      <c r="AA250" s="10">
        <v>0.55000000000000004</v>
      </c>
      <c r="AB250" s="11">
        <f t="shared" si="10"/>
        <v>8.2817000000000007</v>
      </c>
      <c r="AC250" s="11">
        <f t="shared" si="11"/>
        <v>0.371</v>
      </c>
      <c r="AD250" s="7" t="str">
        <f>IF($H250&lt;&gt;"OK","",INDEX(個性タイプマスタ!$P$5:$P$54,$AE250))</f>
        <v>索敵能力・機動力が高い</v>
      </c>
      <c r="AE250">
        <f>IFERROR(MATCH(E250,個性タイプマスタ!$A$5:$A$54,0),0)</f>
        <v>48</v>
      </c>
      <c r="AF250">
        <f>IFERROR(MATCH(F250,属性耐性マスタ!$A$5:$A$10,0),0)</f>
        <v>6</v>
      </c>
      <c r="AG250">
        <f>IF(AE250=0,1,INDEX(個性タイプマスタ!$AB$5:$AB$54,AE250))</f>
        <v>9.7047666666666661</v>
      </c>
      <c r="AH250">
        <f>IF(AE250=0,1,INDEX(個性タイプマスタ!$AC$5:$AC$54,AE250))</f>
        <v>0.84</v>
      </c>
      <c r="AI250">
        <f>IF(AE250=0,0,INDEX(個性タイプマスタ!$AD$5:$AD$54,AE250))</f>
        <v>1.2466666666666666</v>
      </c>
      <c r="AJ250" s="16">
        <v>41</v>
      </c>
      <c r="AK250" s="17">
        <f>IF(OR(AJ250="",AJ250&lt;1),"",POWER(使い方と設定!$E$6,AJ250-1))</f>
        <v>4.8010206279366594</v>
      </c>
    </row>
    <row r="251" spans="1:37">
      <c r="A251" t="str">
        <f>+[2]称号!A246</f>
        <v>TITLE_245</v>
      </c>
      <c r="B251" t="str">
        <f>+[2]称号!B246</f>
        <v>盤界を漂う歪光精</v>
      </c>
      <c r="C251" t="s">
        <v>625</v>
      </c>
      <c r="D251" t="s">
        <v>626</v>
      </c>
      <c r="E251" s="2" t="str">
        <f>[1]モンスター計算!AM249</f>
        <v>近接・速攻</v>
      </c>
      <c r="F251" s="2" t="str">
        <f>[1]モンスター計算!C249</f>
        <v>闇</v>
      </c>
      <c r="G251" s="8">
        <v>1.2</v>
      </c>
      <c r="H251" t="str">
        <f t="shared" si="9"/>
        <v>OK</v>
      </c>
      <c r="I251" s="9">
        <f>IF($H251&lt;&gt;"OK","",ROUND($G251*使い方と設定!$B$7*$AK251*INDEX(個性タイプマスタ!$Q$5:$AA$54,$AE251,1)/$AG251,4))</f>
        <v>0.77959999999999996</v>
      </c>
      <c r="J251" s="9">
        <f>IF($H251&lt;&gt;"OK","",ROUND($G251*使い方と設定!$B$7*$AK251*INDEX(個性タイプマスタ!$Q$5:$AA$54,$AE251,2)/$AG251,4))</f>
        <v>0.41410000000000002</v>
      </c>
      <c r="K251" s="9">
        <f>IF($H251&lt;&gt;"OK","",ROUND($G251*使い方と設定!$B$7*$AK251*INDEX(個性タイプマスタ!$Q$5:$AA$54,$AE251,3)/$AG251,4))</f>
        <v>2.2147000000000001</v>
      </c>
      <c r="L251" s="9">
        <f>IF($H251&lt;&gt;"OK","",ROUND($G251*使い方と設定!$B$7*$AK251*INDEX(個性タイプマスタ!$Q$5:$AA$54,$AE251,4)/$AG251,4))</f>
        <v>0.2215</v>
      </c>
      <c r="M251" s="9">
        <f>IF($H251&lt;&gt;"OK","",ROUND($G251*使い方と設定!$B$7*$AK251*INDEX(個性タイプマスタ!$Q$5:$AA$54,$AE251,5)/$AG251,4))</f>
        <v>0.60240000000000005</v>
      </c>
      <c r="N251" s="9">
        <f>IF($H251&lt;&gt;"OK","",ROUND($G251*使い方と設定!$B$7*$AK251*INDEX(個性タイプマスタ!$Q$5:$AA$54,$AE251,6)/$AG251,4))</f>
        <v>0.60240000000000005</v>
      </c>
      <c r="O251" s="9">
        <f>IF($H251&lt;&gt;"OK","",ROUND($G251*使い方と設定!$B$7*$AK251*INDEX(個性タイプマスタ!$Q$5:$AA$54,$AE251,7)/$AG251,4))</f>
        <v>0.77959999999999996</v>
      </c>
      <c r="P251" s="9">
        <f>IF($H251&lt;&gt;"OK","",ROUND($G251*使い方と設定!$B$7*$AK251*INDEX(個性タイプマスタ!$Q$5:$AA$54,$AE251,8)/$AG251,4))</f>
        <v>0.59499999999999997</v>
      </c>
      <c r="Q251" s="9">
        <f>IF($H251&lt;&gt;"OK","",ROUND($G251*使い方と設定!$B$7*$AK251*INDEX(個性タイプマスタ!$Q$5:$AA$54,$AE251,9)/$AG251,4))</f>
        <v>0.6431</v>
      </c>
      <c r="R251" s="9">
        <f>IF($H251&lt;&gt;"OK","",ROUND($G251*使い方と設定!$B$7*$AK251*INDEX(個性タイプマスタ!$Q$5:$AA$54,$AE251,10)/$AG251,4))</f>
        <v>1.1694</v>
      </c>
      <c r="S251" s="9">
        <f>IF($H251&lt;&gt;"OK","",ROUND($G251*使い方と設定!$B$7*$AK251*INDEX(個性タイプマスタ!$Q$5:$AA$54,$AE251,11)/$AG251,4))</f>
        <v>0.62009999999999998</v>
      </c>
      <c r="T251" s="9">
        <f>IF($H251&lt;&gt;"OK","",ROUND($G251*使い方と設定!$B$8*$AK251*$AH251*INDEX(属性耐性マスタ!$B$5:$G$10,$AF251,1),4))</f>
        <v>1.4500000000000001E-2</v>
      </c>
      <c r="U251" s="9">
        <f>IF($H251&lt;&gt;"OK","",ROUND($G251*使い方と設定!$B$8*$AK251*$AH251*INDEX(属性耐性マスタ!$B$5:$G$10,$AF251,2),4))</f>
        <v>1.4500000000000001E-2</v>
      </c>
      <c r="V251" s="9">
        <f>IF($H251&lt;&gt;"OK","",ROUND($G251*使い方と設定!$B$8*$AK251*$AH251*INDEX(属性耐性マスタ!$B$5:$G$10,$AF251,3),4))</f>
        <v>1.4500000000000001E-2</v>
      </c>
      <c r="W251" s="9">
        <f>IF($H251&lt;&gt;"OK","",ROUND($G251*使い方と設定!$B$8*$AK251*$AH251*INDEX(属性耐性マスタ!$B$5:$G$10,$AF251,4),4))</f>
        <v>1.4500000000000001E-2</v>
      </c>
      <c r="X251" s="9">
        <f>IF($H251&lt;&gt;"OK","",ROUND($G251*使い方と設定!$B$8*$AK251*$AH251*INDEX(属性耐性マスタ!$B$5:$G$10,$AF251,5),4))</f>
        <v>3.8699999999999998E-2</v>
      </c>
      <c r="Y251" s="9">
        <f>IF($H251&lt;&gt;"OK","",ROUND($G251*使い方と設定!$B$8*$AK251*$AH251*INDEX(属性耐性マスタ!$B$5:$G$10,$AF251,6),4))</f>
        <v>0.29039999999999999</v>
      </c>
      <c r="Z251" s="9">
        <f>IF($H251&lt;&gt;"OK","",ROUND($G251*使い方と設定!$B$9*$AK251*$AI251,4))</f>
        <v>3.3127</v>
      </c>
      <c r="AA251" s="10">
        <v>0.5</v>
      </c>
      <c r="AB251" s="11">
        <f t="shared" si="10"/>
        <v>8.6418999999999997</v>
      </c>
      <c r="AC251" s="11">
        <f t="shared" si="11"/>
        <v>0.3871</v>
      </c>
      <c r="AD251" s="7" t="str">
        <f>IF($H251&lt;&gt;"OK","",INDEX(個性タイプマスタ!$P$5:$P$54,$AE251))</f>
        <v>手数と移動重視</v>
      </c>
      <c r="AE251">
        <f>IFERROR(MATCH(E251,個性タイプマスタ!$A$5:$A$54,0),0)</f>
        <v>12</v>
      </c>
      <c r="AF251">
        <f>IFERROR(MATCH(F251,属性耐性マスタ!$A$5:$A$10,0),0)</f>
        <v>6</v>
      </c>
      <c r="AG251">
        <f>IF(AE251=0,1,INDEX(個性タイプマスタ!$AB$5:$AB$54,AE251))</f>
        <v>9.7551666666666659</v>
      </c>
      <c r="AH251">
        <f>IF(AE251=0,1,INDEX(個性タイプマスタ!$AC$5:$AC$54,AE251))</f>
        <v>0.84</v>
      </c>
      <c r="AI251">
        <f>IF(AE251=0,0,INDEX(個性タイプマスタ!$AD$5:$AD$54,AE251))</f>
        <v>1.1499999999999999</v>
      </c>
      <c r="AJ251" s="16">
        <v>41</v>
      </c>
      <c r="AK251" s="17">
        <f>IF(OR(AJ251="",AJ251&lt;1),"",POWER(使い方と設定!$E$6,AJ251-1))</f>
        <v>4.8010206279366594</v>
      </c>
    </row>
    <row r="252" spans="1:37">
      <c r="A252" t="str">
        <f>+[2]称号!A247</f>
        <v>TITLE_246</v>
      </c>
      <c r="B252" t="str">
        <f>+[2]称号!B247</f>
        <v>崩刻を統べる終焉王</v>
      </c>
      <c r="C252" t="s">
        <v>627</v>
      </c>
      <c r="D252" t="s">
        <v>628</v>
      </c>
      <c r="E252" s="2" t="str">
        <f>[1]モンスター計算!AM250</f>
        <v>魔法・超軽量</v>
      </c>
      <c r="F252" s="2" t="str">
        <f>[1]モンスター計算!C250</f>
        <v>雷</v>
      </c>
      <c r="G252" s="8">
        <v>1.25</v>
      </c>
      <c r="H252" t="str">
        <f t="shared" si="9"/>
        <v>OK</v>
      </c>
      <c r="I252" s="9">
        <f>IF($H252&lt;&gt;"OK","",ROUND($G252*使い方と設定!$B$7*$AK252*INDEX(個性タイプマスタ!$Q$5:$AA$54,$AE252,1)/$AG252,4))</f>
        <v>0.59250000000000003</v>
      </c>
      <c r="J252" s="9">
        <f>IF($H252&lt;&gt;"OK","",ROUND($G252*使い方と設定!$B$7*$AK252*INDEX(個性タイプマスタ!$Q$5:$AA$54,$AE252,2)/$AG252,4))</f>
        <v>0.79679999999999995</v>
      </c>
      <c r="K252" s="9">
        <f>IF($H252&lt;&gt;"OK","",ROUND($G252*使い方と設定!$B$7*$AK252*INDEX(個性タイプマスタ!$Q$5:$AA$54,$AE252,3)/$AG252,4))</f>
        <v>0.11609999999999999</v>
      </c>
      <c r="L252" s="9">
        <f>IF($H252&lt;&gt;"OK","",ROUND($G252*使い方と設定!$B$7*$AK252*INDEX(個性タイプマスタ!$Q$5:$AA$54,$AE252,4)/$AG252,4))</f>
        <v>2.3216999999999999</v>
      </c>
      <c r="M252" s="9">
        <f>IF($H252&lt;&gt;"OK","",ROUND($G252*使い方と設定!$B$7*$AK252*INDEX(個性タイプマスタ!$Q$5:$AA$54,$AE252,5)/$AG252,4))</f>
        <v>0.50519999999999998</v>
      </c>
      <c r="N252" s="9">
        <f>IF($H252&lt;&gt;"OK","",ROUND($G252*使い方と設定!$B$7*$AK252*INDEX(個性タイプマスタ!$Q$5:$AA$54,$AE252,6)/$AG252,4))</f>
        <v>0.5131</v>
      </c>
      <c r="O252" s="9">
        <f>IF($H252&lt;&gt;"OK","",ROUND($G252*使い方と設定!$B$7*$AK252*INDEX(個性タイプマスタ!$Q$5:$AA$54,$AE252,7)/$AG252,4))</f>
        <v>0.81720000000000004</v>
      </c>
      <c r="P252" s="9">
        <f>IF($H252&lt;&gt;"OK","",ROUND($G252*使い方と設定!$B$7*$AK252*INDEX(個性タイプマスタ!$Q$5:$AA$54,$AE252,8)/$AG252,4))</f>
        <v>0.62380000000000002</v>
      </c>
      <c r="Q252" s="9">
        <f>IF($H252&lt;&gt;"OK","",ROUND($G252*使い方と設定!$B$7*$AK252*INDEX(個性タイプマスタ!$Q$5:$AA$54,$AE252,9)/$AG252,4))</f>
        <v>0.85809999999999997</v>
      </c>
      <c r="R252" s="9">
        <f>IF($H252&lt;&gt;"OK","",ROUND($G252*使い方と設定!$B$7*$AK252*INDEX(個性タイプマスタ!$Q$5:$AA$54,$AE252,10)/$AG252,4))</f>
        <v>1.2073</v>
      </c>
      <c r="S252" s="9">
        <f>IF($H252&lt;&gt;"OK","",ROUND($G252*使い方と設定!$B$7*$AK252*INDEX(個性タイプマスタ!$Q$5:$AA$54,$AE252,11)/$AG252,4))</f>
        <v>0.65010000000000001</v>
      </c>
      <c r="T252" s="9">
        <f>IF($H252&lt;&gt;"OK","",ROUND($G252*使い方と設定!$B$8*$AK252*$AH252*INDEX(属性耐性マスタ!$B$5:$G$10,$AF252,1),4))</f>
        <v>1.54E-2</v>
      </c>
      <c r="U252" s="9">
        <f>IF($H252&lt;&gt;"OK","",ROUND($G252*使い方と設定!$B$8*$AK252*$AH252*INDEX(属性耐性マスタ!$B$5:$G$10,$AF252,2),4))</f>
        <v>1.54E-2</v>
      </c>
      <c r="V252" s="9">
        <f>IF($H252&lt;&gt;"OK","",ROUND($G252*使い方と設定!$B$8*$AK252*$AH252*INDEX(属性耐性マスタ!$B$5:$G$10,$AF252,3),4))</f>
        <v>5.7599999999999998E-2</v>
      </c>
      <c r="W252" s="9">
        <f>IF($H252&lt;&gt;"OK","",ROUND($G252*使い方と設定!$B$8*$AK252*$AH252*INDEX(属性耐性マスタ!$B$5:$G$10,$AF252,4),4))</f>
        <v>0.23039999999999999</v>
      </c>
      <c r="X252" s="9">
        <f>IF($H252&lt;&gt;"OK","",ROUND($G252*使い方と設定!$B$8*$AK252*$AH252*INDEX(属性耐性マスタ!$B$5:$G$10,$AF252,5),4))</f>
        <v>1.15E-2</v>
      </c>
      <c r="Y252" s="9">
        <f>IF($H252&lt;&gt;"OK","",ROUND($G252*使い方と設定!$B$8*$AK252*$AH252*INDEX(属性耐性マスタ!$B$5:$G$10,$AF252,6),4))</f>
        <v>1.15E-2</v>
      </c>
      <c r="Z252" s="9">
        <f>IF($H252&lt;&gt;"OK","",ROUND($G252*使い方と設定!$B$9*$AK252*$AI252,4))</f>
        <v>3.9007999999999998</v>
      </c>
      <c r="AA252" s="10">
        <v>0.25</v>
      </c>
      <c r="AB252" s="11">
        <f t="shared" si="10"/>
        <v>9.0018999999999991</v>
      </c>
      <c r="AC252" s="11">
        <f t="shared" si="11"/>
        <v>0.34179999999999999</v>
      </c>
      <c r="AD252" s="7" t="str">
        <f>IF($H252&lt;&gt;"OK","",INDEX(個性タイプマスタ!$P$5:$P$54,$AE252))</f>
        <v>超高速移動・極低耐久</v>
      </c>
      <c r="AE252">
        <f>IFERROR(MATCH(E252,個性タイプマスタ!$A$5:$A$54,0),0)</f>
        <v>18</v>
      </c>
      <c r="AF252">
        <f>IFERROR(MATCH(F252,属性耐性マスタ!$A$5:$A$10,0),0)</f>
        <v>4</v>
      </c>
      <c r="AG252">
        <f>IF(AE252=0,1,INDEX(個性タイプマスタ!$AB$5:$AB$54,AE252))</f>
        <v>9.6931666666666683</v>
      </c>
      <c r="AH252">
        <f>IF(AE252=0,1,INDEX(個性タイプマスタ!$AC$5:$AC$54,AE252))</f>
        <v>0.64</v>
      </c>
      <c r="AI252">
        <f>IF(AE252=0,0,INDEX(個性タイプマスタ!$AD$5:$AD$54,AE252))</f>
        <v>1.3</v>
      </c>
      <c r="AJ252" s="16">
        <v>41</v>
      </c>
      <c r="AK252" s="17">
        <f>IF(OR(AJ252="",AJ252&lt;1),"",POWER(使い方と設定!$E$6,AJ252-1))</f>
        <v>4.8010206279366594</v>
      </c>
    </row>
    <row r="253" spans="1:37">
      <c r="A253" t="str">
        <f>+[2]称号!A248</f>
        <v>TITLE_247</v>
      </c>
      <c r="B253" t="str">
        <f>+[2]称号!B248</f>
        <v>星墓を歩む骸骨兵</v>
      </c>
      <c r="C253" t="s">
        <v>629</v>
      </c>
      <c r="D253" t="s">
        <v>630</v>
      </c>
      <c r="E253" s="2" t="str">
        <f>[1]モンスター計算!AM251</f>
        <v>魔法・万能</v>
      </c>
      <c r="F253" s="2" t="str">
        <f>[1]モンスター計算!C251</f>
        <v>光</v>
      </c>
      <c r="G253" s="8">
        <v>1</v>
      </c>
      <c r="H253" t="str">
        <f t="shared" si="9"/>
        <v>OK</v>
      </c>
      <c r="I253" s="9">
        <f>IF($H253&lt;&gt;"OK","",ROUND($G253*使い方と設定!$B$7*$AK253*INDEX(個性タイプマスタ!$Q$5:$AA$54,$AE253,1)/$AG253,4))</f>
        <v>0.85060000000000002</v>
      </c>
      <c r="J253" s="9">
        <f>IF($H253&lt;&gt;"OK","",ROUND($G253*使い方と設定!$B$7*$AK253*INDEX(個性タイプマスタ!$Q$5:$AA$54,$AE253,2)/$AG253,4))</f>
        <v>0.81189999999999996</v>
      </c>
      <c r="K253" s="9">
        <f>IF($H253&lt;&gt;"OK","",ROUND($G253*使い方と設定!$B$7*$AK253*INDEX(個性タイプマスタ!$Q$5:$AA$54,$AE253,3)/$AG253,4))</f>
        <v>0.1757</v>
      </c>
      <c r="L253" s="9">
        <f>IF($H253&lt;&gt;"OK","",ROUND($G253*使い方と設定!$B$7*$AK253*INDEX(個性タイプマスタ!$Q$5:$AA$54,$AE253,4)/$AG253,4))</f>
        <v>1.7574000000000001</v>
      </c>
      <c r="M253" s="9">
        <f>IF($H253&lt;&gt;"OK","",ROUND($G253*使い方と設定!$B$7*$AK253*INDEX(個性タイプマスタ!$Q$5:$AA$54,$AE253,5)/$AG253,4))</f>
        <v>0.65720000000000001</v>
      </c>
      <c r="N253" s="9">
        <f>IF($H253&lt;&gt;"OK","",ROUND($G253*使い方と設定!$B$7*$AK253*INDEX(個性タイプマスタ!$Q$5:$AA$54,$AE253,6)/$AG253,4))</f>
        <v>0.65720000000000001</v>
      </c>
      <c r="O253" s="9">
        <f>IF($H253&lt;&gt;"OK","",ROUND($G253*使い方と設定!$B$7*$AK253*INDEX(個性タイプマスタ!$Q$5:$AA$54,$AE253,7)/$AG253,4))</f>
        <v>0.5413</v>
      </c>
      <c r="P253" s="9">
        <f>IF($H253&lt;&gt;"OK","",ROUND($G253*使い方と設定!$B$7*$AK253*INDEX(個性タイプマスタ!$Q$5:$AA$54,$AE253,8)/$AG253,4))</f>
        <v>0.47210000000000002</v>
      </c>
      <c r="Q253" s="9">
        <f>IF($H253&lt;&gt;"OK","",ROUND($G253*使い方と設定!$B$7*$AK253*INDEX(個性タイプマスタ!$Q$5:$AA$54,$AE253,9)/$AG253,4))</f>
        <v>0.37119999999999997</v>
      </c>
      <c r="R253" s="9">
        <f>IF($H253&lt;&gt;"OK","",ROUND($G253*使い方と設定!$B$7*$AK253*INDEX(個性タイプマスタ!$Q$5:$AA$54,$AE253,10)/$AG253,4))</f>
        <v>0.70289999999999997</v>
      </c>
      <c r="S253" s="9">
        <f>IF($H253&lt;&gt;"OK","",ROUND($G253*使い方と設定!$B$7*$AK253*INDEX(個性タイプマスタ!$Q$5:$AA$54,$AE253,11)/$AG253,4))</f>
        <v>0.49209999999999998</v>
      </c>
      <c r="T253" s="9">
        <f>IF($H253&lt;&gt;"OK","",ROUND($G253*使い方と設定!$B$8*$AK253*$AH253*INDEX(属性耐性マスタ!$B$5:$G$10,$AF253,1),4))</f>
        <v>1.6199999999999999E-2</v>
      </c>
      <c r="U253" s="9">
        <f>IF($H253&lt;&gt;"OK","",ROUND($G253*使い方と設定!$B$8*$AK253*$AH253*INDEX(属性耐性マスタ!$B$5:$G$10,$AF253,2),4))</f>
        <v>1.6199999999999999E-2</v>
      </c>
      <c r="V253" s="9">
        <f>IF($H253&lt;&gt;"OK","",ROUND($G253*使い方と設定!$B$8*$AK253*$AH253*INDEX(属性耐性マスタ!$B$5:$G$10,$AF253,3),4))</f>
        <v>1.6199999999999999E-2</v>
      </c>
      <c r="W253" s="9">
        <f>IF($H253&lt;&gt;"OK","",ROUND($G253*使い方と設定!$B$8*$AK253*$AH253*INDEX(属性耐性マスタ!$B$5:$G$10,$AF253,4),4))</f>
        <v>1.6199999999999999E-2</v>
      </c>
      <c r="X253" s="9">
        <f>IF($H253&lt;&gt;"OK","",ROUND($G253*使い方と設定!$B$8*$AK253*$AH253*INDEX(属性耐性マスタ!$B$5:$G$10,$AF253,5),4))</f>
        <v>0.3236</v>
      </c>
      <c r="Y253" s="9">
        <f>IF($H253&lt;&gt;"OK","",ROUND($G253*使い方と設定!$B$8*$AK253*$AH253*INDEX(属性耐性マスタ!$B$5:$G$10,$AF253,6),4))</f>
        <v>4.3099999999999999E-2</v>
      </c>
      <c r="Z253" s="9">
        <f>IF($H253&lt;&gt;"OK","",ROUND($G253*使い方と設定!$B$9*$AK253*$AI253,4))</f>
        <v>2.4965000000000002</v>
      </c>
      <c r="AA253" s="10">
        <v>1</v>
      </c>
      <c r="AB253" s="11">
        <f t="shared" si="10"/>
        <v>7.4896000000000003</v>
      </c>
      <c r="AC253" s="11">
        <f t="shared" si="11"/>
        <v>0.43149999999999999</v>
      </c>
      <c r="AD253" s="7" t="str">
        <f>IF($H253&lt;&gt;"OK","",INDEX(個性タイプマスタ!$P$5:$P$54,$AE253))</f>
        <v>バランス重視</v>
      </c>
      <c r="AE253">
        <f>IFERROR(MATCH(E253,個性タイプマスタ!$A$5:$A$54,0),0)</f>
        <v>14</v>
      </c>
      <c r="AF253">
        <f>IFERROR(MATCH(F253,属性耐性マスタ!$A$5:$A$10,0),0)</f>
        <v>5</v>
      </c>
      <c r="AG253">
        <f>IF(AE253=0,1,INDEX(個性タイプマスタ!$AB$5:$AB$54,AE253))</f>
        <v>10.654666666666667</v>
      </c>
      <c r="AH253">
        <f>IF(AE253=0,1,INDEX(個性タイプマスタ!$AC$5:$AC$54,AE253))</f>
        <v>1.08</v>
      </c>
      <c r="AI253">
        <f>IF(AE253=0,0,INDEX(個性タイプマスタ!$AD$5:$AD$54,AE253))</f>
        <v>1</v>
      </c>
      <c r="AJ253" s="16">
        <v>42</v>
      </c>
      <c r="AK253" s="17">
        <f>IF(OR(AJ253="",AJ253&lt;1),"",POWER(使い方と設定!$E$6,AJ253-1))</f>
        <v>4.9930614530541257</v>
      </c>
    </row>
    <row r="254" spans="1:37">
      <c r="A254" t="str">
        <f>+[2]称号!A249</f>
        <v>TITLE_248</v>
      </c>
      <c r="B254" t="str">
        <f>+[2]称号!B249</f>
        <v>瞬星を宿す流体核</v>
      </c>
      <c r="C254" t="s">
        <v>631</v>
      </c>
      <c r="D254" t="s">
        <v>632</v>
      </c>
      <c r="E254" s="2" t="str">
        <f>[1]モンスター計算!AM252</f>
        <v>魔法・近距離</v>
      </c>
      <c r="F254" s="2" t="str">
        <f>[1]モンスター計算!C252</f>
        <v>光</v>
      </c>
      <c r="G254" s="8">
        <v>1.05</v>
      </c>
      <c r="H254" t="str">
        <f t="shared" si="9"/>
        <v>OK</v>
      </c>
      <c r="I254" s="9">
        <f>IF($H254&lt;&gt;"OK","",ROUND($G254*使い方と設定!$B$7*$AK254*INDEX(個性タイプマスタ!$Q$5:$AA$54,$AE254,1)/$AG254,4))</f>
        <v>0.99909999999999999</v>
      </c>
      <c r="J254" s="9">
        <f>IF($H254&lt;&gt;"OK","",ROUND($G254*使い方と設定!$B$7*$AK254*INDEX(個性タイプマスタ!$Q$5:$AA$54,$AE254,2)/$AG254,4))</f>
        <v>0.74150000000000005</v>
      </c>
      <c r="K254" s="9">
        <f>IF($H254&lt;&gt;"OK","",ROUND($G254*使い方と設定!$B$7*$AK254*INDEX(個性タイプマスタ!$Q$5:$AA$54,$AE254,3)/$AG254,4))</f>
        <v>0.15079999999999999</v>
      </c>
      <c r="L254" s="9">
        <f>IF($H254&lt;&gt;"OK","",ROUND($G254*使い方と設定!$B$7*$AK254*INDEX(個性タイプマスタ!$Q$5:$AA$54,$AE254,4)/$AG254,4))</f>
        <v>1.7739</v>
      </c>
      <c r="M254" s="9">
        <f>IF($H254&lt;&gt;"OK","",ROUND($G254*使い方と設定!$B$7*$AK254*INDEX(個性タイプマスタ!$Q$5:$AA$54,$AE254,5)/$AG254,4))</f>
        <v>0.74180000000000001</v>
      </c>
      <c r="N254" s="9">
        <f>IF($H254&lt;&gt;"OK","",ROUND($G254*使い方と設定!$B$7*$AK254*INDEX(個性タイプマスタ!$Q$5:$AA$54,$AE254,6)/$AG254,4))</f>
        <v>0.67549999999999999</v>
      </c>
      <c r="O254" s="9">
        <f>IF($H254&lt;&gt;"OK","",ROUND($G254*使い方と設定!$B$7*$AK254*INDEX(個性タイプマスタ!$Q$5:$AA$54,$AE254,7)/$AG254,4))</f>
        <v>0.5464</v>
      </c>
      <c r="P254" s="9">
        <f>IF($H254&lt;&gt;"OK","",ROUND($G254*使い方と設定!$B$7*$AK254*INDEX(個性タイプマスタ!$Q$5:$AA$54,$AE254,8)/$AG254,4))</f>
        <v>0.4612</v>
      </c>
      <c r="Q254" s="9">
        <f>IF($H254&lt;&gt;"OK","",ROUND($G254*使い方と設定!$B$7*$AK254*INDEX(個性タイプマスタ!$Q$5:$AA$54,$AE254,9)/$AG254,4))</f>
        <v>0.43709999999999999</v>
      </c>
      <c r="R254" s="9">
        <f>IF($H254&lt;&gt;"OK","",ROUND($G254*使い方と設定!$B$7*$AK254*INDEX(個性タイプマスタ!$Q$5:$AA$54,$AE254,10)/$AG254,4))</f>
        <v>1.0288999999999999</v>
      </c>
      <c r="S254" s="9">
        <f>IF($H254&lt;&gt;"OK","",ROUND($G254*使い方と設定!$B$7*$AK254*INDEX(個性タイプマスタ!$Q$5:$AA$54,$AE254,11)/$AG254,4))</f>
        <v>0.30790000000000001</v>
      </c>
      <c r="T254" s="9">
        <f>IF($H254&lt;&gt;"OK","",ROUND($G254*使い方と設定!$B$8*$AK254*$AH254*INDEX(属性耐性マスタ!$B$5:$G$10,$AF254,1),4))</f>
        <v>1.7600000000000001E-2</v>
      </c>
      <c r="U254" s="9">
        <f>IF($H254&lt;&gt;"OK","",ROUND($G254*使い方と設定!$B$8*$AK254*$AH254*INDEX(属性耐性マスタ!$B$5:$G$10,$AF254,2),4))</f>
        <v>1.7600000000000001E-2</v>
      </c>
      <c r="V254" s="9">
        <f>IF($H254&lt;&gt;"OK","",ROUND($G254*使い方と設定!$B$8*$AK254*$AH254*INDEX(属性耐性マスタ!$B$5:$G$10,$AF254,3),4))</f>
        <v>1.7600000000000001E-2</v>
      </c>
      <c r="W254" s="9">
        <f>IF($H254&lt;&gt;"OK","",ROUND($G254*使い方と設定!$B$8*$AK254*$AH254*INDEX(属性耐性マスタ!$B$5:$G$10,$AF254,4),4))</f>
        <v>1.7600000000000001E-2</v>
      </c>
      <c r="X254" s="9">
        <f>IF($H254&lt;&gt;"OK","",ROUND($G254*使い方と設定!$B$8*$AK254*$AH254*INDEX(属性耐性マスタ!$B$5:$G$10,$AF254,5),4))</f>
        <v>0.3523</v>
      </c>
      <c r="Y254" s="9">
        <f>IF($H254&lt;&gt;"OK","",ROUND($G254*使い方と設定!$B$8*$AK254*$AH254*INDEX(属性耐性マスタ!$B$5:$G$10,$AF254,6),4))</f>
        <v>4.7E-2</v>
      </c>
      <c r="Z254" s="9">
        <f>IF($H254&lt;&gt;"OK","",ROUND($G254*使い方と設定!$B$9*$AK254*$AI254,4))</f>
        <v>2.7961</v>
      </c>
      <c r="AA254" s="10">
        <v>1</v>
      </c>
      <c r="AB254" s="11">
        <f t="shared" si="10"/>
        <v>7.8640999999999996</v>
      </c>
      <c r="AC254" s="11">
        <f t="shared" si="11"/>
        <v>0.46970000000000001</v>
      </c>
      <c r="AD254" s="7" t="str">
        <f>IF($H254&lt;&gt;"OK","",INDEX(個性タイプマスタ!$P$5:$P$54,$AE254))</f>
        <v>短射程の連発型</v>
      </c>
      <c r="AE254">
        <f>IFERROR(MATCH(E254,個性タイプマスタ!$A$5:$A$54,0),0)</f>
        <v>21</v>
      </c>
      <c r="AF254">
        <f>IFERROR(MATCH(F254,属性耐性マスタ!$A$5:$A$10,0),0)</f>
        <v>5</v>
      </c>
      <c r="AG254">
        <f>IF(AE254=0,1,INDEX(個性タイプマスタ!$AB$5:$AB$54,AE254))</f>
        <v>11.082999999999998</v>
      </c>
      <c r="AH254">
        <f>IF(AE254=0,1,INDEX(個性タイプマスタ!$AC$5:$AC$54,AE254))</f>
        <v>1.1200000000000001</v>
      </c>
      <c r="AI254">
        <f>IF(AE254=0,0,INDEX(個性タイプマスタ!$AD$5:$AD$54,AE254))</f>
        <v>1.0666666666666667</v>
      </c>
      <c r="AJ254" s="16">
        <v>42</v>
      </c>
      <c r="AK254" s="17">
        <f>IF(OR(AJ254="",AJ254&lt;1),"",POWER(使い方と設定!$E$6,AJ254-1))</f>
        <v>4.9930614530541257</v>
      </c>
    </row>
    <row r="255" spans="1:37">
      <c r="A255" t="str">
        <f>+[2]称号!A250</f>
        <v>TITLE_249</v>
      </c>
      <c r="B255" t="str">
        <f>+[2]称号!B250</f>
        <v>闇天を嗤う微光の悪戯者</v>
      </c>
      <c r="C255" t="s">
        <v>633</v>
      </c>
      <c r="D255" t="s">
        <v>634</v>
      </c>
      <c r="E255" s="2" t="str">
        <f>[1]モンスター計算!AM253</f>
        <v>魔法・探索</v>
      </c>
      <c r="F255" s="2" t="str">
        <f>[1]モンスター計算!C253</f>
        <v>闇</v>
      </c>
      <c r="G255" s="8">
        <v>1.1000000000000001</v>
      </c>
      <c r="H255" t="str">
        <f t="shared" si="9"/>
        <v>OK</v>
      </c>
      <c r="I255" s="9">
        <f>IF($H255&lt;&gt;"OK","",ROUND($G255*使い方と設定!$B$7*$AK255*INDEX(個性タイプマスタ!$Q$5:$AA$54,$AE255,1)/$AG255,4))</f>
        <v>0.77569999999999995</v>
      </c>
      <c r="J255" s="9">
        <f>IF($H255&lt;&gt;"OK","",ROUND($G255*使い方と設定!$B$7*$AK255*INDEX(個性タイプマスタ!$Q$5:$AA$54,$AE255,2)/$AG255,4))</f>
        <v>0.82799999999999996</v>
      </c>
      <c r="K255" s="9">
        <f>IF($H255&lt;&gt;"OK","",ROUND($G255*使い方と設定!$B$7*$AK255*INDEX(個性タイプマスタ!$Q$5:$AA$54,$AE255,3)/$AG255,4))</f>
        <v>0.11890000000000001</v>
      </c>
      <c r="L255" s="9">
        <f>IF($H255&lt;&gt;"OK","",ROUND($G255*使い方と設定!$B$7*$AK255*INDEX(個性タイプマスタ!$Q$5:$AA$54,$AE255,4)/$AG255,4))</f>
        <v>1.9809000000000001</v>
      </c>
      <c r="M255" s="9">
        <f>IF($H255&lt;&gt;"OK","",ROUND($G255*使い方と設定!$B$7*$AK255*INDEX(個性タイプマスタ!$Q$5:$AA$54,$AE255,5)/$AG255,4))</f>
        <v>0.61960000000000004</v>
      </c>
      <c r="N255" s="9">
        <f>IF($H255&lt;&gt;"OK","",ROUND($G255*使い方と設定!$B$7*$AK255*INDEX(個性タイプマスタ!$Q$5:$AA$54,$AE255,6)/$AG255,4))</f>
        <v>0.6129</v>
      </c>
      <c r="O255" s="9">
        <f>IF($H255&lt;&gt;"OK","",ROUND($G255*使い方と設定!$B$7*$AK255*INDEX(個性タイプマスタ!$Q$5:$AA$54,$AE255,7)/$AG255,4))</f>
        <v>0.65369999999999995</v>
      </c>
      <c r="P255" s="9">
        <f>IF($H255&lt;&gt;"OK","",ROUND($G255*使い方と設定!$B$7*$AK255*INDEX(個性タイプマスタ!$Q$5:$AA$54,$AE255,8)/$AG255,4))</f>
        <v>0.51500000000000001</v>
      </c>
      <c r="Q255" s="9">
        <f>IF($H255&lt;&gt;"OK","",ROUND($G255*使い方と設定!$B$7*$AK255*INDEX(個性タイプマスタ!$Q$5:$AA$54,$AE255,9)/$AG255,4))</f>
        <v>0.54039999999999999</v>
      </c>
      <c r="R255" s="9">
        <f>IF($H255&lt;&gt;"OK","",ROUND($G255*使い方と設定!$B$7*$AK255*INDEX(個性タイプマスタ!$Q$5:$AA$54,$AE255,10)/$AG255,4))</f>
        <v>0.91120000000000001</v>
      </c>
      <c r="S255" s="9">
        <f>IF($H255&lt;&gt;"OK","",ROUND($G255*使い方と設定!$B$7*$AK255*INDEX(個性タイプマスタ!$Q$5:$AA$54,$AE255,11)/$AG255,4))</f>
        <v>0.68220000000000003</v>
      </c>
      <c r="T255" s="9">
        <f>IF($H255&lt;&gt;"OK","",ROUND($G255*使い方と設定!$B$8*$AK255*$AH255*INDEX(属性耐性マスタ!$B$5:$G$10,$AF255,1),4))</f>
        <v>1.5800000000000002E-2</v>
      </c>
      <c r="U255" s="9">
        <f>IF($H255&lt;&gt;"OK","",ROUND($G255*使い方と設定!$B$8*$AK255*$AH255*INDEX(属性耐性マスタ!$B$5:$G$10,$AF255,2),4))</f>
        <v>1.5800000000000002E-2</v>
      </c>
      <c r="V255" s="9">
        <f>IF($H255&lt;&gt;"OK","",ROUND($G255*使い方と設定!$B$8*$AK255*$AH255*INDEX(属性耐性マスタ!$B$5:$G$10,$AF255,3),4))</f>
        <v>1.5800000000000002E-2</v>
      </c>
      <c r="W255" s="9">
        <f>IF($H255&lt;&gt;"OK","",ROUND($G255*使い方と設定!$B$8*$AK255*$AH255*INDEX(属性耐性マスタ!$B$5:$G$10,$AF255,4),4))</f>
        <v>1.5800000000000002E-2</v>
      </c>
      <c r="X255" s="9">
        <f>IF($H255&lt;&gt;"OK","",ROUND($G255*使い方と設定!$B$8*$AK255*$AH255*INDEX(属性耐性マスタ!$B$5:$G$10,$AF255,5),4))</f>
        <v>4.2200000000000001E-2</v>
      </c>
      <c r="Y255" s="9">
        <f>IF($H255&lt;&gt;"OK","",ROUND($G255*使い方と設定!$B$8*$AK255*$AH255*INDEX(属性耐性マスタ!$B$5:$G$10,$AF255,6),4))</f>
        <v>0.31640000000000001</v>
      </c>
      <c r="Z255" s="9">
        <f>IF($H255&lt;&gt;"OK","",ROUND($G255*使い方と設定!$B$9*$AK255*$AI255,4))</f>
        <v>5.1261999999999999</v>
      </c>
      <c r="AA255" s="10">
        <v>0.9</v>
      </c>
      <c r="AB255" s="11">
        <f t="shared" si="10"/>
        <v>8.2385000000000002</v>
      </c>
      <c r="AC255" s="11">
        <f t="shared" si="11"/>
        <v>0.42180000000000001</v>
      </c>
      <c r="AD255" s="7" t="str">
        <f>IF($H255&lt;&gt;"OK","",INDEX(個性タイプマスタ!$P$5:$P$54,$AE255))</f>
        <v>高索敵・長射程寄りの探索型</v>
      </c>
      <c r="AE255">
        <f>IFERROR(MATCH(E255,個性タイプマスタ!$A$5:$A$54,0),0)</f>
        <v>28</v>
      </c>
      <c r="AF255">
        <f>IFERROR(MATCH(F255,属性耐性マスタ!$A$5:$A$10,0),0)</f>
        <v>6</v>
      </c>
      <c r="AG255">
        <f>IF(AE255=0,1,INDEX(個性タイプマスタ!$AB$5:$AB$54,AE255))</f>
        <v>10.397500000000001</v>
      </c>
      <c r="AH255">
        <f>IF(AE255=0,1,INDEX(個性タイプマスタ!$AC$5:$AC$54,AE255))</f>
        <v>0.96</v>
      </c>
      <c r="AI255">
        <f>IF(AE255=0,0,INDEX(個性タイプマスタ!$AD$5:$AD$54,AE255))</f>
        <v>1.8666666666666667</v>
      </c>
      <c r="AJ255" s="16">
        <v>42</v>
      </c>
      <c r="AK255" s="17">
        <f>IF(OR(AJ255="",AJ255&lt;1),"",POWER(使い方と設定!$E$6,AJ255-1))</f>
        <v>4.9930614530541257</v>
      </c>
    </row>
    <row r="256" spans="1:37">
      <c r="A256" t="str">
        <f>+[2]称号!A251</f>
        <v>TITLE_250</v>
      </c>
      <c r="B256" t="str">
        <f>+[2]称号!B251</f>
        <v>歪重を纏う星殻甲虫</v>
      </c>
      <c r="C256" t="s">
        <v>635</v>
      </c>
      <c r="D256" t="s">
        <v>636</v>
      </c>
      <c r="E256" s="2" t="str">
        <f>[1]モンスター計算!AM254</f>
        <v>近接・火力</v>
      </c>
      <c r="F256" s="2" t="str">
        <f>[1]モンスター計算!C254</f>
        <v>雷</v>
      </c>
      <c r="G256" s="8">
        <v>1.1499999999999999</v>
      </c>
      <c r="H256" t="str">
        <f t="shared" si="9"/>
        <v>OK</v>
      </c>
      <c r="I256" s="9">
        <f>IF($H256&lt;&gt;"OK","",ROUND($G256*使い方と設定!$B$7*$AK256*INDEX(個性タイプマスタ!$Q$5:$AA$54,$AE256,1)/$AG256,4))</f>
        <v>0.84019999999999995</v>
      </c>
      <c r="J256" s="9">
        <f>IF($H256&lt;&gt;"OK","",ROUND($G256*使い方と設定!$B$7*$AK256*INDEX(個性タイプマスタ!$Q$5:$AA$54,$AE256,2)/$AG256,4))</f>
        <v>0.37340000000000001</v>
      </c>
      <c r="K256" s="9">
        <f>IF($H256&lt;&gt;"OK","",ROUND($G256*使い方と設定!$B$7*$AK256*INDEX(個性タイプマスタ!$Q$5:$AA$54,$AE256,3)/$AG256,4))</f>
        <v>2.1217999999999999</v>
      </c>
      <c r="L256" s="9">
        <f>IF($H256&lt;&gt;"OK","",ROUND($G256*使い方と設定!$B$7*$AK256*INDEX(個性タイプマスタ!$Q$5:$AA$54,$AE256,4)/$AG256,4))</f>
        <v>0.2122</v>
      </c>
      <c r="M256" s="9">
        <f>IF($H256&lt;&gt;"OK","",ROUND($G256*使い方と設定!$B$7*$AK256*INDEX(個性タイプマスタ!$Q$5:$AA$54,$AE256,5)/$AG256,4))</f>
        <v>0.64929999999999999</v>
      </c>
      <c r="N256" s="9">
        <f>IF($H256&lt;&gt;"OK","",ROUND($G256*使い方と設定!$B$7*$AK256*INDEX(個性タイプマスタ!$Q$5:$AA$54,$AE256,6)/$AG256,4))</f>
        <v>0.64929999999999999</v>
      </c>
      <c r="O256" s="9">
        <f>IF($H256&lt;&gt;"OK","",ROUND($G256*使い方と設定!$B$7*$AK256*INDEX(個性タイプマスタ!$Q$5:$AA$54,$AE256,7)/$AG256,4))</f>
        <v>1.0268999999999999</v>
      </c>
      <c r="P256" s="9">
        <f>IF($H256&lt;&gt;"OK","",ROUND($G256*使い方と設定!$B$7*$AK256*INDEX(個性タイプマスタ!$Q$5:$AA$54,$AE256,8)/$AG256,4))</f>
        <v>0.64359999999999995</v>
      </c>
      <c r="Q256" s="9">
        <f>IF($H256&lt;&gt;"OK","",ROUND($G256*使い方と設定!$B$7*$AK256*INDEX(個性タイプマスタ!$Q$5:$AA$54,$AE256,9)/$AG256,4))</f>
        <v>0.56020000000000003</v>
      </c>
      <c r="R256" s="9">
        <f>IF($H256&lt;&gt;"OK","",ROUND($G256*使い方と設定!$B$7*$AK256*INDEX(個性タイプマスタ!$Q$5:$AA$54,$AE256,10)/$AG256,4))</f>
        <v>1.0015000000000001</v>
      </c>
      <c r="S256" s="9">
        <f>IF($H256&lt;&gt;"OK","",ROUND($G256*使い方と設定!$B$7*$AK256*INDEX(個性タイプマスタ!$Q$5:$AA$54,$AE256,11)/$AG256,4))</f>
        <v>0.53469999999999995</v>
      </c>
      <c r="T256" s="9">
        <f>IF($H256&lt;&gt;"OK","",ROUND($G256*使い方と設定!$B$8*$AK256*$AH256*INDEX(属性耐性マスタ!$B$5:$G$10,$AF256,1),4))</f>
        <v>2.0199999999999999E-2</v>
      </c>
      <c r="U256" s="9">
        <f>IF($H256&lt;&gt;"OK","",ROUND($G256*使い方と設定!$B$8*$AK256*$AH256*INDEX(属性耐性マスタ!$B$5:$G$10,$AF256,2),4))</f>
        <v>2.0199999999999999E-2</v>
      </c>
      <c r="V256" s="9">
        <f>IF($H256&lt;&gt;"OK","",ROUND($G256*使い方と設定!$B$8*$AK256*$AH256*INDEX(属性耐性マスタ!$B$5:$G$10,$AF256,3),4))</f>
        <v>7.5800000000000006E-2</v>
      </c>
      <c r="W256" s="9">
        <f>IF($H256&lt;&gt;"OK","",ROUND($G256*使い方と設定!$B$8*$AK256*$AH256*INDEX(属性耐性マスタ!$B$5:$G$10,$AF256,4),4))</f>
        <v>0.30320000000000003</v>
      </c>
      <c r="X256" s="9">
        <f>IF($H256&lt;&gt;"OK","",ROUND($G256*使い方と設定!$B$8*$AK256*$AH256*INDEX(属性耐性マスタ!$B$5:$G$10,$AF256,5),4))</f>
        <v>1.52E-2</v>
      </c>
      <c r="Y256" s="9">
        <f>IF($H256&lt;&gt;"OK","",ROUND($G256*使い方と設定!$B$8*$AK256*$AH256*INDEX(属性耐性マスタ!$B$5:$G$10,$AF256,6),4))</f>
        <v>1.52E-2</v>
      </c>
      <c r="Z256" s="9">
        <f>IF($H256&lt;&gt;"OK","",ROUND($G256*使い方と設定!$B$9*$AK256*$AI256,4))</f>
        <v>3.1581000000000001</v>
      </c>
      <c r="AA256" s="10">
        <v>0.55000000000000004</v>
      </c>
      <c r="AB256" s="11">
        <f t="shared" si="10"/>
        <v>8.6130999999999993</v>
      </c>
      <c r="AC256" s="11">
        <f t="shared" si="11"/>
        <v>0.44979999999999998</v>
      </c>
      <c r="AD256" s="7" t="str">
        <f>IF($H256&lt;&gt;"OK","",INDEX(個性タイプマスタ!$P$5:$P$54,$AE256))</f>
        <v>攻撃とクリティカル特化</v>
      </c>
      <c r="AE256">
        <f>IFERROR(MATCH(E256,個性タイプマスタ!$A$5:$A$54,0),0)</f>
        <v>11</v>
      </c>
      <c r="AF256">
        <f>IFERROR(MATCH(F256,属性耐性マスタ!$A$5:$A$10,0),0)</f>
        <v>4</v>
      </c>
      <c r="AG256">
        <f>IF(AE256=0,1,INDEX(個性タイプマスタ!$AB$5:$AB$54,AE256))</f>
        <v>10.148333333333333</v>
      </c>
      <c r="AH256">
        <f>IF(AE256=0,1,INDEX(個性タイプマスタ!$AC$5:$AC$54,AE256))</f>
        <v>0.88</v>
      </c>
      <c r="AI256">
        <f>IF(AE256=0,0,INDEX(個性タイプマスタ!$AD$5:$AD$54,AE256))</f>
        <v>1.1000000000000001</v>
      </c>
      <c r="AJ256" s="16">
        <v>42</v>
      </c>
      <c r="AK256" s="17">
        <f>IF(OR(AJ256="",AJ256&lt;1),"",POWER(使い方と設定!$E$6,AJ256-1))</f>
        <v>4.9930614530541257</v>
      </c>
    </row>
    <row r="257" spans="1:37">
      <c r="A257" t="str">
        <f>+[2]称号!A252</f>
        <v>TITLE_251</v>
      </c>
      <c r="B257" t="str">
        <f>+[2]称号!B252</f>
        <v>流星の残響たる蒼き精霊</v>
      </c>
      <c r="C257" t="s">
        <v>637</v>
      </c>
      <c r="D257" t="s">
        <v>638</v>
      </c>
      <c r="E257" s="2" t="str">
        <f>[1]モンスター計算!AM255</f>
        <v>近接・機動</v>
      </c>
      <c r="F257" s="2" t="str">
        <f>[1]モンスター計算!C255</f>
        <v>光</v>
      </c>
      <c r="G257" s="8">
        <v>1.2</v>
      </c>
      <c r="H257" t="str">
        <f t="shared" si="9"/>
        <v>OK</v>
      </c>
      <c r="I257" s="9">
        <f>IF($H257&lt;&gt;"OK","",ROUND($G257*使い方と設定!$B$7*$AK257*INDEX(個性タイプマスタ!$Q$5:$AA$54,$AE257,1)/$AG257,4))</f>
        <v>0.69040000000000001</v>
      </c>
      <c r="J257" s="9">
        <f>IF($H257&lt;&gt;"OK","",ROUND($G257*使い方と設定!$B$7*$AK257*INDEX(個性タイプマスタ!$Q$5:$AA$54,$AE257,2)/$AG257,4))</f>
        <v>0.41920000000000002</v>
      </c>
      <c r="K257" s="9">
        <f>IF($H257&lt;&gt;"OK","",ROUND($G257*使い方と設定!$B$7*$AK257*INDEX(個性タイプマスタ!$Q$5:$AA$54,$AE257,3)/$AG257,4))</f>
        <v>2.2416</v>
      </c>
      <c r="L257" s="9">
        <f>IF($H257&lt;&gt;"OK","",ROUND($G257*使い方と設定!$B$7*$AK257*INDEX(個性タイプマスタ!$Q$5:$AA$54,$AE257,4)/$AG257,4))</f>
        <v>0.1681</v>
      </c>
      <c r="M257" s="9">
        <f>IF($H257&lt;&gt;"OK","",ROUND($G257*使い方と設定!$B$7*$AK257*INDEX(個性タイプマスタ!$Q$5:$AA$54,$AE257,5)/$AG257,4))</f>
        <v>0.57920000000000005</v>
      </c>
      <c r="N257" s="9">
        <f>IF($H257&lt;&gt;"OK","",ROUND($G257*使い方と設定!$B$7*$AK257*INDEX(個性タイプマスタ!$Q$5:$AA$54,$AE257,6)/$AG257,4))</f>
        <v>0.59450000000000003</v>
      </c>
      <c r="O257" s="9">
        <f>IF($H257&lt;&gt;"OK","",ROUND($G257*使い方と設定!$B$7*$AK257*INDEX(個性タイプマスタ!$Q$5:$AA$54,$AE257,7)/$AG257,4))</f>
        <v>1.0849</v>
      </c>
      <c r="P257" s="9">
        <f>IF($H257&lt;&gt;"OK","",ROUND($G257*使い方と設定!$B$7*$AK257*INDEX(個性タイプマスタ!$Q$5:$AA$54,$AE257,8)/$AG257,4))</f>
        <v>0.6139</v>
      </c>
      <c r="Q257" s="9">
        <f>IF($H257&lt;&gt;"OK","",ROUND($G257*使い方と設定!$B$7*$AK257*INDEX(個性タイプマスタ!$Q$5:$AA$54,$AE257,9)/$AG257,4))</f>
        <v>0.87780000000000002</v>
      </c>
      <c r="R257" s="9">
        <f>IF($H257&lt;&gt;"OK","",ROUND($G257*使い方と設定!$B$7*$AK257*INDEX(個性タイプマスタ!$Q$5:$AA$54,$AE257,10)/$AG257,4))</f>
        <v>1.1656</v>
      </c>
      <c r="S257" s="9">
        <f>IF($H257&lt;&gt;"OK","",ROUND($G257*使い方と設定!$B$7*$AK257*INDEX(個性タイプマスタ!$Q$5:$AA$54,$AE257,11)/$AG257,4))</f>
        <v>0.55230000000000001</v>
      </c>
      <c r="T257" s="9">
        <f>IF($H257&lt;&gt;"OK","",ROUND($G257*使い方と設定!$B$8*$AK257*$AH257*INDEX(属性耐性マスタ!$B$5:$G$10,$AF257,1),4))</f>
        <v>1.37E-2</v>
      </c>
      <c r="U257" s="9">
        <f>IF($H257&lt;&gt;"OK","",ROUND($G257*使い方と設定!$B$8*$AK257*$AH257*INDEX(属性耐性マスタ!$B$5:$G$10,$AF257,2),4))</f>
        <v>1.37E-2</v>
      </c>
      <c r="V257" s="9">
        <f>IF($H257&lt;&gt;"OK","",ROUND($G257*使い方と設定!$B$8*$AK257*$AH257*INDEX(属性耐性マスタ!$B$5:$G$10,$AF257,3),4))</f>
        <v>1.37E-2</v>
      </c>
      <c r="W257" s="9">
        <f>IF($H257&lt;&gt;"OK","",ROUND($G257*使い方と設定!$B$8*$AK257*$AH257*INDEX(属性耐性マスタ!$B$5:$G$10,$AF257,4),4))</f>
        <v>1.37E-2</v>
      </c>
      <c r="X257" s="9">
        <f>IF($H257&lt;&gt;"OK","",ROUND($G257*使い方と設定!$B$8*$AK257*$AH257*INDEX(属性耐性マスタ!$B$5:$G$10,$AF257,5),4))</f>
        <v>0.2732</v>
      </c>
      <c r="Y257" s="9">
        <f>IF($H257&lt;&gt;"OK","",ROUND($G257*使い方と設定!$B$8*$AK257*$AH257*INDEX(属性耐性マスタ!$B$5:$G$10,$AF257,6),4))</f>
        <v>3.6400000000000002E-2</v>
      </c>
      <c r="Z257" s="9">
        <f>IF($H257&lt;&gt;"OK","",ROUND($G257*使い方と設定!$B$9*$AK257*$AI257,4))</f>
        <v>4.0194000000000001</v>
      </c>
      <c r="AA257" s="10">
        <v>0.5</v>
      </c>
      <c r="AB257" s="11">
        <f t="shared" si="10"/>
        <v>8.9875000000000007</v>
      </c>
      <c r="AC257" s="11">
        <f t="shared" si="11"/>
        <v>0.3644</v>
      </c>
      <c r="AD257" s="7" t="str">
        <f>IF($H257&lt;&gt;"OK","",INDEX(個性タイプマスタ!$P$5:$P$54,$AE257))</f>
        <v>高移動速度で接敵に優れる</v>
      </c>
      <c r="AE257">
        <f>IFERROR(MATCH(E257,個性タイプマスタ!$A$5:$A$54,0),0)</f>
        <v>36</v>
      </c>
      <c r="AF257">
        <f>IFERROR(MATCH(F257,属性耐性マスタ!$A$5:$A$10,0),0)</f>
        <v>5</v>
      </c>
      <c r="AG257">
        <f>IF(AE257=0,1,INDEX(個性タイプマスタ!$AB$5:$AB$54,AE257))</f>
        <v>10.023666666666667</v>
      </c>
      <c r="AH257">
        <f>IF(AE257=0,1,INDEX(個性タイプマスタ!$AC$5:$AC$54,AE257))</f>
        <v>0.76</v>
      </c>
      <c r="AI257">
        <f>IF(AE257=0,0,INDEX(個性タイプマスタ!$AD$5:$AD$54,AE257))</f>
        <v>1.3416666666666668</v>
      </c>
      <c r="AJ257" s="16">
        <v>42</v>
      </c>
      <c r="AK257" s="17">
        <f>IF(OR(AJ257="",AJ257&lt;1),"",POWER(使い方と設定!$E$6,AJ257-1))</f>
        <v>4.9930614530541257</v>
      </c>
    </row>
    <row r="258" spans="1:37">
      <c r="A258" t="str">
        <f>+[2]称号!A253</f>
        <v>TITLE_252</v>
      </c>
      <c r="B258" t="str">
        <f>+[2]称号!B253</f>
        <v>天星を呑む虚無の顎</v>
      </c>
      <c r="C258" t="s">
        <v>639</v>
      </c>
      <c r="D258" t="s">
        <v>640</v>
      </c>
      <c r="E258" s="2" t="str">
        <f>[1]モンスター計算!AM256</f>
        <v>魔法・魔防障壁</v>
      </c>
      <c r="F258" s="2" t="str">
        <f>[1]モンスター計算!C256</f>
        <v>闇</v>
      </c>
      <c r="G258" s="8">
        <v>1.25</v>
      </c>
      <c r="H258" t="str">
        <f t="shared" si="9"/>
        <v>OK</v>
      </c>
      <c r="I258" s="9">
        <f>IF($H258&lt;&gt;"OK","",ROUND($G258*使い方と設定!$B$7*$AK258*INDEX(個性タイプマスタ!$Q$5:$AA$54,$AE258,1)/$AG258,4))</f>
        <v>0.96830000000000005</v>
      </c>
      <c r="J258" s="9">
        <f>IF($H258&lt;&gt;"OK","",ROUND($G258*使い方と設定!$B$7*$AK258*INDEX(個性タイプマスタ!$Q$5:$AA$54,$AE258,2)/$AG258,4))</f>
        <v>1.5986</v>
      </c>
      <c r="K258" s="9">
        <f>IF($H258&lt;&gt;"OK","",ROUND($G258*使い方と設定!$B$7*$AK258*INDEX(個性タイプマスタ!$Q$5:$AA$54,$AE258,3)/$AG258,4))</f>
        <v>0.13489999999999999</v>
      </c>
      <c r="L258" s="9">
        <f>IF($H258&lt;&gt;"OK","",ROUND($G258*使い方と設定!$B$7*$AK258*INDEX(個性タイプマスタ!$Q$5:$AA$54,$AE258,4)/$AG258,4))</f>
        <v>2.0760000000000001</v>
      </c>
      <c r="M258" s="9">
        <f>IF($H258&lt;&gt;"OK","",ROUND($G258*使い方と設定!$B$7*$AK258*INDEX(個性タイプマスタ!$Q$5:$AA$54,$AE258,5)/$AG258,4))</f>
        <v>0.54349999999999998</v>
      </c>
      <c r="N258" s="9">
        <f>IF($H258&lt;&gt;"OK","",ROUND($G258*使い方と設定!$B$7*$AK258*INDEX(個性タイプマスタ!$Q$5:$AA$54,$AE258,6)/$AG258,4))</f>
        <v>1.4470000000000001</v>
      </c>
      <c r="O258" s="9">
        <f>IF($H258&lt;&gt;"OK","",ROUND($G258*使い方と設定!$B$7*$AK258*INDEX(個性タイプマスタ!$Q$5:$AA$54,$AE258,7)/$AG258,4))</f>
        <v>0.41110000000000002</v>
      </c>
      <c r="P258" s="9">
        <f>IF($H258&lt;&gt;"OK","",ROUND($G258*使い方と設定!$B$7*$AK258*INDEX(個性タイプマスタ!$Q$5:$AA$54,$AE258,8)/$AG258,4))</f>
        <v>0.52180000000000004</v>
      </c>
      <c r="Q258" s="9">
        <f>IF($H258&lt;&gt;"OK","",ROUND($G258*使い方と設定!$B$7*$AK258*INDEX(個性タイプマスタ!$Q$5:$AA$54,$AE258,9)/$AG258,4))</f>
        <v>0.34710000000000002</v>
      </c>
      <c r="R258" s="9">
        <f>IF($H258&lt;&gt;"OK","",ROUND($G258*使い方と設定!$B$7*$AK258*INDEX(個性タイプマスタ!$Q$5:$AA$54,$AE258,10)/$AG258,4))</f>
        <v>0.6976</v>
      </c>
      <c r="S258" s="9">
        <f>IF($H258&lt;&gt;"OK","",ROUND($G258*使い方と設定!$B$7*$AK258*INDEX(個性タイプマスタ!$Q$5:$AA$54,$AE258,11)/$AG258,4))</f>
        <v>0.61619999999999997</v>
      </c>
      <c r="T258" s="9">
        <f>IF($H258&lt;&gt;"OK","",ROUND($G258*使い方と設定!$B$8*$AK258*$AH258*INDEX(属性耐性マスタ!$B$5:$G$10,$AF258,1),4))</f>
        <v>2.5499999999999998E-2</v>
      </c>
      <c r="U258" s="9">
        <f>IF($H258&lt;&gt;"OK","",ROUND($G258*使い方と設定!$B$8*$AK258*$AH258*INDEX(属性耐性マスタ!$B$5:$G$10,$AF258,2),4))</f>
        <v>2.5499999999999998E-2</v>
      </c>
      <c r="V258" s="9">
        <f>IF($H258&lt;&gt;"OK","",ROUND($G258*使い方と設定!$B$8*$AK258*$AH258*INDEX(属性耐性マスタ!$B$5:$G$10,$AF258,3),4))</f>
        <v>2.5499999999999998E-2</v>
      </c>
      <c r="W258" s="9">
        <f>IF($H258&lt;&gt;"OK","",ROUND($G258*使い方と設定!$B$8*$AK258*$AH258*INDEX(属性耐性マスタ!$B$5:$G$10,$AF258,4),4))</f>
        <v>2.5499999999999998E-2</v>
      </c>
      <c r="X258" s="9">
        <f>IF($H258&lt;&gt;"OK","",ROUND($G258*使い方と設定!$B$8*$AK258*$AH258*INDEX(属性耐性マスタ!$B$5:$G$10,$AF258,5),4))</f>
        <v>6.7900000000000002E-2</v>
      </c>
      <c r="Y258" s="9">
        <f>IF($H258&lt;&gt;"OK","",ROUND($G258*使い方と設定!$B$8*$AK258*$AH258*INDEX(属性耐性マスタ!$B$5:$G$10,$AF258,6),4))</f>
        <v>0.50929999999999997</v>
      </c>
      <c r="Z258" s="9">
        <f>IF($H258&lt;&gt;"OK","",ROUND($G258*使い方と設定!$B$9*$AK258*$AI258,4))</f>
        <v>2.8605999999999998</v>
      </c>
      <c r="AA258" s="10">
        <v>0.25</v>
      </c>
      <c r="AB258" s="11">
        <f t="shared" si="10"/>
        <v>9.3620999999999999</v>
      </c>
      <c r="AC258" s="11">
        <f t="shared" si="11"/>
        <v>0.67920000000000003</v>
      </c>
      <c r="AD258" s="7" t="str">
        <f>IF($H258&lt;&gt;"OK","",INDEX(個性タイプマスタ!$P$5:$P$54,$AE258))</f>
        <v>魔法防御に偏重した耐久型</v>
      </c>
      <c r="AE258">
        <f>IFERROR(MATCH(E258,個性タイプマスタ!$A$5:$A$54,0),0)</f>
        <v>24</v>
      </c>
      <c r="AF258">
        <f>IFERROR(MATCH(F258,属性耐性マスタ!$A$5:$A$10,0),0)</f>
        <v>6</v>
      </c>
      <c r="AG258">
        <f>IF(AE258=0,1,INDEX(個性タイプマスタ!$AB$5:$AB$54,AE258))</f>
        <v>11.273833333333332</v>
      </c>
      <c r="AH258">
        <f>IF(AE258=0,1,INDEX(個性タイプマスタ!$AC$5:$AC$54,AE258))</f>
        <v>1.3599999999999999</v>
      </c>
      <c r="AI258">
        <f>IF(AE258=0,0,INDEX(個性タイプマスタ!$AD$5:$AD$54,AE258))</f>
        <v>0.91666666666666663</v>
      </c>
      <c r="AJ258" s="16">
        <v>42</v>
      </c>
      <c r="AK258" s="17">
        <f>IF(OR(AJ258="",AJ258&lt;1),"",POWER(使い方と設定!$E$6,AJ258-1))</f>
        <v>4.9930614530541257</v>
      </c>
    </row>
    <row r="259" spans="1:37">
      <c r="A259" t="str">
        <f>+[2]称号!A254</f>
        <v>TITLE_253</v>
      </c>
      <c r="B259" t="str">
        <f>+[2]称号!B254</f>
        <v>刻印に縛られし永劫の処刑兵</v>
      </c>
      <c r="C259" t="s">
        <v>641</v>
      </c>
      <c r="D259" t="s">
        <v>642</v>
      </c>
      <c r="E259" s="2" t="str">
        <f>[1]モンスター計算!AM257</f>
        <v>魔法・長射程</v>
      </c>
      <c r="F259" s="2" t="str">
        <f>[1]モンスター計算!C257</f>
        <v>闇</v>
      </c>
      <c r="G259" s="8">
        <v>1</v>
      </c>
      <c r="H259" t="str">
        <f t="shared" si="9"/>
        <v>OK</v>
      </c>
      <c r="I259" s="9">
        <f>IF($H259&lt;&gt;"OK","",ROUND($G259*使い方と設定!$B$7*$AK259*INDEX(個性タイプマスタ!$Q$5:$AA$54,$AE259,1)/$AG259,4))</f>
        <v>0.78490000000000004</v>
      </c>
      <c r="J259" s="9">
        <f>IF($H259&lt;&gt;"OK","",ROUND($G259*使い方と設定!$B$7*$AK259*INDEX(個性タイプマスタ!$Q$5:$AA$54,$AE259,2)/$AG259,4))</f>
        <v>0.89929999999999999</v>
      </c>
      <c r="K259" s="9">
        <f>IF($H259&lt;&gt;"OK","",ROUND($G259*使い方と設定!$B$7*$AK259*INDEX(個性タイプマスタ!$Q$5:$AA$54,$AE259,3)/$AG259,4))</f>
        <v>0.1152</v>
      </c>
      <c r="L259" s="9">
        <f>IF($H259&lt;&gt;"OK","",ROUND($G259*使い方と設定!$B$7*$AK259*INDEX(個性タイプマスタ!$Q$5:$AA$54,$AE259,4)/$AG259,4))</f>
        <v>1.8581000000000001</v>
      </c>
      <c r="M259" s="9">
        <f>IF($H259&lt;&gt;"OK","",ROUND($G259*使い方と設定!$B$7*$AK259*INDEX(個性タイプマスタ!$Q$5:$AA$54,$AE259,5)/$AG259,4))</f>
        <v>0.51800000000000002</v>
      </c>
      <c r="N259" s="9">
        <f>IF($H259&lt;&gt;"OK","",ROUND($G259*使い方と設定!$B$7*$AK259*INDEX(個性タイプマスタ!$Q$5:$AA$54,$AE259,6)/$AG259,4))</f>
        <v>0.57489999999999997</v>
      </c>
      <c r="O259" s="9">
        <f>IF($H259&lt;&gt;"OK","",ROUND($G259*使い方と設定!$B$7*$AK259*INDEX(個性タイプマスタ!$Q$5:$AA$54,$AE259,7)/$AG259,4))</f>
        <v>0.49049999999999999</v>
      </c>
      <c r="P259" s="9">
        <f>IF($H259&lt;&gt;"OK","",ROUND($G259*使い方と設定!$B$7*$AK259*INDEX(個性タイプマスタ!$Q$5:$AA$54,$AE259,8)/$AG259,4))</f>
        <v>0.51529999999999998</v>
      </c>
      <c r="Q259" s="9">
        <f>IF($H259&lt;&gt;"OK","",ROUND($G259*使い方と設定!$B$7*$AK259*INDEX(個性タイプマスタ!$Q$5:$AA$54,$AE259,9)/$AG259,4))</f>
        <v>0.3679</v>
      </c>
      <c r="R259" s="9">
        <f>IF($H259&lt;&gt;"OK","",ROUND($G259*使い方と設定!$B$7*$AK259*INDEX(個性タイプマスタ!$Q$5:$AA$54,$AE259,10)/$AG259,4))</f>
        <v>0.6764</v>
      </c>
      <c r="S259" s="9">
        <f>IF($H259&lt;&gt;"OK","",ROUND($G259*使い方と設定!$B$7*$AK259*INDEX(個性タイプマスタ!$Q$5:$AA$54,$AE259,11)/$AG259,4))</f>
        <v>0.98850000000000005</v>
      </c>
      <c r="T259" s="9">
        <f>IF($H259&lt;&gt;"OK","",ROUND($G259*使い方と設定!$B$8*$AK259*$AH259*INDEX(属性耐性マスタ!$B$5:$G$10,$AF259,1),4))</f>
        <v>1.43E-2</v>
      </c>
      <c r="U259" s="9">
        <f>IF($H259&lt;&gt;"OK","",ROUND($G259*使い方と設定!$B$8*$AK259*$AH259*INDEX(属性耐性マスタ!$B$5:$G$10,$AF259,2),4))</f>
        <v>1.43E-2</v>
      </c>
      <c r="V259" s="9">
        <f>IF($H259&lt;&gt;"OK","",ROUND($G259*使い方と設定!$B$8*$AK259*$AH259*INDEX(属性耐性マスタ!$B$5:$G$10,$AF259,3),4))</f>
        <v>1.43E-2</v>
      </c>
      <c r="W259" s="9">
        <f>IF($H259&lt;&gt;"OK","",ROUND($G259*使い方と設定!$B$8*$AK259*$AH259*INDEX(属性耐性マスタ!$B$5:$G$10,$AF259,4),4))</f>
        <v>1.43E-2</v>
      </c>
      <c r="X259" s="9">
        <f>IF($H259&lt;&gt;"OK","",ROUND($G259*使い方と設定!$B$8*$AK259*$AH259*INDEX(属性耐性マスタ!$B$5:$G$10,$AF259,5),4))</f>
        <v>3.8199999999999998E-2</v>
      </c>
      <c r="Y259" s="9">
        <f>IF($H259&lt;&gt;"OK","",ROUND($G259*使い方と設定!$B$8*$AK259*$AH259*INDEX(属性耐性マスタ!$B$5:$G$10,$AF259,6),4))</f>
        <v>0.28660000000000002</v>
      </c>
      <c r="Z259" s="9">
        <f>IF($H259&lt;&gt;"OK","",ROUND($G259*使い方と設定!$B$9*$AK259*$AI259,4))</f>
        <v>2.5314999999999999</v>
      </c>
      <c r="AA259" s="10">
        <v>1</v>
      </c>
      <c r="AB259" s="11">
        <f t="shared" si="10"/>
        <v>7.7889999999999997</v>
      </c>
      <c r="AC259" s="11">
        <f t="shared" si="11"/>
        <v>0.38200000000000001</v>
      </c>
      <c r="AD259" s="7" t="str">
        <f>IF($H259&lt;&gt;"OK","",INDEX(個性タイプマスタ!$P$5:$P$54,$AE259))</f>
        <v>射程を優先した後衛</v>
      </c>
      <c r="AE259">
        <f>IFERROR(MATCH(E259,個性タイプマスタ!$A$5:$A$54,0),0)</f>
        <v>20</v>
      </c>
      <c r="AF259">
        <f>IFERROR(MATCH(F259,属性耐性マスタ!$A$5:$A$10,0),0)</f>
        <v>6</v>
      </c>
      <c r="AG259">
        <f>IF(AE259=0,1,INDEX(個性タイプマスタ!$AB$5:$AB$54,AE259))</f>
        <v>10.479833333333334</v>
      </c>
      <c r="AH259">
        <f>IF(AE259=0,1,INDEX(個性タイプマスタ!$AC$5:$AC$54,AE259))</f>
        <v>0.92</v>
      </c>
      <c r="AI259">
        <f>IF(AE259=0,0,INDEX(個性タイプマスタ!$AD$5:$AD$54,AE259))</f>
        <v>0.97499999999999998</v>
      </c>
      <c r="AJ259" s="16">
        <v>43</v>
      </c>
      <c r="AK259" s="17">
        <f>IF(OR(AJ259="",AJ259&lt;1),"",POWER(使い方と設定!$E$6,AJ259-1))</f>
        <v>5.1927839111762903</v>
      </c>
    </row>
    <row r="260" spans="1:37">
      <c r="A260" t="str">
        <f>+[2]称号!A255</f>
        <v>TITLE_254</v>
      </c>
      <c r="B260" t="str">
        <f>+[2]称号!B255</f>
        <v>紅鎖に繋がれた狡知の使徒</v>
      </c>
      <c r="C260" t="s">
        <v>643</v>
      </c>
      <c r="D260" t="s">
        <v>644</v>
      </c>
      <c r="E260" s="2" t="str">
        <f>[1]モンスター計算!AM258</f>
        <v>魔法・高MP</v>
      </c>
      <c r="F260" s="2" t="str">
        <f>[1]モンスター計算!C258</f>
        <v>闇</v>
      </c>
      <c r="G260" s="8">
        <v>1.05</v>
      </c>
      <c r="H260" t="str">
        <f t="shared" si="9"/>
        <v>OK</v>
      </c>
      <c r="I260" s="9">
        <f>IF($H260&lt;&gt;"OK","",ROUND($G260*使い方と設定!$B$7*$AK260*INDEX(個性タイプマスタ!$Q$5:$AA$54,$AE260,1)/$AG260,4))</f>
        <v>0.7702</v>
      </c>
      <c r="J260" s="9">
        <f>IF($H260&lt;&gt;"OK","",ROUND($G260*使い方と設定!$B$7*$AK260*INDEX(個性タイプマスタ!$Q$5:$AA$54,$AE260,2)/$AG260,4))</f>
        <v>1.9816</v>
      </c>
      <c r="K260" s="9">
        <f>IF($H260&lt;&gt;"OK","",ROUND($G260*使い方と設定!$B$7*$AK260*INDEX(個性タイプマスタ!$Q$5:$AA$54,$AE260,3)/$AG260,4))</f>
        <v>0.11899999999999999</v>
      </c>
      <c r="L260" s="9">
        <f>IF($H260&lt;&gt;"OK","",ROUND($G260*使い方と設定!$B$7*$AK260*INDEX(個性タイプマスタ!$Q$5:$AA$54,$AE260,4)/$AG260,4))</f>
        <v>1.6994</v>
      </c>
      <c r="M260" s="9">
        <f>IF($H260&lt;&gt;"OK","",ROUND($G260*使い方と設定!$B$7*$AK260*INDEX(個性タイプマスタ!$Q$5:$AA$54,$AE260,5)/$AG260,4))</f>
        <v>0.55469999999999997</v>
      </c>
      <c r="N260" s="9">
        <f>IF($H260&lt;&gt;"OK","",ROUND($G260*使い方と設定!$B$7*$AK260*INDEX(個性タイプマスタ!$Q$5:$AA$54,$AE260,6)/$AG260,4))</f>
        <v>0.68179999999999996</v>
      </c>
      <c r="O260" s="9">
        <f>IF($H260&lt;&gt;"OK","",ROUND($G260*使い方と設定!$B$7*$AK260*INDEX(個性タイプマスタ!$Q$5:$AA$54,$AE260,7)/$AG260,4))</f>
        <v>0.48599999999999999</v>
      </c>
      <c r="P260" s="9">
        <f>IF($H260&lt;&gt;"OK","",ROUND($G260*使い方と設定!$B$7*$AK260*INDEX(個性タイプマスタ!$Q$5:$AA$54,$AE260,8)/$AG260,4))</f>
        <v>0.42709999999999998</v>
      </c>
      <c r="Q260" s="9">
        <f>IF($H260&lt;&gt;"OK","",ROUND($G260*使い方と設定!$B$7*$AK260*INDEX(個性タイプマスタ!$Q$5:$AA$54,$AE260,9)/$AG260,4))</f>
        <v>0.31409999999999999</v>
      </c>
      <c r="R260" s="9">
        <f>IF($H260&lt;&gt;"OK","",ROUND($G260*使い方と設定!$B$7*$AK260*INDEX(個性タイプマスタ!$Q$5:$AA$54,$AE260,10)/$AG260,4))</f>
        <v>0.61180000000000001</v>
      </c>
      <c r="S260" s="9">
        <f>IF($H260&lt;&gt;"OK","",ROUND($G260*使い方と設定!$B$7*$AK260*INDEX(個性タイプマスタ!$Q$5:$AA$54,$AE260,11)/$AG260,4))</f>
        <v>0.53290000000000004</v>
      </c>
      <c r="T260" s="9">
        <f>IF($H260&lt;&gt;"OK","",ROUND($G260*使い方と設定!$B$8*$AK260*$AH260*INDEX(属性耐性マスタ!$B$5:$G$10,$AF260,1),4))</f>
        <v>1.77E-2</v>
      </c>
      <c r="U260" s="9">
        <f>IF($H260&lt;&gt;"OK","",ROUND($G260*使い方と設定!$B$8*$AK260*$AH260*INDEX(属性耐性マスタ!$B$5:$G$10,$AF260,2),4))</f>
        <v>1.77E-2</v>
      </c>
      <c r="V260" s="9">
        <f>IF($H260&lt;&gt;"OK","",ROUND($G260*使い方と設定!$B$8*$AK260*$AH260*INDEX(属性耐性マスタ!$B$5:$G$10,$AF260,3),4))</f>
        <v>1.77E-2</v>
      </c>
      <c r="W260" s="9">
        <f>IF($H260&lt;&gt;"OK","",ROUND($G260*使い方と設定!$B$8*$AK260*$AH260*INDEX(属性耐性マスタ!$B$5:$G$10,$AF260,4),4))</f>
        <v>1.77E-2</v>
      </c>
      <c r="X260" s="9">
        <f>IF($H260&lt;&gt;"OK","",ROUND($G260*使い方と設定!$B$8*$AK260*$AH260*INDEX(属性耐性マスタ!$B$5:$G$10,$AF260,5),4))</f>
        <v>4.7100000000000003E-2</v>
      </c>
      <c r="Y260" s="9">
        <f>IF($H260&lt;&gt;"OK","",ROUND($G260*使い方と設定!$B$8*$AK260*$AH260*INDEX(属性耐性マスタ!$B$5:$G$10,$AF260,6),4))</f>
        <v>0.3533</v>
      </c>
      <c r="Z260" s="9">
        <f>IF($H260&lt;&gt;"OK","",ROUND($G260*使い方と設定!$B$9*$AK260*$AI260,4))</f>
        <v>2.5899000000000001</v>
      </c>
      <c r="AA260" s="10">
        <v>1</v>
      </c>
      <c r="AB260" s="11">
        <f t="shared" si="10"/>
        <v>8.1785999999999994</v>
      </c>
      <c r="AC260" s="11">
        <f t="shared" si="11"/>
        <v>0.47120000000000001</v>
      </c>
      <c r="AD260" s="7" t="str">
        <f>IF($H260&lt;&gt;"OK","",INDEX(個性タイプマスタ!$P$5:$P$54,$AE260))</f>
        <v>MP容量を重視する後衛</v>
      </c>
      <c r="AE260">
        <f>IFERROR(MATCH(E260,個性タイプマスタ!$A$5:$A$54,0),0)</f>
        <v>27</v>
      </c>
      <c r="AF260">
        <f>IFERROR(MATCH(F260,属性耐性マスタ!$A$5:$A$10,0),0)</f>
        <v>6</v>
      </c>
      <c r="AG260">
        <f>IF(AE260=0,1,INDEX(個性タイプマスタ!$AB$5:$AB$54,AE260))</f>
        <v>12.031333333333334</v>
      </c>
      <c r="AH260">
        <f>IF(AE260=0,1,INDEX(個性タイプマスタ!$AC$5:$AC$54,AE260))</f>
        <v>1.08</v>
      </c>
      <c r="AI260">
        <f>IF(AE260=0,0,INDEX(個性タイプマスタ!$AD$5:$AD$54,AE260))</f>
        <v>0.95</v>
      </c>
      <c r="AJ260" s="16">
        <v>43</v>
      </c>
      <c r="AK260" s="17">
        <f>IF(OR(AJ260="",AJ260&lt;1),"",POWER(使い方と設定!$E$6,AJ260-1))</f>
        <v>5.1927839111762903</v>
      </c>
    </row>
    <row r="261" spans="1:37">
      <c r="A261" t="str">
        <f>+[2]称号!A256</f>
        <v>TITLE_255</v>
      </c>
      <c r="B261" t="str">
        <f>+[2]称号!B256</f>
        <v>流転紋章を宿す粘核の盟主</v>
      </c>
      <c r="C261" t="s">
        <v>645</v>
      </c>
      <c r="D261" t="s">
        <v>646</v>
      </c>
      <c r="E261" s="2" t="str">
        <f>[1]モンスター計算!AM259</f>
        <v>魔法・速攻</v>
      </c>
      <c r="F261" s="2" t="str">
        <f>[1]モンスター計算!C259</f>
        <v>光</v>
      </c>
      <c r="G261" s="8">
        <v>1.1000000000000001</v>
      </c>
      <c r="H261" t="str">
        <f t="shared" si="9"/>
        <v>OK</v>
      </c>
      <c r="I261" s="9">
        <f>IF($H261&lt;&gt;"OK","",ROUND($G261*使い方と設定!$B$7*$AK261*INDEX(個性タイプマスタ!$Q$5:$AA$54,$AE261,1)/$AG261,4))</f>
        <v>0.88859999999999995</v>
      </c>
      <c r="J261" s="9">
        <f>IF($H261&lt;&gt;"OK","",ROUND($G261*使い方と設定!$B$7*$AK261*INDEX(個性タイプマスタ!$Q$5:$AA$54,$AE261,2)/$AG261,4))</f>
        <v>0.97750000000000004</v>
      </c>
      <c r="K261" s="9">
        <f>IF($H261&lt;&gt;"OK","",ROUND($G261*使い方と設定!$B$7*$AK261*INDEX(個性タイプマスタ!$Q$5:$AA$54,$AE261,3)/$AG261,4))</f>
        <v>0.20200000000000001</v>
      </c>
      <c r="L261" s="9">
        <f>IF($H261&lt;&gt;"OK","",ROUND($G261*使い方と設定!$B$7*$AK261*INDEX(個性タイプマスタ!$Q$5:$AA$54,$AE261,4)/$AG261,4))</f>
        <v>2.0196000000000001</v>
      </c>
      <c r="M261" s="9">
        <f>IF($H261&lt;&gt;"OK","",ROUND($G261*使い方と設定!$B$7*$AK261*INDEX(個性タイプマスタ!$Q$5:$AA$54,$AE261,5)/$AG261,4))</f>
        <v>0.65229999999999999</v>
      </c>
      <c r="N261" s="9">
        <f>IF($H261&lt;&gt;"OK","",ROUND($G261*使い方と設定!$B$7*$AK261*INDEX(個性タイプマスタ!$Q$5:$AA$54,$AE261,6)/$AG261,4))</f>
        <v>0.75529999999999997</v>
      </c>
      <c r="O261" s="9">
        <f>IF($H261&lt;&gt;"OK","",ROUND($G261*使い方と設定!$B$7*$AK261*INDEX(個性タイプマスタ!$Q$5:$AA$54,$AE261,7)/$AG261,4))</f>
        <v>0.622</v>
      </c>
      <c r="P261" s="9">
        <f>IF($H261&lt;&gt;"OK","",ROUND($G261*使い方と設定!$B$7*$AK261*INDEX(個性タイプマスタ!$Q$5:$AA$54,$AE261,8)/$AG261,4))</f>
        <v>0.54259999999999997</v>
      </c>
      <c r="Q261" s="9">
        <f>IF($H261&lt;&gt;"OK","",ROUND($G261*使い方と設定!$B$7*$AK261*INDEX(個性タイプマスタ!$Q$5:$AA$54,$AE261,9)/$AG261,4))</f>
        <v>0.4088</v>
      </c>
      <c r="R261" s="9">
        <f>IF($H261&lt;&gt;"OK","",ROUND($G261*使い方と設定!$B$7*$AK261*INDEX(個性タイプマスタ!$Q$5:$AA$54,$AE261,10)/$AG261,4))</f>
        <v>0.88859999999999995</v>
      </c>
      <c r="S261" s="9">
        <f>IF($H261&lt;&gt;"OK","",ROUND($G261*使い方と設定!$B$7*$AK261*INDEX(個性タイプマスタ!$Q$5:$AA$54,$AE261,11)/$AG261,4))</f>
        <v>0.61070000000000002</v>
      </c>
      <c r="T261" s="9">
        <f>IF($H261&lt;&gt;"OK","",ROUND($G261*使い方と設定!$B$8*$AK261*$AH261*INDEX(属性耐性マスタ!$B$5:$G$10,$AF261,1),4))</f>
        <v>1.5100000000000001E-2</v>
      </c>
      <c r="U261" s="9">
        <f>IF($H261&lt;&gt;"OK","",ROUND($G261*使い方と設定!$B$8*$AK261*$AH261*INDEX(属性耐性マスタ!$B$5:$G$10,$AF261,2),4))</f>
        <v>1.5100000000000001E-2</v>
      </c>
      <c r="V261" s="9">
        <f>IF($H261&lt;&gt;"OK","",ROUND($G261*使い方と設定!$B$8*$AK261*$AH261*INDEX(属性耐性マスタ!$B$5:$G$10,$AF261,3),4))</f>
        <v>1.5100000000000001E-2</v>
      </c>
      <c r="W261" s="9">
        <f>IF($H261&lt;&gt;"OK","",ROUND($G261*使い方と設定!$B$8*$AK261*$AH261*INDEX(属性耐性マスタ!$B$5:$G$10,$AF261,4),4))</f>
        <v>1.5100000000000001E-2</v>
      </c>
      <c r="X261" s="9">
        <f>IF($H261&lt;&gt;"OK","",ROUND($G261*使い方と設定!$B$8*$AK261*$AH261*INDEX(属性耐性マスタ!$B$5:$G$10,$AF261,5),4))</f>
        <v>0.30159999999999998</v>
      </c>
      <c r="Y261" s="9">
        <f>IF($H261&lt;&gt;"OK","",ROUND($G261*使い方と設定!$B$8*$AK261*$AH261*INDEX(属性耐性マスタ!$B$5:$G$10,$AF261,6),4))</f>
        <v>4.02E-2</v>
      </c>
      <c r="Z261" s="9">
        <f>IF($H261&lt;&gt;"OK","",ROUND($G261*使い方と設定!$B$9*$AK261*$AI261,4))</f>
        <v>2.8083999999999998</v>
      </c>
      <c r="AA261" s="10">
        <v>0.9</v>
      </c>
      <c r="AB261" s="11">
        <f t="shared" si="10"/>
        <v>8.5679999999999996</v>
      </c>
      <c r="AC261" s="11">
        <f t="shared" si="11"/>
        <v>0.4022</v>
      </c>
      <c r="AD261" s="7" t="str">
        <f>IF($H261&lt;&gt;"OK","",INDEX(個性タイプマスタ!$P$5:$P$54,$AE261))</f>
        <v>高速の魔法型。攻速と射程が優秀</v>
      </c>
      <c r="AE261">
        <f>IFERROR(MATCH(E261,個性タイプマスタ!$A$5:$A$54,0),0)</f>
        <v>3</v>
      </c>
      <c r="AF261">
        <f>IFERROR(MATCH(F261,属性耐性マスタ!$A$5:$A$10,0),0)</f>
        <v>5</v>
      </c>
      <c r="AG261">
        <f>IF(AE261=0,1,INDEX(個性タイプマスタ!$AB$5:$AB$54,AE261))</f>
        <v>10.606166666666667</v>
      </c>
      <c r="AH261">
        <f>IF(AE261=0,1,INDEX(個性タイプマスタ!$AC$5:$AC$54,AE261))</f>
        <v>0.88</v>
      </c>
      <c r="AI261">
        <f>IF(AE261=0,0,INDEX(個性タイプマスタ!$AD$5:$AD$54,AE261))</f>
        <v>0.98333333333333328</v>
      </c>
      <c r="AJ261" s="16">
        <v>43</v>
      </c>
      <c r="AK261" s="17">
        <f>IF(OR(AJ261="",AJ261&lt;1),"",POWER(使い方と設定!$E$6,AJ261-1))</f>
        <v>5.1927839111762903</v>
      </c>
    </row>
    <row r="262" spans="1:37">
      <c r="A262" t="str">
        <f>+[2]称号!A257</f>
        <v>TITLE_256</v>
      </c>
      <c r="B262" t="str">
        <f>+[2]称号!B257</f>
        <v>闘技場を踏破する無欠の石巨像</v>
      </c>
      <c r="C262" t="s">
        <v>647</v>
      </c>
      <c r="D262" t="s">
        <v>648</v>
      </c>
      <c r="E262" s="2" t="str">
        <f>[1]モンスター計算!AM260</f>
        <v>近接・連撃</v>
      </c>
      <c r="F262" s="2" t="str">
        <f>[1]モンスター計算!C260</f>
        <v>光</v>
      </c>
      <c r="G262" s="8">
        <v>1.1499999999999999</v>
      </c>
      <c r="H262" t="str">
        <f t="shared" si="9"/>
        <v>OK</v>
      </c>
      <c r="I262" s="9">
        <f>IF($H262&lt;&gt;"OK","",ROUND($G262*使い方と設定!$B$7*$AK262*INDEX(個性タイプマスタ!$Q$5:$AA$54,$AE262,1)/$AG262,4))</f>
        <v>0.81930000000000003</v>
      </c>
      <c r="J262" s="9">
        <f>IF($H262&lt;&gt;"OK","",ROUND($G262*使い方と設定!$B$7*$AK262*INDEX(個性タイプマスタ!$Q$5:$AA$54,$AE262,2)/$AG262,4))</f>
        <v>0.39450000000000002</v>
      </c>
      <c r="K262" s="9">
        <f>IF($H262&lt;&gt;"OK","",ROUND($G262*使い方と設定!$B$7*$AK262*INDEX(個性タイプマスタ!$Q$5:$AA$54,$AE262,3)/$AG262,4))</f>
        <v>2.2989000000000002</v>
      </c>
      <c r="L262" s="9">
        <f>IF($H262&lt;&gt;"OK","",ROUND($G262*使い方と設定!$B$7*$AK262*INDEX(個性タイプマスタ!$Q$5:$AA$54,$AE262,4)/$AG262,4))</f>
        <v>0.16089999999999999</v>
      </c>
      <c r="M262" s="9">
        <f>IF($H262&lt;&gt;"OK","",ROUND($G262*使い方と設定!$B$7*$AK262*INDEX(個性タイプマスタ!$Q$5:$AA$54,$AE262,5)/$AG262,4))</f>
        <v>0.58620000000000005</v>
      </c>
      <c r="N262" s="9">
        <f>IF($H262&lt;&gt;"OK","",ROUND($G262*使い方と設定!$B$7*$AK262*INDEX(個性タイプマスタ!$Q$5:$AA$54,$AE262,6)/$AG262,4))</f>
        <v>0.61750000000000005</v>
      </c>
      <c r="O262" s="9">
        <f>IF($H262&lt;&gt;"OK","",ROUND($G262*使い方と設定!$B$7*$AK262*INDEX(個性タイプマスタ!$Q$5:$AA$54,$AE262,7)/$AG262,4))</f>
        <v>0.70799999999999996</v>
      </c>
      <c r="P262" s="9">
        <f>IF($H262&lt;&gt;"OK","",ROUND($G262*使い方と設定!$B$7*$AK262*INDEX(個性タイプマスタ!$Q$5:$AA$54,$AE262,8)/$AG262,4))</f>
        <v>0.57779999999999998</v>
      </c>
      <c r="Q262" s="9">
        <f>IF($H262&lt;&gt;"OK","",ROUND($G262*使い方と設定!$B$7*$AK262*INDEX(個性タイプマスタ!$Q$5:$AA$54,$AE262,9)/$AG262,4))</f>
        <v>0.67769999999999997</v>
      </c>
      <c r="R262" s="9">
        <f>IF($H262&lt;&gt;"OK","",ROUND($G262*使い方と設定!$B$7*$AK262*INDEX(個性タイプマスタ!$Q$5:$AA$54,$AE262,10)/$AG262,4))</f>
        <v>1.6275999999999999</v>
      </c>
      <c r="S262" s="9">
        <f>IF($H262&lt;&gt;"OK","",ROUND($G262*使い方と設定!$B$7*$AK262*INDEX(個性タイプマスタ!$Q$5:$AA$54,$AE262,11)/$AG262,4))</f>
        <v>0.48920000000000002</v>
      </c>
      <c r="T262" s="9">
        <f>IF($H262&lt;&gt;"OK","",ROUND($G262*使い方と設定!$B$8*$AK262*$AH262*INDEX(属性耐性マスタ!$B$5:$G$10,$AF262,1),4))</f>
        <v>1.3299999999999999E-2</v>
      </c>
      <c r="U262" s="9">
        <f>IF($H262&lt;&gt;"OK","",ROUND($G262*使い方と設定!$B$8*$AK262*$AH262*INDEX(属性耐性マスタ!$B$5:$G$10,$AF262,2),4))</f>
        <v>1.3299999999999999E-2</v>
      </c>
      <c r="V262" s="9">
        <f>IF($H262&lt;&gt;"OK","",ROUND($G262*使い方と設定!$B$8*$AK262*$AH262*INDEX(属性耐性マスタ!$B$5:$G$10,$AF262,3),4))</f>
        <v>1.3299999999999999E-2</v>
      </c>
      <c r="W262" s="9">
        <f>IF($H262&lt;&gt;"OK","",ROUND($G262*使い方と設定!$B$8*$AK262*$AH262*INDEX(属性耐性マスタ!$B$5:$G$10,$AF262,4),4))</f>
        <v>1.3299999999999999E-2</v>
      </c>
      <c r="X262" s="9">
        <f>IF($H262&lt;&gt;"OK","",ROUND($G262*使い方と設定!$B$8*$AK262*$AH262*INDEX(属性耐性マスタ!$B$5:$G$10,$AF262,5),4))</f>
        <v>0.2651</v>
      </c>
      <c r="Y262" s="9">
        <f>IF($H262&lt;&gt;"OK","",ROUND($G262*使い方と設定!$B$8*$AK262*$AH262*INDEX(属性耐性マスタ!$B$5:$G$10,$AF262,6),4))</f>
        <v>3.5400000000000001E-2</v>
      </c>
      <c r="Z262" s="9">
        <f>IF($H262&lt;&gt;"OK","",ROUND($G262*使い方と設定!$B$9*$AK262*$AI262,4))</f>
        <v>3.4586000000000001</v>
      </c>
      <c r="AA262" s="10">
        <v>0.55000000000000004</v>
      </c>
      <c r="AB262" s="11">
        <f t="shared" si="10"/>
        <v>8.9575999999999993</v>
      </c>
      <c r="AC262" s="11">
        <f t="shared" si="11"/>
        <v>0.35370000000000001</v>
      </c>
      <c r="AD262" s="7" t="str">
        <f>IF($H262&lt;&gt;"OK","",INDEX(個性タイプマスタ!$P$5:$P$54,$AE262))</f>
        <v>高攻速・短射程の手数型</v>
      </c>
      <c r="AE262">
        <f>IFERROR(MATCH(E262,個性タイプマスタ!$A$5:$A$54,0),0)</f>
        <v>35</v>
      </c>
      <c r="AF262">
        <f>IFERROR(MATCH(F262,属性耐性マスタ!$A$5:$A$10,0),0)</f>
        <v>5</v>
      </c>
      <c r="AG262">
        <f>IF(AE262=0,1,INDEX(個性タイプマスタ!$AB$5:$AB$54,AE262))</f>
        <v>9.7413333333333334</v>
      </c>
      <c r="AH262">
        <f>IF(AE262=0,1,INDEX(個性タイプマスタ!$AC$5:$AC$54,AE262))</f>
        <v>0.74</v>
      </c>
      <c r="AI262">
        <f>IF(AE262=0,0,INDEX(個性タイプマスタ!$AD$5:$AD$54,AE262))</f>
        <v>1.1583333333333332</v>
      </c>
      <c r="AJ262" s="16">
        <v>43</v>
      </c>
      <c r="AK262" s="17">
        <f>IF(OR(AJ262="",AJ262&lt;1),"",POWER(使い方と設定!$E$6,AJ262-1))</f>
        <v>5.1927839111762903</v>
      </c>
    </row>
    <row r="263" spans="1:37">
      <c r="A263" t="str">
        <f>+[2]称号!A258</f>
        <v>TITLE_257</v>
      </c>
      <c r="B263" t="str">
        <f>+[2]称号!B258</f>
        <v>誓文を囁く蒼炎の漂霊</v>
      </c>
      <c r="C263" t="s">
        <v>649</v>
      </c>
      <c r="D263" t="s">
        <v>650</v>
      </c>
      <c r="E263" s="2" t="str">
        <f>[1]モンスター計算!AM261</f>
        <v>近接・捨身</v>
      </c>
      <c r="F263" s="2" t="str">
        <f>[1]モンスター計算!C261</f>
        <v>闇</v>
      </c>
      <c r="G263" s="8">
        <v>1.2</v>
      </c>
      <c r="H263" t="str">
        <f t="shared" ref="H263:H326" si="12">IF(OR(E263="",F263=""),"未入力",IF(IFERROR(AND(ISNUMBER(AJ263),AJ263&gt;=1,AJ263=INT(AJ263)),FALSE),IF(AE263=0,"タイプ未登録",IF(AF263=0,"属性未登録","OK")),"ステージ未設定"))</f>
        <v>OK</v>
      </c>
      <c r="I263" s="9">
        <f>IF($H263&lt;&gt;"OK","",ROUND($G263*使い方と設定!$B$7*$AK263*INDEX(個性タイプマスタ!$Q$5:$AA$54,$AE263,1)/$AG263,4))</f>
        <v>0.69379999999999997</v>
      </c>
      <c r="J263" s="9">
        <f>IF($H263&lt;&gt;"OK","",ROUND($G263*使い方と設定!$B$7*$AK263*INDEX(個性タイプマスタ!$Q$5:$AA$54,$AE263,2)/$AG263,4))</f>
        <v>0.29899999999999999</v>
      </c>
      <c r="K263" s="9">
        <f>IF($H263&lt;&gt;"OK","",ROUND($G263*使い方と設定!$B$7*$AK263*INDEX(個性タイプマスタ!$Q$5:$AA$54,$AE263,3)/$AG263,4))</f>
        <v>2.7185999999999999</v>
      </c>
      <c r="L263" s="9">
        <f>IF($H263&lt;&gt;"OK","",ROUND($G263*使い方と設定!$B$7*$AK263*INDEX(個性タイプマスタ!$Q$5:$AA$54,$AE263,4)/$AG263,4))</f>
        <v>0.13589999999999999</v>
      </c>
      <c r="M263" s="9">
        <f>IF($H263&lt;&gt;"OK","",ROUND($G263*使い方と設定!$B$7*$AK263*INDEX(個性タイプマスタ!$Q$5:$AA$54,$AE263,5)/$AG263,4))</f>
        <v>0.50839999999999996</v>
      </c>
      <c r="N263" s="9">
        <f>IF($H263&lt;&gt;"OK","",ROUND($G263*使い方と設定!$B$7*$AK263*INDEX(個性タイプマスタ!$Q$5:$AA$54,$AE263,6)/$AG263,4))</f>
        <v>0.51759999999999995</v>
      </c>
      <c r="O263" s="9">
        <f>IF($H263&lt;&gt;"OK","",ROUND($G263*使い方と設定!$B$7*$AK263*INDEX(個性タイプマスタ!$Q$5:$AA$54,$AE263,7)/$AG263,4))</f>
        <v>0.95689999999999997</v>
      </c>
      <c r="P263" s="9">
        <f>IF($H263&lt;&gt;"OK","",ROUND($G263*使い方と設定!$B$7*$AK263*INDEX(個性タイプマスタ!$Q$5:$AA$54,$AE263,8)/$AG263,4))</f>
        <v>0.91890000000000005</v>
      </c>
      <c r="Q263" s="9">
        <f>IF($H263&lt;&gt;"OK","",ROUND($G263*使い方と設定!$B$7*$AK263*INDEX(個性タイプマスタ!$Q$5:$AA$54,$AE263,9)/$AG263,4))</f>
        <v>0.68179999999999996</v>
      </c>
      <c r="R263" s="9">
        <f>IF($H263&lt;&gt;"OK","",ROUND($G263*使い方と設定!$B$7*$AK263*INDEX(個性タイプマスタ!$Q$5:$AA$54,$AE263,10)/$AG263,4))</f>
        <v>1.1853</v>
      </c>
      <c r="S263" s="9">
        <f>IF($H263&lt;&gt;"OK","",ROUND($G263*使い方と設定!$B$7*$AK263*INDEX(個性タイプマスタ!$Q$5:$AA$54,$AE263,11)/$AG263,4))</f>
        <v>0.73080000000000001</v>
      </c>
      <c r="T263" s="9">
        <f>IF($H263&lt;&gt;"OK","",ROUND($G263*使い方と設定!$B$8*$AK263*$AH263*INDEX(属性耐性マスタ!$B$5:$G$10,$AF263,1),4))</f>
        <v>1.01E-2</v>
      </c>
      <c r="U263" s="9">
        <f>IF($H263&lt;&gt;"OK","",ROUND($G263*使い方と設定!$B$8*$AK263*$AH263*INDEX(属性耐性マスタ!$B$5:$G$10,$AF263,2),4))</f>
        <v>1.01E-2</v>
      </c>
      <c r="V263" s="9">
        <f>IF($H263&lt;&gt;"OK","",ROUND($G263*使い方と設定!$B$8*$AK263*$AH263*INDEX(属性耐性マスタ!$B$5:$G$10,$AF263,3),4))</f>
        <v>1.01E-2</v>
      </c>
      <c r="W263" s="9">
        <f>IF($H263&lt;&gt;"OK","",ROUND($G263*使い方と設定!$B$8*$AK263*$AH263*INDEX(属性耐性マスタ!$B$5:$G$10,$AF263,4),4))</f>
        <v>1.01E-2</v>
      </c>
      <c r="X263" s="9">
        <f>IF($H263&lt;&gt;"OK","",ROUND($G263*使い方と設定!$B$8*$AK263*$AH263*INDEX(属性耐性マスタ!$B$5:$G$10,$AF263,5),4))</f>
        <v>2.69E-2</v>
      </c>
      <c r="Y263" s="9">
        <f>IF($H263&lt;&gt;"OK","",ROUND($G263*使い方と設定!$B$8*$AK263*$AH263*INDEX(属性耐性マスタ!$B$5:$G$10,$AF263,6),4))</f>
        <v>0.2019</v>
      </c>
      <c r="Z263" s="9">
        <f>IF($H263&lt;&gt;"OK","",ROUND($G263*使い方と設定!$B$9*$AK263*$AI263,4))</f>
        <v>3.3492999999999999</v>
      </c>
      <c r="AA263" s="10">
        <v>0.5</v>
      </c>
      <c r="AB263" s="11">
        <f t="shared" ref="AB263:AB326" si="13">IF($H263&lt;&gt;"OK","",ROUND(SUM(I263:S263),4))</f>
        <v>9.3469999999999995</v>
      </c>
      <c r="AC263" s="11">
        <f t="shared" ref="AC263:AC326" si="14">IF($H263&lt;&gt;"OK","",ROUND(SUM(T263:Y263),4))</f>
        <v>0.26919999999999999</v>
      </c>
      <c r="AD263" s="7" t="str">
        <f>IF($H263&lt;&gt;"OK","",INDEX(個性タイプマスタ!$P$5:$P$54,$AE263))</f>
        <v>極端な低耐久・攻撃重視</v>
      </c>
      <c r="AE263">
        <f>IFERROR(MATCH(E263,個性タイプマスタ!$A$5:$A$54,0),0)</f>
        <v>42</v>
      </c>
      <c r="AF263">
        <f>IFERROR(MATCH(F263,属性耐性マスタ!$A$5:$A$10,0),0)</f>
        <v>6</v>
      </c>
      <c r="AG263">
        <f>IF(AE263=0,1,INDEX(個性タイプマスタ!$AB$5:$AB$54,AE263))</f>
        <v>8.5954999999999995</v>
      </c>
      <c r="AH263">
        <f>IF(AE263=0,1,INDEX(個性タイプマスタ!$AC$5:$AC$54,AE263))</f>
        <v>0.54</v>
      </c>
      <c r="AI263">
        <f>IF(AE263=0,0,INDEX(個性タイプマスタ!$AD$5:$AD$54,AE263))</f>
        <v>1.075</v>
      </c>
      <c r="AJ263" s="16">
        <v>43</v>
      </c>
      <c r="AK263" s="17">
        <f>IF(OR(AJ263="",AJ263&lt;1),"",POWER(使い方と設定!$E$6,AJ263-1))</f>
        <v>5.1927839111762903</v>
      </c>
    </row>
    <row r="264" spans="1:37">
      <c r="A264" t="str">
        <f>+[2]称号!A259</f>
        <v>TITLE_258</v>
      </c>
      <c r="B264" t="str">
        <f>+[2]称号!B259</f>
        <v>万契を統べる誓約絶対王</v>
      </c>
      <c r="C264" t="s">
        <v>651</v>
      </c>
      <c r="D264" t="s">
        <v>652</v>
      </c>
      <c r="E264" s="2" t="str">
        <f>[1]モンスター計算!AM262</f>
        <v>魔法・鈍足賢者</v>
      </c>
      <c r="F264" s="2" t="str">
        <f>[1]モンスター計算!C262</f>
        <v>光</v>
      </c>
      <c r="G264" s="8">
        <v>1.25</v>
      </c>
      <c r="H264" t="str">
        <f t="shared" si="12"/>
        <v>OK</v>
      </c>
      <c r="I264" s="9">
        <f>IF($H264&lt;&gt;"OK","",ROUND($G264*使い方と設定!$B$7*$AK264*INDEX(個性タイプマスタ!$Q$5:$AA$54,$AE264,1)/$AG264,4))</f>
        <v>1.1596</v>
      </c>
      <c r="J264" s="9">
        <f>IF($H264&lt;&gt;"OK","",ROUND($G264*使い方と設定!$B$7*$AK264*INDEX(個性タイプマスタ!$Q$5:$AA$54,$AE264,2)/$AG264,4))</f>
        <v>1.8222</v>
      </c>
      <c r="K264" s="9">
        <f>IF($H264&lt;&gt;"OK","",ROUND($G264*使い方と設定!$B$7*$AK264*INDEX(個性タイプマスタ!$Q$5:$AA$54,$AE264,3)/$AG264,4))</f>
        <v>0.15809999999999999</v>
      </c>
      <c r="L264" s="9">
        <f>IF($H264&lt;&gt;"OK","",ROUND($G264*使い方と設定!$B$7*$AK264*INDEX(個性タイプマスタ!$Q$5:$AA$54,$AE264,4)/$AG264,4))</f>
        <v>1.8825000000000001</v>
      </c>
      <c r="M264" s="9">
        <f>IF($H264&lt;&gt;"OK","",ROUND($G264*使い方と設定!$B$7*$AK264*INDEX(個性タイプマスタ!$Q$5:$AA$54,$AE264,5)/$AG264,4))</f>
        <v>0.60799999999999998</v>
      </c>
      <c r="N264" s="9">
        <f>IF($H264&lt;&gt;"OK","",ROUND($G264*使い方と設定!$B$7*$AK264*INDEX(個性タイプマスタ!$Q$5:$AA$54,$AE264,6)/$AG264,4))</f>
        <v>1.0752999999999999</v>
      </c>
      <c r="O264" s="9">
        <f>IF($H264&lt;&gt;"OK","",ROUND($G264*使い方と設定!$B$7*$AK264*INDEX(個性タイプマスタ!$Q$5:$AA$54,$AE264,7)/$AG264,4))</f>
        <v>0.95250000000000001</v>
      </c>
      <c r="P264" s="9">
        <f>IF($H264&lt;&gt;"OK","",ROUND($G264*使い方と設定!$B$7*$AK264*INDEX(個性タイプマスタ!$Q$5:$AA$54,$AE264,8)/$AG264,4))</f>
        <v>0.63629999999999998</v>
      </c>
      <c r="Q264" s="9">
        <f>IF($H264&lt;&gt;"OK","",ROUND($G264*使い方と設定!$B$7*$AK264*INDEX(個性タイプマスタ!$Q$5:$AA$54,$AE264,9)/$AG264,4))</f>
        <v>0.1988</v>
      </c>
      <c r="R264" s="9">
        <f>IF($H264&lt;&gt;"OK","",ROUND($G264*使い方と設定!$B$7*$AK264*INDEX(個性タイプマスタ!$Q$5:$AA$54,$AE264,10)/$AG264,4))</f>
        <v>0.54210000000000003</v>
      </c>
      <c r="S264" s="9">
        <f>IF($H264&lt;&gt;"OK","",ROUND($G264*使い方と設定!$B$7*$AK264*INDEX(個性タイプマスタ!$Q$5:$AA$54,$AE264,11)/$AG264,4))</f>
        <v>0.70099999999999996</v>
      </c>
      <c r="T264" s="9">
        <f>IF($H264&lt;&gt;"OK","",ROUND($G264*使い方と設定!$B$8*$AK264*$AH264*INDEX(属性耐性マスタ!$B$5:$G$10,$AF264,1),4))</f>
        <v>2.5700000000000001E-2</v>
      </c>
      <c r="U264" s="9">
        <f>IF($H264&lt;&gt;"OK","",ROUND($G264*使い方と設定!$B$8*$AK264*$AH264*INDEX(属性耐性マスタ!$B$5:$G$10,$AF264,2),4))</f>
        <v>2.5700000000000001E-2</v>
      </c>
      <c r="V264" s="9">
        <f>IF($H264&lt;&gt;"OK","",ROUND($G264*使い方と設定!$B$8*$AK264*$AH264*INDEX(属性耐性マスタ!$B$5:$G$10,$AF264,3),4))</f>
        <v>2.5700000000000001E-2</v>
      </c>
      <c r="W264" s="9">
        <f>IF($H264&lt;&gt;"OK","",ROUND($G264*使い方と設定!$B$8*$AK264*$AH264*INDEX(属性耐性マスタ!$B$5:$G$10,$AF264,4),4))</f>
        <v>2.5700000000000001E-2</v>
      </c>
      <c r="X264" s="9">
        <f>IF($H264&lt;&gt;"OK","",ROUND($G264*使い方と設定!$B$8*$AK264*$AH264*INDEX(属性耐性マスタ!$B$5:$G$10,$AF264,5),4))</f>
        <v>0.5141</v>
      </c>
      <c r="Y264" s="9">
        <f>IF($H264&lt;&gt;"OK","",ROUND($G264*使い方と設定!$B$8*$AK264*$AH264*INDEX(属性耐性マスタ!$B$5:$G$10,$AF264,6),4))</f>
        <v>6.8500000000000005E-2</v>
      </c>
      <c r="Z264" s="9">
        <f>IF($H264&lt;&gt;"OK","",ROUND($G264*使い方と設定!$B$9*$AK264*$AI264,4))</f>
        <v>2.5964</v>
      </c>
      <c r="AA264" s="10">
        <v>0.25</v>
      </c>
      <c r="AB264" s="11">
        <f t="shared" si="13"/>
        <v>9.7363999999999997</v>
      </c>
      <c r="AC264" s="11">
        <f t="shared" si="14"/>
        <v>0.68540000000000001</v>
      </c>
      <c r="AD264" s="7" t="str">
        <f>IF($H264&lt;&gt;"OK","",INDEX(個性タイプマスタ!$P$5:$P$54,$AE264))</f>
        <v>低機動・高MP・高魔防</v>
      </c>
      <c r="AE264">
        <f>IFERROR(MATCH(E264,個性タイプマスタ!$A$5:$A$54,0),0)</f>
        <v>30</v>
      </c>
      <c r="AF264">
        <f>IFERROR(MATCH(F264,属性耐性マスタ!$A$5:$A$10,0),0)</f>
        <v>5</v>
      </c>
      <c r="AG264">
        <f>IF(AE264=0,1,INDEX(個性タイプマスタ!$AB$5:$AB$54,AE264))</f>
        <v>12.9305</v>
      </c>
      <c r="AH264">
        <f>IF(AE264=0,1,INDEX(個性タイプマスタ!$AC$5:$AC$54,AE264))</f>
        <v>1.32</v>
      </c>
      <c r="AI264">
        <f>IF(AE264=0,0,INDEX(個性タイプマスタ!$AD$5:$AD$54,AE264))</f>
        <v>0.79999999999999993</v>
      </c>
      <c r="AJ264" s="16">
        <v>43</v>
      </c>
      <c r="AK264" s="17">
        <f>IF(OR(AJ264="",AJ264&lt;1),"",POWER(使い方と設定!$E$6,AJ264-1))</f>
        <v>5.1927839111762903</v>
      </c>
    </row>
    <row r="265" spans="1:37">
      <c r="A265" t="str">
        <f>+[2]称号!A260</f>
        <v>TITLE_259</v>
      </c>
      <c r="B265" t="str">
        <f>+[2]称号!B260</f>
        <v>亡骸の量産者</v>
      </c>
      <c r="C265" t="s">
        <v>653</v>
      </c>
      <c r="D265" t="s">
        <v>654</v>
      </c>
      <c r="E265" s="2" t="str">
        <f>[1]モンスター計算!AM263</f>
        <v>魔法・耐性特化</v>
      </c>
      <c r="F265" s="2" t="str">
        <f>[1]モンスター計算!C263</f>
        <v>闇</v>
      </c>
      <c r="G265" s="8">
        <v>1</v>
      </c>
      <c r="H265" t="str">
        <f t="shared" si="12"/>
        <v>OK</v>
      </c>
      <c r="I265" s="9">
        <f>IF($H265&lt;&gt;"OK","",ROUND($G265*使い方と設定!$B$7*$AK265*INDEX(個性タイプマスタ!$Q$5:$AA$54,$AE265,1)/$AG265,4))</f>
        <v>0.8911</v>
      </c>
      <c r="J265" s="9">
        <f>IF($H265&lt;&gt;"OK","",ROUND($G265*使い方と設定!$B$7*$AK265*INDEX(個性タイプマスタ!$Q$5:$AA$54,$AE265,2)/$AG265,4))</f>
        <v>1.0692999999999999</v>
      </c>
      <c r="K265" s="9">
        <f>IF($H265&lt;&gt;"OK","",ROUND($G265*使い方と設定!$B$7*$AK265*INDEX(個性タイプマスタ!$Q$5:$AA$54,$AE265,3)/$AG265,4))</f>
        <v>0.14180000000000001</v>
      </c>
      <c r="L265" s="9">
        <f>IF($H265&lt;&gt;"OK","",ROUND($G265*使い方と設定!$B$7*$AK265*INDEX(個性タイプマスタ!$Q$5:$AA$54,$AE265,4)/$AG265,4))</f>
        <v>2.0253000000000001</v>
      </c>
      <c r="M265" s="9">
        <f>IF($H265&lt;&gt;"OK","",ROUND($G265*使い方と設定!$B$7*$AK265*INDEX(個性タイプマスタ!$Q$5:$AA$54,$AE265,5)/$AG265,4))</f>
        <v>0.66100000000000003</v>
      </c>
      <c r="N265" s="9">
        <f>IF($H265&lt;&gt;"OK","",ROUND($G265*使い方と設定!$B$7*$AK265*INDEX(個性タイプマスタ!$Q$5:$AA$54,$AE265,6)/$AG265,4))</f>
        <v>0.70240000000000002</v>
      </c>
      <c r="O265" s="9">
        <f>IF($H265&lt;&gt;"OK","",ROUND($G265*使い方と設定!$B$7*$AK265*INDEX(個性タイプマスタ!$Q$5:$AA$54,$AE265,7)/$AG265,4))</f>
        <v>0.40100000000000002</v>
      </c>
      <c r="P265" s="9">
        <f>IF($H265&lt;&gt;"OK","",ROUND($G265*使い方と設定!$B$7*$AK265*INDEX(個性タイプマスタ!$Q$5:$AA$54,$AE265,8)/$AG265,4))</f>
        <v>0.49149999999999999</v>
      </c>
      <c r="Q265" s="9">
        <f>IF($H265&lt;&gt;"OK","",ROUND($G265*使い方と設定!$B$7*$AK265*INDEX(個性タイプマスタ!$Q$5:$AA$54,$AE265,9)/$AG265,4))</f>
        <v>0.3654</v>
      </c>
      <c r="R265" s="9">
        <f>IF($H265&lt;&gt;"OK","",ROUND($G265*使い方と設定!$B$7*$AK265*INDEX(個性タイプマスタ!$Q$5:$AA$54,$AE265,10)/$AG265,4))</f>
        <v>0.74529999999999996</v>
      </c>
      <c r="S265" s="9">
        <f>IF($H265&lt;&gt;"OK","",ROUND($G265*使い方と設定!$B$7*$AK265*INDEX(個性タイプマスタ!$Q$5:$AA$54,$AE265,11)/$AG265,4))</f>
        <v>0.60680000000000001</v>
      </c>
      <c r="T265" s="9">
        <f>IF($H265&lt;&gt;"OK","",ROUND($G265*使い方と設定!$B$8*$AK265*$AH265*INDEX(属性耐性マスタ!$B$5:$G$10,$AF265,1),4))</f>
        <v>2.4299999999999999E-2</v>
      </c>
      <c r="U265" s="9">
        <f>IF($H265&lt;&gt;"OK","",ROUND($G265*使い方と設定!$B$8*$AK265*$AH265*INDEX(属性耐性マスタ!$B$5:$G$10,$AF265,2),4))</f>
        <v>2.4299999999999999E-2</v>
      </c>
      <c r="V265" s="9">
        <f>IF($H265&lt;&gt;"OK","",ROUND($G265*使い方と設定!$B$8*$AK265*$AH265*INDEX(属性耐性マスタ!$B$5:$G$10,$AF265,3),4))</f>
        <v>2.4299999999999999E-2</v>
      </c>
      <c r="W265" s="9">
        <f>IF($H265&lt;&gt;"OK","",ROUND($G265*使い方と設定!$B$8*$AK265*$AH265*INDEX(属性耐性マスタ!$B$5:$G$10,$AF265,4),4))</f>
        <v>2.4299999999999999E-2</v>
      </c>
      <c r="X265" s="9">
        <f>IF($H265&lt;&gt;"OK","",ROUND($G265*使い方と設定!$B$8*$AK265*$AH265*INDEX(属性耐性マスタ!$B$5:$G$10,$AF265,5),4))</f>
        <v>6.4799999999999996E-2</v>
      </c>
      <c r="Y265" s="9">
        <f>IF($H265&lt;&gt;"OK","",ROUND($G265*使い方と設定!$B$8*$AK265*$AH265*INDEX(属性耐性マスタ!$B$5:$G$10,$AF265,6),4))</f>
        <v>0.48599999999999999</v>
      </c>
      <c r="Z265" s="9">
        <f>IF($H265&lt;&gt;"OK","",ROUND($G265*使い方と設定!$B$9*$AK265*$AI265,4))</f>
        <v>2.5427</v>
      </c>
      <c r="AA265" s="10">
        <v>1</v>
      </c>
      <c r="AB265" s="11">
        <f t="shared" si="13"/>
        <v>8.1008999999999993</v>
      </c>
      <c r="AC265" s="11">
        <f t="shared" si="14"/>
        <v>0.64800000000000002</v>
      </c>
      <c r="AD265" s="7" t="str">
        <f>IF($H265&lt;&gt;"OK","",INDEX(個性タイプマスタ!$P$5:$P$54,$AE265))</f>
        <v>属性耐性重視・他能力は平均</v>
      </c>
      <c r="AE265">
        <f>IFERROR(MATCH(E265,個性タイプマスタ!$A$5:$A$54,0),0)</f>
        <v>26</v>
      </c>
      <c r="AF265">
        <f>IFERROR(MATCH(F265,属性耐性マスタ!$A$5:$A$10,0),0)</f>
        <v>6</v>
      </c>
      <c r="AG265">
        <f>IF(AE265=0,1,INDEX(個性タイプマスタ!$AB$5:$AB$54,AE265))</f>
        <v>9.9996666666666663</v>
      </c>
      <c r="AH265">
        <f>IF(AE265=0,1,INDEX(個性タイプマスタ!$AC$5:$AC$54,AE265))</f>
        <v>1.5</v>
      </c>
      <c r="AI265">
        <f>IF(AE265=0,0,INDEX(個性タイプマスタ!$AD$5:$AD$54,AE265))</f>
        <v>0.94166666666666665</v>
      </c>
      <c r="AJ265" s="16">
        <v>44</v>
      </c>
      <c r="AK265" s="17">
        <f>IF(OR(AJ265="",AJ265&lt;1),"",POWER(使い方と設定!$E$6,AJ265-1))</f>
        <v>5.4004952676233424</v>
      </c>
    </row>
    <row r="266" spans="1:37">
      <c r="A266" t="str">
        <f>+[2]称号!A261</f>
        <v>TITLE_260</v>
      </c>
      <c r="B266" t="str">
        <f>+[2]称号!B261</f>
        <v>再生する原初粘体</v>
      </c>
      <c r="C266" t="s">
        <v>655</v>
      </c>
      <c r="D266" t="s">
        <v>656</v>
      </c>
      <c r="E266" s="2" t="str">
        <f>[1]モンスター計算!AM264</f>
        <v>魔法・均衡</v>
      </c>
      <c r="F266" s="2" t="str">
        <f>[1]モンスター計算!C264</f>
        <v>光</v>
      </c>
      <c r="G266" s="8">
        <v>1.05</v>
      </c>
      <c r="H266" t="str">
        <f t="shared" si="12"/>
        <v>OK</v>
      </c>
      <c r="I266" s="9">
        <f>IF($H266&lt;&gt;"OK","",ROUND($G266*使い方と設定!$B$7*$AK266*INDEX(個性タイプマスタ!$Q$5:$AA$54,$AE266,1)/$AG266,4))</f>
        <v>0.8649</v>
      </c>
      <c r="J266" s="9">
        <f>IF($H266&lt;&gt;"OK","",ROUND($G266*使い方と設定!$B$7*$AK266*INDEX(個性タイプマスタ!$Q$5:$AA$54,$AE266,2)/$AG266,4))</f>
        <v>0.94010000000000005</v>
      </c>
      <c r="K266" s="9">
        <f>IF($H266&lt;&gt;"OK","",ROUND($G266*使い方と設定!$B$7*$AK266*INDEX(個性タイプマスタ!$Q$5:$AA$54,$AE266,3)/$AG266,4))</f>
        <v>0.2137</v>
      </c>
      <c r="L266" s="9">
        <f>IF($H266&lt;&gt;"OK","",ROUND($G266*使い方と設定!$B$7*$AK266*INDEX(個性タイプマスタ!$Q$5:$AA$54,$AE266,4)/$AG266,4))</f>
        <v>2.1366999999999998</v>
      </c>
      <c r="M266" s="9">
        <f>IF($H266&lt;&gt;"OK","",ROUND($G266*使い方と設定!$B$7*$AK266*INDEX(個性タイプマスタ!$Q$5:$AA$54,$AE266,5)/$AG266,4))</f>
        <v>0.69020000000000004</v>
      </c>
      <c r="N266" s="9">
        <f>IF($H266&lt;&gt;"OK","",ROUND($G266*使い方と設定!$B$7*$AK266*INDEX(個性タイプマスタ!$Q$5:$AA$54,$AE266,6)/$AG266,4))</f>
        <v>0.76280000000000003</v>
      </c>
      <c r="O266" s="9">
        <f>IF($H266&lt;&gt;"OK","",ROUND($G266*使い方と設定!$B$7*$AK266*INDEX(個性タイプマスタ!$Q$5:$AA$54,$AE266,7)/$AG266,4))</f>
        <v>0.47010000000000002</v>
      </c>
      <c r="P266" s="9">
        <f>IF($H266&lt;&gt;"OK","",ROUND($G266*使い方と設定!$B$7*$AK266*INDEX(個性タイプマスタ!$Q$5:$AA$54,$AE266,8)/$AG266,4))</f>
        <v>0.55549999999999999</v>
      </c>
      <c r="Q266" s="9">
        <f>IF($H266&lt;&gt;"OK","",ROUND($G266*使い方と設定!$B$7*$AK266*INDEX(個性タイプマスタ!$Q$5:$AA$54,$AE266,9)/$AG266,4))</f>
        <v>0.37609999999999999</v>
      </c>
      <c r="R266" s="9">
        <f>IF($H266&lt;&gt;"OK","",ROUND($G266*使い方と設定!$B$7*$AK266*INDEX(個性タイプマスタ!$Q$5:$AA$54,$AE266,10)/$AG266,4))</f>
        <v>0.89739999999999998</v>
      </c>
      <c r="S266" s="9">
        <f>IF($H266&lt;&gt;"OK","",ROUND($G266*使い方と設定!$B$7*$AK266*INDEX(個性タイプマスタ!$Q$5:$AA$54,$AE266,11)/$AG266,4))</f>
        <v>0.59830000000000005</v>
      </c>
      <c r="T266" s="9">
        <f>IF($H266&lt;&gt;"OK","",ROUND($G266*使い方と設定!$B$8*$AK266*$AH266*INDEX(属性耐性マスタ!$B$5:$G$10,$AF266,1),4))</f>
        <v>1.7000000000000001E-2</v>
      </c>
      <c r="U266" s="9">
        <f>IF($H266&lt;&gt;"OK","",ROUND($G266*使い方と設定!$B$8*$AK266*$AH266*INDEX(属性耐性マスタ!$B$5:$G$10,$AF266,2),4))</f>
        <v>1.7000000000000001E-2</v>
      </c>
      <c r="V266" s="9">
        <f>IF($H266&lt;&gt;"OK","",ROUND($G266*使い方と設定!$B$8*$AK266*$AH266*INDEX(属性耐性マスタ!$B$5:$G$10,$AF266,3),4))</f>
        <v>1.7000000000000001E-2</v>
      </c>
      <c r="W266" s="9">
        <f>IF($H266&lt;&gt;"OK","",ROUND($G266*使い方と設定!$B$8*$AK266*$AH266*INDEX(属性耐性マスタ!$B$5:$G$10,$AF266,4),4))</f>
        <v>1.7000000000000001E-2</v>
      </c>
      <c r="X266" s="9">
        <f>IF($H266&lt;&gt;"OK","",ROUND($G266*使い方と設定!$B$8*$AK266*$AH266*INDEX(属性耐性マスタ!$B$5:$G$10,$AF266,5),4))</f>
        <v>0.3402</v>
      </c>
      <c r="Y266" s="9">
        <f>IF($H266&lt;&gt;"OK","",ROUND($G266*使い方と設定!$B$8*$AK266*$AH266*INDEX(属性耐性マスタ!$B$5:$G$10,$AF266,6),4))</f>
        <v>4.5400000000000003E-2</v>
      </c>
      <c r="Z266" s="9">
        <f>IF($H266&lt;&gt;"OK","",ROUND($G266*使い方と設定!$B$9*$AK266*$AI266,4))</f>
        <v>2.6461999999999999</v>
      </c>
      <c r="AA266" s="10">
        <v>1</v>
      </c>
      <c r="AB266" s="11">
        <f t="shared" si="13"/>
        <v>8.5058000000000007</v>
      </c>
      <c r="AC266" s="11">
        <f t="shared" si="14"/>
        <v>0.4536</v>
      </c>
      <c r="AD266" s="7" t="str">
        <f>IF($H266&lt;&gt;"OK","",INDEX(個性タイプマスタ!$P$5:$P$54,$AE266))</f>
        <v>標準的な魔法型</v>
      </c>
      <c r="AE266">
        <f>IFERROR(MATCH(E266,個性タイプマスタ!$A$5:$A$54,0),0)</f>
        <v>2</v>
      </c>
      <c r="AF266">
        <f>IFERROR(MATCH(F266,属性耐性マスタ!$A$5:$A$10,0),0)</f>
        <v>5</v>
      </c>
      <c r="AG266">
        <f>IF(AE266=0,1,INDEX(個性タイプマスタ!$AB$5:$AB$54,AE266))</f>
        <v>9.952</v>
      </c>
      <c r="AH266">
        <f>IF(AE266=0,1,INDEX(個性タイプマスタ!$AC$5:$AC$54,AE266))</f>
        <v>1</v>
      </c>
      <c r="AI266">
        <f>IF(AE266=0,0,INDEX(個性タイプマスタ!$AD$5:$AD$54,AE266))</f>
        <v>0.93333333333333335</v>
      </c>
      <c r="AJ266" s="16">
        <v>44</v>
      </c>
      <c r="AK266" s="17">
        <f>IF(OR(AJ266="",AJ266&lt;1),"",POWER(使い方と設定!$E$6,AJ266-1))</f>
        <v>5.4004952676233424</v>
      </c>
    </row>
    <row r="267" spans="1:37">
      <c r="A267" t="str">
        <f>+[2]称号!A262</f>
        <v>TITLE_261</v>
      </c>
      <c r="B267" t="str">
        <f>+[2]称号!B262</f>
        <v>模倣の小悪魔</v>
      </c>
      <c r="C267" t="s">
        <v>657</v>
      </c>
      <c r="D267" t="s">
        <v>658</v>
      </c>
      <c r="E267" s="2" t="str">
        <f>[1]モンスター計算!AM265</f>
        <v>魔法・連射</v>
      </c>
      <c r="F267" s="2" t="str">
        <f>[1]モンスター計算!C265</f>
        <v>雷</v>
      </c>
      <c r="G267" s="8">
        <v>1.1000000000000001</v>
      </c>
      <c r="H267" t="str">
        <f t="shared" si="12"/>
        <v>OK</v>
      </c>
      <c r="I267" s="9">
        <f>IF($H267&lt;&gt;"OK","",ROUND($G267*使い方と設定!$B$7*$AK267*INDEX(個性タイプマスタ!$Q$5:$AA$54,$AE267,1)/$AG267,4))</f>
        <v>0.73009999999999997</v>
      </c>
      <c r="J267" s="9">
        <f>IF($H267&lt;&gt;"OK","",ROUND($G267*使い方と設定!$B$7*$AK267*INDEX(個性タイプマスタ!$Q$5:$AA$54,$AE267,2)/$AG267,4))</f>
        <v>0.93730000000000002</v>
      </c>
      <c r="K267" s="9">
        <f>IF($H267&lt;&gt;"OK","",ROUND($G267*使い方と設定!$B$7*$AK267*INDEX(個性タイプマスタ!$Q$5:$AA$54,$AE267,3)/$AG267,4))</f>
        <v>0.1457</v>
      </c>
      <c r="L267" s="9">
        <f>IF($H267&lt;&gt;"OK","",ROUND($G267*使い方と設定!$B$7*$AK267*INDEX(個性タイプマスタ!$Q$5:$AA$54,$AE267,4)/$AG267,4))</f>
        <v>2.2422</v>
      </c>
      <c r="M267" s="9">
        <f>IF($H267&lt;&gt;"OK","",ROUND($G267*使い方と設定!$B$7*$AK267*INDEX(個性タイプマスタ!$Q$5:$AA$54,$AE267,5)/$AG267,4))</f>
        <v>0.54890000000000005</v>
      </c>
      <c r="N267" s="9">
        <f>IF($H267&lt;&gt;"OK","",ROUND($G267*使い方と設定!$B$7*$AK267*INDEX(個性タイプマスタ!$Q$5:$AA$54,$AE267,6)/$AG267,4))</f>
        <v>0.64039999999999997</v>
      </c>
      <c r="O267" s="9">
        <f>IF($H267&lt;&gt;"OK","",ROUND($G267*使い方と設定!$B$7*$AK267*INDEX(個性タイプマスタ!$Q$5:$AA$54,$AE267,7)/$AG267,4))</f>
        <v>0.49330000000000002</v>
      </c>
      <c r="P267" s="9">
        <f>IF($H267&lt;&gt;"OK","",ROUND($G267*使い方と設定!$B$7*$AK267*INDEX(個性タイプマスタ!$Q$5:$AA$54,$AE267,8)/$AG267,4))</f>
        <v>0.54410000000000003</v>
      </c>
      <c r="Q267" s="9">
        <f>IF($H267&lt;&gt;"OK","",ROUND($G267*使い方と設定!$B$7*$AK267*INDEX(個性タイプマスタ!$Q$5:$AA$54,$AE267,9)/$AG267,4))</f>
        <v>0.66100000000000003</v>
      </c>
      <c r="R267" s="9">
        <f>IF($H267&lt;&gt;"OK","",ROUND($G267*使い方と設定!$B$7*$AK267*INDEX(個性タイプマスタ!$Q$5:$AA$54,$AE267,10)/$AG267,4))</f>
        <v>1.3902000000000001</v>
      </c>
      <c r="S267" s="9">
        <f>IF($H267&lt;&gt;"OK","",ROUND($G267*使い方と設定!$B$7*$AK267*INDEX(個性タイプマスタ!$Q$5:$AA$54,$AE267,11)/$AG267,4))</f>
        <v>0.5776</v>
      </c>
      <c r="T267" s="9">
        <f>IF($H267&lt;&gt;"OK","",ROUND($G267*使い方と設定!$B$8*$AK267*$AH267*INDEX(属性耐性マスタ!$B$5:$G$10,$AF267,1),4))</f>
        <v>1.7100000000000001E-2</v>
      </c>
      <c r="U267" s="9">
        <f>IF($H267&lt;&gt;"OK","",ROUND($G267*使い方と設定!$B$8*$AK267*$AH267*INDEX(属性耐性マスタ!$B$5:$G$10,$AF267,2),4))</f>
        <v>1.7100000000000001E-2</v>
      </c>
      <c r="V267" s="9">
        <f>IF($H267&lt;&gt;"OK","",ROUND($G267*使い方と設定!$B$8*$AK267*$AH267*INDEX(属性耐性マスタ!$B$5:$G$10,$AF267,3),4))</f>
        <v>6.4199999999999993E-2</v>
      </c>
      <c r="W267" s="9">
        <f>IF($H267&lt;&gt;"OK","",ROUND($G267*使い方と設定!$B$8*$AK267*$AH267*INDEX(属性耐性マスタ!$B$5:$G$10,$AF267,4),4))</f>
        <v>0.25659999999999999</v>
      </c>
      <c r="X267" s="9">
        <f>IF($H267&lt;&gt;"OK","",ROUND($G267*使い方と設定!$B$8*$AK267*$AH267*INDEX(属性耐性マスタ!$B$5:$G$10,$AF267,5),4))</f>
        <v>1.2800000000000001E-2</v>
      </c>
      <c r="Y267" s="9">
        <f>IF($H267&lt;&gt;"OK","",ROUND($G267*使い方と設定!$B$8*$AK267*$AH267*INDEX(属性耐性マスタ!$B$5:$G$10,$AF267,6),4))</f>
        <v>1.2800000000000001E-2</v>
      </c>
      <c r="Z267" s="9">
        <f>IF($H267&lt;&gt;"OK","",ROUND($G267*使い方と設定!$B$9*$AK267*$AI267,4))</f>
        <v>3.4405999999999999</v>
      </c>
      <c r="AA267" s="10">
        <v>0.9</v>
      </c>
      <c r="AB267" s="11">
        <f t="shared" si="13"/>
        <v>8.9108000000000001</v>
      </c>
      <c r="AC267" s="11">
        <f t="shared" si="14"/>
        <v>0.38059999999999999</v>
      </c>
      <c r="AD267" s="7" t="str">
        <f>IF($H267&lt;&gt;"OK","",INDEX(個性タイプマスタ!$P$5:$P$54,$AE267))</f>
        <v>手数重視。ひと撃ちは軽いが高速</v>
      </c>
      <c r="AE267">
        <f>IFERROR(MATCH(E267,個性タイプマスタ!$A$5:$A$54,0),0)</f>
        <v>15</v>
      </c>
      <c r="AF267">
        <f>IFERROR(MATCH(F267,属性耐性マスタ!$A$5:$A$10,0),0)</f>
        <v>4</v>
      </c>
      <c r="AG267">
        <f>IF(AE267=0,1,INDEX(個性タイプマスタ!$AB$5:$AB$54,AE267))</f>
        <v>9.9351666666666674</v>
      </c>
      <c r="AH267">
        <f>IF(AE267=0,1,INDEX(個性タイプマスタ!$AC$5:$AC$54,AE267))</f>
        <v>0.72</v>
      </c>
      <c r="AI267">
        <f>IF(AE267=0,0,INDEX(個性タイプマスタ!$AD$5:$AD$54,AE267))</f>
        <v>1.1583333333333332</v>
      </c>
      <c r="AJ267" s="16">
        <v>44</v>
      </c>
      <c r="AK267" s="17">
        <f>IF(OR(AJ267="",AJ267&lt;1),"",POWER(使い方と設定!$E$6,AJ267-1))</f>
        <v>5.4004952676233424</v>
      </c>
    </row>
    <row r="268" spans="1:37">
      <c r="A268" t="str">
        <f>+[2]称号!A263</f>
        <v>TITLE_262</v>
      </c>
      <c r="B268" t="str">
        <f>+[2]称号!B263</f>
        <v>円環甲殻の巡行者</v>
      </c>
      <c r="C268" t="s">
        <v>659</v>
      </c>
      <c r="D268" t="s">
        <v>660</v>
      </c>
      <c r="E268" s="2" t="str">
        <f>[1]モンスター計算!AM266</f>
        <v>近接・短剣</v>
      </c>
      <c r="F268" s="2" t="str">
        <f>[1]モンスター計算!C266</f>
        <v>雷</v>
      </c>
      <c r="G268" s="8">
        <v>1.1499999999999999</v>
      </c>
      <c r="H268" t="str">
        <f t="shared" si="12"/>
        <v>OK</v>
      </c>
      <c r="I268" s="9">
        <f>IF($H268&lt;&gt;"OK","",ROUND($G268*使い方と設定!$B$7*$AK268*INDEX(個性タイプマスタ!$Q$5:$AA$54,$AE268,1)/$AG268,4))</f>
        <v>0.62370000000000003</v>
      </c>
      <c r="J268" s="9">
        <f>IF($H268&lt;&gt;"OK","",ROUND($G268*使い方と設定!$B$7*$AK268*INDEX(個性タイプマスタ!$Q$5:$AA$54,$AE268,2)/$AG268,4))</f>
        <v>0.28349999999999997</v>
      </c>
      <c r="K268" s="9">
        <f>IF($H268&lt;&gt;"OK","",ROUND($G268*使い方と設定!$B$7*$AK268*INDEX(個性タイプマスタ!$Q$5:$AA$54,$AE268,3)/$AG268,4))</f>
        <v>2.1476000000000002</v>
      </c>
      <c r="L268" s="9">
        <f>IF($H268&lt;&gt;"OK","",ROUND($G268*使い方と設定!$B$7*$AK268*INDEX(個性タイプマスタ!$Q$5:$AA$54,$AE268,4)/$AG268,4))</f>
        <v>0.1181</v>
      </c>
      <c r="M268" s="9">
        <f>IF($H268&lt;&gt;"OK","",ROUND($G268*使い方と設定!$B$7*$AK268*INDEX(個性タイプマスタ!$Q$5:$AA$54,$AE268,5)/$AG268,4))</f>
        <v>0.5111</v>
      </c>
      <c r="N268" s="9">
        <f>IF($H268&lt;&gt;"OK","",ROUND($G268*使い方と設定!$B$7*$AK268*INDEX(個性タイプマスタ!$Q$5:$AA$54,$AE268,6)/$AG268,4))</f>
        <v>0.51839999999999997</v>
      </c>
      <c r="O268" s="9">
        <f>IF($H268&lt;&gt;"OK","",ROUND($G268*使い方と設定!$B$7*$AK268*INDEX(個性タイプマスタ!$Q$5:$AA$54,$AE268,7)/$AG268,4))</f>
        <v>1.9843999999999999</v>
      </c>
      <c r="P268" s="9">
        <f>IF($H268&lt;&gt;"OK","",ROUND($G268*使い方と設定!$B$7*$AK268*INDEX(個性タイプマスタ!$Q$5:$AA$54,$AE268,8)/$AG268,4))</f>
        <v>0.66259999999999997</v>
      </c>
      <c r="Q268" s="9">
        <f>IF($H268&lt;&gt;"OK","",ROUND($G268*使い方と設定!$B$7*$AK268*INDEX(個性タイプマスタ!$Q$5:$AA$54,$AE268,9)/$AG268,4))</f>
        <v>0.76539999999999997</v>
      </c>
      <c r="R268" s="9">
        <f>IF($H268&lt;&gt;"OK","",ROUND($G268*使い方と設定!$B$7*$AK268*INDEX(個性タイプマスタ!$Q$5:$AA$54,$AE268,10)/$AG268,4))</f>
        <v>1.3401000000000001</v>
      </c>
      <c r="S268" s="9">
        <f>IF($H268&lt;&gt;"OK","",ROUND($G268*使い方と設定!$B$7*$AK268*INDEX(個性タイプマスタ!$Q$5:$AA$54,$AE268,11)/$AG268,4))</f>
        <v>0.36080000000000001</v>
      </c>
      <c r="T268" s="9">
        <f>IF($H268&lt;&gt;"OK","",ROUND($G268*使い方と設定!$B$8*$AK268*$AH268*INDEX(属性耐性マスタ!$B$5:$G$10,$AF268,1),4))</f>
        <v>1.6899999999999998E-2</v>
      </c>
      <c r="U268" s="9">
        <f>IF($H268&lt;&gt;"OK","",ROUND($G268*使い方と設定!$B$8*$AK268*$AH268*INDEX(属性耐性マスタ!$B$5:$G$10,$AF268,2),4))</f>
        <v>1.6899999999999998E-2</v>
      </c>
      <c r="V268" s="9">
        <f>IF($H268&lt;&gt;"OK","",ROUND($G268*使い方と設定!$B$8*$AK268*$AH268*INDEX(属性耐性マスタ!$B$5:$G$10,$AF268,3),4))</f>
        <v>6.3299999999999995E-2</v>
      </c>
      <c r="W268" s="9">
        <f>IF($H268&lt;&gt;"OK","",ROUND($G268*使い方と設定!$B$8*$AK268*$AH268*INDEX(属性耐性マスタ!$B$5:$G$10,$AF268,4),4))</f>
        <v>0.25340000000000001</v>
      </c>
      <c r="X268" s="9">
        <f>IF($H268&lt;&gt;"OK","",ROUND($G268*使い方と設定!$B$8*$AK268*$AH268*INDEX(属性耐性マスタ!$B$5:$G$10,$AF268,5),4))</f>
        <v>1.2699999999999999E-2</v>
      </c>
      <c r="Y268" s="9">
        <f>IF($H268&lt;&gt;"OK","",ROUND($G268*使い方と設定!$B$8*$AK268*$AH268*INDEX(属性耐性マスタ!$B$5:$G$10,$AF268,6),4))</f>
        <v>1.2699999999999999E-2</v>
      </c>
      <c r="Z268" s="9">
        <f>IF($H268&lt;&gt;"OK","",ROUND($G268*使い方と設定!$B$9*$AK268*$AI268,4))</f>
        <v>3.9592000000000001</v>
      </c>
      <c r="AA268" s="10">
        <v>0.55000000000000004</v>
      </c>
      <c r="AB268" s="11">
        <f t="shared" si="13"/>
        <v>9.3156999999999996</v>
      </c>
      <c r="AC268" s="11">
        <f t="shared" si="14"/>
        <v>0.37590000000000001</v>
      </c>
      <c r="AD268" s="7" t="str">
        <f>IF($H268&lt;&gt;"OK","",INDEX(個性タイプマスタ!$P$5:$P$54,$AE268))</f>
        <v>短射程・高機動・会心型</v>
      </c>
      <c r="AE268">
        <f>IFERROR(MATCH(E268,個性タイプマスタ!$A$5:$A$54,0),0)</f>
        <v>41</v>
      </c>
      <c r="AF268">
        <f>IFERROR(MATCH(F268,属性耐性マスタ!$A$5:$A$10,0),0)</f>
        <v>4</v>
      </c>
      <c r="AG268">
        <f>IF(AE268=0,1,INDEX(個性タイプマスタ!$AB$5:$AB$54,AE268))</f>
        <v>10.844333333333333</v>
      </c>
      <c r="AH268">
        <f>IF(AE268=0,1,INDEX(個性タイプマスタ!$AC$5:$AC$54,AE268))</f>
        <v>0.67999999999999994</v>
      </c>
      <c r="AI268">
        <f>IF(AE268=0,0,INDEX(個性タイプマスタ!$AD$5:$AD$54,AE268))</f>
        <v>1.2749999999999999</v>
      </c>
      <c r="AJ268" s="16">
        <v>44</v>
      </c>
      <c r="AK268" s="17">
        <f>IF(OR(AJ268="",AJ268&lt;1),"",POWER(使い方と設定!$E$6,AJ268-1))</f>
        <v>5.4004952676233424</v>
      </c>
    </row>
    <row r="269" spans="1:37">
      <c r="A269" t="str">
        <f>+[2]称号!A264</f>
        <v>TITLE_263</v>
      </c>
      <c r="B269" t="str">
        <f>+[2]称号!B264</f>
        <v>無窮の青霊灯</v>
      </c>
      <c r="C269" t="s">
        <v>661</v>
      </c>
      <c r="D269" t="s">
        <v>662</v>
      </c>
      <c r="E269" s="2" t="str">
        <f>[1]モンスター計算!AM267</f>
        <v>近接・斥候</v>
      </c>
      <c r="F269" s="2" t="str">
        <f>[1]モンスター計算!C267</f>
        <v>光</v>
      </c>
      <c r="G269" s="8">
        <v>1.2</v>
      </c>
      <c r="H269" t="str">
        <f t="shared" si="12"/>
        <v>OK</v>
      </c>
      <c r="I269" s="9">
        <f>IF($H269&lt;&gt;"OK","",ROUND($G269*使い方と設定!$B$7*$AK269*INDEX(個性タイプマスタ!$Q$5:$AA$54,$AE269,1)/$AG269,4))</f>
        <v>0.88149999999999995</v>
      </c>
      <c r="J269" s="9">
        <f>IF($H269&lt;&gt;"OK","",ROUND($G269*使い方と設定!$B$7*$AK269*INDEX(個性タイプマスタ!$Q$5:$AA$54,$AE269,2)/$AG269,4))</f>
        <v>0.57850000000000001</v>
      </c>
      <c r="K269" s="9">
        <f>IF($H269&lt;&gt;"OK","",ROUND($G269*使い方と設定!$B$7*$AK269*INDEX(個性タイプマスタ!$Q$5:$AA$54,$AE269,3)/$AG269,4))</f>
        <v>2.5042</v>
      </c>
      <c r="L269" s="9">
        <f>IF($H269&lt;&gt;"OK","",ROUND($G269*使い方と設定!$B$7*$AK269*INDEX(個性タイプマスタ!$Q$5:$AA$54,$AE269,4)/$AG269,4))</f>
        <v>0.17530000000000001</v>
      </c>
      <c r="M269" s="9">
        <f>IF($H269&lt;&gt;"OK","",ROUND($G269*使い方と設定!$B$7*$AK269*INDEX(個性タイプマスタ!$Q$5:$AA$54,$AE269,5)/$AG269,4))</f>
        <v>0.65559999999999996</v>
      </c>
      <c r="N269" s="9">
        <f>IF($H269&lt;&gt;"OK","",ROUND($G269*使い方と設定!$B$7*$AK269*INDEX(個性タイプマスタ!$Q$5:$AA$54,$AE269,6)/$AG269,4))</f>
        <v>0.70669999999999999</v>
      </c>
      <c r="O269" s="9">
        <f>IF($H269&lt;&gt;"OK","",ROUND($G269*使い方と設定!$B$7*$AK269*INDEX(個性タイプマスタ!$Q$5:$AA$54,$AE269,7)/$AG269,4))</f>
        <v>0.71619999999999995</v>
      </c>
      <c r="P269" s="9">
        <f>IF($H269&lt;&gt;"OK","",ROUND($G269*使い方と設定!$B$7*$AK269*INDEX(個性タイプマスタ!$Q$5:$AA$54,$AE269,8)/$AG269,4))</f>
        <v>0.63370000000000004</v>
      </c>
      <c r="Q269" s="9">
        <f>IF($H269&lt;&gt;"OK","",ROUND($G269*使い方と設定!$B$7*$AK269*INDEX(個性タイプマスタ!$Q$5:$AA$54,$AE269,9)/$AG269,4))</f>
        <v>0.85499999999999998</v>
      </c>
      <c r="R269" s="9">
        <f>IF($H269&lt;&gt;"OK","",ROUND($G269*使い方と設定!$B$7*$AK269*INDEX(個性タイプマスタ!$Q$5:$AA$54,$AE269,10)/$AG269,4))</f>
        <v>1.2921</v>
      </c>
      <c r="S269" s="9">
        <f>IF($H269&lt;&gt;"OK","",ROUND($G269*使い方と設定!$B$7*$AK269*INDEX(個性タイプマスタ!$Q$5:$AA$54,$AE269,11)/$AG269,4))</f>
        <v>0.72219999999999995</v>
      </c>
      <c r="T269" s="9">
        <f>IF($H269&lt;&gt;"OK","",ROUND($G269*使い方と設定!$B$8*$AK269*$AH269*INDEX(属性耐性マスタ!$B$5:$G$10,$AF269,1),4))</f>
        <v>1.6299999999999999E-2</v>
      </c>
      <c r="U269" s="9">
        <f>IF($H269&lt;&gt;"OK","",ROUND($G269*使い方と設定!$B$8*$AK269*$AH269*INDEX(属性耐性マスタ!$B$5:$G$10,$AF269,2),4))</f>
        <v>1.6299999999999999E-2</v>
      </c>
      <c r="V269" s="9">
        <f>IF($H269&lt;&gt;"OK","",ROUND($G269*使い方と設定!$B$8*$AK269*$AH269*INDEX(属性耐性マスタ!$B$5:$G$10,$AF269,3),4))</f>
        <v>1.6299999999999999E-2</v>
      </c>
      <c r="W269" s="9">
        <f>IF($H269&lt;&gt;"OK","",ROUND($G269*使い方と設定!$B$8*$AK269*$AH269*INDEX(属性耐性マスタ!$B$5:$G$10,$AF269,4),4))</f>
        <v>1.6299999999999999E-2</v>
      </c>
      <c r="X269" s="9">
        <f>IF($H269&lt;&gt;"OK","",ROUND($G269*使い方と設定!$B$8*$AK269*$AH269*INDEX(属性耐性マスタ!$B$5:$G$10,$AF269,5),4))</f>
        <v>0.3266</v>
      </c>
      <c r="Y269" s="9">
        <f>IF($H269&lt;&gt;"OK","",ROUND($G269*使い方と設定!$B$8*$AK269*$AH269*INDEX(属性耐性マスタ!$B$5:$G$10,$AF269,6),4))</f>
        <v>4.3499999999999997E-2</v>
      </c>
      <c r="Z269" s="9">
        <f>IF($H269&lt;&gt;"OK","",ROUND($G269*使い方と設定!$B$9*$AK269*$AI269,4))</f>
        <v>4.0396000000000001</v>
      </c>
      <c r="AA269" s="10">
        <v>0.5</v>
      </c>
      <c r="AB269" s="11">
        <f t="shared" si="13"/>
        <v>9.7210000000000001</v>
      </c>
      <c r="AC269" s="11">
        <f t="shared" si="14"/>
        <v>0.43530000000000002</v>
      </c>
      <c r="AD269" s="7" t="str">
        <f>IF($H269&lt;&gt;"OK","",INDEX(個性タイプマスタ!$P$5:$P$54,$AE269))</f>
        <v>索敵能力・機動力が高い</v>
      </c>
      <c r="AE269">
        <f>IFERROR(MATCH(E269,個性タイプマスタ!$A$5:$A$54,0),0)</f>
        <v>48</v>
      </c>
      <c r="AF269">
        <f>IFERROR(MATCH(F269,属性耐性マスタ!$A$5:$A$10,0),0)</f>
        <v>5</v>
      </c>
      <c r="AG269">
        <f>IF(AE269=0,1,INDEX(個性タイプマスタ!$AB$5:$AB$54,AE269))</f>
        <v>9.7047666666666661</v>
      </c>
      <c r="AH269">
        <f>IF(AE269=0,1,INDEX(個性タイプマスタ!$AC$5:$AC$54,AE269))</f>
        <v>0.84</v>
      </c>
      <c r="AI269">
        <f>IF(AE269=0,0,INDEX(個性タイプマスタ!$AD$5:$AD$54,AE269))</f>
        <v>1.2466666666666666</v>
      </c>
      <c r="AJ269" s="16">
        <v>44</v>
      </c>
      <c r="AK269" s="17">
        <f>IF(OR(AJ269="",AJ269&lt;1),"",POWER(使い方と設定!$E$6,AJ269-1))</f>
        <v>5.4004952676233424</v>
      </c>
    </row>
    <row r="270" spans="1:37">
      <c r="A270" t="str">
        <f>+[2]称号!A265</f>
        <v>TITLE_264</v>
      </c>
      <c r="B270" t="str">
        <f>+[2]称号!B265</f>
        <v>永劫を統べる循環王</v>
      </c>
      <c r="C270" t="s">
        <v>663</v>
      </c>
      <c r="D270" t="s">
        <v>664</v>
      </c>
      <c r="E270" s="2" t="str">
        <f>[1]モンスター計算!AM268</f>
        <v>魔法・最終層</v>
      </c>
      <c r="F270" s="2" t="str">
        <f>[1]モンスター計算!C268</f>
        <v>光</v>
      </c>
      <c r="G270" s="8">
        <v>1.25</v>
      </c>
      <c r="H270" t="str">
        <f t="shared" si="12"/>
        <v>OK</v>
      </c>
      <c r="I270" s="9">
        <f>IF($H270&lt;&gt;"OK","",ROUND($G270*使い方と設定!$B$7*$AK270*INDEX(個性タイプマスタ!$Q$5:$AA$54,$AE270,1)/$AG270,4))</f>
        <v>1.2277</v>
      </c>
      <c r="J270" s="9">
        <f>IF($H270&lt;&gt;"OK","",ROUND($G270*使い方と設定!$B$7*$AK270*INDEX(個性タイプマスタ!$Q$5:$AA$54,$AE270,2)/$AG270,4))</f>
        <v>1.0230999999999999</v>
      </c>
      <c r="K270" s="9">
        <f>IF($H270&lt;&gt;"OK","",ROUND($G270*使い方と設定!$B$7*$AK270*INDEX(個性タイプマスタ!$Q$5:$AA$54,$AE270,3)/$AG270,4))</f>
        <v>0.23250000000000001</v>
      </c>
      <c r="L270" s="9">
        <f>IF($H270&lt;&gt;"OK","",ROUND($G270*使い方と設定!$B$7*$AK270*INDEX(個性タイプマスタ!$Q$5:$AA$54,$AE270,4)/$AG270,4))</f>
        <v>2.3252999999999999</v>
      </c>
      <c r="M270" s="9">
        <f>IF($H270&lt;&gt;"OK","",ROUND($G270*使い方と設定!$B$7*$AK270*INDEX(個性タイプマスタ!$Q$5:$AA$54,$AE270,5)/$AG270,4))</f>
        <v>1.0278</v>
      </c>
      <c r="N270" s="9">
        <f>IF($H270&lt;&gt;"OK","",ROUND($G270*使い方と設定!$B$7*$AK270*INDEX(個性タイプマスタ!$Q$5:$AA$54,$AE270,6)/$AG270,4))</f>
        <v>0.67200000000000004</v>
      </c>
      <c r="O270" s="9">
        <f>IF($H270&lt;&gt;"OK","",ROUND($G270*使い方と設定!$B$7*$AK270*INDEX(個性タイプマスタ!$Q$5:$AA$54,$AE270,7)/$AG270,4))</f>
        <v>0.81850000000000001</v>
      </c>
      <c r="P270" s="9">
        <f>IF($H270&lt;&gt;"OK","",ROUND($G270*使い方と設定!$B$7*$AK270*INDEX(個性タイプマスタ!$Q$5:$AA$54,$AE270,8)/$AG270,4))</f>
        <v>0.64490000000000003</v>
      </c>
      <c r="Q270" s="9">
        <f>IF($H270&lt;&gt;"OK","",ROUND($G270*使い方と設定!$B$7*$AK270*INDEX(個性タイプマスタ!$Q$5:$AA$54,$AE270,9)/$AG270,4))</f>
        <v>0.57289999999999996</v>
      </c>
      <c r="R270" s="9">
        <f>IF($H270&lt;&gt;"OK","",ROUND($G270*使い方と設定!$B$7*$AK270*INDEX(個性タイプマスタ!$Q$5:$AA$54,$AE270,10)/$AG270,4))</f>
        <v>0.93010000000000004</v>
      </c>
      <c r="S270" s="9">
        <f>IF($H270&lt;&gt;"OK","",ROUND($G270*使い方と設定!$B$7*$AK270*INDEX(個性タイプマスタ!$Q$5:$AA$54,$AE270,11)/$AG270,4))</f>
        <v>0.65110000000000001</v>
      </c>
      <c r="T270" s="9">
        <f>IF($H270&lt;&gt;"OK","",ROUND($G270*使い方と設定!$B$8*$AK270*$AH270*INDEX(属性耐性マスタ!$B$5:$G$10,$AF270,1),4))</f>
        <v>2.1499999999999998E-2</v>
      </c>
      <c r="U270" s="9">
        <f>IF($H270&lt;&gt;"OK","",ROUND($G270*使い方と設定!$B$8*$AK270*$AH270*INDEX(属性耐性マスタ!$B$5:$G$10,$AF270,2),4))</f>
        <v>2.1499999999999998E-2</v>
      </c>
      <c r="V270" s="9">
        <f>IF($H270&lt;&gt;"OK","",ROUND($G270*使い方と設定!$B$8*$AK270*$AH270*INDEX(属性耐性マスタ!$B$5:$G$10,$AF270,3),4))</f>
        <v>2.1499999999999998E-2</v>
      </c>
      <c r="W270" s="9">
        <f>IF($H270&lt;&gt;"OK","",ROUND($G270*使い方と設定!$B$8*$AK270*$AH270*INDEX(属性耐性マスタ!$B$5:$G$10,$AF270,4),4))</f>
        <v>2.1499999999999998E-2</v>
      </c>
      <c r="X270" s="9">
        <f>IF($H270&lt;&gt;"OK","",ROUND($G270*使い方と設定!$B$8*$AK270*$AH270*INDEX(属性耐性マスタ!$B$5:$G$10,$AF270,5),4))</f>
        <v>0.42930000000000001</v>
      </c>
      <c r="Y270" s="9">
        <f>IF($H270&lt;&gt;"OK","",ROUND($G270*使い方と設定!$B$8*$AK270*$AH270*INDEX(属性耐性マスタ!$B$5:$G$10,$AF270,6),4))</f>
        <v>5.7200000000000001E-2</v>
      </c>
      <c r="Z270" s="9">
        <f>IF($H270&lt;&gt;"OK","",ROUND($G270*使い方と設定!$B$9*$AK270*$AI270,4))</f>
        <v>3.6002999999999998</v>
      </c>
      <c r="AA270" s="10">
        <v>0.25</v>
      </c>
      <c r="AB270" s="11">
        <f t="shared" si="13"/>
        <v>10.1259</v>
      </c>
      <c r="AC270" s="11">
        <f t="shared" si="14"/>
        <v>0.57250000000000001</v>
      </c>
      <c r="AD270" s="7" t="str">
        <f>IF($H270&lt;&gt;"OK","",INDEX(個性タイプマスタ!$P$5:$P$54,$AE270))</f>
        <v>終盤魔法の特別配分</v>
      </c>
      <c r="AE270">
        <f>IFERROR(MATCH(E270,個性タイプマスタ!$A$5:$A$54,0),0)</f>
        <v>8</v>
      </c>
      <c r="AF270">
        <f>IFERROR(MATCH(F270,属性耐性マスタ!$A$5:$A$10,0),0)</f>
        <v>5</v>
      </c>
      <c r="AG270">
        <f>IF(AE270=0,1,INDEX(個性タイプマスタ!$AB$5:$AB$54,AE270))</f>
        <v>10.886833333333332</v>
      </c>
      <c r="AH270">
        <f>IF(AE270=0,1,INDEX(個性タイプマスタ!$AC$5:$AC$54,AE270))</f>
        <v>1.06</v>
      </c>
      <c r="AI270">
        <f>IF(AE270=0,0,INDEX(個性タイプマスタ!$AD$5:$AD$54,AE270))</f>
        <v>1.0666666666666667</v>
      </c>
      <c r="AJ270" s="16">
        <v>44</v>
      </c>
      <c r="AK270" s="17">
        <f>IF(OR(AJ270="",AJ270&lt;1),"",POWER(使い方と設定!$E$6,AJ270-1))</f>
        <v>5.4004952676233424</v>
      </c>
    </row>
    <row r="271" spans="1:37">
      <c r="A271" t="str">
        <f>+[2]称号!A266</f>
        <v>TITLE_265</v>
      </c>
      <c r="B271" t="str">
        <f>+[2]称号!B266</f>
        <v>禁忌縫合の屍骨王</v>
      </c>
      <c r="C271" t="s">
        <v>665</v>
      </c>
      <c r="D271" t="s">
        <v>666</v>
      </c>
      <c r="E271" s="2" t="str">
        <f>[1]モンスター計算!AM269</f>
        <v>魔法・軽量</v>
      </c>
      <c r="F271" s="2" t="str">
        <f>[1]モンスター計算!C269</f>
        <v>闇</v>
      </c>
      <c r="G271" s="8">
        <v>1</v>
      </c>
      <c r="H271" t="str">
        <f t="shared" si="12"/>
        <v>OK</v>
      </c>
      <c r="I271" s="9">
        <f>IF($H271&lt;&gt;"OK","",ROUND($G271*使い方と設定!$B$7*$AK271*INDEX(個性タイプマスタ!$Q$5:$AA$54,$AE271,1)/$AG271,4))</f>
        <v>0.79530000000000001</v>
      </c>
      <c r="J271" s="9">
        <f>IF($H271&lt;&gt;"OK","",ROUND($G271*使い方と設定!$B$7*$AK271*INDEX(個性タイプマスタ!$Q$5:$AA$54,$AE271,2)/$AG271,4))</f>
        <v>0.87290000000000001</v>
      </c>
      <c r="K271" s="9">
        <f>IF($H271&lt;&gt;"OK","",ROUND($G271*使い方と設定!$B$7*$AK271*INDEX(個性タイプマスタ!$Q$5:$AA$54,$AE271,3)/$AG271,4))</f>
        <v>0.22040000000000001</v>
      </c>
      <c r="L271" s="9">
        <f>IF($H271&lt;&gt;"OK","",ROUND($G271*使い方と設定!$B$7*$AK271*INDEX(個性タイプマスタ!$Q$5:$AA$54,$AE271,4)/$AG271,4))</f>
        <v>2.2044000000000001</v>
      </c>
      <c r="M271" s="9">
        <f>IF($H271&lt;&gt;"OK","",ROUND($G271*使い方と設定!$B$7*$AK271*INDEX(個性タイプマスタ!$Q$5:$AA$54,$AE271,5)/$AG271,4))</f>
        <v>0.6371</v>
      </c>
      <c r="N271" s="9">
        <f>IF($H271&lt;&gt;"OK","",ROUND($G271*使い方と設定!$B$7*$AK271*INDEX(個性タイプマスタ!$Q$5:$AA$54,$AE271,6)/$AG271,4))</f>
        <v>0.74950000000000006</v>
      </c>
      <c r="O271" s="9">
        <f>IF($H271&lt;&gt;"OK","",ROUND($G271*使い方と設定!$B$7*$AK271*INDEX(個性タイプマスタ!$Q$5:$AA$54,$AE271,7)/$AG271,4))</f>
        <v>0.48499999999999999</v>
      </c>
      <c r="P271" s="9">
        <f>IF($H271&lt;&gt;"OK","",ROUND($G271*使い方と設定!$B$7*$AK271*INDEX(個性タイプマスタ!$Q$5:$AA$54,$AE271,8)/$AG271,4))</f>
        <v>0.57310000000000005</v>
      </c>
      <c r="Q271" s="9">
        <f>IF($H271&lt;&gt;"OK","",ROUND($G271*使い方と設定!$B$7*$AK271*INDEX(個性タイプマスタ!$Q$5:$AA$54,$AE271,9)/$AG271,4))</f>
        <v>0.38800000000000001</v>
      </c>
      <c r="R271" s="9">
        <f>IF($H271&lt;&gt;"OK","",ROUND($G271*使い方と設定!$B$7*$AK271*INDEX(個性タイプマスタ!$Q$5:$AA$54,$AE271,10)/$AG271,4))</f>
        <v>0.88180000000000003</v>
      </c>
      <c r="S271" s="9">
        <f>IF($H271&lt;&gt;"OK","",ROUND($G271*使い方と設定!$B$7*$AK271*INDEX(個性タイプマスタ!$Q$5:$AA$54,$AE271,11)/$AG271,4))</f>
        <v>0.61719999999999997</v>
      </c>
      <c r="T271" s="9">
        <f>IF($H271&lt;&gt;"OK","",ROUND($G271*使い方と設定!$B$8*$AK271*$AH271*INDEX(属性耐性マスタ!$B$5:$G$10,$AF271,1),4))</f>
        <v>1.55E-2</v>
      </c>
      <c r="U271" s="9">
        <f>IF($H271&lt;&gt;"OK","",ROUND($G271*使い方と設定!$B$8*$AK271*$AH271*INDEX(属性耐性マスタ!$B$5:$G$10,$AF271,2),4))</f>
        <v>1.55E-2</v>
      </c>
      <c r="V271" s="9">
        <f>IF($H271&lt;&gt;"OK","",ROUND($G271*使い方と設定!$B$8*$AK271*$AH271*INDEX(属性耐性マスタ!$B$5:$G$10,$AF271,3),4))</f>
        <v>1.55E-2</v>
      </c>
      <c r="W271" s="9">
        <f>IF($H271&lt;&gt;"OK","",ROUND($G271*使い方と設定!$B$8*$AK271*$AH271*INDEX(属性耐性マスタ!$B$5:$G$10,$AF271,4),4))</f>
        <v>1.55E-2</v>
      </c>
      <c r="X271" s="9">
        <f>IF($H271&lt;&gt;"OK","",ROUND($G271*使い方と設定!$B$8*$AK271*$AH271*INDEX(属性耐性マスタ!$B$5:$G$10,$AF271,5),4))</f>
        <v>4.1300000000000003E-2</v>
      </c>
      <c r="Y271" s="9">
        <f>IF($H271&lt;&gt;"OK","",ROUND($G271*使い方と設定!$B$8*$AK271*$AH271*INDEX(属性耐性マスタ!$B$5:$G$10,$AF271,6),4))</f>
        <v>0.31</v>
      </c>
      <c r="Z271" s="9">
        <f>IF($H271&lt;&gt;"OK","",ROUND($G271*使い方と設定!$B$9*$AK271*$AI271,4))</f>
        <v>2.621</v>
      </c>
      <c r="AA271" s="10">
        <v>1</v>
      </c>
      <c r="AB271" s="11">
        <f t="shared" si="13"/>
        <v>8.4246999999999996</v>
      </c>
      <c r="AC271" s="11">
        <f t="shared" si="14"/>
        <v>0.4133</v>
      </c>
      <c r="AD271" s="7" t="str">
        <f>IF($H271&lt;&gt;"OK","",INDEX(個性タイプマスタ!$P$5:$P$54,$AE271))</f>
        <v>軽快な魔法型。耐久控えめ・成長余地大</v>
      </c>
      <c r="AE271">
        <f>IFERROR(MATCH(E271,個性タイプマスタ!$A$5:$A$54,0),0)</f>
        <v>1</v>
      </c>
      <c r="AF271">
        <f>IFERROR(MATCH(F271,属性耐性マスタ!$A$5:$A$10,0),0)</f>
        <v>6</v>
      </c>
      <c r="AG271">
        <f>IF(AE271=0,1,INDEX(個性タイプマスタ!$AB$5:$AB$54,AE271))</f>
        <v>9.5545000000000009</v>
      </c>
      <c r="AH271">
        <f>IF(AE271=0,1,INDEX(個性タイプマスタ!$AC$5:$AC$54,AE271))</f>
        <v>0.92</v>
      </c>
      <c r="AI271">
        <f>IF(AE271=0,0,INDEX(個性タイプマスタ!$AD$5:$AD$54,AE271))</f>
        <v>0.93333333333333335</v>
      </c>
      <c r="AJ271" s="16">
        <v>45</v>
      </c>
      <c r="AK271" s="17">
        <f>IF(OR(AJ271="",AJ271&lt;1),"",POWER(使い方と設定!$E$6,AJ271-1))</f>
        <v>5.6165150783282769</v>
      </c>
    </row>
    <row r="272" spans="1:37">
      <c r="A272" t="str">
        <f>+[2]称号!A267</f>
        <v>TITLE_266</v>
      </c>
      <c r="B272" t="str">
        <f>+[2]称号!B267</f>
        <v>灼装乱撃の小魔侯</v>
      </c>
      <c r="C272" t="s">
        <v>667</v>
      </c>
      <c r="D272" t="s">
        <v>668</v>
      </c>
      <c r="E272" s="2" t="str">
        <f>[1]モンスター計算!AM270</f>
        <v>魔法・万能</v>
      </c>
      <c r="F272" s="2" t="str">
        <f>[1]モンスター計算!C270</f>
        <v>火</v>
      </c>
      <c r="G272" s="8">
        <v>1.05</v>
      </c>
      <c r="H272" t="str">
        <f t="shared" si="12"/>
        <v>OK</v>
      </c>
      <c r="I272" s="9">
        <f>IF($H272&lt;&gt;"OK","",ROUND($G272*使い方と設定!$B$7*$AK272*INDEX(個性タイプマスタ!$Q$5:$AA$54,$AE272,1)/$AG272,4))</f>
        <v>1.0045999999999999</v>
      </c>
      <c r="J272" s="9">
        <f>IF($H272&lt;&gt;"OK","",ROUND($G272*使い方と設定!$B$7*$AK272*INDEX(個性タイプマスタ!$Q$5:$AA$54,$AE272,2)/$AG272,4))</f>
        <v>0.95889999999999997</v>
      </c>
      <c r="K272" s="9">
        <f>IF($H272&lt;&gt;"OK","",ROUND($G272*使い方と設定!$B$7*$AK272*INDEX(個性タイプマスタ!$Q$5:$AA$54,$AE272,3)/$AG272,4))</f>
        <v>0.20760000000000001</v>
      </c>
      <c r="L272" s="9">
        <f>IF($H272&lt;&gt;"OK","",ROUND($G272*使い方と設定!$B$7*$AK272*INDEX(個性タイプマスタ!$Q$5:$AA$54,$AE272,4)/$AG272,4))</f>
        <v>2.0756000000000001</v>
      </c>
      <c r="M272" s="9">
        <f>IF($H272&lt;&gt;"OK","",ROUND($G272*使い方と設定!$B$7*$AK272*INDEX(個性タイプマスタ!$Q$5:$AA$54,$AE272,5)/$AG272,4))</f>
        <v>0.77629999999999999</v>
      </c>
      <c r="N272" s="9">
        <f>IF($H272&lt;&gt;"OK","",ROUND($G272*使い方と設定!$B$7*$AK272*INDEX(個性タイプマスタ!$Q$5:$AA$54,$AE272,6)/$AG272,4))</f>
        <v>0.77629999999999999</v>
      </c>
      <c r="O272" s="9">
        <f>IF($H272&lt;&gt;"OK","",ROUND($G272*使い方と設定!$B$7*$AK272*INDEX(個性タイプマスタ!$Q$5:$AA$54,$AE272,7)/$AG272,4))</f>
        <v>0.63929999999999998</v>
      </c>
      <c r="P272" s="9">
        <f>IF($H272&lt;&gt;"OK","",ROUND($G272*使い方と設定!$B$7*$AK272*INDEX(個性タイプマスタ!$Q$5:$AA$54,$AE272,8)/$AG272,4))</f>
        <v>0.55759999999999998</v>
      </c>
      <c r="Q272" s="9">
        <f>IF($H272&lt;&gt;"OK","",ROUND($G272*使い方と設定!$B$7*$AK272*INDEX(個性タイプマスタ!$Q$5:$AA$54,$AE272,9)/$AG272,4))</f>
        <v>0.43840000000000001</v>
      </c>
      <c r="R272" s="9">
        <f>IF($H272&lt;&gt;"OK","",ROUND($G272*使い方と設定!$B$7*$AK272*INDEX(個性タイプマスタ!$Q$5:$AA$54,$AE272,10)/$AG272,4))</f>
        <v>0.83020000000000005</v>
      </c>
      <c r="S272" s="9">
        <f>IF($H272&lt;&gt;"OK","",ROUND($G272*使い方と設定!$B$7*$AK272*INDEX(個性タイプマスタ!$Q$5:$AA$54,$AE272,11)/$AG272,4))</f>
        <v>0.58120000000000005</v>
      </c>
      <c r="T272" s="9">
        <f>IF($H272&lt;&gt;"OK","",ROUND($G272*使い方と設定!$B$8*$AK272*$AH272*INDEX(属性耐性マスタ!$B$5:$G$10,$AF272,1),4))</f>
        <v>0.3821</v>
      </c>
      <c r="U272" s="9">
        <f>IF($H272&lt;&gt;"OK","",ROUND($G272*使い方と設定!$B$8*$AK272*$AH272*INDEX(属性耐性マスタ!$B$5:$G$10,$AF272,2),4))</f>
        <v>7.6399999999999996E-2</v>
      </c>
      <c r="V272" s="9">
        <f>IF($H272&lt;&gt;"OK","",ROUND($G272*使い方と設定!$B$8*$AK272*$AH272*INDEX(属性耐性マスタ!$B$5:$G$10,$AF272,3),4))</f>
        <v>2.5499999999999998E-2</v>
      </c>
      <c r="W272" s="9">
        <f>IF($H272&lt;&gt;"OK","",ROUND($G272*使い方と設定!$B$8*$AK272*$AH272*INDEX(属性耐性マスタ!$B$5:$G$10,$AF272,4),4))</f>
        <v>2.5499999999999998E-2</v>
      </c>
      <c r="X272" s="9">
        <f>IF($H272&lt;&gt;"OK","",ROUND($G272*使い方と設定!$B$8*$AK272*$AH272*INDEX(属性耐性マスタ!$B$5:$G$10,$AF272,5),4))</f>
        <v>1.9099999999999999E-2</v>
      </c>
      <c r="Y272" s="9">
        <f>IF($H272&lt;&gt;"OK","",ROUND($G272*使い方と設定!$B$8*$AK272*$AH272*INDEX(属性耐性マスタ!$B$5:$G$10,$AF272,6),4))</f>
        <v>1.9099999999999999E-2</v>
      </c>
      <c r="Z272" s="9">
        <f>IF($H272&lt;&gt;"OK","",ROUND($G272*使い方と設定!$B$9*$AK272*$AI272,4))</f>
        <v>2.9487000000000001</v>
      </c>
      <c r="AA272" s="10">
        <v>1</v>
      </c>
      <c r="AB272" s="11">
        <f t="shared" si="13"/>
        <v>8.8460000000000001</v>
      </c>
      <c r="AC272" s="11">
        <f t="shared" si="14"/>
        <v>0.54769999999999996</v>
      </c>
      <c r="AD272" s="7" t="str">
        <f>IF($H272&lt;&gt;"OK","",INDEX(個性タイプマスタ!$P$5:$P$54,$AE272))</f>
        <v>バランス重視</v>
      </c>
      <c r="AE272">
        <f>IFERROR(MATCH(E272,個性タイプマスタ!$A$5:$A$54,0),0)</f>
        <v>14</v>
      </c>
      <c r="AF272">
        <f>IFERROR(MATCH(F272,属性耐性マスタ!$A$5:$A$10,0),0)</f>
        <v>1</v>
      </c>
      <c r="AG272">
        <f>IF(AE272=0,1,INDEX(個性タイプマスタ!$AB$5:$AB$54,AE272))</f>
        <v>10.654666666666667</v>
      </c>
      <c r="AH272">
        <f>IF(AE272=0,1,INDEX(個性タイプマスタ!$AC$5:$AC$54,AE272))</f>
        <v>1.08</v>
      </c>
      <c r="AI272">
        <f>IF(AE272=0,0,INDEX(個性タイプマスタ!$AD$5:$AD$54,AE272))</f>
        <v>1</v>
      </c>
      <c r="AJ272" s="16">
        <v>45</v>
      </c>
      <c r="AK272" s="17">
        <f>IF(OR(AJ272="",AJ272&lt;1),"",POWER(使い方と設定!$E$6,AJ272-1))</f>
        <v>5.6165150783282769</v>
      </c>
    </row>
    <row r="273" spans="1:37">
      <c r="A273" t="str">
        <f>+[2]称号!A268</f>
        <v>TITLE_267</v>
      </c>
      <c r="B273" t="str">
        <f>+[2]称号!B268</f>
        <v>融界崩蝕の暴核体</v>
      </c>
      <c r="C273" t="s">
        <v>669</v>
      </c>
      <c r="D273" t="s">
        <v>670</v>
      </c>
      <c r="E273" s="2" t="str">
        <f>[1]モンスター計算!AM271</f>
        <v>魔法・近距離</v>
      </c>
      <c r="F273" s="2" t="str">
        <f>[1]モンスター計算!C271</f>
        <v>火</v>
      </c>
      <c r="G273" s="8">
        <v>1.1000000000000001</v>
      </c>
      <c r="H273" t="str">
        <f t="shared" si="12"/>
        <v>OK</v>
      </c>
      <c r="I273" s="9">
        <f>IF($H273&lt;&gt;"OK","",ROUND($G273*使い方と設定!$B$7*$AK273*INDEX(個性タイプマスタ!$Q$5:$AA$54,$AE273,1)/$AG273,4))</f>
        <v>1.1773</v>
      </c>
      <c r="J273" s="9">
        <f>IF($H273&lt;&gt;"OK","",ROUND($G273*使い方と設定!$B$7*$AK273*INDEX(個性タイプマスタ!$Q$5:$AA$54,$AE273,2)/$AG273,4))</f>
        <v>0.87380000000000002</v>
      </c>
      <c r="K273" s="9">
        <f>IF($H273&lt;&gt;"OK","",ROUND($G273*使い方と設定!$B$7*$AK273*INDEX(個性タイプマスタ!$Q$5:$AA$54,$AE273,3)/$AG273,4))</f>
        <v>0.1777</v>
      </c>
      <c r="L273" s="9">
        <f>IF($H273&lt;&gt;"OK","",ROUND($G273*使い方と設定!$B$7*$AK273*INDEX(個性タイプマスタ!$Q$5:$AA$54,$AE273,4)/$AG273,4))</f>
        <v>2.0903999999999998</v>
      </c>
      <c r="M273" s="9">
        <f>IF($H273&lt;&gt;"OK","",ROUND($G273*使い方と設定!$B$7*$AK273*INDEX(個性タイプマスタ!$Q$5:$AA$54,$AE273,5)/$AG273,4))</f>
        <v>0.87419999999999998</v>
      </c>
      <c r="N273" s="9">
        <f>IF($H273&lt;&gt;"OK","",ROUND($G273*使い方と設定!$B$7*$AK273*INDEX(個性タイプマスタ!$Q$5:$AA$54,$AE273,6)/$AG273,4))</f>
        <v>0.79600000000000004</v>
      </c>
      <c r="O273" s="9">
        <f>IF($H273&lt;&gt;"OK","",ROUND($G273*使い方と設定!$B$7*$AK273*INDEX(個性タイプマスタ!$Q$5:$AA$54,$AE273,7)/$AG273,4))</f>
        <v>0.64380000000000004</v>
      </c>
      <c r="P273" s="9">
        <f>IF($H273&lt;&gt;"OK","",ROUND($G273*使い方と設定!$B$7*$AK273*INDEX(個性タイプマスタ!$Q$5:$AA$54,$AE273,8)/$AG273,4))</f>
        <v>0.54349999999999998</v>
      </c>
      <c r="Q273" s="9">
        <f>IF($H273&lt;&gt;"OK","",ROUND($G273*使い方と設定!$B$7*$AK273*INDEX(個性タイプマスタ!$Q$5:$AA$54,$AE273,9)/$AG273,4))</f>
        <v>0.5151</v>
      </c>
      <c r="R273" s="9">
        <f>IF($H273&lt;&gt;"OK","",ROUND($G273*使い方と設定!$B$7*$AK273*INDEX(個性タイプマスタ!$Q$5:$AA$54,$AE273,10)/$AG273,4))</f>
        <v>1.2123999999999999</v>
      </c>
      <c r="S273" s="9">
        <f>IF($H273&lt;&gt;"OK","",ROUND($G273*使い方と設定!$B$7*$AK273*INDEX(個性タイプマスタ!$Q$5:$AA$54,$AE273,11)/$AG273,4))</f>
        <v>0.3629</v>
      </c>
      <c r="T273" s="9">
        <f>IF($H273&lt;&gt;"OK","",ROUND($G273*使い方と設定!$B$8*$AK273*$AH273*INDEX(属性耐性マスタ!$B$5:$G$10,$AF273,1),4))</f>
        <v>0.41520000000000001</v>
      </c>
      <c r="U273" s="9">
        <f>IF($H273&lt;&gt;"OK","",ROUND($G273*使い方と設定!$B$8*$AK273*$AH273*INDEX(属性耐性マスタ!$B$5:$G$10,$AF273,2),4))</f>
        <v>8.3000000000000004E-2</v>
      </c>
      <c r="V273" s="9">
        <f>IF($H273&lt;&gt;"OK","",ROUND($G273*使い方と設定!$B$8*$AK273*$AH273*INDEX(属性耐性マスタ!$B$5:$G$10,$AF273,3),4))</f>
        <v>2.7699999999999999E-2</v>
      </c>
      <c r="W273" s="9">
        <f>IF($H273&lt;&gt;"OK","",ROUND($G273*使い方と設定!$B$8*$AK273*$AH273*INDEX(属性耐性マスタ!$B$5:$G$10,$AF273,4),4))</f>
        <v>2.7699999999999999E-2</v>
      </c>
      <c r="X273" s="9">
        <f>IF($H273&lt;&gt;"OK","",ROUND($G273*使い方と設定!$B$8*$AK273*$AH273*INDEX(属性耐性マスタ!$B$5:$G$10,$AF273,5),4))</f>
        <v>2.0799999999999999E-2</v>
      </c>
      <c r="Y273" s="9">
        <f>IF($H273&lt;&gt;"OK","",ROUND($G273*使い方と設定!$B$8*$AK273*$AH273*INDEX(属性耐性マスタ!$B$5:$G$10,$AF273,6),4))</f>
        <v>2.0799999999999999E-2</v>
      </c>
      <c r="Z273" s="9">
        <f>IF($H273&lt;&gt;"OK","",ROUND($G273*使い方と設定!$B$9*$AK273*$AI273,4))</f>
        <v>3.2949999999999999</v>
      </c>
      <c r="AA273" s="10">
        <v>0.9</v>
      </c>
      <c r="AB273" s="11">
        <f t="shared" si="13"/>
        <v>9.2670999999999992</v>
      </c>
      <c r="AC273" s="11">
        <f t="shared" si="14"/>
        <v>0.59519999999999995</v>
      </c>
      <c r="AD273" s="7" t="str">
        <f>IF($H273&lt;&gt;"OK","",INDEX(個性タイプマスタ!$P$5:$P$54,$AE273))</f>
        <v>短射程の連発型</v>
      </c>
      <c r="AE273">
        <f>IFERROR(MATCH(E273,個性タイプマスタ!$A$5:$A$54,0),0)</f>
        <v>21</v>
      </c>
      <c r="AF273">
        <f>IFERROR(MATCH(F273,属性耐性マスタ!$A$5:$A$10,0),0)</f>
        <v>1</v>
      </c>
      <c r="AG273">
        <f>IF(AE273=0,1,INDEX(個性タイプマスタ!$AB$5:$AB$54,AE273))</f>
        <v>11.082999999999998</v>
      </c>
      <c r="AH273">
        <f>IF(AE273=0,1,INDEX(個性タイプマスタ!$AC$5:$AC$54,AE273))</f>
        <v>1.1200000000000001</v>
      </c>
      <c r="AI273">
        <f>IF(AE273=0,0,INDEX(個性タイプマスタ!$AD$5:$AD$54,AE273))</f>
        <v>1.0666666666666667</v>
      </c>
      <c r="AJ273" s="16">
        <v>45</v>
      </c>
      <c r="AK273" s="17">
        <f>IF(OR(AJ273="",AJ273&lt;1),"",POWER(使い方と設定!$E$6,AJ273-1))</f>
        <v>5.6165150783282769</v>
      </c>
    </row>
    <row r="274" spans="1:37">
      <c r="A274" t="str">
        <f>+[2]称号!A269</f>
        <v>TITLE_268</v>
      </c>
      <c r="B274" t="str">
        <f>+[2]称号!B269</f>
        <v>砲壁鎮座の石塞兵</v>
      </c>
      <c r="C274" t="s">
        <v>671</v>
      </c>
      <c r="D274" t="s">
        <v>672</v>
      </c>
      <c r="E274" s="2" t="str">
        <f>[1]モンスター計算!AM272</f>
        <v>近接・高魔防</v>
      </c>
      <c r="F274" s="2" t="str">
        <f>[1]モンスター計算!C272</f>
        <v>雷</v>
      </c>
      <c r="G274" s="8">
        <v>1.1499999999999999</v>
      </c>
      <c r="H274" t="str">
        <f t="shared" si="12"/>
        <v>OK</v>
      </c>
      <c r="I274" s="9">
        <f>IF($H274&lt;&gt;"OK","",ROUND($G274*使い方と設定!$B$7*$AK274*INDEX(個性タイプマスタ!$Q$5:$AA$54,$AE274,1)/$AG274,4))</f>
        <v>1.2236</v>
      </c>
      <c r="J274" s="9">
        <f>IF($H274&lt;&gt;"OK","",ROUND($G274*使い方と設定!$B$7*$AK274*INDEX(個性タイプマスタ!$Q$5:$AA$54,$AE274,2)/$AG274,4))</f>
        <v>0.57099999999999995</v>
      </c>
      <c r="K274" s="9">
        <f>IF($H274&lt;&gt;"OK","",ROUND($G274*使い方と設定!$B$7*$AK274*INDEX(個性タイプマスタ!$Q$5:$AA$54,$AE274,3)/$AG274,4))</f>
        <v>2.3174999999999999</v>
      </c>
      <c r="L274" s="9">
        <f>IF($H274&lt;&gt;"OK","",ROUND($G274*使い方と設定!$B$7*$AK274*INDEX(個性タイプマスタ!$Q$5:$AA$54,$AE274,4)/$AG274,4))</f>
        <v>0.19239999999999999</v>
      </c>
      <c r="M274" s="9">
        <f>IF($H274&lt;&gt;"OK","",ROUND($G274*使い方と設定!$B$7*$AK274*INDEX(個性タイプマスタ!$Q$5:$AA$54,$AE274,5)/$AG274,4))</f>
        <v>0.5988</v>
      </c>
      <c r="N274" s="9">
        <f>IF($H274&lt;&gt;"OK","",ROUND($G274*使い方と設定!$B$7*$AK274*INDEX(個性タイプマスタ!$Q$5:$AA$54,$AE274,6)/$AG274,4))</f>
        <v>1.6547000000000001</v>
      </c>
      <c r="O274" s="9">
        <f>IF($H274&lt;&gt;"OK","",ROUND($G274*使い方と設定!$B$7*$AK274*INDEX(個性タイプマスタ!$Q$5:$AA$54,$AE274,7)/$AG274,4))</f>
        <v>0.50980000000000003</v>
      </c>
      <c r="P274" s="9">
        <f>IF($H274&lt;&gt;"OK","",ROUND($G274*使い方と設定!$B$7*$AK274*INDEX(個性タイプマスタ!$Q$5:$AA$54,$AE274,8)/$AG274,4))</f>
        <v>0.59050000000000002</v>
      </c>
      <c r="Q274" s="9">
        <f>IF($H274&lt;&gt;"OK","",ROUND($G274*使い方と設定!$B$7*$AK274*INDEX(個性タイプマスタ!$Q$5:$AA$54,$AE274,9)/$AG274,4))</f>
        <v>0.49969999999999998</v>
      </c>
      <c r="R274" s="9">
        <f>IF($H274&lt;&gt;"OK","",ROUND($G274*使い方と設定!$B$7*$AK274*INDEX(個性タイプマスタ!$Q$5:$AA$54,$AE274,10)/$AG274,4))</f>
        <v>0.92700000000000005</v>
      </c>
      <c r="S274" s="9">
        <f>IF($H274&lt;&gt;"OK","",ROUND($G274*使い方と設定!$B$7*$AK274*INDEX(個性タイプマスタ!$Q$5:$AA$54,$AE274,11)/$AG274,4))</f>
        <v>0.60350000000000004</v>
      </c>
      <c r="T274" s="9">
        <f>IF($H274&lt;&gt;"OK","",ROUND($G274*使い方と設定!$B$8*$AK274*$AH274*INDEX(属性耐性マスタ!$B$5:$G$10,$AF274,1),4))</f>
        <v>3.2599999999999997E-2</v>
      </c>
      <c r="U274" s="9">
        <f>IF($H274&lt;&gt;"OK","",ROUND($G274*使い方と設定!$B$8*$AK274*$AH274*INDEX(属性耐性マスタ!$B$5:$G$10,$AF274,2),4))</f>
        <v>3.2599999999999997E-2</v>
      </c>
      <c r="V274" s="9">
        <f>IF($H274&lt;&gt;"OK","",ROUND($G274*使い方と設定!$B$8*$AK274*$AH274*INDEX(属性耐性マスタ!$B$5:$G$10,$AF274,3),4))</f>
        <v>0.1221</v>
      </c>
      <c r="W274" s="9">
        <f>IF($H274&lt;&gt;"OK","",ROUND($G274*使い方と設定!$B$8*$AK274*$AH274*INDEX(属性耐性マスタ!$B$5:$G$10,$AF274,4),4))</f>
        <v>0.48830000000000001</v>
      </c>
      <c r="X274" s="9">
        <f>IF($H274&lt;&gt;"OK","",ROUND($G274*使い方と設定!$B$8*$AK274*$AH274*INDEX(属性耐性マスタ!$B$5:$G$10,$AF274,5),4))</f>
        <v>2.4400000000000002E-2</v>
      </c>
      <c r="Y274" s="9">
        <f>IF($H274&lt;&gt;"OK","",ROUND($G274*使い方と設定!$B$8*$AK274*$AH274*INDEX(属性耐性マスタ!$B$5:$G$10,$AF274,6),4))</f>
        <v>2.4400000000000002E-2</v>
      </c>
      <c r="Z274" s="9">
        <f>IF($H274&lt;&gt;"OK","",ROUND($G274*使い方と設定!$B$9*$AK274*$AI274,4))</f>
        <v>3.2564000000000002</v>
      </c>
      <c r="AA274" s="10">
        <v>0.55000000000000004</v>
      </c>
      <c r="AB274" s="11">
        <f t="shared" si="13"/>
        <v>9.6884999999999994</v>
      </c>
      <c r="AC274" s="11">
        <f t="shared" si="14"/>
        <v>0.72440000000000004</v>
      </c>
      <c r="AD274" s="7" t="str">
        <f>IF($H274&lt;&gt;"OK","",INDEX(個性タイプマスタ!$P$5:$P$54,$AE274))</f>
        <v>物理に弱い魔法防御型</v>
      </c>
      <c r="AE274">
        <f>IFERROR(MATCH(E274,個性タイプマスタ!$A$5:$A$54,0),0)</f>
        <v>47</v>
      </c>
      <c r="AF274">
        <f>IFERROR(MATCH(F274,属性耐性マスタ!$A$5:$A$10,0),0)</f>
        <v>4</v>
      </c>
      <c r="AG274">
        <f>IF(AE274=0,1,INDEX(個性タイプマスタ!$AB$5:$AB$54,AE274))</f>
        <v>10.451499999999999</v>
      </c>
      <c r="AH274">
        <f>IF(AE274=0,1,INDEX(個性タイプマスタ!$AC$5:$AC$54,AE274))</f>
        <v>1.26</v>
      </c>
      <c r="AI274">
        <f>IF(AE274=0,0,INDEX(個性タイプマスタ!$AD$5:$AD$54,AE274))</f>
        <v>1.0083333333333333</v>
      </c>
      <c r="AJ274" s="16">
        <v>45</v>
      </c>
      <c r="AK274" s="17">
        <f>IF(OR(AJ274="",AJ274&lt;1),"",POWER(使い方と設定!$E$6,AJ274-1))</f>
        <v>5.6165150783282769</v>
      </c>
    </row>
    <row r="275" spans="1:37">
      <c r="A275" t="str">
        <f>+[2]称号!A270</f>
        <v>TITLE_269</v>
      </c>
      <c r="B275" t="str">
        <f>+[2]称号!B270</f>
        <v>紅冥漂界の滅灯霊</v>
      </c>
      <c r="C275" t="s">
        <v>673</v>
      </c>
      <c r="D275" t="s">
        <v>674</v>
      </c>
      <c r="E275" s="2" t="str">
        <f>[1]モンスター計算!AM273</f>
        <v>近接・火力</v>
      </c>
      <c r="F275" s="2" t="str">
        <f>[1]モンスター計算!C273</f>
        <v>闇</v>
      </c>
      <c r="G275" s="8">
        <v>1.2</v>
      </c>
      <c r="H275" t="str">
        <f t="shared" si="12"/>
        <v>OK</v>
      </c>
      <c r="I275" s="9">
        <f>IF($H275&lt;&gt;"OK","",ROUND($G275*使い方と設定!$B$7*$AK275*INDEX(個性タイプマスタ!$Q$5:$AA$54,$AE275,1)/$AG275,4))</f>
        <v>0.98619999999999997</v>
      </c>
      <c r="J275" s="9">
        <f>IF($H275&lt;&gt;"OK","",ROUND($G275*使い方と設定!$B$7*$AK275*INDEX(個性タイプマスタ!$Q$5:$AA$54,$AE275,2)/$AG275,4))</f>
        <v>0.43830000000000002</v>
      </c>
      <c r="K275" s="9">
        <f>IF($H275&lt;&gt;"OK","",ROUND($G275*使い方と設定!$B$7*$AK275*INDEX(個性タイプマスタ!$Q$5:$AA$54,$AE275,3)/$AG275,4))</f>
        <v>2.4904999999999999</v>
      </c>
      <c r="L275" s="9">
        <f>IF($H275&lt;&gt;"OK","",ROUND($G275*使い方と設定!$B$7*$AK275*INDEX(個性タイプマスタ!$Q$5:$AA$54,$AE275,4)/$AG275,4))</f>
        <v>0.249</v>
      </c>
      <c r="M275" s="9">
        <f>IF($H275&lt;&gt;"OK","",ROUND($G275*使い方と設定!$B$7*$AK275*INDEX(個性タイプマスタ!$Q$5:$AA$54,$AE275,5)/$AG275,4))</f>
        <v>0.7621</v>
      </c>
      <c r="N275" s="9">
        <f>IF($H275&lt;&gt;"OK","",ROUND($G275*使い方と設定!$B$7*$AK275*INDEX(個性タイプマスタ!$Q$5:$AA$54,$AE275,6)/$AG275,4))</f>
        <v>0.7621</v>
      </c>
      <c r="O275" s="9">
        <f>IF($H275&lt;&gt;"OK","",ROUND($G275*使い方と設定!$B$7*$AK275*INDEX(個性タイプマスタ!$Q$5:$AA$54,$AE275,7)/$AG275,4))</f>
        <v>1.2054</v>
      </c>
      <c r="P275" s="9">
        <f>IF($H275&lt;&gt;"OK","",ROUND($G275*使い方と設定!$B$7*$AK275*INDEX(個性タイプマスタ!$Q$5:$AA$54,$AE275,8)/$AG275,4))</f>
        <v>0.75539999999999996</v>
      </c>
      <c r="Q275" s="9">
        <f>IF($H275&lt;&gt;"OK","",ROUND($G275*使い方と設定!$B$7*$AK275*INDEX(個性タイプマスタ!$Q$5:$AA$54,$AE275,9)/$AG275,4))</f>
        <v>0.65749999999999997</v>
      </c>
      <c r="R275" s="9">
        <f>IF($H275&lt;&gt;"OK","",ROUND($G275*使い方と設定!$B$7*$AK275*INDEX(個性タイプマスタ!$Q$5:$AA$54,$AE275,10)/$AG275,4))</f>
        <v>1.1755</v>
      </c>
      <c r="S275" s="9">
        <f>IF($H275&lt;&gt;"OK","",ROUND($G275*使い方と設定!$B$7*$AK275*INDEX(個性タイプマスタ!$Q$5:$AA$54,$AE275,11)/$AG275,4))</f>
        <v>0.62760000000000005</v>
      </c>
      <c r="T275" s="9">
        <f>IF($H275&lt;&gt;"OK","",ROUND($G275*使い方と設定!$B$8*$AK275*$AH275*INDEX(属性耐性マスタ!$B$5:$G$10,$AF275,1),4))</f>
        <v>1.78E-2</v>
      </c>
      <c r="U275" s="9">
        <f>IF($H275&lt;&gt;"OK","",ROUND($G275*使い方と設定!$B$8*$AK275*$AH275*INDEX(属性耐性マスタ!$B$5:$G$10,$AF275,2),4))</f>
        <v>1.78E-2</v>
      </c>
      <c r="V275" s="9">
        <f>IF($H275&lt;&gt;"OK","",ROUND($G275*使い方と設定!$B$8*$AK275*$AH275*INDEX(属性耐性マスタ!$B$5:$G$10,$AF275,3),4))</f>
        <v>1.78E-2</v>
      </c>
      <c r="W275" s="9">
        <f>IF($H275&lt;&gt;"OK","",ROUND($G275*使い方と設定!$B$8*$AK275*$AH275*INDEX(属性耐性マスタ!$B$5:$G$10,$AF275,4),4))</f>
        <v>1.78E-2</v>
      </c>
      <c r="X275" s="9">
        <f>IF($H275&lt;&gt;"OK","",ROUND($G275*使い方と設定!$B$8*$AK275*$AH275*INDEX(属性耐性マスタ!$B$5:$G$10,$AF275,5),4))</f>
        <v>4.7399999999999998E-2</v>
      </c>
      <c r="Y275" s="9">
        <f>IF($H275&lt;&gt;"OK","",ROUND($G275*使い方と設定!$B$8*$AK275*$AH275*INDEX(属性耐性マスタ!$B$5:$G$10,$AF275,6),4))</f>
        <v>0.35589999999999999</v>
      </c>
      <c r="Z275" s="9">
        <f>IF($H275&lt;&gt;"OK","",ROUND($G275*使い方と設定!$B$9*$AK275*$AI275,4))</f>
        <v>3.7069000000000001</v>
      </c>
      <c r="AA275" s="10">
        <v>0.5</v>
      </c>
      <c r="AB275" s="11">
        <f t="shared" si="13"/>
        <v>10.1096</v>
      </c>
      <c r="AC275" s="11">
        <f t="shared" si="14"/>
        <v>0.47449999999999998</v>
      </c>
      <c r="AD275" s="7" t="str">
        <f>IF($H275&lt;&gt;"OK","",INDEX(個性タイプマスタ!$P$5:$P$54,$AE275))</f>
        <v>攻撃とクリティカル特化</v>
      </c>
      <c r="AE275">
        <f>IFERROR(MATCH(E275,個性タイプマスタ!$A$5:$A$54,0),0)</f>
        <v>11</v>
      </c>
      <c r="AF275">
        <f>IFERROR(MATCH(F275,属性耐性マスタ!$A$5:$A$10,0),0)</f>
        <v>6</v>
      </c>
      <c r="AG275">
        <f>IF(AE275=0,1,INDEX(個性タイプマスタ!$AB$5:$AB$54,AE275))</f>
        <v>10.148333333333333</v>
      </c>
      <c r="AH275">
        <f>IF(AE275=0,1,INDEX(個性タイプマスタ!$AC$5:$AC$54,AE275))</f>
        <v>0.88</v>
      </c>
      <c r="AI275">
        <f>IF(AE275=0,0,INDEX(個性タイプマスタ!$AD$5:$AD$54,AE275))</f>
        <v>1.1000000000000001</v>
      </c>
      <c r="AJ275" s="16">
        <v>45</v>
      </c>
      <c r="AK275" s="17">
        <f>IF(OR(AJ275="",AJ275&lt;1),"",POWER(使い方と設定!$E$6,AJ275-1))</f>
        <v>5.6165150783282769</v>
      </c>
    </row>
    <row r="276" spans="1:37">
      <c r="A276" t="str">
        <f>+[2]称号!A271</f>
        <v>TITLE_270</v>
      </c>
      <c r="B276" t="str">
        <f>+[2]称号!B271</f>
        <v>終焉要塞の断罪巨将</v>
      </c>
      <c r="C276" t="s">
        <v>675</v>
      </c>
      <c r="D276" t="s">
        <v>676</v>
      </c>
      <c r="E276" s="2" t="str">
        <f>[1]モンスター計算!AM274</f>
        <v>魔法・砲撃</v>
      </c>
      <c r="F276" s="2" t="str">
        <f>[1]モンスター計算!C274</f>
        <v>闇</v>
      </c>
      <c r="G276" s="8">
        <v>1.25</v>
      </c>
      <c r="H276" t="str">
        <f t="shared" si="12"/>
        <v>OK</v>
      </c>
      <c r="I276" s="9">
        <f>IF($H276&lt;&gt;"OK","",ROUND($G276*使い方と設定!$B$7*$AK276*INDEX(個性タイプマスタ!$Q$5:$AA$54,$AE276,1)/$AG276,4))</f>
        <v>1.0101</v>
      </c>
      <c r="J276" s="9">
        <f>IF($H276&lt;&gt;"OK","",ROUND($G276*使い方と設定!$B$7*$AK276*INDEX(個性タイプマスタ!$Q$5:$AA$54,$AE276,2)/$AG276,4))</f>
        <v>1.776</v>
      </c>
      <c r="K276" s="9">
        <f>IF($H276&lt;&gt;"OK","",ROUND($G276*使い方と設定!$B$7*$AK276*INDEX(個性タイプマスタ!$Q$5:$AA$54,$AE276,3)/$AG276,4))</f>
        <v>0.18920000000000001</v>
      </c>
      <c r="L276" s="9">
        <f>IF($H276&lt;&gt;"OK","",ROUND($G276*使い方と設定!$B$7*$AK276*INDEX(個性タイプマスタ!$Q$5:$AA$54,$AE276,4)/$AG276,4))</f>
        <v>2.5226999999999999</v>
      </c>
      <c r="M276" s="9">
        <f>IF($H276&lt;&gt;"OK","",ROUND($G276*使い方と設定!$B$7*$AK276*INDEX(個性タイプマスタ!$Q$5:$AA$54,$AE276,5)/$AG276,4))</f>
        <v>0.75480000000000003</v>
      </c>
      <c r="N276" s="9">
        <f>IF($H276&lt;&gt;"OK","",ROUND($G276*使い方と設定!$B$7*$AK276*INDEX(個性タイプマスタ!$Q$5:$AA$54,$AE276,6)/$AG276,4))</f>
        <v>0.81479999999999997</v>
      </c>
      <c r="O276" s="9">
        <f>IF($H276&lt;&gt;"OK","",ROUND($G276*使い方と設定!$B$7*$AK276*INDEX(個性タイプマスタ!$Q$5:$AA$54,$AE276,7)/$AG276,4))</f>
        <v>0.44400000000000001</v>
      </c>
      <c r="P276" s="9">
        <f>IF($H276&lt;&gt;"OK","",ROUND($G276*使い方と設定!$B$7*$AK276*INDEX(個性タイプマスタ!$Q$5:$AA$54,$AE276,8)/$AG276,4))</f>
        <v>0.96199999999999997</v>
      </c>
      <c r="Q276" s="9">
        <f>IF($H276&lt;&gt;"OK","",ROUND($G276*使い方と設定!$B$7*$AK276*INDEX(個性タイプマスタ!$Q$5:$AA$54,$AE276,9)/$AG276,4))</f>
        <v>0.36630000000000001</v>
      </c>
      <c r="R276" s="9">
        <f>IF($H276&lt;&gt;"OK","",ROUND($G276*使い方と設定!$B$7*$AK276*INDEX(個性タイプマスタ!$Q$5:$AA$54,$AE276,10)/$AG276,4))</f>
        <v>0.64580000000000004</v>
      </c>
      <c r="S276" s="9">
        <f>IF($H276&lt;&gt;"OK","",ROUND($G276*使い方と設定!$B$7*$AK276*INDEX(個性タイプマスタ!$Q$5:$AA$54,$AE276,11)/$AG276,4))</f>
        <v>1.0454000000000001</v>
      </c>
      <c r="T276" s="9">
        <f>IF($H276&lt;&gt;"OK","",ROUND($G276*使い方と設定!$B$8*$AK276*$AH276*INDEX(属性耐性マスタ!$B$5:$G$10,$AF276,1),4))</f>
        <v>1.9E-2</v>
      </c>
      <c r="U276" s="9">
        <f>IF($H276&lt;&gt;"OK","",ROUND($G276*使い方と設定!$B$8*$AK276*$AH276*INDEX(属性耐性マスタ!$B$5:$G$10,$AF276,2),4))</f>
        <v>1.9E-2</v>
      </c>
      <c r="V276" s="9">
        <f>IF($H276&lt;&gt;"OK","",ROUND($G276*使い方と設定!$B$8*$AK276*$AH276*INDEX(属性耐性マスタ!$B$5:$G$10,$AF276,3),4))</f>
        <v>1.9E-2</v>
      </c>
      <c r="W276" s="9">
        <f>IF($H276&lt;&gt;"OK","",ROUND($G276*使い方と設定!$B$8*$AK276*$AH276*INDEX(属性耐性マスタ!$B$5:$G$10,$AF276,4),4))</f>
        <v>1.9E-2</v>
      </c>
      <c r="X276" s="9">
        <f>IF($H276&lt;&gt;"OK","",ROUND($G276*使い方と設定!$B$8*$AK276*$AH276*INDEX(属性耐性マスタ!$B$5:$G$10,$AF276,5),4))</f>
        <v>5.0500000000000003E-2</v>
      </c>
      <c r="Y276" s="9">
        <f>IF($H276&lt;&gt;"OK","",ROUND($G276*使い方と設定!$B$8*$AK276*$AH276*INDEX(属性耐性マスタ!$B$5:$G$10,$AF276,6),4))</f>
        <v>0.37909999999999999</v>
      </c>
      <c r="Z276" s="9">
        <f>IF($H276&lt;&gt;"OK","",ROUND($G276*使い方と設定!$B$9*$AK276*$AI276,4))</f>
        <v>3.0714999999999999</v>
      </c>
      <c r="AA276" s="10">
        <v>0.25</v>
      </c>
      <c r="AB276" s="11">
        <f t="shared" si="13"/>
        <v>10.5311</v>
      </c>
      <c r="AC276" s="11">
        <f t="shared" si="14"/>
        <v>0.50560000000000005</v>
      </c>
      <c r="AD276" s="7" t="str">
        <f>IF($H276&lt;&gt;"OK","",INDEX(個性タイプマスタ!$P$5:$P$54,$AE276))</f>
        <v>低速高威力の遠距離砲台</v>
      </c>
      <c r="AE276">
        <f>IFERROR(MATCH(E276,個性タイプマスタ!$A$5:$A$54,0),0)</f>
        <v>17</v>
      </c>
      <c r="AF276">
        <f>IFERROR(MATCH(F276,属性耐性マスタ!$A$5:$A$10,0),0)</f>
        <v>6</v>
      </c>
      <c r="AG276">
        <f>IF(AE276=0,1,INDEX(個性タイプマスタ!$AB$5:$AB$54,AE276))</f>
        <v>10.436333333333334</v>
      </c>
      <c r="AH276">
        <f>IF(AE276=0,1,INDEX(個性タイプマスタ!$AC$5:$AC$54,AE276))</f>
        <v>0.9</v>
      </c>
      <c r="AI276">
        <f>IF(AE276=0,0,INDEX(個性タイプマスタ!$AD$5:$AD$54,AE276))</f>
        <v>0.875</v>
      </c>
      <c r="AJ276" s="16">
        <v>45</v>
      </c>
      <c r="AK276" s="17">
        <f>IF(OR(AJ276="",AJ276&lt;1),"",POWER(使い方と設定!$E$6,AJ276-1))</f>
        <v>5.6165150783282769</v>
      </c>
    </row>
    <row r="277" spans="1:37">
      <c r="A277" t="str">
        <f>+[2]称号!A272</f>
        <v>TITLE_271</v>
      </c>
      <c r="B277" t="str">
        <f>+[2]称号!B272</f>
        <v>冥界を彷徨う紫骸の断罪者</v>
      </c>
      <c r="C277" t="s">
        <v>677</v>
      </c>
      <c r="D277" t="s">
        <v>678</v>
      </c>
      <c r="E277" s="2" t="str">
        <f>[1]モンスター計算!AM275</f>
        <v>魔法・支援</v>
      </c>
      <c r="F277" s="2" t="str">
        <f>[1]モンスター計算!C275</f>
        <v>闇</v>
      </c>
      <c r="G277" s="8">
        <v>1</v>
      </c>
      <c r="H277" t="str">
        <f t="shared" si="12"/>
        <v>OK</v>
      </c>
      <c r="I277" s="9">
        <f>IF($H277&lt;&gt;"OK","",ROUND($G277*使い方と設定!$B$7*$AK277*INDEX(個性タイプマスタ!$Q$5:$AA$54,$AE277,1)/$AG277,4))</f>
        <v>0.89249999999999996</v>
      </c>
      <c r="J277" s="9">
        <f>IF($H277&lt;&gt;"OK","",ROUND($G277*使い方と設定!$B$7*$AK277*INDEX(個性タイプマスタ!$Q$5:$AA$54,$AE277,2)/$AG277,4))</f>
        <v>1.2941</v>
      </c>
      <c r="K277" s="9">
        <f>IF($H277&lt;&gt;"OK","",ROUND($G277*使い方と設定!$B$7*$AK277*INDEX(個性タイプマスタ!$Q$5:$AA$54,$AE277,3)/$AG277,4))</f>
        <v>0.20280000000000001</v>
      </c>
      <c r="L277" s="9">
        <f>IF($H277&lt;&gt;"OK","",ROUND($G277*使い方と設定!$B$7*$AK277*INDEX(個性タイプマスタ!$Q$5:$AA$54,$AE277,4)/$AG277,4))</f>
        <v>2.0284</v>
      </c>
      <c r="M277" s="9">
        <f>IF($H277&lt;&gt;"OK","",ROUND($G277*使い方と設定!$B$7*$AK277*INDEX(個性タイプマスタ!$Q$5:$AA$54,$AE277,5)/$AG277,4))</f>
        <v>0.68969999999999998</v>
      </c>
      <c r="N277" s="9">
        <f>IF($H277&lt;&gt;"OK","",ROUND($G277*使い方と設定!$B$7*$AK277*INDEX(個性タイプマスタ!$Q$5:$AA$54,$AE277,6)/$AG277,4))</f>
        <v>0.8276</v>
      </c>
      <c r="O277" s="9">
        <f>IF($H277&lt;&gt;"OK","",ROUND($G277*使い方と設定!$B$7*$AK277*INDEX(個性タイプマスタ!$Q$5:$AA$54,$AE277,7)/$AG277,4))</f>
        <v>0.53549999999999998</v>
      </c>
      <c r="P277" s="9">
        <f>IF($H277&lt;&gt;"OK","",ROUND($G277*使い方と設定!$B$7*$AK277*INDEX(個性タイプマスタ!$Q$5:$AA$54,$AE277,8)/$AG277,4))</f>
        <v>0.49220000000000003</v>
      </c>
      <c r="Q277" s="9">
        <f>IF($H277&lt;&gt;"OK","",ROUND($G277*使い方と設定!$B$7*$AK277*INDEX(個性タイプマスタ!$Q$5:$AA$54,$AE277,9)/$AG277,4))</f>
        <v>0.37490000000000001</v>
      </c>
      <c r="R277" s="9">
        <f>IF($H277&lt;&gt;"OK","",ROUND($G277*使い方と設定!$B$7*$AK277*INDEX(個性タイプマスタ!$Q$5:$AA$54,$AE277,10)/$AG277,4))</f>
        <v>0.77080000000000004</v>
      </c>
      <c r="S277" s="9">
        <f>IF($H277&lt;&gt;"OK","",ROUND($G277*使い方と設定!$B$7*$AK277*INDEX(個性タイプマスタ!$Q$5:$AA$54,$AE277,11)/$AG277,4))</f>
        <v>0.6532</v>
      </c>
      <c r="T277" s="9">
        <f>IF($H277&lt;&gt;"OK","",ROUND($G277*使い方と設定!$B$8*$AK277*$AH277*INDEX(属性耐性マスタ!$B$5:$G$10,$AF277,1),4))</f>
        <v>1.9599999999999999E-2</v>
      </c>
      <c r="U277" s="9">
        <f>IF($H277&lt;&gt;"OK","",ROUND($G277*使い方と設定!$B$8*$AK277*$AH277*INDEX(属性耐性マスタ!$B$5:$G$10,$AF277,2),4))</f>
        <v>1.9599999999999999E-2</v>
      </c>
      <c r="V277" s="9">
        <f>IF($H277&lt;&gt;"OK","",ROUND($G277*使い方と設定!$B$8*$AK277*$AH277*INDEX(属性耐性マスタ!$B$5:$G$10,$AF277,3),4))</f>
        <v>1.9599999999999999E-2</v>
      </c>
      <c r="W277" s="9">
        <f>IF($H277&lt;&gt;"OK","",ROUND($G277*使い方と設定!$B$8*$AK277*$AH277*INDEX(属性耐性マスタ!$B$5:$G$10,$AF277,4),4))</f>
        <v>1.9599999999999999E-2</v>
      </c>
      <c r="X277" s="9">
        <f>IF($H277&lt;&gt;"OK","",ROUND($G277*使い方と設定!$B$8*$AK277*$AH277*INDEX(属性耐性マスタ!$B$5:$G$10,$AF277,5),4))</f>
        <v>5.2299999999999999E-2</v>
      </c>
      <c r="Y277" s="9">
        <f>IF($H277&lt;&gt;"OK","",ROUND($G277*使い方と設定!$B$8*$AK277*$AH277*INDEX(属性耐性マスタ!$B$5:$G$10,$AF277,6),4))</f>
        <v>0.39250000000000002</v>
      </c>
      <c r="Z277" s="9">
        <f>IF($H277&lt;&gt;"OK","",ROUND($G277*使い方と設定!$B$9*$AK277*$AI277,4))</f>
        <v>2.7746</v>
      </c>
      <c r="AA277" s="10">
        <v>1</v>
      </c>
      <c r="AB277" s="11">
        <f t="shared" si="13"/>
        <v>8.7616999999999994</v>
      </c>
      <c r="AC277" s="11">
        <f t="shared" si="14"/>
        <v>0.5232</v>
      </c>
      <c r="AD277" s="7" t="str">
        <f>IF($H277&lt;&gt;"OK","",INDEX(個性タイプマスタ!$P$5:$P$54,$AE277))</f>
        <v>MPと魔防寄りの支援型</v>
      </c>
      <c r="AE277">
        <f>IFERROR(MATCH(E277,個性タイプマスタ!$A$5:$A$54,0),0)</f>
        <v>10</v>
      </c>
      <c r="AF277">
        <f>IFERROR(MATCH(F277,属性耐性マスタ!$A$5:$A$10,0),0)</f>
        <v>6</v>
      </c>
      <c r="AG277">
        <f>IF(AE277=0,1,INDEX(個性タイプマスタ!$AB$5:$AB$54,AE277))</f>
        <v>10.798666666666666</v>
      </c>
      <c r="AH277">
        <f>IF(AE277=0,1,INDEX(個性タイプマスタ!$AC$5:$AC$54,AE277))</f>
        <v>1.1200000000000001</v>
      </c>
      <c r="AI277">
        <f>IF(AE277=0,0,INDEX(個性タイプマスタ!$AD$5:$AD$54,AE277))</f>
        <v>0.95</v>
      </c>
      <c r="AJ277" s="16">
        <v>46</v>
      </c>
      <c r="AK277" s="17">
        <f>IF(OR(AJ277="",AJ277&lt;1),"",POWER(使い方と設定!$E$6,AJ277-1))</f>
        <v>5.841175681461408</v>
      </c>
    </row>
    <row r="278" spans="1:37">
      <c r="A278" t="str">
        <f>+[2]称号!A273</f>
        <v>TITLE_272</v>
      </c>
      <c r="B278" t="str">
        <f>+[2]称号!B273</f>
        <v>万物を黒へ還す侵触核体</v>
      </c>
      <c r="C278" t="s">
        <v>679</v>
      </c>
      <c r="D278" t="s">
        <v>680</v>
      </c>
      <c r="E278" s="2" t="str">
        <f>[1]モンスター計算!AM276</f>
        <v>魔法・長射程</v>
      </c>
      <c r="F278" s="2" t="str">
        <f>[1]モンスター計算!C276</f>
        <v>闇</v>
      </c>
      <c r="G278" s="8">
        <v>1.05</v>
      </c>
      <c r="H278" t="str">
        <f t="shared" si="12"/>
        <v>OK</v>
      </c>
      <c r="I278" s="9">
        <f>IF($H278&lt;&gt;"OK","",ROUND($G278*使い方と設定!$B$7*$AK278*INDEX(個性タイプマスタ!$Q$5:$AA$54,$AE278,1)/$AG278,4))</f>
        <v>0.92700000000000005</v>
      </c>
      <c r="J278" s="9">
        <f>IF($H278&lt;&gt;"OK","",ROUND($G278*使い方と設定!$B$7*$AK278*INDEX(個性タイプマスタ!$Q$5:$AA$54,$AE278,2)/$AG278,4))</f>
        <v>1.0622</v>
      </c>
      <c r="K278" s="9">
        <f>IF($H278&lt;&gt;"OK","",ROUND($G278*使い方と設定!$B$7*$AK278*INDEX(個性タイプマスタ!$Q$5:$AA$54,$AE278,3)/$AG278,4))</f>
        <v>0.1361</v>
      </c>
      <c r="L278" s="9">
        <f>IF($H278&lt;&gt;"OK","",ROUND($G278*使い方と設定!$B$7*$AK278*INDEX(個性タイプマスタ!$Q$5:$AA$54,$AE278,4)/$AG278,4))</f>
        <v>2.1947000000000001</v>
      </c>
      <c r="M278" s="9">
        <f>IF($H278&lt;&gt;"OK","",ROUND($G278*使い方と設定!$B$7*$AK278*INDEX(個性タイプマスタ!$Q$5:$AA$54,$AE278,5)/$AG278,4))</f>
        <v>0.6119</v>
      </c>
      <c r="N278" s="9">
        <f>IF($H278&lt;&gt;"OK","",ROUND($G278*使い方と設定!$B$7*$AK278*INDEX(個性タイプマスタ!$Q$5:$AA$54,$AE278,6)/$AG278,4))</f>
        <v>0.67900000000000005</v>
      </c>
      <c r="O278" s="9">
        <f>IF($H278&lt;&gt;"OK","",ROUND($G278*使い方と設定!$B$7*$AK278*INDEX(個性タイプマスタ!$Q$5:$AA$54,$AE278,7)/$AG278,4))</f>
        <v>0.57940000000000003</v>
      </c>
      <c r="P278" s="9">
        <f>IF($H278&lt;&gt;"OK","",ROUND($G278*使い方と設定!$B$7*$AK278*INDEX(個性タイプマスタ!$Q$5:$AA$54,$AE278,8)/$AG278,4))</f>
        <v>0.60870000000000002</v>
      </c>
      <c r="Q278" s="9">
        <f>IF($H278&lt;&gt;"OK","",ROUND($G278*使い方と設定!$B$7*$AK278*INDEX(個性タイプマスタ!$Q$5:$AA$54,$AE278,9)/$AG278,4))</f>
        <v>0.4345</v>
      </c>
      <c r="R278" s="9">
        <f>IF($H278&lt;&gt;"OK","",ROUND($G278*使い方と設定!$B$7*$AK278*INDEX(個性タイプマスタ!$Q$5:$AA$54,$AE278,10)/$AG278,4))</f>
        <v>0.79890000000000005</v>
      </c>
      <c r="S278" s="9">
        <f>IF($H278&lt;&gt;"OK","",ROUND($G278*使い方と設定!$B$7*$AK278*INDEX(個性タイプマスタ!$Q$5:$AA$54,$AE278,11)/$AG278,4))</f>
        <v>1.1676</v>
      </c>
      <c r="T278" s="9">
        <f>IF($H278&lt;&gt;"OK","",ROUND($G278*使い方と設定!$B$8*$AK278*$AH278*INDEX(属性耐性マスタ!$B$5:$G$10,$AF278,1),4))</f>
        <v>1.6899999999999998E-2</v>
      </c>
      <c r="U278" s="9">
        <f>IF($H278&lt;&gt;"OK","",ROUND($G278*使い方と設定!$B$8*$AK278*$AH278*INDEX(属性耐性マスタ!$B$5:$G$10,$AF278,2),4))</f>
        <v>1.6899999999999998E-2</v>
      </c>
      <c r="V278" s="9">
        <f>IF($H278&lt;&gt;"OK","",ROUND($G278*使い方と設定!$B$8*$AK278*$AH278*INDEX(属性耐性マスタ!$B$5:$G$10,$AF278,3),4))</f>
        <v>1.6899999999999998E-2</v>
      </c>
      <c r="W278" s="9">
        <f>IF($H278&lt;&gt;"OK","",ROUND($G278*使い方と設定!$B$8*$AK278*$AH278*INDEX(属性耐性マスタ!$B$5:$G$10,$AF278,4),4))</f>
        <v>1.6899999999999998E-2</v>
      </c>
      <c r="X278" s="9">
        <f>IF($H278&lt;&gt;"OK","",ROUND($G278*使い方と設定!$B$8*$AK278*$AH278*INDEX(属性耐性マスタ!$B$5:$G$10,$AF278,5),4))</f>
        <v>4.5100000000000001E-2</v>
      </c>
      <c r="Y278" s="9">
        <f>IF($H278&lt;&gt;"OK","",ROUND($G278*使い方と設定!$B$8*$AK278*$AH278*INDEX(属性耐性マスタ!$B$5:$G$10,$AF278,6),4))</f>
        <v>0.33860000000000001</v>
      </c>
      <c r="Z278" s="9">
        <f>IF($H278&lt;&gt;"OK","",ROUND($G278*使い方と設定!$B$9*$AK278*$AI278,4))</f>
        <v>2.99</v>
      </c>
      <c r="AA278" s="10">
        <v>1</v>
      </c>
      <c r="AB278" s="11">
        <f t="shared" si="13"/>
        <v>9.1999999999999993</v>
      </c>
      <c r="AC278" s="11">
        <f t="shared" si="14"/>
        <v>0.45129999999999998</v>
      </c>
      <c r="AD278" s="7" t="str">
        <f>IF($H278&lt;&gt;"OK","",INDEX(個性タイプマスタ!$P$5:$P$54,$AE278))</f>
        <v>射程を優先した後衛</v>
      </c>
      <c r="AE278">
        <f>IFERROR(MATCH(E278,個性タイプマスタ!$A$5:$A$54,0),0)</f>
        <v>20</v>
      </c>
      <c r="AF278">
        <f>IFERROR(MATCH(F278,属性耐性マスタ!$A$5:$A$10,0),0)</f>
        <v>6</v>
      </c>
      <c r="AG278">
        <f>IF(AE278=0,1,INDEX(個性タイプマスタ!$AB$5:$AB$54,AE278))</f>
        <v>10.479833333333334</v>
      </c>
      <c r="AH278">
        <f>IF(AE278=0,1,INDEX(個性タイプマスタ!$AC$5:$AC$54,AE278))</f>
        <v>0.92</v>
      </c>
      <c r="AI278">
        <f>IF(AE278=0,0,INDEX(個性タイプマスタ!$AD$5:$AD$54,AE278))</f>
        <v>0.97499999999999998</v>
      </c>
      <c r="AJ278" s="16">
        <v>46</v>
      </c>
      <c r="AK278" s="17">
        <f>IF(OR(AJ278="",AJ278&lt;1),"",POWER(使い方と設定!$E$6,AJ278-1))</f>
        <v>5.841175681461408</v>
      </c>
    </row>
    <row r="279" spans="1:37">
      <c r="A279" t="str">
        <f>+[2]称号!A274</f>
        <v>TITLE_273</v>
      </c>
      <c r="B279" t="str">
        <f>+[2]称号!B274</f>
        <v>妖眼瞬く奈落の尖兵</v>
      </c>
      <c r="C279" t="s">
        <v>681</v>
      </c>
      <c r="D279" t="s">
        <v>682</v>
      </c>
      <c r="E279" s="2" t="str">
        <f>[1]モンスター計算!AM277</f>
        <v>魔法・高MP</v>
      </c>
      <c r="F279" s="2" t="str">
        <f>[1]モンスター計算!C277</f>
        <v>闇</v>
      </c>
      <c r="G279" s="8">
        <v>1.1000000000000001</v>
      </c>
      <c r="H279" t="str">
        <f t="shared" si="12"/>
        <v>OK</v>
      </c>
      <c r="I279" s="9">
        <f>IF($H279&lt;&gt;"OK","",ROUND($G279*使い方と設定!$B$7*$AK279*INDEX(個性タイプマスタ!$Q$5:$AA$54,$AE279,1)/$AG279,4))</f>
        <v>0.90759999999999996</v>
      </c>
      <c r="J279" s="9">
        <f>IF($H279&lt;&gt;"OK","",ROUND($G279*使い方と設定!$B$7*$AK279*INDEX(個性タイプマスタ!$Q$5:$AA$54,$AE279,2)/$AG279,4))</f>
        <v>2.3351000000000002</v>
      </c>
      <c r="K279" s="9">
        <f>IF($H279&lt;&gt;"OK","",ROUND($G279*使い方と設定!$B$7*$AK279*INDEX(個性タイプマスタ!$Q$5:$AA$54,$AE279,3)/$AG279,4))</f>
        <v>0.14019999999999999</v>
      </c>
      <c r="L279" s="9">
        <f>IF($H279&lt;&gt;"OK","",ROUND($G279*使い方と設定!$B$7*$AK279*INDEX(個性タイプマスタ!$Q$5:$AA$54,$AE279,4)/$AG279,4))</f>
        <v>2.0026999999999999</v>
      </c>
      <c r="M279" s="9">
        <f>IF($H279&lt;&gt;"OK","",ROUND($G279*使い方と設定!$B$7*$AK279*INDEX(個性タイプマスタ!$Q$5:$AA$54,$AE279,5)/$AG279,4))</f>
        <v>0.65369999999999995</v>
      </c>
      <c r="N279" s="9">
        <f>IF($H279&lt;&gt;"OK","",ROUND($G279*使い方と設定!$B$7*$AK279*INDEX(個性タイプマスタ!$Q$5:$AA$54,$AE279,6)/$AG279,4))</f>
        <v>0.80349999999999999</v>
      </c>
      <c r="O279" s="9">
        <f>IF($H279&lt;&gt;"OK","",ROUND($G279*使い方と設定!$B$7*$AK279*INDEX(個性タイプマスタ!$Q$5:$AA$54,$AE279,7)/$AG279,4))</f>
        <v>0.57279999999999998</v>
      </c>
      <c r="P279" s="9">
        <f>IF($H279&lt;&gt;"OK","",ROUND($G279*使い方と設定!$B$7*$AK279*INDEX(個性タイプマスタ!$Q$5:$AA$54,$AE279,8)/$AG279,4))</f>
        <v>0.50329999999999997</v>
      </c>
      <c r="Q279" s="9">
        <f>IF($H279&lt;&gt;"OK","",ROUND($G279*使い方と設定!$B$7*$AK279*INDEX(個性タイプマスタ!$Q$5:$AA$54,$AE279,9)/$AG279,4))</f>
        <v>0.37009999999999998</v>
      </c>
      <c r="R279" s="9">
        <f>IF($H279&lt;&gt;"OK","",ROUND($G279*使い方と設定!$B$7*$AK279*INDEX(個性タイプマスタ!$Q$5:$AA$54,$AE279,10)/$AG279,4))</f>
        <v>0.72099999999999997</v>
      </c>
      <c r="S279" s="9">
        <f>IF($H279&lt;&gt;"OK","",ROUND($G279*使い方と設定!$B$7*$AK279*INDEX(個性タイプマスタ!$Q$5:$AA$54,$AE279,11)/$AG279,4))</f>
        <v>0.628</v>
      </c>
      <c r="T279" s="9">
        <f>IF($H279&lt;&gt;"OK","",ROUND($G279*使い方と設定!$B$8*$AK279*$AH279*INDEX(属性耐性マスタ!$B$5:$G$10,$AF279,1),4))</f>
        <v>2.0799999999999999E-2</v>
      </c>
      <c r="U279" s="9">
        <f>IF($H279&lt;&gt;"OK","",ROUND($G279*使い方と設定!$B$8*$AK279*$AH279*INDEX(属性耐性マスタ!$B$5:$G$10,$AF279,2),4))</f>
        <v>2.0799999999999999E-2</v>
      </c>
      <c r="V279" s="9">
        <f>IF($H279&lt;&gt;"OK","",ROUND($G279*使い方と設定!$B$8*$AK279*$AH279*INDEX(属性耐性マスタ!$B$5:$G$10,$AF279,3),4))</f>
        <v>2.0799999999999999E-2</v>
      </c>
      <c r="W279" s="9">
        <f>IF($H279&lt;&gt;"OK","",ROUND($G279*使い方と設定!$B$8*$AK279*$AH279*INDEX(属性耐性マスタ!$B$5:$G$10,$AF279,4),4))</f>
        <v>2.0799999999999999E-2</v>
      </c>
      <c r="X279" s="9">
        <f>IF($H279&lt;&gt;"OK","",ROUND($G279*使い方と設定!$B$8*$AK279*$AH279*INDEX(属性耐性マスタ!$B$5:$G$10,$AF279,5),4))</f>
        <v>5.5500000000000001E-2</v>
      </c>
      <c r="Y279" s="9">
        <f>IF($H279&lt;&gt;"OK","",ROUND($G279*使い方と設定!$B$8*$AK279*$AH279*INDEX(属性耐性マスタ!$B$5:$G$10,$AF279,6),4))</f>
        <v>0.41639999999999999</v>
      </c>
      <c r="Z279" s="9">
        <f>IF($H279&lt;&gt;"OK","",ROUND($G279*使い方と設定!$B$9*$AK279*$AI279,4))</f>
        <v>3.052</v>
      </c>
      <c r="AA279" s="10">
        <v>0.9</v>
      </c>
      <c r="AB279" s="11">
        <f t="shared" si="13"/>
        <v>9.6379999999999999</v>
      </c>
      <c r="AC279" s="11">
        <f t="shared" si="14"/>
        <v>0.55510000000000004</v>
      </c>
      <c r="AD279" s="7" t="str">
        <f>IF($H279&lt;&gt;"OK","",INDEX(個性タイプマスタ!$P$5:$P$54,$AE279))</f>
        <v>MP容量を重視する後衛</v>
      </c>
      <c r="AE279">
        <f>IFERROR(MATCH(E279,個性タイプマスタ!$A$5:$A$54,0),0)</f>
        <v>27</v>
      </c>
      <c r="AF279">
        <f>IFERROR(MATCH(F279,属性耐性マスタ!$A$5:$A$10,0),0)</f>
        <v>6</v>
      </c>
      <c r="AG279">
        <f>IF(AE279=0,1,INDEX(個性タイプマスタ!$AB$5:$AB$54,AE279))</f>
        <v>12.031333333333334</v>
      </c>
      <c r="AH279">
        <f>IF(AE279=0,1,INDEX(個性タイプマスタ!$AC$5:$AC$54,AE279))</f>
        <v>1.08</v>
      </c>
      <c r="AI279">
        <f>IF(AE279=0,0,INDEX(個性タイプマスタ!$AD$5:$AD$54,AE279))</f>
        <v>0.95</v>
      </c>
      <c r="AJ279" s="16">
        <v>46</v>
      </c>
      <c r="AK279" s="17">
        <f>IF(OR(AJ279="",AJ279&lt;1),"",POWER(使い方と設定!$E$6,AJ279-1))</f>
        <v>5.841175681461408</v>
      </c>
    </row>
    <row r="280" spans="1:37">
      <c r="A280" t="str">
        <f>+[2]称号!A275</f>
        <v>TITLE_274</v>
      </c>
      <c r="B280" t="str">
        <f>+[2]称号!B275</f>
        <v>腐界を穿つ甲殻侵滅虫</v>
      </c>
      <c r="C280" t="s">
        <v>683</v>
      </c>
      <c r="D280" t="s">
        <v>684</v>
      </c>
      <c r="E280" s="2" t="str">
        <f>[1]モンスター計算!AM278</f>
        <v>近接・最終層</v>
      </c>
      <c r="F280" s="2" t="str">
        <f>[1]モンスター計算!C278</f>
        <v>闇</v>
      </c>
      <c r="G280" s="8">
        <v>1.1499999999999999</v>
      </c>
      <c r="H280" t="str">
        <f t="shared" si="12"/>
        <v>OK</v>
      </c>
      <c r="I280" s="9">
        <f>IF($H280&lt;&gt;"OK","",ROUND($G280*使い方と設定!$B$7*$AK280*INDEX(個性タイプマスタ!$Q$5:$AA$54,$AE280,1)/$AG280,4))</f>
        <v>1.1009</v>
      </c>
      <c r="J280" s="9">
        <f>IF($H280&lt;&gt;"OK","",ROUND($G280*使い方と設定!$B$7*$AK280*INDEX(個性タイプマスタ!$Q$5:$AA$54,$AE280,2)/$AG280,4))</f>
        <v>0.59830000000000005</v>
      </c>
      <c r="K280" s="9">
        <f>IF($H280&lt;&gt;"OK","",ROUND($G280*使い方と設定!$B$7*$AK280*INDEX(個性タイプマスタ!$Q$5:$AA$54,$AE280,3)/$AG280,4))</f>
        <v>2.7197</v>
      </c>
      <c r="L280" s="9">
        <f>IF($H280&lt;&gt;"OK","",ROUND($G280*使い方と設定!$B$7*$AK280*INDEX(個性タイプマスタ!$Q$5:$AA$54,$AE280,4)/$AG280,4))</f>
        <v>0.27200000000000002</v>
      </c>
      <c r="M280" s="9">
        <f>IF($H280&lt;&gt;"OK","",ROUND($G280*使い方と設定!$B$7*$AK280*INDEX(個性タイプマスタ!$Q$5:$AA$54,$AE280,5)/$AG280,4))</f>
        <v>0.87849999999999995</v>
      </c>
      <c r="N280" s="9">
        <f>IF($H280&lt;&gt;"OK","",ROUND($G280*使い方と設定!$B$7*$AK280*INDEX(個性タイプマスタ!$Q$5:$AA$54,$AE280,6)/$AG280,4))</f>
        <v>0.97089999999999999</v>
      </c>
      <c r="O280" s="9">
        <f>IF($H280&lt;&gt;"OK","",ROUND($G280*使い方と設定!$B$7*$AK280*INDEX(個性タイプマスタ!$Q$5:$AA$54,$AE280,7)/$AG280,4))</f>
        <v>0.59830000000000005</v>
      </c>
      <c r="P280" s="9">
        <f>IF($H280&lt;&gt;"OK","",ROUND($G280*使い方と設定!$B$7*$AK280*INDEX(個性タイプマスタ!$Q$5:$AA$54,$AE280,8)/$AG280,4))</f>
        <v>0.70709999999999995</v>
      </c>
      <c r="Q280" s="9">
        <f>IF($H280&lt;&gt;"OK","",ROUND($G280*使い方と設定!$B$7*$AK280*INDEX(個性タイプマスタ!$Q$5:$AA$54,$AE280,9)/$AG280,4))</f>
        <v>0.47870000000000001</v>
      </c>
      <c r="R280" s="9">
        <f>IF($H280&lt;&gt;"OK","",ROUND($G280*使い方と設定!$B$7*$AK280*INDEX(個性タイプマスタ!$Q$5:$AA$54,$AE280,10)/$AG280,4))</f>
        <v>1.1423000000000001</v>
      </c>
      <c r="S280" s="9">
        <f>IF($H280&lt;&gt;"OK","",ROUND($G280*使い方と設定!$B$7*$AK280*INDEX(個性タイプマスタ!$Q$5:$AA$54,$AE280,11)/$AG280,4))</f>
        <v>0.60919999999999996</v>
      </c>
      <c r="T280" s="9">
        <f>IF($H280&lt;&gt;"OK","",ROUND($G280*使い方と設定!$B$8*$AK280*$AH280*INDEX(属性耐性マスタ!$B$5:$G$10,$AF280,1),4))</f>
        <v>2.1000000000000001E-2</v>
      </c>
      <c r="U280" s="9">
        <f>IF($H280&lt;&gt;"OK","",ROUND($G280*使い方と設定!$B$8*$AK280*$AH280*INDEX(属性耐性マスタ!$B$5:$G$10,$AF280,2),4))</f>
        <v>2.1000000000000001E-2</v>
      </c>
      <c r="V280" s="9">
        <f>IF($H280&lt;&gt;"OK","",ROUND($G280*使い方と設定!$B$8*$AK280*$AH280*INDEX(属性耐性マスタ!$B$5:$G$10,$AF280,3),4))</f>
        <v>2.1000000000000001E-2</v>
      </c>
      <c r="W280" s="9">
        <f>IF($H280&lt;&gt;"OK","",ROUND($G280*使い方と設定!$B$8*$AK280*$AH280*INDEX(属性耐性マスタ!$B$5:$G$10,$AF280,4),4))</f>
        <v>2.1000000000000001E-2</v>
      </c>
      <c r="X280" s="9">
        <f>IF($H280&lt;&gt;"OK","",ROUND($G280*使い方と設定!$B$8*$AK280*$AH280*INDEX(属性耐性マスタ!$B$5:$G$10,$AF280,5),4))</f>
        <v>5.5899999999999998E-2</v>
      </c>
      <c r="Y280" s="9">
        <f>IF($H280&lt;&gt;"OK","",ROUND($G280*使い方と設定!$B$8*$AK280*$AH280*INDEX(属性耐性マスタ!$B$5:$G$10,$AF280,6),4))</f>
        <v>0.41920000000000002</v>
      </c>
      <c r="Z280" s="9">
        <f>IF($H280&lt;&gt;"OK","",ROUND($G280*使い方と設定!$B$9*$AK280*$AI280,4))</f>
        <v>3.1347999999999998</v>
      </c>
      <c r="AA280" s="10">
        <v>0.55000000000000004</v>
      </c>
      <c r="AB280" s="11">
        <f t="shared" si="13"/>
        <v>10.075900000000001</v>
      </c>
      <c r="AC280" s="11">
        <f t="shared" si="14"/>
        <v>0.55910000000000004</v>
      </c>
      <c r="AD280" s="7" t="str">
        <f>IF($H280&lt;&gt;"OK","",INDEX(個性タイプマスタ!$P$5:$P$54,$AE280))</f>
        <v>終盤近接の特別配分</v>
      </c>
      <c r="AE280">
        <f>IFERROR(MATCH(E280,個性タイプマスタ!$A$5:$A$54,0),0)</f>
        <v>7</v>
      </c>
      <c r="AF280">
        <f>IFERROR(MATCH(F280,属性耐性マスタ!$A$5:$A$10,0),0)</f>
        <v>6</v>
      </c>
      <c r="AG280">
        <f>IF(AE280=0,1,INDEX(個性タイプマスタ!$AB$5:$AB$54,AE280))</f>
        <v>9.2620000000000022</v>
      </c>
      <c r="AH280">
        <f>IF(AE280=0,1,INDEX(個性タイプマスタ!$AC$5:$AC$54,AE280))</f>
        <v>1.04</v>
      </c>
      <c r="AI280">
        <f>IF(AE280=0,0,INDEX(個性タイプマスタ!$AD$5:$AD$54,AE280))</f>
        <v>0.93333333333333335</v>
      </c>
      <c r="AJ280" s="16">
        <v>46</v>
      </c>
      <c r="AK280" s="17">
        <f>IF(OR(AJ280="",AJ280&lt;1),"",POWER(使い方と設定!$E$6,AJ280-1))</f>
        <v>5.841175681461408</v>
      </c>
    </row>
    <row r="281" spans="1:37">
      <c r="A281" t="str">
        <f>+[2]称号!A276</f>
        <v>TITLE_275</v>
      </c>
      <c r="B281" t="str">
        <f>+[2]称号!B276</f>
        <v>闇渦に揺蕩う無明の灯</v>
      </c>
      <c r="C281" t="s">
        <v>685</v>
      </c>
      <c r="D281" t="s">
        <v>686</v>
      </c>
      <c r="E281" s="2" t="str">
        <f>[1]モンスター計算!AM279</f>
        <v>近接・連撃</v>
      </c>
      <c r="F281" s="2" t="str">
        <f>[1]モンスター計算!C279</f>
        <v>闇</v>
      </c>
      <c r="G281" s="8">
        <v>1.2</v>
      </c>
      <c r="H281" t="str">
        <f t="shared" si="12"/>
        <v>OK</v>
      </c>
      <c r="I281" s="9">
        <f>IF($H281&lt;&gt;"OK","",ROUND($G281*使い方と設定!$B$7*$AK281*INDEX(個性タイプマスタ!$Q$5:$AA$54,$AE281,1)/$AG281,4))</f>
        <v>0.9617</v>
      </c>
      <c r="J281" s="9">
        <f>IF($H281&lt;&gt;"OK","",ROUND($G281*使い方と設定!$B$7*$AK281*INDEX(個性タイプマスタ!$Q$5:$AA$54,$AE281,2)/$AG281,4))</f>
        <v>0.46300000000000002</v>
      </c>
      <c r="K281" s="9">
        <f>IF($H281&lt;&gt;"OK","",ROUND($G281*使い方と設定!$B$7*$AK281*INDEX(個性タイプマスタ!$Q$5:$AA$54,$AE281,3)/$AG281,4))</f>
        <v>2.6983000000000001</v>
      </c>
      <c r="L281" s="9">
        <f>IF($H281&lt;&gt;"OK","",ROUND($G281*使い方と設定!$B$7*$AK281*INDEX(個性タイプマスタ!$Q$5:$AA$54,$AE281,4)/$AG281,4))</f>
        <v>0.18890000000000001</v>
      </c>
      <c r="M281" s="9">
        <f>IF($H281&lt;&gt;"OK","",ROUND($G281*使い方と設定!$B$7*$AK281*INDEX(個性タイプマスタ!$Q$5:$AA$54,$AE281,5)/$AG281,4))</f>
        <v>0.68810000000000004</v>
      </c>
      <c r="N281" s="9">
        <f>IF($H281&lt;&gt;"OK","",ROUND($G281*使い方と設定!$B$7*$AK281*INDEX(個性タイプマスタ!$Q$5:$AA$54,$AE281,6)/$AG281,4))</f>
        <v>0.7248</v>
      </c>
      <c r="O281" s="9">
        <f>IF($H281&lt;&gt;"OK","",ROUND($G281*使い方と設定!$B$7*$AK281*INDEX(個性タイプマスタ!$Q$5:$AA$54,$AE281,7)/$AG281,4))</f>
        <v>0.83109999999999995</v>
      </c>
      <c r="P281" s="9">
        <f>IF($H281&lt;&gt;"OK","",ROUND($G281*使い方と設定!$B$7*$AK281*INDEX(個性タイプマスタ!$Q$5:$AA$54,$AE281,8)/$AG281,4))</f>
        <v>0.67820000000000003</v>
      </c>
      <c r="Q281" s="9">
        <f>IF($H281&lt;&gt;"OK","",ROUND($G281*使い方と設定!$B$7*$AK281*INDEX(個性タイプマスタ!$Q$5:$AA$54,$AE281,9)/$AG281,4))</f>
        <v>0.79549999999999998</v>
      </c>
      <c r="R281" s="9">
        <f>IF($H281&lt;&gt;"OK","",ROUND($G281*使い方と設定!$B$7*$AK281*INDEX(個性タイプマスタ!$Q$5:$AA$54,$AE281,10)/$AG281,4))</f>
        <v>1.9104000000000001</v>
      </c>
      <c r="S281" s="9">
        <f>IF($H281&lt;&gt;"OK","",ROUND($G281*使い方と設定!$B$7*$AK281*INDEX(個性タイプマスタ!$Q$5:$AA$54,$AE281,11)/$AG281,4))</f>
        <v>0.57420000000000004</v>
      </c>
      <c r="T281" s="9">
        <f>IF($H281&lt;&gt;"OK","",ROUND($G281*使い方と設定!$B$8*$AK281*$AH281*INDEX(属性耐性マスタ!$B$5:$G$10,$AF281,1),4))</f>
        <v>1.5599999999999999E-2</v>
      </c>
      <c r="U281" s="9">
        <f>IF($H281&lt;&gt;"OK","",ROUND($G281*使い方と設定!$B$8*$AK281*$AH281*INDEX(属性耐性マスタ!$B$5:$G$10,$AF281,2),4))</f>
        <v>1.5599999999999999E-2</v>
      </c>
      <c r="V281" s="9">
        <f>IF($H281&lt;&gt;"OK","",ROUND($G281*使い方と設定!$B$8*$AK281*$AH281*INDEX(属性耐性マスタ!$B$5:$G$10,$AF281,3),4))</f>
        <v>1.5599999999999999E-2</v>
      </c>
      <c r="W281" s="9">
        <f>IF($H281&lt;&gt;"OK","",ROUND($G281*使い方と設定!$B$8*$AK281*$AH281*INDEX(属性耐性マスタ!$B$5:$G$10,$AF281,4),4))</f>
        <v>1.5599999999999999E-2</v>
      </c>
      <c r="X281" s="9">
        <f>IF($H281&lt;&gt;"OK","",ROUND($G281*使い方と設定!$B$8*$AK281*$AH281*INDEX(属性耐性マスタ!$B$5:$G$10,$AF281,5),4))</f>
        <v>4.1500000000000002E-2</v>
      </c>
      <c r="Y281" s="9">
        <f>IF($H281&lt;&gt;"OK","",ROUND($G281*使い方と設定!$B$8*$AK281*$AH281*INDEX(属性耐性マスタ!$B$5:$G$10,$AF281,6),4))</f>
        <v>0.31119999999999998</v>
      </c>
      <c r="Z281" s="9">
        <f>IF($H281&lt;&gt;"OK","",ROUND($G281*使い方と設定!$B$9*$AK281*$AI281,4))</f>
        <v>4.0595999999999997</v>
      </c>
      <c r="AA281" s="10">
        <v>0.5</v>
      </c>
      <c r="AB281" s="11">
        <f t="shared" si="13"/>
        <v>10.514200000000001</v>
      </c>
      <c r="AC281" s="11">
        <f t="shared" si="14"/>
        <v>0.41510000000000002</v>
      </c>
      <c r="AD281" s="7" t="str">
        <f>IF($H281&lt;&gt;"OK","",INDEX(個性タイプマスタ!$P$5:$P$54,$AE281))</f>
        <v>高攻速・短射程の手数型</v>
      </c>
      <c r="AE281">
        <f>IFERROR(MATCH(E281,個性タイプマスタ!$A$5:$A$54,0),0)</f>
        <v>35</v>
      </c>
      <c r="AF281">
        <f>IFERROR(MATCH(F281,属性耐性マスタ!$A$5:$A$10,0),0)</f>
        <v>6</v>
      </c>
      <c r="AG281">
        <f>IF(AE281=0,1,INDEX(個性タイプマスタ!$AB$5:$AB$54,AE281))</f>
        <v>9.7413333333333334</v>
      </c>
      <c r="AH281">
        <f>IF(AE281=0,1,INDEX(個性タイプマスタ!$AC$5:$AC$54,AE281))</f>
        <v>0.74</v>
      </c>
      <c r="AI281">
        <f>IF(AE281=0,0,INDEX(個性タイプマスタ!$AD$5:$AD$54,AE281))</f>
        <v>1.1583333333333332</v>
      </c>
      <c r="AJ281" s="16">
        <v>46</v>
      </c>
      <c r="AK281" s="17">
        <f>IF(OR(AJ281="",AJ281&lt;1),"",POWER(使い方と設定!$E$6,AJ281-1))</f>
        <v>5.841175681461408</v>
      </c>
    </row>
    <row r="282" spans="1:37">
      <c r="A282" t="str">
        <f>+[2]称号!A277</f>
        <v>TITLE_276</v>
      </c>
      <c r="B282" t="str">
        <f>+[2]称号!B277</f>
        <v>万象を呑み込む深淵顕現王</v>
      </c>
      <c r="C282" t="s">
        <v>687</v>
      </c>
      <c r="D282" t="s">
        <v>688</v>
      </c>
      <c r="E282" s="2" t="str">
        <f>[1]モンスター計算!AM280</f>
        <v>魔法・会心一撃</v>
      </c>
      <c r="F282" s="2" t="str">
        <f>[1]モンスター計算!C280</f>
        <v>闇</v>
      </c>
      <c r="G282" s="8">
        <v>1.25</v>
      </c>
      <c r="H282" t="str">
        <f t="shared" si="12"/>
        <v>OK</v>
      </c>
      <c r="I282" s="9">
        <f>IF($H282&lt;&gt;"OK","",ROUND($G282*使い方と設定!$B$7*$AK282*INDEX(個性タイプマスタ!$Q$5:$AA$54,$AE282,1)/$AG282,4))</f>
        <v>0.89239999999999997</v>
      </c>
      <c r="J282" s="9">
        <f>IF($H282&lt;&gt;"OK","",ROUND($G282*使い方と設定!$B$7*$AK282*INDEX(個性タイプマスタ!$Q$5:$AA$54,$AE282,2)/$AG282,4))</f>
        <v>1.4692000000000001</v>
      </c>
      <c r="K282" s="9">
        <f>IF($H282&lt;&gt;"OK","",ROUND($G282*使い方と設定!$B$7*$AK282*INDEX(個性タイプマスタ!$Q$5:$AA$54,$AE282,3)/$AG282,4))</f>
        <v>0.1484</v>
      </c>
      <c r="L282" s="9">
        <f>IF($H282&lt;&gt;"OK","",ROUND($G282*使い方と設定!$B$7*$AK282*INDEX(個性タイプマスタ!$Q$5:$AA$54,$AE282,4)/$AG282,4))</f>
        <v>2.4733999999999998</v>
      </c>
      <c r="M282" s="9">
        <f>IF($H282&lt;&gt;"OK","",ROUND($G282*使い方と設定!$B$7*$AK282*INDEX(個性タイプマスタ!$Q$5:$AA$54,$AE282,5)/$AG282,4))</f>
        <v>0.68120000000000003</v>
      </c>
      <c r="N282" s="9">
        <f>IF($H282&lt;&gt;"OK","",ROUND($G282*使い方と設定!$B$7*$AK282*INDEX(個性タイプマスタ!$Q$5:$AA$54,$AE282,6)/$AG282,4))</f>
        <v>0.73160000000000003</v>
      </c>
      <c r="O282" s="9">
        <f>IF($H282&lt;&gt;"OK","",ROUND($G282*使い方と設定!$B$7*$AK282*INDEX(個性タイプマスタ!$Q$5:$AA$54,$AE282,7)/$AG282,4))</f>
        <v>1.306</v>
      </c>
      <c r="P282" s="9">
        <f>IF($H282&lt;&gt;"OK","",ROUND($G282*使い方と設定!$B$7*$AK282*INDEX(個性タイプマスタ!$Q$5:$AA$54,$AE282,8)/$AG282,4))</f>
        <v>1.0931999999999999</v>
      </c>
      <c r="Q282" s="9">
        <f>IF($H282&lt;&gt;"OK","",ROUND($G282*使い方と設定!$B$7*$AK282*INDEX(個性タイプマスタ!$Q$5:$AA$54,$AE282,9)/$AG282,4))</f>
        <v>0.50060000000000004</v>
      </c>
      <c r="R282" s="9">
        <f>IF($H282&lt;&gt;"OK","",ROUND($G282*使い方と設定!$B$7*$AK282*INDEX(個性タイプマスタ!$Q$5:$AA$54,$AE282,10)/$AG282,4))</f>
        <v>0.67279999999999995</v>
      </c>
      <c r="S282" s="9">
        <f>IF($H282&lt;&gt;"OK","",ROUND($G282*使い方と設定!$B$7*$AK282*INDEX(個性タイプマスタ!$Q$5:$AA$54,$AE282,11)/$AG282,4))</f>
        <v>0.98340000000000005</v>
      </c>
      <c r="T282" s="9">
        <f>IF($H282&lt;&gt;"OK","",ROUND($G282*使い方と設定!$B$8*$AK282*$AH282*INDEX(属性耐性マスタ!$B$5:$G$10,$AF282,1),4))</f>
        <v>1.7100000000000001E-2</v>
      </c>
      <c r="U282" s="9">
        <f>IF($H282&lt;&gt;"OK","",ROUND($G282*使い方と設定!$B$8*$AK282*$AH282*INDEX(属性耐性マスタ!$B$5:$G$10,$AF282,2),4))</f>
        <v>1.7100000000000001E-2</v>
      </c>
      <c r="V282" s="9">
        <f>IF($H282&lt;&gt;"OK","",ROUND($G282*使い方と設定!$B$8*$AK282*$AH282*INDEX(属性耐性マスタ!$B$5:$G$10,$AF282,3),4))</f>
        <v>1.7100000000000001E-2</v>
      </c>
      <c r="W282" s="9">
        <f>IF($H282&lt;&gt;"OK","",ROUND($G282*使い方と設定!$B$8*$AK282*$AH282*INDEX(属性耐性マスタ!$B$5:$G$10,$AF282,4),4))</f>
        <v>1.7100000000000001E-2</v>
      </c>
      <c r="X282" s="9">
        <f>IF($H282&lt;&gt;"OK","",ROUND($G282*使い方と設定!$B$8*$AK282*$AH282*INDEX(属性耐性マスタ!$B$5:$G$10,$AF282,5),4))</f>
        <v>4.5600000000000002E-2</v>
      </c>
      <c r="Y282" s="9">
        <f>IF($H282&lt;&gt;"OK","",ROUND($G282*使い方と設定!$B$8*$AK282*$AH282*INDEX(属性耐性マスタ!$B$5:$G$10,$AF282,6),4))</f>
        <v>0.3417</v>
      </c>
      <c r="Z282" s="9">
        <f>IF($H282&lt;&gt;"OK","",ROUND($G282*使い方と設定!$B$9*$AK282*$AI282,4))</f>
        <v>3.5899000000000001</v>
      </c>
      <c r="AA282" s="10">
        <v>0.25</v>
      </c>
      <c r="AB282" s="11">
        <f t="shared" si="13"/>
        <v>10.952199999999999</v>
      </c>
      <c r="AC282" s="11">
        <f t="shared" si="14"/>
        <v>0.45569999999999999</v>
      </c>
      <c r="AD282" s="7" t="str">
        <f>IF($H282&lt;&gt;"OK","",INDEX(個性タイプマスタ!$P$5:$P$54,$AE282))</f>
        <v>会心倍率が極めて高い一撃型</v>
      </c>
      <c r="AE282">
        <f>IFERROR(MATCH(E282,個性タイプマスタ!$A$5:$A$54,0),0)</f>
        <v>23</v>
      </c>
      <c r="AF282">
        <f>IFERROR(MATCH(F282,属性耐性マスタ!$A$5:$A$10,0),0)</f>
        <v>6</v>
      </c>
      <c r="AG282">
        <f>IF(AE282=0,1,INDEX(個性タイプマスタ!$AB$5:$AB$54,AE282))</f>
        <v>11.07</v>
      </c>
      <c r="AH282">
        <f>IF(AE282=0,1,INDEX(個性タイプマスタ!$AC$5:$AC$54,AE282))</f>
        <v>0.78</v>
      </c>
      <c r="AI282">
        <f>IF(AE282=0,0,INDEX(個性タイプマスタ!$AD$5:$AD$54,AE282))</f>
        <v>0.98333333333333328</v>
      </c>
      <c r="AJ282" s="16">
        <v>46</v>
      </c>
      <c r="AK282" s="17">
        <f>IF(OR(AJ282="",AJ282&lt;1),"",POWER(使い方と設定!$E$6,AJ282-1))</f>
        <v>5.841175681461408</v>
      </c>
    </row>
    <row r="283" spans="1:37">
      <c r="A283" t="str">
        <f>+[2]称号!A278</f>
        <v>TITLE_277</v>
      </c>
      <c r="B283" t="str">
        <f>+[2]称号!B278</f>
        <v>色彩喪失の骸兵</v>
      </c>
      <c r="C283" t="s">
        <v>689</v>
      </c>
      <c r="D283" t="s">
        <v>690</v>
      </c>
      <c r="E283" s="2" t="str">
        <f>[1]モンスター計算!AM281</f>
        <v>魔法・重装砲</v>
      </c>
      <c r="F283" s="2" t="str">
        <f>[1]モンスター計算!C281</f>
        <v>闇</v>
      </c>
      <c r="G283" s="8">
        <v>1</v>
      </c>
      <c r="H283" t="str">
        <f t="shared" si="12"/>
        <v>OK</v>
      </c>
      <c r="I283" s="9">
        <f>IF($H283&lt;&gt;"OK","",ROUND($G283*使い方と設定!$B$7*$AK283*INDEX(個性タイプマスタ!$Q$5:$AA$54,$AE283,1)/$AG283,4))</f>
        <v>1.4939</v>
      </c>
      <c r="J283" s="9">
        <f>IF($H283&lt;&gt;"OK","",ROUND($G283*使い方と設定!$B$7*$AK283*INDEX(個性タイプマスタ!$Q$5:$AA$54,$AE283,2)/$AG283,4))</f>
        <v>1.1725000000000001</v>
      </c>
      <c r="K283" s="9">
        <f>IF($H283&lt;&gt;"OK","",ROUND($G283*使い方と設定!$B$7*$AK283*INDEX(個性タイプマスタ!$Q$5:$AA$54,$AE283,3)/$AG283,4))</f>
        <v>0.1283</v>
      </c>
      <c r="L283" s="9">
        <f>IF($H283&lt;&gt;"OK","",ROUND($G283*使い方と設定!$B$7*$AK283*INDEX(個性タイプマスタ!$Q$5:$AA$54,$AE283,4)/$AG283,4))</f>
        <v>1.9739</v>
      </c>
      <c r="M283" s="9">
        <f>IF($H283&lt;&gt;"OK","",ROUND($G283*使い方と設定!$B$7*$AK283*INDEX(個性タイプマスタ!$Q$5:$AA$54,$AE283,5)/$AG283,4))</f>
        <v>1.1007</v>
      </c>
      <c r="N283" s="9">
        <f>IF($H283&lt;&gt;"OK","",ROUND($G283*使い方と設定!$B$7*$AK283*INDEX(個性タイプマスタ!$Q$5:$AA$54,$AE283,6)/$AG283,4))</f>
        <v>1.0403</v>
      </c>
      <c r="O283" s="9">
        <f>IF($H283&lt;&gt;"OK","",ROUND($G283*使い方と設定!$B$7*$AK283*INDEX(個性タイプマスタ!$Q$5:$AA$54,$AE283,7)/$AG283,4))</f>
        <v>0.30399999999999999</v>
      </c>
      <c r="P283" s="9">
        <f>IF($H283&lt;&gt;"OK","",ROUND($G283*使い方と設定!$B$7*$AK283*INDEX(個性タイプマスタ!$Q$5:$AA$54,$AE283,8)/$AG283,4))</f>
        <v>0.47899999999999998</v>
      </c>
      <c r="Q283" s="9">
        <f>IF($H283&lt;&gt;"OK","",ROUND($G283*使い方と設定!$B$7*$AK283*INDEX(個性タイプマスタ!$Q$5:$AA$54,$AE283,9)/$AG283,4))</f>
        <v>0.2606</v>
      </c>
      <c r="R283" s="9">
        <f>IF($H283&lt;&gt;"OK","",ROUND($G283*使い方と設定!$B$7*$AK283*INDEX(個性タイプマスタ!$Q$5:$AA$54,$AE283,10)/$AG283,4))</f>
        <v>0.47370000000000001</v>
      </c>
      <c r="S283" s="9">
        <f>IF($H283&lt;&gt;"OK","",ROUND($G283*使い方と設定!$B$7*$AK283*INDEX(個性タイプマスタ!$Q$5:$AA$54,$AE283,11)/$AG283,4))</f>
        <v>0.68540000000000001</v>
      </c>
      <c r="T283" s="9">
        <f>IF($H283&lt;&gt;"OK","",ROUND($G283*使い方と設定!$B$8*$AK283*$AH283*INDEX(属性耐性マスタ!$B$5:$G$10,$AF283,1),4))</f>
        <v>2.7E-2</v>
      </c>
      <c r="U283" s="9">
        <f>IF($H283&lt;&gt;"OK","",ROUND($G283*使い方と設定!$B$8*$AK283*$AH283*INDEX(属性耐性マスタ!$B$5:$G$10,$AF283,2),4))</f>
        <v>2.7E-2</v>
      </c>
      <c r="V283" s="9">
        <f>IF($H283&lt;&gt;"OK","",ROUND($G283*使い方と設定!$B$8*$AK283*$AH283*INDEX(属性耐性マスタ!$B$5:$G$10,$AF283,3),4))</f>
        <v>2.7E-2</v>
      </c>
      <c r="W283" s="9">
        <f>IF($H283&lt;&gt;"OK","",ROUND($G283*使い方と設定!$B$8*$AK283*$AH283*INDEX(属性耐性マスタ!$B$5:$G$10,$AF283,4),4))</f>
        <v>2.7E-2</v>
      </c>
      <c r="X283" s="9">
        <f>IF($H283&lt;&gt;"OK","",ROUND($G283*使い方と設定!$B$8*$AK283*$AH283*INDEX(属性耐性マスタ!$B$5:$G$10,$AF283,5),4))</f>
        <v>7.1900000000000006E-2</v>
      </c>
      <c r="Y283" s="9">
        <f>IF($H283&lt;&gt;"OK","",ROUND($G283*使い方と設定!$B$8*$AK283*$AH283*INDEX(属性耐性マスタ!$B$5:$G$10,$AF283,6),4))</f>
        <v>0.53939999999999999</v>
      </c>
      <c r="Z283" s="9">
        <f>IF($H283&lt;&gt;"OK","",ROUND($G283*使い方と設定!$B$9*$AK283*$AI283,4))</f>
        <v>2.5817999999999999</v>
      </c>
      <c r="AA283" s="10">
        <v>1</v>
      </c>
      <c r="AB283" s="11">
        <f t="shared" si="13"/>
        <v>9.1122999999999994</v>
      </c>
      <c r="AC283" s="11">
        <f t="shared" si="14"/>
        <v>0.71930000000000005</v>
      </c>
      <c r="AD283" s="7" t="str">
        <f>IF($H283&lt;&gt;"OK","",INDEX(個性タイプマスタ!$P$5:$P$54,$AE283))</f>
        <v>高耐久・射撃間隔は長い</v>
      </c>
      <c r="AE283">
        <f>IFERROR(MATCH(E283,個性タイプマスタ!$A$5:$A$54,0),0)</f>
        <v>19</v>
      </c>
      <c r="AF283">
        <f>IFERROR(MATCH(F283,属性耐性マスタ!$A$5:$A$10,0),0)</f>
        <v>6</v>
      </c>
      <c r="AG283">
        <f>IF(AE283=0,1,INDEX(個性タイプマスタ!$AB$5:$AB$54,AE283))</f>
        <v>11.540666666666668</v>
      </c>
      <c r="AH283">
        <f>IF(AE283=0,1,INDEX(個性タイプマスタ!$AC$5:$AC$54,AE283))</f>
        <v>1.48</v>
      </c>
      <c r="AI283">
        <f>IF(AE283=0,0,INDEX(個性タイプマスタ!$AD$5:$AD$54,AE283))</f>
        <v>0.85</v>
      </c>
      <c r="AJ283" s="16">
        <v>47</v>
      </c>
      <c r="AK283" s="17">
        <f>IF(OR(AJ283="",AJ283&lt;1),"",POWER(使い方と設定!$E$6,AJ283-1))</f>
        <v>6.0748227087198643</v>
      </c>
    </row>
    <row r="284" spans="1:37">
      <c r="A284" t="str">
        <f>+[2]称号!A279</f>
        <v>TITLE_278</v>
      </c>
      <c r="B284" t="str">
        <f>+[2]称号!B279</f>
        <v>透界の溶核体</v>
      </c>
      <c r="C284" t="s">
        <v>691</v>
      </c>
      <c r="D284" t="s">
        <v>692</v>
      </c>
      <c r="E284" s="2" t="str">
        <f>[1]モンスター計算!AM282</f>
        <v>魔法・耐性特化</v>
      </c>
      <c r="F284" s="2" t="str">
        <f>[1]モンスター計算!C282</f>
        <v>闇</v>
      </c>
      <c r="G284" s="8">
        <v>1.05</v>
      </c>
      <c r="H284" t="str">
        <f t="shared" si="12"/>
        <v>OK</v>
      </c>
      <c r="I284" s="9">
        <f>IF($H284&lt;&gt;"OK","",ROUND($G284*使い方と設定!$B$7*$AK284*INDEX(個性タイプマスタ!$Q$5:$AA$54,$AE284,1)/$AG284,4))</f>
        <v>1.0525</v>
      </c>
      <c r="J284" s="9">
        <f>IF($H284&lt;&gt;"OK","",ROUND($G284*使い方と設定!$B$7*$AK284*INDEX(個性タイプマスタ!$Q$5:$AA$54,$AE284,2)/$AG284,4))</f>
        <v>1.2629999999999999</v>
      </c>
      <c r="K284" s="9">
        <f>IF($H284&lt;&gt;"OK","",ROUND($G284*使い方と設定!$B$7*$AK284*INDEX(個性タイプマスタ!$Q$5:$AA$54,$AE284,3)/$AG284,4))</f>
        <v>0.16739999999999999</v>
      </c>
      <c r="L284" s="9">
        <f>IF($H284&lt;&gt;"OK","",ROUND($G284*使い方と設定!$B$7*$AK284*INDEX(個性タイプマスタ!$Q$5:$AA$54,$AE284,4)/$AG284,4))</f>
        <v>2.3919999999999999</v>
      </c>
      <c r="M284" s="9">
        <f>IF($H284&lt;&gt;"OK","",ROUND($G284*使い方と設定!$B$7*$AK284*INDEX(個性タイプマスタ!$Q$5:$AA$54,$AE284,5)/$AG284,4))</f>
        <v>0.78080000000000005</v>
      </c>
      <c r="N284" s="9">
        <f>IF($H284&lt;&gt;"OK","",ROUND($G284*使い方と設定!$B$7*$AK284*INDEX(個性タイプマスタ!$Q$5:$AA$54,$AE284,6)/$AG284,4))</f>
        <v>0.8296</v>
      </c>
      <c r="O284" s="9">
        <f>IF($H284&lt;&gt;"OK","",ROUND($G284*使い方と設定!$B$7*$AK284*INDEX(個性タイプマスタ!$Q$5:$AA$54,$AE284,7)/$AG284,4))</f>
        <v>0.47360000000000002</v>
      </c>
      <c r="P284" s="9">
        <f>IF($H284&lt;&gt;"OK","",ROUND($G284*使い方と設定!$B$7*$AK284*INDEX(個性タイプマスタ!$Q$5:$AA$54,$AE284,8)/$AG284,4))</f>
        <v>0.58050000000000002</v>
      </c>
      <c r="Q284" s="9">
        <f>IF($H284&lt;&gt;"OK","",ROUND($G284*使い方と設定!$B$7*$AK284*INDEX(個性タイプマスタ!$Q$5:$AA$54,$AE284,9)/$AG284,4))</f>
        <v>0.43149999999999999</v>
      </c>
      <c r="R284" s="9">
        <f>IF($H284&lt;&gt;"OK","",ROUND($G284*使い方と設定!$B$7*$AK284*INDEX(個性タイプマスタ!$Q$5:$AA$54,$AE284,10)/$AG284,4))</f>
        <v>0.88029999999999997</v>
      </c>
      <c r="S284" s="9">
        <f>IF($H284&lt;&gt;"OK","",ROUND($G284*使い方と設定!$B$7*$AK284*INDEX(個性タイプマスタ!$Q$5:$AA$54,$AE284,11)/$AG284,4))</f>
        <v>0.7167</v>
      </c>
      <c r="T284" s="9">
        <f>IF($H284&lt;&gt;"OK","",ROUND($G284*使い方と設定!$B$8*$AK284*$AH284*INDEX(属性耐性マスタ!$B$5:$G$10,$AF284,1),4))</f>
        <v>2.87E-2</v>
      </c>
      <c r="U284" s="9">
        <f>IF($H284&lt;&gt;"OK","",ROUND($G284*使い方と設定!$B$8*$AK284*$AH284*INDEX(属性耐性マスタ!$B$5:$G$10,$AF284,2),4))</f>
        <v>2.87E-2</v>
      </c>
      <c r="V284" s="9">
        <f>IF($H284&lt;&gt;"OK","",ROUND($G284*使い方と設定!$B$8*$AK284*$AH284*INDEX(属性耐性マスタ!$B$5:$G$10,$AF284,3),4))</f>
        <v>2.87E-2</v>
      </c>
      <c r="W284" s="9">
        <f>IF($H284&lt;&gt;"OK","",ROUND($G284*使い方と設定!$B$8*$AK284*$AH284*INDEX(属性耐性マスタ!$B$5:$G$10,$AF284,4),4))</f>
        <v>2.87E-2</v>
      </c>
      <c r="X284" s="9">
        <f>IF($H284&lt;&gt;"OK","",ROUND($G284*使い方と設定!$B$8*$AK284*$AH284*INDEX(属性耐性マスタ!$B$5:$G$10,$AF284,5),4))</f>
        <v>7.6499999999999999E-2</v>
      </c>
      <c r="Y284" s="9">
        <f>IF($H284&lt;&gt;"OK","",ROUND($G284*使い方と設定!$B$8*$AK284*$AH284*INDEX(属性耐性マスタ!$B$5:$G$10,$AF284,6),4))</f>
        <v>0.57410000000000005</v>
      </c>
      <c r="Z284" s="9">
        <f>IF($H284&lt;&gt;"OK","",ROUND($G284*使い方と設定!$B$9*$AK284*$AI284,4))</f>
        <v>3.0032000000000001</v>
      </c>
      <c r="AA284" s="10">
        <v>1</v>
      </c>
      <c r="AB284" s="11">
        <f t="shared" si="13"/>
        <v>9.5678999999999998</v>
      </c>
      <c r="AC284" s="11">
        <f t="shared" si="14"/>
        <v>0.76539999999999997</v>
      </c>
      <c r="AD284" s="7" t="str">
        <f>IF($H284&lt;&gt;"OK","",INDEX(個性タイプマスタ!$P$5:$P$54,$AE284))</f>
        <v>属性耐性重視・他能力は平均</v>
      </c>
      <c r="AE284">
        <f>IFERROR(MATCH(E284,個性タイプマスタ!$A$5:$A$54,0),0)</f>
        <v>26</v>
      </c>
      <c r="AF284">
        <f>IFERROR(MATCH(F284,属性耐性マスタ!$A$5:$A$10,0),0)</f>
        <v>6</v>
      </c>
      <c r="AG284">
        <f>IF(AE284=0,1,INDEX(個性タイプマスタ!$AB$5:$AB$54,AE284))</f>
        <v>9.9996666666666663</v>
      </c>
      <c r="AH284">
        <f>IF(AE284=0,1,INDEX(個性タイプマスタ!$AC$5:$AC$54,AE284))</f>
        <v>1.5</v>
      </c>
      <c r="AI284">
        <f>IF(AE284=0,0,INDEX(個性タイプマスタ!$AD$5:$AD$54,AE284))</f>
        <v>0.94166666666666665</v>
      </c>
      <c r="AJ284" s="16">
        <v>47</v>
      </c>
      <c r="AK284" s="17">
        <f>IF(OR(AJ284="",AJ284&lt;1),"",POWER(使い方と設定!$E$6,AJ284-1))</f>
        <v>6.0748227087198643</v>
      </c>
    </row>
    <row r="285" spans="1:37">
      <c r="A285" t="str">
        <f>+[2]称号!A280</f>
        <v>TITLE_279</v>
      </c>
      <c r="B285" t="str">
        <f>+[2]称号!B280</f>
        <v>静寂断絶の影鬼</v>
      </c>
      <c r="C285" t="s">
        <v>693</v>
      </c>
      <c r="D285" t="s">
        <v>694</v>
      </c>
      <c r="E285" s="2" t="str">
        <f>[1]モンスター計算!AM283</f>
        <v>魔法・均衡</v>
      </c>
      <c r="F285" s="2" t="str">
        <f>[1]モンスター計算!C283</f>
        <v>闇</v>
      </c>
      <c r="G285" s="8">
        <v>1.1000000000000001</v>
      </c>
      <c r="H285" t="str">
        <f t="shared" si="12"/>
        <v>OK</v>
      </c>
      <c r="I285" s="9">
        <f>IF($H285&lt;&gt;"OK","",ROUND($G285*使い方と設定!$B$7*$AK285*INDEX(個性タイプマスタ!$Q$5:$AA$54,$AE285,1)/$AG285,4))</f>
        <v>1.0193000000000001</v>
      </c>
      <c r="J285" s="9">
        <f>IF($H285&lt;&gt;"OK","",ROUND($G285*使い方と設定!$B$7*$AK285*INDEX(個性タイプマスタ!$Q$5:$AA$54,$AE285,2)/$AG285,4))</f>
        <v>1.1079000000000001</v>
      </c>
      <c r="K285" s="9">
        <f>IF($H285&lt;&gt;"OK","",ROUND($G285*使い方と設定!$B$7*$AK285*INDEX(個性タイプマスタ!$Q$5:$AA$54,$AE285,3)/$AG285,4))</f>
        <v>0.25180000000000002</v>
      </c>
      <c r="L285" s="9">
        <f>IF($H285&lt;&gt;"OK","",ROUND($G285*使い方と設定!$B$7*$AK285*INDEX(個性タイプマスタ!$Q$5:$AA$54,$AE285,4)/$AG285,4))</f>
        <v>2.5179999999999998</v>
      </c>
      <c r="M285" s="9">
        <f>IF($H285&lt;&gt;"OK","",ROUND($G285*使い方と設定!$B$7*$AK285*INDEX(個性タイプマスタ!$Q$5:$AA$54,$AE285,5)/$AG285,4))</f>
        <v>0.81330000000000002</v>
      </c>
      <c r="N285" s="9">
        <f>IF($H285&lt;&gt;"OK","",ROUND($G285*使い方と設定!$B$7*$AK285*INDEX(個性タイプマスタ!$Q$5:$AA$54,$AE285,6)/$AG285,4))</f>
        <v>0.89890000000000003</v>
      </c>
      <c r="O285" s="9">
        <f>IF($H285&lt;&gt;"OK","",ROUND($G285*使い方と設定!$B$7*$AK285*INDEX(個性タイプマスタ!$Q$5:$AA$54,$AE285,7)/$AG285,4))</f>
        <v>0.55389999999999995</v>
      </c>
      <c r="P285" s="9">
        <f>IF($H285&lt;&gt;"OK","",ROUND($G285*使い方と設定!$B$7*$AK285*INDEX(個性タイプマスタ!$Q$5:$AA$54,$AE285,8)/$AG285,4))</f>
        <v>0.65469999999999995</v>
      </c>
      <c r="Q285" s="9">
        <f>IF($H285&lt;&gt;"OK","",ROUND($G285*使い方と設定!$B$7*$AK285*INDEX(個性タイプマスタ!$Q$5:$AA$54,$AE285,9)/$AG285,4))</f>
        <v>0.44319999999999998</v>
      </c>
      <c r="R285" s="9">
        <f>IF($H285&lt;&gt;"OK","",ROUND($G285*使い方と設定!$B$7*$AK285*INDEX(個性タイプマスタ!$Q$5:$AA$54,$AE285,10)/$AG285,4))</f>
        <v>1.0575000000000001</v>
      </c>
      <c r="S285" s="9">
        <f>IF($H285&lt;&gt;"OK","",ROUND($G285*使い方と設定!$B$7*$AK285*INDEX(個性タイプマスタ!$Q$5:$AA$54,$AE285,11)/$AG285,4))</f>
        <v>0.70499999999999996</v>
      </c>
      <c r="T285" s="9">
        <f>IF($H285&lt;&gt;"OK","",ROUND($G285*使い方と設定!$B$8*$AK285*$AH285*INDEX(属性耐性マスタ!$B$5:$G$10,$AF285,1),4))</f>
        <v>0.02</v>
      </c>
      <c r="U285" s="9">
        <f>IF($H285&lt;&gt;"OK","",ROUND($G285*使い方と設定!$B$8*$AK285*$AH285*INDEX(属性耐性マスタ!$B$5:$G$10,$AF285,2),4))</f>
        <v>0.02</v>
      </c>
      <c r="V285" s="9">
        <f>IF($H285&lt;&gt;"OK","",ROUND($G285*使い方と設定!$B$8*$AK285*$AH285*INDEX(属性耐性マスタ!$B$5:$G$10,$AF285,3),4))</f>
        <v>0.02</v>
      </c>
      <c r="W285" s="9">
        <f>IF($H285&lt;&gt;"OK","",ROUND($G285*使い方と設定!$B$8*$AK285*$AH285*INDEX(属性耐性マスタ!$B$5:$G$10,$AF285,4),4))</f>
        <v>0.02</v>
      </c>
      <c r="X285" s="9">
        <f>IF($H285&lt;&gt;"OK","",ROUND($G285*使い方と設定!$B$8*$AK285*$AH285*INDEX(属性耐性マスタ!$B$5:$G$10,$AF285,5),4))</f>
        <v>5.3499999999999999E-2</v>
      </c>
      <c r="Y285" s="9">
        <f>IF($H285&lt;&gt;"OK","",ROUND($G285*使い方と設定!$B$8*$AK285*$AH285*INDEX(属性耐性マスタ!$B$5:$G$10,$AF285,6),4))</f>
        <v>0.40089999999999998</v>
      </c>
      <c r="Z285" s="9">
        <f>IF($H285&lt;&gt;"OK","",ROUND($G285*使い方と設定!$B$9*$AK285*$AI285,4))</f>
        <v>3.1183999999999998</v>
      </c>
      <c r="AA285" s="10">
        <v>0.9</v>
      </c>
      <c r="AB285" s="11">
        <f t="shared" si="13"/>
        <v>10.0235</v>
      </c>
      <c r="AC285" s="11">
        <f t="shared" si="14"/>
        <v>0.53439999999999999</v>
      </c>
      <c r="AD285" s="7" t="str">
        <f>IF($H285&lt;&gt;"OK","",INDEX(個性タイプマスタ!$P$5:$P$54,$AE285))</f>
        <v>標準的な魔法型</v>
      </c>
      <c r="AE285">
        <f>IFERROR(MATCH(E285,個性タイプマスタ!$A$5:$A$54,0),0)</f>
        <v>2</v>
      </c>
      <c r="AF285">
        <f>IFERROR(MATCH(F285,属性耐性マスタ!$A$5:$A$10,0),0)</f>
        <v>6</v>
      </c>
      <c r="AG285">
        <f>IF(AE285=0,1,INDEX(個性タイプマスタ!$AB$5:$AB$54,AE285))</f>
        <v>9.952</v>
      </c>
      <c r="AH285">
        <f>IF(AE285=0,1,INDEX(個性タイプマスタ!$AC$5:$AC$54,AE285))</f>
        <v>1</v>
      </c>
      <c r="AI285">
        <f>IF(AE285=0,0,INDEX(個性タイプマスタ!$AD$5:$AD$54,AE285))</f>
        <v>0.93333333333333335</v>
      </c>
      <c r="AJ285" s="16">
        <v>47</v>
      </c>
      <c r="AK285" s="17">
        <f>IF(OR(AJ285="",AJ285&lt;1),"",POWER(使い方と設定!$E$6,AJ285-1))</f>
        <v>6.0748227087198643</v>
      </c>
    </row>
    <row r="286" spans="1:37">
      <c r="A286" t="str">
        <f>+[2]称号!A281</f>
        <v>TITLE_280</v>
      </c>
      <c r="B286" t="str">
        <f>+[2]称号!B281</f>
        <v>境界崩落の虚構兵</v>
      </c>
      <c r="C286" t="s">
        <v>695</v>
      </c>
      <c r="D286" t="s">
        <v>696</v>
      </c>
      <c r="E286" s="2" t="str">
        <f>[1]モンスター計算!AM284</f>
        <v>近接・刺突</v>
      </c>
      <c r="F286" s="2" t="str">
        <f>[1]モンスター計算!C284</f>
        <v>闇</v>
      </c>
      <c r="G286" s="8">
        <v>1.1499999999999999</v>
      </c>
      <c r="H286" t="str">
        <f t="shared" si="12"/>
        <v>OK</v>
      </c>
      <c r="I286" s="9">
        <f>IF($H286&lt;&gt;"OK","",ROUND($G286*使い方と設定!$B$7*$AK286*INDEX(個性タイプマスタ!$Q$5:$AA$54,$AE286,1)/$AG286,4))</f>
        <v>0.89129999999999998</v>
      </c>
      <c r="J286" s="9">
        <f>IF($H286&lt;&gt;"OK","",ROUND($G286*使い方と設定!$B$7*$AK286*INDEX(個性タイプマスタ!$Q$5:$AA$54,$AE286,2)/$AG286,4))</f>
        <v>0.4178</v>
      </c>
      <c r="K286" s="9">
        <f>IF($H286&lt;&gt;"OK","",ROUND($G286*使い方と設定!$B$7*$AK286*INDEX(個性タイプマスタ!$Q$5:$AA$54,$AE286,3)/$AG286,4))</f>
        <v>2.5320999999999998</v>
      </c>
      <c r="L286" s="9">
        <f>IF($H286&lt;&gt;"OK","",ROUND($G286*使い方と設定!$B$7*$AK286*INDEX(個性タイプマスタ!$Q$5:$AA$54,$AE286,4)/$AG286,4))</f>
        <v>0.19239999999999999</v>
      </c>
      <c r="M286" s="9">
        <f>IF($H286&lt;&gt;"OK","",ROUND($G286*使い方と設定!$B$7*$AK286*INDEX(個性タイプマスタ!$Q$5:$AA$54,$AE286,5)/$AG286,4))</f>
        <v>0.70599999999999996</v>
      </c>
      <c r="N286" s="9">
        <f>IF($H286&lt;&gt;"OK","",ROUND($G286*使い方と設定!$B$7*$AK286*INDEX(個性タイプマスタ!$Q$5:$AA$54,$AE286,6)/$AG286,4))</f>
        <v>0.65429999999999999</v>
      </c>
      <c r="O286" s="9">
        <f>IF($H286&lt;&gt;"OK","",ROUND($G286*使い方と設定!$B$7*$AK286*INDEX(個性タイプマスタ!$Q$5:$AA$54,$AE286,7)/$AG286,4))</f>
        <v>1.4483999999999999</v>
      </c>
      <c r="P286" s="9">
        <f>IF($H286&lt;&gt;"OK","",ROUND($G286*使い方と設定!$B$7*$AK286*INDEX(個性タイプマスタ!$Q$5:$AA$54,$AE286,8)/$AG286,4))</f>
        <v>0.74609999999999999</v>
      </c>
      <c r="Q286" s="9">
        <f>IF($H286&lt;&gt;"OK","",ROUND($G286*使い方と設定!$B$7*$AK286*INDEX(個性タイプマスタ!$Q$5:$AA$54,$AE286,9)/$AG286,4))</f>
        <v>0.66849999999999998</v>
      </c>
      <c r="R286" s="9">
        <f>IF($H286&lt;&gt;"OK","",ROUND($G286*使い方と設定!$B$7*$AK286*INDEX(個性タイプマスタ!$Q$5:$AA$54,$AE286,10)/$AG286,4))</f>
        <v>1.0736000000000001</v>
      </c>
      <c r="S286" s="9">
        <f>IF($H286&lt;&gt;"OK","",ROUND($G286*使い方と設定!$B$7*$AK286*INDEX(個性タイプマスタ!$Q$5:$AA$54,$AE286,11)/$AG286,4))</f>
        <v>1.1486000000000001</v>
      </c>
      <c r="T286" s="9">
        <f>IF($H286&lt;&gt;"OK","",ROUND($G286*使い方と設定!$B$8*$AK286*$AH286*INDEX(属性耐性マスタ!$B$5:$G$10,$AF286,1),4))</f>
        <v>1.72E-2</v>
      </c>
      <c r="U286" s="9">
        <f>IF($H286&lt;&gt;"OK","",ROUND($G286*使い方と設定!$B$8*$AK286*$AH286*INDEX(属性耐性マスタ!$B$5:$G$10,$AF286,2),4))</f>
        <v>1.72E-2</v>
      </c>
      <c r="V286" s="9">
        <f>IF($H286&lt;&gt;"OK","",ROUND($G286*使い方と設定!$B$8*$AK286*$AH286*INDEX(属性耐性マスタ!$B$5:$G$10,$AF286,3),4))</f>
        <v>1.72E-2</v>
      </c>
      <c r="W286" s="9">
        <f>IF($H286&lt;&gt;"OK","",ROUND($G286*使い方と設定!$B$8*$AK286*$AH286*INDEX(属性耐性マスタ!$B$5:$G$10,$AF286,4),4))</f>
        <v>1.72E-2</v>
      </c>
      <c r="X286" s="9">
        <f>IF($H286&lt;&gt;"OK","",ROUND($G286*使い方と設定!$B$8*$AK286*$AH286*INDEX(属性耐性マスタ!$B$5:$G$10,$AF286,5),4))</f>
        <v>4.58E-2</v>
      </c>
      <c r="Y286" s="9">
        <f>IF($H286&lt;&gt;"OK","",ROUND($G286*使い方と設定!$B$8*$AK286*$AH286*INDEX(属性耐性マスタ!$B$5:$G$10,$AF286,6),4))</f>
        <v>0.34370000000000001</v>
      </c>
      <c r="Z286" s="9">
        <f>IF($H286&lt;&gt;"OK","",ROUND($G286*使い方と設定!$B$9*$AK286*$AI286,4))</f>
        <v>3.8422999999999998</v>
      </c>
      <c r="AA286" s="10">
        <v>0.55000000000000004</v>
      </c>
      <c r="AB286" s="11">
        <f t="shared" si="13"/>
        <v>10.479100000000001</v>
      </c>
      <c r="AC286" s="11">
        <f t="shared" si="14"/>
        <v>0.45829999999999999</v>
      </c>
      <c r="AD286" s="7" t="str">
        <f>IF($H286&lt;&gt;"OK","",INDEX(個性タイプマスタ!$P$5:$P$54,$AE286))</f>
        <v>近接としては長めの射程</v>
      </c>
      <c r="AE286">
        <f>IFERROR(MATCH(E286,個性タイプマスタ!$A$5:$A$54,0),0)</f>
        <v>34</v>
      </c>
      <c r="AF286">
        <f>IFERROR(MATCH(F286,属性耐性マスタ!$A$5:$A$10,0),0)</f>
        <v>6</v>
      </c>
      <c r="AG286">
        <f>IF(AE286=0,1,INDEX(個性タイプマスタ!$AB$5:$AB$54,AE286))</f>
        <v>10.346166666666667</v>
      </c>
      <c r="AH286">
        <f>IF(AE286=0,1,INDEX(個性タイプマスタ!$AC$5:$AC$54,AE286))</f>
        <v>0.82000000000000006</v>
      </c>
      <c r="AI286">
        <f>IF(AE286=0,0,INDEX(個性タイプマスタ!$AD$5:$AD$54,AE286))</f>
        <v>1.1000000000000001</v>
      </c>
      <c r="AJ286" s="16">
        <v>47</v>
      </c>
      <c r="AK286" s="17">
        <f>IF(OR(AJ286="",AJ286&lt;1),"",POWER(使い方と設定!$E$6,AJ286-1))</f>
        <v>6.0748227087198643</v>
      </c>
    </row>
    <row r="287" spans="1:37">
      <c r="A287" t="str">
        <f>+[2]称号!A282</f>
        <v>TITLE_281</v>
      </c>
      <c r="B287" t="str">
        <f>+[2]称号!B282</f>
        <v>希薄存在の残光霊</v>
      </c>
      <c r="C287" t="s">
        <v>697</v>
      </c>
      <c r="D287" t="s">
        <v>698</v>
      </c>
      <c r="E287" s="2" t="str">
        <f>[1]モンスター計算!AM285</f>
        <v>近接・短剣</v>
      </c>
      <c r="F287" s="2" t="str">
        <f>[1]モンスター計算!C285</f>
        <v>闇</v>
      </c>
      <c r="G287" s="8">
        <v>1.2</v>
      </c>
      <c r="H287" t="str">
        <f t="shared" si="12"/>
        <v>OK</v>
      </c>
      <c r="I287" s="9">
        <f>IF($H287&lt;&gt;"OK","",ROUND($G287*使い方と設定!$B$7*$AK287*INDEX(個性タイプマスタ!$Q$5:$AA$54,$AE287,1)/$AG287,4))</f>
        <v>0.73199999999999998</v>
      </c>
      <c r="J287" s="9">
        <f>IF($H287&lt;&gt;"OK","",ROUND($G287*使い方と設定!$B$7*$AK287*INDEX(個性タイプマスタ!$Q$5:$AA$54,$AE287,2)/$AG287,4))</f>
        <v>0.3327</v>
      </c>
      <c r="K287" s="9">
        <f>IF($H287&lt;&gt;"OK","",ROUND($G287*使い方と設定!$B$7*$AK287*INDEX(個性タイプマスタ!$Q$5:$AA$54,$AE287,3)/$AG287,4))</f>
        <v>2.5207999999999999</v>
      </c>
      <c r="L287" s="9">
        <f>IF($H287&lt;&gt;"OK","",ROUND($G287*使い方と設定!$B$7*$AK287*INDEX(個性タイプマスタ!$Q$5:$AA$54,$AE287,4)/$AG287,4))</f>
        <v>0.1386</v>
      </c>
      <c r="M287" s="9">
        <f>IF($H287&lt;&gt;"OK","",ROUND($G287*使い方と設定!$B$7*$AK287*INDEX(個性タイプマスタ!$Q$5:$AA$54,$AE287,5)/$AG287,4))</f>
        <v>0.6</v>
      </c>
      <c r="N287" s="9">
        <f>IF($H287&lt;&gt;"OK","",ROUND($G287*使い方と設定!$B$7*$AK287*INDEX(個性タイプマスタ!$Q$5:$AA$54,$AE287,6)/$AG287,4))</f>
        <v>0.60850000000000004</v>
      </c>
      <c r="O287" s="9">
        <f>IF($H287&lt;&gt;"OK","",ROUND($G287*使い方と設定!$B$7*$AK287*INDEX(個性タイプマスタ!$Q$5:$AA$54,$AE287,7)/$AG287,4))</f>
        <v>2.3292000000000002</v>
      </c>
      <c r="P287" s="9">
        <f>IF($H287&lt;&gt;"OK","",ROUND($G287*使い方と設定!$B$7*$AK287*INDEX(個性タイプマスタ!$Q$5:$AA$54,$AE287,8)/$AG287,4))</f>
        <v>0.77780000000000005</v>
      </c>
      <c r="Q287" s="9">
        <f>IF($H287&lt;&gt;"OK","",ROUND($G287*使い方と設定!$B$7*$AK287*INDEX(個性タイプマスタ!$Q$5:$AA$54,$AE287,9)/$AG287,4))</f>
        <v>0.89839999999999998</v>
      </c>
      <c r="R287" s="9">
        <f>IF($H287&lt;&gt;"OK","",ROUND($G287*使い方と設定!$B$7*$AK287*INDEX(個性タイプマスタ!$Q$5:$AA$54,$AE287,10)/$AG287,4))</f>
        <v>1.573</v>
      </c>
      <c r="S287" s="9">
        <f>IF($H287&lt;&gt;"OK","",ROUND($G287*使い方と設定!$B$7*$AK287*INDEX(個性タイプマスタ!$Q$5:$AA$54,$AE287,11)/$AG287,4))</f>
        <v>0.42349999999999999</v>
      </c>
      <c r="T287" s="9">
        <f>IF($H287&lt;&gt;"OK","",ROUND($G287*使い方と設定!$B$8*$AK287*$AH287*INDEX(属性耐性マスタ!$B$5:$G$10,$AF287,1),4))</f>
        <v>1.49E-2</v>
      </c>
      <c r="U287" s="9">
        <f>IF($H287&lt;&gt;"OK","",ROUND($G287*使い方と設定!$B$8*$AK287*$AH287*INDEX(属性耐性マスタ!$B$5:$G$10,$AF287,2),4))</f>
        <v>1.49E-2</v>
      </c>
      <c r="V287" s="9">
        <f>IF($H287&lt;&gt;"OK","",ROUND($G287*使い方と設定!$B$8*$AK287*$AH287*INDEX(属性耐性マスタ!$B$5:$G$10,$AF287,3),4))</f>
        <v>1.49E-2</v>
      </c>
      <c r="W287" s="9">
        <f>IF($H287&lt;&gt;"OK","",ROUND($G287*使い方と設定!$B$8*$AK287*$AH287*INDEX(属性耐性マスタ!$B$5:$G$10,$AF287,4),4))</f>
        <v>1.49E-2</v>
      </c>
      <c r="X287" s="9">
        <f>IF($H287&lt;&gt;"OK","",ROUND($G287*使い方と設定!$B$8*$AK287*$AH287*INDEX(属性耐性マスタ!$B$5:$G$10,$AF287,5),4))</f>
        <v>3.9699999999999999E-2</v>
      </c>
      <c r="Y287" s="9">
        <f>IF($H287&lt;&gt;"OK","",ROUND($G287*使い方と設定!$B$8*$AK287*$AH287*INDEX(属性耐性マスタ!$B$5:$G$10,$AF287,6),4))</f>
        <v>0.2974</v>
      </c>
      <c r="Z287" s="9">
        <f>IF($H287&lt;&gt;"OK","",ROUND($G287*使い方と設定!$B$9*$AK287*$AI287,4))</f>
        <v>4.6471999999999998</v>
      </c>
      <c r="AA287" s="10">
        <v>0.5</v>
      </c>
      <c r="AB287" s="11">
        <f t="shared" si="13"/>
        <v>10.9345</v>
      </c>
      <c r="AC287" s="11">
        <f t="shared" si="14"/>
        <v>0.3967</v>
      </c>
      <c r="AD287" s="7" t="str">
        <f>IF($H287&lt;&gt;"OK","",INDEX(個性タイプマスタ!$P$5:$P$54,$AE287))</f>
        <v>短射程・高機動・会心型</v>
      </c>
      <c r="AE287">
        <f>IFERROR(MATCH(E287,個性タイプマスタ!$A$5:$A$54,0),0)</f>
        <v>41</v>
      </c>
      <c r="AF287">
        <f>IFERROR(MATCH(F287,属性耐性マスタ!$A$5:$A$10,0),0)</f>
        <v>6</v>
      </c>
      <c r="AG287">
        <f>IF(AE287=0,1,INDEX(個性タイプマスタ!$AB$5:$AB$54,AE287))</f>
        <v>10.844333333333333</v>
      </c>
      <c r="AH287">
        <f>IF(AE287=0,1,INDEX(個性タイプマスタ!$AC$5:$AC$54,AE287))</f>
        <v>0.67999999999999994</v>
      </c>
      <c r="AI287">
        <f>IF(AE287=0,0,INDEX(個性タイプマスタ!$AD$5:$AD$54,AE287))</f>
        <v>1.2749999999999999</v>
      </c>
      <c r="AJ287" s="16">
        <v>47</v>
      </c>
      <c r="AK287" s="17">
        <f>IF(OR(AJ287="",AJ287&lt;1),"",POWER(使い方と設定!$E$6,AJ287-1))</f>
        <v>6.0748227087198643</v>
      </c>
    </row>
    <row r="288" spans="1:37">
      <c r="A288" t="str">
        <f>+[2]称号!A283</f>
        <v>TITLE_282</v>
      </c>
      <c r="B288" t="str">
        <f>+[2]称号!B283</f>
        <v>無面統治の監獄主</v>
      </c>
      <c r="C288" t="s">
        <v>699</v>
      </c>
      <c r="D288" t="s">
        <v>700</v>
      </c>
      <c r="E288" s="2" t="str">
        <f>[1]モンスター計算!AM286</f>
        <v>魔法・疾走</v>
      </c>
      <c r="F288" s="2" t="str">
        <f>[1]モンスター計算!C286</f>
        <v>闇</v>
      </c>
      <c r="G288" s="8">
        <v>1.25</v>
      </c>
      <c r="H288" t="str">
        <f t="shared" si="12"/>
        <v>OK</v>
      </c>
      <c r="I288" s="9">
        <f>IF($H288&lt;&gt;"OK","",ROUND($G288*使い方と設定!$B$7*$AK288*INDEX(個性タイプマスタ!$Q$5:$AA$54,$AE288,1)/$AG288,4))</f>
        <v>0.95379999999999998</v>
      </c>
      <c r="J288" s="9">
        <f>IF($H288&lt;&gt;"OK","",ROUND($G288*使い方と設定!$B$7*$AK288*INDEX(個性タイプマスタ!$Q$5:$AA$54,$AE288,2)/$AG288,4))</f>
        <v>1.0866</v>
      </c>
      <c r="K288" s="9">
        <f>IF($H288&lt;&gt;"OK","",ROUND($G288*使い方と設定!$B$7*$AK288*INDEX(個性タイプマスタ!$Q$5:$AA$54,$AE288,3)/$AG288,4))</f>
        <v>0.1454</v>
      </c>
      <c r="L288" s="9">
        <f>IF($H288&lt;&gt;"OK","",ROUND($G288*使い方と設定!$B$7*$AK288*INDEX(個性タイプマスタ!$Q$5:$AA$54,$AE288,4)/$AG288,4))</f>
        <v>2.7439</v>
      </c>
      <c r="M288" s="9">
        <f>IF($H288&lt;&gt;"OK","",ROUND($G288*使い方と設定!$B$7*$AK288*INDEX(個性タイプマスタ!$Q$5:$AA$54,$AE288,5)/$AG288,4))</f>
        <v>0.79300000000000004</v>
      </c>
      <c r="N288" s="9">
        <f>IF($H288&lt;&gt;"OK","",ROUND($G288*使い方と設定!$B$7*$AK288*INDEX(個性タイプマスタ!$Q$5:$AA$54,$AE288,6)/$AG288,4))</f>
        <v>0.75570000000000004</v>
      </c>
      <c r="O288" s="9">
        <f>IF($H288&lt;&gt;"OK","",ROUND($G288*使い方と設定!$B$7*$AK288*INDEX(個性タイプマスタ!$Q$5:$AA$54,$AE288,7)/$AG288,4))</f>
        <v>0.78480000000000005</v>
      </c>
      <c r="P288" s="9">
        <f>IF($H288&lt;&gt;"OK","",ROUND($G288*使い方と設定!$B$7*$AK288*INDEX(個性タイプマスタ!$Q$5:$AA$54,$AE288,8)/$AG288,4))</f>
        <v>0.68959999999999999</v>
      </c>
      <c r="Q288" s="9">
        <f>IF($H288&lt;&gt;"OK","",ROUND($G288*使い方と設定!$B$7*$AK288*INDEX(個性タイプマスタ!$Q$5:$AA$54,$AE288,9)/$AG288,4))</f>
        <v>0.96589999999999998</v>
      </c>
      <c r="R288" s="9">
        <f>IF($H288&lt;&gt;"OK","",ROUND($G288*使い方と設定!$B$7*$AK288*INDEX(個性タイプマスタ!$Q$5:$AA$54,$AE288,10)/$AG288,4))</f>
        <v>1.8877999999999999</v>
      </c>
      <c r="S288" s="9">
        <f>IF($H288&lt;&gt;"OK","",ROUND($G288*使い方と設定!$B$7*$AK288*INDEX(個性タイプマスタ!$Q$5:$AA$54,$AE288,11)/$AG288,4))</f>
        <v>0.58389999999999997</v>
      </c>
      <c r="T288" s="9">
        <f>IF($H288&lt;&gt;"OK","",ROUND($G288*使い方と設定!$B$8*$AK288*$AH288*INDEX(属性耐性マスタ!$B$5:$G$10,$AF288,1),4))</f>
        <v>1.6400000000000001E-2</v>
      </c>
      <c r="U288" s="9">
        <f>IF($H288&lt;&gt;"OK","",ROUND($G288*使い方と設定!$B$8*$AK288*$AH288*INDEX(属性耐性マスタ!$B$5:$G$10,$AF288,2),4))</f>
        <v>1.6400000000000001E-2</v>
      </c>
      <c r="V288" s="9">
        <f>IF($H288&lt;&gt;"OK","",ROUND($G288*使い方と設定!$B$8*$AK288*$AH288*INDEX(属性耐性マスタ!$B$5:$G$10,$AF288,3),4))</f>
        <v>1.6400000000000001E-2</v>
      </c>
      <c r="W288" s="9">
        <f>IF($H288&lt;&gt;"OK","",ROUND($G288*使い方と設定!$B$8*$AK288*$AH288*INDEX(属性耐性マスタ!$B$5:$G$10,$AF288,4),4))</f>
        <v>1.6400000000000001E-2</v>
      </c>
      <c r="X288" s="9">
        <f>IF($H288&lt;&gt;"OK","",ROUND($G288*使い方と設定!$B$8*$AK288*$AH288*INDEX(属性耐性マスタ!$B$5:$G$10,$AF288,5),4))</f>
        <v>4.3700000000000003E-2</v>
      </c>
      <c r="Y288" s="9">
        <f>IF($H288&lt;&gt;"OK","",ROUND($G288*使い方と設定!$B$8*$AK288*$AH288*INDEX(属性耐性マスタ!$B$5:$G$10,$AF288,6),4))</f>
        <v>0.32800000000000001</v>
      </c>
      <c r="Z288" s="9">
        <f>IF($H288&lt;&gt;"OK","",ROUND($G288*使い方と設定!$B$9*$AK288*$AI288,4))</f>
        <v>4.8091999999999997</v>
      </c>
      <c r="AA288" s="10">
        <v>0.25</v>
      </c>
      <c r="AB288" s="11">
        <f t="shared" si="13"/>
        <v>11.3904</v>
      </c>
      <c r="AC288" s="11">
        <f t="shared" si="14"/>
        <v>0.43730000000000002</v>
      </c>
      <c r="AD288" s="7" t="str">
        <f>IF($H288&lt;&gt;"OK","",INDEX(個性タイプマスタ!$P$5:$P$54,$AE288))</f>
        <v>移動と攻撃速度に特化</v>
      </c>
      <c r="AE288">
        <f>IFERROR(MATCH(E288,個性タイプマスタ!$A$5:$A$54,0),0)</f>
        <v>29</v>
      </c>
      <c r="AF288">
        <f>IFERROR(MATCH(F288,属性耐性マスタ!$A$5:$A$10,0),0)</f>
        <v>6</v>
      </c>
      <c r="AG288">
        <f>IF(AE288=0,1,INDEX(個性タイプマスタ!$AB$5:$AB$54,AE288))</f>
        <v>10.377833333333335</v>
      </c>
      <c r="AH288">
        <f>IF(AE288=0,1,INDEX(個性タイプマスタ!$AC$5:$AC$54,AE288))</f>
        <v>0.72</v>
      </c>
      <c r="AI288">
        <f>IF(AE288=0,0,INDEX(個性タイプマスタ!$AD$5:$AD$54,AE288))</f>
        <v>1.2666666666666666</v>
      </c>
      <c r="AJ288" s="16">
        <v>47</v>
      </c>
      <c r="AK288" s="17">
        <f>IF(OR(AJ288="",AJ288&lt;1),"",POWER(使い方と設定!$E$6,AJ288-1))</f>
        <v>6.0748227087198643</v>
      </c>
    </row>
    <row r="289" spans="1:37">
      <c r="A289" t="str">
        <f>+[2]称号!A284</f>
        <v>TITLE_283</v>
      </c>
      <c r="B289" t="str">
        <f>+[2]称号!B284</f>
        <v>漆黒骸の前線断罪者</v>
      </c>
      <c r="C289" t="s">
        <v>701</v>
      </c>
      <c r="D289" t="s">
        <v>702</v>
      </c>
      <c r="E289" s="2" t="str">
        <f>[1]モンスター計算!AM287</f>
        <v>魔法・物防障壁</v>
      </c>
      <c r="F289" s="2" t="str">
        <f>[1]モンスター計算!C287</f>
        <v>闇</v>
      </c>
      <c r="G289" s="8">
        <v>1</v>
      </c>
      <c r="H289" t="str">
        <f t="shared" si="12"/>
        <v>OK</v>
      </c>
      <c r="I289" s="9">
        <f>IF($H289&lt;&gt;"OK","",ROUND($G289*使い方と設定!$B$7*$AK289*INDEX(個性タイプマスタ!$Q$5:$AA$54,$AE289,1)/$AG289,4))</f>
        <v>1.0769</v>
      </c>
      <c r="J289" s="9">
        <f>IF($H289&lt;&gt;"OK","",ROUND($G289*使い方と設定!$B$7*$AK289*INDEX(個性タイプマスタ!$Q$5:$AA$54,$AE289,2)/$AG289,4))</f>
        <v>1.2981</v>
      </c>
      <c r="K289" s="9">
        <f>IF($H289&lt;&gt;"OK","",ROUND($G289*使い方と設定!$B$7*$AK289*INDEX(個性タイプマスタ!$Q$5:$AA$54,$AE289,3)/$AG289,4))</f>
        <v>0.14419999999999999</v>
      </c>
      <c r="L289" s="9">
        <f>IF($H289&lt;&gt;"OK","",ROUND($G289*使い方と設定!$B$7*$AK289*INDEX(個性タイプマスタ!$Q$5:$AA$54,$AE289,4)/$AG289,4))</f>
        <v>2.1852999999999998</v>
      </c>
      <c r="M289" s="9">
        <f>IF($H289&lt;&gt;"OK","",ROUND($G289*使い方と設定!$B$7*$AK289*INDEX(個性タイプマスタ!$Q$5:$AA$54,$AE289,5)/$AG289,4))</f>
        <v>1.4488000000000001</v>
      </c>
      <c r="N289" s="9">
        <f>IF($H289&lt;&gt;"OK","",ROUND($G289*使い方と設定!$B$7*$AK289*INDEX(個性タイプマスタ!$Q$5:$AA$54,$AE289,6)/$AG289,4))</f>
        <v>0.53500000000000003</v>
      </c>
      <c r="O289" s="9">
        <f>IF($H289&lt;&gt;"OK","",ROUND($G289*使い方と設定!$B$7*$AK289*INDEX(個性タイプマスタ!$Q$5:$AA$54,$AE289,7)/$AG289,4))</f>
        <v>0.52880000000000005</v>
      </c>
      <c r="P289" s="9">
        <f>IF($H289&lt;&gt;"OK","",ROUND($G289*使い方と設定!$B$7*$AK289*INDEX(個性タイプマスタ!$Q$5:$AA$54,$AE289,8)/$AG289,4))</f>
        <v>0.56820000000000004</v>
      </c>
      <c r="Q289" s="9">
        <f>IF($H289&lt;&gt;"OK","",ROUND($G289*使い方と設定!$B$7*$AK289*INDEX(個性タイプマスタ!$Q$5:$AA$54,$AE289,9)/$AG289,4))</f>
        <v>0.35580000000000001</v>
      </c>
      <c r="R289" s="9">
        <f>IF($H289&lt;&gt;"OK","",ROUND($G289*使い方と設定!$B$7*$AK289*INDEX(個性タイプマスタ!$Q$5:$AA$54,$AE289,10)/$AG289,4))</f>
        <v>0.76049999999999995</v>
      </c>
      <c r="S289" s="9">
        <f>IF($H289&lt;&gt;"OK","",ROUND($G289*使い方と設定!$B$7*$AK289*INDEX(個性タイプマスタ!$Q$5:$AA$54,$AE289,11)/$AG289,4))</f>
        <v>0.57520000000000004</v>
      </c>
      <c r="T289" s="9">
        <f>IF($H289&lt;&gt;"OK","",ROUND($G289*使い方と設定!$B$8*$AK289*$AH289*INDEX(属性耐性マスタ!$B$5:$G$10,$AF289,1),4))</f>
        <v>2.3900000000000001E-2</v>
      </c>
      <c r="U289" s="9">
        <f>IF($H289&lt;&gt;"OK","",ROUND($G289*使い方と設定!$B$8*$AK289*$AH289*INDEX(属性耐性マスタ!$B$5:$G$10,$AF289,2),4))</f>
        <v>2.3900000000000001E-2</v>
      </c>
      <c r="V289" s="9">
        <f>IF($H289&lt;&gt;"OK","",ROUND($G289*使い方と設定!$B$8*$AK289*$AH289*INDEX(属性耐性マスタ!$B$5:$G$10,$AF289,3),4))</f>
        <v>2.3900000000000001E-2</v>
      </c>
      <c r="W289" s="9">
        <f>IF($H289&lt;&gt;"OK","",ROUND($G289*使い方と設定!$B$8*$AK289*$AH289*INDEX(属性耐性マスタ!$B$5:$G$10,$AF289,4),4))</f>
        <v>2.3900000000000001E-2</v>
      </c>
      <c r="X289" s="9">
        <f>IF($H289&lt;&gt;"OK","",ROUND($G289*使い方と設定!$B$8*$AK289*$AH289*INDEX(属性耐性マスタ!$B$5:$G$10,$AF289,5),4))</f>
        <v>6.3700000000000007E-2</v>
      </c>
      <c r="Y289" s="9">
        <f>IF($H289&lt;&gt;"OK","",ROUND($G289*使い方と設定!$B$8*$AK289*$AH289*INDEX(属性耐性マスタ!$B$5:$G$10,$AF289,6),4))</f>
        <v>0.47760000000000002</v>
      </c>
      <c r="Z289" s="9">
        <f>IF($H289&lt;&gt;"OK","",ROUND($G289*使い方と設定!$B$9*$AK289*$AI289,4))</f>
        <v>2.8693</v>
      </c>
      <c r="AA289" s="10">
        <v>1</v>
      </c>
      <c r="AB289" s="11">
        <f t="shared" si="13"/>
        <v>9.4768000000000008</v>
      </c>
      <c r="AC289" s="11">
        <f t="shared" si="14"/>
        <v>0.63690000000000002</v>
      </c>
      <c r="AD289" s="7" t="str">
        <f>IF($H289&lt;&gt;"OK","",INDEX(個性タイプマスタ!$P$5:$P$54,$AE289))</f>
        <v>物理防御を集中的に強化</v>
      </c>
      <c r="AE289">
        <f>IFERROR(MATCH(E289,個性タイプマスタ!$A$5:$A$54,0),0)</f>
        <v>25</v>
      </c>
      <c r="AF289">
        <f>IFERROR(MATCH(F289,属性耐性マスタ!$A$5:$A$10,0),0)</f>
        <v>6</v>
      </c>
      <c r="AG289">
        <f>IF(AE289=0,1,INDEX(個性タイプマスタ!$AB$5:$AB$54,AE289))</f>
        <v>10.8415</v>
      </c>
      <c r="AH289">
        <f>IF(AE289=0,1,INDEX(個性タイプマスタ!$AC$5:$AC$54,AE289))</f>
        <v>1.26</v>
      </c>
      <c r="AI289">
        <f>IF(AE289=0,0,INDEX(個性タイプマスタ!$AD$5:$AD$54,AE289))</f>
        <v>0.90833333333333333</v>
      </c>
      <c r="AJ289" s="16">
        <v>48</v>
      </c>
      <c r="AK289" s="17">
        <f>IF(OR(AJ289="",AJ289&lt;1),"",POWER(使い方と設定!$E$6,AJ289-1))</f>
        <v>6.3178156170686588</v>
      </c>
    </row>
    <row r="290" spans="1:37">
      <c r="A290" t="str">
        <f>+[2]称号!A285</f>
        <v>TITLE_284</v>
      </c>
      <c r="B290" t="str">
        <f>+[2]称号!B285</f>
        <v>千刃乱舞の戦禍小鬼</v>
      </c>
      <c r="C290" t="s">
        <v>703</v>
      </c>
      <c r="D290" t="s">
        <v>704</v>
      </c>
      <c r="E290" s="2" t="str">
        <f>[1]モンスター計算!AM288</f>
        <v>魔法・軽量</v>
      </c>
      <c r="F290" s="2" t="str">
        <f>[1]モンスター計算!C288</f>
        <v>闇</v>
      </c>
      <c r="G290" s="8">
        <v>1.05</v>
      </c>
      <c r="H290" t="str">
        <f t="shared" si="12"/>
        <v>OK</v>
      </c>
      <c r="I290" s="9">
        <f>IF($H290&lt;&gt;"OK","",ROUND($G290*使い方と設定!$B$7*$AK290*INDEX(個性タイプマスタ!$Q$5:$AA$54,$AE290,1)/$AG290,4))</f>
        <v>0.93940000000000001</v>
      </c>
      <c r="J290" s="9">
        <f>IF($H290&lt;&gt;"OK","",ROUND($G290*使い方と設定!$B$7*$AK290*INDEX(個性タイプマスタ!$Q$5:$AA$54,$AE290,2)/$AG290,4))</f>
        <v>1.0309999999999999</v>
      </c>
      <c r="K290" s="9">
        <f>IF($H290&lt;&gt;"OK","",ROUND($G290*使い方と設定!$B$7*$AK290*INDEX(個性タイプマスタ!$Q$5:$AA$54,$AE290,3)/$AG290,4))</f>
        <v>0.26040000000000002</v>
      </c>
      <c r="L290" s="9">
        <f>IF($H290&lt;&gt;"OK","",ROUND($G290*使い方と設定!$B$7*$AK290*INDEX(個性タイプマスタ!$Q$5:$AA$54,$AE290,4)/$AG290,4))</f>
        <v>2.6036000000000001</v>
      </c>
      <c r="M290" s="9">
        <f>IF($H290&lt;&gt;"OK","",ROUND($G290*使い方と設定!$B$7*$AK290*INDEX(個性タイプマスタ!$Q$5:$AA$54,$AE290,5)/$AG290,4))</f>
        <v>0.75239999999999996</v>
      </c>
      <c r="N290" s="9">
        <f>IF($H290&lt;&gt;"OK","",ROUND($G290*使い方と設定!$B$7*$AK290*INDEX(個性タイプマスタ!$Q$5:$AA$54,$AE290,6)/$AG290,4))</f>
        <v>0.88519999999999999</v>
      </c>
      <c r="O290" s="9">
        <f>IF($H290&lt;&gt;"OK","",ROUND($G290*使い方と設定!$B$7*$AK290*INDEX(個性タイプマスタ!$Q$5:$AA$54,$AE290,7)/$AG290,4))</f>
        <v>0.57279999999999998</v>
      </c>
      <c r="P290" s="9">
        <f>IF($H290&lt;&gt;"OK","",ROUND($G290*使い方と設定!$B$7*$AK290*INDEX(個性タイプマスタ!$Q$5:$AA$54,$AE290,8)/$AG290,4))</f>
        <v>0.67689999999999995</v>
      </c>
      <c r="Q290" s="9">
        <f>IF($H290&lt;&gt;"OK","",ROUND($G290*使い方と設定!$B$7*$AK290*INDEX(個性タイプマスタ!$Q$5:$AA$54,$AE290,9)/$AG290,4))</f>
        <v>0.4582</v>
      </c>
      <c r="R290" s="9">
        <f>IF($H290&lt;&gt;"OK","",ROUND($G290*使い方と設定!$B$7*$AK290*INDEX(個性タイプマスタ!$Q$5:$AA$54,$AE290,10)/$AG290,4))</f>
        <v>1.0415000000000001</v>
      </c>
      <c r="S290" s="9">
        <f>IF($H290&lt;&gt;"OK","",ROUND($G290*使い方と設定!$B$7*$AK290*INDEX(個性タイプマスタ!$Q$5:$AA$54,$AE290,11)/$AG290,4))</f>
        <v>0.72899999999999998</v>
      </c>
      <c r="T290" s="9">
        <f>IF($H290&lt;&gt;"OK","",ROUND($G290*使い方と設定!$B$8*$AK290*$AH290*INDEX(属性耐性マスタ!$B$5:$G$10,$AF290,1),4))</f>
        <v>1.83E-2</v>
      </c>
      <c r="U290" s="9">
        <f>IF($H290&lt;&gt;"OK","",ROUND($G290*使い方と設定!$B$8*$AK290*$AH290*INDEX(属性耐性マスタ!$B$5:$G$10,$AF290,2),4))</f>
        <v>1.83E-2</v>
      </c>
      <c r="V290" s="9">
        <f>IF($H290&lt;&gt;"OK","",ROUND($G290*使い方と設定!$B$8*$AK290*$AH290*INDEX(属性耐性マスタ!$B$5:$G$10,$AF290,3),4))</f>
        <v>1.83E-2</v>
      </c>
      <c r="W290" s="9">
        <f>IF($H290&lt;&gt;"OK","",ROUND($G290*使い方と設定!$B$8*$AK290*$AH290*INDEX(属性耐性マスタ!$B$5:$G$10,$AF290,4),4))</f>
        <v>1.83E-2</v>
      </c>
      <c r="X290" s="9">
        <f>IF($H290&lt;&gt;"OK","",ROUND($G290*使い方と設定!$B$8*$AK290*$AH290*INDEX(属性耐性マスタ!$B$5:$G$10,$AF290,5),4))</f>
        <v>4.8800000000000003E-2</v>
      </c>
      <c r="Y290" s="9">
        <f>IF($H290&lt;&gt;"OK","",ROUND($G290*使い方と設定!$B$8*$AK290*$AH290*INDEX(属性耐性マスタ!$B$5:$G$10,$AF290,6),4))</f>
        <v>0.36620000000000003</v>
      </c>
      <c r="Z290" s="9">
        <f>IF($H290&lt;&gt;"OK","",ROUND($G290*使い方と設定!$B$9*$AK290*$AI290,4))</f>
        <v>3.0956999999999999</v>
      </c>
      <c r="AA290" s="10">
        <v>1</v>
      </c>
      <c r="AB290" s="11">
        <f t="shared" si="13"/>
        <v>9.9504000000000001</v>
      </c>
      <c r="AC290" s="11">
        <f t="shared" si="14"/>
        <v>0.48820000000000002</v>
      </c>
      <c r="AD290" s="7" t="str">
        <f>IF($H290&lt;&gt;"OK","",INDEX(個性タイプマスタ!$P$5:$P$54,$AE290))</f>
        <v>軽快な魔法型。耐久控えめ・成長余地大</v>
      </c>
      <c r="AE290">
        <f>IFERROR(MATCH(E290,個性タイプマスタ!$A$5:$A$54,0),0)</f>
        <v>1</v>
      </c>
      <c r="AF290">
        <f>IFERROR(MATCH(F290,属性耐性マスタ!$A$5:$A$10,0),0)</f>
        <v>6</v>
      </c>
      <c r="AG290">
        <f>IF(AE290=0,1,INDEX(個性タイプマスタ!$AB$5:$AB$54,AE290))</f>
        <v>9.5545000000000009</v>
      </c>
      <c r="AH290">
        <f>IF(AE290=0,1,INDEX(個性タイプマスタ!$AC$5:$AC$54,AE290))</f>
        <v>0.92</v>
      </c>
      <c r="AI290">
        <f>IF(AE290=0,0,INDEX(個性タイプマスタ!$AD$5:$AD$54,AE290))</f>
        <v>0.93333333333333335</v>
      </c>
      <c r="AJ290" s="16">
        <v>48</v>
      </c>
      <c r="AK290" s="17">
        <f>IF(OR(AJ290="",AJ290&lt;1),"",POWER(使い方と設定!$E$6,AJ290-1))</f>
        <v>6.3178156170686588</v>
      </c>
    </row>
    <row r="291" spans="1:37">
      <c r="A291" t="str">
        <f>+[2]称号!A286</f>
        <v>TITLE_285</v>
      </c>
      <c r="B291" t="str">
        <f>+[2]称号!B286</f>
        <v>侵蝕する流黒刃核</v>
      </c>
      <c r="C291" t="s">
        <v>705</v>
      </c>
      <c r="D291" t="s">
        <v>706</v>
      </c>
      <c r="E291" s="2" t="str">
        <f>[1]モンスター計算!AM289</f>
        <v>魔法・万能</v>
      </c>
      <c r="F291" s="2" t="str">
        <f>[1]モンスター計算!C289</f>
        <v>火</v>
      </c>
      <c r="G291" s="8">
        <v>1.1000000000000001</v>
      </c>
      <c r="H291" t="str">
        <f t="shared" si="12"/>
        <v>OK</v>
      </c>
      <c r="I291" s="9">
        <f>IF($H291&lt;&gt;"OK","",ROUND($G291*使い方と設定!$B$7*$AK291*INDEX(個性タイプマスタ!$Q$5:$AA$54,$AE291,1)/$AG291,4))</f>
        <v>1.1838</v>
      </c>
      <c r="J291" s="9">
        <f>IF($H291&lt;&gt;"OK","",ROUND($G291*使い方と設定!$B$7*$AK291*INDEX(個性タイプマスタ!$Q$5:$AA$54,$AE291,2)/$AG291,4))</f>
        <v>1.1299999999999999</v>
      </c>
      <c r="K291" s="9">
        <f>IF($H291&lt;&gt;"OK","",ROUND($G291*使い方と設定!$B$7*$AK291*INDEX(個性タイプマスタ!$Q$5:$AA$54,$AE291,3)/$AG291,4))</f>
        <v>0.24460000000000001</v>
      </c>
      <c r="L291" s="9">
        <f>IF($H291&lt;&gt;"OK","",ROUND($G291*使い方と設定!$B$7*$AK291*INDEX(個性タイプマスタ!$Q$5:$AA$54,$AE291,4)/$AG291,4))</f>
        <v>2.4460000000000002</v>
      </c>
      <c r="M291" s="9">
        <f>IF($H291&lt;&gt;"OK","",ROUND($G291*使い方と設定!$B$7*$AK291*INDEX(個性タイプマスタ!$Q$5:$AA$54,$AE291,5)/$AG291,4))</f>
        <v>0.91479999999999995</v>
      </c>
      <c r="N291" s="9">
        <f>IF($H291&lt;&gt;"OK","",ROUND($G291*使い方と設定!$B$7*$AK291*INDEX(個性タイプマスタ!$Q$5:$AA$54,$AE291,6)/$AG291,4))</f>
        <v>0.91479999999999995</v>
      </c>
      <c r="O291" s="9">
        <f>IF($H291&lt;&gt;"OK","",ROUND($G291*使い方と設定!$B$7*$AK291*INDEX(個性タイプマスタ!$Q$5:$AA$54,$AE291,7)/$AG291,4))</f>
        <v>0.75339999999999996</v>
      </c>
      <c r="P291" s="9">
        <f>IF($H291&lt;&gt;"OK","",ROUND($G291*使い方と設定!$B$7*$AK291*INDEX(個性タイプマスタ!$Q$5:$AA$54,$AE291,8)/$AG291,4))</f>
        <v>0.65720000000000001</v>
      </c>
      <c r="Q291" s="9">
        <f>IF($H291&lt;&gt;"OK","",ROUND($G291*使い方と設定!$B$7*$AK291*INDEX(個性タイプマスタ!$Q$5:$AA$54,$AE291,9)/$AG291,4))</f>
        <v>0.51659999999999995</v>
      </c>
      <c r="R291" s="9">
        <f>IF($H291&lt;&gt;"OK","",ROUND($G291*使い方と設定!$B$7*$AK291*INDEX(個性タイプマスタ!$Q$5:$AA$54,$AE291,10)/$AG291,4))</f>
        <v>0.97840000000000005</v>
      </c>
      <c r="S291" s="9">
        <f>IF($H291&lt;&gt;"OK","",ROUND($G291*使い方と設定!$B$7*$AK291*INDEX(個性タイプマスタ!$Q$5:$AA$54,$AE291,11)/$AG291,4))</f>
        <v>0.68489999999999995</v>
      </c>
      <c r="T291" s="9">
        <f>IF($H291&lt;&gt;"OK","",ROUND($G291*使い方と設定!$B$8*$AK291*$AH291*INDEX(属性耐性マスタ!$B$5:$G$10,$AF291,1),4))</f>
        <v>0.45029999999999998</v>
      </c>
      <c r="U291" s="9">
        <f>IF($H291&lt;&gt;"OK","",ROUND($G291*使い方と設定!$B$8*$AK291*$AH291*INDEX(属性耐性マスタ!$B$5:$G$10,$AF291,2),4))</f>
        <v>9.01E-2</v>
      </c>
      <c r="V291" s="9">
        <f>IF($H291&lt;&gt;"OK","",ROUND($G291*使い方と設定!$B$8*$AK291*$AH291*INDEX(属性耐性マスタ!$B$5:$G$10,$AF291,3),4))</f>
        <v>0.03</v>
      </c>
      <c r="W291" s="9">
        <f>IF($H291&lt;&gt;"OK","",ROUND($G291*使い方と設定!$B$8*$AK291*$AH291*INDEX(属性耐性マスタ!$B$5:$G$10,$AF291,4),4))</f>
        <v>0.03</v>
      </c>
      <c r="X291" s="9">
        <f>IF($H291&lt;&gt;"OK","",ROUND($G291*使い方と設定!$B$8*$AK291*$AH291*INDEX(属性耐性マスタ!$B$5:$G$10,$AF291,5),4))</f>
        <v>2.2499999999999999E-2</v>
      </c>
      <c r="Y291" s="9">
        <f>IF($H291&lt;&gt;"OK","",ROUND($G291*使い方と設定!$B$8*$AK291*$AH291*INDEX(属性耐性マスタ!$B$5:$G$10,$AF291,6),4))</f>
        <v>2.2499999999999999E-2</v>
      </c>
      <c r="Z291" s="9">
        <f>IF($H291&lt;&gt;"OK","",ROUND($G291*使い方と設定!$B$9*$AK291*$AI291,4))</f>
        <v>3.4748000000000001</v>
      </c>
      <c r="AA291" s="10">
        <v>0.9</v>
      </c>
      <c r="AB291" s="11">
        <f t="shared" si="13"/>
        <v>10.4245</v>
      </c>
      <c r="AC291" s="11">
        <f t="shared" si="14"/>
        <v>0.64539999999999997</v>
      </c>
      <c r="AD291" s="7" t="str">
        <f>IF($H291&lt;&gt;"OK","",INDEX(個性タイプマスタ!$P$5:$P$54,$AE291))</f>
        <v>バランス重視</v>
      </c>
      <c r="AE291">
        <f>IFERROR(MATCH(E291,個性タイプマスタ!$A$5:$A$54,0),0)</f>
        <v>14</v>
      </c>
      <c r="AF291">
        <f>IFERROR(MATCH(F291,属性耐性マスタ!$A$5:$A$10,0),0)</f>
        <v>1</v>
      </c>
      <c r="AG291">
        <f>IF(AE291=0,1,INDEX(個性タイプマスタ!$AB$5:$AB$54,AE291))</f>
        <v>10.654666666666667</v>
      </c>
      <c r="AH291">
        <f>IF(AE291=0,1,INDEX(個性タイプマスタ!$AC$5:$AC$54,AE291))</f>
        <v>1.08</v>
      </c>
      <c r="AI291">
        <f>IF(AE291=0,0,INDEX(個性タイプマスタ!$AD$5:$AD$54,AE291))</f>
        <v>1</v>
      </c>
      <c r="AJ291" s="16">
        <v>48</v>
      </c>
      <c r="AK291" s="17">
        <f>IF(OR(AJ291="",AJ291&lt;1),"",POWER(使い方と設定!$E$6,AJ291-1))</f>
        <v>6.3178156170686588</v>
      </c>
    </row>
    <row r="292" spans="1:37">
      <c r="A292" t="str">
        <f>+[2]称号!A287</f>
        <v>TITLE_286</v>
      </c>
      <c r="B292" t="str">
        <f>+[2]称号!B287</f>
        <v>尖殻蹂躙の黒鋼甲虫</v>
      </c>
      <c r="C292" t="s">
        <v>707</v>
      </c>
      <c r="D292" t="s">
        <v>708</v>
      </c>
      <c r="E292" s="2" t="str">
        <f>[1]モンスター計算!AM290</f>
        <v>近接・長柄</v>
      </c>
      <c r="F292" s="2" t="str">
        <f>[1]モンスター計算!C290</f>
        <v>闇</v>
      </c>
      <c r="G292" s="8">
        <v>1.1499999999999999</v>
      </c>
      <c r="H292" t="str">
        <f t="shared" si="12"/>
        <v>OK</v>
      </c>
      <c r="I292" s="9">
        <f>IF($H292&lt;&gt;"OK","",ROUND($G292*使い方と設定!$B$7*$AK292*INDEX(個性タイプマスタ!$Q$5:$AA$54,$AE292,1)/$AG292,4))</f>
        <v>1.1109</v>
      </c>
      <c r="J292" s="9">
        <f>IF($H292&lt;&gt;"OK","",ROUND($G292*使い方と設定!$B$7*$AK292*INDEX(個性タイプマスタ!$Q$5:$AA$54,$AE292,2)/$AG292,4))</f>
        <v>0.54339999999999999</v>
      </c>
      <c r="K292" s="9">
        <f>IF($H292&lt;&gt;"OK","",ROUND($G292*使い方と設定!$B$7*$AK292*INDEX(個性タイプマスタ!$Q$5:$AA$54,$AE292,3)/$AG292,4))</f>
        <v>2.7444000000000002</v>
      </c>
      <c r="L292" s="9">
        <f>IF($H292&lt;&gt;"OK","",ROUND($G292*使い方と設定!$B$7*$AK292*INDEX(個性タイプマスタ!$Q$5:$AA$54,$AE292,4)/$AG292,4))</f>
        <v>0.2195</v>
      </c>
      <c r="M292" s="9">
        <f>IF($H292&lt;&gt;"OK","",ROUND($G292*使い方と設定!$B$7*$AK292*INDEX(個性タイプマスタ!$Q$5:$AA$54,$AE292,5)/$AG292,4))</f>
        <v>0.85840000000000005</v>
      </c>
      <c r="N292" s="9">
        <f>IF($H292&lt;&gt;"OK","",ROUND($G292*使い方と設定!$B$7*$AK292*INDEX(個性タイプマスタ!$Q$5:$AA$54,$AE292,6)/$AG292,4))</f>
        <v>0.79310000000000003</v>
      </c>
      <c r="O292" s="9">
        <f>IF($H292&lt;&gt;"OK","",ROUND($G292*使い方と設定!$B$7*$AK292*INDEX(個性タイプマスタ!$Q$5:$AA$54,$AE292,7)/$AG292,4))</f>
        <v>0.84530000000000005</v>
      </c>
      <c r="P292" s="9">
        <f>IF($H292&lt;&gt;"OK","",ROUND($G292*使い方と設定!$B$7*$AK292*INDEX(個性タイプマスタ!$Q$5:$AA$54,$AE292,8)/$AG292,4))</f>
        <v>0.7611</v>
      </c>
      <c r="Q292" s="9">
        <f>IF($H292&lt;&gt;"OK","",ROUND($G292*使い方と設定!$B$7*$AK292*INDEX(個性タイプマスタ!$Q$5:$AA$54,$AE292,9)/$AG292,4))</f>
        <v>0.5917</v>
      </c>
      <c r="R292" s="9">
        <f>IF($H292&lt;&gt;"OK","",ROUND($G292*使い方と設定!$B$7*$AK292*INDEX(個性タイプマスタ!$Q$5:$AA$54,$AE292,10)/$AG292,4))</f>
        <v>1.0319</v>
      </c>
      <c r="S292" s="9">
        <f>IF($H292&lt;&gt;"OK","",ROUND($G292*使い方と設定!$B$7*$AK292*INDEX(個性タイプマスタ!$Q$5:$AA$54,$AE292,11)/$AG292,4))</f>
        <v>1.3985000000000001</v>
      </c>
      <c r="T292" s="9">
        <f>IF($H292&lt;&gt;"OK","",ROUND($G292*使い方と設定!$B$8*$AK292*$AH292*INDEX(属性耐性マスタ!$B$5:$G$10,$AF292,1),4))</f>
        <v>1.8700000000000001E-2</v>
      </c>
      <c r="U292" s="9">
        <f>IF($H292&lt;&gt;"OK","",ROUND($G292*使い方と設定!$B$8*$AK292*$AH292*INDEX(属性耐性マスタ!$B$5:$G$10,$AF292,2),4))</f>
        <v>1.8700000000000001E-2</v>
      </c>
      <c r="V292" s="9">
        <f>IF($H292&lt;&gt;"OK","",ROUND($G292*使い方と設定!$B$8*$AK292*$AH292*INDEX(属性耐性マスタ!$B$5:$G$10,$AF292,3),4))</f>
        <v>1.8700000000000001E-2</v>
      </c>
      <c r="W292" s="9">
        <f>IF($H292&lt;&gt;"OK","",ROUND($G292*使い方と設定!$B$8*$AK292*$AH292*INDEX(属性耐性マスタ!$B$5:$G$10,$AF292,4),4))</f>
        <v>1.8700000000000001E-2</v>
      </c>
      <c r="X292" s="9">
        <f>IF($H292&lt;&gt;"OK","",ROUND($G292*使い方と設定!$B$8*$AK292*$AH292*INDEX(属性耐性マスタ!$B$5:$G$10,$AF292,5),4))</f>
        <v>0.05</v>
      </c>
      <c r="Y292" s="9">
        <f>IF($H292&lt;&gt;"OK","",ROUND($G292*使い方と設定!$B$8*$AK292*$AH292*INDEX(属性耐性マスタ!$B$5:$G$10,$AF292,6),4))</f>
        <v>0.37490000000000001</v>
      </c>
      <c r="Z292" s="9">
        <f>IF($H292&lt;&gt;"OK","",ROUND($G292*使い方と設定!$B$9*$AK292*$AI292,4))</f>
        <v>3.6629999999999998</v>
      </c>
      <c r="AA292" s="10">
        <v>0.55000000000000004</v>
      </c>
      <c r="AB292" s="11">
        <f t="shared" si="13"/>
        <v>10.898199999999999</v>
      </c>
      <c r="AC292" s="11">
        <f t="shared" si="14"/>
        <v>0.49969999999999998</v>
      </c>
      <c r="AD292" s="7" t="str">
        <f>IF($H292&lt;&gt;"OK","",INDEX(個性タイプマスタ!$P$5:$P$54,$AE292))</f>
        <v>攻撃範囲の広い近接</v>
      </c>
      <c r="AE292">
        <f>IFERROR(MATCH(E292,個性タイプマスタ!$A$5:$A$54,0),0)</f>
        <v>40</v>
      </c>
      <c r="AF292">
        <f>IFERROR(MATCH(F292,属性耐性マスタ!$A$5:$A$10,0),0)</f>
        <v>6</v>
      </c>
      <c r="AG292">
        <f>IF(AE292=0,1,INDEX(個性タイプマスタ!$AB$5:$AB$54,AE292))</f>
        <v>9.9278333333333357</v>
      </c>
      <c r="AH292">
        <f>IF(AE292=0,1,INDEX(個性タイプマスタ!$AC$5:$AC$54,AE292))</f>
        <v>0.86</v>
      </c>
      <c r="AI292">
        <f>IF(AE292=0,0,INDEX(個性タイプマスタ!$AD$5:$AD$54,AE292))</f>
        <v>1.0083333333333333</v>
      </c>
      <c r="AJ292" s="16">
        <v>48</v>
      </c>
      <c r="AK292" s="17">
        <f>IF(OR(AJ292="",AJ292&lt;1),"",POWER(使い方と設定!$E$6,AJ292-1))</f>
        <v>6.3178156170686588</v>
      </c>
    </row>
    <row r="293" spans="1:37">
      <c r="A293" t="str">
        <f>+[2]称号!A288</f>
        <v>TITLE_287</v>
      </c>
      <c r="B293" t="str">
        <f>+[2]称号!B288</f>
        <v>戦塵を纏う紅怨霊</v>
      </c>
      <c r="C293" t="s">
        <v>709</v>
      </c>
      <c r="D293" t="s">
        <v>710</v>
      </c>
      <c r="E293" s="2" t="str">
        <f>[1]モンスター計算!AM291</f>
        <v>近接・高魔防</v>
      </c>
      <c r="F293" s="2" t="str">
        <f>[1]モンスター計算!C291</f>
        <v>闇</v>
      </c>
      <c r="G293" s="8">
        <v>1.2</v>
      </c>
      <c r="H293" t="str">
        <f t="shared" si="12"/>
        <v>OK</v>
      </c>
      <c r="I293" s="9">
        <f>IF($H293&lt;&gt;"OK","",ROUND($G293*使い方と設定!$B$7*$AK293*INDEX(個性タイプマスタ!$Q$5:$AA$54,$AE293,1)/$AG293,4))</f>
        <v>1.4362999999999999</v>
      </c>
      <c r="J293" s="9">
        <f>IF($H293&lt;&gt;"OK","",ROUND($G293*使い方と設定!$B$7*$AK293*INDEX(個性タイプマスタ!$Q$5:$AA$54,$AE293,2)/$AG293,4))</f>
        <v>0.67030000000000001</v>
      </c>
      <c r="K293" s="9">
        <f>IF($H293&lt;&gt;"OK","",ROUND($G293*使い方と設定!$B$7*$AK293*INDEX(個性タイプマスタ!$Q$5:$AA$54,$AE293,3)/$AG293,4))</f>
        <v>2.7202000000000002</v>
      </c>
      <c r="L293" s="9">
        <f>IF($H293&lt;&gt;"OK","",ROUND($G293*使い方と設定!$B$7*$AK293*INDEX(個性タイプマスタ!$Q$5:$AA$54,$AE293,4)/$AG293,4))</f>
        <v>0.2258</v>
      </c>
      <c r="M293" s="9">
        <f>IF($H293&lt;&gt;"OK","",ROUND($G293*使い方と設定!$B$7*$AK293*INDEX(個性タイプマスタ!$Q$5:$AA$54,$AE293,5)/$AG293,4))</f>
        <v>0.70289999999999997</v>
      </c>
      <c r="N293" s="9">
        <f>IF($H293&lt;&gt;"OK","",ROUND($G293*使い方と設定!$B$7*$AK293*INDEX(個性タイプマスタ!$Q$5:$AA$54,$AE293,6)/$AG293,4))</f>
        <v>1.9421999999999999</v>
      </c>
      <c r="O293" s="9">
        <f>IF($H293&lt;&gt;"OK","",ROUND($G293*使い方と設定!$B$7*$AK293*INDEX(個性タイプマスタ!$Q$5:$AA$54,$AE293,7)/$AG293,4))</f>
        <v>0.59840000000000004</v>
      </c>
      <c r="P293" s="9">
        <f>IF($H293&lt;&gt;"OK","",ROUND($G293*使い方と設定!$B$7*$AK293*INDEX(個性タイプマスタ!$Q$5:$AA$54,$AE293,8)/$AG293,4))</f>
        <v>0.69310000000000005</v>
      </c>
      <c r="Q293" s="9">
        <f>IF($H293&lt;&gt;"OK","",ROUND($G293*使い方と設定!$B$7*$AK293*INDEX(個性タイプマスタ!$Q$5:$AA$54,$AE293,9)/$AG293,4))</f>
        <v>0.58650000000000002</v>
      </c>
      <c r="R293" s="9">
        <f>IF($H293&lt;&gt;"OK","",ROUND($G293*使い方と設定!$B$7*$AK293*INDEX(個性タイプマスタ!$Q$5:$AA$54,$AE293,10)/$AG293,4))</f>
        <v>1.0881000000000001</v>
      </c>
      <c r="S293" s="9">
        <f>IF($H293&lt;&gt;"OK","",ROUND($G293*使い方と設定!$B$7*$AK293*INDEX(個性タイプマスタ!$Q$5:$AA$54,$AE293,11)/$AG293,4))</f>
        <v>0.70830000000000004</v>
      </c>
      <c r="T293" s="9">
        <f>IF($H293&lt;&gt;"OK","",ROUND($G293*使い方と設定!$B$8*$AK293*$AH293*INDEX(属性耐性マスタ!$B$5:$G$10,$AF293,1),4))</f>
        <v>2.87E-2</v>
      </c>
      <c r="U293" s="9">
        <f>IF($H293&lt;&gt;"OK","",ROUND($G293*使い方と設定!$B$8*$AK293*$AH293*INDEX(属性耐性マスタ!$B$5:$G$10,$AF293,2),4))</f>
        <v>2.87E-2</v>
      </c>
      <c r="V293" s="9">
        <f>IF($H293&lt;&gt;"OK","",ROUND($G293*使い方と設定!$B$8*$AK293*$AH293*INDEX(属性耐性マスタ!$B$5:$G$10,$AF293,3),4))</f>
        <v>2.87E-2</v>
      </c>
      <c r="W293" s="9">
        <f>IF($H293&lt;&gt;"OK","",ROUND($G293*使い方と設定!$B$8*$AK293*$AH293*INDEX(属性耐性マスタ!$B$5:$G$10,$AF293,4),4))</f>
        <v>2.87E-2</v>
      </c>
      <c r="X293" s="9">
        <f>IF($H293&lt;&gt;"OK","",ROUND($G293*使い方と設定!$B$8*$AK293*$AH293*INDEX(属性耐性マスタ!$B$5:$G$10,$AF293,5),4))</f>
        <v>7.6399999999999996E-2</v>
      </c>
      <c r="Y293" s="9">
        <f>IF($H293&lt;&gt;"OK","",ROUND($G293*使い方と設定!$B$8*$AK293*$AH293*INDEX(属性耐性マスタ!$B$5:$G$10,$AF293,6),4))</f>
        <v>0.57320000000000004</v>
      </c>
      <c r="Z293" s="9">
        <f>IF($H293&lt;&gt;"OK","",ROUND($G293*使い方と設定!$B$9*$AK293*$AI293,4))</f>
        <v>3.8222999999999998</v>
      </c>
      <c r="AA293" s="10">
        <v>0.5</v>
      </c>
      <c r="AB293" s="11">
        <f t="shared" si="13"/>
        <v>11.3721</v>
      </c>
      <c r="AC293" s="11">
        <f t="shared" si="14"/>
        <v>0.76439999999999997</v>
      </c>
      <c r="AD293" s="7" t="str">
        <f>IF($H293&lt;&gt;"OK","",INDEX(個性タイプマスタ!$P$5:$P$54,$AE293))</f>
        <v>物理に弱い魔法防御型</v>
      </c>
      <c r="AE293">
        <f>IFERROR(MATCH(E293,個性タイプマスタ!$A$5:$A$54,0),0)</f>
        <v>47</v>
      </c>
      <c r="AF293">
        <f>IFERROR(MATCH(F293,属性耐性マスタ!$A$5:$A$10,0),0)</f>
        <v>6</v>
      </c>
      <c r="AG293">
        <f>IF(AE293=0,1,INDEX(個性タイプマスタ!$AB$5:$AB$54,AE293))</f>
        <v>10.451499999999999</v>
      </c>
      <c r="AH293">
        <f>IF(AE293=0,1,INDEX(個性タイプマスタ!$AC$5:$AC$54,AE293))</f>
        <v>1.26</v>
      </c>
      <c r="AI293">
        <f>IF(AE293=0,0,INDEX(個性タイプマスタ!$AD$5:$AD$54,AE293))</f>
        <v>1.0083333333333333</v>
      </c>
      <c r="AJ293" s="16">
        <v>48</v>
      </c>
      <c r="AK293" s="17">
        <f>IF(OR(AJ293="",AJ293&lt;1),"",POWER(使い方と設定!$E$6,AJ293-1))</f>
        <v>6.3178156170686588</v>
      </c>
    </row>
    <row r="294" spans="1:37">
      <c r="A294" t="str">
        <f>+[2]称号!A289</f>
        <v>TITLE_288</v>
      </c>
      <c r="B294" t="str">
        <f>+[2]称号!B289</f>
        <v>黒曜覇軍の終焉将王</v>
      </c>
      <c r="C294" t="s">
        <v>711</v>
      </c>
      <c r="D294" t="s">
        <v>712</v>
      </c>
      <c r="E294" s="2" t="str">
        <f>[1]モンスター計算!AM292</f>
        <v>魔法・守護</v>
      </c>
      <c r="F294" s="2" t="str">
        <f>[1]モンスター計算!C292</f>
        <v>闇</v>
      </c>
      <c r="G294" s="8">
        <v>1.25</v>
      </c>
      <c r="H294" t="str">
        <f t="shared" si="12"/>
        <v>OK</v>
      </c>
      <c r="I294" s="9">
        <f>IF($H294&lt;&gt;"OK","",ROUND($G294*使い方と設定!$B$7*$AK294*INDEX(個性タイプマスタ!$Q$5:$AA$54,$AE294,1)/$AG294,4))</f>
        <v>1.5430999999999999</v>
      </c>
      <c r="J294" s="9">
        <f>IF($H294&lt;&gt;"OK","",ROUND($G294*使い方と設定!$B$7*$AK294*INDEX(個性タイプマスタ!$Q$5:$AA$54,$AE294,2)/$AG294,4))</f>
        <v>1.2859</v>
      </c>
      <c r="K294" s="9">
        <f>IF($H294&lt;&gt;"OK","",ROUND($G294*使い方と設定!$B$7*$AK294*INDEX(個性タイプマスタ!$Q$5:$AA$54,$AE294,3)/$AG294,4))</f>
        <v>0.23380000000000001</v>
      </c>
      <c r="L294" s="9">
        <f>IF($H294&lt;&gt;"OK","",ROUND($G294*使い方と設定!$B$7*$AK294*INDEX(個性タイプマスタ!$Q$5:$AA$54,$AE294,4)/$AG294,4))</f>
        <v>2.3380999999999998</v>
      </c>
      <c r="M294" s="9">
        <f>IF($H294&lt;&gt;"OK","",ROUND($G294*使い方と設定!$B$7*$AK294*INDEX(個性タイプマスタ!$Q$5:$AA$54,$AE294,5)/$AG294,4))</f>
        <v>1.1923999999999999</v>
      </c>
      <c r="N294" s="9">
        <f>IF($H294&lt;&gt;"OK","",ROUND($G294*使い方と設定!$B$7*$AK294*INDEX(個性タイプマスタ!$Q$5:$AA$54,$AE294,6)/$AG294,4))</f>
        <v>1.1129</v>
      </c>
      <c r="O294" s="9">
        <f>IF($H294&lt;&gt;"OK","",ROUND($G294*使い方と設定!$B$7*$AK294*INDEX(個性タイプマスタ!$Q$5:$AA$54,$AE294,7)/$AG294,4))</f>
        <v>1.0287999999999999</v>
      </c>
      <c r="P294" s="9">
        <f>IF($H294&lt;&gt;"OK","",ROUND($G294*使い方と設定!$B$7*$AK294*INDEX(個性タイプマスタ!$Q$5:$AA$54,$AE294,8)/$AG294,4))</f>
        <v>0.70920000000000005</v>
      </c>
      <c r="Q294" s="9">
        <f>IF($H294&lt;&gt;"OK","",ROUND($G294*使い方と設定!$B$7*$AK294*INDEX(個性タイプマスタ!$Q$5:$AA$54,$AE294,9)/$AG294,4))</f>
        <v>0.49380000000000002</v>
      </c>
      <c r="R294" s="9">
        <f>IF($H294&lt;&gt;"OK","",ROUND($G294*使い方と設定!$B$7*$AK294*INDEX(個性タイプマスタ!$Q$5:$AA$54,$AE294,10)/$AG294,4))</f>
        <v>1.1223000000000001</v>
      </c>
      <c r="S294" s="9">
        <f>IF($H294&lt;&gt;"OK","",ROUND($G294*使い方と設定!$B$7*$AK294*INDEX(個性タイプマスタ!$Q$5:$AA$54,$AE294,11)/$AG294,4))</f>
        <v>0.78559999999999997</v>
      </c>
      <c r="T294" s="9">
        <f>IF($H294&lt;&gt;"OK","",ROUND($G294*使い方と設定!$B$8*$AK294*$AH294*INDEX(属性耐性マスタ!$B$5:$G$10,$AF294,1),4))</f>
        <v>3.1300000000000001E-2</v>
      </c>
      <c r="U294" s="9">
        <f>IF($H294&lt;&gt;"OK","",ROUND($G294*使い方と設定!$B$8*$AK294*$AH294*INDEX(属性耐性マスタ!$B$5:$G$10,$AF294,2),4))</f>
        <v>3.1300000000000001E-2</v>
      </c>
      <c r="V294" s="9">
        <f>IF($H294&lt;&gt;"OK","",ROUND($G294*使い方と設定!$B$8*$AK294*$AH294*INDEX(属性耐性マスタ!$B$5:$G$10,$AF294,3),4))</f>
        <v>3.1300000000000001E-2</v>
      </c>
      <c r="W294" s="9">
        <f>IF($H294&lt;&gt;"OK","",ROUND($G294*使い方と設定!$B$8*$AK294*$AH294*INDEX(属性耐性マスタ!$B$5:$G$10,$AF294,4),4))</f>
        <v>3.1300000000000001E-2</v>
      </c>
      <c r="X294" s="9">
        <f>IF($H294&lt;&gt;"OK","",ROUND($G294*使い方と設定!$B$8*$AK294*$AH294*INDEX(属性耐性マスタ!$B$5:$G$10,$AF294,5),4))</f>
        <v>8.3400000000000002E-2</v>
      </c>
      <c r="Y294" s="9">
        <f>IF($H294&lt;&gt;"OK","",ROUND($G294*使い方と設定!$B$8*$AK294*$AH294*INDEX(属性耐性マスタ!$B$5:$G$10,$AF294,6),4))</f>
        <v>0.62549999999999994</v>
      </c>
      <c r="Z294" s="9">
        <f>IF($H294&lt;&gt;"OK","",ROUND($G294*使い方と設定!$B$9*$AK294*$AI294,4))</f>
        <v>3.9485999999999999</v>
      </c>
      <c r="AA294" s="10">
        <v>0.25</v>
      </c>
      <c r="AB294" s="11">
        <f t="shared" si="13"/>
        <v>11.8459</v>
      </c>
      <c r="AC294" s="11">
        <f t="shared" si="14"/>
        <v>0.83409999999999995</v>
      </c>
      <c r="AD294" s="7" t="str">
        <f>IF($H294&lt;&gt;"OK","",INDEX(個性タイプマスタ!$P$5:$P$54,$AE294))</f>
        <v>HP・防御・耐性の高い魔法型</v>
      </c>
      <c r="AE294">
        <f>IFERROR(MATCH(E294,個性タイプマスタ!$A$5:$A$54,0),0)</f>
        <v>6</v>
      </c>
      <c r="AF294">
        <f>IFERROR(MATCH(F294,属性耐性マスタ!$A$5:$A$10,0),0)</f>
        <v>6</v>
      </c>
      <c r="AG294">
        <f>IF(AE294=0,1,INDEX(個性タイプマスタ!$AB$5:$AB$54,AE294))</f>
        <v>12.666333333333332</v>
      </c>
      <c r="AH294">
        <f>IF(AE294=0,1,INDEX(個性タイプマスタ!$AC$5:$AC$54,AE294))</f>
        <v>1.32</v>
      </c>
      <c r="AI294">
        <f>IF(AE294=0,0,INDEX(個性タイプマスタ!$AD$5:$AD$54,AE294))</f>
        <v>1</v>
      </c>
      <c r="AJ294" s="16">
        <v>48</v>
      </c>
      <c r="AK294" s="17">
        <f>IF(OR(AJ294="",AJ294&lt;1),"",POWER(使い方と設定!$E$6,AJ294-1))</f>
        <v>6.3178156170686588</v>
      </c>
    </row>
    <row r="295" spans="1:37">
      <c r="A295" t="str">
        <f>+[2]称号!A290</f>
        <v>TITLE_289</v>
      </c>
      <c r="B295" t="str">
        <f>+[2]称号!B290</f>
        <v>金骸の聖戦骸騎</v>
      </c>
      <c r="C295" t="s">
        <v>713</v>
      </c>
      <c r="D295" t="s">
        <v>714</v>
      </c>
      <c r="E295" s="2" t="str">
        <f>[1]モンスター計算!AM293</f>
        <v>魔法・薄命結界</v>
      </c>
      <c r="F295" s="2" t="str">
        <f>[1]モンスター計算!C293</f>
        <v>闇</v>
      </c>
      <c r="G295" s="8">
        <v>1</v>
      </c>
      <c r="H295" t="str">
        <f t="shared" si="12"/>
        <v>OK</v>
      </c>
      <c r="I295" s="9">
        <f>IF($H295&lt;&gt;"OK","",ROUND($G295*使い方と設定!$B$7*$AK295*INDEX(個性タイプマスタ!$Q$5:$AA$54,$AE295,1)/$AG295,4))</f>
        <v>0.52380000000000004</v>
      </c>
      <c r="J295" s="9">
        <f>IF($H295&lt;&gt;"OK","",ROUND($G295*使い方と設定!$B$7*$AK295*INDEX(個性タイプマスタ!$Q$5:$AA$54,$AE295,2)/$AG295,4))</f>
        <v>1.4285000000000001</v>
      </c>
      <c r="K295" s="9">
        <f>IF($H295&lt;&gt;"OK","",ROUND($G295*使い方と設定!$B$7*$AK295*INDEX(個性タイプマスタ!$Q$5:$AA$54,$AE295,3)/$AG295,4))</f>
        <v>0.17319999999999999</v>
      </c>
      <c r="L295" s="9">
        <f>IF($H295&lt;&gt;"OK","",ROUND($G295*使い方と設定!$B$7*$AK295*INDEX(個性タイプマスタ!$Q$5:$AA$54,$AE295,4)/$AG295,4))</f>
        <v>2.1644000000000001</v>
      </c>
      <c r="M295" s="9">
        <f>IF($H295&lt;&gt;"OK","",ROUND($G295*使い方と設定!$B$7*$AK295*INDEX(個性タイプマスタ!$Q$5:$AA$54,$AE295,5)/$AG295,4))</f>
        <v>1.0669999999999999</v>
      </c>
      <c r="N295" s="9">
        <f>IF($H295&lt;&gt;"OK","",ROUND($G295*使い方と設定!$B$7*$AK295*INDEX(個性タイプマスタ!$Q$5:$AA$54,$AE295,6)/$AG295,4))</f>
        <v>1.6557999999999999</v>
      </c>
      <c r="O295" s="9">
        <f>IF($H295&lt;&gt;"OK","",ROUND($G295*使い方と設定!$B$7*$AK295*INDEX(個性タイプマスタ!$Q$5:$AA$54,$AE295,7)/$AG295,4))</f>
        <v>0.38090000000000002</v>
      </c>
      <c r="P295" s="9">
        <f>IF($H295&lt;&gt;"OK","",ROUND($G295*使い方と設定!$B$7*$AK295*INDEX(個性タイプマスタ!$Q$5:$AA$54,$AE295,8)/$AG295,4))</f>
        <v>0.51770000000000005</v>
      </c>
      <c r="Q295" s="9">
        <f>IF($H295&lt;&gt;"OK","",ROUND($G295*使い方と設定!$B$7*$AK295*INDEX(個性タイプマスタ!$Q$5:$AA$54,$AE295,9)/$AG295,4))</f>
        <v>0.41899999999999998</v>
      </c>
      <c r="R295" s="9">
        <f>IF($H295&lt;&gt;"OK","",ROUND($G295*使い方と設定!$B$7*$AK295*INDEX(個性タイプマスタ!$Q$5:$AA$54,$AE295,10)/$AG295,4))</f>
        <v>0.76190000000000002</v>
      </c>
      <c r="S295" s="9">
        <f>IF($H295&lt;&gt;"OK","",ROUND($G295*使い方と設定!$B$7*$AK295*INDEX(個性タイプマスタ!$Q$5:$AA$54,$AE295,11)/$AG295,4))</f>
        <v>0.76359999999999995</v>
      </c>
      <c r="T295" s="9">
        <f>IF($H295&lt;&gt;"OK","",ROUND($G295*使い方と設定!$B$8*$AK295*$AH295*INDEX(属性耐性マスタ!$B$5:$G$10,$AF295,1),4))</f>
        <v>2.9600000000000001E-2</v>
      </c>
      <c r="U295" s="9">
        <f>IF($H295&lt;&gt;"OK","",ROUND($G295*使い方と設定!$B$8*$AK295*$AH295*INDEX(属性耐性マスタ!$B$5:$G$10,$AF295,2),4))</f>
        <v>2.9600000000000001E-2</v>
      </c>
      <c r="V295" s="9">
        <f>IF($H295&lt;&gt;"OK","",ROUND($G295*使い方と設定!$B$8*$AK295*$AH295*INDEX(属性耐性マスタ!$B$5:$G$10,$AF295,3),4))</f>
        <v>2.9600000000000001E-2</v>
      </c>
      <c r="W295" s="9">
        <f>IF($H295&lt;&gt;"OK","",ROUND($G295*使い方と設定!$B$8*$AK295*$AH295*INDEX(属性耐性マスタ!$B$5:$G$10,$AF295,4),4))</f>
        <v>2.9600000000000001E-2</v>
      </c>
      <c r="X295" s="9">
        <f>IF($H295&lt;&gt;"OK","",ROUND($G295*使い方と設定!$B$8*$AK295*$AH295*INDEX(属性耐性マスタ!$B$5:$G$10,$AF295,5),4))</f>
        <v>7.8799999999999995E-2</v>
      </c>
      <c r="Y295" s="9">
        <f>IF($H295&lt;&gt;"OK","",ROUND($G295*使い方と設定!$B$8*$AK295*$AH295*INDEX(属性耐性マスタ!$B$5:$G$10,$AF295,6),4))</f>
        <v>0.59130000000000005</v>
      </c>
      <c r="Z295" s="9">
        <f>IF($H295&lt;&gt;"OK","",ROUND($G295*使い方と設定!$B$9*$AK295*$AI295,4))</f>
        <v>3.1758000000000002</v>
      </c>
      <c r="AA295" s="10">
        <v>1</v>
      </c>
      <c r="AB295" s="11">
        <f t="shared" si="13"/>
        <v>9.8558000000000003</v>
      </c>
      <c r="AC295" s="11">
        <f t="shared" si="14"/>
        <v>0.78849999999999998</v>
      </c>
      <c r="AD295" s="7" t="str">
        <f>IF($H295&lt;&gt;"OK","",INDEX(個性タイプマスタ!$P$5:$P$54,$AE295))</f>
        <v>低HPだが防御・耐性が高い極端な守護型</v>
      </c>
      <c r="AE295">
        <f>IFERROR(MATCH(E295,個性タイプマスタ!$A$5:$A$54,0),0)</f>
        <v>31</v>
      </c>
      <c r="AF295">
        <f>IFERROR(MATCH(F295,属性耐性マスタ!$A$5:$A$10,0),0)</f>
        <v>6</v>
      </c>
      <c r="AG295">
        <f>IF(AE295=0,1,INDEX(個性タイプマスタ!$AB$5:$AB$54,AE295))</f>
        <v>11.384</v>
      </c>
      <c r="AH295">
        <f>IF(AE295=0,1,INDEX(個性タイプマスタ!$AC$5:$AC$54,AE295))</f>
        <v>1.5</v>
      </c>
      <c r="AI295">
        <f>IF(AE295=0,0,INDEX(個性タイプマスタ!$AD$5:$AD$54,AE295))</f>
        <v>0.96666666666666667</v>
      </c>
      <c r="AJ295" s="16">
        <v>49</v>
      </c>
      <c r="AK295" s="17">
        <f>IF(OR(AJ295="",AJ295&lt;1),"",POWER(使い方と設定!$E$6,AJ295-1))</f>
        <v>6.5705282417514059</v>
      </c>
    </row>
    <row r="296" spans="1:37">
      <c r="A296" t="str">
        <f>+[2]称号!A291</f>
        <v>TITLE_290</v>
      </c>
      <c r="B296" t="str">
        <f>+[2]称号!B291</f>
        <v>流転する神性核</v>
      </c>
      <c r="C296" t="s">
        <v>715</v>
      </c>
      <c r="D296" t="s">
        <v>716</v>
      </c>
      <c r="E296" s="2" t="str">
        <f>[1]モンスター計算!AM294</f>
        <v>魔法・支援</v>
      </c>
      <c r="F296" s="2" t="str">
        <f>[1]モンスター計算!C294</f>
        <v>光</v>
      </c>
      <c r="G296" s="8">
        <v>1.05</v>
      </c>
      <c r="H296" t="str">
        <f t="shared" si="12"/>
        <v>OK</v>
      </c>
      <c r="I296" s="9">
        <f>IF($H296&lt;&gt;"OK","",ROUND($G296*使い方と設定!$B$7*$AK296*INDEX(個性タイプマスタ!$Q$5:$AA$54,$AE296,1)/$AG296,4))</f>
        <v>1.0542</v>
      </c>
      <c r="J296" s="9">
        <f>IF($H296&lt;&gt;"OK","",ROUND($G296*使い方と設定!$B$7*$AK296*INDEX(個性タイプマスタ!$Q$5:$AA$54,$AE296,2)/$AG296,4))</f>
        <v>1.5285</v>
      </c>
      <c r="K296" s="9">
        <f>IF($H296&lt;&gt;"OK","",ROUND($G296*使い方と設定!$B$7*$AK296*INDEX(個性タイプマスタ!$Q$5:$AA$54,$AE296,3)/$AG296,4))</f>
        <v>0.23960000000000001</v>
      </c>
      <c r="L296" s="9">
        <f>IF($H296&lt;&gt;"OK","",ROUND($G296*使い方と設定!$B$7*$AK296*INDEX(個性タイプマスタ!$Q$5:$AA$54,$AE296,4)/$AG296,4))</f>
        <v>2.3957999999999999</v>
      </c>
      <c r="M296" s="9">
        <f>IF($H296&lt;&gt;"OK","",ROUND($G296*使い方と設定!$B$7*$AK296*INDEX(個性タイプマスタ!$Q$5:$AA$54,$AE296,5)/$AG296,4))</f>
        <v>0.81459999999999999</v>
      </c>
      <c r="N296" s="9">
        <f>IF($H296&lt;&gt;"OK","",ROUND($G296*使い方と設定!$B$7*$AK296*INDEX(個性タイプマスタ!$Q$5:$AA$54,$AE296,6)/$AG296,4))</f>
        <v>0.97750000000000004</v>
      </c>
      <c r="O296" s="9">
        <f>IF($H296&lt;&gt;"OK","",ROUND($G296*使い方と設定!$B$7*$AK296*INDEX(個性タイプマスタ!$Q$5:$AA$54,$AE296,7)/$AG296,4))</f>
        <v>0.63249999999999995</v>
      </c>
      <c r="P296" s="9">
        <f>IF($H296&lt;&gt;"OK","",ROUND($G296*使い方と設定!$B$7*$AK296*INDEX(個性タイプマスタ!$Q$5:$AA$54,$AE296,8)/$AG296,4))</f>
        <v>0.58140000000000003</v>
      </c>
      <c r="Q296" s="9">
        <f>IF($H296&lt;&gt;"OK","",ROUND($G296*使い方と設定!$B$7*$AK296*INDEX(個性タイプマスタ!$Q$5:$AA$54,$AE296,9)/$AG296,4))</f>
        <v>0.44269999999999998</v>
      </c>
      <c r="R296" s="9">
        <f>IF($H296&lt;&gt;"OK","",ROUND($G296*使い方と設定!$B$7*$AK296*INDEX(個性タイプマスタ!$Q$5:$AA$54,$AE296,10)/$AG296,4))</f>
        <v>0.91039999999999999</v>
      </c>
      <c r="S296" s="9">
        <f>IF($H296&lt;&gt;"OK","",ROUND($G296*使い方と設定!$B$7*$AK296*INDEX(個性タイプマスタ!$Q$5:$AA$54,$AE296,11)/$AG296,4))</f>
        <v>0.77139999999999997</v>
      </c>
      <c r="T296" s="9">
        <f>IF($H296&lt;&gt;"OK","",ROUND($G296*使い方と設定!$B$8*$AK296*$AH296*INDEX(属性耐性マスタ!$B$5:$G$10,$AF296,1),4))</f>
        <v>2.3199999999999998E-2</v>
      </c>
      <c r="U296" s="9">
        <f>IF($H296&lt;&gt;"OK","",ROUND($G296*使い方と設定!$B$8*$AK296*$AH296*INDEX(属性耐性マスタ!$B$5:$G$10,$AF296,2),4))</f>
        <v>2.3199999999999998E-2</v>
      </c>
      <c r="V296" s="9">
        <f>IF($H296&lt;&gt;"OK","",ROUND($G296*使い方と設定!$B$8*$AK296*$AH296*INDEX(属性耐性マスタ!$B$5:$G$10,$AF296,3),4))</f>
        <v>2.3199999999999998E-2</v>
      </c>
      <c r="W296" s="9">
        <f>IF($H296&lt;&gt;"OK","",ROUND($G296*使い方と設定!$B$8*$AK296*$AH296*INDEX(属性耐性マスタ!$B$5:$G$10,$AF296,4),4))</f>
        <v>2.3199999999999998E-2</v>
      </c>
      <c r="X296" s="9">
        <f>IF($H296&lt;&gt;"OK","",ROUND($G296*使い方と設定!$B$8*$AK296*$AH296*INDEX(属性耐性マスタ!$B$5:$G$10,$AF296,5),4))</f>
        <v>0.46360000000000001</v>
      </c>
      <c r="Y296" s="9">
        <f>IF($H296&lt;&gt;"OK","",ROUND($G296*使い方と設定!$B$8*$AK296*$AH296*INDEX(属性耐性マスタ!$B$5:$G$10,$AF296,6),4))</f>
        <v>6.1800000000000001E-2</v>
      </c>
      <c r="Z296" s="9">
        <f>IF($H296&lt;&gt;"OK","",ROUND($G296*使い方と設定!$B$9*$AK296*$AI296,4))</f>
        <v>3.2770999999999999</v>
      </c>
      <c r="AA296" s="10">
        <v>1</v>
      </c>
      <c r="AB296" s="11">
        <f t="shared" si="13"/>
        <v>10.348599999999999</v>
      </c>
      <c r="AC296" s="11">
        <f t="shared" si="14"/>
        <v>0.61819999999999997</v>
      </c>
      <c r="AD296" s="7" t="str">
        <f>IF($H296&lt;&gt;"OK","",INDEX(個性タイプマスタ!$P$5:$P$54,$AE296))</f>
        <v>MPと魔防寄りの支援型</v>
      </c>
      <c r="AE296">
        <f>IFERROR(MATCH(E296,個性タイプマスタ!$A$5:$A$54,0),0)</f>
        <v>10</v>
      </c>
      <c r="AF296">
        <f>IFERROR(MATCH(F296,属性耐性マスタ!$A$5:$A$10,0),0)</f>
        <v>5</v>
      </c>
      <c r="AG296">
        <f>IF(AE296=0,1,INDEX(個性タイプマスタ!$AB$5:$AB$54,AE296))</f>
        <v>10.798666666666666</v>
      </c>
      <c r="AH296">
        <f>IF(AE296=0,1,INDEX(個性タイプマスタ!$AC$5:$AC$54,AE296))</f>
        <v>1.1200000000000001</v>
      </c>
      <c r="AI296">
        <f>IF(AE296=0,0,INDEX(個性タイプマスタ!$AD$5:$AD$54,AE296))</f>
        <v>0.95</v>
      </c>
      <c r="AJ296" s="16">
        <v>49</v>
      </c>
      <c r="AK296" s="17">
        <f>IF(OR(AJ296="",AJ296&lt;1),"",POWER(使い方と設定!$E$6,AJ296-1))</f>
        <v>6.5705282417514059</v>
      </c>
    </row>
    <row r="297" spans="1:37">
      <c r="A297" t="str">
        <f>+[2]称号!A292</f>
        <v>TITLE_291</v>
      </c>
      <c r="B297" t="str">
        <f>+[2]称号!B292</f>
        <v>堕光の幼き代行者</v>
      </c>
      <c r="C297" t="s">
        <v>717</v>
      </c>
      <c r="D297" t="s">
        <v>718</v>
      </c>
      <c r="E297" s="2" t="str">
        <f>[1]モンスター計算!AM295</f>
        <v>魔法・長射程</v>
      </c>
      <c r="F297" s="2" t="str">
        <f>[1]モンスター計算!C295</f>
        <v>闇</v>
      </c>
      <c r="G297" s="8">
        <v>1.1000000000000001</v>
      </c>
      <c r="H297" t="str">
        <f t="shared" si="12"/>
        <v>OK</v>
      </c>
      <c r="I297" s="9">
        <f>IF($H297&lt;&gt;"OK","",ROUND($G297*使い方と設定!$B$7*$AK297*INDEX(個性タイプマスタ!$Q$5:$AA$54,$AE297,1)/$AG297,4))</f>
        <v>1.0924</v>
      </c>
      <c r="J297" s="9">
        <f>IF($H297&lt;&gt;"OK","",ROUND($G297*使い方と設定!$B$7*$AK297*INDEX(個性タイプマスタ!$Q$5:$AA$54,$AE297,2)/$AG297,4))</f>
        <v>1.2517</v>
      </c>
      <c r="K297" s="9">
        <f>IF($H297&lt;&gt;"OK","",ROUND($G297*使い方と設定!$B$7*$AK297*INDEX(個性タイプマスタ!$Q$5:$AA$54,$AE297,3)/$AG297,4))</f>
        <v>0.1603</v>
      </c>
      <c r="L297" s="9">
        <f>IF($H297&lt;&gt;"OK","",ROUND($G297*使い方と設定!$B$7*$AK297*INDEX(個性タイプマスタ!$Q$5:$AA$54,$AE297,4)/$AG297,4))</f>
        <v>2.5861999999999998</v>
      </c>
      <c r="M297" s="9">
        <f>IF($H297&lt;&gt;"OK","",ROUND($G297*使い方と設定!$B$7*$AK297*INDEX(個性タイプマスタ!$Q$5:$AA$54,$AE297,5)/$AG297,4))</f>
        <v>0.72099999999999997</v>
      </c>
      <c r="N297" s="9">
        <f>IF($H297&lt;&gt;"OK","",ROUND($G297*使い方と設定!$B$7*$AK297*INDEX(個性タイプマスタ!$Q$5:$AA$54,$AE297,6)/$AG297,4))</f>
        <v>0.80020000000000002</v>
      </c>
      <c r="O297" s="9">
        <f>IF($H297&lt;&gt;"OK","",ROUND($G297*使い方と設定!$B$7*$AK297*INDEX(個性タイプマスタ!$Q$5:$AA$54,$AE297,7)/$AG297,4))</f>
        <v>0.68279999999999996</v>
      </c>
      <c r="P297" s="9">
        <f>IF($H297&lt;&gt;"OK","",ROUND($G297*使い方と設定!$B$7*$AK297*INDEX(個性タイプマスタ!$Q$5:$AA$54,$AE297,8)/$AG297,4))</f>
        <v>0.71730000000000005</v>
      </c>
      <c r="Q297" s="9">
        <f>IF($H297&lt;&gt;"OK","",ROUND($G297*使い方と設定!$B$7*$AK297*INDEX(個性タイプマスタ!$Q$5:$AA$54,$AE297,9)/$AG297,4))</f>
        <v>0.5121</v>
      </c>
      <c r="R297" s="9">
        <f>IF($H297&lt;&gt;"OK","",ROUND($G297*使い方と設定!$B$7*$AK297*INDEX(個性タイプマスタ!$Q$5:$AA$54,$AE297,10)/$AG297,4))</f>
        <v>0.94140000000000001</v>
      </c>
      <c r="S297" s="9">
        <f>IF($H297&lt;&gt;"OK","",ROUND($G297*使い方と設定!$B$7*$AK297*INDEX(個性タイプマスタ!$Q$5:$AA$54,$AE297,11)/$AG297,4))</f>
        <v>1.3758999999999999</v>
      </c>
      <c r="T297" s="9">
        <f>IF($H297&lt;&gt;"OK","",ROUND($G297*使い方と設定!$B$8*$AK297*$AH297*INDEX(属性耐性マスタ!$B$5:$G$10,$AF297,1),4))</f>
        <v>1.9900000000000001E-2</v>
      </c>
      <c r="U297" s="9">
        <f>IF($H297&lt;&gt;"OK","",ROUND($G297*使い方と設定!$B$8*$AK297*$AH297*INDEX(属性耐性マスタ!$B$5:$G$10,$AF297,2),4))</f>
        <v>1.9900000000000001E-2</v>
      </c>
      <c r="V297" s="9">
        <f>IF($H297&lt;&gt;"OK","",ROUND($G297*使い方と設定!$B$8*$AK297*$AH297*INDEX(属性耐性マスタ!$B$5:$G$10,$AF297,3),4))</f>
        <v>1.9900000000000001E-2</v>
      </c>
      <c r="W297" s="9">
        <f>IF($H297&lt;&gt;"OK","",ROUND($G297*使い方と設定!$B$8*$AK297*$AH297*INDEX(属性耐性マスタ!$B$5:$G$10,$AF297,4),4))</f>
        <v>1.9900000000000001E-2</v>
      </c>
      <c r="X297" s="9">
        <f>IF($H297&lt;&gt;"OK","",ROUND($G297*使い方と設定!$B$8*$AK297*$AH297*INDEX(属性耐性マスタ!$B$5:$G$10,$AF297,5),4))</f>
        <v>5.3199999999999997E-2</v>
      </c>
      <c r="Y297" s="9">
        <f>IF($H297&lt;&gt;"OK","",ROUND($G297*使い方と設定!$B$8*$AK297*$AH297*INDEX(属性耐性マスタ!$B$5:$G$10,$AF297,6),4))</f>
        <v>0.39900000000000002</v>
      </c>
      <c r="Z297" s="9">
        <f>IF($H297&lt;&gt;"OK","",ROUND($G297*使い方と設定!$B$9*$AK297*$AI297,4))</f>
        <v>3.5234000000000001</v>
      </c>
      <c r="AA297" s="10">
        <v>0.9</v>
      </c>
      <c r="AB297" s="11">
        <f t="shared" si="13"/>
        <v>10.8413</v>
      </c>
      <c r="AC297" s="11">
        <f t="shared" si="14"/>
        <v>0.53180000000000005</v>
      </c>
      <c r="AD297" s="7" t="str">
        <f>IF($H297&lt;&gt;"OK","",INDEX(個性タイプマスタ!$P$5:$P$54,$AE297))</f>
        <v>射程を優先した後衛</v>
      </c>
      <c r="AE297">
        <f>IFERROR(MATCH(E297,個性タイプマスタ!$A$5:$A$54,0),0)</f>
        <v>20</v>
      </c>
      <c r="AF297">
        <f>IFERROR(MATCH(F297,属性耐性マスタ!$A$5:$A$10,0),0)</f>
        <v>6</v>
      </c>
      <c r="AG297">
        <f>IF(AE297=0,1,INDEX(個性タイプマスタ!$AB$5:$AB$54,AE297))</f>
        <v>10.479833333333334</v>
      </c>
      <c r="AH297">
        <f>IF(AE297=0,1,INDEX(個性タイプマスタ!$AC$5:$AC$54,AE297))</f>
        <v>0.92</v>
      </c>
      <c r="AI297">
        <f>IF(AE297=0,0,INDEX(個性タイプマスタ!$AD$5:$AD$54,AE297))</f>
        <v>0.97499999999999998</v>
      </c>
      <c r="AJ297" s="16">
        <v>49</v>
      </c>
      <c r="AK297" s="17">
        <f>IF(OR(AJ297="",AJ297&lt;1),"",POWER(使い方と設定!$E$6,AJ297-1))</f>
        <v>6.5705282417514059</v>
      </c>
    </row>
    <row r="298" spans="1:37">
      <c r="A298" t="str">
        <f>+[2]称号!A293</f>
        <v>TITLE_292</v>
      </c>
      <c r="B298" t="str">
        <f>+[2]称号!B293</f>
        <v>破像の神殻守護兵</v>
      </c>
      <c r="C298" t="s">
        <v>719</v>
      </c>
      <c r="D298" t="s">
        <v>720</v>
      </c>
      <c r="E298" s="2" t="str">
        <f>[1]モンスター計算!AM296</f>
        <v>近接・会心</v>
      </c>
      <c r="F298" s="2" t="str">
        <f>[1]モンスター計算!C296</f>
        <v>闇</v>
      </c>
      <c r="G298" s="8">
        <v>1.1499999999999999</v>
      </c>
      <c r="H298" t="str">
        <f t="shared" si="12"/>
        <v>OK</v>
      </c>
      <c r="I298" s="9">
        <f>IF($H298&lt;&gt;"OK","",ROUND($G298*使い方と設定!$B$7*$AK298*INDEX(個性タイプマスタ!$Q$5:$AA$54,$AE298,1)/$AG298,4))</f>
        <v>0.93430000000000002</v>
      </c>
      <c r="J298" s="9">
        <f>IF($H298&lt;&gt;"OK","",ROUND($G298*使い方と設定!$B$7*$AK298*INDEX(個性タイプマスタ!$Q$5:$AA$54,$AE298,2)/$AG298,4))</f>
        <v>0.3866</v>
      </c>
      <c r="K298" s="9">
        <f>IF($H298&lt;&gt;"OK","",ROUND($G298*使い方と設定!$B$7*$AK298*INDEX(個性タイプマスタ!$Q$5:$AA$54,$AE298,3)/$AG298,4))</f>
        <v>2.4407000000000001</v>
      </c>
      <c r="L298" s="9">
        <f>IF($H298&lt;&gt;"OK","",ROUND($G298*使い方と設定!$B$7*$AK298*INDEX(個性タイプマスタ!$Q$5:$AA$54,$AE298,4)/$AG298,4))</f>
        <v>0.15859999999999999</v>
      </c>
      <c r="M298" s="9">
        <f>IF($H298&lt;&gt;"OK","",ROUND($G298*使い方と設定!$B$7*$AK298*INDEX(個性タイプマスタ!$Q$5:$AA$54,$AE298,5)/$AG298,4))</f>
        <v>0.7137</v>
      </c>
      <c r="N298" s="9">
        <f>IF($H298&lt;&gt;"OK","",ROUND($G298*使い方と設定!$B$7*$AK298*INDEX(個性タイプマスタ!$Q$5:$AA$54,$AE298,6)/$AG298,4))</f>
        <v>0.63900000000000001</v>
      </c>
      <c r="O298" s="9">
        <f>IF($H298&lt;&gt;"OK","",ROUND($G298*使い方と設定!$B$7*$AK298*INDEX(個性タイプマスタ!$Q$5:$AA$54,$AE298,7)/$AG298,4))</f>
        <v>2.8995000000000002</v>
      </c>
      <c r="P298" s="9">
        <f>IF($H298&lt;&gt;"OK","",ROUND($G298*使い方と設定!$B$7*$AK298*INDEX(個性タイプマスタ!$Q$5:$AA$54,$AE298,8)/$AG298,4))</f>
        <v>0.85880000000000001</v>
      </c>
      <c r="Q298" s="9">
        <f>IF($H298&lt;&gt;"OK","",ROUND($G298*使い方と設定!$B$7*$AK298*INDEX(個性タイプマスタ!$Q$5:$AA$54,$AE298,9)/$AG298,4))</f>
        <v>0.59060000000000001</v>
      </c>
      <c r="R298" s="9">
        <f>IF($H298&lt;&gt;"OK","",ROUND($G298*使い方と設定!$B$7*$AK298*INDEX(個性タイプマスタ!$Q$5:$AA$54,$AE298,10)/$AG298,4))</f>
        <v>1.0153000000000001</v>
      </c>
      <c r="S298" s="9">
        <f>IF($H298&lt;&gt;"OK","",ROUND($G298*使い方と設定!$B$7*$AK298*INDEX(個性タイプマスタ!$Q$5:$AA$54,$AE298,11)/$AG298,4))</f>
        <v>0.69710000000000005</v>
      </c>
      <c r="T298" s="9">
        <f>IF($H298&lt;&gt;"OK","",ROUND($G298*使い方と設定!$B$8*$AK298*$AH298*INDEX(属性耐性マスタ!$B$5:$G$10,$AF298,1),4))</f>
        <v>1.72E-2</v>
      </c>
      <c r="U298" s="9">
        <f>IF($H298&lt;&gt;"OK","",ROUND($G298*使い方と設定!$B$8*$AK298*$AH298*INDEX(属性耐性マスタ!$B$5:$G$10,$AF298,2),4))</f>
        <v>1.72E-2</v>
      </c>
      <c r="V298" s="9">
        <f>IF($H298&lt;&gt;"OK","",ROUND($G298*使い方と設定!$B$8*$AK298*$AH298*INDEX(属性耐性マスタ!$B$5:$G$10,$AF298,3),4))</f>
        <v>1.72E-2</v>
      </c>
      <c r="W298" s="9">
        <f>IF($H298&lt;&gt;"OK","",ROUND($G298*使い方と設定!$B$8*$AK298*$AH298*INDEX(属性耐性マスタ!$B$5:$G$10,$AF298,4),4))</f>
        <v>1.72E-2</v>
      </c>
      <c r="X298" s="9">
        <f>IF($H298&lt;&gt;"OK","",ROUND($G298*使い方と設定!$B$8*$AK298*$AH298*INDEX(属性耐性マスタ!$B$5:$G$10,$AF298,5),4))</f>
        <v>4.5900000000000003E-2</v>
      </c>
      <c r="Y298" s="9">
        <f>IF($H298&lt;&gt;"OK","",ROUND($G298*使い方と設定!$B$8*$AK298*$AH298*INDEX(属性耐性マスタ!$B$5:$G$10,$AF298,6),4))</f>
        <v>0.34460000000000002</v>
      </c>
      <c r="Z298" s="9">
        <f>IF($H298&lt;&gt;"OK","",ROUND($G298*使い方と設定!$B$9*$AK298*$AI298,4))</f>
        <v>3.9984000000000002</v>
      </c>
      <c r="AA298" s="10">
        <v>0.55000000000000004</v>
      </c>
      <c r="AB298" s="11">
        <f t="shared" si="13"/>
        <v>11.334199999999999</v>
      </c>
      <c r="AC298" s="11">
        <f t="shared" si="14"/>
        <v>0.45929999999999999</v>
      </c>
      <c r="AD298" s="7" t="str">
        <f>IF($H298&lt;&gt;"OK","",INDEX(個性タイプマスタ!$P$5:$P$54,$AE298))</f>
        <v>クリティカル確率に特化</v>
      </c>
      <c r="AE298">
        <f>IFERROR(MATCH(E298,個性タイプマスタ!$A$5:$A$54,0),0)</f>
        <v>46</v>
      </c>
      <c r="AF298">
        <f>IFERROR(MATCH(F298,属性耐性マスタ!$A$5:$A$10,0),0)</f>
        <v>6</v>
      </c>
      <c r="AG298">
        <f>IF(AE298=0,1,INDEX(個性タイプマスタ!$AB$5:$AB$54,AE298))</f>
        <v>11.609666666666667</v>
      </c>
      <c r="AH298">
        <f>IF(AE298=0,1,INDEX(個性タイプマスタ!$AC$5:$AC$54,AE298))</f>
        <v>0.76</v>
      </c>
      <c r="AI298">
        <f>IF(AE298=0,0,INDEX(個性タイプマスタ!$AD$5:$AD$54,AE298))</f>
        <v>1.0583333333333333</v>
      </c>
      <c r="AJ298" s="16">
        <v>49</v>
      </c>
      <c r="AK298" s="17">
        <f>IF(OR(AJ298="",AJ298&lt;1),"",POWER(使い方と設定!$E$6,AJ298-1))</f>
        <v>6.5705282417514059</v>
      </c>
    </row>
    <row r="299" spans="1:37">
      <c r="A299" t="str">
        <f>+[2]称号!A294</f>
        <v>TITLE_293</v>
      </c>
      <c r="B299" t="str">
        <f>+[2]称号!B294</f>
        <v>白金の導き霊灯</v>
      </c>
      <c r="C299" t="s">
        <v>721</v>
      </c>
      <c r="D299" t="s">
        <v>722</v>
      </c>
      <c r="E299" s="2" t="str">
        <f>[1]モンスター計算!AM297</f>
        <v>近接・最終層</v>
      </c>
      <c r="F299" s="2" t="str">
        <f>[1]モンスター計算!C297</f>
        <v>光</v>
      </c>
      <c r="G299" s="8">
        <v>1.2</v>
      </c>
      <c r="H299" t="str">
        <f t="shared" si="12"/>
        <v>OK</v>
      </c>
      <c r="I299" s="9">
        <f>IF($H299&lt;&gt;"OK","",ROUND($G299*使い方と設定!$B$7*$AK299*INDEX(個性タイプマスタ!$Q$5:$AA$54,$AE299,1)/$AG299,4))</f>
        <v>1.2923</v>
      </c>
      <c r="J299" s="9">
        <f>IF($H299&lt;&gt;"OK","",ROUND($G299*使い方と設定!$B$7*$AK299*INDEX(個性タイプマスタ!$Q$5:$AA$54,$AE299,2)/$AG299,4))</f>
        <v>0.70230000000000004</v>
      </c>
      <c r="K299" s="9">
        <f>IF($H299&lt;&gt;"OK","",ROUND($G299*使い方と設定!$B$7*$AK299*INDEX(個性タイプマスタ!$Q$5:$AA$54,$AE299,3)/$AG299,4))</f>
        <v>3.1922999999999999</v>
      </c>
      <c r="L299" s="9">
        <f>IF($H299&lt;&gt;"OK","",ROUND($G299*使い方と設定!$B$7*$AK299*INDEX(個性タイプマスタ!$Q$5:$AA$54,$AE299,4)/$AG299,4))</f>
        <v>0.31919999999999998</v>
      </c>
      <c r="M299" s="9">
        <f>IF($H299&lt;&gt;"OK","",ROUND($G299*使い方と設定!$B$7*$AK299*INDEX(個性タイプマスタ!$Q$5:$AA$54,$AE299,5)/$AG299,4))</f>
        <v>1.0310999999999999</v>
      </c>
      <c r="N299" s="9">
        <f>IF($H299&lt;&gt;"OK","",ROUND($G299*使い方と設定!$B$7*$AK299*INDEX(個性タイプマスタ!$Q$5:$AA$54,$AE299,6)/$AG299,4))</f>
        <v>1.1396999999999999</v>
      </c>
      <c r="O299" s="9">
        <f>IF($H299&lt;&gt;"OK","",ROUND($G299*使い方と設定!$B$7*$AK299*INDEX(個性タイプマスタ!$Q$5:$AA$54,$AE299,7)/$AG299,4))</f>
        <v>0.70230000000000004</v>
      </c>
      <c r="P299" s="9">
        <f>IF($H299&lt;&gt;"OK","",ROUND($G299*使い方と設定!$B$7*$AK299*INDEX(個性タイプマスタ!$Q$5:$AA$54,$AE299,8)/$AG299,4))</f>
        <v>0.83</v>
      </c>
      <c r="Q299" s="9">
        <f>IF($H299&lt;&gt;"OK","",ROUND($G299*使い方と設定!$B$7*$AK299*INDEX(個性タイプマスタ!$Q$5:$AA$54,$AE299,9)/$AG299,4))</f>
        <v>0.56189999999999996</v>
      </c>
      <c r="R299" s="9">
        <f>IF($H299&lt;&gt;"OK","",ROUND($G299*使い方と設定!$B$7*$AK299*INDEX(個性タイプマスタ!$Q$5:$AA$54,$AE299,10)/$AG299,4))</f>
        <v>1.3408</v>
      </c>
      <c r="S299" s="9">
        <f>IF($H299&lt;&gt;"OK","",ROUND($G299*使い方と設定!$B$7*$AK299*INDEX(個性タイプマスタ!$Q$5:$AA$54,$AE299,11)/$AG299,4))</f>
        <v>0.71509999999999996</v>
      </c>
      <c r="T299" s="9">
        <f>IF($H299&lt;&gt;"OK","",ROUND($G299*使い方と設定!$B$8*$AK299*$AH299*INDEX(属性耐性マスタ!$B$5:$G$10,$AF299,1),4))</f>
        <v>2.46E-2</v>
      </c>
      <c r="U299" s="9">
        <f>IF($H299&lt;&gt;"OK","",ROUND($G299*使い方と設定!$B$8*$AK299*$AH299*INDEX(属性耐性マスタ!$B$5:$G$10,$AF299,2),4))</f>
        <v>2.46E-2</v>
      </c>
      <c r="V299" s="9">
        <f>IF($H299&lt;&gt;"OK","",ROUND($G299*使い方と設定!$B$8*$AK299*$AH299*INDEX(属性耐性マスタ!$B$5:$G$10,$AF299,3),4))</f>
        <v>2.46E-2</v>
      </c>
      <c r="W299" s="9">
        <f>IF($H299&lt;&gt;"OK","",ROUND($G299*使い方と設定!$B$8*$AK299*$AH299*INDEX(属性耐性マスタ!$B$5:$G$10,$AF299,4),4))</f>
        <v>2.46E-2</v>
      </c>
      <c r="X299" s="9">
        <f>IF($H299&lt;&gt;"OK","",ROUND($G299*使い方と設定!$B$8*$AK299*$AH299*INDEX(属性耐性マスタ!$B$5:$G$10,$AF299,5),4))</f>
        <v>0.49199999999999999</v>
      </c>
      <c r="Y299" s="9">
        <f>IF($H299&lt;&gt;"OK","",ROUND($G299*使い方と設定!$B$8*$AK299*$AH299*INDEX(属性耐性マスタ!$B$5:$G$10,$AF299,6),4))</f>
        <v>6.5600000000000006E-2</v>
      </c>
      <c r="Z299" s="9">
        <f>IF($H299&lt;&gt;"OK","",ROUND($G299*使い方と設定!$B$9*$AK299*$AI299,4))</f>
        <v>3.6795</v>
      </c>
      <c r="AA299" s="10">
        <v>0.5</v>
      </c>
      <c r="AB299" s="11">
        <f t="shared" si="13"/>
        <v>11.827</v>
      </c>
      <c r="AC299" s="11">
        <f t="shared" si="14"/>
        <v>0.65600000000000003</v>
      </c>
      <c r="AD299" s="7" t="str">
        <f>IF($H299&lt;&gt;"OK","",INDEX(個性タイプマスタ!$P$5:$P$54,$AE299))</f>
        <v>終盤近接の特別配分</v>
      </c>
      <c r="AE299">
        <f>IFERROR(MATCH(E299,個性タイプマスタ!$A$5:$A$54,0),0)</f>
        <v>7</v>
      </c>
      <c r="AF299">
        <f>IFERROR(MATCH(F299,属性耐性マスタ!$A$5:$A$10,0),0)</f>
        <v>5</v>
      </c>
      <c r="AG299">
        <f>IF(AE299=0,1,INDEX(個性タイプマスタ!$AB$5:$AB$54,AE299))</f>
        <v>9.2620000000000022</v>
      </c>
      <c r="AH299">
        <f>IF(AE299=0,1,INDEX(個性タイプマスタ!$AC$5:$AC$54,AE299))</f>
        <v>1.04</v>
      </c>
      <c r="AI299">
        <f>IF(AE299=0,0,INDEX(個性タイプマスタ!$AD$5:$AD$54,AE299))</f>
        <v>0.93333333333333335</v>
      </c>
      <c r="AJ299" s="16">
        <v>49</v>
      </c>
      <c r="AK299" s="17">
        <f>IF(OR(AJ299="",AJ299&lt;1),"",POWER(使い方と設定!$E$6,AJ299-1))</f>
        <v>6.5705282417514059</v>
      </c>
    </row>
    <row r="300" spans="1:37">
      <c r="A300" t="str">
        <f>+[2]称号!A295</f>
        <v>TITLE_294</v>
      </c>
      <c r="B300" t="str">
        <f>+[2]称号!B295</f>
        <v>終焉を纏う堕神残滓王</v>
      </c>
      <c r="C300" t="s">
        <v>723</v>
      </c>
      <c r="D300" t="s">
        <v>724</v>
      </c>
      <c r="E300" s="2" t="str">
        <f>[1]モンスター計算!AM298</f>
        <v>魔法・狙撃</v>
      </c>
      <c r="F300" s="2" t="str">
        <f>[1]モンスター計算!C298</f>
        <v>光</v>
      </c>
      <c r="G300" s="8">
        <v>1.25</v>
      </c>
      <c r="H300" t="str">
        <f t="shared" si="12"/>
        <v>OK</v>
      </c>
      <c r="I300" s="9">
        <f>IF($H300&lt;&gt;"OK","",ROUND($G300*使い方と設定!$B$7*$AK300*INDEX(個性タイプマスタ!$Q$5:$AA$54,$AE300,1)/$AG300,4))</f>
        <v>0.8226</v>
      </c>
      <c r="J300" s="9">
        <f>IF($H300&lt;&gt;"OK","",ROUND($G300*使い方と設定!$B$7*$AK300*INDEX(個性タイプマスタ!$Q$5:$AA$54,$AE300,2)/$AG300,4))</f>
        <v>1.3505</v>
      </c>
      <c r="K300" s="9">
        <f>IF($H300&lt;&gt;"OK","",ROUND($G300*使い方と設定!$B$7*$AK300*INDEX(個性タイプマスタ!$Q$5:$AA$54,$AE300,3)/$AG300,4))</f>
        <v>0.14510000000000001</v>
      </c>
      <c r="L300" s="9">
        <f>IF($H300&lt;&gt;"OK","",ROUND($G300*使い方と設定!$B$7*$AK300*INDEX(個性タイプマスタ!$Q$5:$AA$54,$AE300,4)/$AG300,4))</f>
        <v>2.7902999999999998</v>
      </c>
      <c r="M300" s="9">
        <f>IF($H300&lt;&gt;"OK","",ROUND($G300*使い方と設定!$B$7*$AK300*INDEX(個性タイプマスタ!$Q$5:$AA$54,$AE300,5)/$AG300,4))</f>
        <v>0.61660000000000004</v>
      </c>
      <c r="N300" s="9">
        <f>IF($H300&lt;&gt;"OK","",ROUND($G300*使い方と設定!$B$7*$AK300*INDEX(個性タイプマスタ!$Q$5:$AA$54,$AE300,6)/$AG300,4))</f>
        <v>0.75900000000000001</v>
      </c>
      <c r="O300" s="9">
        <f>IF($H300&lt;&gt;"OK","",ROUND($G300*使い方と設定!$B$7*$AK300*INDEX(個性タイプマスタ!$Q$5:$AA$54,$AE300,7)/$AG300,4))</f>
        <v>2.2099000000000002</v>
      </c>
      <c r="P300" s="9">
        <f>IF($H300&lt;&gt;"OK","",ROUND($G300*使い方と設定!$B$7*$AK300*INDEX(個性タイプマスタ!$Q$5:$AA$54,$AE300,8)/$AG300,4))</f>
        <v>0.89470000000000005</v>
      </c>
      <c r="Q300" s="9">
        <f>IF($H300&lt;&gt;"OK","",ROUND($G300*使い方と設定!$B$7*$AK300*INDEX(個性タイプマスタ!$Q$5:$AA$54,$AE300,9)/$AG300,4))</f>
        <v>0.50339999999999996</v>
      </c>
      <c r="R300" s="9">
        <f>IF($H300&lt;&gt;"OK","",ROUND($G300*使い方と設定!$B$7*$AK300*INDEX(個性タイプマスタ!$Q$5:$AA$54,$AE300,10)/$AG300,4))</f>
        <v>0.83709999999999996</v>
      </c>
      <c r="S300" s="9">
        <f>IF($H300&lt;&gt;"OK","",ROUND($G300*使い方と設定!$B$7*$AK300*INDEX(個性タイプマスタ!$Q$5:$AA$54,$AE300,11)/$AG300,4))</f>
        <v>1.3907</v>
      </c>
      <c r="T300" s="9">
        <f>IF($H300&lt;&gt;"OK","",ROUND($G300*使い方と設定!$B$8*$AK300*$AH300*INDEX(属性耐性マスタ!$B$5:$G$10,$AF300,1),4))</f>
        <v>1.8700000000000001E-2</v>
      </c>
      <c r="U300" s="9">
        <f>IF($H300&lt;&gt;"OK","",ROUND($G300*使い方と設定!$B$8*$AK300*$AH300*INDEX(属性耐性マスタ!$B$5:$G$10,$AF300,2),4))</f>
        <v>1.8700000000000001E-2</v>
      </c>
      <c r="V300" s="9">
        <f>IF($H300&lt;&gt;"OK","",ROUND($G300*使い方と設定!$B$8*$AK300*$AH300*INDEX(属性耐性マスタ!$B$5:$G$10,$AF300,3),4))</f>
        <v>1.8700000000000001E-2</v>
      </c>
      <c r="W300" s="9">
        <f>IF($H300&lt;&gt;"OK","",ROUND($G300*使い方と設定!$B$8*$AK300*$AH300*INDEX(属性耐性マスタ!$B$5:$G$10,$AF300,4),4))</f>
        <v>1.8700000000000001E-2</v>
      </c>
      <c r="X300" s="9">
        <f>IF($H300&lt;&gt;"OK","",ROUND($G300*使い方と設定!$B$8*$AK300*$AH300*INDEX(属性耐性マスタ!$B$5:$G$10,$AF300,5),4))</f>
        <v>0.3745</v>
      </c>
      <c r="Y300" s="9">
        <f>IF($H300&lt;&gt;"OK","",ROUND($G300*使い方と設定!$B$8*$AK300*$AH300*INDEX(属性耐性マスタ!$B$5:$G$10,$AF300,6),4))</f>
        <v>4.99E-2</v>
      </c>
      <c r="Z300" s="9">
        <f>IF($H300&lt;&gt;"OK","",ROUND($G300*使い方と設定!$B$9*$AK300*$AI300,4))</f>
        <v>3.867</v>
      </c>
      <c r="AA300" s="10">
        <v>0.25</v>
      </c>
      <c r="AB300" s="11">
        <f t="shared" si="13"/>
        <v>12.319900000000001</v>
      </c>
      <c r="AC300" s="11">
        <f t="shared" si="14"/>
        <v>0.49919999999999998</v>
      </c>
      <c r="AD300" s="7" t="str">
        <f>IF($H300&lt;&gt;"OK","",INDEX(個性タイプマスタ!$P$5:$P$54,$AE300))</f>
        <v>長射程・高会心。接近戦に弱い</v>
      </c>
      <c r="AE300">
        <f>IFERROR(MATCH(E300,個性タイプマスタ!$A$5:$A$54,0),0)</f>
        <v>16</v>
      </c>
      <c r="AF300">
        <f>IFERROR(MATCH(F300,属性耐性マスタ!$A$5:$A$10,0),0)</f>
        <v>5</v>
      </c>
      <c r="AG300">
        <f>IF(AE300=0,1,INDEX(個性タイプマスタ!$AB$5:$AB$54,AE300))</f>
        <v>11.038166666666667</v>
      </c>
      <c r="AH300">
        <f>IF(AE300=0,1,INDEX(個性タイプマスタ!$AC$5:$AC$54,AE300))</f>
        <v>0.76</v>
      </c>
      <c r="AI300">
        <f>IF(AE300=0,0,INDEX(個性タイプマスタ!$AD$5:$AD$54,AE300))</f>
        <v>0.94166666666666665</v>
      </c>
      <c r="AJ300" s="16">
        <v>49</v>
      </c>
      <c r="AK300" s="17">
        <f>IF(OR(AJ300="",AJ300&lt;1),"",POWER(使い方と設定!$E$6,AJ300-1))</f>
        <v>6.5705282417514059</v>
      </c>
    </row>
    <row r="301" spans="1:37">
      <c r="A301" t="str">
        <f>+[2]称号!A296</f>
        <v>TITLE_295</v>
      </c>
      <c r="B301" t="str">
        <f>+[2]称号!B296</f>
        <v>万象崩骸の彩滅者</v>
      </c>
      <c r="C301" t="s">
        <v>725</v>
      </c>
      <c r="D301" t="s">
        <v>726</v>
      </c>
      <c r="E301" s="2" t="str">
        <f>[1]モンスター計算!AM299</f>
        <v>魔法・火力</v>
      </c>
      <c r="F301" s="2" t="str">
        <f>[1]モンスター計算!C299</f>
        <v>光</v>
      </c>
      <c r="G301" s="8">
        <v>1</v>
      </c>
      <c r="H301" t="str">
        <f t="shared" si="12"/>
        <v>OK</v>
      </c>
      <c r="I301" s="9">
        <f>IF($H301&lt;&gt;"OK","",ROUND($G301*使い方と設定!$B$7*$AK301*INDEX(個性タイプマスタ!$Q$5:$AA$54,$AE301,1)/$AG301,4))</f>
        <v>0.84</v>
      </c>
      <c r="J301" s="9">
        <f>IF($H301&lt;&gt;"OK","",ROUND($G301*使い方と設定!$B$7*$AK301*INDEX(個性タイプマスタ!$Q$5:$AA$54,$AE301,2)/$AG301,4))</f>
        <v>1.2384999999999999</v>
      </c>
      <c r="K301" s="9">
        <f>IF($H301&lt;&gt;"OK","",ROUND($G301*使い方と設定!$B$7*$AK301*INDEX(個性タイプマスタ!$Q$5:$AA$54,$AE301,3)/$AG301,4))</f>
        <v>0.24479999999999999</v>
      </c>
      <c r="L301" s="9">
        <f>IF($H301&lt;&gt;"OK","",ROUND($G301*使い方と設定!$B$7*$AK301*INDEX(個性タイプマスタ!$Q$5:$AA$54,$AE301,4)/$AG301,4))</f>
        <v>2.4476</v>
      </c>
      <c r="M301" s="9">
        <f>IF($H301&lt;&gt;"OK","",ROUND($G301*使い方と設定!$B$7*$AK301*INDEX(個性タイプマスタ!$Q$5:$AA$54,$AE301,5)/$AG301,4))</f>
        <v>0.62409999999999999</v>
      </c>
      <c r="N301" s="9">
        <f>IF($H301&lt;&gt;"OK","",ROUND($G301*使い方と設定!$B$7*$AK301*INDEX(個性タイプマスタ!$Q$5:$AA$54,$AE301,6)/$AG301,4))</f>
        <v>0.66569999999999996</v>
      </c>
      <c r="O301" s="9">
        <f>IF($H301&lt;&gt;"OK","",ROUND($G301*使い方と設定!$B$7*$AK301*INDEX(個性タイプマスタ!$Q$5:$AA$54,$AE301,7)/$AG301,4))</f>
        <v>1.1846000000000001</v>
      </c>
      <c r="P301" s="9">
        <f>IF($H301&lt;&gt;"OK","",ROUND($G301*使い方と設定!$B$7*$AK301*INDEX(個性タイプマスタ!$Q$5:$AA$54,$AE301,8)/$AG301,4))</f>
        <v>0.7</v>
      </c>
      <c r="Q301" s="9">
        <f>IF($H301&lt;&gt;"OK","",ROUND($G301*使い方と設定!$B$7*$AK301*INDEX(個性タイプマスタ!$Q$5:$AA$54,$AE301,9)/$AG301,4))</f>
        <v>0.47389999999999999</v>
      </c>
      <c r="R301" s="9">
        <f>IF($H301&lt;&gt;"OK","",ROUND($G301*使い方と設定!$B$7*$AK301*INDEX(個性タイプマスタ!$Q$5:$AA$54,$AE301,10)/$AG301,4))</f>
        <v>1.0769</v>
      </c>
      <c r="S301" s="9">
        <f>IF($H301&lt;&gt;"OK","",ROUND($G301*使い方と設定!$B$7*$AK301*INDEX(個性タイプマスタ!$Q$5:$AA$54,$AE301,11)/$AG301,4))</f>
        <v>0.75390000000000001</v>
      </c>
      <c r="T301" s="9">
        <f>IF($H301&lt;&gt;"OK","",ROUND($G301*使い方と設定!$B$8*$AK301*$AH301*INDEX(属性耐性マスタ!$B$5:$G$10,$AF301,1),4))</f>
        <v>1.72E-2</v>
      </c>
      <c r="U301" s="9">
        <f>IF($H301&lt;&gt;"OK","",ROUND($G301*使い方と設定!$B$8*$AK301*$AH301*INDEX(属性耐性マスタ!$B$5:$G$10,$AF301,2),4))</f>
        <v>1.72E-2</v>
      </c>
      <c r="V301" s="9">
        <f>IF($H301&lt;&gt;"OK","",ROUND($G301*使い方と設定!$B$8*$AK301*$AH301*INDEX(属性耐性マスタ!$B$5:$G$10,$AF301,3),4))</f>
        <v>1.72E-2</v>
      </c>
      <c r="W301" s="9">
        <f>IF($H301&lt;&gt;"OK","",ROUND($G301*使い方と設定!$B$8*$AK301*$AH301*INDEX(属性耐性マスタ!$B$5:$G$10,$AF301,4),4))</f>
        <v>1.72E-2</v>
      </c>
      <c r="X301" s="9">
        <f>IF($H301&lt;&gt;"OK","",ROUND($G301*使い方と設定!$B$8*$AK301*$AH301*INDEX(属性耐性マスタ!$B$5:$G$10,$AF301,5),4))</f>
        <v>0.34439999999999998</v>
      </c>
      <c r="Y301" s="9">
        <f>IF($H301&lt;&gt;"OK","",ROUND($G301*使い方と設定!$B$8*$AK301*$AH301*INDEX(属性耐性マスタ!$B$5:$G$10,$AF301,6),4))</f>
        <v>4.5900000000000003E-2</v>
      </c>
      <c r="Z301" s="9">
        <f>IF($H301&lt;&gt;"OK","",ROUND($G301*使い方と設定!$B$9*$AK301*$AI301,4))</f>
        <v>3.3028</v>
      </c>
      <c r="AA301" s="10">
        <v>1</v>
      </c>
      <c r="AB301" s="11">
        <f t="shared" si="13"/>
        <v>10.25</v>
      </c>
      <c r="AC301" s="11">
        <f t="shared" si="14"/>
        <v>0.45910000000000001</v>
      </c>
      <c r="AD301" s="7" t="str">
        <f>IF($H301&lt;&gt;"OK","",INDEX(個性タイプマスタ!$P$5:$P$54,$AE301))</f>
        <v>火力偏重。反撃に弱い</v>
      </c>
      <c r="AE301">
        <f>IFERROR(MATCH(E301,個性タイプマスタ!$A$5:$A$54,0),0)</f>
        <v>9</v>
      </c>
      <c r="AF301">
        <f>IFERROR(MATCH(F301,属性耐性マスタ!$A$5:$A$10,0),0)</f>
        <v>5</v>
      </c>
      <c r="AG301">
        <f>IF(AE301=0,1,INDEX(個性タイプマスタ!$AB$5:$AB$54,AE301))</f>
        <v>10.4695</v>
      </c>
      <c r="AH301">
        <f>IF(AE301=0,1,INDEX(個性タイプマスタ!$AC$5:$AC$54,AE301))</f>
        <v>0.84</v>
      </c>
      <c r="AI301">
        <f>IF(AE301=0,0,INDEX(個性タイプマスタ!$AD$5:$AD$54,AE301))</f>
        <v>0.96666666666666667</v>
      </c>
      <c r="AJ301" s="16">
        <v>50</v>
      </c>
      <c r="AK301" s="17">
        <f>IF(OR(AJ301="",AJ301&lt;1),"",POWER(使い方と設定!$E$6,AJ301-1))</f>
        <v>6.8333493714214626</v>
      </c>
    </row>
    <row r="302" spans="1:37">
      <c r="A302" t="str">
        <f>+[2]称号!A297</f>
        <v>TITLE_296</v>
      </c>
      <c r="B302" t="str">
        <f>+[2]称号!B297</f>
        <v>流転万色の原初胎動</v>
      </c>
      <c r="C302" t="s">
        <v>727</v>
      </c>
      <c r="D302" t="s">
        <v>728</v>
      </c>
      <c r="E302" s="2" t="str">
        <f>[1]モンスター計算!AM300</f>
        <v>魔法・重装砲</v>
      </c>
      <c r="F302" s="2" t="str">
        <f>[1]モンスター計算!C300</f>
        <v>闇</v>
      </c>
      <c r="G302" s="8">
        <v>1.05</v>
      </c>
      <c r="H302" t="str">
        <f t="shared" si="12"/>
        <v>OK</v>
      </c>
      <c r="I302" s="9">
        <f>IF($H302&lt;&gt;"OK","",ROUND($G302*使い方と設定!$B$7*$AK302*INDEX(個性タイプマスタ!$Q$5:$AA$54,$AE302,1)/$AG302,4))</f>
        <v>1.7644</v>
      </c>
      <c r="J302" s="9">
        <f>IF($H302&lt;&gt;"OK","",ROUND($G302*使い方と設定!$B$7*$AK302*INDEX(個性タイプマスタ!$Q$5:$AA$54,$AE302,2)/$AG302,4))</f>
        <v>1.3849</v>
      </c>
      <c r="K302" s="9">
        <f>IF($H302&lt;&gt;"OK","",ROUND($G302*使い方と設定!$B$7*$AK302*INDEX(個性タイプマスタ!$Q$5:$AA$54,$AE302,3)/$AG302,4))</f>
        <v>0.1515</v>
      </c>
      <c r="L302" s="9">
        <f>IF($H302&lt;&gt;"OK","",ROUND($G302*使い方と設定!$B$7*$AK302*INDEX(個性タイプマスタ!$Q$5:$AA$54,$AE302,4)/$AG302,4))</f>
        <v>2.3313999999999999</v>
      </c>
      <c r="M302" s="9">
        <f>IF($H302&lt;&gt;"OK","",ROUND($G302*使い方と設定!$B$7*$AK302*INDEX(個性タイプマスタ!$Q$5:$AA$54,$AE302,5)/$AG302,4))</f>
        <v>1.3</v>
      </c>
      <c r="N302" s="9">
        <f>IF($H302&lt;&gt;"OK","",ROUND($G302*使い方と設定!$B$7*$AK302*INDEX(個性タイプマスタ!$Q$5:$AA$54,$AE302,6)/$AG302,4))</f>
        <v>1.2286999999999999</v>
      </c>
      <c r="O302" s="9">
        <f>IF($H302&lt;&gt;"OK","",ROUND($G302*使い方と設定!$B$7*$AK302*INDEX(個性タイプマスタ!$Q$5:$AA$54,$AE302,7)/$AG302,4))</f>
        <v>0.35899999999999999</v>
      </c>
      <c r="P302" s="9">
        <f>IF($H302&lt;&gt;"OK","",ROUND($G302*使い方と設定!$B$7*$AK302*INDEX(個性タイプマスタ!$Q$5:$AA$54,$AE302,8)/$AG302,4))</f>
        <v>0.56579999999999997</v>
      </c>
      <c r="Q302" s="9">
        <f>IF($H302&lt;&gt;"OK","",ROUND($G302*使い方と設定!$B$7*$AK302*INDEX(個性タイプマスタ!$Q$5:$AA$54,$AE302,9)/$AG302,4))</f>
        <v>0.30769999999999997</v>
      </c>
      <c r="R302" s="9">
        <f>IF($H302&lt;&gt;"OK","",ROUND($G302*使い方と設定!$B$7*$AK302*INDEX(個性タイプマスタ!$Q$5:$AA$54,$AE302,10)/$AG302,4))</f>
        <v>0.5595</v>
      </c>
      <c r="S302" s="9">
        <f>IF($H302&lt;&gt;"OK","",ROUND($G302*使い方と設定!$B$7*$AK302*INDEX(個性タイプマスタ!$Q$5:$AA$54,$AE302,11)/$AG302,4))</f>
        <v>0.8095</v>
      </c>
      <c r="T302" s="9">
        <f>IF($H302&lt;&gt;"OK","",ROUND($G302*使い方と設定!$B$8*$AK302*$AH302*INDEX(属性耐性マスタ!$B$5:$G$10,$AF302,1),4))</f>
        <v>3.1899999999999998E-2</v>
      </c>
      <c r="U302" s="9">
        <f>IF($H302&lt;&gt;"OK","",ROUND($G302*使い方と設定!$B$8*$AK302*$AH302*INDEX(属性耐性マスタ!$B$5:$G$10,$AF302,2),4))</f>
        <v>3.1899999999999998E-2</v>
      </c>
      <c r="V302" s="9">
        <f>IF($H302&lt;&gt;"OK","",ROUND($G302*使い方と設定!$B$8*$AK302*$AH302*INDEX(属性耐性マスタ!$B$5:$G$10,$AF302,3),4))</f>
        <v>3.1899999999999998E-2</v>
      </c>
      <c r="W302" s="9">
        <f>IF($H302&lt;&gt;"OK","",ROUND($G302*使い方と設定!$B$8*$AK302*$AH302*INDEX(属性耐性マスタ!$B$5:$G$10,$AF302,4),4))</f>
        <v>3.1899999999999998E-2</v>
      </c>
      <c r="X302" s="9">
        <f>IF($H302&lt;&gt;"OK","",ROUND($G302*使い方と設定!$B$8*$AK302*$AH302*INDEX(属性耐性マスタ!$B$5:$G$10,$AF302,5),4))</f>
        <v>8.5000000000000006E-2</v>
      </c>
      <c r="Y302" s="9">
        <f>IF($H302&lt;&gt;"OK","",ROUND($G302*使い方と設定!$B$8*$AK302*$AH302*INDEX(属性耐性マスタ!$B$5:$G$10,$AF302,6),4))</f>
        <v>0.6371</v>
      </c>
      <c r="Z302" s="9">
        <f>IF($H302&lt;&gt;"OK","",ROUND($G302*使い方と設定!$B$9*$AK302*$AI302,4))</f>
        <v>3.0493999999999999</v>
      </c>
      <c r="AA302" s="10">
        <v>1</v>
      </c>
      <c r="AB302" s="11">
        <f t="shared" si="13"/>
        <v>10.7624</v>
      </c>
      <c r="AC302" s="11">
        <f t="shared" si="14"/>
        <v>0.84970000000000001</v>
      </c>
      <c r="AD302" s="7" t="str">
        <f>IF($H302&lt;&gt;"OK","",INDEX(個性タイプマスタ!$P$5:$P$54,$AE302))</f>
        <v>高耐久・射撃間隔は長い</v>
      </c>
      <c r="AE302">
        <f>IFERROR(MATCH(E302,個性タイプマスタ!$A$5:$A$54,0),0)</f>
        <v>19</v>
      </c>
      <c r="AF302">
        <f>IFERROR(MATCH(F302,属性耐性マスタ!$A$5:$A$10,0),0)</f>
        <v>6</v>
      </c>
      <c r="AG302">
        <f>IF(AE302=0,1,INDEX(個性タイプマスタ!$AB$5:$AB$54,AE302))</f>
        <v>11.540666666666668</v>
      </c>
      <c r="AH302">
        <f>IF(AE302=0,1,INDEX(個性タイプマスタ!$AC$5:$AC$54,AE302))</f>
        <v>1.48</v>
      </c>
      <c r="AI302">
        <f>IF(AE302=0,0,INDEX(個性タイプマスタ!$AD$5:$AD$54,AE302))</f>
        <v>0.85</v>
      </c>
      <c r="AJ302" s="16">
        <v>50</v>
      </c>
      <c r="AK302" s="17">
        <f>IF(OR(AJ302="",AJ302&lt;1),"",POWER(使い方と設定!$E$6,AJ302-1))</f>
        <v>6.8333493714214626</v>
      </c>
    </row>
    <row r="303" spans="1:37">
      <c r="A303" t="str">
        <f>+[2]称号!A298</f>
        <v>TITLE_297</v>
      </c>
      <c r="B303" t="str">
        <f>+[2]称号!B298</f>
        <v>歪界嗤笑の断末魔</v>
      </c>
      <c r="C303" t="s">
        <v>729</v>
      </c>
      <c r="D303" t="s">
        <v>730</v>
      </c>
      <c r="E303" s="2" t="str">
        <f>[1]モンスター計算!AM301</f>
        <v>魔法・耐性特化</v>
      </c>
      <c r="F303" s="2" t="str">
        <f>[1]モンスター計算!C301</f>
        <v>闇</v>
      </c>
      <c r="G303" s="8">
        <v>1.1000000000000001</v>
      </c>
      <c r="H303" t="str">
        <f t="shared" si="12"/>
        <v>OK</v>
      </c>
      <c r="I303" s="9">
        <f>IF($H303&lt;&gt;"OK","",ROUND($G303*使い方と設定!$B$7*$AK303*INDEX(個性タイプマスタ!$Q$5:$AA$54,$AE303,1)/$AG303,4))</f>
        <v>1.2403</v>
      </c>
      <c r="J303" s="9">
        <f>IF($H303&lt;&gt;"OK","",ROUND($G303*使い方と設定!$B$7*$AK303*INDEX(個性タイプマスタ!$Q$5:$AA$54,$AE303,2)/$AG303,4))</f>
        <v>1.4883999999999999</v>
      </c>
      <c r="K303" s="9">
        <f>IF($H303&lt;&gt;"OK","",ROUND($G303*使い方と設定!$B$7*$AK303*INDEX(個性タイプマスタ!$Q$5:$AA$54,$AE303,3)/$AG303,4))</f>
        <v>0.1973</v>
      </c>
      <c r="L303" s="9">
        <f>IF($H303&lt;&gt;"OK","",ROUND($G303*使い方と設定!$B$7*$AK303*INDEX(個性タイプマスタ!$Q$5:$AA$54,$AE303,4)/$AG303,4))</f>
        <v>2.8189000000000002</v>
      </c>
      <c r="M303" s="9">
        <f>IF($H303&lt;&gt;"OK","",ROUND($G303*使い方と設定!$B$7*$AK303*INDEX(個性タイプマスタ!$Q$5:$AA$54,$AE303,5)/$AG303,4))</f>
        <v>0.92010000000000003</v>
      </c>
      <c r="N303" s="9">
        <f>IF($H303&lt;&gt;"OK","",ROUND($G303*使い方と設定!$B$7*$AK303*INDEX(個性タイプマスタ!$Q$5:$AA$54,$AE303,6)/$AG303,4))</f>
        <v>0.97760000000000002</v>
      </c>
      <c r="O303" s="9">
        <f>IF($H303&lt;&gt;"OK","",ROUND($G303*使い方と設定!$B$7*$AK303*INDEX(個性タイプマスタ!$Q$5:$AA$54,$AE303,7)/$AG303,4))</f>
        <v>0.55810000000000004</v>
      </c>
      <c r="P303" s="9">
        <f>IF($H303&lt;&gt;"OK","",ROUND($G303*使い方と設定!$B$7*$AK303*INDEX(個性タイプマスタ!$Q$5:$AA$54,$AE303,8)/$AG303,4))</f>
        <v>0.68400000000000005</v>
      </c>
      <c r="Q303" s="9">
        <f>IF($H303&lt;&gt;"OK","",ROUND($G303*使い方と設定!$B$7*$AK303*INDEX(個性タイプマスタ!$Q$5:$AA$54,$AE303,9)/$AG303,4))</f>
        <v>0.50849999999999995</v>
      </c>
      <c r="R303" s="9">
        <f>IF($H303&lt;&gt;"OK","",ROUND($G303*使い方と設定!$B$7*$AK303*INDEX(個性タイプマスタ!$Q$5:$AA$54,$AE303,10)/$AG303,4))</f>
        <v>1.0373000000000001</v>
      </c>
      <c r="S303" s="9">
        <f>IF($H303&lt;&gt;"OK","",ROUND($G303*使い方と設定!$B$7*$AK303*INDEX(個性タイプマスタ!$Q$5:$AA$54,$AE303,11)/$AG303,4))</f>
        <v>0.84450000000000003</v>
      </c>
      <c r="T303" s="9">
        <f>IF($H303&lt;&gt;"OK","",ROUND($G303*使い方と設定!$B$8*$AK303*$AH303*INDEX(属性耐性マスタ!$B$5:$G$10,$AF303,1),4))</f>
        <v>3.3799999999999997E-2</v>
      </c>
      <c r="U303" s="9">
        <f>IF($H303&lt;&gt;"OK","",ROUND($G303*使い方と設定!$B$8*$AK303*$AH303*INDEX(属性耐性マスタ!$B$5:$G$10,$AF303,2),4))</f>
        <v>3.3799999999999997E-2</v>
      </c>
      <c r="V303" s="9">
        <f>IF($H303&lt;&gt;"OK","",ROUND($G303*使い方と設定!$B$8*$AK303*$AH303*INDEX(属性耐性マスタ!$B$5:$G$10,$AF303,3),4))</f>
        <v>3.3799999999999997E-2</v>
      </c>
      <c r="W303" s="9">
        <f>IF($H303&lt;&gt;"OK","",ROUND($G303*使い方と設定!$B$8*$AK303*$AH303*INDEX(属性耐性マスタ!$B$5:$G$10,$AF303,4),4))</f>
        <v>3.3799999999999997E-2</v>
      </c>
      <c r="X303" s="9">
        <f>IF($H303&lt;&gt;"OK","",ROUND($G303*使い方と設定!$B$8*$AK303*$AH303*INDEX(属性耐性マスタ!$B$5:$G$10,$AF303,5),4))</f>
        <v>9.0200000000000002E-2</v>
      </c>
      <c r="Y303" s="9">
        <f>IF($H303&lt;&gt;"OK","",ROUND($G303*使い方と設定!$B$8*$AK303*$AH303*INDEX(属性耐性マスタ!$B$5:$G$10,$AF303,6),4))</f>
        <v>0.67649999999999999</v>
      </c>
      <c r="Z303" s="9">
        <f>IF($H303&lt;&gt;"OK","",ROUND($G303*使い方と設定!$B$9*$AK303*$AI303,4))</f>
        <v>3.5390999999999999</v>
      </c>
      <c r="AA303" s="10">
        <v>0.9</v>
      </c>
      <c r="AB303" s="11">
        <f t="shared" si="13"/>
        <v>11.275</v>
      </c>
      <c r="AC303" s="11">
        <f t="shared" si="14"/>
        <v>0.90190000000000003</v>
      </c>
      <c r="AD303" s="7" t="str">
        <f>IF($H303&lt;&gt;"OK","",INDEX(個性タイプマスタ!$P$5:$P$54,$AE303))</f>
        <v>属性耐性重視・他能力は平均</v>
      </c>
      <c r="AE303">
        <f>IFERROR(MATCH(E303,個性タイプマスタ!$A$5:$A$54,0),0)</f>
        <v>26</v>
      </c>
      <c r="AF303">
        <f>IFERROR(MATCH(F303,属性耐性マスタ!$A$5:$A$10,0),0)</f>
        <v>6</v>
      </c>
      <c r="AG303">
        <f>IF(AE303=0,1,INDEX(個性タイプマスタ!$AB$5:$AB$54,AE303))</f>
        <v>9.9996666666666663</v>
      </c>
      <c r="AH303">
        <f>IF(AE303=0,1,INDEX(個性タイプマスタ!$AC$5:$AC$54,AE303))</f>
        <v>1.5</v>
      </c>
      <c r="AI303">
        <f>IF(AE303=0,0,INDEX(個性タイプマスタ!$AD$5:$AD$54,AE303))</f>
        <v>0.94166666666666665</v>
      </c>
      <c r="AJ303" s="16">
        <v>50</v>
      </c>
      <c r="AK303" s="17">
        <f>IF(OR(AJ303="",AJ303&lt;1),"",POWER(使い方と設定!$E$6,AJ303-1))</f>
        <v>6.8333493714214626</v>
      </c>
    </row>
    <row r="304" spans="1:37">
      <c r="A304" t="str">
        <f>+[2]称号!A299</f>
        <v>TITLE_298</v>
      </c>
      <c r="B304" t="str">
        <f>+[2]称号!B299</f>
        <v>崩星震殻の断層王</v>
      </c>
      <c r="C304" t="s">
        <v>731</v>
      </c>
      <c r="D304" t="s">
        <v>732</v>
      </c>
      <c r="E304" s="2" t="str">
        <f>[1]モンスター計算!AM302</f>
        <v>近接・重装</v>
      </c>
      <c r="F304" s="2" t="str">
        <f>[1]モンスター計算!C302</f>
        <v>火</v>
      </c>
      <c r="G304" s="8">
        <v>1.1499999999999999</v>
      </c>
      <c r="H304" t="str">
        <f t="shared" si="12"/>
        <v>OK</v>
      </c>
      <c r="I304" s="9">
        <f>IF($H304&lt;&gt;"OK","",ROUND($G304*使い方と設定!$B$7*$AK304*INDEX(個性タイプマスタ!$Q$5:$AA$54,$AE304,1)/$AG304,4))</f>
        <v>1.6596</v>
      </c>
      <c r="J304" s="9">
        <f>IF($H304&lt;&gt;"OK","",ROUND($G304*使い方と設定!$B$7*$AK304*INDEX(個性タイプマスタ!$Q$5:$AA$54,$AE304,2)/$AG304,4))</f>
        <v>0.55320000000000003</v>
      </c>
      <c r="K304" s="9">
        <f>IF($H304&lt;&gt;"OK","",ROUND($G304*使い方と設定!$B$7*$AK304*INDEX(個性タイプマスタ!$Q$5:$AA$54,$AE304,3)/$AG304,4))</f>
        <v>2.794</v>
      </c>
      <c r="L304" s="9">
        <f>IF($H304&lt;&gt;"OK","",ROUND($G304*使い方と設定!$B$7*$AK304*INDEX(個性タイプマスタ!$Q$5:$AA$54,$AE304,4)/$AG304,4))</f>
        <v>0.27939999999999998</v>
      </c>
      <c r="M304" s="9">
        <f>IF($H304&lt;&gt;"OK","",ROUND($G304*使い方と設定!$B$7*$AK304*INDEX(個性タイプマスタ!$Q$5:$AA$54,$AE304,5)/$AG304,4))</f>
        <v>1.3299000000000001</v>
      </c>
      <c r="N304" s="9">
        <f>IF($H304&lt;&gt;"OK","",ROUND($G304*使い方と設定!$B$7*$AK304*INDEX(個性タイプマスタ!$Q$5:$AA$54,$AE304,6)/$AG304,4))</f>
        <v>0.94989999999999997</v>
      </c>
      <c r="O304" s="9">
        <f>IF($H304&lt;&gt;"OK","",ROUND($G304*使い方と設定!$B$7*$AK304*INDEX(個性タイプマスタ!$Q$5:$AA$54,$AE304,7)/$AG304,4))</f>
        <v>0.98350000000000004</v>
      </c>
      <c r="P304" s="9">
        <f>IF($H304&lt;&gt;"OK","",ROUND($G304*使い方と設定!$B$7*$AK304*INDEX(個性タイプマスタ!$Q$5:$AA$54,$AE304,8)/$AG304,4))</f>
        <v>0.77490000000000003</v>
      </c>
      <c r="Q304" s="9">
        <f>IF($H304&lt;&gt;"OK","",ROUND($G304*使い方と設定!$B$7*$AK304*INDEX(個性タイプマスタ!$Q$5:$AA$54,$AE304,9)/$AG304,4))</f>
        <v>0.66379999999999995</v>
      </c>
      <c r="R304" s="9">
        <f>IF($H304&lt;&gt;"OK","",ROUND($G304*使い方と設定!$B$7*$AK304*INDEX(個性タイプマスタ!$Q$5:$AA$54,$AE304,10)/$AG304,4))</f>
        <v>1.1735</v>
      </c>
      <c r="S304" s="9">
        <f>IF($H304&lt;&gt;"OK","",ROUND($G304*使い方と設定!$B$7*$AK304*INDEX(個性タイプマスタ!$Q$5:$AA$54,$AE304,11)/$AG304,4))</f>
        <v>0.62580000000000002</v>
      </c>
      <c r="T304" s="9">
        <f>IF($H304&lt;&gt;"OK","",ROUND($G304*使い方と設定!$B$8*$AK304*$AH304*INDEX(属性耐性マスタ!$B$5:$G$10,$AF304,1),4))</f>
        <v>0.59409999999999996</v>
      </c>
      <c r="U304" s="9">
        <f>IF($H304&lt;&gt;"OK","",ROUND($G304*使い方と設定!$B$8*$AK304*$AH304*INDEX(属性耐性マスタ!$B$5:$G$10,$AF304,2),4))</f>
        <v>0.1188</v>
      </c>
      <c r="V304" s="9">
        <f>IF($H304&lt;&gt;"OK","",ROUND($G304*使い方と設定!$B$8*$AK304*$AH304*INDEX(属性耐性マスタ!$B$5:$G$10,$AF304,3),4))</f>
        <v>3.9600000000000003E-2</v>
      </c>
      <c r="W304" s="9">
        <f>IF($H304&lt;&gt;"OK","",ROUND($G304*使い方と設定!$B$8*$AK304*$AH304*INDEX(属性耐性マスタ!$B$5:$G$10,$AF304,4),4))</f>
        <v>3.9600000000000003E-2</v>
      </c>
      <c r="X304" s="9">
        <f>IF($H304&lt;&gt;"OK","",ROUND($G304*使い方と設定!$B$8*$AK304*$AH304*INDEX(属性耐性マスタ!$B$5:$G$10,$AF304,5),4))</f>
        <v>2.9700000000000001E-2</v>
      </c>
      <c r="Y304" s="9">
        <f>IF($H304&lt;&gt;"OK","",ROUND($G304*使い方と設定!$B$8*$AK304*$AH304*INDEX(属性耐性マスタ!$B$5:$G$10,$AF304,6),4))</f>
        <v>2.9700000000000001E-2</v>
      </c>
      <c r="Z304" s="9">
        <f>IF($H304&lt;&gt;"OK","",ROUND($G304*使い方と設定!$B$9*$AK304*$AI304,4))</f>
        <v>4.1256000000000004</v>
      </c>
      <c r="AA304" s="10">
        <v>0.55000000000000004</v>
      </c>
      <c r="AB304" s="11">
        <f t="shared" si="13"/>
        <v>11.7875</v>
      </c>
      <c r="AC304" s="11">
        <f t="shared" si="14"/>
        <v>0.85150000000000003</v>
      </c>
      <c r="AD304" s="7" t="str">
        <f>IF($H304&lt;&gt;"OK","",INDEX(個性タイプマスタ!$P$5:$P$54,$AE304))</f>
        <v>高耐久の近接型。耐性も高め</v>
      </c>
      <c r="AE304">
        <f>IFERROR(MATCH(E304,個性タイプマスタ!$A$5:$A$54,0),0)</f>
        <v>5</v>
      </c>
      <c r="AF304">
        <f>IFERROR(MATCH(F304,属性耐性マスタ!$A$5:$A$10,0),0)</f>
        <v>1</v>
      </c>
      <c r="AG304">
        <f>IF(AE304=0,1,INDEX(個性タイプマスタ!$AB$5:$AB$54,AE304))</f>
        <v>10.547333333333334</v>
      </c>
      <c r="AH304">
        <f>IF(AE304=0,1,INDEX(個性タイプマスタ!$AC$5:$AC$54,AE304))</f>
        <v>1.26</v>
      </c>
      <c r="AI304">
        <f>IF(AE304=0,0,INDEX(個性タイプマスタ!$AD$5:$AD$54,AE304))</f>
        <v>1.05</v>
      </c>
      <c r="AJ304" s="16">
        <v>50</v>
      </c>
      <c r="AK304" s="17">
        <f>IF(OR(AJ304="",AJ304&lt;1),"",POWER(使い方と設定!$E$6,AJ304-1))</f>
        <v>6.8333493714214626</v>
      </c>
    </row>
    <row r="305" spans="1:37">
      <c r="A305" t="str">
        <f>+[2]称号!A300</f>
        <v>TITLE_299</v>
      </c>
      <c r="B305" t="str">
        <f>+[2]称号!B300</f>
        <v>虚無蒼焔の終極導霊</v>
      </c>
      <c r="C305" t="s">
        <v>733</v>
      </c>
      <c r="D305" t="s">
        <v>734</v>
      </c>
      <c r="E305" s="2" t="str">
        <f>[1]モンスター計算!AM303</f>
        <v>近接・刺突</v>
      </c>
      <c r="F305" s="2" t="str">
        <f>[1]モンスター計算!C303</f>
        <v>雷</v>
      </c>
      <c r="G305" s="8">
        <v>1.2</v>
      </c>
      <c r="H305" t="str">
        <f t="shared" si="12"/>
        <v>OK</v>
      </c>
      <c r="I305" s="9">
        <f>IF($H305&lt;&gt;"OK","",ROUND($G305*使い方と設定!$B$7*$AK305*INDEX(個性タイプマスタ!$Q$5:$AA$54,$AE305,1)/$AG305,4))</f>
        <v>1.0462</v>
      </c>
      <c r="J305" s="9">
        <f>IF($H305&lt;&gt;"OK","",ROUND($G305*使い方と設定!$B$7*$AK305*INDEX(個性タイプマスタ!$Q$5:$AA$54,$AE305,2)/$AG305,4))</f>
        <v>0.4904</v>
      </c>
      <c r="K305" s="9">
        <f>IF($H305&lt;&gt;"OK","",ROUND($G305*使い方と設定!$B$7*$AK305*INDEX(個性タイプマスタ!$Q$5:$AA$54,$AE305,3)/$AG305,4))</f>
        <v>2.9721000000000002</v>
      </c>
      <c r="L305" s="9">
        <f>IF($H305&lt;&gt;"OK","",ROUND($G305*使い方と設定!$B$7*$AK305*INDEX(個性タイプマスタ!$Q$5:$AA$54,$AE305,4)/$AG305,4))</f>
        <v>0.22589999999999999</v>
      </c>
      <c r="M305" s="9">
        <f>IF($H305&lt;&gt;"OK","",ROUND($G305*使い方と設定!$B$7*$AK305*INDEX(個性タイプマスタ!$Q$5:$AA$54,$AE305,5)/$AG305,4))</f>
        <v>0.8286</v>
      </c>
      <c r="N305" s="9">
        <f>IF($H305&lt;&gt;"OK","",ROUND($G305*使い方と設定!$B$7*$AK305*INDEX(個性タイプマスタ!$Q$5:$AA$54,$AE305,6)/$AG305,4))</f>
        <v>0.76800000000000002</v>
      </c>
      <c r="O305" s="9">
        <f>IF($H305&lt;&gt;"OK","",ROUND($G305*使い方と設定!$B$7*$AK305*INDEX(個性タイプマスタ!$Q$5:$AA$54,$AE305,7)/$AG305,4))</f>
        <v>1.7000999999999999</v>
      </c>
      <c r="P305" s="9">
        <f>IF($H305&lt;&gt;"OK","",ROUND($G305*使い方と設定!$B$7*$AK305*INDEX(個性タイプマスタ!$Q$5:$AA$54,$AE305,8)/$AG305,4))</f>
        <v>0.87580000000000002</v>
      </c>
      <c r="Q305" s="9">
        <f>IF($H305&lt;&gt;"OK","",ROUND($G305*使い方と設定!$B$7*$AK305*INDEX(個性タイプマスタ!$Q$5:$AA$54,$AE305,9)/$AG305,4))</f>
        <v>0.78459999999999996</v>
      </c>
      <c r="R305" s="9">
        <f>IF($H305&lt;&gt;"OK","",ROUND($G305*使い方と設定!$B$7*$AK305*INDEX(個性タイプマスタ!$Q$5:$AA$54,$AE305,10)/$AG305,4))</f>
        <v>1.2602</v>
      </c>
      <c r="S305" s="9">
        <f>IF($H305&lt;&gt;"OK","",ROUND($G305*使い方と設定!$B$7*$AK305*INDEX(個性タイプマスタ!$Q$5:$AA$54,$AE305,11)/$AG305,4))</f>
        <v>1.3482000000000001</v>
      </c>
      <c r="T305" s="9">
        <f>IF($H305&lt;&gt;"OK","",ROUND($G305*使い方と設定!$B$8*$AK305*$AH305*INDEX(属性耐性マスタ!$B$5:$G$10,$AF305,1),4))</f>
        <v>2.69E-2</v>
      </c>
      <c r="U305" s="9">
        <f>IF($H305&lt;&gt;"OK","",ROUND($G305*使い方と設定!$B$8*$AK305*$AH305*INDEX(属性耐性マスタ!$B$5:$G$10,$AF305,2),4))</f>
        <v>2.69E-2</v>
      </c>
      <c r="V305" s="9">
        <f>IF($H305&lt;&gt;"OK","",ROUND($G305*使い方と設定!$B$8*$AK305*$AH305*INDEX(属性耐性マスタ!$B$5:$G$10,$AF305,3),4))</f>
        <v>0.1009</v>
      </c>
      <c r="W305" s="9">
        <f>IF($H305&lt;&gt;"OK","",ROUND($G305*使い方と設定!$B$8*$AK305*$AH305*INDEX(属性耐性マスタ!$B$5:$G$10,$AF305,4),4))</f>
        <v>0.40339999999999998</v>
      </c>
      <c r="X305" s="9">
        <f>IF($H305&lt;&gt;"OK","",ROUND($G305*使い方と設定!$B$8*$AK305*$AH305*INDEX(属性耐性マスタ!$B$5:$G$10,$AF305,5),4))</f>
        <v>2.0199999999999999E-2</v>
      </c>
      <c r="Y305" s="9">
        <f>IF($H305&lt;&gt;"OK","",ROUND($G305*使い方と設定!$B$8*$AK305*$AH305*INDEX(属性耐性マスタ!$B$5:$G$10,$AF305,6),4))</f>
        <v>2.0199999999999999E-2</v>
      </c>
      <c r="Z305" s="9">
        <f>IF($H305&lt;&gt;"OK","",ROUND($G305*使い方と設定!$B$9*$AK305*$AI305,4))</f>
        <v>4.51</v>
      </c>
      <c r="AA305" s="10">
        <v>0.5</v>
      </c>
      <c r="AB305" s="11">
        <f t="shared" si="13"/>
        <v>12.3001</v>
      </c>
      <c r="AC305" s="11">
        <f t="shared" si="14"/>
        <v>0.59850000000000003</v>
      </c>
      <c r="AD305" s="7" t="str">
        <f>IF($H305&lt;&gt;"OK","",INDEX(個性タイプマスタ!$P$5:$P$54,$AE305))</f>
        <v>近接としては長めの射程</v>
      </c>
      <c r="AE305">
        <f>IFERROR(MATCH(E305,個性タイプマスタ!$A$5:$A$54,0),0)</f>
        <v>34</v>
      </c>
      <c r="AF305">
        <f>IFERROR(MATCH(F305,属性耐性マスタ!$A$5:$A$10,0),0)</f>
        <v>4</v>
      </c>
      <c r="AG305">
        <f>IF(AE305=0,1,INDEX(個性タイプマスタ!$AB$5:$AB$54,AE305))</f>
        <v>10.346166666666667</v>
      </c>
      <c r="AH305">
        <f>IF(AE305=0,1,INDEX(個性タイプマスタ!$AC$5:$AC$54,AE305))</f>
        <v>0.82000000000000006</v>
      </c>
      <c r="AI305">
        <f>IF(AE305=0,0,INDEX(個性タイプマスタ!$AD$5:$AD$54,AE305))</f>
        <v>1.1000000000000001</v>
      </c>
      <c r="AJ305" s="16">
        <v>50</v>
      </c>
      <c r="AK305" s="17">
        <f>IF(OR(AJ305="",AJ305&lt;1),"",POWER(使い方と設定!$E$6,AJ305-1))</f>
        <v>6.8333493714214626</v>
      </c>
    </row>
    <row r="306" spans="1:37">
      <c r="A306" t="str">
        <f>+[2]称号!A301</f>
        <v>TITLE_300</v>
      </c>
      <c r="B306" t="str">
        <f>+[2]称号!B301</f>
        <v>全界終焉の絶対災禍</v>
      </c>
      <c r="C306" t="s">
        <v>735</v>
      </c>
      <c r="D306" t="s">
        <v>736</v>
      </c>
      <c r="E306" s="2" t="str">
        <f>[1]モンスター計算!AM304</f>
        <v>魔法・高会心</v>
      </c>
      <c r="F306" s="2" t="str">
        <f>[1]モンスター計算!C304</f>
        <v>闇</v>
      </c>
      <c r="G306" s="8">
        <v>1.25</v>
      </c>
      <c r="H306" t="str">
        <f t="shared" si="12"/>
        <v>OK</v>
      </c>
      <c r="I306" s="9">
        <f>IF($H306&lt;&gt;"OK","",ROUND($G306*使い方と設定!$B$7*$AK306*INDEX(個性タイプマスタ!$Q$5:$AA$54,$AE306,1)/$AG306,4))</f>
        <v>0.84599999999999997</v>
      </c>
      <c r="J306" s="9">
        <f>IF($H306&lt;&gt;"OK","",ROUND($G306*使い方と設定!$B$7*$AK306*INDEX(個性タイプマスタ!$Q$5:$AA$54,$AE306,2)/$AG306,4))</f>
        <v>1.3673999999999999</v>
      </c>
      <c r="K306" s="9">
        <f>IF($H306&lt;&gt;"OK","",ROUND($G306*使い方と設定!$B$7*$AK306*INDEX(個性タイプマスタ!$Q$5:$AA$54,$AE306,3)/$AG306,4))</f>
        <v>0.14749999999999999</v>
      </c>
      <c r="L306" s="9">
        <f>IF($H306&lt;&gt;"OK","",ROUND($G306*使い方と設定!$B$7*$AK306*INDEX(個性タイプマスタ!$Q$5:$AA$54,$AE306,4)/$AG306,4))</f>
        <v>2.6337000000000002</v>
      </c>
      <c r="M306" s="9">
        <f>IF($H306&lt;&gt;"OK","",ROUND($G306*使い方と設定!$B$7*$AK306*INDEX(個性タイプマスタ!$Q$5:$AA$54,$AE306,5)/$AG306,4))</f>
        <v>0.6895</v>
      </c>
      <c r="N306" s="9">
        <f>IF($H306&lt;&gt;"OK","",ROUND($G306*使い方と設定!$B$7*$AK306*INDEX(個性タイプマスタ!$Q$5:$AA$54,$AE306,6)/$AG306,4))</f>
        <v>0.7611</v>
      </c>
      <c r="O306" s="9">
        <f>IF($H306&lt;&gt;"OK","",ROUND($G306*使い方と設定!$B$7*$AK306*INDEX(個性タイプマスタ!$Q$5:$AA$54,$AE306,7)/$AG306,4))</f>
        <v>3.0129999999999999</v>
      </c>
      <c r="P306" s="9">
        <f>IF($H306&lt;&gt;"OK","",ROUND($G306*使い方と設定!$B$7*$AK306*INDEX(個性タイプマスタ!$Q$5:$AA$54,$AE306,8)/$AG306,4))</f>
        <v>0.89019999999999999</v>
      </c>
      <c r="Q306" s="9">
        <f>IF($H306&lt;&gt;"OK","",ROUND($G306*使い方と設定!$B$7*$AK306*INDEX(個性タイプマスタ!$Q$5:$AA$54,$AE306,9)/$AG306,4))</f>
        <v>0.63739999999999997</v>
      </c>
      <c r="R306" s="9">
        <f>IF($H306&lt;&gt;"OK","",ROUND($G306*使い方と設定!$B$7*$AK306*INDEX(個性タイプマスタ!$Q$5:$AA$54,$AE306,10)/$AG306,4))</f>
        <v>1.0007999999999999</v>
      </c>
      <c r="S306" s="9">
        <f>IF($H306&lt;&gt;"OK","",ROUND($G306*使い方と設定!$B$7*$AK306*INDEX(個性タイプマスタ!$Q$5:$AA$54,$AE306,11)/$AG306,4))</f>
        <v>0.82589999999999997</v>
      </c>
      <c r="T306" s="9">
        <f>IF($H306&lt;&gt;"OK","",ROUND($G306*使い方と設定!$B$8*$AK306*$AH306*INDEX(属性耐性マスタ!$B$5:$G$10,$AF306,1),4))</f>
        <v>2.0500000000000001E-2</v>
      </c>
      <c r="U306" s="9">
        <f>IF($H306&lt;&gt;"OK","",ROUND($G306*使い方と設定!$B$8*$AK306*$AH306*INDEX(属性耐性マスタ!$B$5:$G$10,$AF306,2),4))</f>
        <v>2.0500000000000001E-2</v>
      </c>
      <c r="V306" s="9">
        <f>IF($H306&lt;&gt;"OK","",ROUND($G306*使い方と設定!$B$8*$AK306*$AH306*INDEX(属性耐性マスタ!$B$5:$G$10,$AF306,3),4))</f>
        <v>2.0500000000000001E-2</v>
      </c>
      <c r="W306" s="9">
        <f>IF($H306&lt;&gt;"OK","",ROUND($G306*使い方と設定!$B$8*$AK306*$AH306*INDEX(属性耐性マスタ!$B$5:$G$10,$AF306,4),4))</f>
        <v>2.0500000000000001E-2</v>
      </c>
      <c r="X306" s="9">
        <f>IF($H306&lt;&gt;"OK","",ROUND($G306*使い方と設定!$B$8*$AK306*$AH306*INDEX(属性耐性マスタ!$B$5:$G$10,$AF306,5),4))</f>
        <v>5.4699999999999999E-2</v>
      </c>
      <c r="Y306" s="9">
        <f>IF($H306&lt;&gt;"OK","",ROUND($G306*使い方と設定!$B$8*$AK306*$AH306*INDEX(属性耐性マスタ!$B$5:$G$10,$AF306,6),4))</f>
        <v>0.41</v>
      </c>
      <c r="Z306" s="9">
        <f>IF($H306&lt;&gt;"OK","",ROUND($G306*使い方と設定!$B$9*$AK306*$AI306,4))</f>
        <v>4.5199999999999996</v>
      </c>
      <c r="AA306" s="10">
        <v>0.25</v>
      </c>
      <c r="AB306" s="11">
        <f t="shared" si="13"/>
        <v>12.8125</v>
      </c>
      <c r="AC306" s="11">
        <f t="shared" si="14"/>
        <v>0.54669999999999996</v>
      </c>
      <c r="AD306" s="7" t="str">
        <f>IF($H306&lt;&gt;"OK","",INDEX(個性タイプマスタ!$P$5:$P$54,$AE306))</f>
        <v>高い会心率で平均火力を確保</v>
      </c>
      <c r="AE306">
        <f>IFERROR(MATCH(E306,個性タイプマスタ!$A$5:$A$54,0),0)</f>
        <v>22</v>
      </c>
      <c r="AF306">
        <f>IFERROR(MATCH(F306,属性耐性マスタ!$A$5:$A$10,0),0)</f>
        <v>6</v>
      </c>
      <c r="AG306">
        <f>IF(AE306=0,1,INDEX(個性タイプマスタ!$AB$5:$AB$54,AE306))</f>
        <v>12.162000000000001</v>
      </c>
      <c r="AH306">
        <f>IF(AE306=0,1,INDEX(個性タイプマスタ!$AC$5:$AC$54,AE306))</f>
        <v>0.8</v>
      </c>
      <c r="AI306">
        <f>IF(AE306=0,0,INDEX(個性タイプマスタ!$AD$5:$AD$54,AE306))</f>
        <v>1.0583333333333333</v>
      </c>
      <c r="AJ306" s="16">
        <v>50</v>
      </c>
      <c r="AK306" s="17">
        <f>IF(OR(AJ306="",AJ306&lt;1),"",POWER(使い方と設定!$E$6,AJ306-1))</f>
        <v>6.8333493714214626</v>
      </c>
    </row>
    <row r="307" spans="1:37">
      <c r="A307" t="str">
        <f>+[2]称号!A302</f>
        <v>TITLE_301</v>
      </c>
      <c r="B307" t="str">
        <f>+[2]称号!B302</f>
        <v>草露を喰む蒼雫</v>
      </c>
      <c r="C307" t="s">
        <v>737</v>
      </c>
      <c r="D307" t="s">
        <v>738</v>
      </c>
      <c r="E307" s="2" t="str">
        <f>[1]モンスター計算!AM305</f>
        <v>魔法・超軽量</v>
      </c>
      <c r="F307" s="2" t="str">
        <f>[1]モンスター計算!C305</f>
        <v>闇</v>
      </c>
      <c r="G307" s="8">
        <v>1</v>
      </c>
      <c r="H307" t="str">
        <f t="shared" si="12"/>
        <v>OK</v>
      </c>
      <c r="I307" s="9">
        <f>IF($H307&lt;&gt;"OK","",ROUND($G307*使い方と設定!$B$7*$AK307*INDEX(個性タイプマスタ!$Q$5:$AA$54,$AE307,1)/$AG307,4))</f>
        <v>0.7016</v>
      </c>
      <c r="J307" s="9">
        <f>IF($H307&lt;&gt;"OK","",ROUND($G307*使い方と設定!$B$7*$AK307*INDEX(個性タイプマスタ!$Q$5:$AA$54,$AE307,2)/$AG307,4))</f>
        <v>0.94359999999999999</v>
      </c>
      <c r="K307" s="9">
        <f>IF($H307&lt;&gt;"OK","",ROUND($G307*使い方と設定!$B$7*$AK307*INDEX(個性タイプマスタ!$Q$5:$AA$54,$AE307,3)/$AG307,4))</f>
        <v>0.13750000000000001</v>
      </c>
      <c r="L307" s="9">
        <f>IF($H307&lt;&gt;"OK","",ROUND($G307*使い方と設定!$B$7*$AK307*INDEX(個性タイプマスタ!$Q$5:$AA$54,$AE307,4)/$AG307,4))</f>
        <v>2.7494000000000001</v>
      </c>
      <c r="M307" s="9">
        <f>IF($H307&lt;&gt;"OK","",ROUND($G307*使い方と設定!$B$7*$AK307*INDEX(個性タイプマスタ!$Q$5:$AA$54,$AE307,5)/$AG307,4))</f>
        <v>0.59830000000000005</v>
      </c>
      <c r="N307" s="9">
        <f>IF($H307&lt;&gt;"OK","",ROUND($G307*使い方と設定!$B$7*$AK307*INDEX(個性タイプマスタ!$Q$5:$AA$54,$AE307,6)/$AG307,4))</f>
        <v>0.60760000000000003</v>
      </c>
      <c r="O307" s="9">
        <f>IF($H307&lt;&gt;"OK","",ROUND($G307*使い方と設定!$B$7*$AK307*INDEX(個性タイプマスタ!$Q$5:$AA$54,$AE307,7)/$AG307,4))</f>
        <v>0.96779999999999999</v>
      </c>
      <c r="P307" s="9">
        <f>IF($H307&lt;&gt;"OK","",ROUND($G307*使い方と設定!$B$7*$AK307*INDEX(個性タイプマスタ!$Q$5:$AA$54,$AE307,8)/$AG307,4))</f>
        <v>0.73870000000000002</v>
      </c>
      <c r="Q307" s="9">
        <f>IF($H307&lt;&gt;"OK","",ROUND($G307*使い方と設定!$B$7*$AK307*INDEX(個性タイプマスタ!$Q$5:$AA$54,$AE307,9)/$AG307,4))</f>
        <v>1.0162</v>
      </c>
      <c r="R307" s="9">
        <f>IF($H307&lt;&gt;"OK","",ROUND($G307*使い方と設定!$B$7*$AK307*INDEX(個性タイプマスタ!$Q$5:$AA$54,$AE307,10)/$AG307,4))</f>
        <v>1.4297</v>
      </c>
      <c r="S307" s="9">
        <f>IF($H307&lt;&gt;"OK","",ROUND($G307*使い方と設定!$B$7*$AK307*INDEX(個性タイプマスタ!$Q$5:$AA$54,$AE307,11)/$AG307,4))</f>
        <v>0.76980000000000004</v>
      </c>
      <c r="T307" s="9">
        <f>IF($H307&lt;&gt;"OK","",ROUND($G307*使い方と設定!$B$8*$AK307*$AH307*INDEX(属性耐性マスタ!$B$5:$G$10,$AF307,1),4))</f>
        <v>1.3599999999999999E-2</v>
      </c>
      <c r="U307" s="9">
        <f>IF($H307&lt;&gt;"OK","",ROUND($G307*使い方と設定!$B$8*$AK307*$AH307*INDEX(属性耐性マスタ!$B$5:$G$10,$AF307,2),4))</f>
        <v>1.3599999999999999E-2</v>
      </c>
      <c r="V307" s="9">
        <f>IF($H307&lt;&gt;"OK","",ROUND($G307*使い方と設定!$B$8*$AK307*$AH307*INDEX(属性耐性マスタ!$B$5:$G$10,$AF307,3),4))</f>
        <v>1.3599999999999999E-2</v>
      </c>
      <c r="W307" s="9">
        <f>IF($H307&lt;&gt;"OK","",ROUND($G307*使い方と設定!$B$8*$AK307*$AH307*INDEX(属性耐性マスタ!$B$5:$G$10,$AF307,4),4))</f>
        <v>1.3599999999999999E-2</v>
      </c>
      <c r="X307" s="9">
        <f>IF($H307&lt;&gt;"OK","",ROUND($G307*使い方と設定!$B$8*$AK307*$AH307*INDEX(属性耐性マスタ!$B$5:$G$10,$AF307,5),4))</f>
        <v>3.6400000000000002E-2</v>
      </c>
      <c r="Y307" s="9">
        <f>IF($H307&lt;&gt;"OK","",ROUND($G307*使い方と設定!$B$8*$AK307*$AH307*INDEX(属性耐性マスタ!$B$5:$G$10,$AF307,6),4))</f>
        <v>0.27289999999999998</v>
      </c>
      <c r="Z307" s="9">
        <f>IF($H307&lt;&gt;"OK","",ROUND($G307*使い方と設定!$B$9*$AK307*$AI307,4))</f>
        <v>4.6193</v>
      </c>
      <c r="AA307" s="10">
        <v>1</v>
      </c>
      <c r="AB307" s="11">
        <f t="shared" si="13"/>
        <v>10.6602</v>
      </c>
      <c r="AC307" s="11">
        <f t="shared" si="14"/>
        <v>0.36370000000000002</v>
      </c>
      <c r="AD307" s="7" t="str">
        <f>IF($H307&lt;&gt;"OK","",INDEX(個性タイプマスタ!$P$5:$P$54,$AE307))</f>
        <v>超高速移動・極低耐久</v>
      </c>
      <c r="AE307">
        <f>IFERROR(MATCH(E307,個性タイプマスタ!$A$5:$A$54,0),0)</f>
        <v>18</v>
      </c>
      <c r="AF307">
        <f>IFERROR(MATCH(F307,属性耐性マスタ!$A$5:$A$10,0),0)</f>
        <v>6</v>
      </c>
      <c r="AG307">
        <f>IF(AE307=0,1,INDEX(個性タイプマスタ!$AB$5:$AB$54,AE307))</f>
        <v>9.6931666666666683</v>
      </c>
      <c r="AH307">
        <f>IF(AE307=0,1,INDEX(個性タイプマスタ!$AC$5:$AC$54,AE307))</f>
        <v>0.64</v>
      </c>
      <c r="AI307">
        <f>IF(AE307=0,0,INDEX(個性タイプマスタ!$AD$5:$AD$54,AE307))</f>
        <v>1.3</v>
      </c>
      <c r="AJ307" s="16">
        <v>51</v>
      </c>
      <c r="AK307" s="17">
        <f>IF(OR(AJ307="",AJ307&lt;1),"",POWER(使い方と設定!$E$6,AJ307-1))</f>
        <v>7.1066833462783219</v>
      </c>
    </row>
    <row r="308" spans="1:37">
      <c r="A308" t="str">
        <f>+[2]称号!A303</f>
        <v>TITLE_302</v>
      </c>
      <c r="B308" t="str">
        <f>+[2]称号!B303</f>
        <v>芽吹きを守る小さき精</v>
      </c>
      <c r="C308" t="s">
        <v>739</v>
      </c>
      <c r="D308" t="s">
        <v>740</v>
      </c>
      <c r="E308" s="2" t="str">
        <f>[1]モンスター計算!AM306</f>
        <v>魔法・物防障壁</v>
      </c>
      <c r="F308" s="2" t="str">
        <f>[1]モンスター計算!C306</f>
        <v>光</v>
      </c>
      <c r="G308" s="8">
        <v>1.05</v>
      </c>
      <c r="H308" t="str">
        <f t="shared" si="12"/>
        <v>OK</v>
      </c>
      <c r="I308" s="9">
        <f>IF($H308&lt;&gt;"OK","",ROUND($G308*使い方と設定!$B$7*$AK308*INDEX(個性タイプマスタ!$Q$5:$AA$54,$AE308,1)/$AG308,4))</f>
        <v>1.2719</v>
      </c>
      <c r="J308" s="9">
        <f>IF($H308&lt;&gt;"OK","",ROUND($G308*使い方と設定!$B$7*$AK308*INDEX(個性タイプマスタ!$Q$5:$AA$54,$AE308,2)/$AG308,4))</f>
        <v>1.5330999999999999</v>
      </c>
      <c r="K308" s="9">
        <f>IF($H308&lt;&gt;"OK","",ROUND($G308*使い方と設定!$B$7*$AK308*INDEX(個性タイプマスタ!$Q$5:$AA$54,$AE308,3)/$AG308,4))</f>
        <v>0.17030000000000001</v>
      </c>
      <c r="L308" s="9">
        <f>IF($H308&lt;&gt;"OK","",ROUND($G308*使い方と設定!$B$7*$AK308*INDEX(個性タイプマスタ!$Q$5:$AA$54,$AE308,4)/$AG308,4))</f>
        <v>2.5811000000000002</v>
      </c>
      <c r="M308" s="9">
        <f>IF($H308&lt;&gt;"OK","",ROUND($G308*使い方と設定!$B$7*$AK308*INDEX(個性タイプマスタ!$Q$5:$AA$54,$AE308,5)/$AG308,4))</f>
        <v>1.7112000000000001</v>
      </c>
      <c r="N308" s="9">
        <f>IF($H308&lt;&gt;"OK","",ROUND($G308*使い方と設定!$B$7*$AK308*INDEX(個性タイプマスタ!$Q$5:$AA$54,$AE308,6)/$AG308,4))</f>
        <v>0.63180000000000003</v>
      </c>
      <c r="O308" s="9">
        <f>IF($H308&lt;&gt;"OK","",ROUND($G308*使い方と設定!$B$7*$AK308*INDEX(個性タイプマスタ!$Q$5:$AA$54,$AE308,7)/$AG308,4))</f>
        <v>0.62460000000000004</v>
      </c>
      <c r="P308" s="9">
        <f>IF($H308&lt;&gt;"OK","",ROUND($G308*使い方と設定!$B$7*$AK308*INDEX(個性タイプマスタ!$Q$5:$AA$54,$AE308,8)/$AG308,4))</f>
        <v>0.67110000000000003</v>
      </c>
      <c r="Q308" s="9">
        <f>IF($H308&lt;&gt;"OK","",ROUND($G308*使い方と設定!$B$7*$AK308*INDEX(個性タイプマスタ!$Q$5:$AA$54,$AE308,9)/$AG308,4))</f>
        <v>0.42020000000000002</v>
      </c>
      <c r="R308" s="9">
        <f>IF($H308&lt;&gt;"OK","",ROUND($G308*使い方と設定!$B$7*$AK308*INDEX(個性タイプマスタ!$Q$5:$AA$54,$AE308,10)/$AG308,4))</f>
        <v>0.8982</v>
      </c>
      <c r="S308" s="9">
        <f>IF($H308&lt;&gt;"OK","",ROUND($G308*使い方と設定!$B$7*$AK308*INDEX(個性タイプマスタ!$Q$5:$AA$54,$AE308,11)/$AG308,4))</f>
        <v>0.67930000000000001</v>
      </c>
      <c r="T308" s="9">
        <f>IF($H308&lt;&gt;"OK","",ROUND($G308*使い方と設定!$B$8*$AK308*$AH308*INDEX(属性耐性マスタ!$B$5:$G$10,$AF308,1),4))</f>
        <v>2.8199999999999999E-2</v>
      </c>
      <c r="U308" s="9">
        <f>IF($H308&lt;&gt;"OK","",ROUND($G308*使い方と設定!$B$8*$AK308*$AH308*INDEX(属性耐性マスタ!$B$5:$G$10,$AF308,2),4))</f>
        <v>2.8199999999999999E-2</v>
      </c>
      <c r="V308" s="9">
        <f>IF($H308&lt;&gt;"OK","",ROUND($G308*使い方と設定!$B$8*$AK308*$AH308*INDEX(属性耐性マスタ!$B$5:$G$10,$AF308,3),4))</f>
        <v>2.8199999999999999E-2</v>
      </c>
      <c r="W308" s="9">
        <f>IF($H308&lt;&gt;"OK","",ROUND($G308*使い方と設定!$B$8*$AK308*$AH308*INDEX(属性耐性マスタ!$B$5:$G$10,$AF308,4),4))</f>
        <v>2.8199999999999999E-2</v>
      </c>
      <c r="X308" s="9">
        <f>IF($H308&lt;&gt;"OK","",ROUND($G308*使い方と設定!$B$8*$AK308*$AH308*INDEX(属性耐性マスタ!$B$5:$G$10,$AF308,5),4))</f>
        <v>0.56410000000000005</v>
      </c>
      <c r="Y308" s="9">
        <f>IF($H308&lt;&gt;"OK","",ROUND($G308*使い方と設定!$B$8*$AK308*$AH308*INDEX(属性耐性マスタ!$B$5:$G$10,$AF308,6),4))</f>
        <v>7.5200000000000003E-2</v>
      </c>
      <c r="Z308" s="9">
        <f>IF($H308&lt;&gt;"OK","",ROUND($G308*使い方と設定!$B$9*$AK308*$AI308,4))</f>
        <v>3.3889999999999998</v>
      </c>
      <c r="AA308" s="10">
        <v>1</v>
      </c>
      <c r="AB308" s="11">
        <f t="shared" si="13"/>
        <v>11.1928</v>
      </c>
      <c r="AC308" s="11">
        <f t="shared" si="14"/>
        <v>0.75209999999999999</v>
      </c>
      <c r="AD308" s="7" t="str">
        <f>IF($H308&lt;&gt;"OK","",INDEX(個性タイプマスタ!$P$5:$P$54,$AE308))</f>
        <v>物理防御を集中的に強化</v>
      </c>
      <c r="AE308">
        <f>IFERROR(MATCH(E308,個性タイプマスタ!$A$5:$A$54,0),0)</f>
        <v>25</v>
      </c>
      <c r="AF308">
        <f>IFERROR(MATCH(F308,属性耐性マスタ!$A$5:$A$10,0),0)</f>
        <v>5</v>
      </c>
      <c r="AG308">
        <f>IF(AE308=0,1,INDEX(個性タイプマスタ!$AB$5:$AB$54,AE308))</f>
        <v>10.8415</v>
      </c>
      <c r="AH308">
        <f>IF(AE308=0,1,INDEX(個性タイプマスタ!$AC$5:$AC$54,AE308))</f>
        <v>1.26</v>
      </c>
      <c r="AI308">
        <f>IF(AE308=0,0,INDEX(個性タイプマスタ!$AD$5:$AD$54,AE308))</f>
        <v>0.90833333333333333</v>
      </c>
      <c r="AJ308" s="16">
        <v>51</v>
      </c>
      <c r="AK308" s="17">
        <f>IF(OR(AJ308="",AJ308&lt;1),"",POWER(使い方と設定!$E$6,AJ308-1))</f>
        <v>7.1066833462783219</v>
      </c>
    </row>
    <row r="309" spans="1:37">
      <c r="A309" t="str">
        <f>+[2]称号!A304</f>
        <v>TITLE_303</v>
      </c>
      <c r="B309" t="str">
        <f>+[2]称号!B304</f>
        <v>草原荒らしの小鬼</v>
      </c>
      <c r="C309" t="s">
        <v>741</v>
      </c>
      <c r="D309" t="s">
        <v>742</v>
      </c>
      <c r="E309" s="2" t="str">
        <f>[1]モンスター計算!AM307</f>
        <v>魔法・軽量</v>
      </c>
      <c r="F309" s="2" t="str">
        <f>[1]モンスター計算!C307</f>
        <v>風</v>
      </c>
      <c r="G309" s="8">
        <v>1.1000000000000001</v>
      </c>
      <c r="H309" t="str">
        <f t="shared" si="12"/>
        <v>OK</v>
      </c>
      <c r="I309" s="9">
        <f>IF($H309&lt;&gt;"OK","",ROUND($G309*使い方と設定!$B$7*$AK309*INDEX(個性タイプマスタ!$Q$5:$AA$54,$AE309,1)/$AG309,4))</f>
        <v>1.107</v>
      </c>
      <c r="J309" s="9">
        <f>IF($H309&lt;&gt;"OK","",ROUND($G309*使い方と設定!$B$7*$AK309*INDEX(個性タイプマスタ!$Q$5:$AA$54,$AE309,2)/$AG309,4))</f>
        <v>1.2150000000000001</v>
      </c>
      <c r="K309" s="9">
        <f>IF($H309&lt;&gt;"OK","",ROUND($G309*使い方と設定!$B$7*$AK309*INDEX(個性タイプマスタ!$Q$5:$AA$54,$AE309,3)/$AG309,4))</f>
        <v>0.30680000000000002</v>
      </c>
      <c r="L309" s="9">
        <f>IF($H309&lt;&gt;"OK","",ROUND($G309*使い方と設定!$B$7*$AK309*INDEX(個性タイプマスタ!$Q$5:$AA$54,$AE309,4)/$AG309,4))</f>
        <v>3.0682</v>
      </c>
      <c r="M309" s="9">
        <f>IF($H309&lt;&gt;"OK","",ROUND($G309*使い方と設定!$B$7*$AK309*INDEX(個性タイプマスタ!$Q$5:$AA$54,$AE309,5)/$AG309,4))</f>
        <v>0.88670000000000004</v>
      </c>
      <c r="N309" s="9">
        <f>IF($H309&lt;&gt;"OK","",ROUND($G309*使い方と設定!$B$7*$AK309*INDEX(個性タイプマスタ!$Q$5:$AA$54,$AE309,6)/$AG309,4))</f>
        <v>1.0431999999999999</v>
      </c>
      <c r="O309" s="9">
        <f>IF($H309&lt;&gt;"OK","",ROUND($G309*使い方と設定!$B$7*$AK309*INDEX(個性タイプマスタ!$Q$5:$AA$54,$AE309,7)/$AG309,4))</f>
        <v>0.67500000000000004</v>
      </c>
      <c r="P309" s="9">
        <f>IF($H309&lt;&gt;"OK","",ROUND($G309*使い方と設定!$B$7*$AK309*INDEX(個性タイプマスタ!$Q$5:$AA$54,$AE309,8)/$AG309,4))</f>
        <v>0.79769999999999996</v>
      </c>
      <c r="Q309" s="9">
        <f>IF($H309&lt;&gt;"OK","",ROUND($G309*使い方と設定!$B$7*$AK309*INDEX(個性タイプマスタ!$Q$5:$AA$54,$AE309,9)/$AG309,4))</f>
        <v>0.54</v>
      </c>
      <c r="R309" s="9">
        <f>IF($H309&lt;&gt;"OK","",ROUND($G309*使い方と設定!$B$7*$AK309*INDEX(個性タイプマスタ!$Q$5:$AA$54,$AE309,10)/$AG309,4))</f>
        <v>1.2273000000000001</v>
      </c>
      <c r="S309" s="9">
        <f>IF($H309&lt;&gt;"OK","",ROUND($G309*使い方と設定!$B$7*$AK309*INDEX(個性タイプマスタ!$Q$5:$AA$54,$AE309,11)/$AG309,4))</f>
        <v>0.85909999999999997</v>
      </c>
      <c r="T309" s="9">
        <f>IF($H309&lt;&gt;"OK","",ROUND($G309*使い方と設定!$B$8*$AK309*$AH309*INDEX(属性耐性マスタ!$B$5:$G$10,$AF309,1),4))</f>
        <v>2.8799999999999999E-2</v>
      </c>
      <c r="U309" s="9">
        <f>IF($H309&lt;&gt;"OK","",ROUND($G309*使い方と設定!$B$8*$AK309*$AH309*INDEX(属性耐性マスタ!$B$5:$G$10,$AF309,2),4))</f>
        <v>2.8799999999999999E-2</v>
      </c>
      <c r="V309" s="9">
        <f>IF($H309&lt;&gt;"OK","",ROUND($G309*使い方と設定!$B$8*$AK309*$AH309*INDEX(属性耐性マスタ!$B$5:$G$10,$AF309,3),4))</f>
        <v>0.43149999999999999</v>
      </c>
      <c r="W309" s="9">
        <f>IF($H309&lt;&gt;"OK","",ROUND($G309*使い方と設定!$B$8*$AK309*$AH309*INDEX(属性耐性マスタ!$B$5:$G$10,$AF309,4),4))</f>
        <v>0.1079</v>
      </c>
      <c r="X309" s="9">
        <f>IF($H309&lt;&gt;"OK","",ROUND($G309*使い方と設定!$B$8*$AK309*$AH309*INDEX(属性耐性マスタ!$B$5:$G$10,$AF309,5),4))</f>
        <v>2.1600000000000001E-2</v>
      </c>
      <c r="Y309" s="9">
        <f>IF($H309&lt;&gt;"OK","",ROUND($G309*使い方と設定!$B$8*$AK309*$AH309*INDEX(属性耐性マスタ!$B$5:$G$10,$AF309,6),4))</f>
        <v>2.1600000000000001E-2</v>
      </c>
      <c r="Z309" s="9">
        <f>IF($H309&lt;&gt;"OK","",ROUND($G309*使い方と設定!$B$9*$AK309*$AI309,4))</f>
        <v>3.6480999999999999</v>
      </c>
      <c r="AA309" s="10">
        <v>0.9</v>
      </c>
      <c r="AB309" s="11">
        <f t="shared" si="13"/>
        <v>11.726000000000001</v>
      </c>
      <c r="AC309" s="11">
        <f t="shared" si="14"/>
        <v>0.64019999999999999</v>
      </c>
      <c r="AD309" s="7" t="str">
        <f>IF($H309&lt;&gt;"OK","",INDEX(個性タイプマスタ!$P$5:$P$54,$AE309))</f>
        <v>軽快な魔法型。耐久控えめ・成長余地大</v>
      </c>
      <c r="AE309">
        <f>IFERROR(MATCH(E309,個性タイプマスタ!$A$5:$A$54,0),0)</f>
        <v>1</v>
      </c>
      <c r="AF309">
        <f>IFERROR(MATCH(F309,属性耐性マスタ!$A$5:$A$10,0),0)</f>
        <v>3</v>
      </c>
      <c r="AG309">
        <f>IF(AE309=0,1,INDEX(個性タイプマスタ!$AB$5:$AB$54,AE309))</f>
        <v>9.5545000000000009</v>
      </c>
      <c r="AH309">
        <f>IF(AE309=0,1,INDEX(個性タイプマスタ!$AC$5:$AC$54,AE309))</f>
        <v>0.92</v>
      </c>
      <c r="AI309">
        <f>IF(AE309=0,0,INDEX(個性タイプマスタ!$AD$5:$AD$54,AE309))</f>
        <v>0.93333333333333335</v>
      </c>
      <c r="AJ309" s="16">
        <v>51</v>
      </c>
      <c r="AK309" s="17">
        <f>IF(OR(AJ309="",AJ309&lt;1),"",POWER(使い方と設定!$E$6,AJ309-1))</f>
        <v>7.1066833462783219</v>
      </c>
    </row>
    <row r="310" spans="1:37">
      <c r="A310" t="str">
        <f>+[2]称号!A305</f>
        <v>TITLE_304</v>
      </c>
      <c r="B310" t="str">
        <f>+[2]称号!B305</f>
        <v>風を裂く灰色の牙</v>
      </c>
      <c r="C310" t="s">
        <v>743</v>
      </c>
      <c r="D310" t="s">
        <v>744</v>
      </c>
      <c r="E310" s="2" t="str">
        <f>[1]モンスター計算!AM308</f>
        <v>近接・重撃</v>
      </c>
      <c r="F310" s="2" t="str">
        <f>[1]モンスター計算!C308</f>
        <v>風</v>
      </c>
      <c r="G310" s="8">
        <v>1.1499999999999999</v>
      </c>
      <c r="H310" t="str">
        <f t="shared" si="12"/>
        <v>OK</v>
      </c>
      <c r="I310" s="9">
        <f>IF($H310&lt;&gt;"OK","",ROUND($G310*使い方と設定!$B$7*$AK310*INDEX(個性タイプマスタ!$Q$5:$AA$54,$AE310,1)/$AG310,4))</f>
        <v>1.8146</v>
      </c>
      <c r="J310" s="9">
        <f>IF($H310&lt;&gt;"OK","",ROUND($G310*使い方と設定!$B$7*$AK310*INDEX(個性タイプマスタ!$Q$5:$AA$54,$AE310,2)/$AG310,4))</f>
        <v>0.50009999999999999</v>
      </c>
      <c r="K310" s="9">
        <f>IF($H310&lt;&gt;"OK","",ROUND($G310*使い方と設定!$B$7*$AK310*INDEX(個性タイプマスタ!$Q$5:$AA$54,$AE310,3)/$AG310,4))</f>
        <v>3.2473999999999998</v>
      </c>
      <c r="L310" s="9">
        <f>IF($H310&lt;&gt;"OK","",ROUND($G310*使い方と設定!$B$7*$AK310*INDEX(個性タイプマスタ!$Q$5:$AA$54,$AE310,4)/$AG310,4))</f>
        <v>0.21110000000000001</v>
      </c>
      <c r="M310" s="9">
        <f>IF($H310&lt;&gt;"OK","",ROUND($G310*使い方と設定!$B$7*$AK310*INDEX(個性タイプマスタ!$Q$5:$AA$54,$AE310,5)/$AG310,4))</f>
        <v>1.1593</v>
      </c>
      <c r="N310" s="9">
        <f>IF($H310&lt;&gt;"OK","",ROUND($G310*使い方と設定!$B$7*$AK310*INDEX(個性タイプマスタ!$Q$5:$AA$54,$AE310,6)/$AG310,4))</f>
        <v>0.97160000000000002</v>
      </c>
      <c r="O310" s="9">
        <f>IF($H310&lt;&gt;"OK","",ROUND($G310*使い方と設定!$B$7*$AK310*INDEX(個性タイプマスタ!$Q$5:$AA$54,$AE310,7)/$AG310,4))</f>
        <v>0.85729999999999995</v>
      </c>
      <c r="P310" s="9">
        <f>IF($H310&lt;&gt;"OK","",ROUND($G310*使い方と設定!$B$7*$AK310*INDEX(個性タイプマスタ!$Q$5:$AA$54,$AE310,8)/$AG310,4))</f>
        <v>1.2101999999999999</v>
      </c>
      <c r="Q310" s="9">
        <f>IF($H310&lt;&gt;"OK","",ROUND($G310*使い方と設定!$B$7*$AK310*INDEX(個性タイプマスタ!$Q$5:$AA$54,$AE310,9)/$AG310,4))</f>
        <v>0.47149999999999997</v>
      </c>
      <c r="R310" s="9">
        <f>IF($H310&lt;&gt;"OK","",ROUND($G310*使い方と設定!$B$7*$AK310*INDEX(個性タイプマスタ!$Q$5:$AA$54,$AE310,10)/$AG310,4))</f>
        <v>0.68840000000000001</v>
      </c>
      <c r="S310" s="9">
        <f>IF($H310&lt;&gt;"OK","",ROUND($G310*使い方と設定!$B$7*$AK310*INDEX(個性タイプマスタ!$Q$5:$AA$54,$AE310,11)/$AG310,4))</f>
        <v>1.1274999999999999</v>
      </c>
      <c r="T310" s="9">
        <f>IF($H310&lt;&gt;"OK","",ROUND($G310*使い方と設定!$B$8*$AK310*$AH310*INDEX(属性耐性マスタ!$B$5:$G$10,$AF310,1),4))</f>
        <v>2.9399999999999999E-2</v>
      </c>
      <c r="U310" s="9">
        <f>IF($H310&lt;&gt;"OK","",ROUND($G310*使い方と設定!$B$8*$AK310*$AH310*INDEX(属性耐性マスタ!$B$5:$G$10,$AF310,2),4))</f>
        <v>2.9399999999999999E-2</v>
      </c>
      <c r="V310" s="9">
        <f>IF($H310&lt;&gt;"OK","",ROUND($G310*使い方と設定!$B$8*$AK310*$AH310*INDEX(属性耐性マスタ!$B$5:$G$10,$AF310,3),4))</f>
        <v>0.44130000000000003</v>
      </c>
      <c r="W310" s="9">
        <f>IF($H310&lt;&gt;"OK","",ROUND($G310*使い方と設定!$B$8*$AK310*$AH310*INDEX(属性耐性マスタ!$B$5:$G$10,$AF310,4),4))</f>
        <v>0.1103</v>
      </c>
      <c r="X310" s="9">
        <f>IF($H310&lt;&gt;"OK","",ROUND($G310*使い方と設定!$B$8*$AK310*$AH310*INDEX(属性耐性マスタ!$B$5:$G$10,$AF310,5),4))</f>
        <v>2.2100000000000002E-2</v>
      </c>
      <c r="Y310" s="9">
        <f>IF($H310&lt;&gt;"OK","",ROUND($G310*使い方と設定!$B$8*$AK310*$AH310*INDEX(属性耐性マスタ!$B$5:$G$10,$AF310,6),4))</f>
        <v>2.2100000000000002E-2</v>
      </c>
      <c r="Z310" s="9">
        <f>IF($H310&lt;&gt;"OK","",ROUND($G310*使い方と設定!$B$9*$AK310*$AI310,4))</f>
        <v>3.5756000000000001</v>
      </c>
      <c r="AA310" s="10">
        <v>0.55000000000000004</v>
      </c>
      <c r="AB310" s="11">
        <f t="shared" si="13"/>
        <v>12.259</v>
      </c>
      <c r="AC310" s="11">
        <f t="shared" si="14"/>
        <v>0.65459999999999996</v>
      </c>
      <c r="AD310" s="7" t="str">
        <f>IF($H310&lt;&gt;"OK","",INDEX(個性タイプマスタ!$P$5:$P$54,$AE310))</f>
        <v>一撃重視の低速型</v>
      </c>
      <c r="AE310">
        <f>IFERROR(MATCH(E310,個性タイプマスタ!$A$5:$A$54,0),0)</f>
        <v>33</v>
      </c>
      <c r="AF310">
        <f>IFERROR(MATCH(F310,属性耐性マスタ!$A$5:$A$10,0),0)</f>
        <v>3</v>
      </c>
      <c r="AG310">
        <f>IF(AE310=0,1,INDEX(個性タイプマスタ!$AB$5:$AB$54,AE310))</f>
        <v>9.4376666666666669</v>
      </c>
      <c r="AH310">
        <f>IF(AE310=0,1,INDEX(個性タイプマスタ!$AC$5:$AC$54,AE310))</f>
        <v>0.9</v>
      </c>
      <c r="AI310">
        <f>IF(AE310=0,0,INDEX(個性タイプマスタ!$AD$5:$AD$54,AE310))</f>
        <v>0.875</v>
      </c>
      <c r="AJ310" s="16">
        <v>51</v>
      </c>
      <c r="AK310" s="17">
        <f>IF(OR(AJ310="",AJ310&lt;1),"",POWER(使い方と設定!$E$6,AJ310-1))</f>
        <v>7.1066833462783219</v>
      </c>
    </row>
    <row r="311" spans="1:37">
      <c r="A311" t="str">
        <f>+[2]称号!A306</f>
        <v>TITLE_305</v>
      </c>
      <c r="B311" t="str">
        <f>+[2]称号!B306</f>
        <v>大地を穿つ猛牙</v>
      </c>
      <c r="C311" t="s">
        <v>745</v>
      </c>
      <c r="D311" t="s">
        <v>746</v>
      </c>
      <c r="E311" s="2" t="str">
        <f>[1]モンスター計算!AM309</f>
        <v>近接・長柄</v>
      </c>
      <c r="F311" s="2" t="str">
        <f>[1]モンスター計算!C309</f>
        <v>闇</v>
      </c>
      <c r="G311" s="8">
        <v>1.2</v>
      </c>
      <c r="H311" t="str">
        <f t="shared" si="12"/>
        <v>OK</v>
      </c>
      <c r="I311" s="9">
        <f>IF($H311&lt;&gt;"OK","",ROUND($G311*使い方と設定!$B$7*$AK311*INDEX(個性タイプマスタ!$Q$5:$AA$54,$AE311,1)/$AG311,4))</f>
        <v>1.304</v>
      </c>
      <c r="J311" s="9">
        <f>IF($H311&lt;&gt;"OK","",ROUND($G311*使い方と設定!$B$7*$AK311*INDEX(個性タイプマスタ!$Q$5:$AA$54,$AE311,2)/$AG311,4))</f>
        <v>0.63780000000000003</v>
      </c>
      <c r="K311" s="9">
        <f>IF($H311&lt;&gt;"OK","",ROUND($G311*使い方と設定!$B$7*$AK311*INDEX(個性タイプマスタ!$Q$5:$AA$54,$AE311,3)/$AG311,4))</f>
        <v>3.2212999999999998</v>
      </c>
      <c r="L311" s="9">
        <f>IF($H311&lt;&gt;"OK","",ROUND($G311*使い方と設定!$B$7*$AK311*INDEX(個性タイプマスタ!$Q$5:$AA$54,$AE311,4)/$AG311,4))</f>
        <v>0.25769999999999998</v>
      </c>
      <c r="M311" s="9">
        <f>IF($H311&lt;&gt;"OK","",ROUND($G311*使い方と設定!$B$7*$AK311*INDEX(個性タイプマスタ!$Q$5:$AA$54,$AE311,5)/$AG311,4))</f>
        <v>1.0076000000000001</v>
      </c>
      <c r="N311" s="9">
        <f>IF($H311&lt;&gt;"OK","",ROUND($G311*使い方と設定!$B$7*$AK311*INDEX(個性タイプマスタ!$Q$5:$AA$54,$AE311,6)/$AG311,4))</f>
        <v>0.93089999999999995</v>
      </c>
      <c r="O311" s="9">
        <f>IF($H311&lt;&gt;"OK","",ROUND($G311*使い方と設定!$B$7*$AK311*INDEX(個性タイプマスタ!$Q$5:$AA$54,$AE311,7)/$AG311,4))</f>
        <v>0.99209999999999998</v>
      </c>
      <c r="P311" s="9">
        <f>IF($H311&lt;&gt;"OK","",ROUND($G311*使い方と設定!$B$7*$AK311*INDEX(個性タイプマスタ!$Q$5:$AA$54,$AE311,8)/$AG311,4))</f>
        <v>0.89339999999999997</v>
      </c>
      <c r="Q311" s="9">
        <f>IF($H311&lt;&gt;"OK","",ROUND($G311*使い方と設定!$B$7*$AK311*INDEX(個性タイプマスタ!$Q$5:$AA$54,$AE311,9)/$AG311,4))</f>
        <v>0.69450000000000001</v>
      </c>
      <c r="R311" s="9">
        <f>IF($H311&lt;&gt;"OK","",ROUND($G311*使い方と設定!$B$7*$AK311*INDEX(個性タイプマスタ!$Q$5:$AA$54,$AE311,10)/$AG311,4))</f>
        <v>1.2112000000000001</v>
      </c>
      <c r="S311" s="9">
        <f>IF($H311&lt;&gt;"OK","",ROUND($G311*使い方と設定!$B$7*$AK311*INDEX(個性タイプマスタ!$Q$5:$AA$54,$AE311,11)/$AG311,4))</f>
        <v>1.6415999999999999</v>
      </c>
      <c r="T311" s="9">
        <f>IF($H311&lt;&gt;"OK","",ROUND($G311*使い方と設定!$B$8*$AK311*$AH311*INDEX(属性耐性マスタ!$B$5:$G$10,$AF311,1),4))</f>
        <v>2.1999999999999999E-2</v>
      </c>
      <c r="U311" s="9">
        <f>IF($H311&lt;&gt;"OK","",ROUND($G311*使い方と設定!$B$8*$AK311*$AH311*INDEX(属性耐性マスタ!$B$5:$G$10,$AF311,2),4))</f>
        <v>2.1999999999999999E-2</v>
      </c>
      <c r="V311" s="9">
        <f>IF($H311&lt;&gt;"OK","",ROUND($G311*使い方と設定!$B$8*$AK311*$AH311*INDEX(属性耐性マスタ!$B$5:$G$10,$AF311,3),4))</f>
        <v>2.1999999999999999E-2</v>
      </c>
      <c r="W311" s="9">
        <f>IF($H311&lt;&gt;"OK","",ROUND($G311*使い方と設定!$B$8*$AK311*$AH311*INDEX(属性耐性マスタ!$B$5:$G$10,$AF311,4),4))</f>
        <v>2.1999999999999999E-2</v>
      </c>
      <c r="X311" s="9">
        <f>IF($H311&lt;&gt;"OK","",ROUND($G311*使い方と設定!$B$8*$AK311*$AH311*INDEX(属性耐性マスタ!$B$5:$G$10,$AF311,5),4))</f>
        <v>5.8700000000000002E-2</v>
      </c>
      <c r="Y311" s="9">
        <f>IF($H311&lt;&gt;"OK","",ROUND($G311*使い方と設定!$B$8*$AK311*$AH311*INDEX(属性耐性マスタ!$B$5:$G$10,$AF311,6),4))</f>
        <v>0.44</v>
      </c>
      <c r="Z311" s="9">
        <f>IF($H311&lt;&gt;"OK","",ROUND($G311*使い方と設定!$B$9*$AK311*$AI311,4))</f>
        <v>4.2995000000000001</v>
      </c>
      <c r="AA311" s="10">
        <v>0.5</v>
      </c>
      <c r="AB311" s="11">
        <f t="shared" si="13"/>
        <v>12.7921</v>
      </c>
      <c r="AC311" s="11">
        <f t="shared" si="14"/>
        <v>0.5867</v>
      </c>
      <c r="AD311" s="7" t="str">
        <f>IF($H311&lt;&gt;"OK","",INDEX(個性タイプマスタ!$P$5:$P$54,$AE311))</f>
        <v>攻撃範囲の広い近接</v>
      </c>
      <c r="AE311">
        <f>IFERROR(MATCH(E311,個性タイプマスタ!$A$5:$A$54,0),0)</f>
        <v>40</v>
      </c>
      <c r="AF311">
        <f>IFERROR(MATCH(F311,属性耐性マスタ!$A$5:$A$10,0),0)</f>
        <v>6</v>
      </c>
      <c r="AG311">
        <f>IF(AE311=0,1,INDEX(個性タイプマスタ!$AB$5:$AB$54,AE311))</f>
        <v>9.9278333333333357</v>
      </c>
      <c r="AH311">
        <f>IF(AE311=0,1,INDEX(個性タイプマスタ!$AC$5:$AC$54,AE311))</f>
        <v>0.86</v>
      </c>
      <c r="AI311">
        <f>IF(AE311=0,0,INDEX(個性タイプマスタ!$AD$5:$AD$54,AE311))</f>
        <v>1.0083333333333333</v>
      </c>
      <c r="AJ311" s="16">
        <v>51</v>
      </c>
      <c r="AK311" s="17">
        <f>IF(OR(AJ311="",AJ311&lt;1),"",POWER(使い方と設定!$E$6,AJ311-1))</f>
        <v>7.1066833462783219</v>
      </c>
    </row>
    <row r="312" spans="1:37">
      <c r="A312" t="str">
        <f>+[2]称号!A307</f>
        <v>TITLE_306</v>
      </c>
      <c r="B312" t="str">
        <f>+[2]称号!B307</f>
        <v>草風に舞う翠翼</v>
      </c>
      <c r="C312" t="s">
        <v>747</v>
      </c>
      <c r="D312" t="s">
        <v>748</v>
      </c>
      <c r="E312" s="2" t="str">
        <f>[1]モンスター計算!AM310</f>
        <v>魔法・探索</v>
      </c>
      <c r="F312" s="2" t="str">
        <f>[1]モンスター計算!C310</f>
        <v>風</v>
      </c>
      <c r="G312" s="8">
        <v>1.25</v>
      </c>
      <c r="H312" t="str">
        <f t="shared" si="12"/>
        <v>OK</v>
      </c>
      <c r="I312" s="9">
        <f>IF($H312&lt;&gt;"OK","",ROUND($G312*使い方と設定!$B$7*$AK312*INDEX(個性タイプマスタ!$Q$5:$AA$54,$AE312,1)/$AG312,4))</f>
        <v>1.2545999999999999</v>
      </c>
      <c r="J312" s="9">
        <f>IF($H312&lt;&gt;"OK","",ROUND($G312*使い方と設定!$B$7*$AK312*INDEX(個性タイプマスタ!$Q$5:$AA$54,$AE312,2)/$AG312,4))</f>
        <v>1.3391999999999999</v>
      </c>
      <c r="K312" s="9">
        <f>IF($H312&lt;&gt;"OK","",ROUND($G312*使い方と設定!$B$7*$AK312*INDEX(個性タイプマスタ!$Q$5:$AA$54,$AE312,3)/$AG312,4))</f>
        <v>0.19220000000000001</v>
      </c>
      <c r="L312" s="9">
        <f>IF($H312&lt;&gt;"OK","",ROUND($G312*使い方と設定!$B$7*$AK312*INDEX(個性タイプマスタ!$Q$5:$AA$54,$AE312,4)/$AG312,4))</f>
        <v>3.2039</v>
      </c>
      <c r="M312" s="9">
        <f>IF($H312&lt;&gt;"OK","",ROUND($G312*使い方と設定!$B$7*$AK312*INDEX(個性タイプマスタ!$Q$5:$AA$54,$AE312,5)/$AG312,4))</f>
        <v>1.0022</v>
      </c>
      <c r="N312" s="9">
        <f>IF($H312&lt;&gt;"OK","",ROUND($G312*使い方と設定!$B$7*$AK312*INDEX(個性タイプマスタ!$Q$5:$AA$54,$AE312,6)/$AG312,4))</f>
        <v>0.99129999999999996</v>
      </c>
      <c r="O312" s="9">
        <f>IF($H312&lt;&gt;"OK","",ROUND($G312*使い方と設定!$B$7*$AK312*INDEX(個性タイプマスタ!$Q$5:$AA$54,$AE312,7)/$AG312,4))</f>
        <v>1.0572999999999999</v>
      </c>
      <c r="P312" s="9">
        <f>IF($H312&lt;&gt;"OK","",ROUND($G312*使い方と設定!$B$7*$AK312*INDEX(個性タイプマスタ!$Q$5:$AA$54,$AE312,8)/$AG312,4))</f>
        <v>0.83299999999999996</v>
      </c>
      <c r="Q312" s="9">
        <f>IF($H312&lt;&gt;"OK","",ROUND($G312*使い方と設定!$B$7*$AK312*INDEX(個性タイプマスタ!$Q$5:$AA$54,$AE312,9)/$AG312,4))</f>
        <v>0.874</v>
      </c>
      <c r="R312" s="9">
        <f>IF($H312&lt;&gt;"OK","",ROUND($G312*使い方と設定!$B$7*$AK312*INDEX(個性タイプマスタ!$Q$5:$AA$54,$AE312,10)/$AG312,4))</f>
        <v>1.4738</v>
      </c>
      <c r="S312" s="9">
        <f>IF($H312&lt;&gt;"OK","",ROUND($G312*使い方と設定!$B$7*$AK312*INDEX(個性タイプマスタ!$Q$5:$AA$54,$AE312,11)/$AG312,4))</f>
        <v>1.1033999999999999</v>
      </c>
      <c r="T312" s="9">
        <f>IF($H312&lt;&gt;"OK","",ROUND($G312*使い方と設定!$B$8*$AK312*$AH312*INDEX(属性耐性マスタ!$B$5:$G$10,$AF312,1),4))</f>
        <v>3.4099999999999998E-2</v>
      </c>
      <c r="U312" s="9">
        <f>IF($H312&lt;&gt;"OK","",ROUND($G312*使い方と設定!$B$8*$AK312*$AH312*INDEX(属性耐性マスタ!$B$5:$G$10,$AF312,2),4))</f>
        <v>3.4099999999999998E-2</v>
      </c>
      <c r="V312" s="9">
        <f>IF($H312&lt;&gt;"OK","",ROUND($G312*使い方と設定!$B$8*$AK312*$AH312*INDEX(属性耐性マスタ!$B$5:$G$10,$AF312,3),4))</f>
        <v>0.51170000000000004</v>
      </c>
      <c r="W312" s="9">
        <f>IF($H312&lt;&gt;"OK","",ROUND($G312*使い方と設定!$B$8*$AK312*$AH312*INDEX(属性耐性マスタ!$B$5:$G$10,$AF312,4),4))</f>
        <v>0.12790000000000001</v>
      </c>
      <c r="X312" s="9">
        <f>IF($H312&lt;&gt;"OK","",ROUND($G312*使い方と設定!$B$8*$AK312*$AH312*INDEX(属性耐性マスタ!$B$5:$G$10,$AF312,5),4))</f>
        <v>2.5600000000000001E-2</v>
      </c>
      <c r="Y312" s="9">
        <f>IF($H312&lt;&gt;"OK","",ROUND($G312*使い方と設定!$B$8*$AK312*$AH312*INDEX(属性耐性マスタ!$B$5:$G$10,$AF312,6),4))</f>
        <v>2.5600000000000001E-2</v>
      </c>
      <c r="Z312" s="9">
        <f>IF($H312&lt;&gt;"OK","",ROUND($G312*使い方と設定!$B$9*$AK312*$AI312,4))</f>
        <v>8.2911000000000001</v>
      </c>
      <c r="AA312" s="10">
        <v>0.25</v>
      </c>
      <c r="AB312" s="11">
        <f t="shared" si="13"/>
        <v>13.3249</v>
      </c>
      <c r="AC312" s="11">
        <f t="shared" si="14"/>
        <v>0.75900000000000001</v>
      </c>
      <c r="AD312" s="7" t="str">
        <f>IF($H312&lt;&gt;"OK","",INDEX(個性タイプマスタ!$P$5:$P$54,$AE312))</f>
        <v>高索敵・長射程寄りの探索型</v>
      </c>
      <c r="AE312">
        <f>IFERROR(MATCH(E312,個性タイプマスタ!$A$5:$A$54,0),0)</f>
        <v>28</v>
      </c>
      <c r="AF312">
        <f>IFERROR(MATCH(F312,属性耐性マスタ!$A$5:$A$10,0),0)</f>
        <v>3</v>
      </c>
      <c r="AG312">
        <f>IF(AE312=0,1,INDEX(個性タイプマスタ!$AB$5:$AB$54,AE312))</f>
        <v>10.397500000000001</v>
      </c>
      <c r="AH312">
        <f>IF(AE312=0,1,INDEX(個性タイプマスタ!$AC$5:$AC$54,AE312))</f>
        <v>0.96</v>
      </c>
      <c r="AI312">
        <f>IF(AE312=0,0,INDEX(個性タイプマスタ!$AD$5:$AD$54,AE312))</f>
        <v>1.8666666666666667</v>
      </c>
      <c r="AJ312" s="16">
        <v>51</v>
      </c>
      <c r="AK312" s="17">
        <f>IF(OR(AJ312="",AJ312&lt;1),"",POWER(使い方と設定!$E$6,AJ312-1))</f>
        <v>7.1066833462783219</v>
      </c>
    </row>
    <row r="313" spans="1:37">
      <c r="A313" t="str">
        <f>+[2]称号!A308</f>
        <v>TITLE_307</v>
      </c>
      <c r="B313" t="str">
        <f>+[2]称号!B308</f>
        <v>芽吹きを告げる森童</v>
      </c>
      <c r="C313" t="s">
        <v>749</v>
      </c>
      <c r="D313" t="s">
        <v>750</v>
      </c>
      <c r="E313" s="2" t="str">
        <f>[1]モンスター計算!AM311</f>
        <v>魔法・魔防障壁</v>
      </c>
      <c r="F313" s="2" t="str">
        <f>[1]モンスター計算!C311</f>
        <v>風</v>
      </c>
      <c r="G313" s="8">
        <v>1</v>
      </c>
      <c r="H313" t="str">
        <f t="shared" si="12"/>
        <v>OK</v>
      </c>
      <c r="I313" s="9">
        <f>IF($H313&lt;&gt;"OK","",ROUND($G313*使い方と設定!$B$7*$AK313*INDEX(個性タイプマスタ!$Q$5:$AA$54,$AE313,1)/$AG313,4))</f>
        <v>1.1466000000000001</v>
      </c>
      <c r="J313" s="9">
        <f>IF($H313&lt;&gt;"OK","",ROUND($G313*使い方と設定!$B$7*$AK313*INDEX(個性タイプマスタ!$Q$5:$AA$54,$AE313,2)/$AG313,4))</f>
        <v>1.893</v>
      </c>
      <c r="K313" s="9">
        <f>IF($H313&lt;&gt;"OK","",ROUND($G313*使い方と設定!$B$7*$AK313*INDEX(個性タイプマスタ!$Q$5:$AA$54,$AE313,3)/$AG313,4))</f>
        <v>0.1598</v>
      </c>
      <c r="L313" s="9">
        <f>IF($H313&lt;&gt;"OK","",ROUND($G313*使い方と設定!$B$7*$AK313*INDEX(個性タイプマスタ!$Q$5:$AA$54,$AE313,4)/$AG313,4))</f>
        <v>2.4584000000000001</v>
      </c>
      <c r="M313" s="9">
        <f>IF($H313&lt;&gt;"OK","",ROUND($G313*使い方と設定!$B$7*$AK313*INDEX(個性タイプマスタ!$Q$5:$AA$54,$AE313,5)/$AG313,4))</f>
        <v>0.64359999999999995</v>
      </c>
      <c r="N313" s="9">
        <f>IF($H313&lt;&gt;"OK","",ROUND($G313*使い方と設定!$B$7*$AK313*INDEX(個性タイプマスタ!$Q$5:$AA$54,$AE313,6)/$AG313,4))</f>
        <v>1.7135</v>
      </c>
      <c r="O313" s="9">
        <f>IF($H313&lt;&gt;"OK","",ROUND($G313*使い方と設定!$B$7*$AK313*INDEX(個性タイプマスタ!$Q$5:$AA$54,$AE313,7)/$AG313,4))</f>
        <v>0.48680000000000001</v>
      </c>
      <c r="P313" s="9">
        <f>IF($H313&lt;&gt;"OK","",ROUND($G313*使い方と設定!$B$7*$AK313*INDEX(個性タイプマスタ!$Q$5:$AA$54,$AE313,8)/$AG313,4))</f>
        <v>0.6179</v>
      </c>
      <c r="Q313" s="9">
        <f>IF($H313&lt;&gt;"OK","",ROUND($G313*使い方と設定!$B$7*$AK313*INDEX(個性タイプマスタ!$Q$5:$AA$54,$AE313,9)/$AG313,4))</f>
        <v>0.41110000000000002</v>
      </c>
      <c r="R313" s="9">
        <f>IF($H313&lt;&gt;"OK","",ROUND($G313*使い方と設定!$B$7*$AK313*INDEX(個性タイプマスタ!$Q$5:$AA$54,$AE313,10)/$AG313,4))</f>
        <v>0.82599999999999996</v>
      </c>
      <c r="S313" s="9">
        <f>IF($H313&lt;&gt;"OK","",ROUND($G313*使い方と設定!$B$7*$AK313*INDEX(個性タイプマスタ!$Q$5:$AA$54,$AE313,11)/$AG313,4))</f>
        <v>0.72970000000000002</v>
      </c>
      <c r="T313" s="9">
        <f>IF($H313&lt;&gt;"OK","",ROUND($G313*使い方と設定!$B$8*$AK313*$AH313*INDEX(属性耐性マスタ!$B$5:$G$10,$AF313,1),4))</f>
        <v>4.02E-2</v>
      </c>
      <c r="U313" s="9">
        <f>IF($H313&lt;&gt;"OK","",ROUND($G313*使い方と設定!$B$8*$AK313*$AH313*INDEX(属性耐性マスタ!$B$5:$G$10,$AF313,2),4))</f>
        <v>4.02E-2</v>
      </c>
      <c r="V313" s="9">
        <f>IF($H313&lt;&gt;"OK","",ROUND($G313*使い方と設定!$B$8*$AK313*$AH313*INDEX(属性耐性マスタ!$B$5:$G$10,$AF313,3),4))</f>
        <v>0.60309999999999997</v>
      </c>
      <c r="W313" s="9">
        <f>IF($H313&lt;&gt;"OK","",ROUND($G313*使い方と設定!$B$8*$AK313*$AH313*INDEX(属性耐性マスタ!$B$5:$G$10,$AF313,4),4))</f>
        <v>0.15079999999999999</v>
      </c>
      <c r="X313" s="9">
        <f>IF($H313&lt;&gt;"OK","",ROUND($G313*使い方と設定!$B$8*$AK313*$AH313*INDEX(属性耐性マスタ!$B$5:$G$10,$AF313,5),4))</f>
        <v>3.0200000000000001E-2</v>
      </c>
      <c r="Y313" s="9">
        <f>IF($H313&lt;&gt;"OK","",ROUND($G313*使い方と設定!$B$8*$AK313*$AH313*INDEX(属性耐性マスタ!$B$5:$G$10,$AF313,6),4))</f>
        <v>3.0200000000000001E-2</v>
      </c>
      <c r="Z313" s="9">
        <f>IF($H313&lt;&gt;"OK","",ROUND($G313*使い方と設定!$B$9*$AK313*$AI313,4))</f>
        <v>3.3875000000000002</v>
      </c>
      <c r="AA313" s="10">
        <v>1</v>
      </c>
      <c r="AB313" s="11">
        <f t="shared" si="13"/>
        <v>11.086399999999999</v>
      </c>
      <c r="AC313" s="11">
        <f t="shared" si="14"/>
        <v>0.89470000000000005</v>
      </c>
      <c r="AD313" s="7" t="str">
        <f>IF($H313&lt;&gt;"OK","",INDEX(個性タイプマスタ!$P$5:$P$54,$AE313))</f>
        <v>魔法防御に偏重した耐久型</v>
      </c>
      <c r="AE313">
        <f>IFERROR(MATCH(E313,個性タイプマスタ!$A$5:$A$54,0),0)</f>
        <v>24</v>
      </c>
      <c r="AF313">
        <f>IFERROR(MATCH(F313,属性耐性マスタ!$A$5:$A$10,0),0)</f>
        <v>3</v>
      </c>
      <c r="AG313">
        <f>IF(AE313=0,1,INDEX(個性タイプマスタ!$AB$5:$AB$54,AE313))</f>
        <v>11.273833333333332</v>
      </c>
      <c r="AH313">
        <f>IF(AE313=0,1,INDEX(個性タイプマスタ!$AC$5:$AC$54,AE313))</f>
        <v>1.3599999999999999</v>
      </c>
      <c r="AI313">
        <f>IF(AE313=0,0,INDEX(個性タイプマスタ!$AD$5:$AD$54,AE313))</f>
        <v>0.91666666666666663</v>
      </c>
      <c r="AJ313" s="16">
        <v>52</v>
      </c>
      <c r="AK313" s="17">
        <f>IF(OR(AJ313="",AJ313&lt;1),"",POWER(使い方と設定!$E$6,AJ313-1))</f>
        <v>7.3909506801294551</v>
      </c>
    </row>
    <row r="314" spans="1:37">
      <c r="A314" t="str">
        <f>+[2]称号!A309</f>
        <v>TITLE_308</v>
      </c>
      <c r="B314" t="str">
        <f>+[2]称号!B309</f>
        <v>苔牙の森荒らし</v>
      </c>
      <c r="C314" t="s">
        <v>751</v>
      </c>
      <c r="D314" t="s">
        <v>752</v>
      </c>
      <c r="E314" s="2" t="str">
        <f>[1]モンスター計算!AM312</f>
        <v>魔法・薄命結界</v>
      </c>
      <c r="F314" s="2" t="str">
        <f>[1]モンスター計算!C312</f>
        <v>風</v>
      </c>
      <c r="G314" s="8">
        <v>1.05</v>
      </c>
      <c r="H314" t="str">
        <f t="shared" si="12"/>
        <v>OK</v>
      </c>
      <c r="I314" s="9">
        <f>IF($H314&lt;&gt;"OK","",ROUND($G314*使い方と設定!$B$7*$AK314*INDEX(個性タイプマスタ!$Q$5:$AA$54,$AE314,1)/$AG314,4))</f>
        <v>0.61860000000000004</v>
      </c>
      <c r="J314" s="9">
        <f>IF($H314&lt;&gt;"OK","",ROUND($G314*使い方と設定!$B$7*$AK314*INDEX(個性タイプマスタ!$Q$5:$AA$54,$AE314,2)/$AG314,4))</f>
        <v>1.6872</v>
      </c>
      <c r="K314" s="9">
        <f>IF($H314&lt;&gt;"OK","",ROUND($G314*使い方と設定!$B$7*$AK314*INDEX(個性タイプマスタ!$Q$5:$AA$54,$AE314,3)/$AG314,4))</f>
        <v>0.20449999999999999</v>
      </c>
      <c r="L314" s="9">
        <f>IF($H314&lt;&gt;"OK","",ROUND($G314*使い方と設定!$B$7*$AK314*INDEX(個性タイプマスタ!$Q$5:$AA$54,$AE314,4)/$AG314,4))</f>
        <v>2.5564</v>
      </c>
      <c r="M314" s="9">
        <f>IF($H314&lt;&gt;"OK","",ROUND($G314*使い方と設定!$B$7*$AK314*INDEX(個性タイプマスタ!$Q$5:$AA$54,$AE314,5)/$AG314,4))</f>
        <v>1.2603</v>
      </c>
      <c r="N314" s="9">
        <f>IF($H314&lt;&gt;"OK","",ROUND($G314*使い方と設定!$B$7*$AK314*INDEX(個性タイプマスタ!$Q$5:$AA$54,$AE314,6)/$AG314,4))</f>
        <v>1.9556</v>
      </c>
      <c r="O314" s="9">
        <f>IF($H314&lt;&gt;"OK","",ROUND($G314*使い方と設定!$B$7*$AK314*INDEX(個性タイプマスタ!$Q$5:$AA$54,$AE314,7)/$AG314,4))</f>
        <v>0.44990000000000002</v>
      </c>
      <c r="P314" s="9">
        <f>IF($H314&lt;&gt;"OK","",ROUND($G314*使い方と設定!$B$7*$AK314*INDEX(個性タイプマスタ!$Q$5:$AA$54,$AE314,8)/$AG314,4))</f>
        <v>0.61150000000000004</v>
      </c>
      <c r="Q314" s="9">
        <f>IF($H314&lt;&gt;"OK","",ROUND($G314*使い方と設定!$B$7*$AK314*INDEX(個性タイプマスタ!$Q$5:$AA$54,$AE314,9)/$AG314,4))</f>
        <v>0.49490000000000001</v>
      </c>
      <c r="R314" s="9">
        <f>IF($H314&lt;&gt;"OK","",ROUND($G314*使い方と設定!$B$7*$AK314*INDEX(個性タイプマスタ!$Q$5:$AA$54,$AE314,10)/$AG314,4))</f>
        <v>0.89980000000000004</v>
      </c>
      <c r="S314" s="9">
        <f>IF($H314&lt;&gt;"OK","",ROUND($G314*使い方と設定!$B$7*$AK314*INDEX(個性タイプマスタ!$Q$5:$AA$54,$AE314,11)/$AG314,4))</f>
        <v>0.90190000000000003</v>
      </c>
      <c r="T314" s="9">
        <f>IF($H314&lt;&gt;"OK","",ROUND($G314*使い方と設定!$B$8*$AK314*$AH314*INDEX(属性耐性マスタ!$B$5:$G$10,$AF314,1),4))</f>
        <v>4.6600000000000003E-2</v>
      </c>
      <c r="U314" s="9">
        <f>IF($H314&lt;&gt;"OK","",ROUND($G314*使い方と設定!$B$8*$AK314*$AH314*INDEX(属性耐性マスタ!$B$5:$G$10,$AF314,2),4))</f>
        <v>4.6600000000000003E-2</v>
      </c>
      <c r="V314" s="9">
        <f>IF($H314&lt;&gt;"OK","",ROUND($G314*使い方と設定!$B$8*$AK314*$AH314*INDEX(属性耐性マスタ!$B$5:$G$10,$AF314,3),4))</f>
        <v>0.69840000000000002</v>
      </c>
      <c r="W314" s="9">
        <f>IF($H314&lt;&gt;"OK","",ROUND($G314*使い方と設定!$B$8*$AK314*$AH314*INDEX(属性耐性マスタ!$B$5:$G$10,$AF314,4),4))</f>
        <v>0.17460000000000001</v>
      </c>
      <c r="X314" s="9">
        <f>IF($H314&lt;&gt;"OK","",ROUND($G314*使い方と設定!$B$8*$AK314*$AH314*INDEX(属性耐性マスタ!$B$5:$G$10,$AF314,5),4))</f>
        <v>3.49E-2</v>
      </c>
      <c r="Y314" s="9">
        <f>IF($H314&lt;&gt;"OK","",ROUND($G314*使い方と設定!$B$8*$AK314*$AH314*INDEX(属性耐性マスタ!$B$5:$G$10,$AF314,6),4))</f>
        <v>3.49E-2</v>
      </c>
      <c r="Z314" s="9">
        <f>IF($H314&lt;&gt;"OK","",ROUND($G314*使い方と設定!$B$9*$AK314*$AI314,4))</f>
        <v>3.7509000000000001</v>
      </c>
      <c r="AA314" s="10">
        <v>1</v>
      </c>
      <c r="AB314" s="11">
        <f t="shared" si="13"/>
        <v>11.640599999999999</v>
      </c>
      <c r="AC314" s="11">
        <f t="shared" si="14"/>
        <v>1.036</v>
      </c>
      <c r="AD314" s="7" t="str">
        <f>IF($H314&lt;&gt;"OK","",INDEX(個性タイプマスタ!$P$5:$P$54,$AE314))</f>
        <v>低HPだが防御・耐性が高い極端な守護型</v>
      </c>
      <c r="AE314">
        <f>IFERROR(MATCH(E314,個性タイプマスタ!$A$5:$A$54,0),0)</f>
        <v>31</v>
      </c>
      <c r="AF314">
        <f>IFERROR(MATCH(F314,属性耐性マスタ!$A$5:$A$10,0),0)</f>
        <v>3</v>
      </c>
      <c r="AG314">
        <f>IF(AE314=0,1,INDEX(個性タイプマスタ!$AB$5:$AB$54,AE314))</f>
        <v>11.384</v>
      </c>
      <c r="AH314">
        <f>IF(AE314=0,1,INDEX(個性タイプマスタ!$AC$5:$AC$54,AE314))</f>
        <v>1.5</v>
      </c>
      <c r="AI314">
        <f>IF(AE314=0,0,INDEX(個性タイプマスタ!$AD$5:$AD$54,AE314))</f>
        <v>0.96666666666666667</v>
      </c>
      <c r="AJ314" s="16">
        <v>52</v>
      </c>
      <c r="AK314" s="17">
        <f>IF(OR(AJ314="",AJ314&lt;1),"",POWER(使い方と設定!$E$6,AJ314-1))</f>
        <v>7.3909506801294551</v>
      </c>
    </row>
    <row r="315" spans="1:37">
      <c r="A315" t="str">
        <f>+[2]称号!A310</f>
        <v>TITLE_309</v>
      </c>
      <c r="B315" t="str">
        <f>+[2]称号!B310</f>
        <v>悠久を歩む古樹巨人</v>
      </c>
      <c r="C315" t="s">
        <v>753</v>
      </c>
      <c r="D315" t="s">
        <v>754</v>
      </c>
      <c r="E315" s="2" t="str">
        <f>[1]モンスター計算!AM313</f>
        <v>魔法・支援</v>
      </c>
      <c r="F315" s="2" t="str">
        <f>[1]モンスター計算!C313</f>
        <v>風</v>
      </c>
      <c r="G315" s="8">
        <v>1.1000000000000001</v>
      </c>
      <c r="H315" t="str">
        <f t="shared" si="12"/>
        <v>OK</v>
      </c>
      <c r="I315" s="9">
        <f>IF($H315&lt;&gt;"OK","",ROUND($G315*使い方と設定!$B$7*$AK315*INDEX(個性タイプマスタ!$Q$5:$AA$54,$AE315,1)/$AG315,4))</f>
        <v>1.2422</v>
      </c>
      <c r="J315" s="9">
        <f>IF($H315&lt;&gt;"OK","",ROUND($G315*使い方と設定!$B$7*$AK315*INDEX(個性タイプマスタ!$Q$5:$AA$54,$AE315,2)/$AG315,4))</f>
        <v>1.8012999999999999</v>
      </c>
      <c r="K315" s="9">
        <f>IF($H315&lt;&gt;"OK","",ROUND($G315*使い方と設定!$B$7*$AK315*INDEX(個性タイプマスタ!$Q$5:$AA$54,$AE315,3)/$AG315,4))</f>
        <v>0.2823</v>
      </c>
      <c r="L315" s="9">
        <f>IF($H315&lt;&gt;"OK","",ROUND($G315*使い方と設定!$B$7*$AK315*INDEX(個性タイプマスタ!$Q$5:$AA$54,$AE315,4)/$AG315,4))</f>
        <v>2.8233000000000001</v>
      </c>
      <c r="M315" s="9">
        <f>IF($H315&lt;&gt;"OK","",ROUND($G315*使い方と設定!$B$7*$AK315*INDEX(個性タイプマスタ!$Q$5:$AA$54,$AE315,5)/$AG315,4))</f>
        <v>0.95989999999999998</v>
      </c>
      <c r="N315" s="9">
        <f>IF($H315&lt;&gt;"OK","",ROUND($G315*使い方と設定!$B$7*$AK315*INDEX(個性タイプマスタ!$Q$5:$AA$54,$AE315,6)/$AG315,4))</f>
        <v>1.1518999999999999</v>
      </c>
      <c r="O315" s="9">
        <f>IF($H315&lt;&gt;"OK","",ROUND($G315*使い方と設定!$B$7*$AK315*INDEX(個性タイプマスタ!$Q$5:$AA$54,$AE315,7)/$AG315,4))</f>
        <v>0.74529999999999996</v>
      </c>
      <c r="P315" s="9">
        <f>IF($H315&lt;&gt;"OK","",ROUND($G315*使い方と設定!$B$7*$AK315*INDEX(個性タイプマスタ!$Q$5:$AA$54,$AE315,8)/$AG315,4))</f>
        <v>0.68510000000000004</v>
      </c>
      <c r="Q315" s="9">
        <f>IF($H315&lt;&gt;"OK","",ROUND($G315*使い方と設定!$B$7*$AK315*INDEX(個性タイプマスタ!$Q$5:$AA$54,$AE315,9)/$AG315,4))</f>
        <v>0.52170000000000005</v>
      </c>
      <c r="R315" s="9">
        <f>IF($H315&lt;&gt;"OK","",ROUND($G315*使い方と設定!$B$7*$AK315*INDEX(個性タイプマスタ!$Q$5:$AA$54,$AE315,10)/$AG315,4))</f>
        <v>1.0728</v>
      </c>
      <c r="S315" s="9">
        <f>IF($H315&lt;&gt;"OK","",ROUND($G315*使い方と設定!$B$7*$AK315*INDEX(個性タイプマスタ!$Q$5:$AA$54,$AE315,11)/$AG315,4))</f>
        <v>0.90910000000000002</v>
      </c>
      <c r="T315" s="9">
        <f>IF($H315&lt;&gt;"OK","",ROUND($G315*使い方と設定!$B$8*$AK315*$AH315*INDEX(属性耐性マスタ!$B$5:$G$10,$AF315,1),4))</f>
        <v>3.6400000000000002E-2</v>
      </c>
      <c r="U315" s="9">
        <f>IF($H315&lt;&gt;"OK","",ROUND($G315*使い方と設定!$B$8*$AK315*$AH315*INDEX(属性耐性マスタ!$B$5:$G$10,$AF315,2),4))</f>
        <v>3.6400000000000002E-2</v>
      </c>
      <c r="V315" s="9">
        <f>IF($H315&lt;&gt;"OK","",ROUND($G315*使い方と設定!$B$8*$AK315*$AH315*INDEX(属性耐性マスタ!$B$5:$G$10,$AF315,3),4))</f>
        <v>0.54630000000000001</v>
      </c>
      <c r="W315" s="9">
        <f>IF($H315&lt;&gt;"OK","",ROUND($G315*使い方と設定!$B$8*$AK315*$AH315*INDEX(属性耐性マスタ!$B$5:$G$10,$AF315,4),4))</f>
        <v>0.1366</v>
      </c>
      <c r="X315" s="9">
        <f>IF($H315&lt;&gt;"OK","",ROUND($G315*使い方と設定!$B$8*$AK315*$AH315*INDEX(属性耐性マスタ!$B$5:$G$10,$AF315,5),4))</f>
        <v>2.7300000000000001E-2</v>
      </c>
      <c r="Y315" s="9">
        <f>IF($H315&lt;&gt;"OK","",ROUND($G315*使い方と設定!$B$8*$AK315*$AH315*INDEX(属性耐性マスタ!$B$5:$G$10,$AF315,6),4))</f>
        <v>2.7300000000000001E-2</v>
      </c>
      <c r="Z315" s="9">
        <f>IF($H315&lt;&gt;"OK","",ROUND($G315*使い方と設定!$B$9*$AK315*$AI315,4))</f>
        <v>3.8618000000000001</v>
      </c>
      <c r="AA315" s="10">
        <v>0.9</v>
      </c>
      <c r="AB315" s="11">
        <f t="shared" si="13"/>
        <v>12.194900000000001</v>
      </c>
      <c r="AC315" s="11">
        <f t="shared" si="14"/>
        <v>0.81030000000000002</v>
      </c>
      <c r="AD315" s="7" t="str">
        <f>IF($H315&lt;&gt;"OK","",INDEX(個性タイプマスタ!$P$5:$P$54,$AE315))</f>
        <v>MPと魔防寄りの支援型</v>
      </c>
      <c r="AE315">
        <f>IFERROR(MATCH(E315,個性タイプマスタ!$A$5:$A$54,0),0)</f>
        <v>10</v>
      </c>
      <c r="AF315">
        <f>IFERROR(MATCH(F315,属性耐性マスタ!$A$5:$A$10,0),0)</f>
        <v>3</v>
      </c>
      <c r="AG315">
        <f>IF(AE315=0,1,INDEX(個性タイプマスタ!$AB$5:$AB$54,AE315))</f>
        <v>10.798666666666666</v>
      </c>
      <c r="AH315">
        <f>IF(AE315=0,1,INDEX(個性タイプマスタ!$AC$5:$AC$54,AE315))</f>
        <v>1.1200000000000001</v>
      </c>
      <c r="AI315">
        <f>IF(AE315=0,0,INDEX(個性タイプマスタ!$AD$5:$AD$54,AE315))</f>
        <v>0.95</v>
      </c>
      <c r="AJ315" s="16">
        <v>52</v>
      </c>
      <c r="AK315" s="17">
        <f>IF(OR(AJ315="",AJ315&lt;1),"",POWER(使い方と設定!$E$6,AJ315-1))</f>
        <v>7.3909506801294551</v>
      </c>
    </row>
    <row r="316" spans="1:37">
      <c r="A316" t="str">
        <f>+[2]称号!A311</f>
        <v>TITLE_310</v>
      </c>
      <c r="B316" t="str">
        <f>+[2]称号!B311</f>
        <v>白翠に祝福されし花角鹿</v>
      </c>
      <c r="C316" t="s">
        <v>755</v>
      </c>
      <c r="D316" t="s">
        <v>756</v>
      </c>
      <c r="E316" s="2" t="str">
        <f>[1]モンスター計算!AM314</f>
        <v>近接・耐性鎧</v>
      </c>
      <c r="F316" s="2" t="str">
        <f>[1]モンスター計算!C314</f>
        <v>風</v>
      </c>
      <c r="G316" s="8">
        <v>1.1499999999999999</v>
      </c>
      <c r="H316" t="str">
        <f t="shared" si="12"/>
        <v>OK</v>
      </c>
      <c r="I316" s="9">
        <f>IF($H316&lt;&gt;"OK","",ROUND($G316*使い方と設定!$B$7*$AK316*INDEX(個性タイプマスタ!$Q$5:$AA$54,$AE316,1)/$AG316,4))</f>
        <v>1.7299</v>
      </c>
      <c r="J316" s="9">
        <f>IF($H316&lt;&gt;"OK","",ROUND($G316*使い方と設定!$B$7*$AK316*INDEX(個性タイプマスタ!$Q$5:$AA$54,$AE316,2)/$AG316,4))</f>
        <v>0.76970000000000005</v>
      </c>
      <c r="K316" s="9">
        <f>IF($H316&lt;&gt;"OK","",ROUND($G316*使い方と設定!$B$7*$AK316*INDEX(個性タイプマスタ!$Q$5:$AA$54,$AE316,3)/$AG316,4))</f>
        <v>3.3319000000000001</v>
      </c>
      <c r="L316" s="9">
        <f>IF($H316&lt;&gt;"OK","",ROUND($G316*使い方と設定!$B$7*$AK316*INDEX(個性タイプマスタ!$Q$5:$AA$54,$AE316,4)/$AG316,4))</f>
        <v>0.23319999999999999</v>
      </c>
      <c r="M316" s="9">
        <f>IF($H316&lt;&gt;"OK","",ROUND($G316*使い方と設定!$B$7*$AK316*INDEX(個性タイプマスタ!$Q$5:$AA$54,$AE316,5)/$AG316,4))</f>
        <v>1.2914000000000001</v>
      </c>
      <c r="N316" s="9">
        <f>IF($H316&lt;&gt;"OK","",ROUND($G316*使い方と設定!$B$7*$AK316*INDEX(個性タイプマスタ!$Q$5:$AA$54,$AE316,6)/$AG316,4))</f>
        <v>1.2914000000000001</v>
      </c>
      <c r="O316" s="9">
        <f>IF($H316&lt;&gt;"OK","",ROUND($G316*使い方と設定!$B$7*$AK316*INDEX(個性タイプマスタ!$Q$5:$AA$54,$AE316,7)/$AG316,4))</f>
        <v>0.58640000000000003</v>
      </c>
      <c r="P316" s="9">
        <f>IF($H316&lt;&gt;"OK","",ROUND($G316*使い方と設定!$B$7*$AK316*INDEX(個性タイプマスタ!$Q$5:$AA$54,$AE316,8)/$AG316,4))</f>
        <v>0.82589999999999997</v>
      </c>
      <c r="Q316" s="9">
        <f>IF($H316&lt;&gt;"OK","",ROUND($G316*使い方と設定!$B$7*$AK316*INDEX(個性タイプマスタ!$Q$5:$AA$54,$AE316,9)/$AG316,4))</f>
        <v>0.63039999999999996</v>
      </c>
      <c r="R316" s="9">
        <f>IF($H316&lt;&gt;"OK","",ROUND($G316*使い方と設定!$B$7*$AK316*INDEX(個性タイプマスタ!$Q$5:$AA$54,$AE316,10)/$AG316,4))</f>
        <v>1.1728000000000001</v>
      </c>
      <c r="S316" s="9">
        <f>IF($H316&lt;&gt;"OK","",ROUND($G316*使い方と設定!$B$7*$AK316*INDEX(個性タイプマスタ!$Q$5:$AA$54,$AE316,11)/$AG316,4))</f>
        <v>0.88629999999999998</v>
      </c>
      <c r="T316" s="9">
        <f>IF($H316&lt;&gt;"OK","",ROUND($G316*使い方と設定!$B$8*$AK316*$AH316*INDEX(属性耐性マスタ!$B$5:$G$10,$AF316,1),4))</f>
        <v>5.0999999999999997E-2</v>
      </c>
      <c r="U316" s="9">
        <f>IF($H316&lt;&gt;"OK","",ROUND($G316*使い方と設定!$B$8*$AK316*$AH316*INDEX(属性耐性マスタ!$B$5:$G$10,$AF316,2),4))</f>
        <v>5.0999999999999997E-2</v>
      </c>
      <c r="V316" s="9">
        <f>IF($H316&lt;&gt;"OK","",ROUND($G316*使い方と設定!$B$8*$AK316*$AH316*INDEX(属性耐性マスタ!$B$5:$G$10,$AF316,3),4))</f>
        <v>0.76500000000000001</v>
      </c>
      <c r="W316" s="9">
        <f>IF($H316&lt;&gt;"OK","",ROUND($G316*使い方と設定!$B$8*$AK316*$AH316*INDEX(属性耐性マスタ!$B$5:$G$10,$AF316,4),4))</f>
        <v>0.19120000000000001</v>
      </c>
      <c r="X316" s="9">
        <f>IF($H316&lt;&gt;"OK","",ROUND($G316*使い方と設定!$B$8*$AK316*$AH316*INDEX(属性耐性マスタ!$B$5:$G$10,$AF316,5),4))</f>
        <v>3.8199999999999998E-2</v>
      </c>
      <c r="Y316" s="9">
        <f>IF($H316&lt;&gt;"OK","",ROUND($G316*使い方と設定!$B$8*$AK316*$AH316*INDEX(属性耐性マスタ!$B$5:$G$10,$AF316,6),4))</f>
        <v>3.8199999999999998E-2</v>
      </c>
      <c r="Z316" s="9">
        <f>IF($H316&lt;&gt;"OK","",ROUND($G316*使い方と設定!$B$9*$AK316*$AI316,4))</f>
        <v>4.0727000000000002</v>
      </c>
      <c r="AA316" s="10">
        <v>0.55000000000000004</v>
      </c>
      <c r="AB316" s="11">
        <f t="shared" si="13"/>
        <v>12.7493</v>
      </c>
      <c r="AC316" s="11">
        <f t="shared" si="14"/>
        <v>1.1346000000000001</v>
      </c>
      <c r="AD316" s="7" t="str">
        <f>IF($H316&lt;&gt;"OK","",INDEX(個性タイプマスタ!$P$5:$P$54,$AE316))</f>
        <v>属性耐性重視の堅実型</v>
      </c>
      <c r="AE316">
        <f>IFERROR(MATCH(E316,個性タイプマスタ!$A$5:$A$54,0),0)</f>
        <v>39</v>
      </c>
      <c r="AF316">
        <f>IFERROR(MATCH(F316,属性耐性マスタ!$A$5:$A$10,0),0)</f>
        <v>3</v>
      </c>
      <c r="AG316">
        <f>IF(AE316=0,1,INDEX(個性タイプマスタ!$AB$5:$AB$54,AE316))</f>
        <v>9.5661666666666676</v>
      </c>
      <c r="AH316">
        <f>IF(AE316=0,1,INDEX(個性タイプマスタ!$AC$5:$AC$54,AE316))</f>
        <v>1.5</v>
      </c>
      <c r="AI316">
        <f>IF(AE316=0,0,INDEX(個性タイプマスタ!$AD$5:$AD$54,AE316))</f>
        <v>0.95833333333333326</v>
      </c>
      <c r="AJ316" s="16">
        <v>52</v>
      </c>
      <c r="AK316" s="17">
        <f>IF(OR(AJ316="",AJ316&lt;1),"",POWER(使い方と設定!$E$6,AJ316-1))</f>
        <v>7.3909506801294551</v>
      </c>
    </row>
    <row r="317" spans="1:37">
      <c r="A317" t="str">
        <f>+[2]称号!A312</f>
        <v>TITLE_311</v>
      </c>
      <c r="B317" t="str">
        <f>+[2]称号!B312</f>
        <v>深緑を喰らう森牙</v>
      </c>
      <c r="C317" t="s">
        <v>757</v>
      </c>
      <c r="D317" t="s">
        <v>758</v>
      </c>
      <c r="E317" s="2" t="str">
        <f>[1]モンスター計算!AM315</f>
        <v>近接・会心</v>
      </c>
      <c r="F317" s="2" t="str">
        <f>[1]モンスター計算!C315</f>
        <v>光</v>
      </c>
      <c r="G317" s="8">
        <v>1.2</v>
      </c>
      <c r="H317" t="str">
        <f t="shared" si="12"/>
        <v>OK</v>
      </c>
      <c r="I317" s="9">
        <f>IF($H317&lt;&gt;"OK","",ROUND($G317*使い方と設定!$B$7*$AK317*INDEX(個性タイプマスタ!$Q$5:$AA$54,$AE317,1)/$AG317,4))</f>
        <v>1.0966</v>
      </c>
      <c r="J317" s="9">
        <f>IF($H317&lt;&gt;"OK","",ROUND($G317*使い方と設定!$B$7*$AK317*INDEX(個性タイプマスタ!$Q$5:$AA$54,$AE317,2)/$AG317,4))</f>
        <v>0.45379999999999998</v>
      </c>
      <c r="K317" s="9">
        <f>IF($H317&lt;&gt;"OK","",ROUND($G317*使い方と設定!$B$7*$AK317*INDEX(個性タイプマスタ!$Q$5:$AA$54,$AE317,3)/$AG317,4))</f>
        <v>2.8647999999999998</v>
      </c>
      <c r="L317" s="9">
        <f>IF($H317&lt;&gt;"OK","",ROUND($G317*使い方と設定!$B$7*$AK317*INDEX(個性タイプマスタ!$Q$5:$AA$54,$AE317,4)/$AG317,4))</f>
        <v>0.1862</v>
      </c>
      <c r="M317" s="9">
        <f>IF($H317&lt;&gt;"OK","",ROUND($G317*使い方と設定!$B$7*$AK317*INDEX(個性タイプマスタ!$Q$5:$AA$54,$AE317,5)/$AG317,4))</f>
        <v>0.8377</v>
      </c>
      <c r="N317" s="9">
        <f>IF($H317&lt;&gt;"OK","",ROUND($G317*使い方と設定!$B$7*$AK317*INDEX(個性タイプマスタ!$Q$5:$AA$54,$AE317,6)/$AG317,4))</f>
        <v>0.75</v>
      </c>
      <c r="O317" s="9">
        <f>IF($H317&lt;&gt;"OK","",ROUND($G317*使い方と設定!$B$7*$AK317*INDEX(個性タイプマスタ!$Q$5:$AA$54,$AE317,7)/$AG317,4))</f>
        <v>3.4034</v>
      </c>
      <c r="P317" s="9">
        <f>IF($H317&lt;&gt;"OK","",ROUND($G317*使い方と設定!$B$7*$AK317*INDEX(個性タイプマスタ!$Q$5:$AA$54,$AE317,8)/$AG317,4))</f>
        <v>1.008</v>
      </c>
      <c r="Q317" s="9">
        <f>IF($H317&lt;&gt;"OK","",ROUND($G317*使い方と設定!$B$7*$AK317*INDEX(個性タイプマスタ!$Q$5:$AA$54,$AE317,9)/$AG317,4))</f>
        <v>0.69330000000000003</v>
      </c>
      <c r="R317" s="9">
        <f>IF($H317&lt;&gt;"OK","",ROUND($G317*使い方と設定!$B$7*$AK317*INDEX(個性タイプマスタ!$Q$5:$AA$54,$AE317,10)/$AG317,4))</f>
        <v>1.1918</v>
      </c>
      <c r="S317" s="9">
        <f>IF($H317&lt;&gt;"OK","",ROUND($G317*使い方と設定!$B$7*$AK317*INDEX(個性タイプマスタ!$Q$5:$AA$54,$AE317,11)/$AG317,4))</f>
        <v>0.81820000000000004</v>
      </c>
      <c r="T317" s="9">
        <f>IF($H317&lt;&gt;"OK","",ROUND($G317*使い方と設定!$B$8*$AK317*$AH317*INDEX(属性耐性マスタ!$B$5:$G$10,$AF317,1),4))</f>
        <v>2.0199999999999999E-2</v>
      </c>
      <c r="U317" s="9">
        <f>IF($H317&lt;&gt;"OK","",ROUND($G317*使い方と設定!$B$8*$AK317*$AH317*INDEX(属性耐性マスタ!$B$5:$G$10,$AF317,2),4))</f>
        <v>2.0199999999999999E-2</v>
      </c>
      <c r="V317" s="9">
        <f>IF($H317&lt;&gt;"OK","",ROUND($G317*使い方と設定!$B$8*$AK317*$AH317*INDEX(属性耐性マスタ!$B$5:$G$10,$AF317,3),4))</f>
        <v>2.0199999999999999E-2</v>
      </c>
      <c r="W317" s="9">
        <f>IF($H317&lt;&gt;"OK","",ROUND($G317*使い方と設定!$B$8*$AK317*$AH317*INDEX(属性耐性マスタ!$B$5:$G$10,$AF317,4),4))</f>
        <v>2.0199999999999999E-2</v>
      </c>
      <c r="X317" s="9">
        <f>IF($H317&lt;&gt;"OK","",ROUND($G317*使い方と設定!$B$8*$AK317*$AH317*INDEX(属性耐性マスタ!$B$5:$G$10,$AF317,5),4))</f>
        <v>0.40439999999999998</v>
      </c>
      <c r="Y317" s="9">
        <f>IF($H317&lt;&gt;"OK","",ROUND($G317*使い方と設定!$B$8*$AK317*$AH317*INDEX(属性耐性マスタ!$B$5:$G$10,$AF317,6),4))</f>
        <v>5.3900000000000003E-2</v>
      </c>
      <c r="Z317" s="9">
        <f>IF($H317&lt;&gt;"OK","",ROUND($G317*使い方と設定!$B$9*$AK317*$AI317,4))</f>
        <v>4.6932999999999998</v>
      </c>
      <c r="AA317" s="10">
        <v>0.5</v>
      </c>
      <c r="AB317" s="11">
        <f t="shared" si="13"/>
        <v>13.303800000000001</v>
      </c>
      <c r="AC317" s="11">
        <f t="shared" si="14"/>
        <v>0.53910000000000002</v>
      </c>
      <c r="AD317" s="7" t="str">
        <f>IF($H317&lt;&gt;"OK","",INDEX(個性タイプマスタ!$P$5:$P$54,$AE317))</f>
        <v>クリティカル確率に特化</v>
      </c>
      <c r="AE317">
        <f>IFERROR(MATCH(E317,個性タイプマスタ!$A$5:$A$54,0),0)</f>
        <v>46</v>
      </c>
      <c r="AF317">
        <f>IFERROR(MATCH(F317,属性耐性マスタ!$A$5:$A$10,0),0)</f>
        <v>5</v>
      </c>
      <c r="AG317">
        <f>IF(AE317=0,1,INDEX(個性タイプマスタ!$AB$5:$AB$54,AE317))</f>
        <v>11.609666666666667</v>
      </c>
      <c r="AH317">
        <f>IF(AE317=0,1,INDEX(個性タイプマスタ!$AC$5:$AC$54,AE317))</f>
        <v>0.76</v>
      </c>
      <c r="AI317">
        <f>IF(AE317=0,0,INDEX(個性タイプマスタ!$AD$5:$AD$54,AE317))</f>
        <v>1.0583333333333333</v>
      </c>
      <c r="AJ317" s="16">
        <v>52</v>
      </c>
      <c r="AK317" s="17">
        <f>IF(OR(AJ317="",AJ317&lt;1),"",POWER(使い方と設定!$E$6,AJ317-1))</f>
        <v>7.3909506801294551</v>
      </c>
    </row>
    <row r="318" spans="1:37">
      <c r="A318" t="str">
        <f>+[2]称号!A313</f>
        <v>TITLE_312</v>
      </c>
      <c r="B318" t="str">
        <f>+[2]称号!B313</f>
        <v>翠晶翅の導き妖精</v>
      </c>
      <c r="C318" t="s">
        <v>759</v>
      </c>
      <c r="D318" t="s">
        <v>760</v>
      </c>
      <c r="E318" s="2" t="str">
        <f>[1]モンスター計算!AM316</f>
        <v>魔法・速攻</v>
      </c>
      <c r="F318" s="2" t="str">
        <f>[1]モンスター計算!C316</f>
        <v>闇</v>
      </c>
      <c r="G318" s="8">
        <v>1.25</v>
      </c>
      <c r="H318" t="str">
        <f t="shared" si="12"/>
        <v>OK</v>
      </c>
      <c r="I318" s="9">
        <f>IF($H318&lt;&gt;"OK","",ROUND($G318*使い方と設定!$B$7*$AK318*INDEX(個性タイプマスタ!$Q$5:$AA$54,$AE318,1)/$AG318,4))</f>
        <v>1.4373</v>
      </c>
      <c r="J318" s="9">
        <f>IF($H318&lt;&gt;"OK","",ROUND($G318*使い方と設定!$B$7*$AK318*INDEX(個性タイプマスタ!$Q$5:$AA$54,$AE318,2)/$AG318,4))</f>
        <v>1.581</v>
      </c>
      <c r="K318" s="9">
        <f>IF($H318&lt;&gt;"OK","",ROUND($G318*使い方と設定!$B$7*$AK318*INDEX(個性タイプマスタ!$Q$5:$AA$54,$AE318,3)/$AG318,4))</f>
        <v>0.32669999999999999</v>
      </c>
      <c r="L318" s="9">
        <f>IF($H318&lt;&gt;"OK","",ROUND($G318*使い方と設定!$B$7*$AK318*INDEX(個性タイプマスタ!$Q$5:$AA$54,$AE318,4)/$AG318,4))</f>
        <v>3.2665000000000002</v>
      </c>
      <c r="M318" s="9">
        <f>IF($H318&lt;&gt;"OK","",ROUND($G318*使い方と設定!$B$7*$AK318*INDEX(個性タイプマスタ!$Q$5:$AA$54,$AE318,5)/$AG318,4))</f>
        <v>1.0550999999999999</v>
      </c>
      <c r="N318" s="9">
        <f>IF($H318&lt;&gt;"OK","",ROUND($G318*使い方と設定!$B$7*$AK318*INDEX(個性タイプマスタ!$Q$5:$AA$54,$AE318,6)/$AG318,4))</f>
        <v>1.2217</v>
      </c>
      <c r="O318" s="9">
        <f>IF($H318&lt;&gt;"OK","",ROUND($G318*使い方と設定!$B$7*$AK318*INDEX(個性タイプマスタ!$Q$5:$AA$54,$AE318,7)/$AG318,4))</f>
        <v>1.0061</v>
      </c>
      <c r="P318" s="9">
        <f>IF($H318&lt;&gt;"OK","",ROUND($G318*使い方と設定!$B$7*$AK318*INDEX(個性タイプマスタ!$Q$5:$AA$54,$AE318,8)/$AG318,4))</f>
        <v>0.87760000000000005</v>
      </c>
      <c r="Q318" s="9">
        <f>IF($H318&lt;&gt;"OK","",ROUND($G318*使い方と設定!$B$7*$AK318*INDEX(個性タイプマスタ!$Q$5:$AA$54,$AE318,9)/$AG318,4))</f>
        <v>0.66110000000000002</v>
      </c>
      <c r="R318" s="9">
        <f>IF($H318&lt;&gt;"OK","",ROUND($G318*使い方と設定!$B$7*$AK318*INDEX(個性タイプマスタ!$Q$5:$AA$54,$AE318,10)/$AG318,4))</f>
        <v>1.4373</v>
      </c>
      <c r="S318" s="9">
        <f>IF($H318&lt;&gt;"OK","",ROUND($G318*使い方と設定!$B$7*$AK318*INDEX(個性タイプマスタ!$Q$5:$AA$54,$AE318,11)/$AG318,4))</f>
        <v>0.98780000000000001</v>
      </c>
      <c r="T318" s="9">
        <f>IF($H318&lt;&gt;"OK","",ROUND($G318*使い方と設定!$B$8*$AK318*$AH318*INDEX(属性耐性マスタ!$B$5:$G$10,$AF318,1),4))</f>
        <v>2.4400000000000002E-2</v>
      </c>
      <c r="U318" s="9">
        <f>IF($H318&lt;&gt;"OK","",ROUND($G318*使い方と設定!$B$8*$AK318*$AH318*INDEX(属性耐性マスタ!$B$5:$G$10,$AF318,2),4))</f>
        <v>2.4400000000000002E-2</v>
      </c>
      <c r="V318" s="9">
        <f>IF($H318&lt;&gt;"OK","",ROUND($G318*使い方と設定!$B$8*$AK318*$AH318*INDEX(属性耐性マスタ!$B$5:$G$10,$AF318,3),4))</f>
        <v>2.4400000000000002E-2</v>
      </c>
      <c r="W318" s="9">
        <f>IF($H318&lt;&gt;"OK","",ROUND($G318*使い方と設定!$B$8*$AK318*$AH318*INDEX(属性耐性マスタ!$B$5:$G$10,$AF318,4),4))</f>
        <v>2.4400000000000002E-2</v>
      </c>
      <c r="X318" s="9">
        <f>IF($H318&lt;&gt;"OK","",ROUND($G318*使い方と設定!$B$8*$AK318*$AH318*INDEX(属性耐性マスタ!$B$5:$G$10,$AF318,5),4))</f>
        <v>6.5000000000000002E-2</v>
      </c>
      <c r="Y318" s="9">
        <f>IF($H318&lt;&gt;"OK","",ROUND($G318*使い方と設定!$B$8*$AK318*$AH318*INDEX(属性耐性マスタ!$B$5:$G$10,$AF318,6),4))</f>
        <v>0.48780000000000001</v>
      </c>
      <c r="Z318" s="9">
        <f>IF($H318&lt;&gt;"OK","",ROUND($G318*使い方と設定!$B$9*$AK318*$AI318,4))</f>
        <v>4.5423999999999998</v>
      </c>
      <c r="AA318" s="10">
        <v>0.25</v>
      </c>
      <c r="AB318" s="11">
        <f t="shared" si="13"/>
        <v>13.8582</v>
      </c>
      <c r="AC318" s="11">
        <f t="shared" si="14"/>
        <v>0.65039999999999998</v>
      </c>
      <c r="AD318" s="7" t="str">
        <f>IF($H318&lt;&gt;"OK","",INDEX(個性タイプマスタ!$P$5:$P$54,$AE318))</f>
        <v>高速の魔法型。攻速と射程が優秀</v>
      </c>
      <c r="AE318">
        <f>IFERROR(MATCH(E318,個性タイプマスタ!$A$5:$A$54,0),0)</f>
        <v>3</v>
      </c>
      <c r="AF318">
        <f>IFERROR(MATCH(F318,属性耐性マスタ!$A$5:$A$10,0),0)</f>
        <v>6</v>
      </c>
      <c r="AG318">
        <f>IF(AE318=0,1,INDEX(個性タイプマスタ!$AB$5:$AB$54,AE318))</f>
        <v>10.606166666666667</v>
      </c>
      <c r="AH318">
        <f>IF(AE318=0,1,INDEX(個性タイプマスタ!$AC$5:$AC$54,AE318))</f>
        <v>0.88</v>
      </c>
      <c r="AI318">
        <f>IF(AE318=0,0,INDEX(個性タイプマスタ!$AD$5:$AD$54,AE318))</f>
        <v>0.98333333333333328</v>
      </c>
      <c r="AJ318" s="16">
        <v>52</v>
      </c>
      <c r="AK318" s="17">
        <f>IF(OR(AJ318="",AJ318&lt;1),"",POWER(使い方と設定!$E$6,AJ318-1))</f>
        <v>7.3909506801294551</v>
      </c>
    </row>
    <row r="319" spans="1:37">
      <c r="A319" t="str">
        <f>+[2]称号!A314</f>
        <v>TITLE_313</v>
      </c>
      <c r="B319" t="str">
        <f>+[2]称号!B314</f>
        <v>小さな丘の幸運</v>
      </c>
      <c r="C319" t="s">
        <v>761</v>
      </c>
      <c r="D319" t="s">
        <v>762</v>
      </c>
      <c r="E319" s="2" t="str">
        <f>[1]モンスター計算!AM317</f>
        <v>魔法・鈍足賢者</v>
      </c>
      <c r="F319" s="2" t="str">
        <f>[1]モンスター計算!C317</f>
        <v>水</v>
      </c>
      <c r="G319" s="8">
        <v>1</v>
      </c>
      <c r="H319" t="str">
        <f t="shared" si="12"/>
        <v>OK</v>
      </c>
      <c r="I319" s="9">
        <f>IF($H319&lt;&gt;"OK","",ROUND($G319*使い方と設定!$B$7*$AK319*INDEX(個性タイプマスタ!$Q$5:$AA$54,$AE319,1)/$AG319,4))</f>
        <v>1.3732</v>
      </c>
      <c r="J319" s="9">
        <f>IF($H319&lt;&gt;"OK","",ROUND($G319*使い方と設定!$B$7*$AK319*INDEX(個性タイプマスタ!$Q$5:$AA$54,$AE319,2)/$AG319,4))</f>
        <v>2.1579000000000002</v>
      </c>
      <c r="K319" s="9">
        <f>IF($H319&lt;&gt;"OK","",ROUND($G319*使い方と設定!$B$7*$AK319*INDEX(個性タイプマスタ!$Q$5:$AA$54,$AE319,3)/$AG319,4))</f>
        <v>0.18729999999999999</v>
      </c>
      <c r="L319" s="9">
        <f>IF($H319&lt;&gt;"OK","",ROUND($G319*使い方と設定!$B$7*$AK319*INDEX(個性タイプマスタ!$Q$5:$AA$54,$AE319,4)/$AG319,4))</f>
        <v>2.2292000000000001</v>
      </c>
      <c r="M319" s="9">
        <f>IF($H319&lt;&gt;"OK","",ROUND($G319*使い方と設定!$B$7*$AK319*INDEX(個性タイプマスタ!$Q$5:$AA$54,$AE319,5)/$AG319,4))</f>
        <v>0.72</v>
      </c>
      <c r="N319" s="9">
        <f>IF($H319&lt;&gt;"OK","",ROUND($G319*使い方と設定!$B$7*$AK319*INDEX(個性タイプマスタ!$Q$5:$AA$54,$AE319,6)/$AG319,4))</f>
        <v>1.2733000000000001</v>
      </c>
      <c r="O319" s="9">
        <f>IF($H319&lt;&gt;"OK","",ROUND($G319*使い方と設定!$B$7*$AK319*INDEX(個性タイプマスタ!$Q$5:$AA$54,$AE319,7)/$AG319,4))</f>
        <v>1.1279999999999999</v>
      </c>
      <c r="P319" s="9">
        <f>IF($H319&lt;&gt;"OK","",ROUND($G319*使い方と設定!$B$7*$AK319*INDEX(個性タイプマスタ!$Q$5:$AA$54,$AE319,8)/$AG319,4))</f>
        <v>0.75349999999999995</v>
      </c>
      <c r="Q319" s="9">
        <f>IF($H319&lt;&gt;"OK","",ROUND($G319*使い方と設定!$B$7*$AK319*INDEX(個性タイプマスタ!$Q$5:$AA$54,$AE319,9)/$AG319,4))</f>
        <v>0.2354</v>
      </c>
      <c r="R319" s="9">
        <f>IF($H319&lt;&gt;"OK","",ROUND($G319*使い方と設定!$B$7*$AK319*INDEX(個性タイプマスタ!$Q$5:$AA$54,$AE319,10)/$AG319,4))</f>
        <v>0.64200000000000002</v>
      </c>
      <c r="S319" s="9">
        <f>IF($H319&lt;&gt;"OK","",ROUND($G319*使い方と設定!$B$7*$AK319*INDEX(個性タイプマスタ!$Q$5:$AA$54,$AE319,11)/$AG319,4))</f>
        <v>0.83020000000000005</v>
      </c>
      <c r="T319" s="9">
        <f>IF($H319&lt;&gt;"OK","",ROUND($G319*使い方と設定!$B$8*$AK319*$AH319*INDEX(属性耐性マスタ!$B$5:$G$10,$AF319,1),4))</f>
        <v>0.12180000000000001</v>
      </c>
      <c r="U319" s="9">
        <f>IF($H319&lt;&gt;"OK","",ROUND($G319*使い方と設定!$B$8*$AK319*$AH319*INDEX(属性耐性マスタ!$B$5:$G$10,$AF319,2),4))</f>
        <v>0.60880000000000001</v>
      </c>
      <c r="V319" s="9">
        <f>IF($H319&lt;&gt;"OK","",ROUND($G319*使い方と設定!$B$8*$AK319*$AH319*INDEX(属性耐性マスタ!$B$5:$G$10,$AF319,3),4))</f>
        <v>4.0599999999999997E-2</v>
      </c>
      <c r="W319" s="9">
        <f>IF($H319&lt;&gt;"OK","",ROUND($G319*使い方と設定!$B$8*$AK319*$AH319*INDEX(属性耐性マスタ!$B$5:$G$10,$AF319,4),4))</f>
        <v>4.0599999999999997E-2</v>
      </c>
      <c r="X319" s="9">
        <f>IF($H319&lt;&gt;"OK","",ROUND($G319*使い方と設定!$B$8*$AK319*$AH319*INDEX(属性耐性マスタ!$B$5:$G$10,$AF319,5),4))</f>
        <v>3.04E-2</v>
      </c>
      <c r="Y319" s="9">
        <f>IF($H319&lt;&gt;"OK","",ROUND($G319*使い方と設定!$B$8*$AK319*$AH319*INDEX(属性耐性マスタ!$B$5:$G$10,$AF319,6),4))</f>
        <v>3.04E-2</v>
      </c>
      <c r="Z319" s="9">
        <f>IF($H319&lt;&gt;"OK","",ROUND($G319*使い方と設定!$B$9*$AK319*$AI319,4))</f>
        <v>3.0746000000000002</v>
      </c>
      <c r="AA319" s="10">
        <v>1</v>
      </c>
      <c r="AB319" s="11">
        <f t="shared" si="13"/>
        <v>11.53</v>
      </c>
      <c r="AC319" s="11">
        <f t="shared" si="14"/>
        <v>0.87260000000000004</v>
      </c>
      <c r="AD319" s="7" t="str">
        <f>IF($H319&lt;&gt;"OK","",INDEX(個性タイプマスタ!$P$5:$P$54,$AE319))</f>
        <v>低機動・高MP・高魔防</v>
      </c>
      <c r="AE319">
        <f>IFERROR(MATCH(E319,個性タイプマスタ!$A$5:$A$54,0),0)</f>
        <v>30</v>
      </c>
      <c r="AF319">
        <f>IFERROR(MATCH(F319,属性耐性マスタ!$A$5:$A$10,0),0)</f>
        <v>2</v>
      </c>
      <c r="AG319">
        <f>IF(AE319=0,1,INDEX(個性タイプマスタ!$AB$5:$AB$54,AE319))</f>
        <v>12.9305</v>
      </c>
      <c r="AH319">
        <f>IF(AE319=0,1,INDEX(個性タイプマスタ!$AC$5:$AC$54,AE319))</f>
        <v>1.32</v>
      </c>
      <c r="AI319">
        <f>IF(AE319=0,0,INDEX(個性タイプマスタ!$AD$5:$AD$54,AE319))</f>
        <v>0.79999999999999993</v>
      </c>
      <c r="AJ319" s="16">
        <v>53</v>
      </c>
      <c r="AK319" s="17">
        <f>IF(OR(AJ319="",AJ319&lt;1),"",POWER(使い方と設定!$E$6,AJ319-1))</f>
        <v>7.6865887073346331</v>
      </c>
    </row>
    <row r="320" spans="1:37">
      <c r="A320" t="str">
        <f>+[2]称号!A315</f>
        <v>TITLE_314</v>
      </c>
      <c r="B320" t="str">
        <f>+[2]称号!B315</f>
        <v>丘風を射抜く翼</v>
      </c>
      <c r="C320" t="s">
        <v>763</v>
      </c>
      <c r="D320" t="s">
        <v>764</v>
      </c>
      <c r="E320" s="2" t="str">
        <f>[1]モンスター計算!AM318</f>
        <v>魔法・火力</v>
      </c>
      <c r="F320" s="2" t="str">
        <f>[1]モンスター計算!C318</f>
        <v>火</v>
      </c>
      <c r="G320" s="8">
        <v>1.05</v>
      </c>
      <c r="H320" t="str">
        <f t="shared" si="12"/>
        <v>OK</v>
      </c>
      <c r="I320" s="9">
        <f>IF($H320&lt;&gt;"OK","",ROUND($G320*使い方と設定!$B$7*$AK320*INDEX(個性タイプマスタ!$Q$5:$AA$54,$AE320,1)/$AG320,4))</f>
        <v>0.99209999999999998</v>
      </c>
      <c r="J320" s="9">
        <f>IF($H320&lt;&gt;"OK","",ROUND($G320*使い方と設定!$B$7*$AK320*INDEX(個性タイプマスタ!$Q$5:$AA$54,$AE320,2)/$AG320,4))</f>
        <v>1.4628000000000001</v>
      </c>
      <c r="K320" s="9">
        <f>IF($H320&lt;&gt;"OK","",ROUND($G320*使い方と設定!$B$7*$AK320*INDEX(個性タイプマスタ!$Q$5:$AA$54,$AE320,3)/$AG320,4))</f>
        <v>0.28910000000000002</v>
      </c>
      <c r="L320" s="9">
        <f>IF($H320&lt;&gt;"OK","",ROUND($G320*使い方と設定!$B$7*$AK320*INDEX(個性タイプマスタ!$Q$5:$AA$54,$AE320,4)/$AG320,4))</f>
        <v>2.8908999999999998</v>
      </c>
      <c r="M320" s="9">
        <f>IF($H320&lt;&gt;"OK","",ROUND($G320*使い方と設定!$B$7*$AK320*INDEX(個性タイプマスタ!$Q$5:$AA$54,$AE320,5)/$AG320,4))</f>
        <v>0.73719999999999997</v>
      </c>
      <c r="N320" s="9">
        <f>IF($H320&lt;&gt;"OK","",ROUND($G320*使い方と設定!$B$7*$AK320*INDEX(個性タイプマスタ!$Q$5:$AA$54,$AE320,6)/$AG320,4))</f>
        <v>0.7863</v>
      </c>
      <c r="O320" s="9">
        <f>IF($H320&lt;&gt;"OK","",ROUND($G320*使い方と設定!$B$7*$AK320*INDEX(個性タイプマスタ!$Q$5:$AA$54,$AE320,7)/$AG320,4))</f>
        <v>1.3992</v>
      </c>
      <c r="P320" s="9">
        <f>IF($H320&lt;&gt;"OK","",ROUND($G320*使い方と設定!$B$7*$AK320*INDEX(個性タイプマスタ!$Q$5:$AA$54,$AE320,8)/$AG320,4))</f>
        <v>0.82679999999999998</v>
      </c>
      <c r="Q320" s="9">
        <f>IF($H320&lt;&gt;"OK","",ROUND($G320*使い方と設定!$B$7*$AK320*INDEX(個性タイプマスタ!$Q$5:$AA$54,$AE320,9)/$AG320,4))</f>
        <v>0.55969999999999998</v>
      </c>
      <c r="R320" s="9">
        <f>IF($H320&lt;&gt;"OK","",ROUND($G320*使い方と設定!$B$7*$AK320*INDEX(個性タイプマスタ!$Q$5:$AA$54,$AE320,10)/$AG320,4))</f>
        <v>1.272</v>
      </c>
      <c r="S320" s="9">
        <f>IF($H320&lt;&gt;"OK","",ROUND($G320*使い方と設定!$B$7*$AK320*INDEX(個性タイプマスタ!$Q$5:$AA$54,$AE320,11)/$AG320,4))</f>
        <v>0.89039999999999997</v>
      </c>
      <c r="T320" s="9">
        <f>IF($H320&lt;&gt;"OK","",ROUND($G320*使い方と設定!$B$8*$AK320*$AH320*INDEX(属性耐性マスタ!$B$5:$G$10,$AF320,1),4))</f>
        <v>0.40679999999999999</v>
      </c>
      <c r="U320" s="9">
        <f>IF($H320&lt;&gt;"OK","",ROUND($G320*使い方と設定!$B$8*$AK320*$AH320*INDEX(属性耐性マスタ!$B$5:$G$10,$AF320,2),4))</f>
        <v>8.14E-2</v>
      </c>
      <c r="V320" s="9">
        <f>IF($H320&lt;&gt;"OK","",ROUND($G320*使い方と設定!$B$8*$AK320*$AH320*INDEX(属性耐性マスタ!$B$5:$G$10,$AF320,3),4))</f>
        <v>2.7099999999999999E-2</v>
      </c>
      <c r="W320" s="9">
        <f>IF($H320&lt;&gt;"OK","",ROUND($G320*使い方と設定!$B$8*$AK320*$AH320*INDEX(属性耐性マスタ!$B$5:$G$10,$AF320,4),4))</f>
        <v>2.7099999999999999E-2</v>
      </c>
      <c r="X320" s="9">
        <f>IF($H320&lt;&gt;"OK","",ROUND($G320*使い方と設定!$B$8*$AK320*$AH320*INDEX(属性耐性マスタ!$B$5:$G$10,$AF320,5),4))</f>
        <v>2.0299999999999999E-2</v>
      </c>
      <c r="Y320" s="9">
        <f>IF($H320&lt;&gt;"OK","",ROUND($G320*使い方と設定!$B$8*$AK320*$AH320*INDEX(属性耐性マスタ!$B$5:$G$10,$AF320,6),4))</f>
        <v>2.0299999999999999E-2</v>
      </c>
      <c r="Z320" s="9">
        <f>IF($H320&lt;&gt;"OK","",ROUND($G320*使い方と設定!$B$9*$AK320*$AI320,4))</f>
        <v>3.9009</v>
      </c>
      <c r="AA320" s="10">
        <v>1</v>
      </c>
      <c r="AB320" s="11">
        <f t="shared" si="13"/>
        <v>12.1065</v>
      </c>
      <c r="AC320" s="11">
        <f t="shared" si="14"/>
        <v>0.58299999999999996</v>
      </c>
      <c r="AD320" s="7" t="str">
        <f>IF($H320&lt;&gt;"OK","",INDEX(個性タイプマスタ!$P$5:$P$54,$AE320))</f>
        <v>火力偏重。反撃に弱い</v>
      </c>
      <c r="AE320">
        <f>IFERROR(MATCH(E320,個性タイプマスタ!$A$5:$A$54,0),0)</f>
        <v>9</v>
      </c>
      <c r="AF320">
        <f>IFERROR(MATCH(F320,属性耐性マスタ!$A$5:$A$10,0),0)</f>
        <v>1</v>
      </c>
      <c r="AG320">
        <f>IF(AE320=0,1,INDEX(個性タイプマスタ!$AB$5:$AB$54,AE320))</f>
        <v>10.4695</v>
      </c>
      <c r="AH320">
        <f>IF(AE320=0,1,INDEX(個性タイプマスタ!$AC$5:$AC$54,AE320))</f>
        <v>0.84</v>
      </c>
      <c r="AI320">
        <f>IF(AE320=0,0,INDEX(個性タイプマスタ!$AD$5:$AD$54,AE320))</f>
        <v>0.96666666666666667</v>
      </c>
      <c r="AJ320" s="16">
        <v>53</v>
      </c>
      <c r="AK320" s="17">
        <f>IF(OR(AJ320="",AJ320&lt;1),"",POWER(使い方と設定!$E$6,AJ320-1))</f>
        <v>7.6865887073346331</v>
      </c>
    </row>
    <row r="321" spans="1:37">
      <c r="A321" t="str">
        <f>+[2]称号!A316</f>
        <v>TITLE_315</v>
      </c>
      <c r="B321" t="str">
        <f>+[2]称号!B316</f>
        <v>砕けぬ石角の胸壁</v>
      </c>
      <c r="C321" t="s">
        <v>765</v>
      </c>
      <c r="D321" t="s">
        <v>766</v>
      </c>
      <c r="E321" s="2" t="str">
        <f>[1]モンスター計算!AM319</f>
        <v>魔法・重装砲</v>
      </c>
      <c r="F321" s="2" t="str">
        <f>[1]モンスター計算!C319</f>
        <v>風</v>
      </c>
      <c r="G321" s="8">
        <v>1.1000000000000001</v>
      </c>
      <c r="H321" t="str">
        <f t="shared" si="12"/>
        <v>OK</v>
      </c>
      <c r="I321" s="9">
        <f>IF($H321&lt;&gt;"OK","",ROUND($G321*使い方と設定!$B$7*$AK321*INDEX(個性タイプマスタ!$Q$5:$AA$54,$AE321,1)/$AG321,4))</f>
        <v>2.0792999999999999</v>
      </c>
      <c r="J321" s="9">
        <f>IF($H321&lt;&gt;"OK","",ROUND($G321*使い方と設定!$B$7*$AK321*INDEX(個性タイプマスタ!$Q$5:$AA$54,$AE321,2)/$AG321,4))</f>
        <v>1.6319999999999999</v>
      </c>
      <c r="K321" s="9">
        <f>IF($H321&lt;&gt;"OK","",ROUND($G321*使い方と設定!$B$7*$AK321*INDEX(個性タイプマスタ!$Q$5:$AA$54,$AE321,3)/$AG321,4))</f>
        <v>0.17860000000000001</v>
      </c>
      <c r="L321" s="9">
        <f>IF($H321&lt;&gt;"OK","",ROUND($G321*使い方と設定!$B$7*$AK321*INDEX(個性タイプマスタ!$Q$5:$AA$54,$AE321,4)/$AG321,4))</f>
        <v>2.7473999999999998</v>
      </c>
      <c r="M321" s="9">
        <f>IF($H321&lt;&gt;"OK","",ROUND($G321*使い方と設定!$B$7*$AK321*INDEX(個性タイプマスタ!$Q$5:$AA$54,$AE321,5)/$AG321,4))</f>
        <v>1.532</v>
      </c>
      <c r="N321" s="9">
        <f>IF($H321&lt;&gt;"OK","",ROUND($G321*使い方と設定!$B$7*$AK321*INDEX(個性タイプマスタ!$Q$5:$AA$54,$AE321,6)/$AG321,4))</f>
        <v>1.4479</v>
      </c>
      <c r="O321" s="9">
        <f>IF($H321&lt;&gt;"OK","",ROUND($G321*使い方と設定!$B$7*$AK321*INDEX(個性タイプマスタ!$Q$5:$AA$54,$AE321,7)/$AG321,4))</f>
        <v>0.42309999999999998</v>
      </c>
      <c r="P321" s="9">
        <f>IF($H321&lt;&gt;"OK","",ROUND($G321*使い方と設定!$B$7*$AK321*INDEX(個性タイプマスタ!$Q$5:$AA$54,$AE321,8)/$AG321,4))</f>
        <v>0.66669999999999996</v>
      </c>
      <c r="Q321" s="9">
        <f>IF($H321&lt;&gt;"OK","",ROUND($G321*使い方と設定!$B$7*$AK321*INDEX(個性タイプマスタ!$Q$5:$AA$54,$AE321,9)/$AG321,4))</f>
        <v>0.36270000000000002</v>
      </c>
      <c r="R321" s="9">
        <f>IF($H321&lt;&gt;"OK","",ROUND($G321*使い方と設定!$B$7*$AK321*INDEX(個性タイプマスタ!$Q$5:$AA$54,$AE321,10)/$AG321,4))</f>
        <v>0.65939999999999999</v>
      </c>
      <c r="S321" s="9">
        <f>IF($H321&lt;&gt;"OK","",ROUND($G321*使い方と設定!$B$7*$AK321*INDEX(個性タイプマスタ!$Q$5:$AA$54,$AE321,11)/$AG321,4))</f>
        <v>0.95389999999999997</v>
      </c>
      <c r="T321" s="9">
        <f>IF($H321&lt;&gt;"OK","",ROUND($G321*使い方と設定!$B$8*$AK321*$AH321*INDEX(属性耐性マスタ!$B$5:$G$10,$AF321,1),4))</f>
        <v>5.0099999999999999E-2</v>
      </c>
      <c r="U321" s="9">
        <f>IF($H321&lt;&gt;"OK","",ROUND($G321*使い方と設定!$B$8*$AK321*$AH321*INDEX(属性耐性マスタ!$B$5:$G$10,$AF321,2),4))</f>
        <v>5.0099999999999999E-2</v>
      </c>
      <c r="V321" s="9">
        <f>IF($H321&lt;&gt;"OK","",ROUND($G321*使い方と設定!$B$8*$AK321*$AH321*INDEX(属性耐性マスタ!$B$5:$G$10,$AF321,3),4))</f>
        <v>0.75080000000000002</v>
      </c>
      <c r="W321" s="9">
        <f>IF($H321&lt;&gt;"OK","",ROUND($G321*使い方と設定!$B$8*$AK321*$AH321*INDEX(属性耐性マスタ!$B$5:$G$10,$AF321,4),4))</f>
        <v>0.18770000000000001</v>
      </c>
      <c r="X321" s="9">
        <f>IF($H321&lt;&gt;"OK","",ROUND($G321*使い方と設定!$B$8*$AK321*$AH321*INDEX(属性耐性マスタ!$B$5:$G$10,$AF321,5),4))</f>
        <v>3.7499999999999999E-2</v>
      </c>
      <c r="Y321" s="9">
        <f>IF($H321&lt;&gt;"OK","",ROUND($G321*使い方と設定!$B$8*$AK321*$AH321*INDEX(属性耐性マスタ!$B$5:$G$10,$AF321,6),4))</f>
        <v>3.7499999999999999E-2</v>
      </c>
      <c r="Z321" s="9">
        <f>IF($H321&lt;&gt;"OK","",ROUND($G321*使い方と設定!$B$9*$AK321*$AI321,4))</f>
        <v>3.5935000000000001</v>
      </c>
      <c r="AA321" s="10">
        <v>0.9</v>
      </c>
      <c r="AB321" s="11">
        <f t="shared" si="13"/>
        <v>12.683</v>
      </c>
      <c r="AC321" s="11">
        <f t="shared" si="14"/>
        <v>1.1136999999999999</v>
      </c>
      <c r="AD321" s="7" t="str">
        <f>IF($H321&lt;&gt;"OK","",INDEX(個性タイプマスタ!$P$5:$P$54,$AE321))</f>
        <v>高耐久・射撃間隔は長い</v>
      </c>
      <c r="AE321">
        <f>IFERROR(MATCH(E321,個性タイプマスタ!$A$5:$A$54,0),0)</f>
        <v>19</v>
      </c>
      <c r="AF321">
        <f>IFERROR(MATCH(F321,属性耐性マスタ!$A$5:$A$10,0),0)</f>
        <v>3</v>
      </c>
      <c r="AG321">
        <f>IF(AE321=0,1,INDEX(個性タイプマスタ!$AB$5:$AB$54,AE321))</f>
        <v>11.540666666666668</v>
      </c>
      <c r="AH321">
        <f>IF(AE321=0,1,INDEX(個性タイプマスタ!$AC$5:$AC$54,AE321))</f>
        <v>1.48</v>
      </c>
      <c r="AI321">
        <f>IF(AE321=0,0,INDEX(個性タイプマスタ!$AD$5:$AD$54,AE321))</f>
        <v>0.85</v>
      </c>
      <c r="AJ321" s="16">
        <v>53</v>
      </c>
      <c r="AK321" s="17">
        <f>IF(OR(AJ321="",AJ321&lt;1),"",POWER(使い方と設定!$E$6,AJ321-1))</f>
        <v>7.6865887073346331</v>
      </c>
    </row>
    <row r="322" spans="1:37">
      <c r="A322" t="str">
        <f>+[2]称号!A317</f>
        <v>TITLE_316</v>
      </c>
      <c r="B322" t="str">
        <f>+[2]称号!B317</f>
        <v>風路を読む護り</v>
      </c>
      <c r="C322" t="s">
        <v>767</v>
      </c>
      <c r="D322" t="s">
        <v>768</v>
      </c>
      <c r="E322" s="2" t="str">
        <f>[1]モンスター計算!AM320</f>
        <v>近接・巨体</v>
      </c>
      <c r="F322" s="2" t="str">
        <f>[1]モンスター計算!C320</f>
        <v>火</v>
      </c>
      <c r="G322" s="8">
        <v>1.1499999999999999</v>
      </c>
      <c r="H322" t="str">
        <f t="shared" si="12"/>
        <v>OK</v>
      </c>
      <c r="I322" s="9">
        <f>IF($H322&lt;&gt;"OK","",ROUND($G322*使い方と設定!$B$7*$AK322*INDEX(個性タイプマスタ!$Q$5:$AA$54,$AE322,1)/$AG322,4))</f>
        <v>3.0125999999999999</v>
      </c>
      <c r="J322" s="9">
        <f>IF($H322&lt;&gt;"OK","",ROUND($G322*使い方と設定!$B$7*$AK322*INDEX(個性タイプマスタ!$Q$5:$AA$54,$AE322,2)/$AG322,4))</f>
        <v>0.44090000000000001</v>
      </c>
      <c r="K322" s="9">
        <f>IF($H322&lt;&gt;"OK","",ROUND($G322*使い方と設定!$B$7*$AK322*INDEX(個性タイプマスタ!$Q$5:$AA$54,$AE322,3)/$AG322,4))</f>
        <v>3.3399000000000001</v>
      </c>
      <c r="L322" s="9">
        <f>IF($H322&lt;&gt;"OK","",ROUND($G322*使い方と設定!$B$7*$AK322*INDEX(個性タイプマスタ!$Q$5:$AA$54,$AE322,4)/$AG322,4))</f>
        <v>0.30059999999999998</v>
      </c>
      <c r="M322" s="9">
        <f>IF($H322&lt;&gt;"OK","",ROUND($G322*使い方と設定!$B$7*$AK322*INDEX(個性タイプマスタ!$Q$5:$AA$54,$AE322,5)/$AG322,4))</f>
        <v>1.7261</v>
      </c>
      <c r="N322" s="9">
        <f>IF($H322&lt;&gt;"OK","",ROUND($G322*使い方と設定!$B$7*$AK322*INDEX(個性タイプマスタ!$Q$5:$AA$54,$AE322,6)/$AG322,4))</f>
        <v>1.4762</v>
      </c>
      <c r="O322" s="9">
        <f>IF($H322&lt;&gt;"OK","",ROUND($G322*使い方と設定!$B$7*$AK322*INDEX(個性タイプマスタ!$Q$5:$AA$54,$AE322,7)/$AG322,4))</f>
        <v>0.3674</v>
      </c>
      <c r="P322" s="9">
        <f>IF($H322&lt;&gt;"OK","",ROUND($G322*使い方と設定!$B$7*$AK322*INDEX(個性タイプマスタ!$Q$5:$AA$54,$AE322,8)/$AG322,4))</f>
        <v>0.78149999999999997</v>
      </c>
      <c r="Q322" s="9">
        <f>IF($H322&lt;&gt;"OK","",ROUND($G322*使い方と設定!$B$7*$AK322*INDEX(個性タイプマスタ!$Q$5:$AA$54,$AE322,9)/$AG322,4))</f>
        <v>0.33800000000000002</v>
      </c>
      <c r="R322" s="9">
        <f>IF($H322&lt;&gt;"OK","",ROUND($G322*使い方と設定!$B$7*$AK322*INDEX(個性タイプマスタ!$Q$5:$AA$54,$AE322,10)/$AG322,4))</f>
        <v>0.68130000000000002</v>
      </c>
      <c r="S322" s="9">
        <f>IF($H322&lt;&gt;"OK","",ROUND($G322*使い方と設定!$B$7*$AK322*INDEX(個性タイプマスタ!$Q$5:$AA$54,$AE322,11)/$AG322,4))</f>
        <v>0.79490000000000005</v>
      </c>
      <c r="T322" s="9">
        <f>IF($H322&lt;&gt;"OK","",ROUND($G322*使い方と設定!$B$8*$AK322*$AH322*INDEX(属性耐性マスタ!$B$5:$G$10,$AF322,1),4))</f>
        <v>0.63639999999999997</v>
      </c>
      <c r="U322" s="9">
        <f>IF($H322&lt;&gt;"OK","",ROUND($G322*使い方と設定!$B$8*$AK322*$AH322*INDEX(属性耐性マスタ!$B$5:$G$10,$AF322,2),4))</f>
        <v>0.1273</v>
      </c>
      <c r="V322" s="9">
        <f>IF($H322&lt;&gt;"OK","",ROUND($G322*使い方と設定!$B$8*$AK322*$AH322*INDEX(属性耐性マスタ!$B$5:$G$10,$AF322,3),4))</f>
        <v>4.24E-2</v>
      </c>
      <c r="W322" s="9">
        <f>IF($H322&lt;&gt;"OK","",ROUND($G322*使い方と設定!$B$8*$AK322*$AH322*INDEX(属性耐性マスタ!$B$5:$G$10,$AF322,4),4))</f>
        <v>4.24E-2</v>
      </c>
      <c r="X322" s="9">
        <f>IF($H322&lt;&gt;"OK","",ROUND($G322*使い方と設定!$B$8*$AK322*$AH322*INDEX(属性耐性マスタ!$B$5:$G$10,$AF322,5),4))</f>
        <v>3.1800000000000002E-2</v>
      </c>
      <c r="Y322" s="9">
        <f>IF($H322&lt;&gt;"OK","",ROUND($G322*使い方と設定!$B$8*$AK322*$AH322*INDEX(属性耐性マスタ!$B$5:$G$10,$AF322,6),4))</f>
        <v>3.1800000000000002E-2</v>
      </c>
      <c r="Z322" s="9">
        <f>IF($H322&lt;&gt;"OK","",ROUND($G322*使い方と設定!$B$9*$AK322*$AI322,4))</f>
        <v>3.4990000000000001</v>
      </c>
      <c r="AA322" s="10">
        <v>0.55000000000000004</v>
      </c>
      <c r="AB322" s="11">
        <f t="shared" si="13"/>
        <v>13.259399999999999</v>
      </c>
      <c r="AC322" s="11">
        <f t="shared" si="14"/>
        <v>0.91210000000000002</v>
      </c>
      <c r="AD322" s="7" t="str">
        <f>IF($H322&lt;&gt;"OK","",INDEX(個性タイプマスタ!$P$5:$P$54,$AE322))</f>
        <v>巨大なHPと極端な鈍足</v>
      </c>
      <c r="AE322">
        <f>IFERROR(MATCH(E322,個性タイプマスタ!$A$5:$A$54,0),0)</f>
        <v>45</v>
      </c>
      <c r="AF322">
        <f>IFERROR(MATCH(F322,属性耐性マスタ!$A$5:$A$10,0),0)</f>
        <v>1</v>
      </c>
      <c r="AG322">
        <f>IF(AE322=0,1,INDEX(個性タイプマスタ!$AB$5:$AB$54,AE322))</f>
        <v>9.9250000000000007</v>
      </c>
      <c r="AH322">
        <f>IF(AE322=0,1,INDEX(個性タイプマスタ!$AC$5:$AC$54,AE322))</f>
        <v>1.2</v>
      </c>
      <c r="AI322">
        <f>IF(AE322=0,0,INDEX(個性タイプマスタ!$AD$5:$AD$54,AE322))</f>
        <v>0.79166666666666663</v>
      </c>
      <c r="AJ322" s="16">
        <v>53</v>
      </c>
      <c r="AK322" s="17">
        <f>IF(OR(AJ322="",AJ322&lt;1),"",POWER(使い方と設定!$E$6,AJ322-1))</f>
        <v>7.6865887073346331</v>
      </c>
    </row>
    <row r="323" spans="1:37">
      <c r="A323" t="str">
        <f>+[2]称号!A318</f>
        <v>TITLE_317</v>
      </c>
      <c r="B323" t="str">
        <f>+[2]称号!B318</f>
        <v>千年を背負う巨殻</v>
      </c>
      <c r="C323" t="s">
        <v>769</v>
      </c>
      <c r="D323" t="s">
        <v>770</v>
      </c>
      <c r="E323" s="2" t="str">
        <f>[1]モンスター計算!AM321</f>
        <v>近接・重装</v>
      </c>
      <c r="F323" s="2" t="str">
        <f>[1]モンスター計算!C321</f>
        <v>水</v>
      </c>
      <c r="G323" s="8">
        <v>1.2</v>
      </c>
      <c r="H323" t="str">
        <f t="shared" si="12"/>
        <v>OK</v>
      </c>
      <c r="I323" s="9">
        <f>IF($H323&lt;&gt;"OK","",ROUND($G323*使い方と設定!$B$7*$AK323*INDEX(個性タイプマスタ!$Q$5:$AA$54,$AE323,1)/$AG323,4))</f>
        <v>1.948</v>
      </c>
      <c r="J323" s="9">
        <f>IF($H323&lt;&gt;"OK","",ROUND($G323*使い方と設定!$B$7*$AK323*INDEX(個性タイプマスタ!$Q$5:$AA$54,$AE323,2)/$AG323,4))</f>
        <v>0.64929999999999999</v>
      </c>
      <c r="K323" s="9">
        <f>IF($H323&lt;&gt;"OK","",ROUND($G323*使い方と設定!$B$7*$AK323*INDEX(個性タイプマスタ!$Q$5:$AA$54,$AE323,3)/$AG323,4))</f>
        <v>3.2795000000000001</v>
      </c>
      <c r="L323" s="9">
        <f>IF($H323&lt;&gt;"OK","",ROUND($G323*使い方と設定!$B$7*$AK323*INDEX(個性タイプマスタ!$Q$5:$AA$54,$AE323,4)/$AG323,4))</f>
        <v>0.32790000000000002</v>
      </c>
      <c r="M323" s="9">
        <f>IF($H323&lt;&gt;"OK","",ROUND($G323*使い方と設定!$B$7*$AK323*INDEX(個性タイプマスタ!$Q$5:$AA$54,$AE323,5)/$AG323,4))</f>
        <v>1.5609999999999999</v>
      </c>
      <c r="N323" s="9">
        <f>IF($H323&lt;&gt;"OK","",ROUND($G323*使い方と設定!$B$7*$AK323*INDEX(個性タイプマスタ!$Q$5:$AA$54,$AE323,6)/$AG323,4))</f>
        <v>1.115</v>
      </c>
      <c r="O323" s="9">
        <f>IF($H323&lt;&gt;"OK","",ROUND($G323*使い方と設定!$B$7*$AK323*INDEX(個性タイプマスタ!$Q$5:$AA$54,$AE323,7)/$AG323,4))</f>
        <v>1.1544000000000001</v>
      </c>
      <c r="P323" s="9">
        <f>IF($H323&lt;&gt;"OK","",ROUND($G323*使い方と設定!$B$7*$AK323*INDEX(個性タイプマスタ!$Q$5:$AA$54,$AE323,8)/$AG323,4))</f>
        <v>0.90949999999999998</v>
      </c>
      <c r="Q323" s="9">
        <f>IF($H323&lt;&gt;"OK","",ROUND($G323*使い方と設定!$B$7*$AK323*INDEX(個性タイプマスタ!$Q$5:$AA$54,$AE323,9)/$AG323,4))</f>
        <v>0.7792</v>
      </c>
      <c r="R323" s="9">
        <f>IF($H323&lt;&gt;"OK","",ROUND($G323*使い方と設定!$B$7*$AK323*INDEX(個性タイプマスタ!$Q$5:$AA$54,$AE323,10)/$AG323,4))</f>
        <v>1.3774</v>
      </c>
      <c r="S323" s="9">
        <f>IF($H323&lt;&gt;"OK","",ROUND($G323*使い方と設定!$B$7*$AK323*INDEX(個性タイプマスタ!$Q$5:$AA$54,$AE323,11)/$AG323,4))</f>
        <v>0.73460000000000003</v>
      </c>
      <c r="T323" s="9">
        <f>IF($H323&lt;&gt;"OK","",ROUND($G323*使い方と設定!$B$8*$AK323*$AH323*INDEX(属性耐性マスタ!$B$5:$G$10,$AF323,1),4))</f>
        <v>0.13950000000000001</v>
      </c>
      <c r="U323" s="9">
        <f>IF($H323&lt;&gt;"OK","",ROUND($G323*使い方と設定!$B$8*$AK323*$AH323*INDEX(属性耐性マスタ!$B$5:$G$10,$AF323,2),4))</f>
        <v>0.69730000000000003</v>
      </c>
      <c r="V323" s="9">
        <f>IF($H323&lt;&gt;"OK","",ROUND($G323*使い方と設定!$B$8*$AK323*$AH323*INDEX(属性耐性マスタ!$B$5:$G$10,$AF323,3),4))</f>
        <v>4.65E-2</v>
      </c>
      <c r="W323" s="9">
        <f>IF($H323&lt;&gt;"OK","",ROUND($G323*使い方と設定!$B$8*$AK323*$AH323*INDEX(属性耐性マスタ!$B$5:$G$10,$AF323,4),4))</f>
        <v>4.65E-2</v>
      </c>
      <c r="X323" s="9">
        <f>IF($H323&lt;&gt;"OK","",ROUND($G323*使い方と設定!$B$8*$AK323*$AH323*INDEX(属性耐性マスタ!$B$5:$G$10,$AF323,5),4))</f>
        <v>3.49E-2</v>
      </c>
      <c r="Y323" s="9">
        <f>IF($H323&lt;&gt;"OK","",ROUND($G323*使い方と設定!$B$8*$AK323*$AH323*INDEX(属性耐性マスタ!$B$5:$G$10,$AF323,6),4))</f>
        <v>3.49E-2</v>
      </c>
      <c r="Z323" s="9">
        <f>IF($H323&lt;&gt;"OK","",ROUND($G323*使い方と設定!$B$9*$AK323*$AI323,4))</f>
        <v>4.8426</v>
      </c>
      <c r="AA323" s="10">
        <v>0.5</v>
      </c>
      <c r="AB323" s="11">
        <f t="shared" si="13"/>
        <v>13.835800000000001</v>
      </c>
      <c r="AC323" s="11">
        <f t="shared" si="14"/>
        <v>0.99960000000000004</v>
      </c>
      <c r="AD323" s="7" t="str">
        <f>IF($H323&lt;&gt;"OK","",INDEX(個性タイプマスタ!$P$5:$P$54,$AE323))</f>
        <v>高耐久の近接型。耐性も高め</v>
      </c>
      <c r="AE323">
        <f>IFERROR(MATCH(E323,個性タイプマスタ!$A$5:$A$54,0),0)</f>
        <v>5</v>
      </c>
      <c r="AF323">
        <f>IFERROR(MATCH(F323,属性耐性マスタ!$A$5:$A$10,0),0)</f>
        <v>2</v>
      </c>
      <c r="AG323">
        <f>IF(AE323=0,1,INDEX(個性タイプマスタ!$AB$5:$AB$54,AE323))</f>
        <v>10.547333333333334</v>
      </c>
      <c r="AH323">
        <f>IF(AE323=0,1,INDEX(個性タイプマスタ!$AC$5:$AC$54,AE323))</f>
        <v>1.26</v>
      </c>
      <c r="AI323">
        <f>IF(AE323=0,0,INDEX(個性タイプマスタ!$AD$5:$AD$54,AE323))</f>
        <v>1.05</v>
      </c>
      <c r="AJ323" s="16">
        <v>53</v>
      </c>
      <c r="AK323" s="17">
        <f>IF(OR(AJ323="",AJ323&lt;1),"",POWER(使い方と設定!$E$6,AJ323-1))</f>
        <v>7.6865887073346331</v>
      </c>
    </row>
    <row r="324" spans="1:37">
      <c r="A324" t="str">
        <f>+[2]称号!A319</f>
        <v>TITLE_318</v>
      </c>
      <c r="B324" t="str">
        <f>+[2]称号!B319</f>
        <v>鬼将が掲げし風冠</v>
      </c>
      <c r="C324" t="s">
        <v>771</v>
      </c>
      <c r="D324" t="s">
        <v>772</v>
      </c>
      <c r="E324" s="2" t="str">
        <f>[1]モンスター計算!AM322</f>
        <v>魔法・連射</v>
      </c>
      <c r="F324" s="2" t="str">
        <f>[1]モンスター計算!C322</f>
        <v>光</v>
      </c>
      <c r="G324" s="8">
        <v>1.25</v>
      </c>
      <c r="H324" t="str">
        <f t="shared" si="12"/>
        <v>OK</v>
      </c>
      <c r="I324" s="9">
        <f>IF($H324&lt;&gt;"OK","",ROUND($G324*使い方と設定!$B$7*$AK324*INDEX(個性タイプマスタ!$Q$5:$AA$54,$AE324,1)/$AG324,4))</f>
        <v>1.1808000000000001</v>
      </c>
      <c r="J324" s="9">
        <f>IF($H324&lt;&gt;"OK","",ROUND($G324*使い方と設定!$B$7*$AK324*INDEX(個性タイプマスタ!$Q$5:$AA$54,$AE324,2)/$AG324,4))</f>
        <v>1.5159</v>
      </c>
      <c r="K324" s="9">
        <f>IF($H324&lt;&gt;"OK","",ROUND($G324*使い方と設定!$B$7*$AK324*INDEX(個性タイプマスタ!$Q$5:$AA$54,$AE324,3)/$AG324,4))</f>
        <v>0.23569999999999999</v>
      </c>
      <c r="L324" s="9">
        <f>IF($H324&lt;&gt;"OK","",ROUND($G324*使い方と設定!$B$7*$AK324*INDEX(個性タイプマスタ!$Q$5:$AA$54,$AE324,4)/$AG324,4))</f>
        <v>3.6265999999999998</v>
      </c>
      <c r="M324" s="9">
        <f>IF($H324&lt;&gt;"OK","",ROUND($G324*使い方と設定!$B$7*$AK324*INDEX(個性タイプマスタ!$Q$5:$AA$54,$AE324,5)/$AG324,4))</f>
        <v>0.88780000000000003</v>
      </c>
      <c r="N324" s="9">
        <f>IF($H324&lt;&gt;"OK","",ROUND($G324*使い方と設定!$B$7*$AK324*INDEX(個性タイプマスタ!$Q$5:$AA$54,$AE324,6)/$AG324,4))</f>
        <v>1.0358000000000001</v>
      </c>
      <c r="O324" s="9">
        <f>IF($H324&lt;&gt;"OK","",ROUND($G324*使い方と設定!$B$7*$AK324*INDEX(個性タイプマスタ!$Q$5:$AA$54,$AE324,7)/$AG324,4))</f>
        <v>0.79790000000000005</v>
      </c>
      <c r="P324" s="9">
        <f>IF($H324&lt;&gt;"OK","",ROUND($G324*使い方と設定!$B$7*$AK324*INDEX(個性タイプマスタ!$Q$5:$AA$54,$AE324,8)/$AG324,4))</f>
        <v>0.88009999999999999</v>
      </c>
      <c r="Q324" s="9">
        <f>IF($H324&lt;&gt;"OK","",ROUND($G324*使い方と設定!$B$7*$AK324*INDEX(個性タイプマスタ!$Q$5:$AA$54,$AE324,9)/$AG324,4))</f>
        <v>1.0690999999999999</v>
      </c>
      <c r="R324" s="9">
        <f>IF($H324&lt;&gt;"OK","",ROUND($G324*使い方と設定!$B$7*$AK324*INDEX(個性タイプマスタ!$Q$5:$AA$54,$AE324,10)/$AG324,4))</f>
        <v>2.2484999999999999</v>
      </c>
      <c r="S324" s="9">
        <f>IF($H324&lt;&gt;"OK","",ROUND($G324*使い方と設定!$B$7*$AK324*INDEX(個性タイプマスタ!$Q$5:$AA$54,$AE324,11)/$AG324,4))</f>
        <v>0.93420000000000003</v>
      </c>
      <c r="T324" s="9">
        <f>IF($H324&lt;&gt;"OK","",ROUND($G324*使い方と設定!$B$8*$AK324*$AH324*INDEX(属性耐性マスタ!$B$5:$G$10,$AF324,1),4))</f>
        <v>2.0799999999999999E-2</v>
      </c>
      <c r="U324" s="9">
        <f>IF($H324&lt;&gt;"OK","",ROUND($G324*使い方と設定!$B$8*$AK324*$AH324*INDEX(属性耐性マスタ!$B$5:$G$10,$AF324,2),4))</f>
        <v>2.0799999999999999E-2</v>
      </c>
      <c r="V324" s="9">
        <f>IF($H324&lt;&gt;"OK","",ROUND($G324*使い方と設定!$B$8*$AK324*$AH324*INDEX(属性耐性マスタ!$B$5:$G$10,$AF324,3),4))</f>
        <v>2.0799999999999999E-2</v>
      </c>
      <c r="W324" s="9">
        <f>IF($H324&lt;&gt;"OK","",ROUND($G324*使い方と設定!$B$8*$AK324*$AH324*INDEX(属性耐性マスタ!$B$5:$G$10,$AF324,4),4))</f>
        <v>2.0799999999999999E-2</v>
      </c>
      <c r="X324" s="9">
        <f>IF($H324&lt;&gt;"OK","",ROUND($G324*使い方と設定!$B$8*$AK324*$AH324*INDEX(属性耐性マスタ!$B$5:$G$10,$AF324,5),4))</f>
        <v>0.41510000000000002</v>
      </c>
      <c r="Y324" s="9">
        <f>IF($H324&lt;&gt;"OK","",ROUND($G324*使い方と設定!$B$8*$AK324*$AH324*INDEX(属性耐性マスタ!$B$5:$G$10,$AF324,6),4))</f>
        <v>5.5300000000000002E-2</v>
      </c>
      <c r="Z324" s="9">
        <f>IF($H324&lt;&gt;"OK","",ROUND($G324*使い方と設定!$B$9*$AK324*$AI324,4))</f>
        <v>5.5648</v>
      </c>
      <c r="AA324" s="10">
        <v>0.25</v>
      </c>
      <c r="AB324" s="11">
        <f t="shared" si="13"/>
        <v>14.4124</v>
      </c>
      <c r="AC324" s="11">
        <f t="shared" si="14"/>
        <v>0.55359999999999998</v>
      </c>
      <c r="AD324" s="7" t="str">
        <f>IF($H324&lt;&gt;"OK","",INDEX(個性タイプマスタ!$P$5:$P$54,$AE324))</f>
        <v>手数重視。ひと撃ちは軽いが高速</v>
      </c>
      <c r="AE324">
        <f>IFERROR(MATCH(E324,個性タイプマスタ!$A$5:$A$54,0),0)</f>
        <v>15</v>
      </c>
      <c r="AF324">
        <f>IFERROR(MATCH(F324,属性耐性マスタ!$A$5:$A$10,0),0)</f>
        <v>5</v>
      </c>
      <c r="AG324">
        <f>IF(AE324=0,1,INDEX(個性タイプマスタ!$AB$5:$AB$54,AE324))</f>
        <v>9.9351666666666674</v>
      </c>
      <c r="AH324">
        <f>IF(AE324=0,1,INDEX(個性タイプマスタ!$AC$5:$AC$54,AE324))</f>
        <v>0.72</v>
      </c>
      <c r="AI324">
        <f>IF(AE324=0,0,INDEX(個性タイプマスタ!$AD$5:$AD$54,AE324))</f>
        <v>1.1583333333333332</v>
      </c>
      <c r="AJ324" s="16">
        <v>53</v>
      </c>
      <c r="AK324" s="17">
        <f>IF(OR(AJ324="",AJ324&lt;1),"",POWER(使い方と設定!$E$6,AJ324-1))</f>
        <v>7.6865887073346331</v>
      </c>
    </row>
    <row r="325" spans="1:37">
      <c r="A325" t="str">
        <f>+[2]称号!A320</f>
        <v>TITLE_319</v>
      </c>
      <c r="B325" t="str">
        <f>+[2]称号!B320</f>
        <v>岩音を聴く護り</v>
      </c>
      <c r="C325" t="s">
        <v>773</v>
      </c>
      <c r="D325" t="s">
        <v>774</v>
      </c>
      <c r="E325" s="2" t="str">
        <f>[1]モンスター計算!AM323</f>
        <v>魔法・最終層</v>
      </c>
      <c r="F325" s="2" t="str">
        <f>[1]モンスター計算!C323</f>
        <v>水</v>
      </c>
      <c r="G325" s="8">
        <v>1</v>
      </c>
      <c r="H325" t="str">
        <f t="shared" si="12"/>
        <v>OK</v>
      </c>
      <c r="I325" s="9">
        <f>IF($H325&lt;&gt;"OK","",ROUND($G325*使い方と設定!$B$7*$AK325*INDEX(個性タイプマスタ!$Q$5:$AA$54,$AE325,1)/$AG325,4))</f>
        <v>1.4539</v>
      </c>
      <c r="J325" s="9">
        <f>IF($H325&lt;&gt;"OK","",ROUND($G325*使い方と設定!$B$7*$AK325*INDEX(個性タイプマスタ!$Q$5:$AA$54,$AE325,2)/$AG325,4))</f>
        <v>1.2116</v>
      </c>
      <c r="K325" s="9">
        <f>IF($H325&lt;&gt;"OK","",ROUND($G325*使い方と設定!$B$7*$AK325*INDEX(個性タイプマスタ!$Q$5:$AA$54,$AE325,3)/$AG325,4))</f>
        <v>0.27539999999999998</v>
      </c>
      <c r="L325" s="9">
        <f>IF($H325&lt;&gt;"OK","",ROUND($G325*使い方と設定!$B$7*$AK325*INDEX(個性タイプマスタ!$Q$5:$AA$54,$AE325,4)/$AG325,4))</f>
        <v>2.7536</v>
      </c>
      <c r="M325" s="9">
        <f>IF($H325&lt;&gt;"OK","",ROUND($G325*使い方と設定!$B$7*$AK325*INDEX(個性タイプマスタ!$Q$5:$AA$54,$AE325,5)/$AG325,4))</f>
        <v>1.2171000000000001</v>
      </c>
      <c r="N325" s="9">
        <f>IF($H325&lt;&gt;"OK","",ROUND($G325*使い方と設定!$B$7*$AK325*INDEX(個性タイプマスタ!$Q$5:$AA$54,$AE325,6)/$AG325,4))</f>
        <v>0.79579999999999995</v>
      </c>
      <c r="O325" s="9">
        <f>IF($H325&lt;&gt;"OK","",ROUND($G325*使い方と設定!$B$7*$AK325*INDEX(個性タイプマスタ!$Q$5:$AA$54,$AE325,7)/$AG325,4))</f>
        <v>0.96930000000000005</v>
      </c>
      <c r="P325" s="9">
        <f>IF($H325&lt;&gt;"OK","",ROUND($G325*使い方と設定!$B$7*$AK325*INDEX(個性タイプマスタ!$Q$5:$AA$54,$AE325,8)/$AG325,4))</f>
        <v>0.76370000000000005</v>
      </c>
      <c r="Q325" s="9">
        <f>IF($H325&lt;&gt;"OK","",ROUND($G325*使い方と設定!$B$7*$AK325*INDEX(個性タイプマスタ!$Q$5:$AA$54,$AE325,9)/$AG325,4))</f>
        <v>0.67849999999999999</v>
      </c>
      <c r="R325" s="9">
        <f>IF($H325&lt;&gt;"OK","",ROUND($G325*使い方と設定!$B$7*$AK325*INDEX(個性タイプマスタ!$Q$5:$AA$54,$AE325,10)/$AG325,4))</f>
        <v>1.1013999999999999</v>
      </c>
      <c r="S325" s="9">
        <f>IF($H325&lt;&gt;"OK","",ROUND($G325*使い方と設定!$B$7*$AK325*INDEX(個性タイプマスタ!$Q$5:$AA$54,$AE325,11)/$AG325,4))</f>
        <v>0.77100000000000002</v>
      </c>
      <c r="T325" s="9">
        <f>IF($H325&lt;&gt;"OK","",ROUND($G325*使い方と設定!$B$8*$AK325*$AH325*INDEX(属性耐性マスタ!$B$5:$G$10,$AF325,1),4))</f>
        <v>0.1017</v>
      </c>
      <c r="U325" s="9">
        <f>IF($H325&lt;&gt;"OK","",ROUND($G325*使い方と設定!$B$8*$AK325*$AH325*INDEX(属性耐性マスタ!$B$5:$G$10,$AF325,2),4))</f>
        <v>0.50839999999999996</v>
      </c>
      <c r="V325" s="9">
        <f>IF($H325&lt;&gt;"OK","",ROUND($G325*使い方と設定!$B$8*$AK325*$AH325*INDEX(属性耐性マスタ!$B$5:$G$10,$AF325,3),4))</f>
        <v>3.39E-2</v>
      </c>
      <c r="W325" s="9">
        <f>IF($H325&lt;&gt;"OK","",ROUND($G325*使い方と設定!$B$8*$AK325*$AH325*INDEX(属性耐性マスタ!$B$5:$G$10,$AF325,4),4))</f>
        <v>3.39E-2</v>
      </c>
      <c r="X325" s="9">
        <f>IF($H325&lt;&gt;"OK","",ROUND($G325*使い方と設定!$B$8*$AK325*$AH325*INDEX(属性耐性マスタ!$B$5:$G$10,$AF325,5),4))</f>
        <v>2.5399999999999999E-2</v>
      </c>
      <c r="Y325" s="9">
        <f>IF($H325&lt;&gt;"OK","",ROUND($G325*使い方と設定!$B$8*$AK325*$AH325*INDEX(属性耐性マスタ!$B$5:$G$10,$AF325,6),4))</f>
        <v>2.5399999999999999E-2</v>
      </c>
      <c r="Z325" s="9">
        <f>IF($H325&lt;&gt;"OK","",ROUND($G325*使い方と設定!$B$9*$AK325*$AI325,4))</f>
        <v>4.2634999999999996</v>
      </c>
      <c r="AA325" s="10">
        <v>1</v>
      </c>
      <c r="AB325" s="11">
        <f t="shared" si="13"/>
        <v>11.991300000000001</v>
      </c>
      <c r="AC325" s="11">
        <f t="shared" si="14"/>
        <v>0.72870000000000001</v>
      </c>
      <c r="AD325" s="7" t="str">
        <f>IF($H325&lt;&gt;"OK","",INDEX(個性タイプマスタ!$P$5:$P$54,$AE325))</f>
        <v>終盤魔法の特別配分</v>
      </c>
      <c r="AE325">
        <f>IFERROR(MATCH(E325,個性タイプマスタ!$A$5:$A$54,0),0)</f>
        <v>8</v>
      </c>
      <c r="AF325">
        <f>IFERROR(MATCH(F325,属性耐性マスタ!$A$5:$A$10,0),0)</f>
        <v>2</v>
      </c>
      <c r="AG325">
        <f>IF(AE325=0,1,INDEX(個性タイプマスタ!$AB$5:$AB$54,AE325))</f>
        <v>10.886833333333332</v>
      </c>
      <c r="AH325">
        <f>IF(AE325=0,1,INDEX(個性タイプマスタ!$AC$5:$AC$54,AE325))</f>
        <v>1.06</v>
      </c>
      <c r="AI325">
        <f>IF(AE325=0,0,INDEX(個性タイプマスタ!$AD$5:$AD$54,AE325))</f>
        <v>1.0666666666666667</v>
      </c>
      <c r="AJ325" s="16">
        <v>54</v>
      </c>
      <c r="AK325" s="17">
        <f>IF(OR(AJ325="",AJ325&lt;1),"",POWER(使い方と設定!$E$6,AJ325-1))</f>
        <v>7.99405225562802</v>
      </c>
    </row>
    <row r="326" spans="1:37">
      <c r="A326" t="str">
        <f>+[2]称号!A321</f>
        <v>TITLE_320</v>
      </c>
      <c r="B326" t="str">
        <f>+[2]称号!B321</f>
        <v>迷い路を照らす翠灯</v>
      </c>
      <c r="C326" t="s">
        <v>775</v>
      </c>
      <c r="D326" t="s">
        <v>776</v>
      </c>
      <c r="E326" s="2" t="str">
        <f>[1]モンスター計算!AM324</f>
        <v>魔法・超軽量</v>
      </c>
      <c r="F326" s="2" t="str">
        <f>[1]モンスター計算!C324</f>
        <v>火</v>
      </c>
      <c r="G326" s="8">
        <v>1.05</v>
      </c>
      <c r="H326" t="str">
        <f t="shared" si="12"/>
        <v>OK</v>
      </c>
      <c r="I326" s="9">
        <f>IF($H326&lt;&gt;"OK","",ROUND($G326*使い方と設定!$B$7*$AK326*INDEX(個性タイプマスタ!$Q$5:$AA$54,$AE326,1)/$AG326,4))</f>
        <v>0.82869999999999999</v>
      </c>
      <c r="J326" s="9">
        <f>IF($H326&lt;&gt;"OK","",ROUND($G326*使い方と設定!$B$7*$AK326*INDEX(個性タイプマスタ!$Q$5:$AA$54,$AE326,2)/$AG326,4))</f>
        <v>1.1145</v>
      </c>
      <c r="K326" s="9">
        <f>IF($H326&lt;&gt;"OK","",ROUND($G326*使い方と設定!$B$7*$AK326*INDEX(個性タイプマスタ!$Q$5:$AA$54,$AE326,3)/$AG326,4))</f>
        <v>0.16239999999999999</v>
      </c>
      <c r="L326" s="9">
        <f>IF($H326&lt;&gt;"OK","",ROUND($G326*使い方と設定!$B$7*$AK326*INDEX(個性タイプマスタ!$Q$5:$AA$54,$AE326,4)/$AG326,4))</f>
        <v>3.2473000000000001</v>
      </c>
      <c r="M326" s="9">
        <f>IF($H326&lt;&gt;"OK","",ROUND($G326*使い方と設定!$B$7*$AK326*INDEX(個性タイプマスタ!$Q$5:$AA$54,$AE326,5)/$AG326,4))</f>
        <v>0.70660000000000001</v>
      </c>
      <c r="N326" s="9">
        <f>IF($H326&lt;&gt;"OK","",ROUND($G326*使い方と設定!$B$7*$AK326*INDEX(個性タイプマスタ!$Q$5:$AA$54,$AE326,6)/$AG326,4))</f>
        <v>0.7177</v>
      </c>
      <c r="O326" s="9">
        <f>IF($H326&lt;&gt;"OK","",ROUND($G326*使い方と設定!$B$7*$AK326*INDEX(個性タイプマスタ!$Q$5:$AA$54,$AE326,7)/$AG326,4))</f>
        <v>1.143</v>
      </c>
      <c r="P326" s="9">
        <f>IF($H326&lt;&gt;"OK","",ROUND($G326*使い方と設定!$B$7*$AK326*INDEX(個性タイプマスタ!$Q$5:$AA$54,$AE326,8)/$AG326,4))</f>
        <v>0.87239999999999995</v>
      </c>
      <c r="Q326" s="9">
        <f>IF($H326&lt;&gt;"OK","",ROUND($G326*使い方と設定!$B$7*$AK326*INDEX(個性タイプマスタ!$Q$5:$AA$54,$AE326,9)/$AG326,4))</f>
        <v>1.2001999999999999</v>
      </c>
      <c r="R326" s="9">
        <f>IF($H326&lt;&gt;"OK","",ROUND($G326*使い方と設定!$B$7*$AK326*INDEX(個性タイプマスタ!$Q$5:$AA$54,$AE326,10)/$AG326,4))</f>
        <v>1.6886000000000001</v>
      </c>
      <c r="S326" s="9">
        <f>IF($H326&lt;&gt;"OK","",ROUND($G326*使い方と設定!$B$7*$AK326*INDEX(個性タイプマスタ!$Q$5:$AA$54,$AE326,11)/$AG326,4))</f>
        <v>0.90920000000000001</v>
      </c>
      <c r="T326" s="9">
        <f>IF($H326&lt;&gt;"OK","",ROUND($G326*使い方と設定!$B$8*$AK326*$AH326*INDEX(属性耐性マスタ!$B$5:$G$10,$AF326,1),4))</f>
        <v>0.32229999999999998</v>
      </c>
      <c r="U326" s="9">
        <f>IF($H326&lt;&gt;"OK","",ROUND($G326*使い方と設定!$B$8*$AK326*$AH326*INDEX(属性耐性マスタ!$B$5:$G$10,$AF326,2),4))</f>
        <v>6.4500000000000002E-2</v>
      </c>
      <c r="V326" s="9">
        <f>IF($H326&lt;&gt;"OK","",ROUND($G326*使い方と設定!$B$8*$AK326*$AH326*INDEX(属性耐性マスタ!$B$5:$G$10,$AF326,3),4))</f>
        <v>2.1499999999999998E-2</v>
      </c>
      <c r="W326" s="9">
        <f>IF($H326&lt;&gt;"OK","",ROUND($G326*使い方と設定!$B$8*$AK326*$AH326*INDEX(属性耐性マスタ!$B$5:$G$10,$AF326,4),4))</f>
        <v>2.1499999999999998E-2</v>
      </c>
      <c r="X326" s="9">
        <f>IF($H326&lt;&gt;"OK","",ROUND($G326*使い方と設定!$B$8*$AK326*$AH326*INDEX(属性耐性マスタ!$B$5:$G$10,$AF326,5),4))</f>
        <v>1.61E-2</v>
      </c>
      <c r="Y326" s="9">
        <f>IF($H326&lt;&gt;"OK","",ROUND($G326*使い方と設定!$B$8*$AK326*$AH326*INDEX(属性耐性マスタ!$B$5:$G$10,$AF326,6),4))</f>
        <v>1.61E-2</v>
      </c>
      <c r="Z326" s="9">
        <f>IF($H326&lt;&gt;"OK","",ROUND($G326*使い方と設定!$B$9*$AK326*$AI326,4))</f>
        <v>5.4558999999999997</v>
      </c>
      <c r="AA326" s="10">
        <v>1</v>
      </c>
      <c r="AB326" s="11">
        <f t="shared" si="13"/>
        <v>12.5906</v>
      </c>
      <c r="AC326" s="11">
        <f t="shared" si="14"/>
        <v>0.46200000000000002</v>
      </c>
      <c r="AD326" s="7" t="str">
        <f>IF($H326&lt;&gt;"OK","",INDEX(個性タイプマスタ!$P$5:$P$54,$AE326))</f>
        <v>超高速移動・極低耐久</v>
      </c>
      <c r="AE326">
        <f>IFERROR(MATCH(E326,個性タイプマスタ!$A$5:$A$54,0),0)</f>
        <v>18</v>
      </c>
      <c r="AF326">
        <f>IFERROR(MATCH(F326,属性耐性マスタ!$A$5:$A$10,0),0)</f>
        <v>1</v>
      </c>
      <c r="AG326">
        <f>IF(AE326=0,1,INDEX(個性タイプマスタ!$AB$5:$AB$54,AE326))</f>
        <v>9.6931666666666683</v>
      </c>
      <c r="AH326">
        <f>IF(AE326=0,1,INDEX(個性タイプマスタ!$AC$5:$AC$54,AE326))</f>
        <v>0.64</v>
      </c>
      <c r="AI326">
        <f>IF(AE326=0,0,INDEX(個性タイプマスタ!$AD$5:$AD$54,AE326))</f>
        <v>1.3</v>
      </c>
      <c r="AJ326" s="16">
        <v>54</v>
      </c>
      <c r="AK326" s="17">
        <f>IF(OR(AJ326="",AJ326&lt;1),"",POWER(使い方と設定!$E$6,AJ326-1))</f>
        <v>7.99405225562802</v>
      </c>
    </row>
    <row r="327" spans="1:37">
      <c r="A327" t="str">
        <f>+[2]称号!A322</f>
        <v>TITLE_321</v>
      </c>
      <c r="B327" t="str">
        <f>+[2]称号!B322</f>
        <v>蒼牙走る黒晶刃</v>
      </c>
      <c r="C327" t="s">
        <v>777</v>
      </c>
      <c r="D327" t="s">
        <v>778</v>
      </c>
      <c r="E327" s="2" t="str">
        <f>[1]モンスター計算!AM325</f>
        <v>魔法・物防障壁</v>
      </c>
      <c r="F327" s="2" t="str">
        <f>[1]モンスター計算!C325</f>
        <v>風</v>
      </c>
      <c r="G327" s="8">
        <v>1.1000000000000001</v>
      </c>
      <c r="H327" t="str">
        <f t="shared" ref="H327:H372" si="15">IF(OR(E327="",F327=""),"未入力",IF(IFERROR(AND(ISNUMBER(AJ327),AJ327&gt;=1,AJ327=INT(AJ327)),FALSE),IF(AE327=0,"タイプ未登録",IF(AF327=0,"属性未登録","OK")),"ステージ未設定"))</f>
        <v>OK</v>
      </c>
      <c r="I327" s="9">
        <f>IF($H327&lt;&gt;"OK","",ROUND($G327*使い方と設定!$B$7*$AK327*INDEX(個性タイプマスタ!$Q$5:$AA$54,$AE327,1)/$AG327,4))</f>
        <v>1.4988999999999999</v>
      </c>
      <c r="J327" s="9">
        <f>IF($H327&lt;&gt;"OK","",ROUND($G327*使い方と設定!$B$7*$AK327*INDEX(個性タイプマスタ!$Q$5:$AA$54,$AE327,2)/$AG327,4))</f>
        <v>1.8067</v>
      </c>
      <c r="K327" s="9">
        <f>IF($H327&lt;&gt;"OK","",ROUND($G327*使い方と設定!$B$7*$AK327*INDEX(個性タイプマスタ!$Q$5:$AA$54,$AE327,3)/$AG327,4))</f>
        <v>0.20069999999999999</v>
      </c>
      <c r="L327" s="9">
        <f>IF($H327&lt;&gt;"OK","",ROUND($G327*使い方と設定!$B$7*$AK327*INDEX(個性タイプマスタ!$Q$5:$AA$54,$AE327,4)/$AG327,4))</f>
        <v>3.0415999999999999</v>
      </c>
      <c r="M327" s="9">
        <f>IF($H327&lt;&gt;"OK","",ROUND($G327*使い方と設定!$B$7*$AK327*INDEX(個性タイプマスタ!$Q$5:$AA$54,$AE327,5)/$AG327,4))</f>
        <v>2.0165999999999999</v>
      </c>
      <c r="N327" s="9">
        <f>IF($H327&lt;&gt;"OK","",ROUND($G327*使い方と設定!$B$7*$AK327*INDEX(個性タイプマスタ!$Q$5:$AA$54,$AE327,6)/$AG327,4))</f>
        <v>0.74460000000000004</v>
      </c>
      <c r="O327" s="9">
        <f>IF($H327&lt;&gt;"OK","",ROUND($G327*使い方と設定!$B$7*$AK327*INDEX(個性タイプマスタ!$Q$5:$AA$54,$AE327,7)/$AG327,4))</f>
        <v>0.73609999999999998</v>
      </c>
      <c r="P327" s="9">
        <f>IF($H327&lt;&gt;"OK","",ROUND($G327*使い方と設定!$B$7*$AK327*INDEX(個性タイプマスタ!$Q$5:$AA$54,$AE327,8)/$AG327,4))</f>
        <v>0.79079999999999995</v>
      </c>
      <c r="Q327" s="9">
        <f>IF($H327&lt;&gt;"OK","",ROUND($G327*使い方と設定!$B$7*$AK327*INDEX(個性タイプマスタ!$Q$5:$AA$54,$AE327,9)/$AG327,4))</f>
        <v>0.49519999999999997</v>
      </c>
      <c r="R327" s="9">
        <f>IF($H327&lt;&gt;"OK","",ROUND($G327*使い方と設定!$B$7*$AK327*INDEX(個性タイプマスタ!$Q$5:$AA$54,$AE327,10)/$AG327,4))</f>
        <v>1.0585</v>
      </c>
      <c r="S327" s="9">
        <f>IF($H327&lt;&gt;"OK","",ROUND($G327*使い方と設定!$B$7*$AK327*INDEX(個性タイプマスタ!$Q$5:$AA$54,$AE327,11)/$AG327,4))</f>
        <v>0.80049999999999999</v>
      </c>
      <c r="T327" s="9">
        <f>IF($H327&lt;&gt;"OK","",ROUND($G327*使い方と設定!$B$8*$AK327*$AH327*INDEX(属性耐性マスタ!$B$5:$G$10,$AF327,1),4))</f>
        <v>4.4299999999999999E-2</v>
      </c>
      <c r="U327" s="9">
        <f>IF($H327&lt;&gt;"OK","",ROUND($G327*使い方と設定!$B$8*$AK327*$AH327*INDEX(属性耐性マスタ!$B$5:$G$10,$AF327,2),4))</f>
        <v>4.4299999999999999E-2</v>
      </c>
      <c r="V327" s="9">
        <f>IF($H327&lt;&gt;"OK","",ROUND($G327*使い方と設定!$B$8*$AK327*$AH327*INDEX(属性耐性マスタ!$B$5:$G$10,$AF327,3),4))</f>
        <v>0.66479999999999995</v>
      </c>
      <c r="W327" s="9">
        <f>IF($H327&lt;&gt;"OK","",ROUND($G327*使い方と設定!$B$8*$AK327*$AH327*INDEX(属性耐性マスタ!$B$5:$G$10,$AF327,4),4))</f>
        <v>0.16619999999999999</v>
      </c>
      <c r="X327" s="9">
        <f>IF($H327&lt;&gt;"OK","",ROUND($G327*使い方と設定!$B$8*$AK327*$AH327*INDEX(属性耐性マスタ!$B$5:$G$10,$AF327,5),4))</f>
        <v>3.32E-2</v>
      </c>
      <c r="Y327" s="9">
        <f>IF($H327&lt;&gt;"OK","",ROUND($G327*使い方と設定!$B$8*$AK327*$AH327*INDEX(属性耐性マスタ!$B$5:$G$10,$AF327,6),4))</f>
        <v>3.32E-2</v>
      </c>
      <c r="Z327" s="9">
        <f>IF($H327&lt;&gt;"OK","",ROUND($G327*使い方と設定!$B$9*$AK327*$AI327,4))</f>
        <v>3.9937</v>
      </c>
      <c r="AA327" s="10">
        <v>0.9</v>
      </c>
      <c r="AB327" s="11">
        <f t="shared" ref="AB327:AB372" si="16">IF($H327&lt;&gt;"OK","",ROUND(SUM(I327:S327),4))</f>
        <v>13.190200000000001</v>
      </c>
      <c r="AC327" s="11">
        <f t="shared" ref="AC327:AC372" si="17">IF($H327&lt;&gt;"OK","",ROUND(SUM(T327:Y327),4))</f>
        <v>0.98599999999999999</v>
      </c>
      <c r="AD327" s="7" t="str">
        <f>IF($H327&lt;&gt;"OK","",INDEX(個性タイプマスタ!$P$5:$P$54,$AE327))</f>
        <v>物理防御を集中的に強化</v>
      </c>
      <c r="AE327">
        <f>IFERROR(MATCH(E327,個性タイプマスタ!$A$5:$A$54,0),0)</f>
        <v>25</v>
      </c>
      <c r="AF327">
        <f>IFERROR(MATCH(F327,属性耐性マスタ!$A$5:$A$10,0),0)</f>
        <v>3</v>
      </c>
      <c r="AG327">
        <f>IF(AE327=0,1,INDEX(個性タイプマスタ!$AB$5:$AB$54,AE327))</f>
        <v>10.8415</v>
      </c>
      <c r="AH327">
        <f>IF(AE327=0,1,INDEX(個性タイプマスタ!$AC$5:$AC$54,AE327))</f>
        <v>1.26</v>
      </c>
      <c r="AI327">
        <f>IF(AE327=0,0,INDEX(個性タイプマスタ!$AD$5:$AD$54,AE327))</f>
        <v>0.90833333333333333</v>
      </c>
      <c r="AJ327" s="16">
        <v>54</v>
      </c>
      <c r="AK327" s="17">
        <f>IF(OR(AJ327="",AJ327&lt;1),"",POWER(使い方と設定!$E$6,AJ327-1))</f>
        <v>7.99405225562802</v>
      </c>
    </row>
    <row r="328" spans="1:37">
      <c r="A328" t="str">
        <f>+[2]称号!A323</f>
        <v>TITLE_322</v>
      </c>
      <c r="B328" t="str">
        <f>+[2]称号!B323</f>
        <v>消えざる守人の炉心</v>
      </c>
      <c r="C328" t="s">
        <v>779</v>
      </c>
      <c r="D328" t="s">
        <v>780</v>
      </c>
      <c r="E328" s="2" t="str">
        <f>[1]モンスター計算!AM326</f>
        <v>近接・耐久</v>
      </c>
      <c r="F328" s="2" t="str">
        <f>[1]モンスター計算!C326</f>
        <v>火</v>
      </c>
      <c r="G328" s="8">
        <v>1.1499999999999999</v>
      </c>
      <c r="H328" t="str">
        <f t="shared" si="15"/>
        <v>OK</v>
      </c>
      <c r="I328" s="9">
        <f>IF($H328&lt;&gt;"OK","",ROUND($G328*使い方と設定!$B$7*$AK328*INDEX(個性タイプマスタ!$Q$5:$AA$54,$AE328,1)/$AG328,4))</f>
        <v>1.7997000000000001</v>
      </c>
      <c r="J328" s="9">
        <f>IF($H328&lt;&gt;"OK","",ROUND($G328*使い方と設定!$B$7*$AK328*INDEX(個性タイプマスタ!$Q$5:$AA$54,$AE328,2)/$AG328,4))</f>
        <v>0.63739999999999997</v>
      </c>
      <c r="K328" s="9">
        <f>IF($H328&lt;&gt;"OK","",ROUND($G328*使い方と設定!$B$7*$AK328*INDEX(個性タイプマスタ!$Q$5:$AA$54,$AE328,3)/$AG328,4))</f>
        <v>3.4085000000000001</v>
      </c>
      <c r="L328" s="9">
        <f>IF($H328&lt;&gt;"OK","",ROUND($G328*使い方と設定!$B$7*$AK328*INDEX(個性タイプマスタ!$Q$5:$AA$54,$AE328,4)/$AG328,4))</f>
        <v>0.34079999999999999</v>
      </c>
      <c r="M328" s="9">
        <f>IF($H328&lt;&gt;"OK","",ROUND($G328*使い方と設定!$B$7*$AK328*INDEX(個性タイプマスタ!$Q$5:$AA$54,$AE328,5)/$AG328,4))</f>
        <v>1.5065</v>
      </c>
      <c r="N328" s="9">
        <f>IF($H328&lt;&gt;"OK","",ROUND($G328*使い方と設定!$B$7*$AK328*INDEX(個性タイプマスタ!$Q$5:$AA$54,$AE328,6)/$AG328,4))</f>
        <v>0.98499999999999999</v>
      </c>
      <c r="O328" s="9">
        <f>IF($H328&lt;&gt;"OK","",ROUND($G328*使い方と設定!$B$7*$AK328*INDEX(個性タイプマスタ!$Q$5:$AA$54,$AE328,7)/$AG328,4))</f>
        <v>1.1998</v>
      </c>
      <c r="P328" s="9">
        <f>IF($H328&lt;&gt;"OK","",ROUND($G328*使い方と設定!$B$7*$AK328*INDEX(個性タイプマスタ!$Q$5:$AA$54,$AE328,8)/$AG328,4))</f>
        <v>0.94530000000000003</v>
      </c>
      <c r="Q328" s="9">
        <f>IF($H328&lt;&gt;"OK","",ROUND($G328*使い方と設定!$B$7*$AK328*INDEX(個性タイプマスタ!$Q$5:$AA$54,$AE328,9)/$AG328,4))</f>
        <v>0.83979999999999999</v>
      </c>
      <c r="R328" s="9">
        <f>IF($H328&lt;&gt;"OK","",ROUND($G328*使い方と設定!$B$7*$AK328*INDEX(個性タイプマスタ!$Q$5:$AA$54,$AE328,10)/$AG328,4))</f>
        <v>1.3633999999999999</v>
      </c>
      <c r="S328" s="9">
        <f>IF($H328&lt;&gt;"OK","",ROUND($G328*使い方と設定!$B$7*$AK328*INDEX(個性タイプマスタ!$Q$5:$AA$54,$AE328,11)/$AG328,4))</f>
        <v>0.76349999999999996</v>
      </c>
      <c r="T328" s="9">
        <f>IF($H328&lt;&gt;"OK","",ROUND($G328*使い方と設定!$B$8*$AK328*$AH328*INDEX(属性耐性マスタ!$B$5:$G$10,$AF328,1),4))</f>
        <v>0.62880000000000003</v>
      </c>
      <c r="U328" s="9">
        <f>IF($H328&lt;&gt;"OK","",ROUND($G328*使い方と設定!$B$8*$AK328*$AH328*INDEX(属性耐性マスタ!$B$5:$G$10,$AF328,2),4))</f>
        <v>0.1258</v>
      </c>
      <c r="V328" s="9">
        <f>IF($H328&lt;&gt;"OK","",ROUND($G328*使い方と設定!$B$8*$AK328*$AH328*INDEX(属性耐性マスタ!$B$5:$G$10,$AF328,3),4))</f>
        <v>4.19E-2</v>
      </c>
      <c r="W328" s="9">
        <f>IF($H328&lt;&gt;"OK","",ROUND($G328*使い方と設定!$B$8*$AK328*$AH328*INDEX(属性耐性マスタ!$B$5:$G$10,$AF328,4),4))</f>
        <v>4.19E-2</v>
      </c>
      <c r="X328" s="9">
        <f>IF($H328&lt;&gt;"OK","",ROUND($G328*使い方と設定!$B$8*$AK328*$AH328*INDEX(属性耐性マスタ!$B$5:$G$10,$AF328,5),4))</f>
        <v>3.1399999999999997E-2</v>
      </c>
      <c r="Y328" s="9">
        <f>IF($H328&lt;&gt;"OK","",ROUND($G328*使い方と設定!$B$8*$AK328*$AH328*INDEX(属性耐性マスタ!$B$5:$G$10,$AF328,6),4))</f>
        <v>3.1399999999999997E-2</v>
      </c>
      <c r="Z328" s="9">
        <f>IF($H328&lt;&gt;"OK","",ROUND($G328*使い方と設定!$B$9*$AK328*$AI328,4))</f>
        <v>4.9029999999999996</v>
      </c>
      <c r="AA328" s="10">
        <v>0.55000000000000004</v>
      </c>
      <c r="AB328" s="11">
        <f t="shared" si="16"/>
        <v>13.7897</v>
      </c>
      <c r="AC328" s="11">
        <f t="shared" si="17"/>
        <v>0.9012</v>
      </c>
      <c r="AD328" s="7" t="str">
        <f>IF($H328&lt;&gt;"OK","",INDEX(個性タイプマスタ!$P$5:$P$54,$AE328))</f>
        <v>HP・物防寄りの近接型</v>
      </c>
      <c r="AE328">
        <f>IFERROR(MATCH(E328,個性タイプマスタ!$A$5:$A$54,0),0)</f>
        <v>4</v>
      </c>
      <c r="AF328">
        <f>IFERROR(MATCH(F328,属性耐性マスタ!$A$5:$A$10,0),0)</f>
        <v>1</v>
      </c>
      <c r="AG328">
        <f>IF(AE328=0,1,INDEX(個性タイプマスタ!$AB$5:$AB$54,AE328))</f>
        <v>10.114333333333335</v>
      </c>
      <c r="AH328">
        <f>IF(AE328=0,1,INDEX(個性タイプマスタ!$AC$5:$AC$54,AE328))</f>
        <v>1.1400000000000001</v>
      </c>
      <c r="AI328">
        <f>IF(AE328=0,0,INDEX(個性タイプマスタ!$AD$5:$AD$54,AE328))</f>
        <v>1.0666666666666667</v>
      </c>
      <c r="AJ328" s="16">
        <v>54</v>
      </c>
      <c r="AK328" s="17">
        <f>IF(OR(AJ328="",AJ328&lt;1),"",POWER(使い方と設定!$E$6,AJ328-1))</f>
        <v>7.99405225562802</v>
      </c>
    </row>
    <row r="329" spans="1:37">
      <c r="A329" t="str">
        <f>+[2]称号!A324</f>
        <v>TITLE_323</v>
      </c>
      <c r="B329" t="str">
        <f>+[2]称号!B324</f>
        <v>大洞を受け止める壁</v>
      </c>
      <c r="C329" t="s">
        <v>781</v>
      </c>
      <c r="D329" t="s">
        <v>782</v>
      </c>
      <c r="E329" s="2" t="str">
        <f>[1]モンスター計算!AM327</f>
        <v>近接・重撃</v>
      </c>
      <c r="F329" s="2" t="str">
        <f>[1]モンスター計算!C327</f>
        <v>水</v>
      </c>
      <c r="G329" s="8">
        <v>1.2</v>
      </c>
      <c r="H329" t="str">
        <f t="shared" si="15"/>
        <v>OK</v>
      </c>
      <c r="I329" s="9">
        <f>IF($H329&lt;&gt;"OK","",ROUND($G329*使い方と設定!$B$7*$AK329*INDEX(個性タイプマスタ!$Q$5:$AA$54,$AE329,1)/$AG329,4))</f>
        <v>2.13</v>
      </c>
      <c r="J329" s="9">
        <f>IF($H329&lt;&gt;"OK","",ROUND($G329*使い方と設定!$B$7*$AK329*INDEX(個性タイプマスタ!$Q$5:$AA$54,$AE329,2)/$AG329,4))</f>
        <v>0.58699999999999997</v>
      </c>
      <c r="K329" s="9">
        <f>IF($H329&lt;&gt;"OK","",ROUND($G329*使い方と設定!$B$7*$AK329*INDEX(個性タイプマスタ!$Q$5:$AA$54,$AE329,3)/$AG329,4))</f>
        <v>3.8117000000000001</v>
      </c>
      <c r="L329" s="9">
        <f>IF($H329&lt;&gt;"OK","",ROUND($G329*使い方と設定!$B$7*$AK329*INDEX(個性タイプマスタ!$Q$5:$AA$54,$AE329,4)/$AG329,4))</f>
        <v>0.24779999999999999</v>
      </c>
      <c r="M329" s="9">
        <f>IF($H329&lt;&gt;"OK","",ROUND($G329*使い方と設定!$B$7*$AK329*INDEX(個性タイプマスタ!$Q$5:$AA$54,$AE329,5)/$AG329,4))</f>
        <v>1.3608</v>
      </c>
      <c r="N329" s="9">
        <f>IF($H329&lt;&gt;"OK","",ROUND($G329*使い方と設定!$B$7*$AK329*INDEX(個性タイプマスタ!$Q$5:$AA$54,$AE329,6)/$AG329,4))</f>
        <v>1.1405000000000001</v>
      </c>
      <c r="O329" s="9">
        <f>IF($H329&lt;&gt;"OK","",ROUND($G329*使い方と設定!$B$7*$AK329*INDEX(個性タイプマスタ!$Q$5:$AA$54,$AE329,7)/$AG329,4))</f>
        <v>1.0063</v>
      </c>
      <c r="P329" s="9">
        <f>IF($H329&lt;&gt;"OK","",ROUND($G329*使い方と設定!$B$7*$AK329*INDEX(個性タイプマスタ!$Q$5:$AA$54,$AE329,8)/$AG329,4))</f>
        <v>1.4205000000000001</v>
      </c>
      <c r="Q329" s="9">
        <f>IF($H329&lt;&gt;"OK","",ROUND($G329*使い方と設定!$B$7*$AK329*INDEX(個性タイプマスタ!$Q$5:$AA$54,$AE329,9)/$AG329,4))</f>
        <v>0.55349999999999999</v>
      </c>
      <c r="R329" s="9">
        <f>IF($H329&lt;&gt;"OK","",ROUND($G329*使い方と設定!$B$7*$AK329*INDEX(個性タイプマスタ!$Q$5:$AA$54,$AE329,10)/$AG329,4))</f>
        <v>0.80810000000000004</v>
      </c>
      <c r="S329" s="9">
        <f>IF($H329&lt;&gt;"OK","",ROUND($G329*使い方と設定!$B$7*$AK329*INDEX(個性タイプマスタ!$Q$5:$AA$54,$AE329,11)/$AG329,4))</f>
        <v>1.3233999999999999</v>
      </c>
      <c r="T329" s="9">
        <f>IF($H329&lt;&gt;"OK","",ROUND($G329*使い方と設定!$B$8*$AK329*$AH329*INDEX(属性耐性マスタ!$B$5:$G$10,$AF329,1),4))</f>
        <v>0.1036</v>
      </c>
      <c r="U329" s="9">
        <f>IF($H329&lt;&gt;"OK","",ROUND($G329*使い方と設定!$B$8*$AK329*$AH329*INDEX(属性耐性マスタ!$B$5:$G$10,$AF329,2),4))</f>
        <v>0.51800000000000002</v>
      </c>
      <c r="V329" s="9">
        <f>IF($H329&lt;&gt;"OK","",ROUND($G329*使い方と設定!$B$8*$AK329*$AH329*INDEX(属性耐性マスタ!$B$5:$G$10,$AF329,3),4))</f>
        <v>3.4500000000000003E-2</v>
      </c>
      <c r="W329" s="9">
        <f>IF($H329&lt;&gt;"OK","",ROUND($G329*使い方と設定!$B$8*$AK329*$AH329*INDEX(属性耐性マスタ!$B$5:$G$10,$AF329,4),4))</f>
        <v>3.4500000000000003E-2</v>
      </c>
      <c r="X329" s="9">
        <f>IF($H329&lt;&gt;"OK","",ROUND($G329*使い方と設定!$B$8*$AK329*$AH329*INDEX(属性耐性マスタ!$B$5:$G$10,$AF329,5),4))</f>
        <v>2.5899999999999999E-2</v>
      </c>
      <c r="Y329" s="9">
        <f>IF($H329&lt;&gt;"OK","",ROUND($G329*使い方と設定!$B$8*$AK329*$AH329*INDEX(属性耐性マスタ!$B$5:$G$10,$AF329,6),4))</f>
        <v>2.5899999999999999E-2</v>
      </c>
      <c r="Z329" s="9">
        <f>IF($H329&lt;&gt;"OK","",ROUND($G329*使い方と設定!$B$9*$AK329*$AI329,4))</f>
        <v>4.1969000000000003</v>
      </c>
      <c r="AA329" s="10">
        <v>0.5</v>
      </c>
      <c r="AB329" s="11">
        <f t="shared" si="16"/>
        <v>14.3896</v>
      </c>
      <c r="AC329" s="11">
        <f t="shared" si="17"/>
        <v>0.74239999999999995</v>
      </c>
      <c r="AD329" s="7" t="str">
        <f>IF($H329&lt;&gt;"OK","",INDEX(個性タイプマスタ!$P$5:$P$54,$AE329))</f>
        <v>一撃重視の低速型</v>
      </c>
      <c r="AE329">
        <f>IFERROR(MATCH(E329,個性タイプマスタ!$A$5:$A$54,0),0)</f>
        <v>33</v>
      </c>
      <c r="AF329">
        <f>IFERROR(MATCH(F329,属性耐性マスタ!$A$5:$A$10,0),0)</f>
        <v>2</v>
      </c>
      <c r="AG329">
        <f>IF(AE329=0,1,INDEX(個性タイプマスタ!$AB$5:$AB$54,AE329))</f>
        <v>9.4376666666666669</v>
      </c>
      <c r="AH329">
        <f>IF(AE329=0,1,INDEX(個性タイプマスタ!$AC$5:$AC$54,AE329))</f>
        <v>0.9</v>
      </c>
      <c r="AI329">
        <f>IF(AE329=0,0,INDEX(個性タイプマスタ!$AD$5:$AD$54,AE329))</f>
        <v>0.875</v>
      </c>
      <c r="AJ329" s="16">
        <v>54</v>
      </c>
      <c r="AK329" s="17">
        <f>IF(OR(AJ329="",AJ329&lt;1),"",POWER(使い方と設定!$E$6,AJ329-1))</f>
        <v>7.99405225562802</v>
      </c>
    </row>
    <row r="330" spans="1:37">
      <c r="A330" t="str">
        <f>+[2]称号!A325</f>
        <v>TITLE_324</v>
      </c>
      <c r="B330" t="str">
        <f>+[2]称号!B325</f>
        <v>封脈を統べる王晶</v>
      </c>
      <c r="C330" t="s">
        <v>783</v>
      </c>
      <c r="D330" t="s">
        <v>784</v>
      </c>
      <c r="E330" s="2" t="str">
        <f>[1]モンスター計算!AM328</f>
        <v>魔法・近距離</v>
      </c>
      <c r="F330" s="2" t="str">
        <f>[1]モンスター計算!C328</f>
        <v>光</v>
      </c>
      <c r="G330" s="8">
        <v>1.25</v>
      </c>
      <c r="H330" t="str">
        <f t="shared" si="15"/>
        <v>OK</v>
      </c>
      <c r="I330" s="9">
        <f>IF($H330&lt;&gt;"OK","",ROUND($G330*使い方と設定!$B$7*$AK330*INDEX(個性タイプマスタ!$Q$5:$AA$54,$AE330,1)/$AG330,4))</f>
        <v>1.9041999999999999</v>
      </c>
      <c r="J330" s="9">
        <f>IF($H330&lt;&gt;"OK","",ROUND($G330*使い方と設定!$B$7*$AK330*INDEX(個性タイプマスタ!$Q$5:$AA$54,$AE330,2)/$AG330,4))</f>
        <v>1.4133</v>
      </c>
      <c r="K330" s="9">
        <f>IF($H330&lt;&gt;"OK","",ROUND($G330*使い方と設定!$B$7*$AK330*INDEX(個性タイプマスタ!$Q$5:$AA$54,$AE330,3)/$AG330,4))</f>
        <v>0.28739999999999999</v>
      </c>
      <c r="L330" s="9">
        <f>IF($H330&lt;&gt;"OK","",ROUND($G330*使い方と設定!$B$7*$AK330*INDEX(個性タイプマスタ!$Q$5:$AA$54,$AE330,4)/$AG330,4))</f>
        <v>3.3809999999999998</v>
      </c>
      <c r="M330" s="9">
        <f>IF($H330&lt;&gt;"OK","",ROUND($G330*使い方と設定!$B$7*$AK330*INDEX(個性タイプマスタ!$Q$5:$AA$54,$AE330,5)/$AG330,4))</f>
        <v>1.4139999999999999</v>
      </c>
      <c r="N330" s="9">
        <f>IF($H330&lt;&gt;"OK","",ROUND($G330*使い方と設定!$B$7*$AK330*INDEX(個性タイプマスタ!$Q$5:$AA$54,$AE330,6)/$AG330,4))</f>
        <v>1.2875000000000001</v>
      </c>
      <c r="O330" s="9">
        <f>IF($H330&lt;&gt;"OK","",ROUND($G330*使い方と設定!$B$7*$AK330*INDEX(個性タイプマスタ!$Q$5:$AA$54,$AE330,7)/$AG330,4))</f>
        <v>1.0414000000000001</v>
      </c>
      <c r="P330" s="9">
        <f>IF($H330&lt;&gt;"OK","",ROUND($G330*使い方と設定!$B$7*$AK330*INDEX(個性タイプマスタ!$Q$5:$AA$54,$AE330,8)/$AG330,4))</f>
        <v>0.87909999999999999</v>
      </c>
      <c r="Q330" s="9">
        <f>IF($H330&lt;&gt;"OK","",ROUND($G330*使い方と設定!$B$7*$AK330*INDEX(個性タイプマスタ!$Q$5:$AA$54,$AE330,9)/$AG330,4))</f>
        <v>0.83309999999999995</v>
      </c>
      <c r="R330" s="9">
        <f>IF($H330&lt;&gt;"OK","",ROUND($G330*使い方と設定!$B$7*$AK330*INDEX(個性タイプマスタ!$Q$5:$AA$54,$AE330,10)/$AG330,4))</f>
        <v>1.9610000000000001</v>
      </c>
      <c r="S330" s="9">
        <f>IF($H330&lt;&gt;"OK","",ROUND($G330*使い方と設定!$B$7*$AK330*INDEX(個性タイプマスタ!$Q$5:$AA$54,$AE330,11)/$AG330,4))</f>
        <v>0.58689999999999998</v>
      </c>
      <c r="T330" s="9">
        <f>IF($H330&lt;&gt;"OK","",ROUND($G330*使い方と設定!$B$8*$AK330*$AH330*INDEX(属性耐性マスタ!$B$5:$G$10,$AF330,1),4))</f>
        <v>3.3599999999999998E-2</v>
      </c>
      <c r="U330" s="9">
        <f>IF($H330&lt;&gt;"OK","",ROUND($G330*使い方と設定!$B$8*$AK330*$AH330*INDEX(属性耐性マスタ!$B$5:$G$10,$AF330,2),4))</f>
        <v>3.3599999999999998E-2</v>
      </c>
      <c r="V330" s="9">
        <f>IF($H330&lt;&gt;"OK","",ROUND($G330*使い方と設定!$B$8*$AK330*$AH330*INDEX(属性耐性マスタ!$B$5:$G$10,$AF330,3),4))</f>
        <v>3.3599999999999998E-2</v>
      </c>
      <c r="W330" s="9">
        <f>IF($H330&lt;&gt;"OK","",ROUND($G330*使い方と設定!$B$8*$AK330*$AH330*INDEX(属性耐性マスタ!$B$5:$G$10,$AF330,4),4))</f>
        <v>3.3599999999999998E-2</v>
      </c>
      <c r="X330" s="9">
        <f>IF($H330&lt;&gt;"OK","",ROUND($G330*使い方と設定!$B$8*$AK330*$AH330*INDEX(属性耐性マスタ!$B$5:$G$10,$AF330,5),4))</f>
        <v>0.67149999999999999</v>
      </c>
      <c r="Y330" s="9">
        <f>IF($H330&lt;&gt;"OK","",ROUND($G330*使い方と設定!$B$8*$AK330*$AH330*INDEX(属性耐性マスタ!$B$5:$G$10,$AF330,6),4))</f>
        <v>8.9499999999999996E-2</v>
      </c>
      <c r="Z330" s="9">
        <f>IF($H330&lt;&gt;"OK","",ROUND($G330*使い方と設定!$B$9*$AK330*$AI330,4))</f>
        <v>5.3293999999999997</v>
      </c>
      <c r="AA330" s="10">
        <v>0.25</v>
      </c>
      <c r="AB330" s="11">
        <f t="shared" si="16"/>
        <v>14.988899999999999</v>
      </c>
      <c r="AC330" s="11">
        <f t="shared" si="17"/>
        <v>0.89539999999999997</v>
      </c>
      <c r="AD330" s="7" t="str">
        <f>IF($H330&lt;&gt;"OK","",INDEX(個性タイプマスタ!$P$5:$P$54,$AE330))</f>
        <v>短射程の連発型</v>
      </c>
      <c r="AE330">
        <f>IFERROR(MATCH(E330,個性タイプマスタ!$A$5:$A$54,0),0)</f>
        <v>21</v>
      </c>
      <c r="AF330">
        <f>IFERROR(MATCH(F330,属性耐性マスタ!$A$5:$A$10,0),0)</f>
        <v>5</v>
      </c>
      <c r="AG330">
        <f>IF(AE330=0,1,INDEX(個性タイプマスタ!$AB$5:$AB$54,AE330))</f>
        <v>11.082999999999998</v>
      </c>
      <c r="AH330">
        <f>IF(AE330=0,1,INDEX(個性タイプマスタ!$AC$5:$AC$54,AE330))</f>
        <v>1.1200000000000001</v>
      </c>
      <c r="AI330">
        <f>IF(AE330=0,0,INDEX(個性タイプマスタ!$AD$5:$AD$54,AE330))</f>
        <v>1.0666666666666667</v>
      </c>
      <c r="AJ330" s="16">
        <v>54</v>
      </c>
      <c r="AK330" s="17">
        <f>IF(OR(AJ330="",AJ330&lt;1),"",POWER(使い方と設定!$E$6,AJ330-1))</f>
        <v>7.99405225562802</v>
      </c>
    </row>
    <row r="331" spans="1:37">
      <c r="A331" t="str">
        <f>+[2]称号!A326</f>
        <v>TITLE_325</v>
      </c>
      <c r="B331" t="str">
        <f>+[2]称号!B326</f>
        <v>風綿と戯れし者</v>
      </c>
      <c r="C331" t="s">
        <v>785</v>
      </c>
      <c r="D331" t="s">
        <v>786</v>
      </c>
      <c r="E331" s="2" t="str">
        <f>[1]モンスター計算!AM329</f>
        <v>魔法・砲撃</v>
      </c>
      <c r="F331" s="2" t="str">
        <f>[1]モンスター計算!C329</f>
        <v>水</v>
      </c>
      <c r="G331" s="8">
        <v>1</v>
      </c>
      <c r="H331" t="str">
        <f t="shared" si="15"/>
        <v>OK</v>
      </c>
      <c r="I331" s="9">
        <f>IF($H331&lt;&gt;"OK","",ROUND($G331*使い方と設定!$B$7*$AK331*INDEX(個性タイプマスタ!$Q$5:$AA$54,$AE331,1)/$AG331,4))</f>
        <v>1.1960999999999999</v>
      </c>
      <c r="J331" s="9">
        <f>IF($H331&lt;&gt;"OK","",ROUND($G331*使い方と設定!$B$7*$AK331*INDEX(個性タイプマスタ!$Q$5:$AA$54,$AE331,2)/$AG331,4))</f>
        <v>2.1031</v>
      </c>
      <c r="K331" s="9">
        <f>IF($H331&lt;&gt;"OK","",ROUND($G331*使い方と設定!$B$7*$AK331*INDEX(個性タイプマスタ!$Q$5:$AA$54,$AE331,3)/$AG331,4))</f>
        <v>0.224</v>
      </c>
      <c r="L331" s="9">
        <f>IF($H331&lt;&gt;"OK","",ROUND($G331*使い方と設定!$B$7*$AK331*INDEX(個性タイプマスタ!$Q$5:$AA$54,$AE331,4)/$AG331,4))</f>
        <v>2.9872999999999998</v>
      </c>
      <c r="M331" s="9">
        <f>IF($H331&lt;&gt;"OK","",ROUND($G331*使い方と設定!$B$7*$AK331*INDEX(個性タイプマスタ!$Q$5:$AA$54,$AE331,5)/$AG331,4))</f>
        <v>0.89380000000000004</v>
      </c>
      <c r="N331" s="9">
        <f>IF($H331&lt;&gt;"OK","",ROUND($G331*使い方と設定!$B$7*$AK331*INDEX(個性タイプマスタ!$Q$5:$AA$54,$AE331,6)/$AG331,4))</f>
        <v>0.96489999999999998</v>
      </c>
      <c r="O331" s="9">
        <f>IF($H331&lt;&gt;"OK","",ROUND($G331*使い方と設定!$B$7*$AK331*INDEX(個性タイプマスタ!$Q$5:$AA$54,$AE331,7)/$AG331,4))</f>
        <v>0.52580000000000005</v>
      </c>
      <c r="P331" s="9">
        <f>IF($H331&lt;&gt;"OK","",ROUND($G331*使い方と設定!$B$7*$AK331*INDEX(個性タイプマスタ!$Q$5:$AA$54,$AE331,8)/$AG331,4))</f>
        <v>1.1392</v>
      </c>
      <c r="Q331" s="9">
        <f>IF($H331&lt;&gt;"OK","",ROUND($G331*使い方と設定!$B$7*$AK331*INDEX(個性タイプマスタ!$Q$5:$AA$54,$AE331,9)/$AG331,4))</f>
        <v>0.43380000000000002</v>
      </c>
      <c r="R331" s="9">
        <f>IF($H331&lt;&gt;"OK","",ROUND($G331*使い方と設定!$B$7*$AK331*INDEX(個性タイプマスタ!$Q$5:$AA$54,$AE331,10)/$AG331,4))</f>
        <v>0.76480000000000004</v>
      </c>
      <c r="S331" s="9">
        <f>IF($H331&lt;&gt;"OK","",ROUND($G331*使い方と設定!$B$7*$AK331*INDEX(個性タイプマスタ!$Q$5:$AA$54,$AE331,11)/$AG331,4))</f>
        <v>1.238</v>
      </c>
      <c r="T331" s="9">
        <f>IF($H331&lt;&gt;"OK","",ROUND($G331*使い方と設定!$B$8*$AK331*$AH331*INDEX(属性耐性マスタ!$B$5:$G$10,$AF331,1),4))</f>
        <v>8.9800000000000005E-2</v>
      </c>
      <c r="U331" s="9">
        <f>IF($H331&lt;&gt;"OK","",ROUND($G331*使い方と設定!$B$8*$AK331*$AH331*INDEX(属性耐性マスタ!$B$5:$G$10,$AF331,2),4))</f>
        <v>0.44890000000000002</v>
      </c>
      <c r="V331" s="9">
        <f>IF($H331&lt;&gt;"OK","",ROUND($G331*使い方と設定!$B$8*$AK331*$AH331*INDEX(属性耐性マスタ!$B$5:$G$10,$AF331,3),4))</f>
        <v>2.9899999999999999E-2</v>
      </c>
      <c r="W331" s="9">
        <f>IF($H331&lt;&gt;"OK","",ROUND($G331*使い方と設定!$B$8*$AK331*$AH331*INDEX(属性耐性マスタ!$B$5:$G$10,$AF331,4),4))</f>
        <v>2.9899999999999999E-2</v>
      </c>
      <c r="X331" s="9">
        <f>IF($H331&lt;&gt;"OK","",ROUND($G331*使い方と設定!$B$8*$AK331*$AH331*INDEX(属性耐性マスタ!$B$5:$G$10,$AF331,5),4))</f>
        <v>2.24E-2</v>
      </c>
      <c r="Y331" s="9">
        <f>IF($H331&lt;&gt;"OK","",ROUND($G331*使い方と設定!$B$8*$AK331*$AH331*INDEX(属性耐性マスタ!$B$5:$G$10,$AF331,6),4))</f>
        <v>2.24E-2</v>
      </c>
      <c r="Z331" s="9">
        <f>IF($H331&lt;&gt;"OK","",ROUND($G331*使い方と設定!$B$9*$AK331*$AI331,4))</f>
        <v>3.6373000000000002</v>
      </c>
      <c r="AA331" s="10">
        <v>1</v>
      </c>
      <c r="AB331" s="11">
        <f t="shared" si="16"/>
        <v>12.470800000000001</v>
      </c>
      <c r="AC331" s="11">
        <f t="shared" si="17"/>
        <v>0.64329999999999998</v>
      </c>
      <c r="AD331" s="7" t="str">
        <f>IF($H331&lt;&gt;"OK","",INDEX(個性タイプマスタ!$P$5:$P$54,$AE331))</f>
        <v>低速高威力の遠距離砲台</v>
      </c>
      <c r="AE331">
        <f>IFERROR(MATCH(E331,個性タイプマスタ!$A$5:$A$54,0),0)</f>
        <v>17</v>
      </c>
      <c r="AF331">
        <f>IFERROR(MATCH(F331,属性耐性マスタ!$A$5:$A$10,0),0)</f>
        <v>2</v>
      </c>
      <c r="AG331">
        <f>IF(AE331=0,1,INDEX(個性タイプマスタ!$AB$5:$AB$54,AE331))</f>
        <v>10.436333333333334</v>
      </c>
      <c r="AH331">
        <f>IF(AE331=0,1,INDEX(個性タイプマスタ!$AC$5:$AC$54,AE331))</f>
        <v>0.9</v>
      </c>
      <c r="AI331">
        <f>IF(AE331=0,0,INDEX(個性タイプマスタ!$AD$5:$AD$54,AE331))</f>
        <v>0.875</v>
      </c>
      <c r="AJ331" s="16">
        <v>55</v>
      </c>
      <c r="AK331" s="17">
        <f>IF(OR(AJ331="",AJ331&lt;1),"",POWER(使い方と設定!$E$6,AJ331-1))</f>
        <v>8.3138143458531406</v>
      </c>
    </row>
    <row r="332" spans="1:37">
      <c r="A332" t="str">
        <f>+[2]称号!A327</f>
        <v>TITLE_326</v>
      </c>
      <c r="B332" t="str">
        <f>+[2]称号!B327</f>
        <v>岩殻の轟炉を砕きし者</v>
      </c>
      <c r="C332" t="s">
        <v>787</v>
      </c>
      <c r="D332" t="s">
        <v>788</v>
      </c>
      <c r="E332" s="2" t="str">
        <f>[1]モンスター計算!AM330</f>
        <v>魔法・魔防障壁</v>
      </c>
      <c r="F332" s="2" t="str">
        <f>[1]モンスター計算!C330</f>
        <v>火</v>
      </c>
      <c r="G332" s="8">
        <v>1.05</v>
      </c>
      <c r="H332" t="str">
        <f t="shared" si="15"/>
        <v>OK</v>
      </c>
      <c r="I332" s="9">
        <f>IF($H332&lt;&gt;"OK","",ROUND($G332*使い方と設定!$B$7*$AK332*INDEX(個性タイプマスタ!$Q$5:$AA$54,$AE332,1)/$AG332,4))</f>
        <v>1.3543000000000001</v>
      </c>
      <c r="J332" s="9">
        <f>IF($H332&lt;&gt;"OK","",ROUND($G332*使い方と設定!$B$7*$AK332*INDEX(個性タイプマスタ!$Q$5:$AA$54,$AE332,2)/$AG332,4))</f>
        <v>2.2357999999999998</v>
      </c>
      <c r="K332" s="9">
        <f>IF($H332&lt;&gt;"OK","",ROUND($G332*使い方と設定!$B$7*$AK332*INDEX(個性タイプマスタ!$Q$5:$AA$54,$AE332,3)/$AG332,4))</f>
        <v>0.18870000000000001</v>
      </c>
      <c r="L332" s="9">
        <f>IF($H332&lt;&gt;"OK","",ROUND($G332*使い方と設定!$B$7*$AK332*INDEX(個性タイプマスタ!$Q$5:$AA$54,$AE332,4)/$AG332,4))</f>
        <v>2.9037000000000002</v>
      </c>
      <c r="M332" s="9">
        <f>IF($H332&lt;&gt;"OK","",ROUND($G332*使い方と設定!$B$7*$AK332*INDEX(個性タイプマスタ!$Q$5:$AA$54,$AE332,5)/$AG332,4))</f>
        <v>0.76019999999999999</v>
      </c>
      <c r="N332" s="9">
        <f>IF($H332&lt;&gt;"OK","",ROUND($G332*使い方と設定!$B$7*$AK332*INDEX(個性タイプマスタ!$Q$5:$AA$54,$AE332,6)/$AG332,4))</f>
        <v>2.0238999999999998</v>
      </c>
      <c r="O332" s="9">
        <f>IF($H332&lt;&gt;"OK","",ROUND($G332*使い方と設定!$B$7*$AK332*INDEX(個性タイプマスタ!$Q$5:$AA$54,$AE332,7)/$AG332,4))</f>
        <v>0.57489999999999997</v>
      </c>
      <c r="P332" s="9">
        <f>IF($H332&lt;&gt;"OK","",ROUND($G332*使い方と設定!$B$7*$AK332*INDEX(個性タイプマスタ!$Q$5:$AA$54,$AE332,8)/$AG332,4))</f>
        <v>0.7298</v>
      </c>
      <c r="Q332" s="9">
        <f>IF($H332&lt;&gt;"OK","",ROUND($G332*使い方と設定!$B$7*$AK332*INDEX(個性タイプマスタ!$Q$5:$AA$54,$AE332,9)/$AG332,4))</f>
        <v>0.48549999999999999</v>
      </c>
      <c r="R332" s="9">
        <f>IF($H332&lt;&gt;"OK","",ROUND($G332*使い方と設定!$B$7*$AK332*INDEX(個性タイプマスタ!$Q$5:$AA$54,$AE332,10)/$AG332,4))</f>
        <v>0.97560000000000002</v>
      </c>
      <c r="S332" s="9">
        <f>IF($H332&lt;&gt;"OK","",ROUND($G332*使い方と設定!$B$7*$AK332*INDEX(個性タイプマスタ!$Q$5:$AA$54,$AE332,11)/$AG332,4))</f>
        <v>0.86180000000000001</v>
      </c>
      <c r="T332" s="9">
        <f>IF($H332&lt;&gt;"OK","",ROUND($G332*使い方と設定!$B$8*$AK332*$AH332*INDEX(属性耐性マスタ!$B$5:$G$10,$AF332,1),4))</f>
        <v>0.71230000000000004</v>
      </c>
      <c r="U332" s="9">
        <f>IF($H332&lt;&gt;"OK","",ROUND($G332*使い方と設定!$B$8*$AK332*$AH332*INDEX(属性耐性マスタ!$B$5:$G$10,$AF332,2),4))</f>
        <v>0.14249999999999999</v>
      </c>
      <c r="V332" s="9">
        <f>IF($H332&lt;&gt;"OK","",ROUND($G332*使い方と設定!$B$8*$AK332*$AH332*INDEX(属性耐性マスタ!$B$5:$G$10,$AF332,3),4))</f>
        <v>4.7500000000000001E-2</v>
      </c>
      <c r="W332" s="9">
        <f>IF($H332&lt;&gt;"OK","",ROUND($G332*使い方と設定!$B$8*$AK332*$AH332*INDEX(属性耐性マスタ!$B$5:$G$10,$AF332,4),4))</f>
        <v>4.7500000000000001E-2</v>
      </c>
      <c r="X332" s="9">
        <f>IF($H332&lt;&gt;"OK","",ROUND($G332*使い方と設定!$B$8*$AK332*$AH332*INDEX(属性耐性マスタ!$B$5:$G$10,$AF332,5),4))</f>
        <v>3.56E-2</v>
      </c>
      <c r="Y332" s="9">
        <f>IF($H332&lt;&gt;"OK","",ROUND($G332*使い方と設定!$B$8*$AK332*$AH332*INDEX(属性耐性マスタ!$B$5:$G$10,$AF332,6),4))</f>
        <v>3.56E-2</v>
      </c>
      <c r="Z332" s="9">
        <f>IF($H332&lt;&gt;"OK","",ROUND($G332*使い方と設定!$B$9*$AK332*$AI332,4))</f>
        <v>4.0010000000000003</v>
      </c>
      <c r="AA332" s="10">
        <v>1</v>
      </c>
      <c r="AB332" s="11">
        <f t="shared" si="16"/>
        <v>13.094200000000001</v>
      </c>
      <c r="AC332" s="11">
        <f t="shared" si="17"/>
        <v>1.0209999999999999</v>
      </c>
      <c r="AD332" s="7" t="str">
        <f>IF($H332&lt;&gt;"OK","",INDEX(個性タイプマスタ!$P$5:$P$54,$AE332))</f>
        <v>魔法防御に偏重した耐久型</v>
      </c>
      <c r="AE332">
        <f>IFERROR(MATCH(E332,個性タイプマスタ!$A$5:$A$54,0),0)</f>
        <v>24</v>
      </c>
      <c r="AF332">
        <f>IFERROR(MATCH(F332,属性耐性マスタ!$A$5:$A$10,0),0)</f>
        <v>1</v>
      </c>
      <c r="AG332">
        <f>IF(AE332=0,1,INDEX(個性タイプマスタ!$AB$5:$AB$54,AE332))</f>
        <v>11.273833333333332</v>
      </c>
      <c r="AH332">
        <f>IF(AE332=0,1,INDEX(個性タイプマスタ!$AC$5:$AC$54,AE332))</f>
        <v>1.3599999999999999</v>
      </c>
      <c r="AI332">
        <f>IF(AE332=0,0,INDEX(個性タイプマスタ!$AD$5:$AD$54,AE332))</f>
        <v>0.91666666666666663</v>
      </c>
      <c r="AJ332" s="16">
        <v>55</v>
      </c>
      <c r="AK332" s="17">
        <f>IF(OR(AJ332="",AJ332&lt;1),"",POWER(使い方と設定!$E$6,AJ332-1))</f>
        <v>8.3138143458531406</v>
      </c>
    </row>
    <row r="333" spans="1:37">
      <c r="A333" t="str">
        <f>+[2]称号!A328</f>
        <v>TITLE_327</v>
      </c>
      <c r="B333" t="str">
        <f>+[2]称号!B328</f>
        <v>蒼天を翔ける風竜の征服者</v>
      </c>
      <c r="C333" t="s">
        <v>789</v>
      </c>
      <c r="D333" t="s">
        <v>790</v>
      </c>
      <c r="E333" s="2" t="str">
        <f>[1]モンスター計算!AM331</f>
        <v>魔法・薄命結界</v>
      </c>
      <c r="F333" s="2" t="str">
        <f>[1]モンスター計算!C331</f>
        <v>風</v>
      </c>
      <c r="G333" s="8">
        <v>1.1000000000000001</v>
      </c>
      <c r="H333" t="str">
        <f t="shared" si="15"/>
        <v>OK</v>
      </c>
      <c r="I333" s="9">
        <f>IF($H333&lt;&gt;"OK","",ROUND($G333*使い方と設定!$B$7*$AK333*INDEX(個性タイプマスタ!$Q$5:$AA$54,$AE333,1)/$AG333,4))</f>
        <v>0.72899999999999998</v>
      </c>
      <c r="J333" s="9">
        <f>IF($H333&lt;&gt;"OK","",ROUND($G333*使い方と設定!$B$7*$AK333*INDEX(個性タイプマスタ!$Q$5:$AA$54,$AE333,2)/$AG333,4))</f>
        <v>1.9883</v>
      </c>
      <c r="K333" s="9">
        <f>IF($H333&lt;&gt;"OK","",ROUND($G333*使い方と設定!$B$7*$AK333*INDEX(個性タイプマスタ!$Q$5:$AA$54,$AE333,3)/$AG333,4))</f>
        <v>0.24099999999999999</v>
      </c>
      <c r="L333" s="9">
        <f>IF($H333&lt;&gt;"OK","",ROUND($G333*使い方と設定!$B$7*$AK333*INDEX(個性タイプマスタ!$Q$5:$AA$54,$AE333,4)/$AG333,4))</f>
        <v>3.0125000000000002</v>
      </c>
      <c r="M333" s="9">
        <f>IF($H333&lt;&gt;"OK","",ROUND($G333*使い方と設定!$B$7*$AK333*INDEX(個性タイプマスタ!$Q$5:$AA$54,$AE333,5)/$AG333,4))</f>
        <v>1.4852000000000001</v>
      </c>
      <c r="N333" s="9">
        <f>IF($H333&lt;&gt;"OK","",ROUND($G333*使い方と設定!$B$7*$AK333*INDEX(個性タイプマスタ!$Q$5:$AA$54,$AE333,6)/$AG333,4))</f>
        <v>2.3046000000000002</v>
      </c>
      <c r="O333" s="9">
        <f>IF($H333&lt;&gt;"OK","",ROUND($G333*使い方と設定!$B$7*$AK333*INDEX(個性タイプマスタ!$Q$5:$AA$54,$AE333,7)/$AG333,4))</f>
        <v>0.5302</v>
      </c>
      <c r="P333" s="9">
        <f>IF($H333&lt;&gt;"OK","",ROUND($G333*使い方と設定!$B$7*$AK333*INDEX(個性タイプマスタ!$Q$5:$AA$54,$AE333,8)/$AG333,4))</f>
        <v>0.72060000000000002</v>
      </c>
      <c r="Q333" s="9">
        <f>IF($H333&lt;&gt;"OK","",ROUND($G333*使い方と設定!$B$7*$AK333*INDEX(個性タイプマスタ!$Q$5:$AA$54,$AE333,9)/$AG333,4))</f>
        <v>0.58320000000000005</v>
      </c>
      <c r="R333" s="9">
        <f>IF($H333&lt;&gt;"OK","",ROUND($G333*使い方と設定!$B$7*$AK333*INDEX(個性タイプマスタ!$Q$5:$AA$54,$AE333,10)/$AG333,4))</f>
        <v>1.0604</v>
      </c>
      <c r="S333" s="9">
        <f>IF($H333&lt;&gt;"OK","",ROUND($G333*使い方と設定!$B$7*$AK333*INDEX(個性タイプマスタ!$Q$5:$AA$54,$AE333,11)/$AG333,4))</f>
        <v>1.0628</v>
      </c>
      <c r="T333" s="9">
        <f>IF($H333&lt;&gt;"OK","",ROUND($G333*使い方と設定!$B$8*$AK333*$AH333*INDEX(属性耐性マスタ!$B$5:$G$10,$AF333,1),4))</f>
        <v>5.4899999999999997E-2</v>
      </c>
      <c r="U333" s="9">
        <f>IF($H333&lt;&gt;"OK","",ROUND($G333*使い方と設定!$B$8*$AK333*$AH333*INDEX(属性耐性マスタ!$B$5:$G$10,$AF333,2),4))</f>
        <v>5.4899999999999997E-2</v>
      </c>
      <c r="V333" s="9">
        <f>IF($H333&lt;&gt;"OK","",ROUND($G333*使い方と設定!$B$8*$AK333*$AH333*INDEX(属性耐性マスタ!$B$5:$G$10,$AF333,3),4))</f>
        <v>0.82310000000000005</v>
      </c>
      <c r="W333" s="9">
        <f>IF($H333&lt;&gt;"OK","",ROUND($G333*使い方と設定!$B$8*$AK333*$AH333*INDEX(属性耐性マスタ!$B$5:$G$10,$AF333,4),4))</f>
        <v>0.20580000000000001</v>
      </c>
      <c r="X333" s="9">
        <f>IF($H333&lt;&gt;"OK","",ROUND($G333*使い方と設定!$B$8*$AK333*$AH333*INDEX(属性耐性マスタ!$B$5:$G$10,$AF333,5),4))</f>
        <v>4.1200000000000001E-2</v>
      </c>
      <c r="Y333" s="9">
        <f>IF($H333&lt;&gt;"OK","",ROUND($G333*使い方と設定!$B$8*$AK333*$AH333*INDEX(属性耐性マスタ!$B$5:$G$10,$AF333,6),4))</f>
        <v>4.1200000000000001E-2</v>
      </c>
      <c r="Z333" s="9">
        <f>IF($H333&lt;&gt;"OK","",ROUND($G333*使い方と設定!$B$9*$AK333*$AI333,4))</f>
        <v>4.4202000000000004</v>
      </c>
      <c r="AA333" s="10">
        <v>0.9</v>
      </c>
      <c r="AB333" s="11">
        <f t="shared" si="16"/>
        <v>13.7178</v>
      </c>
      <c r="AC333" s="11">
        <f t="shared" si="17"/>
        <v>1.2211000000000001</v>
      </c>
      <c r="AD333" s="7" t="str">
        <f>IF($H333&lt;&gt;"OK","",INDEX(個性タイプマスタ!$P$5:$P$54,$AE333))</f>
        <v>低HPだが防御・耐性が高い極端な守護型</v>
      </c>
      <c r="AE333">
        <f>IFERROR(MATCH(E333,個性タイプマスタ!$A$5:$A$54,0),0)</f>
        <v>31</v>
      </c>
      <c r="AF333">
        <f>IFERROR(MATCH(F333,属性耐性マスタ!$A$5:$A$10,0),0)</f>
        <v>3</v>
      </c>
      <c r="AG333">
        <f>IF(AE333=0,1,INDEX(個性タイプマスタ!$AB$5:$AB$54,AE333))</f>
        <v>11.384</v>
      </c>
      <c r="AH333">
        <f>IF(AE333=0,1,INDEX(個性タイプマスタ!$AC$5:$AC$54,AE333))</f>
        <v>1.5</v>
      </c>
      <c r="AI333">
        <f>IF(AE333=0,0,INDEX(個性タイプマスタ!$AD$5:$AD$54,AE333))</f>
        <v>0.96666666666666667</v>
      </c>
      <c r="AJ333" s="16">
        <v>55</v>
      </c>
      <c r="AK333" s="17">
        <f>IF(OR(AJ333="",AJ333&lt;1),"",POWER(使い方と設定!$E$6,AJ333-1))</f>
        <v>8.3138143458531406</v>
      </c>
    </row>
    <row r="334" spans="1:37">
      <c r="A334" t="str">
        <f>+[2]称号!A329</f>
        <v>TITLE_328</v>
      </c>
      <c r="B334" t="str">
        <f>+[2]称号!B329</f>
        <v>花妖の祝福を授かりし者</v>
      </c>
      <c r="C334" t="s">
        <v>791</v>
      </c>
      <c r="D334" t="s">
        <v>792</v>
      </c>
      <c r="E334" s="2" t="str">
        <f>[1]モンスター計算!AM332</f>
        <v>近接・狂戦士</v>
      </c>
      <c r="F334" s="2" t="str">
        <f>[1]モンスター計算!C332</f>
        <v>火</v>
      </c>
      <c r="G334" s="8">
        <v>1.1499999999999999</v>
      </c>
      <c r="H334" t="str">
        <f t="shared" si="15"/>
        <v>OK</v>
      </c>
      <c r="I334" s="9">
        <f>IF($H334&lt;&gt;"OK","",ROUND($G334*使い方と設定!$B$7*$AK334*INDEX(個性タイプマスタ!$Q$5:$AA$54,$AE334,1)/$AG334,4))</f>
        <v>0.99729999999999996</v>
      </c>
      <c r="J334" s="9">
        <f>IF($H334&lt;&gt;"OK","",ROUND($G334*使い方と設定!$B$7*$AK334*INDEX(個性タイプマスタ!$Q$5:$AA$54,$AE334,2)/$AG334,4))</f>
        <v>0.36820000000000003</v>
      </c>
      <c r="K334" s="9">
        <f>IF($H334&lt;&gt;"OK","",ROUND($G334*使い方と設定!$B$7*$AK334*INDEX(個性タイプマスタ!$Q$5:$AA$54,$AE334,3)/$AG334,4))</f>
        <v>3.4872000000000001</v>
      </c>
      <c r="L334" s="9">
        <f>IF($H334&lt;&gt;"OK","",ROUND($G334*使い方と設定!$B$7*$AK334*INDEX(個性タイプマスタ!$Q$5:$AA$54,$AE334,4)/$AG334,4))</f>
        <v>0.22670000000000001</v>
      </c>
      <c r="M334" s="9">
        <f>IF($H334&lt;&gt;"OK","",ROUND($G334*使い方と設定!$B$7*$AK334*INDEX(個性タイプマスタ!$Q$5:$AA$54,$AE334,5)/$AG334,4))</f>
        <v>0.73509999999999998</v>
      </c>
      <c r="N334" s="9">
        <f>IF($H334&lt;&gt;"OK","",ROUND($G334*使い方と設定!$B$7*$AK334*INDEX(個性タイプマスタ!$Q$5:$AA$54,$AE334,6)/$AG334,4))</f>
        <v>0.80620000000000003</v>
      </c>
      <c r="O334" s="9">
        <f>IF($H334&lt;&gt;"OK","",ROUND($G334*使い方と設定!$B$7*$AK334*INDEX(個性タイプマスタ!$Q$5:$AA$54,$AE334,7)/$AG334,4))</f>
        <v>2.7618</v>
      </c>
      <c r="P334" s="9">
        <f>IF($H334&lt;&gt;"OK","",ROUND($G334*使い方と設定!$B$7*$AK334*INDEX(個性タイプマスタ!$Q$5:$AA$54,$AE334,8)/$AG334,4))</f>
        <v>1.2693000000000001</v>
      </c>
      <c r="Q334" s="9">
        <f>IF($H334&lt;&gt;"OK","",ROUND($G334*使い方と設定!$B$7*$AK334*INDEX(個性タイプマスタ!$Q$5:$AA$54,$AE334,9)/$AG334,4))</f>
        <v>0.96660000000000001</v>
      </c>
      <c r="R334" s="9">
        <f>IF($H334&lt;&gt;"OK","",ROUND($G334*使い方と設定!$B$7*$AK334*INDEX(個性タイプマスタ!$Q$5:$AA$54,$AE334,10)/$AG334,4))</f>
        <v>1.8831</v>
      </c>
      <c r="S334" s="9">
        <f>IF($H334&lt;&gt;"OK","",ROUND($G334*使い方と設定!$B$7*$AK334*INDEX(個性タイプマスタ!$Q$5:$AA$54,$AE334,11)/$AG334,4))</f>
        <v>0.8397</v>
      </c>
      <c r="T334" s="9">
        <f>IF($H334&lt;&gt;"OK","",ROUND($G334*使い方と設定!$B$8*$AK334*$AH334*INDEX(属性耐性マスタ!$B$5:$G$10,$AF334,1),4))</f>
        <v>0.3901</v>
      </c>
      <c r="U334" s="9">
        <f>IF($H334&lt;&gt;"OK","",ROUND($G334*使い方と設定!$B$8*$AK334*$AH334*INDEX(属性耐性マスタ!$B$5:$G$10,$AF334,2),4))</f>
        <v>7.8E-2</v>
      </c>
      <c r="V334" s="9">
        <f>IF($H334&lt;&gt;"OK","",ROUND($G334*使い方と設定!$B$8*$AK334*$AH334*INDEX(属性耐性マスタ!$B$5:$G$10,$AF334,3),4))</f>
        <v>2.5999999999999999E-2</v>
      </c>
      <c r="W334" s="9">
        <f>IF($H334&lt;&gt;"OK","",ROUND($G334*使い方と設定!$B$8*$AK334*$AH334*INDEX(属性耐性マスタ!$B$5:$G$10,$AF334,4),4))</f>
        <v>2.5999999999999999E-2</v>
      </c>
      <c r="X334" s="9">
        <f>IF($H334&lt;&gt;"OK","",ROUND($G334*使い方と設定!$B$8*$AK334*$AH334*INDEX(属性耐性マスタ!$B$5:$G$10,$AF334,5),4))</f>
        <v>1.95E-2</v>
      </c>
      <c r="Y334" s="9">
        <f>IF($H334&lt;&gt;"OK","",ROUND($G334*使い方と設定!$B$8*$AK334*$AH334*INDEX(属性耐性マスタ!$B$5:$G$10,$AF334,6),4))</f>
        <v>1.95E-2</v>
      </c>
      <c r="Z334" s="9">
        <f>IF($H334&lt;&gt;"OK","",ROUND($G334*使い方と設定!$B$9*$AK334*$AI334,4))</f>
        <v>5.3780000000000001</v>
      </c>
      <c r="AA334" s="10">
        <v>0.55000000000000004</v>
      </c>
      <c r="AB334" s="11">
        <f t="shared" si="16"/>
        <v>14.341200000000001</v>
      </c>
      <c r="AC334" s="11">
        <f t="shared" si="17"/>
        <v>0.55910000000000004</v>
      </c>
      <c r="AD334" s="7" t="str">
        <f>IF($H334&lt;&gt;"OK","",INDEX(個性タイプマスタ!$P$5:$P$54,$AE334))</f>
        <v>紙耐久の高回転会心型</v>
      </c>
      <c r="AE334">
        <f>IFERROR(MATCH(E334,個性タイプマスタ!$A$5:$A$54,0),0)</f>
        <v>32</v>
      </c>
      <c r="AF334">
        <f>IFERROR(MATCH(F334,属性耐性マスタ!$A$5:$A$10,0),0)</f>
        <v>1</v>
      </c>
      <c r="AG334">
        <f>IF(AE334=0,1,INDEX(個性タイプマスタ!$AB$5:$AB$54,AE334))</f>
        <v>10.281499999999999</v>
      </c>
      <c r="AH334">
        <f>IF(AE334=0,1,INDEX(個性タイプマスタ!$AC$5:$AC$54,AE334))</f>
        <v>0.67999999999999994</v>
      </c>
      <c r="AI334">
        <f>IF(AE334=0,0,INDEX(個性タイプマスタ!$AD$5:$AD$54,AE334))</f>
        <v>1.125</v>
      </c>
      <c r="AJ334" s="16">
        <v>55</v>
      </c>
      <c r="AK334" s="17">
        <f>IF(OR(AJ334="",AJ334&lt;1),"",POWER(使い方と設定!$E$6,AJ334-1))</f>
        <v>8.3138143458531406</v>
      </c>
    </row>
    <row r="335" spans="1:37">
      <c r="A335" t="str">
        <f>+[2]称号!A330</f>
        <v>TITLE_329</v>
      </c>
      <c r="B335" t="str">
        <f>+[2]称号!B330</f>
        <v>大地を背負う巨獣を屠りし者</v>
      </c>
      <c r="C335" t="s">
        <v>793</v>
      </c>
      <c r="D335" t="s">
        <v>794</v>
      </c>
      <c r="E335" s="2" t="str">
        <f>[1]モンスター計算!AM333</f>
        <v>近接・耐性鎧</v>
      </c>
      <c r="F335" s="2" t="str">
        <f>[1]モンスター計算!C333</f>
        <v>水</v>
      </c>
      <c r="G335" s="8">
        <v>1.2</v>
      </c>
      <c r="H335" t="str">
        <f t="shared" si="15"/>
        <v>OK</v>
      </c>
      <c r="I335" s="9">
        <f>IF($H335&lt;&gt;"OK","",ROUND($G335*使い方と設定!$B$7*$AK335*INDEX(個性タイプマスタ!$Q$5:$AA$54,$AE335,1)/$AG335,4))</f>
        <v>2.0305</v>
      </c>
      <c r="J335" s="9">
        <f>IF($H335&lt;&gt;"OK","",ROUND($G335*使い方と設定!$B$7*$AK335*INDEX(個性タイプマスタ!$Q$5:$AA$54,$AE335,2)/$AG335,4))</f>
        <v>0.90339999999999998</v>
      </c>
      <c r="K335" s="9">
        <f>IF($H335&lt;&gt;"OK","",ROUND($G335*使い方と設定!$B$7*$AK335*INDEX(個性タイプマスタ!$Q$5:$AA$54,$AE335,3)/$AG335,4))</f>
        <v>3.9108999999999998</v>
      </c>
      <c r="L335" s="9">
        <f>IF($H335&lt;&gt;"OK","",ROUND($G335*使い方と設定!$B$7*$AK335*INDEX(個性タイプマスタ!$Q$5:$AA$54,$AE335,4)/$AG335,4))</f>
        <v>0.27379999999999999</v>
      </c>
      <c r="M335" s="9">
        <f>IF($H335&lt;&gt;"OK","",ROUND($G335*使い方と設定!$B$7*$AK335*INDEX(個性タイプマスタ!$Q$5:$AA$54,$AE335,5)/$AG335,4))</f>
        <v>1.5159</v>
      </c>
      <c r="N335" s="9">
        <f>IF($H335&lt;&gt;"OK","",ROUND($G335*使い方と設定!$B$7*$AK335*INDEX(個性タイプマスタ!$Q$5:$AA$54,$AE335,6)/$AG335,4))</f>
        <v>1.5159</v>
      </c>
      <c r="O335" s="9">
        <f>IF($H335&lt;&gt;"OK","",ROUND($G335*使い方と設定!$B$7*$AK335*INDEX(個性タイプマスタ!$Q$5:$AA$54,$AE335,7)/$AG335,4))</f>
        <v>0.68830000000000002</v>
      </c>
      <c r="P335" s="9">
        <f>IF($H335&lt;&gt;"OK","",ROUND($G335*使い方と設定!$B$7*$AK335*INDEX(個性タイプマスタ!$Q$5:$AA$54,$AE335,8)/$AG335,4))</f>
        <v>0.96940000000000004</v>
      </c>
      <c r="Q335" s="9">
        <f>IF($H335&lt;&gt;"OK","",ROUND($G335*使い方と設定!$B$7*$AK335*INDEX(個性タイプマスタ!$Q$5:$AA$54,$AE335,9)/$AG335,4))</f>
        <v>0.7399</v>
      </c>
      <c r="R335" s="9">
        <f>IF($H335&lt;&gt;"OK","",ROUND($G335*使い方と設定!$B$7*$AK335*INDEX(個性タイプマスタ!$Q$5:$AA$54,$AE335,10)/$AG335,4))</f>
        <v>1.3766</v>
      </c>
      <c r="S335" s="9">
        <f>IF($H335&lt;&gt;"OK","",ROUND($G335*使い方と設定!$B$7*$AK335*INDEX(個性タイプマスタ!$Q$5:$AA$54,$AE335,11)/$AG335,4))</f>
        <v>1.0403</v>
      </c>
      <c r="T335" s="9">
        <f>IF($H335&lt;&gt;"OK","",ROUND($G335*使い方と設定!$B$8*$AK335*$AH335*INDEX(属性耐性マスタ!$B$5:$G$10,$AF335,1),4))</f>
        <v>0.17960000000000001</v>
      </c>
      <c r="U335" s="9">
        <f>IF($H335&lt;&gt;"OK","",ROUND($G335*使い方と設定!$B$8*$AK335*$AH335*INDEX(属性耐性マスタ!$B$5:$G$10,$AF335,2),4))</f>
        <v>0.89790000000000003</v>
      </c>
      <c r="V335" s="9">
        <f>IF($H335&lt;&gt;"OK","",ROUND($G335*使い方と設定!$B$8*$AK335*$AH335*INDEX(属性耐性マスタ!$B$5:$G$10,$AF335,3),4))</f>
        <v>5.9900000000000002E-2</v>
      </c>
      <c r="W335" s="9">
        <f>IF($H335&lt;&gt;"OK","",ROUND($G335*使い方と設定!$B$8*$AK335*$AH335*INDEX(属性耐性マスタ!$B$5:$G$10,$AF335,4),4))</f>
        <v>5.9900000000000002E-2</v>
      </c>
      <c r="X335" s="9">
        <f>IF($H335&lt;&gt;"OK","",ROUND($G335*使い方と設定!$B$8*$AK335*$AH335*INDEX(属性耐性マスタ!$B$5:$G$10,$AF335,5),4))</f>
        <v>4.4900000000000002E-2</v>
      </c>
      <c r="Y335" s="9">
        <f>IF($H335&lt;&gt;"OK","",ROUND($G335*使い方と設定!$B$8*$AK335*$AH335*INDEX(属性耐性マスタ!$B$5:$G$10,$AF335,6),4))</f>
        <v>4.4900000000000002E-2</v>
      </c>
      <c r="Z335" s="9">
        <f>IF($H335&lt;&gt;"OK","",ROUND($G335*使い方と設定!$B$9*$AK335*$AI335,4))</f>
        <v>4.7804000000000002</v>
      </c>
      <c r="AA335" s="10">
        <v>0.5</v>
      </c>
      <c r="AB335" s="11">
        <f t="shared" si="16"/>
        <v>14.9649</v>
      </c>
      <c r="AC335" s="11">
        <f t="shared" si="17"/>
        <v>1.2870999999999999</v>
      </c>
      <c r="AD335" s="7" t="str">
        <f>IF($H335&lt;&gt;"OK","",INDEX(個性タイプマスタ!$P$5:$P$54,$AE335))</f>
        <v>属性耐性重視の堅実型</v>
      </c>
      <c r="AE335">
        <f>IFERROR(MATCH(E335,個性タイプマスタ!$A$5:$A$54,0),0)</f>
        <v>39</v>
      </c>
      <c r="AF335">
        <f>IFERROR(MATCH(F335,属性耐性マスタ!$A$5:$A$10,0),0)</f>
        <v>2</v>
      </c>
      <c r="AG335">
        <f>IF(AE335=0,1,INDEX(個性タイプマスタ!$AB$5:$AB$54,AE335))</f>
        <v>9.5661666666666676</v>
      </c>
      <c r="AH335">
        <f>IF(AE335=0,1,INDEX(個性タイプマスタ!$AC$5:$AC$54,AE335))</f>
        <v>1.5</v>
      </c>
      <c r="AI335">
        <f>IF(AE335=0,0,INDEX(個性タイプマスタ!$AD$5:$AD$54,AE335))</f>
        <v>0.95833333333333326</v>
      </c>
      <c r="AJ335" s="16">
        <v>55</v>
      </c>
      <c r="AK335" s="17">
        <f>IF(OR(AJ335="",AJ335&lt;1),"",POWER(使い方と設定!$E$6,AJ335-1))</f>
        <v>8.3138143458531406</v>
      </c>
    </row>
    <row r="336" spans="1:37">
      <c r="A336" t="str">
        <f>+[2]称号!A331</f>
        <v>TITLE_330</v>
      </c>
      <c r="B336" t="str">
        <f>+[2]称号!B331</f>
        <v>天輪を破りし蒼晶の英雄</v>
      </c>
      <c r="C336" t="s">
        <v>795</v>
      </c>
      <c r="D336" t="s">
        <v>796</v>
      </c>
      <c r="E336" s="2" t="str">
        <f>[1]モンスター計算!AM334</f>
        <v>魔法・高MP</v>
      </c>
      <c r="F336" s="2" t="str">
        <f>[1]モンスター計算!C334</f>
        <v>光</v>
      </c>
      <c r="G336" s="8">
        <v>1.25</v>
      </c>
      <c r="H336" t="str">
        <f t="shared" si="15"/>
        <v>OK</v>
      </c>
      <c r="I336" s="9">
        <f>IF($H336&lt;&gt;"OK","",ROUND($G336*使い方と設定!$B$7*$AK336*INDEX(個性タイプマスタ!$Q$5:$AA$54,$AE336,1)/$AG336,4))</f>
        <v>1.468</v>
      </c>
      <c r="J336" s="9">
        <f>IF($H336&lt;&gt;"OK","",ROUND($G336*使い方と設定!$B$7*$AK336*INDEX(個性タイプマスタ!$Q$5:$AA$54,$AE336,2)/$AG336,4))</f>
        <v>3.7768000000000002</v>
      </c>
      <c r="K336" s="9">
        <f>IF($H336&lt;&gt;"OK","",ROUND($G336*使い方と設定!$B$7*$AK336*INDEX(個性タイプマスタ!$Q$5:$AA$54,$AE336,3)/$AG336,4))</f>
        <v>0.22670000000000001</v>
      </c>
      <c r="L336" s="9">
        <f>IF($H336&lt;&gt;"OK","",ROUND($G336*使い方と設定!$B$7*$AK336*INDEX(個性タイプマスタ!$Q$5:$AA$54,$AE336,4)/$AG336,4))</f>
        <v>3.2391000000000001</v>
      </c>
      <c r="M336" s="9">
        <f>IF($H336&lt;&gt;"OK","",ROUND($G336*使い方と設定!$B$7*$AK336*INDEX(個性タイプマスタ!$Q$5:$AA$54,$AE336,5)/$AG336,4))</f>
        <v>1.0572999999999999</v>
      </c>
      <c r="N336" s="9">
        <f>IF($H336&lt;&gt;"OK","",ROUND($G336*使い方と設定!$B$7*$AK336*INDEX(個性タイプマスタ!$Q$5:$AA$54,$AE336,6)/$AG336,4))</f>
        <v>1.2995000000000001</v>
      </c>
      <c r="O336" s="9">
        <f>IF($H336&lt;&gt;"OK","",ROUND($G336*使い方と設定!$B$7*$AK336*INDEX(個性タイプマスタ!$Q$5:$AA$54,$AE336,7)/$AG336,4))</f>
        <v>0.9264</v>
      </c>
      <c r="P336" s="9">
        <f>IF($H336&lt;&gt;"OK","",ROUND($G336*使い方と設定!$B$7*$AK336*INDEX(個性タイプマスタ!$Q$5:$AA$54,$AE336,8)/$AG336,4))</f>
        <v>0.81410000000000005</v>
      </c>
      <c r="Q336" s="9">
        <f>IF($H336&lt;&gt;"OK","",ROUND($G336*使い方と設定!$B$7*$AK336*INDEX(個性タイプマスタ!$Q$5:$AA$54,$AE336,9)/$AG336,4))</f>
        <v>0.59860000000000002</v>
      </c>
      <c r="R336" s="9">
        <f>IF($H336&lt;&gt;"OK","",ROUND($G336*使い方と設定!$B$7*$AK336*INDEX(個性タイプマスタ!$Q$5:$AA$54,$AE336,10)/$AG336,4))</f>
        <v>1.1660999999999999</v>
      </c>
      <c r="S336" s="9">
        <f>IF($H336&lt;&gt;"OK","",ROUND($G336*使い方と設定!$B$7*$AK336*INDEX(個性タイプマスタ!$Q$5:$AA$54,$AE336,11)/$AG336,4))</f>
        <v>1.0158</v>
      </c>
      <c r="T336" s="9">
        <f>IF($H336&lt;&gt;"OK","",ROUND($G336*使い方と設定!$B$8*$AK336*$AH336*INDEX(属性耐性マスタ!$B$5:$G$10,$AF336,1),4))</f>
        <v>3.3700000000000001E-2</v>
      </c>
      <c r="U336" s="9">
        <f>IF($H336&lt;&gt;"OK","",ROUND($G336*使い方と設定!$B$8*$AK336*$AH336*INDEX(属性耐性マスタ!$B$5:$G$10,$AF336,2),4))</f>
        <v>3.3700000000000001E-2</v>
      </c>
      <c r="V336" s="9">
        <f>IF($H336&lt;&gt;"OK","",ROUND($G336*使い方と設定!$B$8*$AK336*$AH336*INDEX(属性耐性マスタ!$B$5:$G$10,$AF336,3),4))</f>
        <v>3.3700000000000001E-2</v>
      </c>
      <c r="W336" s="9">
        <f>IF($H336&lt;&gt;"OK","",ROUND($G336*使い方と設定!$B$8*$AK336*$AH336*INDEX(属性耐性マスタ!$B$5:$G$10,$AF336,4),4))</f>
        <v>3.3700000000000001E-2</v>
      </c>
      <c r="X336" s="9">
        <f>IF($H336&lt;&gt;"OK","",ROUND($G336*使い方と設定!$B$8*$AK336*$AH336*INDEX(属性耐性マスタ!$B$5:$G$10,$AF336,5),4))</f>
        <v>0.6734</v>
      </c>
      <c r="Y336" s="9">
        <f>IF($H336&lt;&gt;"OK","",ROUND($G336*使い方と設定!$B$8*$AK336*$AH336*INDEX(属性耐性マスタ!$B$5:$G$10,$AF336,6),4))</f>
        <v>8.9800000000000005E-2</v>
      </c>
      <c r="Z336" s="9">
        <f>IF($H336&lt;&gt;"OK","",ROUND($G336*使い方と設定!$B$9*$AK336*$AI336,4))</f>
        <v>4.9363000000000001</v>
      </c>
      <c r="AA336" s="10">
        <v>0.25</v>
      </c>
      <c r="AB336" s="11">
        <f t="shared" si="16"/>
        <v>15.5884</v>
      </c>
      <c r="AC336" s="11">
        <f t="shared" si="17"/>
        <v>0.89800000000000002</v>
      </c>
      <c r="AD336" s="7" t="str">
        <f>IF($H336&lt;&gt;"OK","",INDEX(個性タイプマスタ!$P$5:$P$54,$AE336))</f>
        <v>MP容量を重視する後衛</v>
      </c>
      <c r="AE336">
        <f>IFERROR(MATCH(E336,個性タイプマスタ!$A$5:$A$54,0),0)</f>
        <v>27</v>
      </c>
      <c r="AF336">
        <f>IFERROR(MATCH(F336,属性耐性マスタ!$A$5:$A$10,0),0)</f>
        <v>5</v>
      </c>
      <c r="AG336">
        <f>IF(AE336=0,1,INDEX(個性タイプマスタ!$AB$5:$AB$54,AE336))</f>
        <v>12.031333333333334</v>
      </c>
      <c r="AH336">
        <f>IF(AE336=0,1,INDEX(個性タイプマスタ!$AC$5:$AC$54,AE336))</f>
        <v>1.08</v>
      </c>
      <c r="AI336">
        <f>IF(AE336=0,0,INDEX(個性タイプマスタ!$AD$5:$AD$54,AE336))</f>
        <v>0.95</v>
      </c>
      <c r="AJ336" s="16">
        <v>55</v>
      </c>
      <c r="AK336" s="17">
        <f>IF(OR(AJ336="",AJ336&lt;1),"",POWER(使い方と設定!$E$6,AJ336-1))</f>
        <v>8.3138143458531406</v>
      </c>
    </row>
    <row r="337" spans="1:37">
      <c r="A337" t="str">
        <f>+[2]称号!A332</f>
        <v>TITLE_331</v>
      </c>
      <c r="B337" t="str">
        <f>+[2]称号!B332</f>
        <v>晶駆けの追跡者</v>
      </c>
      <c r="C337" t="s">
        <v>797</v>
      </c>
      <c r="D337" t="s">
        <v>798</v>
      </c>
      <c r="E337" s="2" t="str">
        <f>[1]モンスター計算!AM335</f>
        <v>魔法・会心一撃</v>
      </c>
      <c r="F337" s="2" t="str">
        <f>[1]モンスター計算!C335</f>
        <v>火</v>
      </c>
      <c r="G337" s="8">
        <v>1</v>
      </c>
      <c r="H337" t="str">
        <f t="shared" si="15"/>
        <v>OK</v>
      </c>
      <c r="I337" s="9">
        <f>IF($H337&lt;&gt;"OK","",ROUND($G337*使い方と設定!$B$7*$AK337*INDEX(個性タイプマスタ!$Q$5:$AA$54,$AE337,1)/$AG337,4))</f>
        <v>1.0568</v>
      </c>
      <c r="J337" s="9">
        <f>IF($H337&lt;&gt;"OK","",ROUND($G337*使い方と設定!$B$7*$AK337*INDEX(個性タイプマスタ!$Q$5:$AA$54,$AE337,2)/$AG337,4))</f>
        <v>1.7398</v>
      </c>
      <c r="K337" s="9">
        <f>IF($H337&lt;&gt;"OK","",ROUND($G337*使い方と設定!$B$7*$AK337*INDEX(個性タイプマスタ!$Q$5:$AA$54,$AE337,3)/$AG337,4))</f>
        <v>0.1757</v>
      </c>
      <c r="L337" s="9">
        <f>IF($H337&lt;&gt;"OK","",ROUND($G337*使い方と設定!$B$7*$AK337*INDEX(個性タイプマスタ!$Q$5:$AA$54,$AE337,4)/$AG337,4))</f>
        <v>2.9289999999999998</v>
      </c>
      <c r="M337" s="9">
        <f>IF($H337&lt;&gt;"OK","",ROUND($G337*使い方と設定!$B$7*$AK337*INDEX(個性タイプマスタ!$Q$5:$AA$54,$AE337,5)/$AG337,4))</f>
        <v>0.80659999999999998</v>
      </c>
      <c r="N337" s="9">
        <f>IF($H337&lt;&gt;"OK","",ROUND($G337*使い方と設定!$B$7*$AK337*INDEX(個性タイプマスタ!$Q$5:$AA$54,$AE337,6)/$AG337,4))</f>
        <v>0.86639999999999995</v>
      </c>
      <c r="O337" s="9">
        <f>IF($H337&lt;&gt;"OK","",ROUND($G337*使い方と設定!$B$7*$AK337*INDEX(個性タイプマスタ!$Q$5:$AA$54,$AE337,7)/$AG337,4))</f>
        <v>1.5465</v>
      </c>
      <c r="P337" s="9">
        <f>IF($H337&lt;&gt;"OK","",ROUND($G337*使い方と設定!$B$7*$AK337*INDEX(個性タイプマスタ!$Q$5:$AA$54,$AE337,8)/$AG337,4))</f>
        <v>1.2946</v>
      </c>
      <c r="Q337" s="9">
        <f>IF($H337&lt;&gt;"OK","",ROUND($G337*使い方と設定!$B$7*$AK337*INDEX(個性タイプマスタ!$Q$5:$AA$54,$AE337,9)/$AG337,4))</f>
        <v>0.59279999999999999</v>
      </c>
      <c r="R337" s="9">
        <f>IF($H337&lt;&gt;"OK","",ROUND($G337*使い方と設定!$B$7*$AK337*INDEX(個性タイプマスタ!$Q$5:$AA$54,$AE337,10)/$AG337,4))</f>
        <v>0.79669999999999996</v>
      </c>
      <c r="S337" s="9">
        <f>IF($H337&lt;&gt;"OK","",ROUND($G337*使い方と設定!$B$7*$AK337*INDEX(個性タイプマスタ!$Q$5:$AA$54,$AE337,11)/$AG337,4))</f>
        <v>1.1646000000000001</v>
      </c>
      <c r="T337" s="9">
        <f>IF($H337&lt;&gt;"OK","",ROUND($G337*使い方と設定!$B$8*$AK337*$AH337*INDEX(属性耐性マスタ!$B$5:$G$10,$AF337,1),4))</f>
        <v>0.40460000000000002</v>
      </c>
      <c r="U337" s="9">
        <f>IF($H337&lt;&gt;"OK","",ROUND($G337*使い方と設定!$B$8*$AK337*$AH337*INDEX(属性耐性マスタ!$B$5:$G$10,$AF337,2),4))</f>
        <v>8.09E-2</v>
      </c>
      <c r="V337" s="9">
        <f>IF($H337&lt;&gt;"OK","",ROUND($G337*使い方と設定!$B$8*$AK337*$AH337*INDEX(属性耐性マスタ!$B$5:$G$10,$AF337,3),4))</f>
        <v>2.7E-2</v>
      </c>
      <c r="W337" s="9">
        <f>IF($H337&lt;&gt;"OK","",ROUND($G337*使い方と設定!$B$8*$AK337*$AH337*INDEX(属性耐性マスタ!$B$5:$G$10,$AF337,4),4))</f>
        <v>2.7E-2</v>
      </c>
      <c r="X337" s="9">
        <f>IF($H337&lt;&gt;"OK","",ROUND($G337*使い方と設定!$B$8*$AK337*$AH337*INDEX(属性耐性マスタ!$B$5:$G$10,$AF337,5),4))</f>
        <v>2.0199999999999999E-2</v>
      </c>
      <c r="Y337" s="9">
        <f>IF($H337&lt;&gt;"OK","",ROUND($G337*使い方と設定!$B$8*$AK337*$AH337*INDEX(属性耐性マスタ!$B$5:$G$10,$AF337,6),4))</f>
        <v>2.0199999999999999E-2</v>
      </c>
      <c r="Z337" s="9">
        <f>IF($H337&lt;&gt;"OK","",ROUND($G337*使い方と設定!$B$9*$AK337*$AI337,4))</f>
        <v>4.2511000000000001</v>
      </c>
      <c r="AA337" s="10">
        <v>0.55000000000000004</v>
      </c>
      <c r="AB337" s="11">
        <f t="shared" si="16"/>
        <v>12.9695</v>
      </c>
      <c r="AC337" s="11">
        <f t="shared" si="17"/>
        <v>0.57989999999999997</v>
      </c>
      <c r="AD337" s="7" t="str">
        <f>IF($H337&lt;&gt;"OK","",INDEX(個性タイプマスタ!$P$5:$P$54,$AE337))</f>
        <v>会心倍率が極めて高い一撃型</v>
      </c>
      <c r="AE337">
        <f>IFERROR(MATCH(E337,個性タイプマスタ!$A$5:$A$54,0),0)</f>
        <v>23</v>
      </c>
      <c r="AF337">
        <f>IFERROR(MATCH(F337,属性耐性マスタ!$A$5:$A$10,0),0)</f>
        <v>1</v>
      </c>
      <c r="AG337">
        <f>IF(AE337=0,1,INDEX(個性タイプマスタ!$AB$5:$AB$54,AE337))</f>
        <v>11.07</v>
      </c>
      <c r="AH337">
        <f>IF(AE337=0,1,INDEX(個性タイプマスタ!$AC$5:$AC$54,AE337))</f>
        <v>0.78</v>
      </c>
      <c r="AI337">
        <f>IF(AE337=0,0,INDEX(個性タイプマスタ!$AD$5:$AD$54,AE337))</f>
        <v>0.98333333333333328</v>
      </c>
      <c r="AJ337" s="16">
        <v>56</v>
      </c>
      <c r="AK337" s="17">
        <f>IF(OR(AJ337="",AJ337&lt;1),"",POWER(使い方と設定!$E$6,AJ337-1))</f>
        <v>8.6463669196872655</v>
      </c>
    </row>
    <row r="338" spans="1:37">
      <c r="A338" t="str">
        <f>+[2]称号!A333</f>
        <v>TITLE_332</v>
      </c>
      <c r="B338" t="str">
        <f>+[2]称号!B333</f>
        <v>瓦礫に眼あり</v>
      </c>
      <c r="C338" t="s">
        <v>799</v>
      </c>
      <c r="D338" t="s">
        <v>800</v>
      </c>
      <c r="E338" s="2" t="str">
        <f>[1]モンスター計算!AM336</f>
        <v>魔法・鈍足賢者</v>
      </c>
      <c r="F338" s="2" t="str">
        <f>[1]モンスター計算!C336</f>
        <v>水</v>
      </c>
      <c r="G338" s="8">
        <v>1.05</v>
      </c>
      <c r="H338" t="str">
        <f t="shared" si="15"/>
        <v>OK</v>
      </c>
      <c r="I338" s="9">
        <f>IF($H338&lt;&gt;"OK","",ROUND($G338*使い方と設定!$B$7*$AK338*INDEX(個性タイプマスタ!$Q$5:$AA$54,$AE338,1)/$AG338,4))</f>
        <v>1.6218999999999999</v>
      </c>
      <c r="J338" s="9">
        <f>IF($H338&lt;&gt;"OK","",ROUND($G338*使い方と設定!$B$7*$AK338*INDEX(個性タイプマスタ!$Q$5:$AA$54,$AE338,2)/$AG338,4))</f>
        <v>2.5487000000000002</v>
      </c>
      <c r="K338" s="9">
        <f>IF($H338&lt;&gt;"OK","",ROUND($G338*使い方と設定!$B$7*$AK338*INDEX(個性タイプマスタ!$Q$5:$AA$54,$AE338,3)/$AG338,4))</f>
        <v>0.22120000000000001</v>
      </c>
      <c r="L338" s="9">
        <f>IF($H338&lt;&gt;"OK","",ROUND($G338*使い方と設定!$B$7*$AK338*INDEX(個性タイプマスタ!$Q$5:$AA$54,$AE338,4)/$AG338,4))</f>
        <v>2.6328999999999998</v>
      </c>
      <c r="M338" s="9">
        <f>IF($H338&lt;&gt;"OK","",ROUND($G338*使い方と設定!$B$7*$AK338*INDEX(個性タイプマスタ!$Q$5:$AA$54,$AE338,5)/$AG338,4))</f>
        <v>0.85040000000000004</v>
      </c>
      <c r="N338" s="9">
        <f>IF($H338&lt;&gt;"OK","",ROUND($G338*使い方と設定!$B$7*$AK338*INDEX(個性タイプマスタ!$Q$5:$AA$54,$AE338,6)/$AG338,4))</f>
        <v>1.5039</v>
      </c>
      <c r="O338" s="9">
        <f>IF($H338&lt;&gt;"OK","",ROUND($G338*使い方と設定!$B$7*$AK338*INDEX(個性タイプマスタ!$Q$5:$AA$54,$AE338,7)/$AG338,4))</f>
        <v>1.3323</v>
      </c>
      <c r="P338" s="9">
        <f>IF($H338&lt;&gt;"OK","",ROUND($G338*使い方と設定!$B$7*$AK338*INDEX(個性タイプマスタ!$Q$5:$AA$54,$AE338,8)/$AG338,4))</f>
        <v>0.88990000000000002</v>
      </c>
      <c r="Q338" s="9">
        <f>IF($H338&lt;&gt;"OK","",ROUND($G338*使い方と設定!$B$7*$AK338*INDEX(個性タイプマスタ!$Q$5:$AA$54,$AE338,9)/$AG338,4))</f>
        <v>0.27800000000000002</v>
      </c>
      <c r="R338" s="9">
        <f>IF($H338&lt;&gt;"OK","",ROUND($G338*使い方と設定!$B$7*$AK338*INDEX(個性タイプマスタ!$Q$5:$AA$54,$AE338,10)/$AG338,4))</f>
        <v>0.75829999999999997</v>
      </c>
      <c r="S338" s="9">
        <f>IF($H338&lt;&gt;"OK","",ROUND($G338*使い方と設定!$B$7*$AK338*INDEX(個性タイプマスタ!$Q$5:$AA$54,$AE338,11)/$AG338,4))</f>
        <v>0.98050000000000004</v>
      </c>
      <c r="T338" s="9">
        <f>IF($H338&lt;&gt;"OK","",ROUND($G338*使い方と設定!$B$8*$AK338*$AH338*INDEX(属性耐性マスタ!$B$5:$G$10,$AF338,1),4))</f>
        <v>0.14380000000000001</v>
      </c>
      <c r="U338" s="9">
        <f>IF($H338&lt;&gt;"OK","",ROUND($G338*使い方と設定!$B$8*$AK338*$AH338*INDEX(属性耐性マスタ!$B$5:$G$10,$AF338,2),4))</f>
        <v>0.71899999999999997</v>
      </c>
      <c r="V338" s="9">
        <f>IF($H338&lt;&gt;"OK","",ROUND($G338*使い方と設定!$B$8*$AK338*$AH338*INDEX(属性耐性マスタ!$B$5:$G$10,$AF338,3),4))</f>
        <v>4.7899999999999998E-2</v>
      </c>
      <c r="W338" s="9">
        <f>IF($H338&lt;&gt;"OK","",ROUND($G338*使い方と設定!$B$8*$AK338*$AH338*INDEX(属性耐性マスタ!$B$5:$G$10,$AF338,4),4))</f>
        <v>4.7899999999999998E-2</v>
      </c>
      <c r="X338" s="9">
        <f>IF($H338&lt;&gt;"OK","",ROUND($G338*使い方と設定!$B$8*$AK338*$AH338*INDEX(属性耐性マスタ!$B$5:$G$10,$AF338,5),4))</f>
        <v>3.5999999999999997E-2</v>
      </c>
      <c r="Y338" s="9">
        <f>IF($H338&lt;&gt;"OK","",ROUND($G338*使い方と設定!$B$8*$AK338*$AH338*INDEX(属性耐性マスタ!$B$5:$G$10,$AF338,6),4))</f>
        <v>3.5999999999999997E-2</v>
      </c>
      <c r="Z338" s="9">
        <f>IF($H338&lt;&gt;"OK","",ROUND($G338*使い方と設定!$B$9*$AK338*$AI338,4))</f>
        <v>3.6315</v>
      </c>
      <c r="AA338" s="10">
        <v>0.5</v>
      </c>
      <c r="AB338" s="11">
        <f t="shared" si="16"/>
        <v>13.618</v>
      </c>
      <c r="AC338" s="11">
        <f t="shared" si="17"/>
        <v>1.0306</v>
      </c>
      <c r="AD338" s="7" t="str">
        <f>IF($H338&lt;&gt;"OK","",INDEX(個性タイプマスタ!$P$5:$P$54,$AE338))</f>
        <v>低機動・高MP・高魔防</v>
      </c>
      <c r="AE338">
        <f>IFERROR(MATCH(E338,個性タイプマスタ!$A$5:$A$54,0),0)</f>
        <v>30</v>
      </c>
      <c r="AF338">
        <f>IFERROR(MATCH(F338,属性耐性マスタ!$A$5:$A$10,0),0)</f>
        <v>2</v>
      </c>
      <c r="AG338">
        <f>IF(AE338=0,1,INDEX(個性タイプマスタ!$AB$5:$AB$54,AE338))</f>
        <v>12.9305</v>
      </c>
      <c r="AH338">
        <f>IF(AE338=0,1,INDEX(個性タイプマスタ!$AC$5:$AC$54,AE338))</f>
        <v>1.32</v>
      </c>
      <c r="AI338">
        <f>IF(AE338=0,0,INDEX(個性タイプマスタ!$AD$5:$AD$54,AE338))</f>
        <v>0.79999999999999993</v>
      </c>
      <c r="AJ338" s="16">
        <v>56</v>
      </c>
      <c r="AK338" s="17">
        <f>IF(OR(AJ338="",AJ338&lt;1),"",POWER(使い方と設定!$E$6,AJ338-1))</f>
        <v>8.6463669196872655</v>
      </c>
    </row>
    <row r="339" spans="1:37">
      <c r="A339" t="str">
        <f>+[2]称号!A334</f>
        <v>TITLE_333</v>
      </c>
      <c r="B339" t="str">
        <f>+[2]称号!B334</f>
        <v>裂空の晶翼</v>
      </c>
      <c r="C339" t="s">
        <v>801</v>
      </c>
      <c r="D339" t="s">
        <v>802</v>
      </c>
      <c r="E339" s="2" t="str">
        <f>[1]モンスター計算!AM337</f>
        <v>魔法・火力</v>
      </c>
      <c r="F339" s="2" t="str">
        <f>[1]モンスター計算!C337</f>
        <v>光</v>
      </c>
      <c r="G339" s="8">
        <v>1.1000000000000001</v>
      </c>
      <c r="H339" t="str">
        <f t="shared" si="15"/>
        <v>OK</v>
      </c>
      <c r="I339" s="9">
        <f>IF($H339&lt;&gt;"OK","",ROUND($G339*使い方と設定!$B$7*$AK339*INDEX(個性タイプマスタ!$Q$5:$AA$54,$AE339,1)/$AG339,4))</f>
        <v>1.1692</v>
      </c>
      <c r="J339" s="9">
        <f>IF($H339&lt;&gt;"OK","",ROUND($G339*使い方と設定!$B$7*$AK339*INDEX(個性タイプマスタ!$Q$5:$AA$54,$AE339,2)/$AG339,4))</f>
        <v>1.7238</v>
      </c>
      <c r="K339" s="9">
        <f>IF($H339&lt;&gt;"OK","",ROUND($G339*使い方と設定!$B$7*$AK339*INDEX(個性タイプマスタ!$Q$5:$AA$54,$AE339,3)/$AG339,4))</f>
        <v>0.3407</v>
      </c>
      <c r="L339" s="9">
        <f>IF($H339&lt;&gt;"OK","",ROUND($G339*使い方と設定!$B$7*$AK339*INDEX(個性タイプマスタ!$Q$5:$AA$54,$AE339,4)/$AG339,4))</f>
        <v>3.4066999999999998</v>
      </c>
      <c r="M339" s="9">
        <f>IF($H339&lt;&gt;"OK","",ROUND($G339*使い方と設定!$B$7*$AK339*INDEX(個性タイプマスタ!$Q$5:$AA$54,$AE339,5)/$AG339,4))</f>
        <v>0.86870000000000003</v>
      </c>
      <c r="N339" s="9">
        <f>IF($H339&lt;&gt;"OK","",ROUND($G339*使い方と設定!$B$7*$AK339*INDEX(個性タイプマスタ!$Q$5:$AA$54,$AE339,6)/$AG339,4))</f>
        <v>0.92659999999999998</v>
      </c>
      <c r="O339" s="9">
        <f>IF($H339&lt;&gt;"OK","",ROUND($G339*使い方と設定!$B$7*$AK339*INDEX(個性タイプマスタ!$Q$5:$AA$54,$AE339,7)/$AG339,4))</f>
        <v>1.6488</v>
      </c>
      <c r="P339" s="9">
        <f>IF($H339&lt;&gt;"OK","",ROUND($G339*使い方と設定!$B$7*$AK339*INDEX(個性タイプマスタ!$Q$5:$AA$54,$AE339,8)/$AG339,4))</f>
        <v>0.97430000000000005</v>
      </c>
      <c r="Q339" s="9">
        <f>IF($H339&lt;&gt;"OK","",ROUND($G339*使い方と設定!$B$7*$AK339*INDEX(個性タイプマスタ!$Q$5:$AA$54,$AE339,9)/$AG339,4))</f>
        <v>0.65949999999999998</v>
      </c>
      <c r="R339" s="9">
        <f>IF($H339&lt;&gt;"OK","",ROUND($G339*使い方と設定!$B$7*$AK339*INDEX(個性タイプマスタ!$Q$5:$AA$54,$AE339,10)/$AG339,4))</f>
        <v>1.4988999999999999</v>
      </c>
      <c r="S339" s="9">
        <f>IF($H339&lt;&gt;"OK","",ROUND($G339*使い方と設定!$B$7*$AK339*INDEX(個性タイプマスタ!$Q$5:$AA$54,$AE339,11)/$AG339,4))</f>
        <v>1.0492999999999999</v>
      </c>
      <c r="T339" s="9">
        <f>IF($H339&lt;&gt;"OK","",ROUND($G339*使い方と設定!$B$8*$AK339*$AH339*INDEX(属性耐性マスタ!$B$5:$G$10,$AF339,1),4))</f>
        <v>2.4E-2</v>
      </c>
      <c r="U339" s="9">
        <f>IF($H339&lt;&gt;"OK","",ROUND($G339*使い方と設定!$B$8*$AK339*$AH339*INDEX(属性耐性マスタ!$B$5:$G$10,$AF339,2),4))</f>
        <v>2.4E-2</v>
      </c>
      <c r="V339" s="9">
        <f>IF($H339&lt;&gt;"OK","",ROUND($G339*使い方と設定!$B$8*$AK339*$AH339*INDEX(属性耐性マスタ!$B$5:$G$10,$AF339,3),4))</f>
        <v>2.4E-2</v>
      </c>
      <c r="W339" s="9">
        <f>IF($H339&lt;&gt;"OK","",ROUND($G339*使い方と設定!$B$8*$AK339*$AH339*INDEX(属性耐性マスタ!$B$5:$G$10,$AF339,4),4))</f>
        <v>2.4E-2</v>
      </c>
      <c r="X339" s="9">
        <f>IF($H339&lt;&gt;"OK","",ROUND($G339*使い方と設定!$B$8*$AK339*$AH339*INDEX(属性耐性マスタ!$B$5:$G$10,$AF339,5),4))</f>
        <v>0.47939999999999999</v>
      </c>
      <c r="Y339" s="9">
        <f>IF($H339&lt;&gt;"OK","",ROUND($G339*使い方と設定!$B$8*$AK339*$AH339*INDEX(属性耐性マスタ!$B$5:$G$10,$AF339,6),4))</f>
        <v>6.3899999999999998E-2</v>
      </c>
      <c r="Z339" s="9">
        <f>IF($H339&lt;&gt;"OK","",ROUND($G339*使い方と設定!$B$9*$AK339*$AI339,4))</f>
        <v>4.5970000000000004</v>
      </c>
      <c r="AA339" s="10">
        <v>0.25</v>
      </c>
      <c r="AB339" s="11">
        <f t="shared" si="16"/>
        <v>14.266500000000001</v>
      </c>
      <c r="AC339" s="11">
        <f t="shared" si="17"/>
        <v>0.63929999999999998</v>
      </c>
      <c r="AD339" s="7" t="str">
        <f>IF($H339&lt;&gt;"OK","",INDEX(個性タイプマスタ!$P$5:$P$54,$AE339))</f>
        <v>火力偏重。反撃に弱い</v>
      </c>
      <c r="AE339">
        <f>IFERROR(MATCH(E339,個性タイプマスタ!$A$5:$A$54,0),0)</f>
        <v>9</v>
      </c>
      <c r="AF339">
        <f>IFERROR(MATCH(F339,属性耐性マスタ!$A$5:$A$10,0),0)</f>
        <v>5</v>
      </c>
      <c r="AG339">
        <f>IF(AE339=0,1,INDEX(個性タイプマスタ!$AB$5:$AB$54,AE339))</f>
        <v>10.4695</v>
      </c>
      <c r="AH339">
        <f>IF(AE339=0,1,INDEX(個性タイプマスタ!$AC$5:$AC$54,AE339))</f>
        <v>0.84</v>
      </c>
      <c r="AI339">
        <f>IF(AE339=0,0,INDEX(個性タイプマスタ!$AD$5:$AD$54,AE339))</f>
        <v>0.96666666666666667</v>
      </c>
      <c r="AJ339" s="16">
        <v>56</v>
      </c>
      <c r="AK339" s="17">
        <f>IF(OR(AJ339="",AJ339&lt;1),"",POWER(使い方と設定!$E$6,AJ339-1))</f>
        <v>8.6463669196872655</v>
      </c>
    </row>
    <row r="340" spans="1:37">
      <c r="A340" t="str">
        <f>+[2]称号!A335</f>
        <v>TITLE_334</v>
      </c>
      <c r="B340" t="str">
        <f>+[2]称号!B335</f>
        <v>封鎖を断つ者</v>
      </c>
      <c r="C340" t="s">
        <v>803</v>
      </c>
      <c r="D340" t="s">
        <v>804</v>
      </c>
      <c r="E340" s="2" t="str">
        <f>[1]モンスター計算!AM338</f>
        <v>近接・魔法盾</v>
      </c>
      <c r="F340" s="2" t="str">
        <f>[1]モンスター計算!C338</f>
        <v>水</v>
      </c>
      <c r="G340" s="8">
        <v>1.1499999999999999</v>
      </c>
      <c r="H340" t="str">
        <f t="shared" si="15"/>
        <v>OK</v>
      </c>
      <c r="I340" s="9">
        <f>IF($H340&lt;&gt;"OK","",ROUND($G340*使い方と設定!$B$7*$AK340*INDEX(個性タイプマスタ!$Q$5:$AA$54,$AE340,1)/$AG340,4))</f>
        <v>2.2886000000000002</v>
      </c>
      <c r="J340" s="9">
        <f>IF($H340&lt;&gt;"OK","",ROUND($G340*使い方と設定!$B$7*$AK340*INDEX(個性タイプマスタ!$Q$5:$AA$54,$AE340,2)/$AG340,4))</f>
        <v>0.77839999999999998</v>
      </c>
      <c r="K340" s="9">
        <f>IF($H340&lt;&gt;"OK","",ROUND($G340*使い方と設定!$B$7*$AK340*INDEX(個性タイプマスタ!$Q$5:$AA$54,$AE340,3)/$AG340,4))</f>
        <v>3.5384000000000002</v>
      </c>
      <c r="L340" s="9">
        <f>IF($H340&lt;&gt;"OK","",ROUND($G340*使い方と設定!$B$7*$AK340*INDEX(個性タイプマスタ!$Q$5:$AA$54,$AE340,4)/$AG340,4))</f>
        <v>0.26889999999999997</v>
      </c>
      <c r="M340" s="9">
        <f>IF($H340&lt;&gt;"OK","",ROUND($G340*使い方と設定!$B$7*$AK340*INDEX(個性タイプマスタ!$Q$5:$AA$54,$AE340,5)/$AG340,4))</f>
        <v>1.1068</v>
      </c>
      <c r="N340" s="9">
        <f>IF($H340&lt;&gt;"OK","",ROUND($G340*使い方と設定!$B$7*$AK340*INDEX(個性タイプマスタ!$Q$5:$AA$54,$AE340,6)/$AG340,4))</f>
        <v>2.6467000000000001</v>
      </c>
      <c r="O340" s="9">
        <f>IF($H340&lt;&gt;"OK","",ROUND($G340*使い方と設定!$B$7*$AK340*INDEX(個性タイプマスタ!$Q$5:$AA$54,$AE340,7)/$AG340,4))</f>
        <v>0.77839999999999998</v>
      </c>
      <c r="P340" s="9">
        <f>IF($H340&lt;&gt;"OK","",ROUND($G340*使い方と設定!$B$7*$AK340*INDEX(個性タイプマスタ!$Q$5:$AA$54,$AE340,8)/$AG340,4))</f>
        <v>0.92</v>
      </c>
      <c r="Q340" s="9">
        <f>IF($H340&lt;&gt;"OK","",ROUND($G340*使い方と設定!$B$7*$AK340*INDEX(個性タイプマスタ!$Q$5:$AA$54,$AE340,9)/$AG340,4))</f>
        <v>0.63829999999999998</v>
      </c>
      <c r="R340" s="9">
        <f>IF($H340&lt;&gt;"OK","",ROUND($G340*使い方と設定!$B$7*$AK340*INDEX(個性タイプマスタ!$Q$5:$AA$54,$AE340,10)/$AG340,4))</f>
        <v>1.1181000000000001</v>
      </c>
      <c r="S340" s="9">
        <f>IF($H340&lt;&gt;"OK","",ROUND($G340*使い方と設定!$B$7*$AK340*INDEX(個性タイプマスタ!$Q$5:$AA$54,$AE340,11)/$AG340,4))</f>
        <v>0.83220000000000005</v>
      </c>
      <c r="T340" s="9">
        <f>IF($H340&lt;&gt;"OK","",ROUND($G340*使い方と設定!$B$8*$AK340*$AH340*INDEX(属性耐性マスタ!$B$5:$G$10,$AF340,1),4))</f>
        <v>0.1527</v>
      </c>
      <c r="U340" s="9">
        <f>IF($H340&lt;&gt;"OK","",ROUND($G340*使い方と設定!$B$8*$AK340*$AH340*INDEX(属性耐性マスタ!$B$5:$G$10,$AF340,2),4))</f>
        <v>0.76359999999999995</v>
      </c>
      <c r="V340" s="9">
        <f>IF($H340&lt;&gt;"OK","",ROUND($G340*使い方と設定!$B$8*$AK340*$AH340*INDEX(属性耐性マスタ!$B$5:$G$10,$AF340,3),4))</f>
        <v>5.0900000000000001E-2</v>
      </c>
      <c r="W340" s="9">
        <f>IF($H340&lt;&gt;"OK","",ROUND($G340*使い方と設定!$B$8*$AK340*$AH340*INDEX(属性耐性マスタ!$B$5:$G$10,$AF340,4),4))</f>
        <v>5.0900000000000001E-2</v>
      </c>
      <c r="X340" s="9">
        <f>IF($H340&lt;&gt;"OK","",ROUND($G340*使い方と設定!$B$8*$AK340*$AH340*INDEX(属性耐性マスタ!$B$5:$G$10,$AF340,5),4))</f>
        <v>3.8199999999999998E-2</v>
      </c>
      <c r="Y340" s="9">
        <f>IF($H340&lt;&gt;"OK","",ROUND($G340*使い方と設定!$B$8*$AK340*$AH340*INDEX(属性耐性マスタ!$B$5:$G$10,$AF340,6),4))</f>
        <v>3.8199999999999998E-2</v>
      </c>
      <c r="Z340" s="9">
        <f>IF($H340&lt;&gt;"OK","",ROUND($G340*使い方と設定!$B$9*$AK340*$AI340,4))</f>
        <v>4.6816000000000004</v>
      </c>
      <c r="AA340" s="10">
        <v>1</v>
      </c>
      <c r="AB340" s="11">
        <f t="shared" si="16"/>
        <v>14.9148</v>
      </c>
      <c r="AC340" s="11">
        <f t="shared" si="17"/>
        <v>1.0945</v>
      </c>
      <c r="AD340" s="7" t="str">
        <f>IF($H340&lt;&gt;"OK","",INDEX(個性タイプマスタ!$P$5:$P$54,$AE340))</f>
        <v>魔法耐久を重視した近接</v>
      </c>
      <c r="AE340">
        <f>IFERROR(MATCH(E340,個性タイプマスタ!$A$5:$A$54,0),0)</f>
        <v>38</v>
      </c>
      <c r="AF340">
        <f>IFERROR(MATCH(F340,属性耐性マスタ!$A$5:$A$10,0),0)</f>
        <v>2</v>
      </c>
      <c r="AG340">
        <f>IF(AE340=0,1,INDEX(個性タイプマスタ!$AB$5:$AB$54,AE340))</f>
        <v>10.538000000000002</v>
      </c>
      <c r="AH340">
        <f>IF(AE340=0,1,INDEX(個性タイプマスタ!$AC$5:$AC$54,AE340))</f>
        <v>1.28</v>
      </c>
      <c r="AI340">
        <f>IF(AE340=0,0,INDEX(個性タイプマスタ!$AD$5:$AD$54,AE340))</f>
        <v>0.94166666666666665</v>
      </c>
      <c r="AJ340" s="16">
        <v>56</v>
      </c>
      <c r="AK340" s="17">
        <f>IF(OR(AJ340="",AJ340&lt;1),"",POWER(使い方と設定!$E$6,AJ340-1))</f>
        <v>8.6463669196872655</v>
      </c>
    </row>
    <row r="341" spans="1:37">
      <c r="A341" t="str">
        <f>+[2]称号!A336</f>
        <v>TITLE_335</v>
      </c>
      <c r="B341" t="str">
        <f>+[2]称号!B336</f>
        <v>迷宮喰らいを屠りし者</v>
      </c>
      <c r="C341" t="s">
        <v>805</v>
      </c>
      <c r="D341" t="s">
        <v>806</v>
      </c>
      <c r="E341" s="2" t="str">
        <f>[1]モンスター計算!AM339</f>
        <v>近接・巨体</v>
      </c>
      <c r="F341" s="2" t="str">
        <f>[1]モンスター計算!C339</f>
        <v>火</v>
      </c>
      <c r="G341" s="8">
        <v>1.2</v>
      </c>
      <c r="H341" t="str">
        <f t="shared" si="15"/>
        <v>OK</v>
      </c>
      <c r="I341" s="9">
        <f>IF($H341&lt;&gt;"OK","",ROUND($G341*使い方と設定!$B$7*$AK341*INDEX(個性タイプマスタ!$Q$5:$AA$54,$AE341,1)/$AG341,4))</f>
        <v>3.5360999999999998</v>
      </c>
      <c r="J341" s="9">
        <f>IF($H341&lt;&gt;"OK","",ROUND($G341*使い方と設定!$B$7*$AK341*INDEX(個性タイプマスタ!$Q$5:$AA$54,$AE341,2)/$AG341,4))</f>
        <v>0.51749999999999996</v>
      </c>
      <c r="K341" s="9">
        <f>IF($H341&lt;&gt;"OK","",ROUND($G341*使い方と設定!$B$7*$AK341*INDEX(個性タイプマスタ!$Q$5:$AA$54,$AE341,3)/$AG341,4))</f>
        <v>3.9203000000000001</v>
      </c>
      <c r="L341" s="9">
        <f>IF($H341&lt;&gt;"OK","",ROUND($G341*使い方と設定!$B$7*$AK341*INDEX(個性タイプマスタ!$Q$5:$AA$54,$AE341,4)/$AG341,4))</f>
        <v>0.3528</v>
      </c>
      <c r="M341" s="9">
        <f>IF($H341&lt;&gt;"OK","",ROUND($G341*使い方と設定!$B$7*$AK341*INDEX(個性タイプマスタ!$Q$5:$AA$54,$AE341,5)/$AG341,4))</f>
        <v>2.0259999999999998</v>
      </c>
      <c r="N341" s="9">
        <f>IF($H341&lt;&gt;"OK","",ROUND($G341*使い方と設定!$B$7*$AK341*INDEX(個性タイプマスタ!$Q$5:$AA$54,$AE341,6)/$AG341,4))</f>
        <v>1.7327999999999999</v>
      </c>
      <c r="O341" s="9">
        <f>IF($H341&lt;&gt;"OK","",ROUND($G341*使い方と設定!$B$7*$AK341*INDEX(個性タイプマスタ!$Q$5:$AA$54,$AE341,7)/$AG341,4))</f>
        <v>0.43120000000000003</v>
      </c>
      <c r="P341" s="9">
        <f>IF($H341&lt;&gt;"OK","",ROUND($G341*使い方と設定!$B$7*$AK341*INDEX(個性タイプマスタ!$Q$5:$AA$54,$AE341,8)/$AG341,4))</f>
        <v>0.9173</v>
      </c>
      <c r="Q341" s="9">
        <f>IF($H341&lt;&gt;"OK","",ROUND($G341*使い方と設定!$B$7*$AK341*INDEX(個性タイプマスタ!$Q$5:$AA$54,$AE341,9)/$AG341,4))</f>
        <v>0.3967</v>
      </c>
      <c r="R341" s="9">
        <f>IF($H341&lt;&gt;"OK","",ROUND($G341*使い方と設定!$B$7*$AK341*INDEX(個性タイプマスタ!$Q$5:$AA$54,$AE341,10)/$AG341,4))</f>
        <v>0.79969999999999997</v>
      </c>
      <c r="S341" s="9">
        <f>IF($H341&lt;&gt;"OK","",ROUND($G341*使い方と設定!$B$7*$AK341*INDEX(個性タイプマスタ!$Q$5:$AA$54,$AE341,11)/$AG341,4))</f>
        <v>0.93300000000000005</v>
      </c>
      <c r="T341" s="9">
        <f>IF($H341&lt;&gt;"OK","",ROUND($G341*使い方と設定!$B$8*$AK341*$AH341*INDEX(属性耐性マスタ!$B$5:$G$10,$AF341,1),4))</f>
        <v>0.747</v>
      </c>
      <c r="U341" s="9">
        <f>IF($H341&lt;&gt;"OK","",ROUND($G341*使い方と設定!$B$8*$AK341*$AH341*INDEX(属性耐性マスタ!$B$5:$G$10,$AF341,2),4))</f>
        <v>0.14940000000000001</v>
      </c>
      <c r="V341" s="9">
        <f>IF($H341&lt;&gt;"OK","",ROUND($G341*使い方と設定!$B$8*$AK341*$AH341*INDEX(属性耐性マスタ!$B$5:$G$10,$AF341,3),4))</f>
        <v>4.9799999999999997E-2</v>
      </c>
      <c r="W341" s="9">
        <f>IF($H341&lt;&gt;"OK","",ROUND($G341*使い方と設定!$B$8*$AK341*$AH341*INDEX(属性耐性マスタ!$B$5:$G$10,$AF341,4),4))</f>
        <v>4.9799999999999997E-2</v>
      </c>
      <c r="X341" s="9">
        <f>IF($H341&lt;&gt;"OK","",ROUND($G341*使い方と設定!$B$8*$AK341*$AH341*INDEX(属性耐性マスタ!$B$5:$G$10,$AF341,5),4))</f>
        <v>3.7400000000000003E-2</v>
      </c>
      <c r="Y341" s="9">
        <f>IF($H341&lt;&gt;"OK","",ROUND($G341*使い方と設定!$B$8*$AK341*$AH341*INDEX(属性耐性マスタ!$B$5:$G$10,$AF341,6),4))</f>
        <v>3.7400000000000003E-2</v>
      </c>
      <c r="Z341" s="9">
        <f>IF($H341&lt;&gt;"OK","",ROUND($G341*使い方と設定!$B$9*$AK341*$AI341,4))</f>
        <v>4.1070000000000002</v>
      </c>
      <c r="AA341" s="10">
        <v>1</v>
      </c>
      <c r="AB341" s="11">
        <f t="shared" si="16"/>
        <v>15.5634</v>
      </c>
      <c r="AC341" s="11">
        <f t="shared" si="17"/>
        <v>1.0708</v>
      </c>
      <c r="AD341" s="7" t="str">
        <f>IF($H341&lt;&gt;"OK","",INDEX(個性タイプマスタ!$P$5:$P$54,$AE341))</f>
        <v>巨大なHPと極端な鈍足</v>
      </c>
      <c r="AE341">
        <f>IFERROR(MATCH(E341,個性タイプマスタ!$A$5:$A$54,0),0)</f>
        <v>45</v>
      </c>
      <c r="AF341">
        <f>IFERROR(MATCH(F341,属性耐性マスタ!$A$5:$A$10,0),0)</f>
        <v>1</v>
      </c>
      <c r="AG341">
        <f>IF(AE341=0,1,INDEX(個性タイプマスタ!$AB$5:$AB$54,AE341))</f>
        <v>9.9250000000000007</v>
      </c>
      <c r="AH341">
        <f>IF(AE341=0,1,INDEX(個性タイプマスタ!$AC$5:$AC$54,AE341))</f>
        <v>1.2</v>
      </c>
      <c r="AI341">
        <f>IF(AE341=0,0,INDEX(個性タイプマスタ!$AD$5:$AD$54,AE341))</f>
        <v>0.79166666666666663</v>
      </c>
      <c r="AJ341" s="16">
        <v>56</v>
      </c>
      <c r="AK341" s="17">
        <f>IF(OR(AJ341="",AJ341&lt;1),"",POWER(使い方と設定!$E$6,AJ341-1))</f>
        <v>8.6463669196872655</v>
      </c>
    </row>
    <row r="342" spans="1:37">
      <c r="A342" t="str">
        <f>+[2]称号!A337</f>
        <v>TITLE_336</v>
      </c>
      <c r="B342" t="str">
        <f>+[2]称号!B337</f>
        <v>世界の亀裂を越えし英雄</v>
      </c>
      <c r="C342" t="s">
        <v>807</v>
      </c>
      <c r="D342" t="s">
        <v>808</v>
      </c>
      <c r="E342" s="2" t="str">
        <f>[1]モンスター計算!AM340</f>
        <v>魔法・均衡</v>
      </c>
      <c r="F342" s="2" t="str">
        <f>[1]モンスター計算!C340</f>
        <v>風</v>
      </c>
      <c r="G342" s="8">
        <v>1.25</v>
      </c>
      <c r="H342" t="str">
        <f t="shared" si="15"/>
        <v>OK</v>
      </c>
      <c r="I342" s="9">
        <f>IF($H342&lt;&gt;"OK","",ROUND($G342*使い方と設定!$B$7*$AK342*INDEX(個性タイプマスタ!$Q$5:$AA$54,$AE342,1)/$AG342,4))</f>
        <v>1.6486000000000001</v>
      </c>
      <c r="J342" s="9">
        <f>IF($H342&lt;&gt;"OK","",ROUND($G342*使い方と設定!$B$7*$AK342*INDEX(個性タイプマスタ!$Q$5:$AA$54,$AE342,2)/$AG342,4))</f>
        <v>1.7919</v>
      </c>
      <c r="K342" s="9">
        <f>IF($H342&lt;&gt;"OK","",ROUND($G342*使い方と設定!$B$7*$AK342*INDEX(個性タイプマスタ!$Q$5:$AA$54,$AE342,3)/$AG342,4))</f>
        <v>0.4073</v>
      </c>
      <c r="L342" s="9">
        <f>IF($H342&lt;&gt;"OK","",ROUND($G342*使い方と設定!$B$7*$AK342*INDEX(個性タイプマスタ!$Q$5:$AA$54,$AE342,4)/$AG342,4))</f>
        <v>4.0724999999999998</v>
      </c>
      <c r="M342" s="9">
        <f>IF($H342&lt;&gt;"OK","",ROUND($G342*使い方と設定!$B$7*$AK342*INDEX(個性タイプマスタ!$Q$5:$AA$54,$AE342,5)/$AG342,4))</f>
        <v>1.3153999999999999</v>
      </c>
      <c r="N342" s="9">
        <f>IF($H342&lt;&gt;"OK","",ROUND($G342*使い方と設定!$B$7*$AK342*INDEX(個性タイプマスタ!$Q$5:$AA$54,$AE342,6)/$AG342,4))</f>
        <v>1.4539</v>
      </c>
      <c r="O342" s="9">
        <f>IF($H342&lt;&gt;"OK","",ROUND($G342*使い方と設定!$B$7*$AK342*INDEX(個性タイプマスタ!$Q$5:$AA$54,$AE342,7)/$AG342,4))</f>
        <v>0.89600000000000002</v>
      </c>
      <c r="P342" s="9">
        <f>IF($H342&lt;&gt;"OK","",ROUND($G342*使い方と設定!$B$7*$AK342*INDEX(個性タイプマスタ!$Q$5:$AA$54,$AE342,8)/$AG342,4))</f>
        <v>1.0589</v>
      </c>
      <c r="Q342" s="9">
        <f>IF($H342&lt;&gt;"OK","",ROUND($G342*使い方と設定!$B$7*$AK342*INDEX(個性タイプマスタ!$Q$5:$AA$54,$AE342,9)/$AG342,4))</f>
        <v>0.71679999999999999</v>
      </c>
      <c r="R342" s="9">
        <f>IF($H342&lt;&gt;"OK","",ROUND($G342*使い方と設定!$B$7*$AK342*INDEX(個性タイプマスタ!$Q$5:$AA$54,$AE342,10)/$AG342,4))</f>
        <v>1.7104999999999999</v>
      </c>
      <c r="S342" s="9">
        <f>IF($H342&lt;&gt;"OK","",ROUND($G342*使い方と設定!$B$7*$AK342*INDEX(個性タイプマスタ!$Q$5:$AA$54,$AE342,11)/$AG342,4))</f>
        <v>1.1403000000000001</v>
      </c>
      <c r="T342" s="9">
        <f>IF($H342&lt;&gt;"OK","",ROUND($G342*使い方と設定!$B$8*$AK342*$AH342*INDEX(属性耐性マスタ!$B$5:$G$10,$AF342,1),4))</f>
        <v>4.3200000000000002E-2</v>
      </c>
      <c r="U342" s="9">
        <f>IF($H342&lt;&gt;"OK","",ROUND($G342*使い方と設定!$B$8*$AK342*$AH342*INDEX(属性耐性マスタ!$B$5:$G$10,$AF342,2),4))</f>
        <v>4.3200000000000002E-2</v>
      </c>
      <c r="V342" s="9">
        <f>IF($H342&lt;&gt;"OK","",ROUND($G342*使い方と設定!$B$8*$AK342*$AH342*INDEX(属性耐性マスタ!$B$5:$G$10,$AF342,3),4))</f>
        <v>0.64849999999999997</v>
      </c>
      <c r="W342" s="9">
        <f>IF($H342&lt;&gt;"OK","",ROUND($G342*使い方と設定!$B$8*$AK342*$AH342*INDEX(属性耐性マスタ!$B$5:$G$10,$AF342,4),4))</f>
        <v>0.16209999999999999</v>
      </c>
      <c r="X342" s="9">
        <f>IF($H342&lt;&gt;"OK","",ROUND($G342*使い方と設定!$B$8*$AK342*$AH342*INDEX(属性耐性マスタ!$B$5:$G$10,$AF342,5),4))</f>
        <v>3.2399999999999998E-2</v>
      </c>
      <c r="Y342" s="9">
        <f>IF($H342&lt;&gt;"OK","",ROUND($G342*使い方と設定!$B$8*$AK342*$AH342*INDEX(属性耐性マスタ!$B$5:$G$10,$AF342,6),4))</f>
        <v>3.2399999999999998E-2</v>
      </c>
      <c r="Z342" s="9">
        <f>IF($H342&lt;&gt;"OK","",ROUND($G342*使い方と設定!$B$9*$AK342*$AI342,4))</f>
        <v>5.0437000000000003</v>
      </c>
      <c r="AA342" s="10">
        <v>0.9</v>
      </c>
      <c r="AB342" s="11">
        <f t="shared" si="16"/>
        <v>16.2121</v>
      </c>
      <c r="AC342" s="11">
        <f t="shared" si="17"/>
        <v>0.96179999999999999</v>
      </c>
      <c r="AD342" s="7" t="str">
        <f>IF($H342&lt;&gt;"OK","",INDEX(個性タイプマスタ!$P$5:$P$54,$AE342))</f>
        <v>標準的な魔法型</v>
      </c>
      <c r="AE342">
        <f>IFERROR(MATCH(E342,個性タイプマスタ!$A$5:$A$54,0),0)</f>
        <v>2</v>
      </c>
      <c r="AF342">
        <f>IFERROR(MATCH(F342,属性耐性マスタ!$A$5:$A$10,0),0)</f>
        <v>3</v>
      </c>
      <c r="AG342">
        <f>IF(AE342=0,1,INDEX(個性タイプマスタ!$AB$5:$AB$54,AE342))</f>
        <v>9.952</v>
      </c>
      <c r="AH342">
        <f>IF(AE342=0,1,INDEX(個性タイプマスタ!$AC$5:$AC$54,AE342))</f>
        <v>1</v>
      </c>
      <c r="AI342">
        <f>IF(AE342=0,0,INDEX(個性タイプマスタ!$AD$5:$AD$54,AE342))</f>
        <v>0.93333333333333335</v>
      </c>
      <c r="AJ342" s="16">
        <v>56</v>
      </c>
      <c r="AK342" s="17">
        <f>IF(OR(AJ342="",AJ342&lt;1),"",POWER(使い方と設定!$E$6,AJ342-1))</f>
        <v>8.6463669196872655</v>
      </c>
    </row>
    <row r="343" spans="1:37">
      <c r="A343" t="str">
        <f>+[2]称号!A338</f>
        <v>TITLE_337</v>
      </c>
      <c r="B343" t="str">
        <f>+[2]称号!B338</f>
        <v>深晶を抱く者</v>
      </c>
      <c r="C343" t="s">
        <v>809</v>
      </c>
      <c r="D343" t="s">
        <v>810</v>
      </c>
      <c r="E343" s="2" t="str">
        <f>[1]モンスター計算!AM341</f>
        <v>魔法・疾走</v>
      </c>
      <c r="F343" s="2" t="str">
        <f>[1]モンスター計算!C341</f>
        <v>火</v>
      </c>
      <c r="G343" s="8">
        <v>1</v>
      </c>
      <c r="H343" t="str">
        <f t="shared" si="15"/>
        <v>OK</v>
      </c>
      <c r="I343" s="9">
        <f>IF($H343&lt;&gt;"OK","",ROUND($G343*使い方と設定!$B$7*$AK343*INDEX(個性タイプマスタ!$Q$5:$AA$54,$AE343,1)/$AG343,4))</f>
        <v>1.1294999999999999</v>
      </c>
      <c r="J343" s="9">
        <f>IF($H343&lt;&gt;"OK","",ROUND($G343*使い方と設定!$B$7*$AK343*INDEX(個性タイプマスタ!$Q$5:$AA$54,$AE343,2)/$AG343,4))</f>
        <v>1.2867</v>
      </c>
      <c r="K343" s="9">
        <f>IF($H343&lt;&gt;"OK","",ROUND($G343*使い方と設定!$B$7*$AK343*INDEX(個性タイプマスタ!$Q$5:$AA$54,$AE343,3)/$AG343,4))</f>
        <v>0.17219999999999999</v>
      </c>
      <c r="L343" s="9">
        <f>IF($H343&lt;&gt;"OK","",ROUND($G343*使い方と設定!$B$7*$AK343*INDEX(個性タイプマスタ!$Q$5:$AA$54,$AE343,4)/$AG343,4))</f>
        <v>3.2492999999999999</v>
      </c>
      <c r="M343" s="9">
        <f>IF($H343&lt;&gt;"OK","",ROUND($G343*使い方と設定!$B$7*$AK343*INDEX(個性タイプマスタ!$Q$5:$AA$54,$AE343,5)/$AG343,4))</f>
        <v>0.93910000000000005</v>
      </c>
      <c r="N343" s="9">
        <f>IF($H343&lt;&gt;"OK","",ROUND($G343*使い方と設定!$B$7*$AK343*INDEX(個性タイプマスタ!$Q$5:$AA$54,$AE343,6)/$AG343,4))</f>
        <v>0.89490000000000003</v>
      </c>
      <c r="O343" s="9">
        <f>IF($H343&lt;&gt;"OK","",ROUND($G343*使い方と設定!$B$7*$AK343*INDEX(個性タイプマスタ!$Q$5:$AA$54,$AE343,7)/$AG343,4))</f>
        <v>0.92930000000000001</v>
      </c>
      <c r="P343" s="9">
        <f>IF($H343&lt;&gt;"OK","",ROUND($G343*使い方と設定!$B$7*$AK343*INDEX(個性タイプマスタ!$Q$5:$AA$54,$AE343,8)/$AG343,4))</f>
        <v>0.81669999999999998</v>
      </c>
      <c r="Q343" s="9">
        <f>IF($H343&lt;&gt;"OK","",ROUND($G343*使い方と設定!$B$7*$AK343*INDEX(個性タイプマスタ!$Q$5:$AA$54,$AE343,9)/$AG343,4))</f>
        <v>1.1437999999999999</v>
      </c>
      <c r="R343" s="9">
        <f>IF($H343&lt;&gt;"OK","",ROUND($G343*使い方と設定!$B$7*$AK343*INDEX(個性タイプマスタ!$Q$5:$AA$54,$AE343,10)/$AG343,4))</f>
        <v>2.2355</v>
      </c>
      <c r="S343" s="9">
        <f>IF($H343&lt;&gt;"OK","",ROUND($G343*使い方と設定!$B$7*$AK343*INDEX(個性タイプマスタ!$Q$5:$AA$54,$AE343,11)/$AG343,4))</f>
        <v>0.6915</v>
      </c>
      <c r="T343" s="9">
        <f>IF($H343&lt;&gt;"OK","",ROUND($G343*使い方と設定!$B$8*$AK343*$AH343*INDEX(属性耐性マスタ!$B$5:$G$10,$AF343,1),4))</f>
        <v>0.38850000000000001</v>
      </c>
      <c r="U343" s="9">
        <f>IF($H343&lt;&gt;"OK","",ROUND($G343*使い方と設定!$B$8*$AK343*$AH343*INDEX(属性耐性マスタ!$B$5:$G$10,$AF343,2),4))</f>
        <v>7.7700000000000005E-2</v>
      </c>
      <c r="V343" s="9">
        <f>IF($H343&lt;&gt;"OK","",ROUND($G343*使い方と設定!$B$8*$AK343*$AH343*INDEX(属性耐性マスタ!$B$5:$G$10,$AF343,3),4))</f>
        <v>2.5899999999999999E-2</v>
      </c>
      <c r="W343" s="9">
        <f>IF($H343&lt;&gt;"OK","",ROUND($G343*使い方と設定!$B$8*$AK343*$AH343*INDEX(属性耐性マスタ!$B$5:$G$10,$AF343,4),4))</f>
        <v>2.5899999999999999E-2</v>
      </c>
      <c r="X343" s="9">
        <f>IF($H343&lt;&gt;"OK","",ROUND($G343*使い方と設定!$B$8*$AK343*$AH343*INDEX(属性耐性マスタ!$B$5:$G$10,$AF343,5),4))</f>
        <v>1.9400000000000001E-2</v>
      </c>
      <c r="Y343" s="9">
        <f>IF($H343&lt;&gt;"OK","",ROUND($G343*使い方と設定!$B$8*$AK343*$AH343*INDEX(属性耐性マスタ!$B$5:$G$10,$AF343,6),4))</f>
        <v>1.9400000000000001E-2</v>
      </c>
      <c r="Z343" s="9">
        <f>IF($H343&lt;&gt;"OK","",ROUND($G343*使い方と設定!$B$9*$AK343*$AI343,4))</f>
        <v>5.6951000000000001</v>
      </c>
      <c r="AA343" s="10">
        <v>0.55000000000000004</v>
      </c>
      <c r="AB343" s="11">
        <f t="shared" si="16"/>
        <v>13.4885</v>
      </c>
      <c r="AC343" s="11">
        <f t="shared" si="17"/>
        <v>0.55679999999999996</v>
      </c>
      <c r="AD343" s="7" t="str">
        <f>IF($H343&lt;&gt;"OK","",INDEX(個性タイプマスタ!$P$5:$P$54,$AE343))</f>
        <v>移動と攻撃速度に特化</v>
      </c>
      <c r="AE343">
        <f>IFERROR(MATCH(E343,個性タイプマスタ!$A$5:$A$54,0),0)</f>
        <v>29</v>
      </c>
      <c r="AF343">
        <f>IFERROR(MATCH(F343,属性耐性マスタ!$A$5:$A$10,0),0)</f>
        <v>1</v>
      </c>
      <c r="AG343">
        <f>IF(AE343=0,1,INDEX(個性タイプマスタ!$AB$5:$AB$54,AE343))</f>
        <v>10.377833333333335</v>
      </c>
      <c r="AH343">
        <f>IF(AE343=0,1,INDEX(個性タイプマスタ!$AC$5:$AC$54,AE343))</f>
        <v>0.72</v>
      </c>
      <c r="AI343">
        <f>IF(AE343=0,0,INDEX(個性タイプマスタ!$AD$5:$AD$54,AE343))</f>
        <v>1.2666666666666666</v>
      </c>
      <c r="AJ343" s="16">
        <v>57</v>
      </c>
      <c r="AK343" s="17">
        <f>IF(OR(AJ343="",AJ343&lt;1),"",POWER(使い方と設定!$E$6,AJ343-1))</f>
        <v>8.9922215964747565</v>
      </c>
    </row>
    <row r="344" spans="1:37">
      <c r="A344" t="str">
        <f>+[2]称号!A339</f>
        <v>TITLE_338</v>
      </c>
      <c r="B344" t="str">
        <f>+[2]称号!B339</f>
        <v>蒼牙を従えし者</v>
      </c>
      <c r="C344" t="s">
        <v>811</v>
      </c>
      <c r="D344" t="s">
        <v>812</v>
      </c>
      <c r="E344" s="2" t="str">
        <f>[1]モンスター計算!AM342</f>
        <v>魔法・最終層</v>
      </c>
      <c r="F344" s="2" t="str">
        <f>[1]モンスター計算!C342</f>
        <v>水</v>
      </c>
      <c r="G344" s="8">
        <v>1.05</v>
      </c>
      <c r="H344" t="str">
        <f t="shared" si="15"/>
        <v>OK</v>
      </c>
      <c r="I344" s="9">
        <f>IF($H344&lt;&gt;"OK","",ROUND($G344*使い方と設定!$B$7*$AK344*INDEX(個性タイプマスタ!$Q$5:$AA$54,$AE344,1)/$AG344,4))</f>
        <v>1.7172000000000001</v>
      </c>
      <c r="J344" s="9">
        <f>IF($H344&lt;&gt;"OK","",ROUND($G344*使い方と設定!$B$7*$AK344*INDEX(個性タイプマスタ!$Q$5:$AA$54,$AE344,2)/$AG344,4))</f>
        <v>1.431</v>
      </c>
      <c r="K344" s="9">
        <f>IF($H344&lt;&gt;"OK","",ROUND($G344*使い方と設定!$B$7*$AK344*INDEX(個性タイプマスタ!$Q$5:$AA$54,$AE344,3)/$AG344,4))</f>
        <v>0.32519999999999999</v>
      </c>
      <c r="L344" s="9">
        <f>IF($H344&lt;&gt;"OK","",ROUND($G344*使い方と設定!$B$7*$AK344*INDEX(個性タイプマスタ!$Q$5:$AA$54,$AE344,4)/$AG344,4))</f>
        <v>3.2523</v>
      </c>
      <c r="M344" s="9">
        <f>IF($H344&lt;&gt;"OK","",ROUND($G344*使い方と設定!$B$7*$AK344*INDEX(個性タイプマスタ!$Q$5:$AA$54,$AE344,5)/$AG344,4))</f>
        <v>1.4375</v>
      </c>
      <c r="N344" s="9">
        <f>IF($H344&lt;&gt;"OK","",ROUND($G344*使い方と設定!$B$7*$AK344*INDEX(個性タイプマスタ!$Q$5:$AA$54,$AE344,6)/$AG344,4))</f>
        <v>0.93989999999999996</v>
      </c>
      <c r="O344" s="9">
        <f>IF($H344&lt;&gt;"OK","",ROUND($G344*使い方と設定!$B$7*$AK344*INDEX(個性タイプマスタ!$Q$5:$AA$54,$AE344,7)/$AG344,4))</f>
        <v>1.1448</v>
      </c>
      <c r="P344" s="9">
        <f>IF($H344&lt;&gt;"OK","",ROUND($G344*使い方と設定!$B$7*$AK344*INDEX(個性タイプマスタ!$Q$5:$AA$54,$AE344,8)/$AG344,4))</f>
        <v>0.90200000000000002</v>
      </c>
      <c r="Q344" s="9">
        <f>IF($H344&lt;&gt;"OK","",ROUND($G344*使い方と設定!$B$7*$AK344*INDEX(個性タイプマスタ!$Q$5:$AA$54,$AE344,9)/$AG344,4))</f>
        <v>0.8014</v>
      </c>
      <c r="R344" s="9">
        <f>IF($H344&lt;&gt;"OK","",ROUND($G344*使い方と設定!$B$7*$AK344*INDEX(個性タイプマスタ!$Q$5:$AA$54,$AE344,10)/$AG344,4))</f>
        <v>1.3008999999999999</v>
      </c>
      <c r="S344" s="9">
        <f>IF($H344&lt;&gt;"OK","",ROUND($G344*使い方と設定!$B$7*$AK344*INDEX(個性タイプマスタ!$Q$5:$AA$54,$AE344,11)/$AG344,4))</f>
        <v>0.91059999999999997</v>
      </c>
      <c r="T344" s="9">
        <f>IF($H344&lt;&gt;"OK","",ROUND($G344*使い方と設定!$B$8*$AK344*$AH344*INDEX(属性耐性マスタ!$B$5:$G$10,$AF344,1),4))</f>
        <v>0.1201</v>
      </c>
      <c r="U344" s="9">
        <f>IF($H344&lt;&gt;"OK","",ROUND($G344*使い方と設定!$B$8*$AK344*$AH344*INDEX(属性耐性マスタ!$B$5:$G$10,$AF344,2),4))</f>
        <v>0.60050000000000003</v>
      </c>
      <c r="V344" s="9">
        <f>IF($H344&lt;&gt;"OK","",ROUND($G344*使い方と設定!$B$8*$AK344*$AH344*INDEX(属性耐性マスタ!$B$5:$G$10,$AF344,3),4))</f>
        <v>0.04</v>
      </c>
      <c r="W344" s="9">
        <f>IF($H344&lt;&gt;"OK","",ROUND($G344*使い方と設定!$B$8*$AK344*$AH344*INDEX(属性耐性マスタ!$B$5:$G$10,$AF344,4),4))</f>
        <v>0.04</v>
      </c>
      <c r="X344" s="9">
        <f>IF($H344&lt;&gt;"OK","",ROUND($G344*使い方と設定!$B$8*$AK344*$AH344*INDEX(属性耐性マスタ!$B$5:$G$10,$AF344,5),4))</f>
        <v>0.03</v>
      </c>
      <c r="Y344" s="9">
        <f>IF($H344&lt;&gt;"OK","",ROUND($G344*使い方と設定!$B$8*$AK344*$AH344*INDEX(属性耐性マスタ!$B$5:$G$10,$AF344,6),4))</f>
        <v>0.03</v>
      </c>
      <c r="Z344" s="9">
        <f>IF($H344&lt;&gt;"OK","",ROUND($G344*使い方と設定!$B$9*$AK344*$AI344,4))</f>
        <v>5.0355999999999996</v>
      </c>
      <c r="AA344" s="10">
        <v>0.5</v>
      </c>
      <c r="AB344" s="11">
        <f t="shared" si="16"/>
        <v>14.162800000000001</v>
      </c>
      <c r="AC344" s="11">
        <f t="shared" si="17"/>
        <v>0.86060000000000003</v>
      </c>
      <c r="AD344" s="7" t="str">
        <f>IF($H344&lt;&gt;"OK","",INDEX(個性タイプマスタ!$P$5:$P$54,$AE344))</f>
        <v>終盤魔法の特別配分</v>
      </c>
      <c r="AE344">
        <f>IFERROR(MATCH(E344,個性タイプマスタ!$A$5:$A$54,0),0)</f>
        <v>8</v>
      </c>
      <c r="AF344">
        <f>IFERROR(MATCH(F344,属性耐性マスタ!$A$5:$A$10,0),0)</f>
        <v>2</v>
      </c>
      <c r="AG344">
        <f>IF(AE344=0,1,INDEX(個性タイプマスタ!$AB$5:$AB$54,AE344))</f>
        <v>10.886833333333332</v>
      </c>
      <c r="AH344">
        <f>IF(AE344=0,1,INDEX(個性タイプマスタ!$AC$5:$AC$54,AE344))</f>
        <v>1.06</v>
      </c>
      <c r="AI344">
        <f>IF(AE344=0,0,INDEX(個性タイプマスタ!$AD$5:$AD$54,AE344))</f>
        <v>1.0666666666666667</v>
      </c>
      <c r="AJ344" s="16">
        <v>57</v>
      </c>
      <c r="AK344" s="17">
        <f>IF(OR(AJ344="",AJ344&lt;1),"",POWER(使い方と設定!$E$6,AJ344-1))</f>
        <v>8.9922215964747565</v>
      </c>
    </row>
    <row r="345" spans="1:37">
      <c r="A345" t="str">
        <f>+[2]称号!A340</f>
        <v>TITLE_339</v>
      </c>
      <c r="B345" t="str">
        <f>+[2]称号!B340</f>
        <v>骸翼を越えし者</v>
      </c>
      <c r="C345" t="s">
        <v>813</v>
      </c>
      <c r="D345" t="s">
        <v>814</v>
      </c>
      <c r="E345" s="2" t="str">
        <f>[1]モンスター計算!AM343</f>
        <v>魔法・超軽量</v>
      </c>
      <c r="F345" s="2" t="str">
        <f>[1]モンスター計算!C343</f>
        <v>光</v>
      </c>
      <c r="G345" s="8">
        <v>1.1000000000000001</v>
      </c>
      <c r="H345" t="str">
        <f t="shared" si="15"/>
        <v>OK</v>
      </c>
      <c r="I345" s="9">
        <f>IF($H345&lt;&gt;"OK","",ROUND($G345*使い方と設定!$B$7*$AK345*INDEX(個性タイプマスタ!$Q$5:$AA$54,$AE345,1)/$AG345,4))</f>
        <v>0.97660000000000002</v>
      </c>
      <c r="J345" s="9">
        <f>IF($H345&lt;&gt;"OK","",ROUND($G345*使い方と設定!$B$7*$AK345*INDEX(個性タイプマスタ!$Q$5:$AA$54,$AE345,2)/$AG345,4))</f>
        <v>1.3132999999999999</v>
      </c>
      <c r="K345" s="9">
        <f>IF($H345&lt;&gt;"OK","",ROUND($G345*使い方と設定!$B$7*$AK345*INDEX(個性タイプマスタ!$Q$5:$AA$54,$AE345,3)/$AG345,4))</f>
        <v>0.1913</v>
      </c>
      <c r="L345" s="9">
        <f>IF($H345&lt;&gt;"OK","",ROUND($G345*使い方と設定!$B$7*$AK345*INDEX(個性タイプマスタ!$Q$5:$AA$54,$AE345,4)/$AG345,4))</f>
        <v>3.8267000000000002</v>
      </c>
      <c r="M345" s="9">
        <f>IF($H345&lt;&gt;"OK","",ROUND($G345*使い方と設定!$B$7*$AK345*INDEX(個性タイプマスタ!$Q$5:$AA$54,$AE345,5)/$AG345,4))</f>
        <v>0.8327</v>
      </c>
      <c r="N345" s="9">
        <f>IF($H345&lt;&gt;"OK","",ROUND($G345*使い方と設定!$B$7*$AK345*INDEX(個性タイプマスタ!$Q$5:$AA$54,$AE345,6)/$AG345,4))</f>
        <v>0.84570000000000001</v>
      </c>
      <c r="O345" s="9">
        <f>IF($H345&lt;&gt;"OK","",ROUND($G345*使い方と設定!$B$7*$AK345*INDEX(個性タイプマスタ!$Q$5:$AA$54,$AE345,7)/$AG345,4))</f>
        <v>1.347</v>
      </c>
      <c r="P345" s="9">
        <f>IF($H345&lt;&gt;"OK","",ROUND($G345*使い方と設定!$B$7*$AK345*INDEX(個性タイプマスタ!$Q$5:$AA$54,$AE345,8)/$AG345,4))</f>
        <v>1.0281</v>
      </c>
      <c r="Q345" s="9">
        <f>IF($H345&lt;&gt;"OK","",ROUND($G345*使い方と設定!$B$7*$AK345*INDEX(個性タイプマスタ!$Q$5:$AA$54,$AE345,9)/$AG345,4))</f>
        <v>1.4144000000000001</v>
      </c>
      <c r="R345" s="9">
        <f>IF($H345&lt;&gt;"OK","",ROUND($G345*使い方と設定!$B$7*$AK345*INDEX(個性タイプマスタ!$Q$5:$AA$54,$AE345,10)/$AG345,4))</f>
        <v>1.9899</v>
      </c>
      <c r="S345" s="9">
        <f>IF($H345&lt;&gt;"OK","",ROUND($G345*使い方と設定!$B$7*$AK345*INDEX(個性タイプマスタ!$Q$5:$AA$54,$AE345,11)/$AG345,4))</f>
        <v>1.0714999999999999</v>
      </c>
      <c r="T345" s="9">
        <f>IF($H345&lt;&gt;"OK","",ROUND($G345*使い方と設定!$B$8*$AK345*$AH345*INDEX(属性耐性マスタ!$B$5:$G$10,$AF345,1),4))</f>
        <v>1.9E-2</v>
      </c>
      <c r="U345" s="9">
        <f>IF($H345&lt;&gt;"OK","",ROUND($G345*使い方と設定!$B$8*$AK345*$AH345*INDEX(属性耐性マスタ!$B$5:$G$10,$AF345,2),4))</f>
        <v>1.9E-2</v>
      </c>
      <c r="V345" s="9">
        <f>IF($H345&lt;&gt;"OK","",ROUND($G345*使い方と設定!$B$8*$AK345*$AH345*INDEX(属性耐性マスタ!$B$5:$G$10,$AF345,3),4))</f>
        <v>1.9E-2</v>
      </c>
      <c r="W345" s="9">
        <f>IF($H345&lt;&gt;"OK","",ROUND($G345*使い方と設定!$B$8*$AK345*$AH345*INDEX(属性耐性マスタ!$B$5:$G$10,$AF345,4),4))</f>
        <v>1.9E-2</v>
      </c>
      <c r="X345" s="9">
        <f>IF($H345&lt;&gt;"OK","",ROUND($G345*使い方と設定!$B$8*$AK345*$AH345*INDEX(属性耐性マスタ!$B$5:$G$10,$AF345,5),4))</f>
        <v>0.37980000000000003</v>
      </c>
      <c r="Y345" s="9">
        <f>IF($H345&lt;&gt;"OK","",ROUND($G345*使い方と設定!$B$8*$AK345*$AH345*INDEX(属性耐性マスタ!$B$5:$G$10,$AF345,6),4))</f>
        <v>5.0599999999999999E-2</v>
      </c>
      <c r="Z345" s="9">
        <f>IF($H345&lt;&gt;"OK","",ROUND($G345*使い方と設定!$B$9*$AK345*$AI345,4))</f>
        <v>6.4294000000000002</v>
      </c>
      <c r="AA345" s="10">
        <v>0.25</v>
      </c>
      <c r="AB345" s="11">
        <f t="shared" si="16"/>
        <v>14.837199999999999</v>
      </c>
      <c r="AC345" s="11">
        <f t="shared" si="17"/>
        <v>0.50639999999999996</v>
      </c>
      <c r="AD345" s="7" t="str">
        <f>IF($H345&lt;&gt;"OK","",INDEX(個性タイプマスタ!$P$5:$P$54,$AE345))</f>
        <v>超高速移動・極低耐久</v>
      </c>
      <c r="AE345">
        <f>IFERROR(MATCH(E345,個性タイプマスタ!$A$5:$A$54,0),0)</f>
        <v>18</v>
      </c>
      <c r="AF345">
        <f>IFERROR(MATCH(F345,属性耐性マスタ!$A$5:$A$10,0),0)</f>
        <v>5</v>
      </c>
      <c r="AG345">
        <f>IF(AE345=0,1,INDEX(個性タイプマスタ!$AB$5:$AB$54,AE345))</f>
        <v>9.6931666666666683</v>
      </c>
      <c r="AH345">
        <f>IF(AE345=0,1,INDEX(個性タイプマスタ!$AC$5:$AC$54,AE345))</f>
        <v>0.64</v>
      </c>
      <c r="AI345">
        <f>IF(AE345=0,0,INDEX(個性タイプマスタ!$AD$5:$AD$54,AE345))</f>
        <v>1.3</v>
      </c>
      <c r="AJ345" s="16">
        <v>57</v>
      </c>
      <c r="AK345" s="17">
        <f>IF(OR(AJ345="",AJ345&lt;1),"",POWER(使い方と設定!$E$6,AJ345-1))</f>
        <v>8.9922215964747565</v>
      </c>
    </row>
    <row r="346" spans="1:37">
      <c r="A346" t="str">
        <f>+[2]称号!A341</f>
        <v>TITLE_340</v>
      </c>
      <c r="B346" t="str">
        <f>+[2]称号!B341</f>
        <v>晶殻を穿つ者</v>
      </c>
      <c r="C346" t="s">
        <v>815</v>
      </c>
      <c r="D346" t="s">
        <v>816</v>
      </c>
      <c r="E346" s="2" t="str">
        <f>[1]モンスター計算!AM344</f>
        <v>近接・強襲</v>
      </c>
      <c r="F346" s="2" t="str">
        <f>[1]モンスター計算!C344</f>
        <v>水</v>
      </c>
      <c r="G346" s="8">
        <v>1.1499999999999999</v>
      </c>
      <c r="H346" t="str">
        <f t="shared" si="15"/>
        <v>OK</v>
      </c>
      <c r="I346" s="9">
        <f>IF($H346&lt;&gt;"OK","",ROUND($G346*使い方と設定!$B$7*$AK346*INDEX(個性タイプマスタ!$Q$5:$AA$54,$AE346,1)/$AG346,4))</f>
        <v>1.3042</v>
      </c>
      <c r="J346" s="9">
        <f>IF($H346&lt;&gt;"OK","",ROUND($G346*使い方と設定!$B$7*$AK346*INDEX(個性タイプマスタ!$Q$5:$AA$54,$AE346,2)/$AG346,4))</f>
        <v>0.7016</v>
      </c>
      <c r="K346" s="9">
        <f>IF($H346&lt;&gt;"OK","",ROUND($G346*使い方と設定!$B$7*$AK346*INDEX(個性タイプマスタ!$Q$5:$AA$54,$AE346,3)/$AG346,4))</f>
        <v>3.7521</v>
      </c>
      <c r="L346" s="9">
        <f>IF($H346&lt;&gt;"OK","",ROUND($G346*使い方と設定!$B$7*$AK346*INDEX(個性タイプマスタ!$Q$5:$AA$54,$AE346,4)/$AG346,4))</f>
        <v>0.2626</v>
      </c>
      <c r="M346" s="9">
        <f>IF($H346&lt;&gt;"OK","",ROUND($G346*使い方と設定!$B$7*$AK346*INDEX(個性タイプマスタ!$Q$5:$AA$54,$AE346,5)/$AG346,4))</f>
        <v>1.0078</v>
      </c>
      <c r="N346" s="9">
        <f>IF($H346&lt;&gt;"OK","",ROUND($G346*使い方と設定!$B$7*$AK346*INDEX(個性タイプマスタ!$Q$5:$AA$54,$AE346,6)/$AG346,4))</f>
        <v>0.93130000000000002</v>
      </c>
      <c r="O346" s="9">
        <f>IF($H346&lt;&gt;"OK","",ROUND($G346*使い方と設定!$B$7*$AK346*INDEX(個性タイプマスタ!$Q$5:$AA$54,$AE346,7)/$AG346,4))</f>
        <v>1.6509</v>
      </c>
      <c r="P346" s="9">
        <f>IF($H346&lt;&gt;"OK","",ROUND($G346*使い方と設定!$B$7*$AK346*INDEX(個性タイプマスタ!$Q$5:$AA$54,$AE346,8)/$AG346,4))</f>
        <v>1.2032</v>
      </c>
      <c r="Q346" s="9">
        <f>IF($H346&lt;&gt;"OK","",ROUND($G346*使い方と設定!$B$7*$AK346*INDEX(個性タイプマスタ!$Q$5:$AA$54,$AE346,9)/$AG346,4))</f>
        <v>1.3208</v>
      </c>
      <c r="R346" s="9">
        <f>IF($H346&lt;&gt;"OK","",ROUND($G346*使い方と設定!$B$7*$AK346*INDEX(個性タイプマスタ!$Q$5:$AA$54,$AE346,10)/$AG346,4))</f>
        <v>2.1162000000000001</v>
      </c>
      <c r="S346" s="9">
        <f>IF($H346&lt;&gt;"OK","",ROUND($G346*使い方と設定!$B$7*$AK346*INDEX(個性タイプマスタ!$Q$5:$AA$54,$AE346,11)/$AG346,4))</f>
        <v>1.2606999999999999</v>
      </c>
      <c r="T346" s="9">
        <f>IF($H346&lt;&gt;"OK","",ROUND($G346*使い方と設定!$B$8*$AK346*$AH346*INDEX(属性耐性マスタ!$B$5:$G$10,$AF346,1),4))</f>
        <v>9.6799999999999997E-2</v>
      </c>
      <c r="U346" s="9">
        <f>IF($H346&lt;&gt;"OK","",ROUND($G346*使い方と設定!$B$8*$AK346*$AH346*INDEX(属性耐性マスタ!$B$5:$G$10,$AF346,2),4))</f>
        <v>0.48399999999999999</v>
      </c>
      <c r="V346" s="9">
        <f>IF($H346&lt;&gt;"OK","",ROUND($G346*使い方と設定!$B$8*$AK346*$AH346*INDEX(属性耐性マスタ!$B$5:$G$10,$AF346,3),4))</f>
        <v>3.2300000000000002E-2</v>
      </c>
      <c r="W346" s="9">
        <f>IF($H346&lt;&gt;"OK","",ROUND($G346*使い方と設定!$B$8*$AK346*$AH346*INDEX(属性耐性マスタ!$B$5:$G$10,$AF346,4),4))</f>
        <v>3.2300000000000002E-2</v>
      </c>
      <c r="X346" s="9">
        <f>IF($H346&lt;&gt;"OK","",ROUND($G346*使い方と設定!$B$8*$AK346*$AH346*INDEX(属性耐性マスタ!$B$5:$G$10,$AF346,5),4))</f>
        <v>2.4199999999999999E-2</v>
      </c>
      <c r="Y346" s="9">
        <f>IF($H346&lt;&gt;"OK","",ROUND($G346*使い方と設定!$B$8*$AK346*$AH346*INDEX(属性耐性マスタ!$B$5:$G$10,$AF346,6),4))</f>
        <v>2.4199999999999999E-2</v>
      </c>
      <c r="Z346" s="9">
        <f>IF($H346&lt;&gt;"OK","",ROUND($G346*使い方と設定!$B$9*$AK346*$AI346,4))</f>
        <v>6.5492999999999997</v>
      </c>
      <c r="AA346" s="10">
        <v>1</v>
      </c>
      <c r="AB346" s="11">
        <f t="shared" si="16"/>
        <v>15.5114</v>
      </c>
      <c r="AC346" s="11">
        <f t="shared" si="17"/>
        <v>0.69379999999999997</v>
      </c>
      <c r="AD346" s="7" t="str">
        <f>IF($H346&lt;&gt;"OK","",INDEX(個性タイプマスタ!$P$5:$P$54,$AE346))</f>
        <v>速い接近・間合い広めの強襲型</v>
      </c>
      <c r="AE346">
        <f>IFERROR(MATCH(E346,個性タイプマスタ!$A$5:$A$54,0),0)</f>
        <v>44</v>
      </c>
      <c r="AF346">
        <f>IFERROR(MATCH(F346,属性耐性マスタ!$A$5:$A$10,0),0)</f>
        <v>2</v>
      </c>
      <c r="AG346">
        <f>IF(AE346=0,1,INDEX(個性タイプマスタ!$AB$5:$AB$54,AE346))</f>
        <v>10.335166666666666</v>
      </c>
      <c r="AH346">
        <f>IF(AE346=0,1,INDEX(個性タイプマスタ!$AC$5:$AC$54,AE346))</f>
        <v>0.78</v>
      </c>
      <c r="AI346">
        <f>IF(AE346=0,0,INDEX(個性タイプマスタ!$AD$5:$AD$54,AE346))</f>
        <v>1.2666666666666666</v>
      </c>
      <c r="AJ346" s="16">
        <v>57</v>
      </c>
      <c r="AK346" s="17">
        <f>IF(OR(AJ346="",AJ346&lt;1),"",POWER(使い方と設定!$E$6,AJ346-1))</f>
        <v>8.9922215964747565</v>
      </c>
    </row>
    <row r="347" spans="1:37">
      <c r="A347" t="str">
        <f>+[2]称号!A342</f>
        <v>TITLE_341</v>
      </c>
      <c r="B347" t="str">
        <f>+[2]称号!B342</f>
        <v>古晶巨躯を砕きし者</v>
      </c>
      <c r="C347" t="s">
        <v>817</v>
      </c>
      <c r="D347" t="s">
        <v>818</v>
      </c>
      <c r="E347" s="2" t="str">
        <f>[1]モンスター計算!AM345</f>
        <v>近接・耐久</v>
      </c>
      <c r="F347" s="2" t="str">
        <f>[1]モンスター計算!C345</f>
        <v>火</v>
      </c>
      <c r="G347" s="8">
        <v>1.2</v>
      </c>
      <c r="H347" t="str">
        <f t="shared" si="15"/>
        <v>OK</v>
      </c>
      <c r="I347" s="9">
        <f>IF($H347&lt;&gt;"OK","",ROUND($G347*使い方と設定!$B$7*$AK347*INDEX(個性タイプマスタ!$Q$5:$AA$54,$AE347,1)/$AG347,4))</f>
        <v>2.1124000000000001</v>
      </c>
      <c r="J347" s="9">
        <f>IF($H347&lt;&gt;"OK","",ROUND($G347*使い方と設定!$B$7*$AK347*INDEX(個性タイプマスタ!$Q$5:$AA$54,$AE347,2)/$AG347,4))</f>
        <v>0.74809999999999999</v>
      </c>
      <c r="K347" s="9">
        <f>IF($H347&lt;&gt;"OK","",ROUND($G347*使い方と設定!$B$7*$AK347*INDEX(個性タイプマスタ!$Q$5:$AA$54,$AE347,3)/$AG347,4))</f>
        <v>4.0007999999999999</v>
      </c>
      <c r="L347" s="9">
        <f>IF($H347&lt;&gt;"OK","",ROUND($G347*使い方と設定!$B$7*$AK347*INDEX(個性タイプマスタ!$Q$5:$AA$54,$AE347,4)/$AG347,4))</f>
        <v>0.40010000000000001</v>
      </c>
      <c r="M347" s="9">
        <f>IF($H347&lt;&gt;"OK","",ROUND($G347*使い方と設定!$B$7*$AK347*INDEX(個性タイプマスタ!$Q$5:$AA$54,$AE347,5)/$AG347,4))</f>
        <v>1.7683</v>
      </c>
      <c r="N347" s="9">
        <f>IF($H347&lt;&gt;"OK","",ROUND($G347*使い方と設定!$B$7*$AK347*INDEX(個性タイプマスタ!$Q$5:$AA$54,$AE347,6)/$AG347,4))</f>
        <v>1.1561999999999999</v>
      </c>
      <c r="O347" s="9">
        <f>IF($H347&lt;&gt;"OK","",ROUND($G347*使い方と設定!$B$7*$AK347*INDEX(個性タイプマスタ!$Q$5:$AA$54,$AE347,7)/$AG347,4))</f>
        <v>1.4083000000000001</v>
      </c>
      <c r="P347" s="9">
        <f>IF($H347&lt;&gt;"OK","",ROUND($G347*使い方と設定!$B$7*$AK347*INDEX(個性タイプマスタ!$Q$5:$AA$54,$AE347,8)/$AG347,4))</f>
        <v>1.1094999999999999</v>
      </c>
      <c r="Q347" s="9">
        <f>IF($H347&lt;&gt;"OK","",ROUND($G347*使い方と設定!$B$7*$AK347*INDEX(個性タイプマスタ!$Q$5:$AA$54,$AE347,9)/$AG347,4))</f>
        <v>0.98580000000000001</v>
      </c>
      <c r="R347" s="9">
        <f>IF($H347&lt;&gt;"OK","",ROUND($G347*使い方と設定!$B$7*$AK347*INDEX(個性タイプマスタ!$Q$5:$AA$54,$AE347,10)/$AG347,4))</f>
        <v>1.6003000000000001</v>
      </c>
      <c r="S347" s="9">
        <f>IF($H347&lt;&gt;"OK","",ROUND($G347*使い方と設定!$B$7*$AK347*INDEX(個性タイプマスタ!$Q$5:$AA$54,$AE347,11)/$AG347,4))</f>
        <v>0.8962</v>
      </c>
      <c r="T347" s="9">
        <f>IF($H347&lt;&gt;"OK","",ROUND($G347*使い方と設定!$B$8*$AK347*$AH347*INDEX(属性耐性マスタ!$B$5:$G$10,$AF347,1),4))</f>
        <v>0.73809999999999998</v>
      </c>
      <c r="U347" s="9">
        <f>IF($H347&lt;&gt;"OK","",ROUND($G347*使い方と設定!$B$8*$AK347*$AH347*INDEX(属性耐性マスタ!$B$5:$G$10,$AF347,2),4))</f>
        <v>0.14760000000000001</v>
      </c>
      <c r="V347" s="9">
        <f>IF($H347&lt;&gt;"OK","",ROUND($G347*使い方と設定!$B$8*$AK347*$AH347*INDEX(属性耐性マスタ!$B$5:$G$10,$AF347,3),4))</f>
        <v>4.9200000000000001E-2</v>
      </c>
      <c r="W347" s="9">
        <f>IF($H347&lt;&gt;"OK","",ROUND($G347*使い方と設定!$B$8*$AK347*$AH347*INDEX(属性耐性マスタ!$B$5:$G$10,$AF347,4),4))</f>
        <v>4.9200000000000001E-2</v>
      </c>
      <c r="X347" s="9">
        <f>IF($H347&lt;&gt;"OK","",ROUND($G347*使い方と設定!$B$8*$AK347*$AH347*INDEX(属性耐性マスタ!$B$5:$G$10,$AF347,5),4))</f>
        <v>3.6900000000000002E-2</v>
      </c>
      <c r="Y347" s="9">
        <f>IF($H347&lt;&gt;"OK","",ROUND($G347*使い方と設定!$B$8*$AK347*$AH347*INDEX(属性耐性マスタ!$B$5:$G$10,$AF347,6),4))</f>
        <v>3.6900000000000002E-2</v>
      </c>
      <c r="Z347" s="9">
        <f>IF($H347&lt;&gt;"OK","",ROUND($G347*使い方と設定!$B$9*$AK347*$AI347,4))</f>
        <v>5.7549999999999999</v>
      </c>
      <c r="AA347" s="10">
        <v>1</v>
      </c>
      <c r="AB347" s="11">
        <f t="shared" si="16"/>
        <v>16.186</v>
      </c>
      <c r="AC347" s="11">
        <f t="shared" si="17"/>
        <v>1.0579000000000001</v>
      </c>
      <c r="AD347" s="7" t="str">
        <f>IF($H347&lt;&gt;"OK","",INDEX(個性タイプマスタ!$P$5:$P$54,$AE347))</f>
        <v>HP・物防寄りの近接型</v>
      </c>
      <c r="AE347">
        <f>IFERROR(MATCH(E347,個性タイプマスタ!$A$5:$A$54,0),0)</f>
        <v>4</v>
      </c>
      <c r="AF347">
        <f>IFERROR(MATCH(F347,属性耐性マスタ!$A$5:$A$10,0),0)</f>
        <v>1</v>
      </c>
      <c r="AG347">
        <f>IF(AE347=0,1,INDEX(個性タイプマスタ!$AB$5:$AB$54,AE347))</f>
        <v>10.114333333333335</v>
      </c>
      <c r="AH347">
        <f>IF(AE347=0,1,INDEX(個性タイプマスタ!$AC$5:$AC$54,AE347))</f>
        <v>1.1400000000000001</v>
      </c>
      <c r="AI347">
        <f>IF(AE347=0,0,INDEX(個性タイプマスタ!$AD$5:$AD$54,AE347))</f>
        <v>1.0666666666666667</v>
      </c>
      <c r="AJ347" s="16">
        <v>57</v>
      </c>
      <c r="AK347" s="17">
        <f>IF(OR(AJ347="",AJ347&lt;1),"",POWER(使い方と設定!$E$6,AJ347-1))</f>
        <v>8.9922215964747565</v>
      </c>
    </row>
    <row r="348" spans="1:37">
      <c r="A348" t="str">
        <f>+[2]称号!A343</f>
        <v>TITLE_342</v>
      </c>
      <c r="B348" t="str">
        <f>+[2]称号!B343</f>
        <v>燐晶の祝福を受けし者</v>
      </c>
      <c r="C348" t="s">
        <v>819</v>
      </c>
      <c r="D348" t="s">
        <v>820</v>
      </c>
      <c r="E348" s="2" t="str">
        <f>[1]モンスター計算!AM346</f>
        <v>魔法・万能</v>
      </c>
      <c r="F348" s="2" t="str">
        <f>[1]モンスター計算!C346</f>
        <v>風</v>
      </c>
      <c r="G348" s="8">
        <v>1.25</v>
      </c>
      <c r="H348" t="str">
        <f t="shared" si="15"/>
        <v>OK</v>
      </c>
      <c r="I348" s="9">
        <f>IF($H348&lt;&gt;"OK","",ROUND($G348*使い方と設定!$B$7*$AK348*INDEX(個性タイプマスタ!$Q$5:$AA$54,$AE348,1)/$AG348,4))</f>
        <v>1.9148000000000001</v>
      </c>
      <c r="J348" s="9">
        <f>IF($H348&lt;&gt;"OK","",ROUND($G348*使い方と設定!$B$7*$AK348*INDEX(個性タイプマスタ!$Q$5:$AA$54,$AE348,2)/$AG348,4))</f>
        <v>1.8277000000000001</v>
      </c>
      <c r="K348" s="9">
        <f>IF($H348&lt;&gt;"OK","",ROUND($G348*使い方と設定!$B$7*$AK348*INDEX(個性タイプマスタ!$Q$5:$AA$54,$AE348,3)/$AG348,4))</f>
        <v>0.39560000000000001</v>
      </c>
      <c r="L348" s="9">
        <f>IF($H348&lt;&gt;"OK","",ROUND($G348*使い方と設定!$B$7*$AK348*INDEX(個性タイプマスタ!$Q$5:$AA$54,$AE348,4)/$AG348,4))</f>
        <v>3.9561000000000002</v>
      </c>
      <c r="M348" s="9">
        <f>IF($H348&lt;&gt;"OK","",ROUND($G348*使い方と設定!$B$7*$AK348*INDEX(個性タイプマスタ!$Q$5:$AA$54,$AE348,5)/$AG348,4))</f>
        <v>1.4796</v>
      </c>
      <c r="N348" s="9">
        <f>IF($H348&lt;&gt;"OK","",ROUND($G348*使い方と設定!$B$7*$AK348*INDEX(個性タイプマスタ!$Q$5:$AA$54,$AE348,6)/$AG348,4))</f>
        <v>1.4796</v>
      </c>
      <c r="O348" s="9">
        <f>IF($H348&lt;&gt;"OK","",ROUND($G348*使い方と設定!$B$7*$AK348*INDEX(個性タイプマスタ!$Q$5:$AA$54,$AE348,7)/$AG348,4))</f>
        <v>1.2184999999999999</v>
      </c>
      <c r="P348" s="9">
        <f>IF($H348&lt;&gt;"OK","",ROUND($G348*使い方と設定!$B$7*$AK348*INDEX(個性タイプマスタ!$Q$5:$AA$54,$AE348,8)/$AG348,4))</f>
        <v>1.0629</v>
      </c>
      <c r="Q348" s="9">
        <f>IF($H348&lt;&gt;"OK","",ROUND($G348*使い方と設定!$B$7*$AK348*INDEX(個性タイプマスタ!$Q$5:$AA$54,$AE348,9)/$AG348,4))</f>
        <v>0.83550000000000002</v>
      </c>
      <c r="R348" s="9">
        <f>IF($H348&lt;&gt;"OK","",ROUND($G348*使い方と設定!$B$7*$AK348*INDEX(個性タイプマスタ!$Q$5:$AA$54,$AE348,10)/$AG348,4))</f>
        <v>1.5824</v>
      </c>
      <c r="S348" s="9">
        <f>IF($H348&lt;&gt;"OK","",ROUND($G348*使い方と設定!$B$7*$AK348*INDEX(個性タイプマスタ!$Q$5:$AA$54,$AE348,11)/$AG348,4))</f>
        <v>1.1076999999999999</v>
      </c>
      <c r="T348" s="9">
        <f>IF($H348&lt;&gt;"OK","",ROUND($G348*使い方と設定!$B$8*$AK348*$AH348*INDEX(属性耐性マスタ!$B$5:$G$10,$AF348,1),4))</f>
        <v>4.8599999999999997E-2</v>
      </c>
      <c r="U348" s="9">
        <f>IF($H348&lt;&gt;"OK","",ROUND($G348*使い方と設定!$B$8*$AK348*$AH348*INDEX(属性耐性マスタ!$B$5:$G$10,$AF348,2),4))</f>
        <v>4.8599999999999997E-2</v>
      </c>
      <c r="V348" s="9">
        <f>IF($H348&lt;&gt;"OK","",ROUND($G348*使い方と設定!$B$8*$AK348*$AH348*INDEX(属性耐性マスタ!$B$5:$G$10,$AF348,3),4))</f>
        <v>0.72840000000000005</v>
      </c>
      <c r="W348" s="9">
        <f>IF($H348&lt;&gt;"OK","",ROUND($G348*使い方と設定!$B$8*$AK348*$AH348*INDEX(属性耐性マスタ!$B$5:$G$10,$AF348,4),4))</f>
        <v>0.18210000000000001</v>
      </c>
      <c r="X348" s="9">
        <f>IF($H348&lt;&gt;"OK","",ROUND($G348*使い方と設定!$B$8*$AK348*$AH348*INDEX(属性耐性マスタ!$B$5:$G$10,$AF348,5),4))</f>
        <v>3.6400000000000002E-2</v>
      </c>
      <c r="Y348" s="9">
        <f>IF($H348&lt;&gt;"OK","",ROUND($G348*使い方と設定!$B$8*$AK348*$AH348*INDEX(属性耐性マスタ!$B$5:$G$10,$AF348,6),4))</f>
        <v>3.6400000000000002E-2</v>
      </c>
      <c r="Z348" s="9">
        <f>IF($H348&lt;&gt;"OK","",ROUND($G348*使い方と設定!$B$9*$AK348*$AI348,4))</f>
        <v>5.6200999999999999</v>
      </c>
      <c r="AA348" s="10">
        <v>0.9</v>
      </c>
      <c r="AB348" s="11">
        <f t="shared" si="16"/>
        <v>16.860399999999998</v>
      </c>
      <c r="AC348" s="11">
        <f t="shared" si="17"/>
        <v>1.0805</v>
      </c>
      <c r="AD348" s="7" t="str">
        <f>IF($H348&lt;&gt;"OK","",INDEX(個性タイプマスタ!$P$5:$P$54,$AE348))</f>
        <v>バランス重視</v>
      </c>
      <c r="AE348">
        <f>IFERROR(MATCH(E348,個性タイプマスタ!$A$5:$A$54,0),0)</f>
        <v>14</v>
      </c>
      <c r="AF348">
        <f>IFERROR(MATCH(F348,属性耐性マスタ!$A$5:$A$10,0),0)</f>
        <v>3</v>
      </c>
      <c r="AG348">
        <f>IF(AE348=0,1,INDEX(個性タイプマスタ!$AB$5:$AB$54,AE348))</f>
        <v>10.654666666666667</v>
      </c>
      <c r="AH348">
        <f>IF(AE348=0,1,INDEX(個性タイプマスタ!$AC$5:$AC$54,AE348))</f>
        <v>1.08</v>
      </c>
      <c r="AI348">
        <f>IF(AE348=0,0,INDEX(個性タイプマスタ!$AD$5:$AD$54,AE348))</f>
        <v>1</v>
      </c>
      <c r="AJ348" s="16">
        <v>57</v>
      </c>
      <c r="AK348" s="17">
        <f>IF(OR(AJ348="",AJ348&lt;1),"",POWER(使い方と設定!$E$6,AJ348-1))</f>
        <v>8.9922215964747565</v>
      </c>
    </row>
    <row r="349" spans="1:37">
      <c r="A349" t="str">
        <f>+[2]称号!A344</f>
        <v>TITLE_343</v>
      </c>
      <c r="B349" t="str">
        <f>+[2]称号!B344</f>
        <v>幽海を漂う者</v>
      </c>
      <c r="C349" t="s">
        <v>821</v>
      </c>
      <c r="D349" t="s">
        <v>822</v>
      </c>
      <c r="E349" s="2" t="str">
        <f>[1]モンスター計算!AM347</f>
        <v>魔法・守護</v>
      </c>
      <c r="F349" s="2" t="str">
        <f>[1]モンスター計算!C347</f>
        <v>火</v>
      </c>
      <c r="G349" s="8">
        <v>1</v>
      </c>
      <c r="H349" t="str">
        <f t="shared" si="15"/>
        <v>OK</v>
      </c>
      <c r="I349" s="9">
        <f>IF($H349&lt;&gt;"OK","",ROUND($G349*使い方と設定!$B$7*$AK349*INDEX(個性タイプマスタ!$Q$5:$AA$54,$AE349,1)/$AG349,4))</f>
        <v>1.8273999999999999</v>
      </c>
      <c r="J349" s="9">
        <f>IF($H349&lt;&gt;"OK","",ROUND($G349*使い方と設定!$B$7*$AK349*INDEX(個性タイプマスタ!$Q$5:$AA$54,$AE349,2)/$AG349,4))</f>
        <v>1.5227999999999999</v>
      </c>
      <c r="K349" s="9">
        <f>IF($H349&lt;&gt;"OK","",ROUND($G349*使い方と設定!$B$7*$AK349*INDEX(個性タイプマスタ!$Q$5:$AA$54,$AE349,3)/$AG349,4))</f>
        <v>0.27689999999999998</v>
      </c>
      <c r="L349" s="9">
        <f>IF($H349&lt;&gt;"OK","",ROUND($G349*使い方と設定!$B$7*$AK349*INDEX(個性タイプマスタ!$Q$5:$AA$54,$AE349,4)/$AG349,4))</f>
        <v>2.7686999999999999</v>
      </c>
      <c r="M349" s="9">
        <f>IF($H349&lt;&gt;"OK","",ROUND($G349*使い方と設定!$B$7*$AK349*INDEX(個性タイプマスタ!$Q$5:$AA$54,$AE349,5)/$AG349,4))</f>
        <v>1.4120999999999999</v>
      </c>
      <c r="N349" s="9">
        <f>IF($H349&lt;&gt;"OK","",ROUND($G349*使い方と設定!$B$7*$AK349*INDEX(個性タイプマスタ!$Q$5:$AA$54,$AE349,6)/$AG349,4))</f>
        <v>1.3179000000000001</v>
      </c>
      <c r="O349" s="9">
        <f>IF($H349&lt;&gt;"OK","",ROUND($G349*使い方と設定!$B$7*$AK349*INDEX(個性タイプマスタ!$Q$5:$AA$54,$AE349,7)/$AG349,4))</f>
        <v>1.2181999999999999</v>
      </c>
      <c r="P349" s="9">
        <f>IF($H349&lt;&gt;"OK","",ROUND($G349*使い方と設定!$B$7*$AK349*INDEX(個性タイプマスタ!$Q$5:$AA$54,$AE349,8)/$AG349,4))</f>
        <v>0.83979999999999999</v>
      </c>
      <c r="Q349" s="9">
        <f>IF($H349&lt;&gt;"OK","",ROUND($G349*使い方と設定!$B$7*$AK349*INDEX(個性タイプマスタ!$Q$5:$AA$54,$AE349,9)/$AG349,4))</f>
        <v>0.58479999999999999</v>
      </c>
      <c r="R349" s="9">
        <f>IF($H349&lt;&gt;"OK","",ROUND($G349*使い方と設定!$B$7*$AK349*INDEX(個性タイプマスタ!$Q$5:$AA$54,$AE349,10)/$AG349,4))</f>
        <v>1.329</v>
      </c>
      <c r="S349" s="9">
        <f>IF($H349&lt;&gt;"OK","",ROUND($G349*使い方と設定!$B$7*$AK349*INDEX(個性タイプマスタ!$Q$5:$AA$54,$AE349,11)/$AG349,4))</f>
        <v>0.93030000000000002</v>
      </c>
      <c r="T349" s="9">
        <f>IF($H349&lt;&gt;"OK","",ROUND($G349*使い方と設定!$B$8*$AK349*$AH349*INDEX(属性耐性マスタ!$B$5:$G$10,$AF349,1),4))</f>
        <v>0.74070000000000003</v>
      </c>
      <c r="U349" s="9">
        <f>IF($H349&lt;&gt;"OK","",ROUND($G349*使い方と設定!$B$8*$AK349*$AH349*INDEX(属性耐性マスタ!$B$5:$G$10,$AF349,2),4))</f>
        <v>0.14810000000000001</v>
      </c>
      <c r="V349" s="9">
        <f>IF($H349&lt;&gt;"OK","",ROUND($G349*使い方と設定!$B$8*$AK349*$AH349*INDEX(属性耐性マスタ!$B$5:$G$10,$AF349,3),4))</f>
        <v>4.9399999999999999E-2</v>
      </c>
      <c r="W349" s="9">
        <f>IF($H349&lt;&gt;"OK","",ROUND($G349*使い方と設定!$B$8*$AK349*$AH349*INDEX(属性耐性マスタ!$B$5:$G$10,$AF349,4),4))</f>
        <v>4.9399999999999999E-2</v>
      </c>
      <c r="X349" s="9">
        <f>IF($H349&lt;&gt;"OK","",ROUND($G349*使い方と設定!$B$8*$AK349*$AH349*INDEX(属性耐性マスタ!$B$5:$G$10,$AF349,5),4))</f>
        <v>3.6999999999999998E-2</v>
      </c>
      <c r="Y349" s="9">
        <f>IF($H349&lt;&gt;"OK","",ROUND($G349*使い方と設定!$B$8*$AK349*$AH349*INDEX(属性耐性マスタ!$B$5:$G$10,$AF349,6),4))</f>
        <v>3.6999999999999998E-2</v>
      </c>
      <c r="Z349" s="9">
        <f>IF($H349&lt;&gt;"OK","",ROUND($G349*使い方と設定!$B$9*$AK349*$AI349,4))</f>
        <v>4.6760000000000002</v>
      </c>
      <c r="AA349" s="10">
        <v>0.55000000000000004</v>
      </c>
      <c r="AB349" s="11">
        <f t="shared" si="16"/>
        <v>14.027900000000001</v>
      </c>
      <c r="AC349" s="11">
        <f t="shared" si="17"/>
        <v>1.0616000000000001</v>
      </c>
      <c r="AD349" s="7" t="str">
        <f>IF($H349&lt;&gt;"OK","",INDEX(個性タイプマスタ!$P$5:$P$54,$AE349))</f>
        <v>HP・防御・耐性の高い魔法型</v>
      </c>
      <c r="AE349">
        <f>IFERROR(MATCH(E349,個性タイプマスタ!$A$5:$A$54,0),0)</f>
        <v>6</v>
      </c>
      <c r="AF349">
        <f>IFERROR(MATCH(F349,属性耐性マスタ!$A$5:$A$10,0),0)</f>
        <v>1</v>
      </c>
      <c r="AG349">
        <f>IF(AE349=0,1,INDEX(個性タイプマスタ!$AB$5:$AB$54,AE349))</f>
        <v>12.666333333333332</v>
      </c>
      <c r="AH349">
        <f>IF(AE349=0,1,INDEX(個性タイプマスタ!$AC$5:$AC$54,AE349))</f>
        <v>1.32</v>
      </c>
      <c r="AI349">
        <f>IF(AE349=0,0,INDEX(個性タイプマスタ!$AD$5:$AD$54,AE349))</f>
        <v>1</v>
      </c>
      <c r="AJ349" s="16">
        <v>58</v>
      </c>
      <c r="AK349" s="17">
        <f>IF(OR(AJ349="",AJ349&lt;1),"",POWER(使い方と設定!$E$6,AJ349-1))</f>
        <v>9.35191046033375</v>
      </c>
    </row>
    <row r="350" spans="1:37">
      <c r="A350" t="str">
        <f>+[2]称号!A345</f>
        <v>TITLE_344</v>
      </c>
      <c r="B350" t="str">
        <f>+[2]称号!B345</f>
        <v>紅晶牙を折りし者</v>
      </c>
      <c r="C350" t="s">
        <v>823</v>
      </c>
      <c r="D350" t="s">
        <v>824</v>
      </c>
      <c r="E350" s="2" t="str">
        <f>[1]モンスター計算!AM348</f>
        <v>魔法・砲撃</v>
      </c>
      <c r="F350" s="2" t="str">
        <f>[1]モンスター計算!C348</f>
        <v>水</v>
      </c>
      <c r="G350" s="8">
        <v>1.05</v>
      </c>
      <c r="H350" t="str">
        <f t="shared" si="15"/>
        <v>OK</v>
      </c>
      <c r="I350" s="9">
        <f>IF($H350&lt;&gt;"OK","",ROUND($G350*使い方と設定!$B$7*$AK350*INDEX(個性タイプマスタ!$Q$5:$AA$54,$AE350,1)/$AG350,4))</f>
        <v>1.4128000000000001</v>
      </c>
      <c r="J350" s="9">
        <f>IF($H350&lt;&gt;"OK","",ROUND($G350*使い方と設定!$B$7*$AK350*INDEX(個性タイプマスタ!$Q$5:$AA$54,$AE350,2)/$AG350,4))</f>
        <v>2.484</v>
      </c>
      <c r="K350" s="9">
        <f>IF($H350&lt;&gt;"OK","",ROUND($G350*使い方と設定!$B$7*$AK350*INDEX(個性タイプマスタ!$Q$5:$AA$54,$AE350,3)/$AG350,4))</f>
        <v>0.2646</v>
      </c>
      <c r="L350" s="9">
        <f>IF($H350&lt;&gt;"OK","",ROUND($G350*使い方と設定!$B$7*$AK350*INDEX(個性タイプマスタ!$Q$5:$AA$54,$AE350,4)/$AG350,4))</f>
        <v>3.5284</v>
      </c>
      <c r="M350" s="9">
        <f>IF($H350&lt;&gt;"OK","",ROUND($G350*使い方と設定!$B$7*$AK350*INDEX(個性タイプマスタ!$Q$5:$AA$54,$AE350,5)/$AG350,4))</f>
        <v>1.0557000000000001</v>
      </c>
      <c r="N350" s="9">
        <f>IF($H350&lt;&gt;"OK","",ROUND($G350*使い方と設定!$B$7*$AK350*INDEX(個性タイプマスタ!$Q$5:$AA$54,$AE350,6)/$AG350,4))</f>
        <v>1.1396999999999999</v>
      </c>
      <c r="O350" s="9">
        <f>IF($H350&lt;&gt;"OK","",ROUND($G350*使い方と設定!$B$7*$AK350*INDEX(個性タイプマスタ!$Q$5:$AA$54,$AE350,7)/$AG350,4))</f>
        <v>0.621</v>
      </c>
      <c r="P350" s="9">
        <f>IF($H350&lt;&gt;"OK","",ROUND($G350*使い方と設定!$B$7*$AK350*INDEX(個性タイプマスタ!$Q$5:$AA$54,$AE350,8)/$AG350,4))</f>
        <v>1.3454999999999999</v>
      </c>
      <c r="Q350" s="9">
        <f>IF($H350&lt;&gt;"OK","",ROUND($G350*使い方と設定!$B$7*$AK350*INDEX(個性タイプマスタ!$Q$5:$AA$54,$AE350,9)/$AG350,4))</f>
        <v>0.51229999999999998</v>
      </c>
      <c r="R350" s="9">
        <f>IF($H350&lt;&gt;"OK","",ROUND($G350*使い方と設定!$B$7*$AK350*INDEX(個性タイプマスタ!$Q$5:$AA$54,$AE350,10)/$AG350,4))</f>
        <v>0.90329999999999999</v>
      </c>
      <c r="S350" s="9">
        <f>IF($H350&lt;&gt;"OK","",ROUND($G350*使い方と設定!$B$7*$AK350*INDEX(個性タイプマスタ!$Q$5:$AA$54,$AE350,11)/$AG350,4))</f>
        <v>1.4621999999999999</v>
      </c>
      <c r="T350" s="9">
        <f>IF($H350&lt;&gt;"OK","",ROUND($G350*使い方と設定!$B$8*$AK350*$AH350*INDEX(属性耐性マスタ!$B$5:$G$10,$AF350,1),4))</f>
        <v>0.1061</v>
      </c>
      <c r="U350" s="9">
        <f>IF($H350&lt;&gt;"OK","",ROUND($G350*使い方と設定!$B$8*$AK350*$AH350*INDEX(属性耐性マスタ!$B$5:$G$10,$AF350,2),4))</f>
        <v>0.53029999999999999</v>
      </c>
      <c r="V350" s="9">
        <f>IF($H350&lt;&gt;"OK","",ROUND($G350*使い方と設定!$B$8*$AK350*$AH350*INDEX(属性耐性マスタ!$B$5:$G$10,$AF350,3),4))</f>
        <v>3.5400000000000001E-2</v>
      </c>
      <c r="W350" s="9">
        <f>IF($H350&lt;&gt;"OK","",ROUND($G350*使い方と設定!$B$8*$AK350*$AH350*INDEX(属性耐性マスタ!$B$5:$G$10,$AF350,4),4))</f>
        <v>3.5400000000000001E-2</v>
      </c>
      <c r="X350" s="9">
        <f>IF($H350&lt;&gt;"OK","",ROUND($G350*使い方と設定!$B$8*$AK350*$AH350*INDEX(属性耐性マスタ!$B$5:$G$10,$AF350,5),4))</f>
        <v>2.6499999999999999E-2</v>
      </c>
      <c r="Y350" s="9">
        <f>IF($H350&lt;&gt;"OK","",ROUND($G350*使い方と設定!$B$8*$AK350*$AH350*INDEX(属性耐性マスタ!$B$5:$G$10,$AF350,6),4))</f>
        <v>2.6499999999999999E-2</v>
      </c>
      <c r="Z350" s="9">
        <f>IF($H350&lt;&gt;"OK","",ROUND($G350*使い方と設定!$B$9*$AK350*$AI350,4))</f>
        <v>4.2960000000000003</v>
      </c>
      <c r="AA350" s="10">
        <v>0.5</v>
      </c>
      <c r="AB350" s="11">
        <f t="shared" si="16"/>
        <v>14.7295</v>
      </c>
      <c r="AC350" s="11">
        <f t="shared" si="17"/>
        <v>0.76019999999999999</v>
      </c>
      <c r="AD350" s="7" t="str">
        <f>IF($H350&lt;&gt;"OK","",INDEX(個性タイプマスタ!$P$5:$P$54,$AE350))</f>
        <v>低速高威力の遠距離砲台</v>
      </c>
      <c r="AE350">
        <f>IFERROR(MATCH(E350,個性タイプマスタ!$A$5:$A$54,0),0)</f>
        <v>17</v>
      </c>
      <c r="AF350">
        <f>IFERROR(MATCH(F350,属性耐性マスタ!$A$5:$A$10,0),0)</f>
        <v>2</v>
      </c>
      <c r="AG350">
        <f>IF(AE350=0,1,INDEX(個性タイプマスタ!$AB$5:$AB$54,AE350))</f>
        <v>10.436333333333334</v>
      </c>
      <c r="AH350">
        <f>IF(AE350=0,1,INDEX(個性タイプマスタ!$AC$5:$AC$54,AE350))</f>
        <v>0.9</v>
      </c>
      <c r="AI350">
        <f>IF(AE350=0,0,INDEX(個性タイプマスタ!$AD$5:$AD$54,AE350))</f>
        <v>0.875</v>
      </c>
      <c r="AJ350" s="16">
        <v>58</v>
      </c>
      <c r="AK350" s="17">
        <f>IF(OR(AJ350="",AJ350&lt;1),"",POWER(使い方と設定!$E$6,AJ350-1))</f>
        <v>9.35191046033375</v>
      </c>
    </row>
    <row r="351" spans="1:37">
      <c r="A351" t="str">
        <f>+[2]称号!A346</f>
        <v>TITLE_345</v>
      </c>
      <c r="B351" t="str">
        <f>+[2]称号!B346</f>
        <v>深紫の魔導を暴きし者</v>
      </c>
      <c r="C351" t="s">
        <v>825</v>
      </c>
      <c r="D351" t="s">
        <v>826</v>
      </c>
      <c r="E351" s="2" t="str">
        <f>[1]モンスター計算!AM349</f>
        <v>魔法・魔防障壁</v>
      </c>
      <c r="F351" s="2" t="str">
        <f>[1]モンスター計算!C349</f>
        <v>光</v>
      </c>
      <c r="G351" s="8">
        <v>1.1000000000000001</v>
      </c>
      <c r="H351" t="str">
        <f t="shared" si="15"/>
        <v>OK</v>
      </c>
      <c r="I351" s="9">
        <f>IF($H351&lt;&gt;"OK","",ROUND($G351*使い方と設定!$B$7*$AK351*INDEX(個性タイプマスタ!$Q$5:$AA$54,$AE351,1)/$AG351,4))</f>
        <v>1.5959000000000001</v>
      </c>
      <c r="J351" s="9">
        <f>IF($H351&lt;&gt;"OK","",ROUND($G351*使い方と設定!$B$7*$AK351*INDEX(個性タイプマスタ!$Q$5:$AA$54,$AE351,2)/$AG351,4))</f>
        <v>2.6347999999999998</v>
      </c>
      <c r="K351" s="9">
        <f>IF($H351&lt;&gt;"OK","",ROUND($G351*使い方と設定!$B$7*$AK351*INDEX(個性タイプマスタ!$Q$5:$AA$54,$AE351,3)/$AG351,4))</f>
        <v>0.22239999999999999</v>
      </c>
      <c r="L351" s="9">
        <f>IF($H351&lt;&gt;"OK","",ROUND($G351*使い方と設定!$B$7*$AK351*INDEX(個性タイプマスタ!$Q$5:$AA$54,$AE351,4)/$AG351,4))</f>
        <v>3.4218000000000002</v>
      </c>
      <c r="M351" s="9">
        <f>IF($H351&lt;&gt;"OK","",ROUND($G351*使い方と設定!$B$7*$AK351*INDEX(個性タイプマスタ!$Q$5:$AA$54,$AE351,5)/$AG351,4))</f>
        <v>0.89580000000000004</v>
      </c>
      <c r="N351" s="9">
        <f>IF($H351&lt;&gt;"OK","",ROUND($G351*使い方と設定!$B$7*$AK351*INDEX(個性タイプマスタ!$Q$5:$AA$54,$AE351,6)/$AG351,4))</f>
        <v>2.3849999999999998</v>
      </c>
      <c r="O351" s="9">
        <f>IF($H351&lt;&gt;"OK","",ROUND($G351*使い方と設定!$B$7*$AK351*INDEX(個性タイプマスタ!$Q$5:$AA$54,$AE351,7)/$AG351,4))</f>
        <v>0.67749999999999999</v>
      </c>
      <c r="P351" s="9">
        <f>IF($H351&lt;&gt;"OK","",ROUND($G351*使い方と設定!$B$7*$AK351*INDEX(個性タイプマスタ!$Q$5:$AA$54,$AE351,8)/$AG351,4))</f>
        <v>0.86</v>
      </c>
      <c r="Q351" s="9">
        <f>IF($H351&lt;&gt;"OK","",ROUND($G351*使い方と設定!$B$7*$AK351*INDEX(個性タイプマスタ!$Q$5:$AA$54,$AE351,9)/$AG351,4))</f>
        <v>0.57210000000000005</v>
      </c>
      <c r="R351" s="9">
        <f>IF($H351&lt;&gt;"OK","",ROUND($G351*使い方と設定!$B$7*$AK351*INDEX(個性タイプマスタ!$Q$5:$AA$54,$AE351,10)/$AG351,4))</f>
        <v>1.1496999999999999</v>
      </c>
      <c r="S351" s="9">
        <f>IF($H351&lt;&gt;"OK","",ROUND($G351*使い方と設定!$B$7*$AK351*INDEX(個性タイプマスタ!$Q$5:$AA$54,$AE351,11)/$AG351,4))</f>
        <v>1.0156000000000001</v>
      </c>
      <c r="T351" s="9">
        <f>IF($H351&lt;&gt;"OK","",ROUND($G351*使い方と設定!$B$8*$AK351*$AH351*INDEX(属性耐性マスタ!$B$5:$G$10,$AF351,1),4))</f>
        <v>4.2000000000000003E-2</v>
      </c>
      <c r="U351" s="9">
        <f>IF($H351&lt;&gt;"OK","",ROUND($G351*使い方と設定!$B$8*$AK351*$AH351*INDEX(属性耐性マスタ!$B$5:$G$10,$AF351,2),4))</f>
        <v>4.2000000000000003E-2</v>
      </c>
      <c r="V351" s="9">
        <f>IF($H351&lt;&gt;"OK","",ROUND($G351*使い方と設定!$B$8*$AK351*$AH351*INDEX(属性耐性マスタ!$B$5:$G$10,$AF351,3),4))</f>
        <v>4.2000000000000003E-2</v>
      </c>
      <c r="W351" s="9">
        <f>IF($H351&lt;&gt;"OK","",ROUND($G351*使い方と設定!$B$8*$AK351*$AH351*INDEX(属性耐性マスタ!$B$5:$G$10,$AF351,4),4))</f>
        <v>4.2000000000000003E-2</v>
      </c>
      <c r="X351" s="9">
        <f>IF($H351&lt;&gt;"OK","",ROUND($G351*使い方と設定!$B$8*$AK351*$AH351*INDEX(属性耐性マスタ!$B$5:$G$10,$AF351,5),4))</f>
        <v>0.83940000000000003</v>
      </c>
      <c r="Y351" s="9">
        <f>IF($H351&lt;&gt;"OK","",ROUND($G351*使い方と設定!$B$8*$AK351*$AH351*INDEX(属性耐性マスタ!$B$5:$G$10,$AF351,6),4))</f>
        <v>0.1119</v>
      </c>
      <c r="Z351" s="9">
        <f>IF($H351&lt;&gt;"OK","",ROUND($G351*使い方と設定!$B$9*$AK351*$AI351,4))</f>
        <v>4.7149000000000001</v>
      </c>
      <c r="AA351" s="10">
        <v>0.25</v>
      </c>
      <c r="AB351" s="11">
        <f t="shared" si="16"/>
        <v>15.4306</v>
      </c>
      <c r="AC351" s="11">
        <f t="shared" si="17"/>
        <v>1.1193</v>
      </c>
      <c r="AD351" s="7" t="str">
        <f>IF($H351&lt;&gt;"OK","",INDEX(個性タイプマスタ!$P$5:$P$54,$AE351))</f>
        <v>魔法防御に偏重した耐久型</v>
      </c>
      <c r="AE351">
        <f>IFERROR(MATCH(E351,個性タイプマスタ!$A$5:$A$54,0),0)</f>
        <v>24</v>
      </c>
      <c r="AF351">
        <f>IFERROR(MATCH(F351,属性耐性マスタ!$A$5:$A$10,0),0)</f>
        <v>5</v>
      </c>
      <c r="AG351">
        <f>IF(AE351=0,1,INDEX(個性タイプマスタ!$AB$5:$AB$54,AE351))</f>
        <v>11.273833333333332</v>
      </c>
      <c r="AH351">
        <f>IF(AE351=0,1,INDEX(個性タイプマスタ!$AC$5:$AC$54,AE351))</f>
        <v>1.3599999999999999</v>
      </c>
      <c r="AI351">
        <f>IF(AE351=0,0,INDEX(個性タイプマスタ!$AD$5:$AD$54,AE351))</f>
        <v>0.91666666666666663</v>
      </c>
      <c r="AJ351" s="16">
        <v>58</v>
      </c>
      <c r="AK351" s="17">
        <f>IF(OR(AJ351="",AJ351&lt;1),"",POWER(使い方と設定!$E$6,AJ351-1))</f>
        <v>9.35191046033375</v>
      </c>
    </row>
    <row r="352" spans="1:37">
      <c r="A352" t="str">
        <f>+[2]称号!A347</f>
        <v>TITLE_346</v>
      </c>
      <c r="B352" t="str">
        <f>+[2]称号!B347</f>
        <v>晶刃を掻い潜る者</v>
      </c>
      <c r="C352" t="s">
        <v>827</v>
      </c>
      <c r="D352" t="s">
        <v>828</v>
      </c>
      <c r="E352" s="2" t="str">
        <f>[1]モンスター計算!AM350</f>
        <v>近接・軽装強打</v>
      </c>
      <c r="F352" s="2" t="str">
        <f>[1]モンスター計算!C350</f>
        <v>水</v>
      </c>
      <c r="G352" s="8">
        <v>1.1499999999999999</v>
      </c>
      <c r="H352" t="str">
        <f t="shared" si="15"/>
        <v>OK</v>
      </c>
      <c r="I352" s="9">
        <f>IF($H352&lt;&gt;"OK","",ROUND($G352*使い方と設定!$B$7*$AK352*INDEX(個性タイプマスタ!$Q$5:$AA$54,$AE352,1)/$AG352,4))</f>
        <v>1.3924000000000001</v>
      </c>
      <c r="J352" s="9">
        <f>IF($H352&lt;&gt;"OK","",ROUND($G352*使い方と設定!$B$7*$AK352*INDEX(個性タイプマスタ!$Q$5:$AA$54,$AE352,2)/$AG352,4))</f>
        <v>0.56789999999999996</v>
      </c>
      <c r="K352" s="9">
        <f>IF($H352&lt;&gt;"OK","",ROUND($G352*使い方と設定!$B$7*$AK352*INDEX(個性タイプマスタ!$Q$5:$AA$54,$AE352,3)/$AG352,4))</f>
        <v>4.1638000000000002</v>
      </c>
      <c r="L352" s="9">
        <f>IF($H352&lt;&gt;"OK","",ROUND($G352*使い方と設定!$B$7*$AK352*INDEX(個性タイプマスタ!$Q$5:$AA$54,$AE352,4)/$AG352,4))</f>
        <v>0.25819999999999999</v>
      </c>
      <c r="M352" s="9">
        <f>IF($H352&lt;&gt;"OK","",ROUND($G352*使い方と設定!$B$7*$AK352*INDEX(個性タイプマスタ!$Q$5:$AA$54,$AE352,5)/$AG352,4))</f>
        <v>1.0759000000000001</v>
      </c>
      <c r="N352" s="9">
        <f>IF($H352&lt;&gt;"OK","",ROUND($G352*使い方と設定!$B$7*$AK352*INDEX(個性タイプマスタ!$Q$5:$AA$54,$AE352,6)/$AG352,4))</f>
        <v>0.99099999999999999</v>
      </c>
      <c r="O352" s="9">
        <f>IF($H352&lt;&gt;"OK","",ROUND($G352*使い方と設定!$B$7*$AK352*INDEX(個性タイプマスタ!$Q$5:$AA$54,$AE352,7)/$AG352,4))</f>
        <v>1.7403999999999999</v>
      </c>
      <c r="P352" s="9">
        <f>IF($H352&lt;&gt;"OK","",ROUND($G352*使い方と設定!$B$7*$AK352*INDEX(個性タイプマスタ!$Q$5:$AA$54,$AE352,8)/$AG352,4))</f>
        <v>1.7321</v>
      </c>
      <c r="Q352" s="9">
        <f>IF($H352&lt;&gt;"OK","",ROUND($G352*使い方と設定!$B$7*$AK352*INDEX(個性タイプマスタ!$Q$5:$AA$54,$AE352,9)/$AG352,4))</f>
        <v>1.2275</v>
      </c>
      <c r="R352" s="9">
        <f>IF($H352&lt;&gt;"OK","",ROUND($G352*使い方と設定!$B$7*$AK352*INDEX(個性タイプマスタ!$Q$5:$AA$54,$AE352,10)/$AG352,4))</f>
        <v>1.4322999999999999</v>
      </c>
      <c r="S352" s="9">
        <f>IF($H352&lt;&gt;"OK","",ROUND($G352*使い方と設定!$B$7*$AK352*INDEX(個性タイプマスタ!$Q$5:$AA$54,$AE352,11)/$AG352,4))</f>
        <v>1.5506</v>
      </c>
      <c r="T352" s="9">
        <f>IF($H352&lt;&gt;"OK","",ROUND($G352*使い方と設定!$B$8*$AK352*$AH352*INDEX(属性耐性マスタ!$B$5:$G$10,$AF352,1),4))</f>
        <v>9.2899999999999996E-2</v>
      </c>
      <c r="U352" s="9">
        <f>IF($H352&lt;&gt;"OK","",ROUND($G352*使い方と設定!$B$8*$AK352*$AH352*INDEX(属性耐性マスタ!$B$5:$G$10,$AF352,2),4))</f>
        <v>0.46460000000000001</v>
      </c>
      <c r="V352" s="9">
        <f>IF($H352&lt;&gt;"OK","",ROUND($G352*使い方と設定!$B$8*$AK352*$AH352*INDEX(属性耐性マスタ!$B$5:$G$10,$AF352,3),4))</f>
        <v>3.1E-2</v>
      </c>
      <c r="W352" s="9">
        <f>IF($H352&lt;&gt;"OK","",ROUND($G352*使い方と設定!$B$8*$AK352*$AH352*INDEX(属性耐性マスタ!$B$5:$G$10,$AF352,4),4))</f>
        <v>3.1E-2</v>
      </c>
      <c r="X352" s="9">
        <f>IF($H352&lt;&gt;"OK","",ROUND($G352*使い方と設定!$B$8*$AK352*$AH352*INDEX(属性耐性マスタ!$B$5:$G$10,$AF352,5),4))</f>
        <v>2.3199999999999998E-2</v>
      </c>
      <c r="Y352" s="9">
        <f>IF($H352&lt;&gt;"OK","",ROUND($G352*使い方と設定!$B$8*$AK352*$AH352*INDEX(属性耐性マスタ!$B$5:$G$10,$AF352,6),4))</f>
        <v>2.3199999999999998E-2</v>
      </c>
      <c r="Z352" s="9">
        <f>IF($H352&lt;&gt;"OK","",ROUND($G352*使い方と設定!$B$9*$AK352*$AI352,4))</f>
        <v>6.2287999999999997</v>
      </c>
      <c r="AA352" s="10">
        <v>1</v>
      </c>
      <c r="AB352" s="11">
        <f t="shared" si="16"/>
        <v>16.132100000000001</v>
      </c>
      <c r="AC352" s="11">
        <f t="shared" si="17"/>
        <v>0.66590000000000005</v>
      </c>
      <c r="AD352" s="7" t="str">
        <f>IF($H352&lt;&gt;"OK","",INDEX(個性タイプマスタ!$P$5:$P$54,$AE352))</f>
        <v>高い会心倍率と中距離の強打</v>
      </c>
      <c r="AE352">
        <f>IFERROR(MATCH(E352,個性タイプマスタ!$A$5:$A$54,0),0)</f>
        <v>50</v>
      </c>
      <c r="AF352">
        <f>IFERROR(MATCH(F352,属性耐性マスタ!$A$5:$A$10,0),0)</f>
        <v>2</v>
      </c>
      <c r="AG352">
        <f>IF(AE352=0,1,INDEX(個性タイプマスタ!$AB$5:$AB$54,AE352))</f>
        <v>9.6859999999999982</v>
      </c>
      <c r="AH352">
        <f>IF(AE352=0,1,INDEX(個性タイプマスタ!$AC$5:$AC$54,AE352))</f>
        <v>0.72</v>
      </c>
      <c r="AI352">
        <f>IF(AE352=0,0,INDEX(個性タイプマスタ!$AD$5:$AD$54,AE352))</f>
        <v>1.1583333333333332</v>
      </c>
      <c r="AJ352" s="16">
        <v>58</v>
      </c>
      <c r="AK352" s="17">
        <f>IF(OR(AJ352="",AJ352&lt;1),"",POWER(使い方と設定!$E$6,AJ352-1))</f>
        <v>9.35191046033375</v>
      </c>
    </row>
    <row r="353" spans="1:37">
      <c r="A353" t="str">
        <f>+[2]称号!A348</f>
        <v>TITLE_347</v>
      </c>
      <c r="B353" t="str">
        <f>+[2]称号!B348</f>
        <v>蒼晶海を制する者</v>
      </c>
      <c r="C353" t="s">
        <v>829</v>
      </c>
      <c r="D353" t="s">
        <v>830</v>
      </c>
      <c r="E353" s="2" t="str">
        <f>[1]モンスター計算!AM351</f>
        <v>近接・狂戦士</v>
      </c>
      <c r="F353" s="2" t="str">
        <f>[1]モンスター計算!C351</f>
        <v>火</v>
      </c>
      <c r="G353" s="8">
        <v>1.2</v>
      </c>
      <c r="H353" t="str">
        <f t="shared" si="15"/>
        <v>OK</v>
      </c>
      <c r="I353" s="9">
        <f>IF($H353&lt;&gt;"OK","",ROUND($G353*使い方と設定!$B$7*$AK353*INDEX(個性タイプマスタ!$Q$5:$AA$54,$AE353,1)/$AG353,4))</f>
        <v>1.1706000000000001</v>
      </c>
      <c r="J353" s="9">
        <f>IF($H353&lt;&gt;"OK","",ROUND($G353*使い方と設定!$B$7*$AK353*INDEX(個性タイプマスタ!$Q$5:$AA$54,$AE353,2)/$AG353,4))</f>
        <v>0.43219999999999997</v>
      </c>
      <c r="K353" s="9">
        <f>IF($H353&lt;&gt;"OK","",ROUND($G353*使い方と設定!$B$7*$AK353*INDEX(個性タイプマスタ!$Q$5:$AA$54,$AE353,3)/$AG353,4))</f>
        <v>4.0930999999999997</v>
      </c>
      <c r="L353" s="9">
        <f>IF($H353&lt;&gt;"OK","",ROUND($G353*使い方と設定!$B$7*$AK353*INDEX(個性タイプマスタ!$Q$5:$AA$54,$AE353,4)/$AG353,4))</f>
        <v>0.2661</v>
      </c>
      <c r="M353" s="9">
        <f>IF($H353&lt;&gt;"OK","",ROUND($G353*使い方と設定!$B$7*$AK353*INDEX(個性タイプマスタ!$Q$5:$AA$54,$AE353,5)/$AG353,4))</f>
        <v>0.86280000000000001</v>
      </c>
      <c r="N353" s="9">
        <f>IF($H353&lt;&gt;"OK","",ROUND($G353*使い方と設定!$B$7*$AK353*INDEX(個性タイプマスタ!$Q$5:$AA$54,$AE353,6)/$AG353,4))</f>
        <v>0.94630000000000003</v>
      </c>
      <c r="O353" s="9">
        <f>IF($H353&lt;&gt;"OK","",ROUND($G353*使い方と設定!$B$7*$AK353*INDEX(個性タイプマスタ!$Q$5:$AA$54,$AE353,7)/$AG353,4))</f>
        <v>3.2418</v>
      </c>
      <c r="P353" s="9">
        <f>IF($H353&lt;&gt;"OK","",ROUND($G353*使い方と設定!$B$7*$AK353*INDEX(個性タイプマスタ!$Q$5:$AA$54,$AE353,8)/$AG353,4))</f>
        <v>1.4899</v>
      </c>
      <c r="Q353" s="9">
        <f>IF($H353&lt;&gt;"OK","",ROUND($G353*使い方と設定!$B$7*$AK353*INDEX(個性タイプマスタ!$Q$5:$AA$54,$AE353,9)/$AG353,4))</f>
        <v>1.1346000000000001</v>
      </c>
      <c r="R353" s="9">
        <f>IF($H353&lt;&gt;"OK","",ROUND($G353*使い方と設定!$B$7*$AK353*INDEX(個性タイプマスタ!$Q$5:$AA$54,$AE353,10)/$AG353,4))</f>
        <v>2.2103000000000002</v>
      </c>
      <c r="S353" s="9">
        <f>IF($H353&lt;&gt;"OK","",ROUND($G353*使い方と設定!$B$7*$AK353*INDEX(個性タイプマスタ!$Q$5:$AA$54,$AE353,11)/$AG353,4))</f>
        <v>0.98560000000000003</v>
      </c>
      <c r="T353" s="9">
        <f>IF($H353&lt;&gt;"OK","",ROUND($G353*使い方と設定!$B$8*$AK353*$AH353*INDEX(属性耐性マスタ!$B$5:$G$10,$AF353,1),4))</f>
        <v>0.45789999999999997</v>
      </c>
      <c r="U353" s="9">
        <f>IF($H353&lt;&gt;"OK","",ROUND($G353*使い方と設定!$B$8*$AK353*$AH353*INDEX(属性耐性マスタ!$B$5:$G$10,$AF353,2),4))</f>
        <v>9.1600000000000001E-2</v>
      </c>
      <c r="V353" s="9">
        <f>IF($H353&lt;&gt;"OK","",ROUND($G353*使い方と設定!$B$8*$AK353*$AH353*INDEX(属性耐性マスタ!$B$5:$G$10,$AF353,3),4))</f>
        <v>3.0499999999999999E-2</v>
      </c>
      <c r="W353" s="9">
        <f>IF($H353&lt;&gt;"OK","",ROUND($G353*使い方と設定!$B$8*$AK353*$AH353*INDEX(属性耐性マスタ!$B$5:$G$10,$AF353,4),4))</f>
        <v>3.0499999999999999E-2</v>
      </c>
      <c r="X353" s="9">
        <f>IF($H353&lt;&gt;"OK","",ROUND($G353*使い方と設定!$B$8*$AK353*$AH353*INDEX(属性耐性マスタ!$B$5:$G$10,$AF353,5),4))</f>
        <v>2.29E-2</v>
      </c>
      <c r="Y353" s="9">
        <f>IF($H353&lt;&gt;"OK","",ROUND($G353*使い方と設定!$B$8*$AK353*$AH353*INDEX(属性耐性マスタ!$B$5:$G$10,$AF353,6),4))</f>
        <v>2.29E-2</v>
      </c>
      <c r="Z353" s="9">
        <f>IF($H353&lt;&gt;"OK","",ROUND($G353*使い方と設定!$B$9*$AK353*$AI353,4))</f>
        <v>6.3125</v>
      </c>
      <c r="AA353" s="10">
        <v>1</v>
      </c>
      <c r="AB353" s="11">
        <f t="shared" si="16"/>
        <v>16.833300000000001</v>
      </c>
      <c r="AC353" s="11">
        <f t="shared" si="17"/>
        <v>0.65629999999999999</v>
      </c>
      <c r="AD353" s="7" t="str">
        <f>IF($H353&lt;&gt;"OK","",INDEX(個性タイプマスタ!$P$5:$P$54,$AE353))</f>
        <v>紙耐久の高回転会心型</v>
      </c>
      <c r="AE353">
        <f>IFERROR(MATCH(E353,個性タイプマスタ!$A$5:$A$54,0),0)</f>
        <v>32</v>
      </c>
      <c r="AF353">
        <f>IFERROR(MATCH(F353,属性耐性マスタ!$A$5:$A$10,0),0)</f>
        <v>1</v>
      </c>
      <c r="AG353">
        <f>IF(AE353=0,1,INDEX(個性タイプマスタ!$AB$5:$AB$54,AE353))</f>
        <v>10.281499999999999</v>
      </c>
      <c r="AH353">
        <f>IF(AE353=0,1,INDEX(個性タイプマスタ!$AC$5:$AC$54,AE353))</f>
        <v>0.67999999999999994</v>
      </c>
      <c r="AI353">
        <f>IF(AE353=0,0,INDEX(個性タイプマスタ!$AD$5:$AD$54,AE353))</f>
        <v>1.125</v>
      </c>
      <c r="AJ353" s="16">
        <v>58</v>
      </c>
      <c r="AK353" s="17">
        <f>IF(OR(AJ353="",AJ353&lt;1),"",POWER(使い方と設定!$E$6,AJ353-1))</f>
        <v>9.35191046033375</v>
      </c>
    </row>
    <row r="354" spans="1:37">
      <c r="A354" t="str">
        <f>+[2]称号!A349</f>
        <v>TITLE_348</v>
      </c>
      <c r="B354" t="str">
        <f>+[2]称号!B349</f>
        <v>冥翼の闇を裂く者</v>
      </c>
      <c r="C354" t="s">
        <v>831</v>
      </c>
      <c r="D354" t="s">
        <v>832</v>
      </c>
      <c r="E354" s="2" t="str">
        <f>[1]モンスター計算!AM352</f>
        <v>魔法・長射程</v>
      </c>
      <c r="F354" s="2" t="str">
        <f>[1]モンスター計算!C352</f>
        <v>風</v>
      </c>
      <c r="G354" s="8">
        <v>1.25</v>
      </c>
      <c r="H354" t="str">
        <f t="shared" si="15"/>
        <v>OK</v>
      </c>
      <c r="I354" s="9">
        <f>IF($H354&lt;&gt;"OK","",ROUND($G354*使い方と設定!$B$7*$AK354*INDEX(個性タイプマスタ!$Q$5:$AA$54,$AE354,1)/$AG354,4))</f>
        <v>1.7668999999999999</v>
      </c>
      <c r="J354" s="9">
        <f>IF($H354&lt;&gt;"OK","",ROUND($G354*使い方と設定!$B$7*$AK354*INDEX(個性タイプマスタ!$Q$5:$AA$54,$AE354,2)/$AG354,4))</f>
        <v>2.0246</v>
      </c>
      <c r="K354" s="9">
        <f>IF($H354&lt;&gt;"OK","",ROUND($G354*使い方と設定!$B$7*$AK354*INDEX(個性タイプマスタ!$Q$5:$AA$54,$AE354,3)/$AG354,4))</f>
        <v>0.25929999999999997</v>
      </c>
      <c r="L354" s="9">
        <f>IF($H354&lt;&gt;"OK","",ROUND($G354*使い方と設定!$B$7*$AK354*INDEX(個性タイプマスタ!$Q$5:$AA$54,$AE354,4)/$AG354,4))</f>
        <v>4.1829999999999998</v>
      </c>
      <c r="M354" s="9">
        <f>IF($H354&lt;&gt;"OK","",ROUND($G354*使い方と設定!$B$7*$AK354*INDEX(個性タイプマスタ!$Q$5:$AA$54,$AE354,5)/$AG354,4))</f>
        <v>1.1661999999999999</v>
      </c>
      <c r="N354" s="9">
        <f>IF($H354&lt;&gt;"OK","",ROUND($G354*使い方と設定!$B$7*$AK354*INDEX(個性タイプマスタ!$Q$5:$AA$54,$AE354,6)/$AG354,4))</f>
        <v>1.2942</v>
      </c>
      <c r="O354" s="9">
        <f>IF($H354&lt;&gt;"OK","",ROUND($G354*使い方と設定!$B$7*$AK354*INDEX(個性タイプマスタ!$Q$5:$AA$54,$AE354,7)/$AG354,4))</f>
        <v>1.1043000000000001</v>
      </c>
      <c r="P354" s="9">
        <f>IF($H354&lt;&gt;"OK","",ROUND($G354*使い方と設定!$B$7*$AK354*INDEX(個性タイプマスタ!$Q$5:$AA$54,$AE354,8)/$AG354,4))</f>
        <v>1.1600999999999999</v>
      </c>
      <c r="Q354" s="9">
        <f>IF($H354&lt;&gt;"OK","",ROUND($G354*使い方と設定!$B$7*$AK354*INDEX(個性タイプマスタ!$Q$5:$AA$54,$AE354,9)/$AG354,4))</f>
        <v>0.82820000000000005</v>
      </c>
      <c r="R354" s="9">
        <f>IF($H354&lt;&gt;"OK","",ROUND($G354*使い方と設定!$B$7*$AK354*INDEX(個性タイプマスタ!$Q$5:$AA$54,$AE354,10)/$AG354,4))</f>
        <v>1.5226</v>
      </c>
      <c r="S354" s="9">
        <f>IF($H354&lt;&gt;"OK","",ROUND($G354*使い方と設定!$B$7*$AK354*INDEX(個性タイプマスタ!$Q$5:$AA$54,$AE354,11)/$AG354,4))</f>
        <v>2.2254</v>
      </c>
      <c r="T354" s="9">
        <f>IF($H354&lt;&gt;"OK","",ROUND($G354*使い方と設定!$B$8*$AK354*$AH354*INDEX(属性耐性マスタ!$B$5:$G$10,$AF354,1),4))</f>
        <v>4.2999999999999997E-2</v>
      </c>
      <c r="U354" s="9">
        <f>IF($H354&lt;&gt;"OK","",ROUND($G354*使い方と設定!$B$8*$AK354*$AH354*INDEX(属性耐性マスタ!$B$5:$G$10,$AF354,2),4))</f>
        <v>4.2999999999999997E-2</v>
      </c>
      <c r="V354" s="9">
        <f>IF($H354&lt;&gt;"OK","",ROUND($G354*使い方と設定!$B$8*$AK354*$AH354*INDEX(属性耐性マスタ!$B$5:$G$10,$AF354,3),4))</f>
        <v>0.64529999999999998</v>
      </c>
      <c r="W354" s="9">
        <f>IF($H354&lt;&gt;"OK","",ROUND($G354*使い方と設定!$B$8*$AK354*$AH354*INDEX(属性耐性マスタ!$B$5:$G$10,$AF354,4),4))</f>
        <v>0.1613</v>
      </c>
      <c r="X354" s="9">
        <f>IF($H354&lt;&gt;"OK","",ROUND($G354*使い方と設定!$B$8*$AK354*$AH354*INDEX(属性耐性マスタ!$B$5:$G$10,$AF354,5),4))</f>
        <v>3.2300000000000002E-2</v>
      </c>
      <c r="Y354" s="9">
        <f>IF($H354&lt;&gt;"OK","",ROUND($G354*使い方と設定!$B$8*$AK354*$AH354*INDEX(属性耐性マスタ!$B$5:$G$10,$AF354,6),4))</f>
        <v>3.2300000000000002E-2</v>
      </c>
      <c r="Z354" s="9">
        <f>IF($H354&lt;&gt;"OK","",ROUND($G354*使い方と設定!$B$9*$AK354*$AI354,4))</f>
        <v>5.6988000000000003</v>
      </c>
      <c r="AA354" s="10">
        <v>0.9</v>
      </c>
      <c r="AB354" s="11">
        <f t="shared" si="16"/>
        <v>17.534800000000001</v>
      </c>
      <c r="AC354" s="11">
        <f t="shared" si="17"/>
        <v>0.95720000000000005</v>
      </c>
      <c r="AD354" s="7" t="str">
        <f>IF($H354&lt;&gt;"OK","",INDEX(個性タイプマスタ!$P$5:$P$54,$AE354))</f>
        <v>射程を優先した後衛</v>
      </c>
      <c r="AE354">
        <f>IFERROR(MATCH(E354,個性タイプマスタ!$A$5:$A$54,0),0)</f>
        <v>20</v>
      </c>
      <c r="AF354">
        <f>IFERROR(MATCH(F354,属性耐性マスタ!$A$5:$A$10,0),0)</f>
        <v>3</v>
      </c>
      <c r="AG354">
        <f>IF(AE354=0,1,INDEX(個性タイプマスタ!$AB$5:$AB$54,AE354))</f>
        <v>10.479833333333334</v>
      </c>
      <c r="AH354">
        <f>IF(AE354=0,1,INDEX(個性タイプマスタ!$AC$5:$AC$54,AE354))</f>
        <v>0.92</v>
      </c>
      <c r="AI354">
        <f>IF(AE354=0,0,INDEX(個性タイプマスタ!$AD$5:$AD$54,AE354))</f>
        <v>0.97499999999999998</v>
      </c>
      <c r="AJ354" s="16">
        <v>58</v>
      </c>
      <c r="AK354" s="17">
        <f>IF(OR(AJ354="",AJ354&lt;1),"",POWER(使い方と設定!$E$6,AJ354-1))</f>
        <v>9.35191046033375</v>
      </c>
    </row>
    <row r="355" spans="1:37">
      <c r="A355" t="str">
        <f>+[2]称号!A350</f>
        <v>TITLE_349</v>
      </c>
      <c r="B355" t="str">
        <f>+[2]称号!B350</f>
        <v>晶甲を打ち砕きし者</v>
      </c>
      <c r="C355" t="s">
        <v>833</v>
      </c>
      <c r="D355" t="s">
        <v>834</v>
      </c>
      <c r="E355" s="2" t="str">
        <f>[1]モンスター計算!AM353</f>
        <v>魔法・狙撃</v>
      </c>
      <c r="F355" s="2" t="str">
        <f>[1]モンスター計算!C353</f>
        <v>火</v>
      </c>
      <c r="G355" s="8">
        <v>1</v>
      </c>
      <c r="H355" t="str">
        <f t="shared" si="15"/>
        <v>OK</v>
      </c>
      <c r="I355" s="9">
        <f>IF($H355&lt;&gt;"OK","",ROUND($G355*使い方と設定!$B$7*$AK355*INDEX(個性タイプマスタ!$Q$5:$AA$54,$AE355,1)/$AG355,4))</f>
        <v>0.97409999999999997</v>
      </c>
      <c r="J355" s="9">
        <f>IF($H355&lt;&gt;"OK","",ROUND($G355*使い方と設定!$B$7*$AK355*INDEX(個性タイプマスタ!$Q$5:$AA$54,$AE355,2)/$AG355,4))</f>
        <v>1.5992</v>
      </c>
      <c r="K355" s="9">
        <f>IF($H355&lt;&gt;"OK","",ROUND($G355*使い方と設定!$B$7*$AK355*INDEX(個性タイプマスタ!$Q$5:$AA$54,$AE355,3)/$AG355,4))</f>
        <v>0.17180000000000001</v>
      </c>
      <c r="L355" s="9">
        <f>IF($H355&lt;&gt;"OK","",ROUND($G355*使い方と設定!$B$7*$AK355*INDEX(個性タイプマスタ!$Q$5:$AA$54,$AE355,4)/$AG355,4))</f>
        <v>3.3041999999999998</v>
      </c>
      <c r="M355" s="9">
        <f>IF($H355&lt;&gt;"OK","",ROUND($G355*使い方と設定!$B$7*$AK355*INDEX(個性タイプマスタ!$Q$5:$AA$54,$AE355,5)/$AG355,4))</f>
        <v>0.73019999999999996</v>
      </c>
      <c r="N355" s="9">
        <f>IF($H355&lt;&gt;"OK","",ROUND($G355*使い方と設定!$B$7*$AK355*INDEX(個性タイプマスタ!$Q$5:$AA$54,$AE355,6)/$AG355,4))</f>
        <v>0.89870000000000005</v>
      </c>
      <c r="O355" s="9">
        <f>IF($H355&lt;&gt;"OK","",ROUND($G355*使い方と設定!$B$7*$AK355*INDEX(個性タイプマスタ!$Q$5:$AA$54,$AE355,7)/$AG355,4))</f>
        <v>2.6168999999999998</v>
      </c>
      <c r="P355" s="9">
        <f>IF($H355&lt;&gt;"OK","",ROUND($G355*使い方と設定!$B$7*$AK355*INDEX(個性タイプマスタ!$Q$5:$AA$54,$AE355,8)/$AG355,4))</f>
        <v>1.0596000000000001</v>
      </c>
      <c r="Q355" s="9">
        <f>IF($H355&lt;&gt;"OK","",ROUND($G355*使い方と設定!$B$7*$AK355*INDEX(個性タイプマスタ!$Q$5:$AA$54,$AE355,9)/$AG355,4))</f>
        <v>0.59609999999999996</v>
      </c>
      <c r="R355" s="9">
        <f>IF($H355&lt;&gt;"OK","",ROUND($G355*使い方と設定!$B$7*$AK355*INDEX(個性タイプマスタ!$Q$5:$AA$54,$AE355,10)/$AG355,4))</f>
        <v>0.99129999999999996</v>
      </c>
      <c r="S355" s="9">
        <f>IF($H355&lt;&gt;"OK","",ROUND($G355*使い方と設定!$B$7*$AK355*INDEX(個性タイプマスタ!$Q$5:$AA$54,$AE355,11)/$AG355,4))</f>
        <v>1.6468</v>
      </c>
      <c r="T355" s="9">
        <f>IF($H355&lt;&gt;"OK","",ROUND($G355*使い方と設定!$B$8*$AK355*$AH355*INDEX(属性耐性マスタ!$B$5:$G$10,$AF355,1),4))</f>
        <v>0.44350000000000001</v>
      </c>
      <c r="U355" s="9">
        <f>IF($H355&lt;&gt;"OK","",ROUND($G355*使い方と設定!$B$8*$AK355*$AH355*INDEX(属性耐性マスタ!$B$5:$G$10,$AF355,2),4))</f>
        <v>8.8700000000000001E-2</v>
      </c>
      <c r="V355" s="9">
        <f>IF($H355&lt;&gt;"OK","",ROUND($G355*使い方と設定!$B$8*$AK355*$AH355*INDEX(属性耐性マスタ!$B$5:$G$10,$AF355,3),4))</f>
        <v>2.9600000000000001E-2</v>
      </c>
      <c r="W355" s="9">
        <f>IF($H355&lt;&gt;"OK","",ROUND($G355*使い方と設定!$B$8*$AK355*$AH355*INDEX(属性耐性マスタ!$B$5:$G$10,$AF355,4),4))</f>
        <v>2.9600000000000001E-2</v>
      </c>
      <c r="X355" s="9">
        <f>IF($H355&lt;&gt;"OK","",ROUND($G355*使い方と設定!$B$8*$AK355*$AH355*INDEX(属性耐性マスタ!$B$5:$G$10,$AF355,5),4))</f>
        <v>2.2200000000000001E-2</v>
      </c>
      <c r="Y355" s="9">
        <f>IF($H355&lt;&gt;"OK","",ROUND($G355*使い方と設定!$B$8*$AK355*$AH355*INDEX(属性耐性マスタ!$B$5:$G$10,$AF355,6),4))</f>
        <v>2.2200000000000001E-2</v>
      </c>
      <c r="Z355" s="9">
        <f>IF($H355&lt;&gt;"OK","",ROUND($G355*使い方と設定!$B$9*$AK355*$AI355,4))</f>
        <v>4.5792999999999999</v>
      </c>
      <c r="AA355" s="10">
        <v>0.55000000000000004</v>
      </c>
      <c r="AB355" s="11">
        <f t="shared" si="16"/>
        <v>14.588900000000001</v>
      </c>
      <c r="AC355" s="11">
        <f t="shared" si="17"/>
        <v>0.63580000000000003</v>
      </c>
      <c r="AD355" s="7" t="str">
        <f>IF($H355&lt;&gt;"OK","",INDEX(個性タイプマスタ!$P$5:$P$54,$AE355))</f>
        <v>長射程・高会心。接近戦に弱い</v>
      </c>
      <c r="AE355">
        <f>IFERROR(MATCH(E355,個性タイプマスタ!$A$5:$A$54,0),0)</f>
        <v>16</v>
      </c>
      <c r="AF355">
        <f>IFERROR(MATCH(F355,属性耐性マスタ!$A$5:$A$10,0),0)</f>
        <v>1</v>
      </c>
      <c r="AG355">
        <f>IF(AE355=0,1,INDEX(個性タイプマスタ!$AB$5:$AB$54,AE355))</f>
        <v>11.038166666666667</v>
      </c>
      <c r="AH355">
        <f>IF(AE355=0,1,INDEX(個性タイプマスタ!$AC$5:$AC$54,AE355))</f>
        <v>0.76</v>
      </c>
      <c r="AI355">
        <f>IF(AE355=0,0,INDEX(個性タイプマスタ!$AD$5:$AD$54,AE355))</f>
        <v>0.94166666666666665</v>
      </c>
      <c r="AJ355" s="16">
        <v>59</v>
      </c>
      <c r="AK355" s="17">
        <f>IF(OR(AJ355="",AJ355&lt;1),"",POWER(使い方と設定!$E$6,AJ355-1))</f>
        <v>9.7259868787470971</v>
      </c>
    </row>
    <row r="356" spans="1:37">
      <c r="A356" t="str">
        <f>+[2]称号!A351</f>
        <v>TITLE_350</v>
      </c>
      <c r="B356" t="str">
        <f>+[2]称号!B351</f>
        <v>深界樹の加護を継ぐ者</v>
      </c>
      <c r="C356" t="s">
        <v>835</v>
      </c>
      <c r="D356" t="s">
        <v>836</v>
      </c>
      <c r="E356" s="2" t="str">
        <f>[1]モンスター計算!AM354</f>
        <v>魔法・会心一撃</v>
      </c>
      <c r="F356" s="2" t="str">
        <f>[1]モンスター計算!C354</f>
        <v>水</v>
      </c>
      <c r="G356" s="8">
        <v>1.05</v>
      </c>
      <c r="H356" t="str">
        <f t="shared" si="15"/>
        <v>OK</v>
      </c>
      <c r="I356" s="9">
        <f>IF($H356&lt;&gt;"OK","",ROUND($G356*使い方と設定!$B$7*$AK356*INDEX(個性タイプマスタ!$Q$5:$AA$54,$AE356,1)/$AG356,4))</f>
        <v>1.2482</v>
      </c>
      <c r="J356" s="9">
        <f>IF($H356&lt;&gt;"OK","",ROUND($G356*使い方と設定!$B$7*$AK356*INDEX(個性タイプマスタ!$Q$5:$AA$54,$AE356,2)/$AG356,4))</f>
        <v>2.0548999999999999</v>
      </c>
      <c r="K356" s="9">
        <f>IF($H356&lt;&gt;"OK","",ROUND($G356*使い方と設定!$B$7*$AK356*INDEX(個性タイプマスタ!$Q$5:$AA$54,$AE356,3)/$AG356,4))</f>
        <v>0.20760000000000001</v>
      </c>
      <c r="L356" s="9">
        <f>IF($H356&lt;&gt;"OK","",ROUND($G356*使い方と設定!$B$7*$AK356*INDEX(個性タイプマスタ!$Q$5:$AA$54,$AE356,4)/$AG356,4))</f>
        <v>3.4594</v>
      </c>
      <c r="M356" s="9">
        <f>IF($H356&lt;&gt;"OK","",ROUND($G356*使い方と設定!$B$7*$AK356*INDEX(個性タイプマスタ!$Q$5:$AA$54,$AE356,5)/$AG356,4))</f>
        <v>0.95269999999999999</v>
      </c>
      <c r="N356" s="9">
        <f>IF($H356&lt;&gt;"OK","",ROUND($G356*使い方と設定!$B$7*$AK356*INDEX(個性タイプマスタ!$Q$5:$AA$54,$AE356,6)/$AG356,4))</f>
        <v>1.0233000000000001</v>
      </c>
      <c r="O356" s="9">
        <f>IF($H356&lt;&gt;"OK","",ROUND($G356*使い方と設定!$B$7*$AK356*INDEX(個性タイプマスタ!$Q$5:$AA$54,$AE356,7)/$AG356,4))</f>
        <v>1.8266</v>
      </c>
      <c r="P356" s="9">
        <f>IF($H356&lt;&gt;"OK","",ROUND($G356*使い方と設定!$B$7*$AK356*INDEX(個性タイプマスタ!$Q$5:$AA$54,$AE356,8)/$AG356,4))</f>
        <v>1.5290999999999999</v>
      </c>
      <c r="Q356" s="9">
        <f>IF($H356&lt;&gt;"OK","",ROUND($G356*使い方と設定!$B$7*$AK356*INDEX(個性タイプマスタ!$Q$5:$AA$54,$AE356,9)/$AG356,4))</f>
        <v>0.70020000000000004</v>
      </c>
      <c r="R356" s="9">
        <f>IF($H356&lt;&gt;"OK","",ROUND($G356*使い方と設定!$B$7*$AK356*INDEX(個性タイプマスタ!$Q$5:$AA$54,$AE356,10)/$AG356,4))</f>
        <v>0.94099999999999995</v>
      </c>
      <c r="S356" s="9">
        <f>IF($H356&lt;&gt;"OK","",ROUND($G356*使い方と設定!$B$7*$AK356*INDEX(個性タイプマスタ!$Q$5:$AA$54,$AE356,11)/$AG356,4))</f>
        <v>1.3754999999999999</v>
      </c>
      <c r="T356" s="9">
        <f>IF($H356&lt;&gt;"OK","",ROUND($G356*使い方と設定!$B$8*$AK356*$AH356*INDEX(属性耐性マスタ!$B$5:$G$10,$AF356,1),4))</f>
        <v>9.5600000000000004E-2</v>
      </c>
      <c r="U356" s="9">
        <f>IF($H356&lt;&gt;"OK","",ROUND($G356*使い方と設定!$B$8*$AK356*$AH356*INDEX(属性耐性マスタ!$B$5:$G$10,$AF356,2),4))</f>
        <v>0.47789999999999999</v>
      </c>
      <c r="V356" s="9">
        <f>IF($H356&lt;&gt;"OK","",ROUND($G356*使い方と設定!$B$8*$AK356*$AH356*INDEX(属性耐性マスタ!$B$5:$G$10,$AF356,3),4))</f>
        <v>3.1899999999999998E-2</v>
      </c>
      <c r="W356" s="9">
        <f>IF($H356&lt;&gt;"OK","",ROUND($G356*使い方と設定!$B$8*$AK356*$AH356*INDEX(属性耐性マスタ!$B$5:$G$10,$AF356,4),4))</f>
        <v>3.1899999999999998E-2</v>
      </c>
      <c r="X356" s="9">
        <f>IF($H356&lt;&gt;"OK","",ROUND($G356*使い方と設定!$B$8*$AK356*$AH356*INDEX(属性耐性マスタ!$B$5:$G$10,$AF356,5),4))</f>
        <v>2.3900000000000001E-2</v>
      </c>
      <c r="Y356" s="9">
        <f>IF($H356&lt;&gt;"OK","",ROUND($G356*使い方と設定!$B$8*$AK356*$AH356*INDEX(属性耐性マスタ!$B$5:$G$10,$AF356,6),4))</f>
        <v>2.3900000000000001E-2</v>
      </c>
      <c r="Z356" s="9">
        <f>IF($H356&lt;&gt;"OK","",ROUND($G356*使い方と設定!$B$9*$AK356*$AI356,4))</f>
        <v>5.0209999999999999</v>
      </c>
      <c r="AA356" s="10">
        <v>0.5</v>
      </c>
      <c r="AB356" s="11">
        <f t="shared" si="16"/>
        <v>15.3185</v>
      </c>
      <c r="AC356" s="11">
        <f t="shared" si="17"/>
        <v>0.68510000000000004</v>
      </c>
      <c r="AD356" s="7" t="str">
        <f>IF($H356&lt;&gt;"OK","",INDEX(個性タイプマスタ!$P$5:$P$54,$AE356))</f>
        <v>会心倍率が極めて高い一撃型</v>
      </c>
      <c r="AE356">
        <f>IFERROR(MATCH(E356,個性タイプマスタ!$A$5:$A$54,0),0)</f>
        <v>23</v>
      </c>
      <c r="AF356">
        <f>IFERROR(MATCH(F356,属性耐性マスタ!$A$5:$A$10,0),0)</f>
        <v>2</v>
      </c>
      <c r="AG356">
        <f>IF(AE356=0,1,INDEX(個性タイプマスタ!$AB$5:$AB$54,AE356))</f>
        <v>11.07</v>
      </c>
      <c r="AH356">
        <f>IF(AE356=0,1,INDEX(個性タイプマスタ!$AC$5:$AC$54,AE356))</f>
        <v>0.78</v>
      </c>
      <c r="AI356">
        <f>IF(AE356=0,0,INDEX(個性タイプマスタ!$AD$5:$AD$54,AE356))</f>
        <v>0.98333333333333328</v>
      </c>
      <c r="AJ356" s="16">
        <v>59</v>
      </c>
      <c r="AK356" s="17">
        <f>IF(OR(AJ356="",AJ356&lt;1),"",POWER(使い方と設定!$E$6,AJ356-1))</f>
        <v>9.7259868787470971</v>
      </c>
    </row>
    <row r="357" spans="1:37">
      <c r="A357" t="str">
        <f>+[2]称号!A352</f>
        <v>TITLE_351</v>
      </c>
      <c r="B357" t="str">
        <f>+[2]称号!B352</f>
        <v>万眼に睨まれし者</v>
      </c>
      <c r="C357" t="s">
        <v>837</v>
      </c>
      <c r="D357" t="s">
        <v>838</v>
      </c>
      <c r="E357" s="2" t="str">
        <f>[1]モンスター計算!AM355</f>
        <v>魔法・鈍足賢者</v>
      </c>
      <c r="F357" s="2" t="str">
        <f>[1]モンスター計算!C355</f>
        <v>光</v>
      </c>
      <c r="G357" s="8">
        <v>1.1000000000000001</v>
      </c>
      <c r="H357" t="str">
        <f t="shared" si="15"/>
        <v>OK</v>
      </c>
      <c r="I357" s="9">
        <f>IF($H357&lt;&gt;"OK","",ROUND($G357*使い方と設定!$B$7*$AK357*INDEX(個性タイプマスタ!$Q$5:$AA$54,$AE357,1)/$AG357,4))</f>
        <v>1.9113</v>
      </c>
      <c r="J357" s="9">
        <f>IF($H357&lt;&gt;"OK","",ROUND($G357*使い方と設定!$B$7*$AK357*INDEX(個性タイプマスタ!$Q$5:$AA$54,$AE357,2)/$AG357,4))</f>
        <v>3.0034000000000001</v>
      </c>
      <c r="K357" s="9">
        <f>IF($H357&lt;&gt;"OK","",ROUND($G357*使い方と設定!$B$7*$AK357*INDEX(個性タイプマスタ!$Q$5:$AA$54,$AE357,3)/$AG357,4))</f>
        <v>0.2606</v>
      </c>
      <c r="L357" s="9">
        <f>IF($H357&lt;&gt;"OK","",ROUND($G357*使い方と設定!$B$7*$AK357*INDEX(個性タイプマスタ!$Q$5:$AA$54,$AE357,4)/$AG357,4))</f>
        <v>3.1027</v>
      </c>
      <c r="M357" s="9">
        <f>IF($H357&lt;&gt;"OK","",ROUND($G357*使い方と設定!$B$7*$AK357*INDEX(個性タイプマスタ!$Q$5:$AA$54,$AE357,5)/$AG357,4))</f>
        <v>1.0022</v>
      </c>
      <c r="N357" s="9">
        <f>IF($H357&lt;&gt;"OK","",ROUND($G357*使い方と設定!$B$7*$AK357*INDEX(個性タイプマスタ!$Q$5:$AA$54,$AE357,6)/$AG357,4))</f>
        <v>1.7723</v>
      </c>
      <c r="O357" s="9">
        <f>IF($H357&lt;&gt;"OK","",ROUND($G357*使い方と設定!$B$7*$AK357*INDEX(個性タイプマスタ!$Q$5:$AA$54,$AE357,7)/$AG357,4))</f>
        <v>1.57</v>
      </c>
      <c r="P357" s="9">
        <f>IF($H357&lt;&gt;"OK","",ROUND($G357*使い方と設定!$B$7*$AK357*INDEX(個性タイプマスタ!$Q$5:$AA$54,$AE357,8)/$AG357,4))</f>
        <v>1.0487</v>
      </c>
      <c r="Q357" s="9">
        <f>IF($H357&lt;&gt;"OK","",ROUND($G357*使い方と設定!$B$7*$AK357*INDEX(個性タイプマスタ!$Q$5:$AA$54,$AE357,9)/$AG357,4))</f>
        <v>0.3276</v>
      </c>
      <c r="R357" s="9">
        <f>IF($H357&lt;&gt;"OK","",ROUND($G357*使い方と設定!$B$7*$AK357*INDEX(個性タイプマスタ!$Q$5:$AA$54,$AE357,10)/$AG357,4))</f>
        <v>0.89359999999999995</v>
      </c>
      <c r="S357" s="9">
        <f>IF($H357&lt;&gt;"OK","",ROUND($G357*使い方と設定!$B$7*$AK357*INDEX(個性タイプマスタ!$Q$5:$AA$54,$AE357,11)/$AG357,4))</f>
        <v>1.1555</v>
      </c>
      <c r="T357" s="9">
        <f>IF($H357&lt;&gt;"OK","",ROUND($G357*使い方と設定!$B$8*$AK357*$AH357*INDEX(属性耐性マスタ!$B$5:$G$10,$AF357,1),4))</f>
        <v>4.24E-2</v>
      </c>
      <c r="U357" s="9">
        <f>IF($H357&lt;&gt;"OK","",ROUND($G357*使い方と設定!$B$8*$AK357*$AH357*INDEX(属性耐性マスタ!$B$5:$G$10,$AF357,2),4))</f>
        <v>4.24E-2</v>
      </c>
      <c r="V357" s="9">
        <f>IF($H357&lt;&gt;"OK","",ROUND($G357*使い方と設定!$B$8*$AK357*$AH357*INDEX(属性耐性マスタ!$B$5:$G$10,$AF357,3),4))</f>
        <v>4.24E-2</v>
      </c>
      <c r="W357" s="9">
        <f>IF($H357&lt;&gt;"OK","",ROUND($G357*使い方と設定!$B$8*$AK357*$AH357*INDEX(属性耐性マスタ!$B$5:$G$10,$AF357,4),4))</f>
        <v>4.24E-2</v>
      </c>
      <c r="X357" s="9">
        <f>IF($H357&lt;&gt;"OK","",ROUND($G357*使い方と設定!$B$8*$AK357*$AH357*INDEX(属性耐性マスタ!$B$5:$G$10,$AF357,5),4))</f>
        <v>0.84730000000000005</v>
      </c>
      <c r="Y357" s="9">
        <f>IF($H357&lt;&gt;"OK","",ROUND($G357*使い方と設定!$B$8*$AK357*$AH357*INDEX(属性耐性マスタ!$B$5:$G$10,$AF357,6),4))</f>
        <v>0.113</v>
      </c>
      <c r="Z357" s="9">
        <f>IF($H357&lt;&gt;"OK","",ROUND($G357*使い方と設定!$B$9*$AK357*$AI357,4))</f>
        <v>4.2793999999999999</v>
      </c>
      <c r="AA357" s="10">
        <v>0.25</v>
      </c>
      <c r="AB357" s="11">
        <f t="shared" si="16"/>
        <v>16.047899999999998</v>
      </c>
      <c r="AC357" s="11">
        <f t="shared" si="17"/>
        <v>1.1298999999999999</v>
      </c>
      <c r="AD357" s="7" t="str">
        <f>IF($H357&lt;&gt;"OK","",INDEX(個性タイプマスタ!$P$5:$P$54,$AE357))</f>
        <v>低機動・高MP・高魔防</v>
      </c>
      <c r="AE357">
        <f>IFERROR(MATCH(E357,個性タイプマスタ!$A$5:$A$54,0),0)</f>
        <v>30</v>
      </c>
      <c r="AF357">
        <f>IFERROR(MATCH(F357,属性耐性マスタ!$A$5:$A$10,0),0)</f>
        <v>5</v>
      </c>
      <c r="AG357">
        <f>IF(AE357=0,1,INDEX(個性タイプマスタ!$AB$5:$AB$54,AE357))</f>
        <v>12.9305</v>
      </c>
      <c r="AH357">
        <f>IF(AE357=0,1,INDEX(個性タイプマスタ!$AC$5:$AC$54,AE357))</f>
        <v>1.32</v>
      </c>
      <c r="AI357">
        <f>IF(AE357=0,0,INDEX(個性タイプマスタ!$AD$5:$AD$54,AE357))</f>
        <v>0.79999999999999993</v>
      </c>
      <c r="AJ357" s="16">
        <v>59</v>
      </c>
      <c r="AK357" s="17">
        <f>IF(OR(AJ357="",AJ357&lt;1),"",POWER(使い方と設定!$E$6,AJ357-1))</f>
        <v>9.7259868787470971</v>
      </c>
    </row>
    <row r="358" spans="1:37">
      <c r="A358" t="str">
        <f>+[2]称号!A353</f>
        <v>TITLE_352</v>
      </c>
      <c r="B358" t="str">
        <f>+[2]称号!B353</f>
        <v>蛇晶の深淵を渡る者</v>
      </c>
      <c r="C358" t="s">
        <v>839</v>
      </c>
      <c r="D358" t="s">
        <v>840</v>
      </c>
      <c r="E358" s="2" t="str">
        <f>[1]モンスター計算!AM356</f>
        <v>近接・守護</v>
      </c>
      <c r="F358" s="2" t="str">
        <f>[1]モンスター計算!C356</f>
        <v>水</v>
      </c>
      <c r="G358" s="8">
        <v>1.1499999999999999</v>
      </c>
      <c r="H358" t="str">
        <f t="shared" si="15"/>
        <v>OK</v>
      </c>
      <c r="I358" s="9">
        <f>IF($H358&lt;&gt;"OK","",ROUND($G358*使い方と設定!$B$7*$AK358*INDEX(個性タイプマスタ!$Q$5:$AA$54,$AE358,1)/$AG358,4))</f>
        <v>2.8403999999999998</v>
      </c>
      <c r="J358" s="9">
        <f>IF($H358&lt;&gt;"OK","",ROUND($G358*使い方と設定!$B$7*$AK358*INDEX(個性タイプマスタ!$Q$5:$AA$54,$AE358,2)/$AG358,4))</f>
        <v>0.75449999999999995</v>
      </c>
      <c r="K358" s="9">
        <f>IF($H358&lt;&gt;"OK","",ROUND($G358*使い方と設定!$B$7*$AK358*INDEX(個性タイプマスタ!$Q$5:$AA$54,$AE358,3)/$AG358,4))</f>
        <v>4.0347</v>
      </c>
      <c r="L358" s="9">
        <f>IF($H358&lt;&gt;"OK","",ROUND($G358*使い方と設定!$B$7*$AK358*INDEX(個性タイプマスタ!$Q$5:$AA$54,$AE358,4)/$AG358,4))</f>
        <v>0.40350000000000003</v>
      </c>
      <c r="M358" s="9">
        <f>IF($H358&lt;&gt;"OK","",ROUND($G358*使い方と設定!$B$7*$AK358*INDEX(個性タイプマスタ!$Q$5:$AA$54,$AE358,5)/$AG358,4))</f>
        <v>2.1263000000000001</v>
      </c>
      <c r="N358" s="9">
        <f>IF($H358&lt;&gt;"OK","",ROUND($G358*使い方と設定!$B$7*$AK358*INDEX(個性タイプマスタ!$Q$5:$AA$54,$AE358,6)/$AG358,4))</f>
        <v>1.9205000000000001</v>
      </c>
      <c r="O358" s="9">
        <f>IF($H358&lt;&gt;"OK","",ROUND($G358*使い方と設定!$B$7*$AK358*INDEX(個性タイプマスタ!$Q$5:$AA$54,$AE358,7)/$AG358,4))</f>
        <v>0.71009999999999995</v>
      </c>
      <c r="P358" s="9">
        <f>IF($H358&lt;&gt;"OK","",ROUND($G358*使い方と設定!$B$7*$AK358*INDEX(個性タイプマスタ!$Q$5:$AA$54,$AE358,8)/$AG358,4))</f>
        <v>0.97909999999999997</v>
      </c>
      <c r="Q358" s="9">
        <f>IF($H358&lt;&gt;"OK","",ROUND($G358*使い方と設定!$B$7*$AK358*INDEX(個性タイプマスタ!$Q$5:$AA$54,$AE358,9)/$AG358,4))</f>
        <v>0.78110000000000002</v>
      </c>
      <c r="R358" s="9">
        <f>IF($H358&lt;&gt;"OK","",ROUND($G358*使い方と設定!$B$7*$AK358*INDEX(個性タイプマスタ!$Q$5:$AA$54,$AE358,10)/$AG358,4))</f>
        <v>1.3233999999999999</v>
      </c>
      <c r="S358" s="9">
        <f>IF($H358&lt;&gt;"OK","",ROUND($G358*使い方と設定!$B$7*$AK358*INDEX(個性タイプマスタ!$Q$5:$AA$54,$AE358,11)/$AG358,4))</f>
        <v>0.90380000000000005</v>
      </c>
      <c r="T358" s="9">
        <f>IF($H358&lt;&gt;"OK","",ROUND($G358*使い方と設定!$B$8*$AK358*$AH358*INDEX(属性耐性マスタ!$B$5:$G$10,$AF358,1),4))</f>
        <v>0.18790000000000001</v>
      </c>
      <c r="U358" s="9">
        <f>IF($H358&lt;&gt;"OK","",ROUND($G358*使い方と設定!$B$8*$AK358*$AH358*INDEX(属性耐性マスタ!$B$5:$G$10,$AF358,2),4))</f>
        <v>0.9395</v>
      </c>
      <c r="V358" s="9">
        <f>IF($H358&lt;&gt;"OK","",ROUND($G358*使い方と設定!$B$8*$AK358*$AH358*INDEX(属性耐性マスタ!$B$5:$G$10,$AF358,3),4))</f>
        <v>6.2600000000000003E-2</v>
      </c>
      <c r="W358" s="9">
        <f>IF($H358&lt;&gt;"OK","",ROUND($G358*使い方と設定!$B$8*$AK358*$AH358*INDEX(属性耐性マスタ!$B$5:$G$10,$AF358,4),4))</f>
        <v>6.2600000000000003E-2</v>
      </c>
      <c r="X358" s="9">
        <f>IF($H358&lt;&gt;"OK","",ROUND($G358*使い方と設定!$B$8*$AK358*$AH358*INDEX(属性耐性マスタ!$B$5:$G$10,$AF358,5),4))</f>
        <v>4.7E-2</v>
      </c>
      <c r="Y358" s="9">
        <f>IF($H358&lt;&gt;"OK","",ROUND($G358*使い方と設定!$B$8*$AK358*$AH358*INDEX(属性耐性マスタ!$B$5:$G$10,$AF358,6),4))</f>
        <v>4.7E-2</v>
      </c>
      <c r="Z358" s="9">
        <f>IF($H358&lt;&gt;"OK","",ROUND($G358*使い方と設定!$B$9*$AK358*$AI358,4))</f>
        <v>5.4059999999999997</v>
      </c>
      <c r="AA358" s="10">
        <v>1</v>
      </c>
      <c r="AB358" s="11">
        <f t="shared" si="16"/>
        <v>16.7774</v>
      </c>
      <c r="AC358" s="11">
        <f t="shared" si="17"/>
        <v>1.3466</v>
      </c>
      <c r="AD358" s="7" t="str">
        <f>IF($H358&lt;&gt;"OK","",INDEX(個性タイプマスタ!$P$5:$P$54,$AE358))</f>
        <v>高防御・低攻速の盾役</v>
      </c>
      <c r="AE358">
        <f>IFERROR(MATCH(E358,個性タイプマスタ!$A$5:$A$54,0),0)</f>
        <v>13</v>
      </c>
      <c r="AF358">
        <f>IFERROR(MATCH(F358,属性耐性マスタ!$A$5:$A$10,0),0)</f>
        <v>2</v>
      </c>
      <c r="AG358">
        <f>IF(AE358=0,1,INDEX(個性タイプマスタ!$AB$5:$AB$54,AE358))</f>
        <v>10.395666666666667</v>
      </c>
      <c r="AH358">
        <f>IF(AE358=0,1,INDEX(個性タイプマスタ!$AC$5:$AC$54,AE358))</f>
        <v>1.4</v>
      </c>
      <c r="AI358">
        <f>IF(AE358=0,0,INDEX(個性タイプマスタ!$AD$5:$AD$54,AE358))</f>
        <v>0.96666666666666667</v>
      </c>
      <c r="AJ358" s="16">
        <v>59</v>
      </c>
      <c r="AK358" s="17">
        <f>IF(OR(AJ358="",AJ358&lt;1),"",POWER(使い方と設定!$E$6,AJ358-1))</f>
        <v>9.7259868787470971</v>
      </c>
    </row>
    <row r="359" spans="1:37">
      <c r="A359" t="str">
        <f>+[2]称号!A354</f>
        <v>TITLE_353</v>
      </c>
      <c r="B359" t="str">
        <f>+[2]称号!B354</f>
        <v>幽炎騎士を退けし者</v>
      </c>
      <c r="C359" t="s">
        <v>841</v>
      </c>
      <c r="D359" t="s">
        <v>842</v>
      </c>
      <c r="E359" s="2" t="str">
        <f>[1]モンスター計算!AM357</f>
        <v>近接・魔法盾</v>
      </c>
      <c r="F359" s="2" t="str">
        <f>[1]モンスター計算!C357</f>
        <v>火</v>
      </c>
      <c r="G359" s="8">
        <v>1.2</v>
      </c>
      <c r="H359" t="str">
        <f t="shared" si="15"/>
        <v>OK</v>
      </c>
      <c r="I359" s="9">
        <f>IF($H359&lt;&gt;"OK","",ROUND($G359*使い方と設定!$B$7*$AK359*INDEX(個性タイプマスタ!$Q$5:$AA$54,$AE359,1)/$AG359,4))</f>
        <v>2.6863000000000001</v>
      </c>
      <c r="J359" s="9">
        <f>IF($H359&lt;&gt;"OK","",ROUND($G359*使い方と設定!$B$7*$AK359*INDEX(個性タイプマスタ!$Q$5:$AA$54,$AE359,2)/$AG359,4))</f>
        <v>0.91369999999999996</v>
      </c>
      <c r="K359" s="9">
        <f>IF($H359&lt;&gt;"OK","",ROUND($G359*使い方と設定!$B$7*$AK359*INDEX(個性タイプマスタ!$Q$5:$AA$54,$AE359,3)/$AG359,4))</f>
        <v>4.1532</v>
      </c>
      <c r="L359" s="9">
        <f>IF($H359&lt;&gt;"OK","",ROUND($G359*使い方と設定!$B$7*$AK359*INDEX(個性タイプマスタ!$Q$5:$AA$54,$AE359,4)/$AG359,4))</f>
        <v>0.31559999999999999</v>
      </c>
      <c r="M359" s="9">
        <f>IF($H359&lt;&gt;"OK","",ROUND($G359*使い方と設定!$B$7*$AK359*INDEX(個性タイプマスタ!$Q$5:$AA$54,$AE359,5)/$AG359,4))</f>
        <v>1.2990999999999999</v>
      </c>
      <c r="N359" s="9">
        <f>IF($H359&lt;&gt;"OK","",ROUND($G359*使い方と設定!$B$7*$AK359*INDEX(個性タイプマスタ!$Q$5:$AA$54,$AE359,6)/$AG359,4))</f>
        <v>3.1065999999999998</v>
      </c>
      <c r="O359" s="9">
        <f>IF($H359&lt;&gt;"OK","",ROUND($G359*使い方と設定!$B$7*$AK359*INDEX(個性タイプマスタ!$Q$5:$AA$54,$AE359,7)/$AG359,4))</f>
        <v>0.91369999999999996</v>
      </c>
      <c r="P359" s="9">
        <f>IF($H359&lt;&gt;"OK","",ROUND($G359*使い方と設定!$B$7*$AK359*INDEX(個性タイプマスタ!$Q$5:$AA$54,$AE359,8)/$AG359,4))</f>
        <v>1.0798000000000001</v>
      </c>
      <c r="Q359" s="9">
        <f>IF($H359&lt;&gt;"OK","",ROUND($G359*使い方と設定!$B$7*$AK359*INDEX(個性タイプマスタ!$Q$5:$AA$54,$AE359,9)/$AG359,4))</f>
        <v>0.74919999999999998</v>
      </c>
      <c r="R359" s="9">
        <f>IF($H359&lt;&gt;"OK","",ROUND($G359*使い方と設定!$B$7*$AK359*INDEX(個性タイプマスタ!$Q$5:$AA$54,$AE359,10)/$AG359,4))</f>
        <v>1.3124</v>
      </c>
      <c r="S359" s="9">
        <f>IF($H359&lt;&gt;"OK","",ROUND($G359*使い方と設定!$B$7*$AK359*INDEX(個性タイプマスタ!$Q$5:$AA$54,$AE359,11)/$AG359,4))</f>
        <v>0.9768</v>
      </c>
      <c r="T359" s="9">
        <f>IF($H359&lt;&gt;"OK","",ROUND($G359*使い方と設定!$B$8*$AK359*$AH359*INDEX(属性耐性マスタ!$B$5:$G$10,$AF359,1),4))</f>
        <v>0.89629999999999999</v>
      </c>
      <c r="U359" s="9">
        <f>IF($H359&lt;&gt;"OK","",ROUND($G359*使い方と設定!$B$8*$AK359*$AH359*INDEX(属性耐性マスタ!$B$5:$G$10,$AF359,2),4))</f>
        <v>0.17929999999999999</v>
      </c>
      <c r="V359" s="9">
        <f>IF($H359&lt;&gt;"OK","",ROUND($G359*使い方と設定!$B$8*$AK359*$AH359*INDEX(属性耐性マスタ!$B$5:$G$10,$AF359,3),4))</f>
        <v>5.9799999999999999E-2</v>
      </c>
      <c r="W359" s="9">
        <f>IF($H359&lt;&gt;"OK","",ROUND($G359*使い方と設定!$B$8*$AK359*$AH359*INDEX(属性耐性マスタ!$B$5:$G$10,$AF359,4),4))</f>
        <v>5.9799999999999999E-2</v>
      </c>
      <c r="X359" s="9">
        <f>IF($H359&lt;&gt;"OK","",ROUND($G359*使い方と設定!$B$8*$AK359*$AH359*INDEX(属性耐性マスタ!$B$5:$G$10,$AF359,5),4))</f>
        <v>4.48E-2</v>
      </c>
      <c r="Y359" s="9">
        <f>IF($H359&lt;&gt;"OK","",ROUND($G359*使い方と設定!$B$8*$AK359*$AH359*INDEX(属性耐性マスタ!$B$5:$G$10,$AF359,6),4))</f>
        <v>4.48E-2</v>
      </c>
      <c r="Z359" s="9">
        <f>IF($H359&lt;&gt;"OK","",ROUND($G359*使い方と設定!$B$9*$AK359*$AI359,4))</f>
        <v>5.4951999999999996</v>
      </c>
      <c r="AA359" s="10">
        <v>1</v>
      </c>
      <c r="AB359" s="11">
        <f t="shared" si="16"/>
        <v>17.506399999999999</v>
      </c>
      <c r="AC359" s="11">
        <f t="shared" si="17"/>
        <v>1.2847999999999999</v>
      </c>
      <c r="AD359" s="7" t="str">
        <f>IF($H359&lt;&gt;"OK","",INDEX(個性タイプマスタ!$P$5:$P$54,$AE359))</f>
        <v>魔法耐久を重視した近接</v>
      </c>
      <c r="AE359">
        <f>IFERROR(MATCH(E359,個性タイプマスタ!$A$5:$A$54,0),0)</f>
        <v>38</v>
      </c>
      <c r="AF359">
        <f>IFERROR(MATCH(F359,属性耐性マスタ!$A$5:$A$10,0),0)</f>
        <v>1</v>
      </c>
      <c r="AG359">
        <f>IF(AE359=0,1,INDEX(個性タイプマスタ!$AB$5:$AB$54,AE359))</f>
        <v>10.538000000000002</v>
      </c>
      <c r="AH359">
        <f>IF(AE359=0,1,INDEX(個性タイプマスタ!$AC$5:$AC$54,AE359))</f>
        <v>1.28</v>
      </c>
      <c r="AI359">
        <f>IF(AE359=0,0,INDEX(個性タイプマスタ!$AD$5:$AD$54,AE359))</f>
        <v>0.94166666666666665</v>
      </c>
      <c r="AJ359" s="16">
        <v>59</v>
      </c>
      <c r="AK359" s="17">
        <f>IF(OR(AJ359="",AJ359&lt;1),"",POWER(使い方と設定!$E$6,AJ359-1))</f>
        <v>9.7259868787470971</v>
      </c>
    </row>
    <row r="360" spans="1:37">
      <c r="A360" t="str">
        <f>+[2]称号!A355</f>
        <v>TITLE_354</v>
      </c>
      <c r="B360" t="str">
        <f>+[2]称号!B355</f>
        <v>晶卵の巣を滅ぼし者</v>
      </c>
      <c r="C360" t="s">
        <v>843</v>
      </c>
      <c r="D360" t="s">
        <v>844</v>
      </c>
      <c r="E360" s="2" t="str">
        <f>[1]モンスター計算!AM358</f>
        <v>魔法・耐性特化</v>
      </c>
      <c r="F360" s="2" t="str">
        <f>[1]モンスター計算!C358</f>
        <v>風</v>
      </c>
      <c r="G360" s="8">
        <v>1.25</v>
      </c>
      <c r="H360" t="str">
        <f t="shared" si="15"/>
        <v>OK</v>
      </c>
      <c r="I360" s="9">
        <f>IF($H360&lt;&gt;"OK","",ROUND($G360*使い方と設定!$B$7*$AK360*INDEX(個性タイプマスタ!$Q$5:$AA$54,$AE360,1)/$AG360,4))</f>
        <v>2.0061</v>
      </c>
      <c r="J360" s="9">
        <f>IF($H360&lt;&gt;"OK","",ROUND($G360*使い方と設定!$B$7*$AK360*INDEX(個性タイプマスタ!$Q$5:$AA$54,$AE360,2)/$AG360,4))</f>
        <v>2.4073000000000002</v>
      </c>
      <c r="K360" s="9">
        <f>IF($H360&lt;&gt;"OK","",ROUND($G360*使い方と設定!$B$7*$AK360*INDEX(個性タイプマスタ!$Q$5:$AA$54,$AE360,3)/$AG360,4))</f>
        <v>0.31909999999999999</v>
      </c>
      <c r="L360" s="9">
        <f>IF($H360&lt;&gt;"OK","",ROUND($G360*使い方と設定!$B$7*$AK360*INDEX(個性タイプマスタ!$Q$5:$AA$54,$AE360,4)/$AG360,4))</f>
        <v>4.5591999999999997</v>
      </c>
      <c r="M360" s="9">
        <f>IF($H360&lt;&gt;"OK","",ROUND($G360*使い方と設定!$B$7*$AK360*INDEX(個性タイプマスタ!$Q$5:$AA$54,$AE360,5)/$AG360,4))</f>
        <v>1.4881</v>
      </c>
      <c r="N360" s="9">
        <f>IF($H360&lt;&gt;"OK","",ROUND($G360*使い方と設定!$B$7*$AK360*INDEX(個性タイプマスタ!$Q$5:$AA$54,$AE360,6)/$AG360,4))</f>
        <v>1.5810999999999999</v>
      </c>
      <c r="O360" s="9">
        <f>IF($H360&lt;&gt;"OK","",ROUND($G360*使い方と設定!$B$7*$AK360*INDEX(個性タイプマスタ!$Q$5:$AA$54,$AE360,7)/$AG360,4))</f>
        <v>0.90269999999999995</v>
      </c>
      <c r="P360" s="9">
        <f>IF($H360&lt;&gt;"OK","",ROUND($G360*使い方と設定!$B$7*$AK360*INDEX(個性タイプマスタ!$Q$5:$AA$54,$AE360,8)/$AG360,4))</f>
        <v>1.1064000000000001</v>
      </c>
      <c r="Q360" s="9">
        <f>IF($H360&lt;&gt;"OK","",ROUND($G360*使い方と設定!$B$7*$AK360*INDEX(個性タイプマスタ!$Q$5:$AA$54,$AE360,9)/$AG360,4))</f>
        <v>0.82250000000000001</v>
      </c>
      <c r="R360" s="9">
        <f>IF($H360&lt;&gt;"OK","",ROUND($G360*使い方と設定!$B$7*$AK360*INDEX(個性タイプマスタ!$Q$5:$AA$54,$AE360,10)/$AG360,4))</f>
        <v>1.6778</v>
      </c>
      <c r="S360" s="9">
        <f>IF($H360&lt;&gt;"OK","",ROUND($G360*使い方と設定!$B$7*$AK360*INDEX(個性タイプマスタ!$Q$5:$AA$54,$AE360,11)/$AG360,4))</f>
        <v>1.3658999999999999</v>
      </c>
      <c r="T360" s="9">
        <f>IF($H360&lt;&gt;"OK","",ROUND($G360*使い方と設定!$B$8*$AK360*$AH360*INDEX(属性耐性マスタ!$B$5:$G$10,$AF360,1),4))</f>
        <v>7.2900000000000006E-2</v>
      </c>
      <c r="U360" s="9">
        <f>IF($H360&lt;&gt;"OK","",ROUND($G360*使い方と設定!$B$8*$AK360*$AH360*INDEX(属性耐性マスタ!$B$5:$G$10,$AF360,2),4))</f>
        <v>7.2900000000000006E-2</v>
      </c>
      <c r="V360" s="9">
        <f>IF($H360&lt;&gt;"OK","",ROUND($G360*使い方と設定!$B$8*$AK360*$AH360*INDEX(属性耐性マスタ!$B$5:$G$10,$AF360,3),4))</f>
        <v>1.0942000000000001</v>
      </c>
      <c r="W360" s="9">
        <f>IF($H360&lt;&gt;"OK","",ROUND($G360*使い方と設定!$B$8*$AK360*$AH360*INDEX(属性耐性マスタ!$B$5:$G$10,$AF360,4),4))</f>
        <v>0.27350000000000002</v>
      </c>
      <c r="X360" s="9">
        <f>IF($H360&lt;&gt;"OK","",ROUND($G360*使い方と設定!$B$8*$AK360*$AH360*INDEX(属性耐性マスタ!$B$5:$G$10,$AF360,5),4))</f>
        <v>5.4699999999999999E-2</v>
      </c>
      <c r="Y360" s="9">
        <f>IF($H360&lt;&gt;"OK","",ROUND($G360*使い方と設定!$B$8*$AK360*$AH360*INDEX(属性耐性マスタ!$B$5:$G$10,$AF360,6),4))</f>
        <v>5.4699999999999999E-2</v>
      </c>
      <c r="Z360" s="9">
        <f>IF($H360&lt;&gt;"OK","",ROUND($G360*使い方と設定!$B$9*$AK360*$AI360,4))</f>
        <v>5.7241</v>
      </c>
      <c r="AA360" s="10">
        <v>0.9</v>
      </c>
      <c r="AB360" s="11">
        <f t="shared" si="16"/>
        <v>18.2362</v>
      </c>
      <c r="AC360" s="11">
        <f t="shared" si="17"/>
        <v>1.6229</v>
      </c>
      <c r="AD360" s="7" t="str">
        <f>IF($H360&lt;&gt;"OK","",INDEX(個性タイプマスタ!$P$5:$P$54,$AE360))</f>
        <v>属性耐性重視・他能力は平均</v>
      </c>
      <c r="AE360">
        <f>IFERROR(MATCH(E360,個性タイプマスタ!$A$5:$A$54,0),0)</f>
        <v>26</v>
      </c>
      <c r="AF360">
        <f>IFERROR(MATCH(F360,属性耐性マスタ!$A$5:$A$10,0),0)</f>
        <v>3</v>
      </c>
      <c r="AG360">
        <f>IF(AE360=0,1,INDEX(個性タイプマスタ!$AB$5:$AB$54,AE360))</f>
        <v>9.9996666666666663</v>
      </c>
      <c r="AH360">
        <f>IF(AE360=0,1,INDEX(個性タイプマスタ!$AC$5:$AC$54,AE360))</f>
        <v>1.5</v>
      </c>
      <c r="AI360">
        <f>IF(AE360=0,0,INDEX(個性タイプマスタ!$AD$5:$AD$54,AE360))</f>
        <v>0.94166666666666665</v>
      </c>
      <c r="AJ360" s="16">
        <v>59</v>
      </c>
      <c r="AK360" s="17">
        <f>IF(OR(AJ360="",AJ360&lt;1),"",POWER(使い方と設定!$E$6,AJ360-1))</f>
        <v>9.7259868787470971</v>
      </c>
    </row>
    <row r="361" spans="1:37">
      <c r="A361" t="str">
        <f>+[2]称号!A356</f>
        <v>TITLE_355</v>
      </c>
      <c r="B361" t="str">
        <f>+[2]称号!B356</f>
        <v>蒼竜の咆哮を越えし者</v>
      </c>
      <c r="C361" t="s">
        <v>845</v>
      </c>
      <c r="D361" t="s">
        <v>846</v>
      </c>
      <c r="E361" s="2" t="str">
        <f>[1]モンスター計算!AM359</f>
        <v>魔法・高会心</v>
      </c>
      <c r="F361" s="2" t="str">
        <f>[1]モンスター計算!C359</f>
        <v>火</v>
      </c>
      <c r="G361" s="8">
        <v>1</v>
      </c>
      <c r="H361" t="str">
        <f t="shared" si="15"/>
        <v>OK</v>
      </c>
      <c r="I361" s="9">
        <f>IF($H361&lt;&gt;"OK","",ROUND($G361*使い方と設定!$B$7*$AK361*INDEX(個性タイプマスタ!$Q$5:$AA$54,$AE361,1)/$AG361,4))</f>
        <v>1.0018</v>
      </c>
      <c r="J361" s="9">
        <f>IF($H361&lt;&gt;"OK","",ROUND($G361*使い方と設定!$B$7*$AK361*INDEX(個性タイプマスタ!$Q$5:$AA$54,$AE361,2)/$AG361,4))</f>
        <v>1.6193</v>
      </c>
      <c r="K361" s="9">
        <f>IF($H361&lt;&gt;"OK","",ROUND($G361*使い方と設定!$B$7*$AK361*INDEX(個性タイプマスタ!$Q$5:$AA$54,$AE361,3)/$AG361,4))</f>
        <v>0.17469999999999999</v>
      </c>
      <c r="L361" s="9">
        <f>IF($H361&lt;&gt;"OK","",ROUND($G361*使い方と設定!$B$7*$AK361*INDEX(個性タイプマスタ!$Q$5:$AA$54,$AE361,4)/$AG361,4))</f>
        <v>3.1187999999999998</v>
      </c>
      <c r="M361" s="9">
        <f>IF($H361&lt;&gt;"OK","",ROUND($G361*使い方と設定!$B$7*$AK361*INDEX(個性タイプマスタ!$Q$5:$AA$54,$AE361,5)/$AG361,4))</f>
        <v>0.8165</v>
      </c>
      <c r="N361" s="9">
        <f>IF($H361&lt;&gt;"OK","",ROUND($G361*使い方と設定!$B$7*$AK361*INDEX(個性タイプマスタ!$Q$5:$AA$54,$AE361,6)/$AG361,4))</f>
        <v>0.90129999999999999</v>
      </c>
      <c r="O361" s="9">
        <f>IF($H361&lt;&gt;"OK","",ROUND($G361*使い方と設定!$B$7*$AK361*INDEX(個性タイプマスタ!$Q$5:$AA$54,$AE361,7)/$AG361,4))</f>
        <v>3.5680000000000001</v>
      </c>
      <c r="P361" s="9">
        <f>IF($H361&lt;&gt;"OK","",ROUND($G361*使い方と設定!$B$7*$AK361*INDEX(個性タイプマスタ!$Q$5:$AA$54,$AE361,8)/$AG361,4))</f>
        <v>1.0542</v>
      </c>
      <c r="Q361" s="9">
        <f>IF($H361&lt;&gt;"OK","",ROUND($G361*使い方と設定!$B$7*$AK361*INDEX(個性タイプマスタ!$Q$5:$AA$54,$AE361,9)/$AG361,4))</f>
        <v>0.75480000000000003</v>
      </c>
      <c r="R361" s="9">
        <f>IF($H361&lt;&gt;"OK","",ROUND($G361*使い方と設定!$B$7*$AK361*INDEX(個性タイプマスタ!$Q$5:$AA$54,$AE361,10)/$AG361,4))</f>
        <v>1.1852</v>
      </c>
      <c r="S361" s="9">
        <f>IF($H361&lt;&gt;"OK","",ROUND($G361*使い方と設定!$B$7*$AK361*INDEX(個性タイプマスタ!$Q$5:$AA$54,$AE361,11)/$AG361,4))</f>
        <v>0.97809999999999997</v>
      </c>
      <c r="T361" s="9">
        <f>IF($H361&lt;&gt;"OK","",ROUND($G361*使い方と設定!$B$8*$AK361*$AH361*INDEX(属性耐性マスタ!$B$5:$G$10,$AF361,1),4))</f>
        <v>0.48549999999999999</v>
      </c>
      <c r="U361" s="9">
        <f>IF($H361&lt;&gt;"OK","",ROUND($G361*使い方と設定!$B$8*$AK361*$AH361*INDEX(属性耐性マスタ!$B$5:$G$10,$AF361,2),4))</f>
        <v>9.7100000000000006E-2</v>
      </c>
      <c r="V361" s="9">
        <f>IF($H361&lt;&gt;"OK","",ROUND($G361*使い方と設定!$B$8*$AK361*$AH361*INDEX(属性耐性マスタ!$B$5:$G$10,$AF361,3),4))</f>
        <v>3.2399999999999998E-2</v>
      </c>
      <c r="W361" s="9">
        <f>IF($H361&lt;&gt;"OK","",ROUND($G361*使い方と設定!$B$8*$AK361*$AH361*INDEX(属性耐性マスタ!$B$5:$G$10,$AF361,4),4))</f>
        <v>3.2399999999999998E-2</v>
      </c>
      <c r="X361" s="9">
        <f>IF($H361&lt;&gt;"OK","",ROUND($G361*使い方と設定!$B$8*$AK361*$AH361*INDEX(属性耐性マスタ!$B$5:$G$10,$AF361,5),4))</f>
        <v>2.4299999999999999E-2</v>
      </c>
      <c r="Y361" s="9">
        <f>IF($H361&lt;&gt;"OK","",ROUND($G361*使い方と設定!$B$8*$AK361*$AH361*INDEX(属性耐性マスタ!$B$5:$G$10,$AF361,6),4))</f>
        <v>2.4299999999999999E-2</v>
      </c>
      <c r="Z361" s="9">
        <f>IF($H361&lt;&gt;"OK","",ROUND($G361*使い方と設定!$B$9*$AK361*$AI361,4))</f>
        <v>5.3525</v>
      </c>
      <c r="AA361" s="10">
        <v>0.55000000000000004</v>
      </c>
      <c r="AB361" s="11">
        <f t="shared" si="16"/>
        <v>15.172700000000001</v>
      </c>
      <c r="AC361" s="11">
        <f t="shared" si="17"/>
        <v>0.69599999999999995</v>
      </c>
      <c r="AD361" s="7" t="str">
        <f>IF($H361&lt;&gt;"OK","",INDEX(個性タイプマスタ!$P$5:$P$54,$AE361))</f>
        <v>高い会心率で平均火力を確保</v>
      </c>
      <c r="AE361">
        <f>IFERROR(MATCH(E361,個性タイプマスタ!$A$5:$A$54,0),0)</f>
        <v>22</v>
      </c>
      <c r="AF361">
        <f>IFERROR(MATCH(F361,属性耐性マスタ!$A$5:$A$10,0),0)</f>
        <v>1</v>
      </c>
      <c r="AG361">
        <f>IF(AE361=0,1,INDEX(個性タイプマスタ!$AB$5:$AB$54,AE361))</f>
        <v>12.162000000000001</v>
      </c>
      <c r="AH361">
        <f>IF(AE361=0,1,INDEX(個性タイプマスタ!$AC$5:$AC$54,AE361))</f>
        <v>0.8</v>
      </c>
      <c r="AI361">
        <f>IF(AE361=0,0,INDEX(個性タイプマスタ!$AD$5:$AD$54,AE361))</f>
        <v>1.0583333333333333</v>
      </c>
      <c r="AJ361" s="16">
        <v>60</v>
      </c>
      <c r="AK361" s="17">
        <f>IF(OR(AJ361="",AJ361&lt;1),"",POWER(使い方と設定!$E$6,AJ361-1))</f>
        <v>10.115026353896981</v>
      </c>
    </row>
    <row r="362" spans="1:37">
      <c r="A362" t="str">
        <f>+[2]称号!A357</f>
        <v>TITLE_356</v>
      </c>
      <c r="B362" t="str">
        <f>+[2]称号!B357</f>
        <v>幽晶槍を折りし者</v>
      </c>
      <c r="C362" t="s">
        <v>847</v>
      </c>
      <c r="D362" t="s">
        <v>848</v>
      </c>
      <c r="E362" s="2" t="str">
        <f>[1]モンスター計算!AM360</f>
        <v>魔法・疾走</v>
      </c>
      <c r="F362" s="2" t="str">
        <f>[1]モンスター計算!C360</f>
        <v>水</v>
      </c>
      <c r="G362" s="8">
        <v>1.05</v>
      </c>
      <c r="H362" t="str">
        <f t="shared" si="15"/>
        <v>OK</v>
      </c>
      <c r="I362" s="9">
        <f>IF($H362&lt;&gt;"OK","",ROUND($G362*使い方と設定!$B$7*$AK362*INDEX(個性タイプマスタ!$Q$5:$AA$54,$AE362,1)/$AG362,4))</f>
        <v>1.3340000000000001</v>
      </c>
      <c r="J362" s="9">
        <f>IF($H362&lt;&gt;"OK","",ROUND($G362*使い方と設定!$B$7*$AK362*INDEX(個性タイプマスタ!$Q$5:$AA$54,$AE362,2)/$AG362,4))</f>
        <v>1.5198</v>
      </c>
      <c r="K362" s="9">
        <f>IF($H362&lt;&gt;"OK","",ROUND($G362*使い方と設定!$B$7*$AK362*INDEX(個性タイプマスタ!$Q$5:$AA$54,$AE362,3)/$AG362,4))</f>
        <v>0.2034</v>
      </c>
      <c r="L362" s="9">
        <f>IF($H362&lt;&gt;"OK","",ROUND($G362*使い方と設定!$B$7*$AK362*INDEX(個性タイプマスタ!$Q$5:$AA$54,$AE362,4)/$AG362,4))</f>
        <v>3.8378000000000001</v>
      </c>
      <c r="M362" s="9">
        <f>IF($H362&lt;&gt;"OK","",ROUND($G362*使い方と設定!$B$7*$AK362*INDEX(個性タイプマスタ!$Q$5:$AA$54,$AE362,5)/$AG362,4))</f>
        <v>1.1091</v>
      </c>
      <c r="N362" s="9">
        <f>IF($H362&lt;&gt;"OK","",ROUND($G362*使い方と設定!$B$7*$AK362*INDEX(個性タイプマスタ!$Q$5:$AA$54,$AE362,6)/$AG362,4))</f>
        <v>1.0569</v>
      </c>
      <c r="O362" s="9">
        <f>IF($H362&lt;&gt;"OK","",ROUND($G362*使い方と設定!$B$7*$AK362*INDEX(個性タイプマスタ!$Q$5:$AA$54,$AE362,7)/$AG362,4))</f>
        <v>1.0975999999999999</v>
      </c>
      <c r="P362" s="9">
        <f>IF($H362&lt;&gt;"OK","",ROUND($G362*使い方と設定!$B$7*$AK362*INDEX(個性タイプマスタ!$Q$5:$AA$54,$AE362,8)/$AG362,4))</f>
        <v>0.96460000000000001</v>
      </c>
      <c r="Q362" s="9">
        <f>IF($H362&lt;&gt;"OK","",ROUND($G362*使い方と設定!$B$7*$AK362*INDEX(個性タイプマスタ!$Q$5:$AA$54,$AE362,9)/$AG362,4))</f>
        <v>1.3509</v>
      </c>
      <c r="R362" s="9">
        <f>IF($H362&lt;&gt;"OK","",ROUND($G362*使い方と設定!$B$7*$AK362*INDEX(個性タイプマスタ!$Q$5:$AA$54,$AE362,10)/$AG362,4))</f>
        <v>2.6404000000000001</v>
      </c>
      <c r="S362" s="9">
        <f>IF($H362&lt;&gt;"OK","",ROUND($G362*使い方と設定!$B$7*$AK362*INDEX(個性タイプマスタ!$Q$5:$AA$54,$AE362,11)/$AG362,4))</f>
        <v>0.81669999999999998</v>
      </c>
      <c r="T362" s="9">
        <f>IF($H362&lt;&gt;"OK","",ROUND($G362*使い方と設定!$B$8*$AK362*$AH362*INDEX(属性耐性マスタ!$B$5:$G$10,$AF362,1),4))</f>
        <v>9.1800000000000007E-2</v>
      </c>
      <c r="U362" s="9">
        <f>IF($H362&lt;&gt;"OK","",ROUND($G362*使い方と設定!$B$8*$AK362*$AH362*INDEX(属性耐性マスタ!$B$5:$G$10,$AF362,2),4))</f>
        <v>0.45879999999999999</v>
      </c>
      <c r="V362" s="9">
        <f>IF($H362&lt;&gt;"OK","",ROUND($G362*使い方と設定!$B$8*$AK362*$AH362*INDEX(属性耐性マスタ!$B$5:$G$10,$AF362,3),4))</f>
        <v>3.0599999999999999E-2</v>
      </c>
      <c r="W362" s="9">
        <f>IF($H362&lt;&gt;"OK","",ROUND($G362*使い方と設定!$B$8*$AK362*$AH362*INDEX(属性耐性マスタ!$B$5:$G$10,$AF362,4),4))</f>
        <v>3.0599999999999999E-2</v>
      </c>
      <c r="X362" s="9">
        <f>IF($H362&lt;&gt;"OK","",ROUND($G362*使い方と設定!$B$8*$AK362*$AH362*INDEX(属性耐性マスタ!$B$5:$G$10,$AF362,5),4))</f>
        <v>2.29E-2</v>
      </c>
      <c r="Y362" s="9">
        <f>IF($H362&lt;&gt;"OK","",ROUND($G362*使い方と設定!$B$8*$AK362*$AH362*INDEX(属性耐性マスタ!$B$5:$G$10,$AF362,6),4))</f>
        <v>2.29E-2</v>
      </c>
      <c r="Z362" s="9">
        <f>IF($H362&lt;&gt;"OK","",ROUND($G362*使い方と設定!$B$9*$AK362*$AI362,4))</f>
        <v>6.7264999999999997</v>
      </c>
      <c r="AA362" s="10">
        <v>0.5</v>
      </c>
      <c r="AB362" s="11">
        <f t="shared" si="16"/>
        <v>15.9312</v>
      </c>
      <c r="AC362" s="11">
        <f t="shared" si="17"/>
        <v>0.65759999999999996</v>
      </c>
      <c r="AD362" s="7" t="str">
        <f>IF($H362&lt;&gt;"OK","",INDEX(個性タイプマスタ!$P$5:$P$54,$AE362))</f>
        <v>移動と攻撃速度に特化</v>
      </c>
      <c r="AE362">
        <f>IFERROR(MATCH(E362,個性タイプマスタ!$A$5:$A$54,0),0)</f>
        <v>29</v>
      </c>
      <c r="AF362">
        <f>IFERROR(MATCH(F362,属性耐性マスタ!$A$5:$A$10,0),0)</f>
        <v>2</v>
      </c>
      <c r="AG362">
        <f>IF(AE362=0,1,INDEX(個性タイプマスタ!$AB$5:$AB$54,AE362))</f>
        <v>10.377833333333335</v>
      </c>
      <c r="AH362">
        <f>IF(AE362=0,1,INDEX(個性タイプマスタ!$AC$5:$AC$54,AE362))</f>
        <v>0.72</v>
      </c>
      <c r="AI362">
        <f>IF(AE362=0,0,INDEX(個性タイプマスタ!$AD$5:$AD$54,AE362))</f>
        <v>1.2666666666666666</v>
      </c>
      <c r="AJ362" s="16">
        <v>60</v>
      </c>
      <c r="AK362" s="17">
        <f>IF(OR(AJ362="",AJ362&lt;1),"",POWER(使い方と設定!$E$6,AJ362-1))</f>
        <v>10.115026353896981</v>
      </c>
    </row>
    <row r="363" spans="1:37">
      <c r="A363" t="str">
        <f>+[2]称号!A358</f>
        <v>TITLE_357</v>
      </c>
      <c r="B363" t="str">
        <f>+[2]称号!B358</f>
        <v>紫殻を崩せし者</v>
      </c>
      <c r="C363" t="s">
        <v>849</v>
      </c>
      <c r="D363" t="s">
        <v>850</v>
      </c>
      <c r="E363" s="2" t="str">
        <f>[1]モンスター計算!AM361</f>
        <v>魔法・最終層</v>
      </c>
      <c r="F363" s="2" t="str">
        <f>[1]モンスター計算!C361</f>
        <v>光</v>
      </c>
      <c r="G363" s="8">
        <v>1.1000000000000001</v>
      </c>
      <c r="H363" t="str">
        <f t="shared" si="15"/>
        <v>OK</v>
      </c>
      <c r="I363" s="9">
        <f>IF($H363&lt;&gt;"OK","",ROUND($G363*使い方と設定!$B$7*$AK363*INDEX(個性タイプマスタ!$Q$5:$AA$54,$AE363,1)/$AG363,4))</f>
        <v>2.0236000000000001</v>
      </c>
      <c r="J363" s="9">
        <f>IF($H363&lt;&gt;"OK","",ROUND($G363*使い方と設定!$B$7*$AK363*INDEX(個性タイプマスタ!$Q$5:$AA$54,$AE363,2)/$AG363,4))</f>
        <v>1.6862999999999999</v>
      </c>
      <c r="K363" s="9">
        <f>IF($H363&lt;&gt;"OK","",ROUND($G363*使い方と設定!$B$7*$AK363*INDEX(個性タイプマスタ!$Q$5:$AA$54,$AE363,3)/$AG363,4))</f>
        <v>0.38329999999999997</v>
      </c>
      <c r="L363" s="9">
        <f>IF($H363&lt;&gt;"OK","",ROUND($G363*使い方と設定!$B$7*$AK363*INDEX(個性タイプマスタ!$Q$5:$AA$54,$AE363,4)/$AG363,4))</f>
        <v>3.8325999999999998</v>
      </c>
      <c r="M363" s="9">
        <f>IF($H363&lt;&gt;"OK","",ROUND($G363*使い方と設定!$B$7*$AK363*INDEX(個性タイプマスタ!$Q$5:$AA$54,$AE363,5)/$AG363,4))</f>
        <v>1.694</v>
      </c>
      <c r="N363" s="9">
        <f>IF($H363&lt;&gt;"OK","",ROUND($G363*使い方と設定!$B$7*$AK363*INDEX(個性タイプマスタ!$Q$5:$AA$54,$AE363,6)/$AG363,4))</f>
        <v>1.1075999999999999</v>
      </c>
      <c r="O363" s="9">
        <f>IF($H363&lt;&gt;"OK","",ROUND($G363*使い方と設定!$B$7*$AK363*INDEX(個性タイプマスタ!$Q$5:$AA$54,$AE363,7)/$AG363,4))</f>
        <v>1.3491</v>
      </c>
      <c r="P363" s="9">
        <f>IF($H363&lt;&gt;"OK","",ROUND($G363*使い方と設定!$B$7*$AK363*INDEX(個性タイプマスタ!$Q$5:$AA$54,$AE363,8)/$AG363,4))</f>
        <v>1.0629</v>
      </c>
      <c r="Q363" s="9">
        <f>IF($H363&lt;&gt;"OK","",ROUND($G363*使い方と設定!$B$7*$AK363*INDEX(個性タイプマスタ!$Q$5:$AA$54,$AE363,9)/$AG363,4))</f>
        <v>0.94430000000000003</v>
      </c>
      <c r="R363" s="9">
        <f>IF($H363&lt;&gt;"OK","",ROUND($G363*使い方と設定!$B$7*$AK363*INDEX(個性タイプマスタ!$Q$5:$AA$54,$AE363,10)/$AG363,4))</f>
        <v>1.5329999999999999</v>
      </c>
      <c r="S363" s="9">
        <f>IF($H363&lt;&gt;"OK","",ROUND($G363*使い方と設定!$B$7*$AK363*INDEX(個性タイプマスタ!$Q$5:$AA$54,$AE363,11)/$AG363,4))</f>
        <v>1.0730999999999999</v>
      </c>
      <c r="T363" s="9">
        <f>IF($H363&lt;&gt;"OK","",ROUND($G363*使い方と設定!$B$8*$AK363*$AH363*INDEX(属性耐性マスタ!$B$5:$G$10,$AF363,1),4))</f>
        <v>3.5400000000000001E-2</v>
      </c>
      <c r="U363" s="9">
        <f>IF($H363&lt;&gt;"OK","",ROUND($G363*使い方と設定!$B$8*$AK363*$AH363*INDEX(属性耐性マスタ!$B$5:$G$10,$AF363,2),4))</f>
        <v>3.5400000000000001E-2</v>
      </c>
      <c r="V363" s="9">
        <f>IF($H363&lt;&gt;"OK","",ROUND($G363*使い方と設定!$B$8*$AK363*$AH363*INDEX(属性耐性マスタ!$B$5:$G$10,$AF363,3),4))</f>
        <v>3.5400000000000001E-2</v>
      </c>
      <c r="W363" s="9">
        <f>IF($H363&lt;&gt;"OK","",ROUND($G363*使い方と設定!$B$8*$AK363*$AH363*INDEX(属性耐性マスタ!$B$5:$G$10,$AF363,4),4))</f>
        <v>3.5400000000000001E-2</v>
      </c>
      <c r="X363" s="9">
        <f>IF($H363&lt;&gt;"OK","",ROUND($G363*使い方と設定!$B$8*$AK363*$AH363*INDEX(属性耐性マスタ!$B$5:$G$10,$AF363,5),4))</f>
        <v>0.70760000000000001</v>
      </c>
      <c r="Y363" s="9">
        <f>IF($H363&lt;&gt;"OK","",ROUND($G363*使い方と設定!$B$8*$AK363*$AH363*INDEX(属性耐性マスタ!$B$5:$G$10,$AF363,6),4))</f>
        <v>9.4399999999999998E-2</v>
      </c>
      <c r="Z363" s="9">
        <f>IF($H363&lt;&gt;"OK","",ROUND($G363*使い方と設定!$B$9*$AK363*$AI363,4))</f>
        <v>5.9340999999999999</v>
      </c>
      <c r="AA363" s="10">
        <v>0.25</v>
      </c>
      <c r="AB363" s="11">
        <f t="shared" si="16"/>
        <v>16.689800000000002</v>
      </c>
      <c r="AC363" s="11">
        <f t="shared" si="17"/>
        <v>0.94359999999999999</v>
      </c>
      <c r="AD363" s="7" t="str">
        <f>IF($H363&lt;&gt;"OK","",INDEX(個性タイプマスタ!$P$5:$P$54,$AE363))</f>
        <v>終盤魔法の特別配分</v>
      </c>
      <c r="AE363">
        <f>IFERROR(MATCH(E363,個性タイプマスタ!$A$5:$A$54,0),0)</f>
        <v>8</v>
      </c>
      <c r="AF363">
        <f>IFERROR(MATCH(F363,属性耐性マスタ!$A$5:$A$10,0),0)</f>
        <v>5</v>
      </c>
      <c r="AG363">
        <f>IF(AE363=0,1,INDEX(個性タイプマスタ!$AB$5:$AB$54,AE363))</f>
        <v>10.886833333333332</v>
      </c>
      <c r="AH363">
        <f>IF(AE363=0,1,INDEX(個性タイプマスタ!$AC$5:$AC$54,AE363))</f>
        <v>1.06</v>
      </c>
      <c r="AI363">
        <f>IF(AE363=0,0,INDEX(個性タイプマスタ!$AD$5:$AD$54,AE363))</f>
        <v>1.0666666666666667</v>
      </c>
      <c r="AJ363" s="16">
        <v>60</v>
      </c>
      <c r="AK363" s="17">
        <f>IF(OR(AJ363="",AJ363&lt;1),"",POWER(使い方と設定!$E$6,AJ363-1))</f>
        <v>10.115026353896981</v>
      </c>
    </row>
    <row r="364" spans="1:37">
      <c r="A364" t="str">
        <f>+[2]称号!A359</f>
        <v>TITLE_358</v>
      </c>
      <c r="B364" t="str">
        <f>+[2]称号!B359</f>
        <v>月眼に選ばれし者</v>
      </c>
      <c r="C364" t="s">
        <v>851</v>
      </c>
      <c r="D364" t="s">
        <v>852</v>
      </c>
      <c r="E364" s="2" t="str">
        <f>[1]モンスター計算!AM362</f>
        <v>近接・鉄壁</v>
      </c>
      <c r="F364" s="2" t="str">
        <f>[1]モンスター計算!C362</f>
        <v>水</v>
      </c>
      <c r="G364" s="8">
        <v>1.1499999999999999</v>
      </c>
      <c r="H364" t="str">
        <f t="shared" si="15"/>
        <v>OK</v>
      </c>
      <c r="I364" s="9">
        <f>IF($H364&lt;&gt;"OK","",ROUND($G364*使い方と設定!$B$7*$AK364*INDEX(個性タイプマスタ!$Q$5:$AA$54,$AE364,1)/$AG364,4))</f>
        <v>3.4222000000000001</v>
      </c>
      <c r="J364" s="9">
        <f>IF($H364&lt;&gt;"OK","",ROUND($G364*使い方と設定!$B$7*$AK364*INDEX(個性タイプマスタ!$Q$5:$AA$54,$AE364,2)/$AG364,4))</f>
        <v>0.67689999999999995</v>
      </c>
      <c r="K364" s="9">
        <f>IF($H364&lt;&gt;"OK","",ROUND($G364*使い方と設定!$B$7*$AK364*INDEX(個性タイプマスタ!$Q$5:$AA$54,$AE364,3)/$AG364,4))</f>
        <v>4.2733999999999996</v>
      </c>
      <c r="L364" s="9">
        <f>IF($H364&lt;&gt;"OK","",ROUND($G364*使い方と設定!$B$7*$AK364*INDEX(個性タイプマスタ!$Q$5:$AA$54,$AE364,4)/$AG364,4))</f>
        <v>0.35899999999999999</v>
      </c>
      <c r="M364" s="9">
        <f>IF($H364&lt;&gt;"OK","",ROUND($G364*使い方と設定!$B$7*$AK364*INDEX(個性タイプマスタ!$Q$5:$AA$54,$AE364,5)/$AG364,4))</f>
        <v>3.1238999999999999</v>
      </c>
      <c r="N364" s="9">
        <f>IF($H364&lt;&gt;"OK","",ROUND($G364*使い方と設定!$B$7*$AK364*INDEX(個性タイプマスタ!$Q$5:$AA$54,$AE364,6)/$AG364,4))</f>
        <v>1.5401</v>
      </c>
      <c r="O364" s="9">
        <f>IF($H364&lt;&gt;"OK","",ROUND($G364*使い方と設定!$B$7*$AK364*INDEX(個性タイプマスタ!$Q$5:$AA$54,$AE364,7)/$AG364,4))</f>
        <v>0.56410000000000005</v>
      </c>
      <c r="P364" s="9">
        <f>IF($H364&lt;&gt;"OK","",ROUND($G364*使い方と設定!$B$7*$AK364*INDEX(個性タイプマスタ!$Q$5:$AA$54,$AE364,8)/$AG364,4))</f>
        <v>1</v>
      </c>
      <c r="Q364" s="9">
        <f>IF($H364&lt;&gt;"OK","",ROUND($G364*使い方と設定!$B$7*$AK364*INDEX(個性タイプマスタ!$Q$5:$AA$54,$AE364,9)/$AG364,4))</f>
        <v>0.56410000000000005</v>
      </c>
      <c r="R364" s="9">
        <f>IF($H364&lt;&gt;"OK","",ROUND($G364*使い方と設定!$B$7*$AK364*INDEX(個性タイプマスタ!$Q$5:$AA$54,$AE364,10)/$AG364,4))</f>
        <v>1.1111</v>
      </c>
      <c r="S364" s="9">
        <f>IF($H364&lt;&gt;"OK","",ROUND($G364*使い方と設定!$B$7*$AK364*INDEX(個性タイプマスタ!$Q$5:$AA$54,$AE364,11)/$AG364,4))</f>
        <v>0.81369999999999998</v>
      </c>
      <c r="T364" s="9">
        <f>IF($H364&lt;&gt;"OK","",ROUND($G364*使い方と設定!$B$8*$AK364*$AH364*INDEX(属性耐性マスタ!$B$5:$G$10,$AF364,1),4))</f>
        <v>0.19539999999999999</v>
      </c>
      <c r="U364" s="9">
        <f>IF($H364&lt;&gt;"OK","",ROUND($G364*使い方と設定!$B$8*$AK364*$AH364*INDEX(属性耐性マスタ!$B$5:$G$10,$AF364,2),4))</f>
        <v>0.97709999999999997</v>
      </c>
      <c r="V364" s="9">
        <f>IF($H364&lt;&gt;"OK","",ROUND($G364*使い方と設定!$B$8*$AK364*$AH364*INDEX(属性耐性マスタ!$B$5:$G$10,$AF364,3),4))</f>
        <v>6.5100000000000005E-2</v>
      </c>
      <c r="W364" s="9">
        <f>IF($H364&lt;&gt;"OK","",ROUND($G364*使い方と設定!$B$8*$AK364*$AH364*INDEX(属性耐性マスタ!$B$5:$G$10,$AF364,4),4))</f>
        <v>6.5100000000000005E-2</v>
      </c>
      <c r="X364" s="9">
        <f>IF($H364&lt;&gt;"OK","",ROUND($G364*使い方と設定!$B$8*$AK364*$AH364*INDEX(属性耐性マスタ!$B$5:$G$10,$AF364,5),4))</f>
        <v>4.8899999999999999E-2</v>
      </c>
      <c r="Y364" s="9">
        <f>IF($H364&lt;&gt;"OK","",ROUND($G364*使い方と設定!$B$8*$AK364*$AH364*INDEX(属性耐性マスタ!$B$5:$G$10,$AF364,6),4))</f>
        <v>4.8899999999999999E-2</v>
      </c>
      <c r="Z364" s="9">
        <f>IF($H364&lt;&gt;"OK","",ROUND($G364*使い方と設定!$B$9*$AK364*$AI364,4))</f>
        <v>4.9436999999999998</v>
      </c>
      <c r="AA364" s="10">
        <v>1</v>
      </c>
      <c r="AB364" s="11">
        <f t="shared" si="16"/>
        <v>17.448499999999999</v>
      </c>
      <c r="AC364" s="11">
        <f t="shared" si="17"/>
        <v>1.4005000000000001</v>
      </c>
      <c r="AD364" s="7" t="str">
        <f>IF($H364&lt;&gt;"OK","",INDEX(個性タイプマスタ!$P$5:$P$54,$AE364))</f>
        <v>物防とHPが突出した防壁型</v>
      </c>
      <c r="AE364">
        <f>IFERROR(MATCH(E364,個性タイプマスタ!$A$5:$A$54,0),0)</f>
        <v>37</v>
      </c>
      <c r="AF364">
        <f>IFERROR(MATCH(F364,属性耐性マスタ!$A$5:$A$10,0),0)</f>
        <v>2</v>
      </c>
      <c r="AG364">
        <f>IF(AE364=0,1,INDEX(個性タイプマスタ!$AB$5:$AB$54,AE364))</f>
        <v>10.2075</v>
      </c>
      <c r="AH364">
        <f>IF(AE364=0,1,INDEX(個性タイプマスタ!$AC$5:$AC$54,AE364))</f>
        <v>1.4</v>
      </c>
      <c r="AI364">
        <f>IF(AE364=0,0,INDEX(個性タイプマスタ!$AD$5:$AD$54,AE364))</f>
        <v>0.85</v>
      </c>
      <c r="AJ364" s="16">
        <v>60</v>
      </c>
      <c r="AK364" s="17">
        <f>IF(OR(AJ364="",AJ364&lt;1),"",POWER(使い方と設定!$E$6,AJ364-1))</f>
        <v>10.115026353896981</v>
      </c>
    </row>
    <row r="365" spans="1:37">
      <c r="A365" t="str">
        <f>+[2]称号!A360</f>
        <v>TITLE_359</v>
      </c>
      <c r="B365" t="str">
        <f>+[2]称号!B360</f>
        <v>百晶刃を踏破せし者</v>
      </c>
      <c r="C365" t="s">
        <v>853</v>
      </c>
      <c r="D365" t="s">
        <v>854</v>
      </c>
      <c r="E365" s="2" t="str">
        <f>[1]モンスター計算!AM363</f>
        <v>近接・強襲</v>
      </c>
      <c r="F365" s="2" t="str">
        <f>[1]モンスター計算!C363</f>
        <v>火</v>
      </c>
      <c r="G365" s="8">
        <v>1.2</v>
      </c>
      <c r="H365" t="str">
        <f t="shared" si="15"/>
        <v>OK</v>
      </c>
      <c r="I365" s="9">
        <f>IF($H365&lt;&gt;"OK","",ROUND($G365*使い方と設定!$B$7*$AK365*INDEX(個性タイプマスタ!$Q$5:$AA$54,$AE365,1)/$AG365,4))</f>
        <v>1.5308999999999999</v>
      </c>
      <c r="J365" s="9">
        <f>IF($H365&lt;&gt;"OK","",ROUND($G365*使い方と設定!$B$7*$AK365*INDEX(個性タイプマスタ!$Q$5:$AA$54,$AE365,2)/$AG365,4))</f>
        <v>0.8236</v>
      </c>
      <c r="K365" s="9">
        <f>IF($H365&lt;&gt;"OK","",ROUND($G365*使い方と設定!$B$7*$AK365*INDEX(個性タイプマスタ!$Q$5:$AA$54,$AE365,3)/$AG365,4))</f>
        <v>4.4040999999999997</v>
      </c>
      <c r="L365" s="9">
        <f>IF($H365&lt;&gt;"OK","",ROUND($G365*使い方と設定!$B$7*$AK365*INDEX(個性タイプマスタ!$Q$5:$AA$54,$AE365,4)/$AG365,4))</f>
        <v>0.30830000000000002</v>
      </c>
      <c r="M365" s="9">
        <f>IF($H365&lt;&gt;"OK","",ROUND($G365*使い方と設定!$B$7*$AK365*INDEX(個性タイプマスタ!$Q$5:$AA$54,$AE365,5)/$AG365,4))</f>
        <v>1.1830000000000001</v>
      </c>
      <c r="N365" s="9">
        <f>IF($H365&lt;&gt;"OK","",ROUND($G365*使い方と設定!$B$7*$AK365*INDEX(個性タイプマスタ!$Q$5:$AA$54,$AE365,6)/$AG365,4))</f>
        <v>1.0931</v>
      </c>
      <c r="O365" s="9">
        <f>IF($H365&lt;&gt;"OK","",ROUND($G365*使い方と設定!$B$7*$AK365*INDEX(個性タイプマスタ!$Q$5:$AA$54,$AE365,7)/$AG365,4))</f>
        <v>1.9378</v>
      </c>
      <c r="P365" s="9">
        <f>IF($H365&lt;&gt;"OK","",ROUND($G365*使い方と設定!$B$7*$AK365*INDEX(個性タイプマスタ!$Q$5:$AA$54,$AE365,8)/$AG365,4))</f>
        <v>1.4123000000000001</v>
      </c>
      <c r="Q365" s="9">
        <f>IF($H365&lt;&gt;"OK","",ROUND($G365*使い方と設定!$B$7*$AK365*INDEX(個性タイプマスタ!$Q$5:$AA$54,$AE365,9)/$AG365,4))</f>
        <v>1.5503</v>
      </c>
      <c r="R365" s="9">
        <f>IF($H365&lt;&gt;"OK","",ROUND($G365*使い方と設定!$B$7*$AK365*INDEX(個性タイプマスタ!$Q$5:$AA$54,$AE365,10)/$AG365,4))</f>
        <v>2.4839000000000002</v>
      </c>
      <c r="S365" s="9">
        <f>IF($H365&lt;&gt;"OK","",ROUND($G365*使い方と設定!$B$7*$AK365*INDEX(個性タイプマスタ!$Q$5:$AA$54,$AE365,11)/$AG365,4))</f>
        <v>1.4798</v>
      </c>
      <c r="T365" s="9">
        <f>IF($H365&lt;&gt;"OK","",ROUND($G365*使い方と設定!$B$8*$AK365*$AH365*INDEX(属性耐性マスタ!$B$5:$G$10,$AF365,1),4))</f>
        <v>0.56810000000000005</v>
      </c>
      <c r="U365" s="9">
        <f>IF($H365&lt;&gt;"OK","",ROUND($G365*使い方と設定!$B$8*$AK365*$AH365*INDEX(属性耐性マスタ!$B$5:$G$10,$AF365,2),4))</f>
        <v>0.11360000000000001</v>
      </c>
      <c r="V365" s="9">
        <f>IF($H365&lt;&gt;"OK","",ROUND($G365*使い方と設定!$B$8*$AK365*$AH365*INDEX(属性耐性マスタ!$B$5:$G$10,$AF365,3),4))</f>
        <v>3.7900000000000003E-2</v>
      </c>
      <c r="W365" s="9">
        <f>IF($H365&lt;&gt;"OK","",ROUND($G365*使い方と設定!$B$8*$AK365*$AH365*INDEX(属性耐性マスタ!$B$5:$G$10,$AF365,4),4))</f>
        <v>3.7900000000000003E-2</v>
      </c>
      <c r="X365" s="9">
        <f>IF($H365&lt;&gt;"OK","",ROUND($G365*使い方と設定!$B$8*$AK365*$AH365*INDEX(属性耐性マスタ!$B$5:$G$10,$AF365,5),4))</f>
        <v>2.8400000000000002E-2</v>
      </c>
      <c r="Y365" s="9">
        <f>IF($H365&lt;&gt;"OK","",ROUND($G365*使い方と設定!$B$8*$AK365*$AH365*INDEX(属性耐性マスタ!$B$5:$G$10,$AF365,6),4))</f>
        <v>2.8400000000000002E-2</v>
      </c>
      <c r="Z365" s="9">
        <f>IF($H365&lt;&gt;"OK","",ROUND($G365*使い方と設定!$B$9*$AK365*$AI365,4))</f>
        <v>7.6874000000000002</v>
      </c>
      <c r="AA365" s="10">
        <v>1</v>
      </c>
      <c r="AB365" s="11">
        <f t="shared" si="16"/>
        <v>18.207100000000001</v>
      </c>
      <c r="AC365" s="11">
        <f t="shared" si="17"/>
        <v>0.81430000000000002</v>
      </c>
      <c r="AD365" s="7" t="str">
        <f>IF($H365&lt;&gt;"OK","",INDEX(個性タイプマスタ!$P$5:$P$54,$AE365))</f>
        <v>速い接近・間合い広めの強襲型</v>
      </c>
      <c r="AE365">
        <f>IFERROR(MATCH(E365,個性タイプマスタ!$A$5:$A$54,0),0)</f>
        <v>44</v>
      </c>
      <c r="AF365">
        <f>IFERROR(MATCH(F365,属性耐性マスタ!$A$5:$A$10,0),0)</f>
        <v>1</v>
      </c>
      <c r="AG365">
        <f>IF(AE365=0,1,INDEX(個性タイプマスタ!$AB$5:$AB$54,AE365))</f>
        <v>10.335166666666666</v>
      </c>
      <c r="AH365">
        <f>IF(AE365=0,1,INDEX(個性タイプマスタ!$AC$5:$AC$54,AE365))</f>
        <v>0.78</v>
      </c>
      <c r="AI365">
        <f>IF(AE365=0,0,INDEX(個性タイプマスタ!$AD$5:$AD$54,AE365))</f>
        <v>1.2666666666666666</v>
      </c>
      <c r="AJ365" s="16">
        <v>60</v>
      </c>
      <c r="AK365" s="17">
        <f>IF(OR(AJ365="",AJ365&lt;1),"",POWER(使い方と設定!$E$6,AJ365-1))</f>
        <v>10.115026353896981</v>
      </c>
    </row>
    <row r="366" spans="1:37">
      <c r="A366" t="str">
        <f>+[2]称号!A361</f>
        <v>TITLE_360</v>
      </c>
      <c r="B366" t="str">
        <f>+[2]称号!B361</f>
        <v>獄角の鎖を断ちし者</v>
      </c>
      <c r="C366" t="s">
        <v>855</v>
      </c>
      <c r="D366" t="s">
        <v>856</v>
      </c>
      <c r="E366" s="2" t="str">
        <f>[1]モンスター計算!AM364</f>
        <v>魔法・軽量</v>
      </c>
      <c r="F366" s="2" t="str">
        <f>[1]モンスター計算!C364</f>
        <v>風</v>
      </c>
      <c r="G366" s="8">
        <v>1.25</v>
      </c>
      <c r="H366" t="str">
        <f t="shared" si="15"/>
        <v>OK</v>
      </c>
      <c r="I366" s="9">
        <f>IF($H366&lt;&gt;"OK","",ROUND($G366*使い方と設定!$B$7*$AK366*INDEX(個性タイプマスタ!$Q$5:$AA$54,$AE366,1)/$AG366,4))</f>
        <v>1.7905</v>
      </c>
      <c r="J366" s="9">
        <f>IF($H366&lt;&gt;"OK","",ROUND($G366*使い方と設定!$B$7*$AK366*INDEX(個性タイプマスタ!$Q$5:$AA$54,$AE366,2)/$AG366,4))</f>
        <v>1.9651000000000001</v>
      </c>
      <c r="K366" s="9">
        <f>IF($H366&lt;&gt;"OK","",ROUND($G366*使い方と設定!$B$7*$AK366*INDEX(個性タイプマスタ!$Q$5:$AA$54,$AE366,3)/$AG366,4))</f>
        <v>0.49619999999999997</v>
      </c>
      <c r="L366" s="9">
        <f>IF($H366&lt;&gt;"OK","",ROUND($G366*使い方と設定!$B$7*$AK366*INDEX(個性タイプマスタ!$Q$5:$AA$54,$AE366,4)/$AG366,4))</f>
        <v>4.9625000000000004</v>
      </c>
      <c r="M366" s="9">
        <f>IF($H366&lt;&gt;"OK","",ROUND($G366*使い方と設定!$B$7*$AK366*INDEX(個性タイプマスタ!$Q$5:$AA$54,$AE366,5)/$AG366,4))</f>
        <v>1.4341999999999999</v>
      </c>
      <c r="N366" s="9">
        <f>IF($H366&lt;&gt;"OK","",ROUND($G366*使い方と設定!$B$7*$AK366*INDEX(個性タイプマスタ!$Q$5:$AA$54,$AE366,6)/$AG366,4))</f>
        <v>1.6872</v>
      </c>
      <c r="O366" s="9">
        <f>IF($H366&lt;&gt;"OK","",ROUND($G366*使い方と設定!$B$7*$AK366*INDEX(個性タイプマスタ!$Q$5:$AA$54,$AE366,7)/$AG366,4))</f>
        <v>1.0916999999999999</v>
      </c>
      <c r="P366" s="9">
        <f>IF($H366&lt;&gt;"OK","",ROUND($G366*使い方と設定!$B$7*$AK366*INDEX(個性タイプマスタ!$Q$5:$AA$54,$AE366,8)/$AG366,4))</f>
        <v>1.2902</v>
      </c>
      <c r="Q366" s="9">
        <f>IF($H366&lt;&gt;"OK","",ROUND($G366*使い方と設定!$B$7*$AK366*INDEX(個性タイプマスタ!$Q$5:$AA$54,$AE366,9)/$AG366,4))</f>
        <v>0.87339999999999995</v>
      </c>
      <c r="R366" s="9">
        <f>IF($H366&lt;&gt;"OK","",ROUND($G366*使い方と設定!$B$7*$AK366*INDEX(個性タイプマスタ!$Q$5:$AA$54,$AE366,10)/$AG366,4))</f>
        <v>1.9850000000000001</v>
      </c>
      <c r="S366" s="9">
        <f>IF($H366&lt;&gt;"OK","",ROUND($G366*使い方と設定!$B$7*$AK366*INDEX(個性タイプマスタ!$Q$5:$AA$54,$AE366,11)/$AG366,4))</f>
        <v>1.3895</v>
      </c>
      <c r="T366" s="9">
        <f>IF($H366&lt;&gt;"OK","",ROUND($G366*使い方と設定!$B$8*$AK366*$AH366*INDEX(属性耐性マスタ!$B$5:$G$10,$AF366,1),4))</f>
        <v>4.65E-2</v>
      </c>
      <c r="U366" s="9">
        <f>IF($H366&lt;&gt;"OK","",ROUND($G366*使い方と設定!$B$8*$AK366*$AH366*INDEX(属性耐性マスタ!$B$5:$G$10,$AF366,2),4))</f>
        <v>4.65E-2</v>
      </c>
      <c r="V366" s="9">
        <f>IF($H366&lt;&gt;"OK","",ROUND($G366*使い方と設定!$B$8*$AK366*$AH366*INDEX(属性耐性マスタ!$B$5:$G$10,$AF366,3),4))</f>
        <v>0.69789999999999996</v>
      </c>
      <c r="W366" s="9">
        <f>IF($H366&lt;&gt;"OK","",ROUND($G366*使い方と設定!$B$8*$AK366*$AH366*INDEX(属性耐性マスタ!$B$5:$G$10,$AF366,4),4))</f>
        <v>0.17449999999999999</v>
      </c>
      <c r="X366" s="9">
        <f>IF($H366&lt;&gt;"OK","",ROUND($G366*使い方と設定!$B$8*$AK366*$AH366*INDEX(属性耐性マスタ!$B$5:$G$10,$AF366,5),4))</f>
        <v>3.49E-2</v>
      </c>
      <c r="Y366" s="9">
        <f>IF($H366&lt;&gt;"OK","",ROUND($G366*使い方と設定!$B$8*$AK366*$AH366*INDEX(属性耐性マスタ!$B$5:$G$10,$AF366,6),4))</f>
        <v>3.49E-2</v>
      </c>
      <c r="Z366" s="9">
        <f>IF($H366&lt;&gt;"OK","",ROUND($G366*使い方と設定!$B$9*$AK366*$AI366,4))</f>
        <v>5.9004000000000003</v>
      </c>
      <c r="AA366" s="10">
        <v>0.9</v>
      </c>
      <c r="AB366" s="11">
        <f t="shared" si="16"/>
        <v>18.965499999999999</v>
      </c>
      <c r="AC366" s="11">
        <f t="shared" si="17"/>
        <v>1.0351999999999999</v>
      </c>
      <c r="AD366" s="7" t="str">
        <f>IF($H366&lt;&gt;"OK","",INDEX(個性タイプマスタ!$P$5:$P$54,$AE366))</f>
        <v>軽快な魔法型。耐久控えめ・成長余地大</v>
      </c>
      <c r="AE366">
        <f>IFERROR(MATCH(E366,個性タイプマスタ!$A$5:$A$54,0),0)</f>
        <v>1</v>
      </c>
      <c r="AF366">
        <f>IFERROR(MATCH(F366,属性耐性マスタ!$A$5:$A$10,0),0)</f>
        <v>3</v>
      </c>
      <c r="AG366">
        <f>IF(AE366=0,1,INDEX(個性タイプマスタ!$AB$5:$AB$54,AE366))</f>
        <v>9.5545000000000009</v>
      </c>
      <c r="AH366">
        <f>IF(AE366=0,1,INDEX(個性タイプマスタ!$AC$5:$AC$54,AE366))</f>
        <v>0.92</v>
      </c>
      <c r="AI366">
        <f>IF(AE366=0,0,INDEX(個性タイプマスタ!$AD$5:$AD$54,AE366))</f>
        <v>0.93333333333333335</v>
      </c>
      <c r="AJ366" s="16">
        <v>60</v>
      </c>
      <c r="AK366" s="17">
        <f>IF(OR(AJ366="",AJ366&lt;1),"",POWER(使い方と設定!$E$6,AJ366-1))</f>
        <v>10.115026353896981</v>
      </c>
    </row>
    <row r="367" spans="1:37">
      <c r="A367" t="str">
        <f>+[2]称号!A362</f>
        <v>TITLE_361</v>
      </c>
      <c r="B367" t="str">
        <f>+[2]称号!B362</f>
        <v>黒翼と舞いし者</v>
      </c>
      <c r="C367" t="s">
        <v>857</v>
      </c>
      <c r="D367" t="s">
        <v>858</v>
      </c>
      <c r="E367" s="2" t="str">
        <f>[1]モンスター計算!AM365</f>
        <v>近接・高魔防</v>
      </c>
      <c r="F367" s="2" t="str">
        <f>[1]モンスター計算!C365</f>
        <v>火</v>
      </c>
      <c r="G367" s="8">
        <v>1</v>
      </c>
      <c r="H367" t="str">
        <f t="shared" si="15"/>
        <v>OK</v>
      </c>
      <c r="I367" s="9">
        <f>IF($H367&lt;&gt;"OK","",ROUND($G367*使い方と設定!$B$7*$AK367*INDEX(個性タイプマスタ!$Q$5:$AA$54,$AE367,1)/$AG367,4))</f>
        <v>1.9928999999999999</v>
      </c>
      <c r="J367" s="9">
        <f>IF($H367&lt;&gt;"OK","",ROUND($G367*使い方と設定!$B$7*$AK367*INDEX(個性タイプマスタ!$Q$5:$AA$54,$AE367,2)/$AG367,4))</f>
        <v>0.93</v>
      </c>
      <c r="K367" s="9">
        <f>IF($H367&lt;&gt;"OK","",ROUND($G367*使い方と設定!$B$7*$AK367*INDEX(個性タイプマスタ!$Q$5:$AA$54,$AE367,3)/$AG367,4))</f>
        <v>3.7744</v>
      </c>
      <c r="L367" s="9">
        <f>IF($H367&lt;&gt;"OK","",ROUND($G367*使い方と設定!$B$7*$AK367*INDEX(個性タイプマスタ!$Q$5:$AA$54,$AE367,4)/$AG367,4))</f>
        <v>0.31330000000000002</v>
      </c>
      <c r="M367" s="9">
        <f>IF($H367&lt;&gt;"OK","",ROUND($G367*使い方と設定!$B$7*$AK367*INDEX(個性タイプマスタ!$Q$5:$AA$54,$AE367,5)/$AG367,4))</f>
        <v>0.97529999999999994</v>
      </c>
      <c r="N367" s="9">
        <f>IF($H367&lt;&gt;"OK","",ROUND($G367*使い方と設定!$B$7*$AK367*INDEX(個性タイプマスタ!$Q$5:$AA$54,$AE367,6)/$AG367,4))</f>
        <v>2.6949999999999998</v>
      </c>
      <c r="O367" s="9">
        <f>IF($H367&lt;&gt;"OK","",ROUND($G367*使い方と設定!$B$7*$AK367*INDEX(個性タイプマスタ!$Q$5:$AA$54,$AE367,7)/$AG367,4))</f>
        <v>0.83040000000000003</v>
      </c>
      <c r="P367" s="9">
        <f>IF($H367&lt;&gt;"OK","",ROUND($G367*使い方と設定!$B$7*$AK367*INDEX(個性タイプマスタ!$Q$5:$AA$54,$AE367,8)/$AG367,4))</f>
        <v>0.9617</v>
      </c>
      <c r="Q367" s="9">
        <f>IF($H367&lt;&gt;"OK","",ROUND($G367*使い方と設定!$B$7*$AK367*INDEX(個性タイプマスタ!$Q$5:$AA$54,$AE367,9)/$AG367,4))</f>
        <v>0.81379999999999997</v>
      </c>
      <c r="R367" s="9">
        <f>IF($H367&lt;&gt;"OK","",ROUND($G367*使い方と設定!$B$7*$AK367*INDEX(個性タイプマスタ!$Q$5:$AA$54,$AE367,10)/$AG367,4))</f>
        <v>1.5098</v>
      </c>
      <c r="S367" s="9">
        <f>IF($H367&lt;&gt;"OK","",ROUND($G367*使い方と設定!$B$7*$AK367*INDEX(個性タイプマスタ!$Q$5:$AA$54,$AE367,11)/$AG367,4))</f>
        <v>0.9829</v>
      </c>
      <c r="T367" s="9">
        <f>IF($H367&lt;&gt;"OK","",ROUND($G367*使い方と設定!$B$8*$AK367*$AH367*INDEX(属性耐性マスタ!$B$5:$G$10,$AF367,1),4))</f>
        <v>0.79530000000000001</v>
      </c>
      <c r="U367" s="9">
        <f>IF($H367&lt;&gt;"OK","",ROUND($G367*使い方と設定!$B$8*$AK367*$AH367*INDEX(属性耐性マスタ!$B$5:$G$10,$AF367,2),4))</f>
        <v>0.15909999999999999</v>
      </c>
      <c r="V367" s="9">
        <f>IF($H367&lt;&gt;"OK","",ROUND($G367*使い方と設定!$B$8*$AK367*$AH367*INDEX(属性耐性マスタ!$B$5:$G$10,$AF367,3),4))</f>
        <v>5.2999999999999999E-2</v>
      </c>
      <c r="W367" s="9">
        <f>IF($H367&lt;&gt;"OK","",ROUND($G367*使い方と設定!$B$8*$AK367*$AH367*INDEX(属性耐性マスタ!$B$5:$G$10,$AF367,4),4))</f>
        <v>5.2999999999999999E-2</v>
      </c>
      <c r="X367" s="9">
        <f>IF($H367&lt;&gt;"OK","",ROUND($G367*使い方と設定!$B$8*$AK367*$AH367*INDEX(属性耐性マスタ!$B$5:$G$10,$AF367,5),4))</f>
        <v>3.9800000000000002E-2</v>
      </c>
      <c r="Y367" s="9">
        <f>IF($H367&lt;&gt;"OK","",ROUND($G367*使い方と設定!$B$8*$AK367*$AH367*INDEX(属性耐性マスタ!$B$5:$G$10,$AF367,6),4))</f>
        <v>3.9800000000000002E-2</v>
      </c>
      <c r="Z367" s="9">
        <f>IF($H367&lt;&gt;"OK","",ROUND($G367*使い方と設定!$B$9*$AK367*$AI367,4))</f>
        <v>5.3036000000000003</v>
      </c>
      <c r="AA367" s="10">
        <v>0.55000000000000004</v>
      </c>
      <c r="AB367" s="11">
        <f t="shared" si="16"/>
        <v>15.779500000000001</v>
      </c>
      <c r="AC367" s="11">
        <f t="shared" si="17"/>
        <v>1.1399999999999999</v>
      </c>
      <c r="AD367" s="7" t="str">
        <f>IF($H367&lt;&gt;"OK","",INDEX(個性タイプマスタ!$P$5:$P$54,$AE367))</f>
        <v>物理に弱い魔法防御型</v>
      </c>
      <c r="AE367">
        <f>IFERROR(MATCH(E367,個性タイプマスタ!$A$5:$A$54,0),0)</f>
        <v>47</v>
      </c>
      <c r="AF367">
        <f>IFERROR(MATCH(F367,属性耐性マスタ!$A$5:$A$10,0),0)</f>
        <v>1</v>
      </c>
      <c r="AG367">
        <f>IF(AE367=0,1,INDEX(個性タイプマスタ!$AB$5:$AB$54,AE367))</f>
        <v>10.451499999999999</v>
      </c>
      <c r="AH367">
        <f>IF(AE367=0,1,INDEX(個性タイプマスタ!$AC$5:$AC$54,AE367))</f>
        <v>1.26</v>
      </c>
      <c r="AI367">
        <f>IF(AE367=0,0,INDEX(個性タイプマスタ!$AD$5:$AD$54,AE367))</f>
        <v>1.0083333333333333</v>
      </c>
      <c r="AJ367" s="16">
        <v>61</v>
      </c>
      <c r="AK367" s="17">
        <f>IF(OR(AJ367="",AJ367&lt;1),"",POWER(使い方と設定!$E$6,AJ367-1))</f>
        <v>10.519627408052864</v>
      </c>
    </row>
    <row r="368" spans="1:37">
      <c r="A368" t="str">
        <f>+[2]称号!A363</f>
        <v>TITLE_362</v>
      </c>
      <c r="B368" t="str">
        <f>+[2]称号!B363</f>
        <v>熔晶を鎮めし者</v>
      </c>
      <c r="C368" t="s">
        <v>859</v>
      </c>
      <c r="D368" t="s">
        <v>860</v>
      </c>
      <c r="E368" s="2" t="str">
        <f>[1]モンスター計算!AM366</f>
        <v>近接・火力</v>
      </c>
      <c r="F368" s="2" t="str">
        <f>[1]モンスター計算!C366</f>
        <v>水</v>
      </c>
      <c r="G368" s="8">
        <v>1.05</v>
      </c>
      <c r="H368" t="str">
        <f t="shared" si="15"/>
        <v>OK</v>
      </c>
      <c r="I368" s="9">
        <f>IF($H368&lt;&gt;"OK","",ROUND($G368*使い方と設定!$B$7*$AK368*INDEX(個性タイプマスタ!$Q$5:$AA$54,$AE368,1)/$AG368,4))</f>
        <v>1.6163000000000001</v>
      </c>
      <c r="J368" s="9">
        <f>IF($H368&lt;&gt;"OK","",ROUND($G368*使い方と設定!$B$7*$AK368*INDEX(個性タイプマスタ!$Q$5:$AA$54,$AE368,2)/$AG368,4))</f>
        <v>0.71840000000000004</v>
      </c>
      <c r="K368" s="9">
        <f>IF($H368&lt;&gt;"OK","",ROUND($G368*使い方と設定!$B$7*$AK368*INDEX(個性タイプマスタ!$Q$5:$AA$54,$AE368,3)/$AG368,4))</f>
        <v>4.0815999999999999</v>
      </c>
      <c r="L368" s="9">
        <f>IF($H368&lt;&gt;"OK","",ROUND($G368*使い方と設定!$B$7*$AK368*INDEX(個性タイプマスタ!$Q$5:$AA$54,$AE368,4)/$AG368,4))</f>
        <v>0.40820000000000001</v>
      </c>
      <c r="M368" s="9">
        <f>IF($H368&lt;&gt;"OK","",ROUND($G368*使い方と設定!$B$7*$AK368*INDEX(個性タイプマスタ!$Q$5:$AA$54,$AE368,5)/$AG368,4))</f>
        <v>1.2490000000000001</v>
      </c>
      <c r="N368" s="9">
        <f>IF($H368&lt;&gt;"OK","",ROUND($G368*使い方と設定!$B$7*$AK368*INDEX(個性タイプマスタ!$Q$5:$AA$54,$AE368,6)/$AG368,4))</f>
        <v>1.2490000000000001</v>
      </c>
      <c r="O368" s="9">
        <f>IF($H368&lt;&gt;"OK","",ROUND($G368*使い方と設定!$B$7*$AK368*INDEX(個性タイプマスタ!$Q$5:$AA$54,$AE368,7)/$AG368,4))</f>
        <v>1.9755</v>
      </c>
      <c r="P368" s="9">
        <f>IF($H368&lt;&gt;"OK","",ROUND($G368*使い方と設定!$B$7*$AK368*INDEX(個性タイプマスタ!$Q$5:$AA$54,$AE368,8)/$AG368,4))</f>
        <v>1.2381</v>
      </c>
      <c r="Q368" s="9">
        <f>IF($H368&lt;&gt;"OK","",ROUND($G368*使い方と設定!$B$7*$AK368*INDEX(個性タイプマスタ!$Q$5:$AA$54,$AE368,9)/$AG368,4))</f>
        <v>1.0774999999999999</v>
      </c>
      <c r="R368" s="9">
        <f>IF($H368&lt;&gt;"OK","",ROUND($G368*使い方と設定!$B$7*$AK368*INDEX(個性タイプマスタ!$Q$5:$AA$54,$AE368,10)/$AG368,4))</f>
        <v>1.9265000000000001</v>
      </c>
      <c r="S368" s="9">
        <f>IF($H368&lt;&gt;"OK","",ROUND($G368*使い方と設定!$B$7*$AK368*INDEX(個性タイプマスタ!$Q$5:$AA$54,$AE368,11)/$AG368,4))</f>
        <v>1.0286</v>
      </c>
      <c r="T368" s="9">
        <f>IF($H368&lt;&gt;"OK","",ROUND($G368*使い方と設定!$B$8*$AK368*$AH368*INDEX(属性耐性マスタ!$B$5:$G$10,$AF368,1),4))</f>
        <v>0.1166</v>
      </c>
      <c r="U368" s="9">
        <f>IF($H368&lt;&gt;"OK","",ROUND($G368*使い方と設定!$B$8*$AK368*$AH368*INDEX(属性耐性マスタ!$B$5:$G$10,$AF368,2),4))</f>
        <v>0.58320000000000005</v>
      </c>
      <c r="V368" s="9">
        <f>IF($H368&lt;&gt;"OK","",ROUND($G368*使い方と設定!$B$8*$AK368*$AH368*INDEX(属性耐性マスタ!$B$5:$G$10,$AF368,3),4))</f>
        <v>3.8899999999999997E-2</v>
      </c>
      <c r="W368" s="9">
        <f>IF($H368&lt;&gt;"OK","",ROUND($G368*使い方と設定!$B$8*$AK368*$AH368*INDEX(属性耐性マスタ!$B$5:$G$10,$AF368,4),4))</f>
        <v>3.8899999999999997E-2</v>
      </c>
      <c r="X368" s="9">
        <f>IF($H368&lt;&gt;"OK","",ROUND($G368*使い方と設定!$B$8*$AK368*$AH368*INDEX(属性耐性マスタ!$B$5:$G$10,$AF368,5),4))</f>
        <v>2.92E-2</v>
      </c>
      <c r="Y368" s="9">
        <f>IF($H368&lt;&gt;"OK","",ROUND($G368*使い方と設定!$B$8*$AK368*$AH368*INDEX(属性耐性マスタ!$B$5:$G$10,$AF368,6),4))</f>
        <v>2.92E-2</v>
      </c>
      <c r="Z368" s="9">
        <f>IF($H368&lt;&gt;"OK","",ROUND($G368*使い方と設定!$B$9*$AK368*$AI368,4))</f>
        <v>6.0750999999999999</v>
      </c>
      <c r="AA368" s="10">
        <v>0.5</v>
      </c>
      <c r="AB368" s="11">
        <f t="shared" si="16"/>
        <v>16.5687</v>
      </c>
      <c r="AC368" s="11">
        <f t="shared" si="17"/>
        <v>0.83599999999999997</v>
      </c>
      <c r="AD368" s="7" t="str">
        <f>IF($H368&lt;&gt;"OK","",INDEX(個性タイプマスタ!$P$5:$P$54,$AE368))</f>
        <v>攻撃とクリティカル特化</v>
      </c>
      <c r="AE368">
        <f>IFERROR(MATCH(E368,個性タイプマスタ!$A$5:$A$54,0),0)</f>
        <v>11</v>
      </c>
      <c r="AF368">
        <f>IFERROR(MATCH(F368,属性耐性マスタ!$A$5:$A$10,0),0)</f>
        <v>2</v>
      </c>
      <c r="AG368">
        <f>IF(AE368=0,1,INDEX(個性タイプマスタ!$AB$5:$AB$54,AE368))</f>
        <v>10.148333333333333</v>
      </c>
      <c r="AH368">
        <f>IF(AE368=0,1,INDEX(個性タイプマスタ!$AC$5:$AC$54,AE368))</f>
        <v>0.88</v>
      </c>
      <c r="AI368">
        <f>IF(AE368=0,0,INDEX(個性タイプマスタ!$AD$5:$AD$54,AE368))</f>
        <v>1.1000000000000001</v>
      </c>
      <c r="AJ368" s="16">
        <v>61</v>
      </c>
      <c r="AK368" s="17">
        <f>IF(OR(AJ368="",AJ368&lt;1),"",POWER(使い方と設定!$E$6,AJ368-1))</f>
        <v>10.519627408052864</v>
      </c>
    </row>
    <row r="369" spans="1:37">
      <c r="A369" t="str">
        <f>+[2]称号!A364</f>
        <v>TITLE_363</v>
      </c>
      <c r="B369" t="str">
        <f>+[2]称号!B364</f>
        <v>邪眼の糸を断つ者</v>
      </c>
      <c r="C369" t="s">
        <v>861</v>
      </c>
      <c r="D369" t="s">
        <v>862</v>
      </c>
      <c r="E369" s="2" t="str">
        <f>[1]モンスター計算!AM367</f>
        <v>近接・機動</v>
      </c>
      <c r="F369" s="2" t="str">
        <f>[1]モンスター計算!C367</f>
        <v>光</v>
      </c>
      <c r="G369" s="8">
        <v>1.1000000000000001</v>
      </c>
      <c r="H369" t="str">
        <f t="shared" si="15"/>
        <v>OK</v>
      </c>
      <c r="I369" s="9">
        <f>IF($H369&lt;&gt;"OK","",ROUND($G369*使い方と設定!$B$7*$AK369*INDEX(個性タイプマスタ!$Q$5:$AA$54,$AE369,1)/$AG369,4))</f>
        <v>1.3333999999999999</v>
      </c>
      <c r="J369" s="9">
        <f>IF($H369&lt;&gt;"OK","",ROUND($G369*使い方と設定!$B$7*$AK369*INDEX(個性タイプマスタ!$Q$5:$AA$54,$AE369,2)/$AG369,4))</f>
        <v>0.8095</v>
      </c>
      <c r="K369" s="9">
        <f>IF($H369&lt;&gt;"OK","",ROUND($G369*使い方と設定!$B$7*$AK369*INDEX(個性タイプマスタ!$Q$5:$AA$54,$AE369,3)/$AG369,4))</f>
        <v>4.3291000000000004</v>
      </c>
      <c r="L369" s="9">
        <f>IF($H369&lt;&gt;"OK","",ROUND($G369*使い方と設定!$B$7*$AK369*INDEX(個性タイプマスタ!$Q$5:$AA$54,$AE369,4)/$AG369,4))</f>
        <v>0.32469999999999999</v>
      </c>
      <c r="M369" s="9">
        <f>IF($H369&lt;&gt;"OK","",ROUND($G369*使い方と設定!$B$7*$AK369*INDEX(個性タイプマスタ!$Q$5:$AA$54,$AE369,5)/$AG369,4))</f>
        <v>1.1186</v>
      </c>
      <c r="N369" s="9">
        <f>IF($H369&lt;&gt;"OK","",ROUND($G369*使い方と設定!$B$7*$AK369*INDEX(個性タイプマスタ!$Q$5:$AA$54,$AE369,6)/$AG369,4))</f>
        <v>1.1480999999999999</v>
      </c>
      <c r="O369" s="9">
        <f>IF($H369&lt;&gt;"OK","",ROUND($G369*使い方と設定!$B$7*$AK369*INDEX(個性タイプマスタ!$Q$5:$AA$54,$AE369,7)/$AG369,4))</f>
        <v>2.0952999999999999</v>
      </c>
      <c r="P369" s="9">
        <f>IF($H369&lt;&gt;"OK","",ROUND($G369*使い方と設定!$B$7*$AK369*INDEX(個性タイプマスタ!$Q$5:$AA$54,$AE369,8)/$AG369,4))</f>
        <v>1.1856</v>
      </c>
      <c r="Q369" s="9">
        <f>IF($H369&lt;&gt;"OK","",ROUND($G369*使い方と設定!$B$7*$AK369*INDEX(個性タイプマスタ!$Q$5:$AA$54,$AE369,9)/$AG369,4))</f>
        <v>1.6953</v>
      </c>
      <c r="R369" s="9">
        <f>IF($H369&lt;&gt;"OK","",ROUND($G369*使い方と設定!$B$7*$AK369*INDEX(個性タイプマスタ!$Q$5:$AA$54,$AE369,10)/$AG369,4))</f>
        <v>2.2511000000000001</v>
      </c>
      <c r="S369" s="9">
        <f>IF($H369&lt;&gt;"OK","",ROUND($G369*使い方と設定!$B$7*$AK369*INDEX(個性タイプマスタ!$Q$5:$AA$54,$AE369,11)/$AG369,4))</f>
        <v>1.0667</v>
      </c>
      <c r="T369" s="9">
        <f>IF($H369&lt;&gt;"OK","",ROUND($G369*使い方と設定!$B$8*$AK369*$AH369*INDEX(属性耐性マスタ!$B$5:$G$10,$AF369,1),4))</f>
        <v>2.64E-2</v>
      </c>
      <c r="U369" s="9">
        <f>IF($H369&lt;&gt;"OK","",ROUND($G369*使い方と設定!$B$8*$AK369*$AH369*INDEX(属性耐性マスタ!$B$5:$G$10,$AF369,2),4))</f>
        <v>2.64E-2</v>
      </c>
      <c r="V369" s="9">
        <f>IF($H369&lt;&gt;"OK","",ROUND($G369*使い方と設定!$B$8*$AK369*$AH369*INDEX(属性耐性マスタ!$B$5:$G$10,$AF369,3),4))</f>
        <v>2.64E-2</v>
      </c>
      <c r="W369" s="9">
        <f>IF($H369&lt;&gt;"OK","",ROUND($G369*使い方と設定!$B$8*$AK369*$AH369*INDEX(属性耐性マスタ!$B$5:$G$10,$AF369,4),4))</f>
        <v>2.64E-2</v>
      </c>
      <c r="X369" s="9">
        <f>IF($H369&lt;&gt;"OK","",ROUND($G369*使い方と設定!$B$8*$AK369*$AH369*INDEX(属性耐性マスタ!$B$5:$G$10,$AF369,5),4))</f>
        <v>0.52769999999999995</v>
      </c>
      <c r="Y369" s="9">
        <f>IF($H369&lt;&gt;"OK","",ROUND($G369*使い方と設定!$B$8*$AK369*$AH369*INDEX(属性耐性マスタ!$B$5:$G$10,$AF369,6),4))</f>
        <v>7.0400000000000004E-2</v>
      </c>
      <c r="Z369" s="9">
        <f>IF($H369&lt;&gt;"OK","",ROUND($G369*使い方と設定!$B$9*$AK369*$AI369,4))</f>
        <v>7.7625999999999999</v>
      </c>
      <c r="AA369" s="10">
        <v>0.25</v>
      </c>
      <c r="AB369" s="11">
        <f t="shared" si="16"/>
        <v>17.357399999999998</v>
      </c>
      <c r="AC369" s="11">
        <f t="shared" si="17"/>
        <v>0.70369999999999999</v>
      </c>
      <c r="AD369" s="7" t="str">
        <f>IF($H369&lt;&gt;"OK","",INDEX(個性タイプマスタ!$P$5:$P$54,$AE369))</f>
        <v>高移動速度で接敵に優れる</v>
      </c>
      <c r="AE369">
        <f>IFERROR(MATCH(E369,個性タイプマスタ!$A$5:$A$54,0),0)</f>
        <v>36</v>
      </c>
      <c r="AF369">
        <f>IFERROR(MATCH(F369,属性耐性マスタ!$A$5:$A$10,0),0)</f>
        <v>5</v>
      </c>
      <c r="AG369">
        <f>IF(AE369=0,1,INDEX(個性タイプマスタ!$AB$5:$AB$54,AE369))</f>
        <v>10.023666666666667</v>
      </c>
      <c r="AH369">
        <f>IF(AE369=0,1,INDEX(個性タイプマスタ!$AC$5:$AC$54,AE369))</f>
        <v>0.76</v>
      </c>
      <c r="AI369">
        <f>IF(AE369=0,0,INDEX(個性タイプマスタ!$AD$5:$AD$54,AE369))</f>
        <v>1.3416666666666668</v>
      </c>
      <c r="AJ369" s="16">
        <v>61</v>
      </c>
      <c r="AK369" s="17">
        <f>IF(OR(AJ369="",AJ369&lt;1),"",POWER(使い方と設定!$E$6,AJ369-1))</f>
        <v>10.519627408052864</v>
      </c>
    </row>
    <row r="370" spans="1:37">
      <c r="A370" t="str">
        <f>+[2]称号!A365</f>
        <v>TITLE_364</v>
      </c>
      <c r="B370" t="str">
        <f>+[2]称号!B365</f>
        <v>冥祷を退けし者</v>
      </c>
      <c r="C370" t="s">
        <v>863</v>
      </c>
      <c r="D370" t="s">
        <v>864</v>
      </c>
      <c r="E370" s="2" t="str">
        <f>[1]モンスター計算!AM368</f>
        <v>魔法・魔防障壁</v>
      </c>
      <c r="F370" s="2" t="str">
        <f>[1]モンスター計算!C368</f>
        <v>水</v>
      </c>
      <c r="G370" s="8">
        <v>1.1499999999999999</v>
      </c>
      <c r="H370" t="str">
        <f t="shared" si="15"/>
        <v>OK</v>
      </c>
      <c r="I370" s="9">
        <f>IF($H370&lt;&gt;"OK","",ROUND($G370*使い方と設定!$B$7*$AK370*INDEX(個性タイプマスタ!$Q$5:$AA$54,$AE370,1)/$AG370,4))</f>
        <v>1.8768</v>
      </c>
      <c r="J370" s="9">
        <f>IF($H370&lt;&gt;"OK","",ROUND($G370*使い方と設定!$B$7*$AK370*INDEX(個性タイプマスタ!$Q$5:$AA$54,$AE370,2)/$AG370,4))</f>
        <v>3.0985</v>
      </c>
      <c r="K370" s="9">
        <f>IF($H370&lt;&gt;"OK","",ROUND($G370*使い方と設定!$B$7*$AK370*INDEX(個性タイプマスタ!$Q$5:$AA$54,$AE370,3)/$AG370,4))</f>
        <v>0.2616</v>
      </c>
      <c r="L370" s="9">
        <f>IF($H370&lt;&gt;"OK","",ROUND($G370*使い方と設定!$B$7*$AK370*INDEX(個性タイプマスタ!$Q$5:$AA$54,$AE370,4)/$AG370,4))</f>
        <v>4.024</v>
      </c>
      <c r="M370" s="9">
        <f>IF($H370&lt;&gt;"OK","",ROUND($G370*使い方と設定!$B$7*$AK370*INDEX(個性タイプマスタ!$Q$5:$AA$54,$AE370,5)/$AG370,4))</f>
        <v>1.0535000000000001</v>
      </c>
      <c r="N370" s="9">
        <f>IF($H370&lt;&gt;"OK","",ROUND($G370*使い方と設定!$B$7*$AK370*INDEX(個性タイプマスタ!$Q$5:$AA$54,$AE370,6)/$AG370,4))</f>
        <v>2.8047</v>
      </c>
      <c r="O370" s="9">
        <f>IF($H370&lt;&gt;"OK","",ROUND($G370*使い方と設定!$B$7*$AK370*INDEX(個性タイプマスタ!$Q$5:$AA$54,$AE370,7)/$AG370,4))</f>
        <v>0.79679999999999995</v>
      </c>
      <c r="P370" s="9">
        <f>IF($H370&lt;&gt;"OK","",ROUND($G370*使い方と設定!$B$7*$AK370*INDEX(個性タイプマスタ!$Q$5:$AA$54,$AE370,8)/$AG370,4))</f>
        <v>1.0114000000000001</v>
      </c>
      <c r="Q370" s="9">
        <f>IF($H370&lt;&gt;"OK","",ROUND($G370*使い方と設定!$B$7*$AK370*INDEX(個性タイプマスタ!$Q$5:$AA$54,$AE370,9)/$AG370,4))</f>
        <v>0.67279999999999995</v>
      </c>
      <c r="R370" s="9">
        <f>IF($H370&lt;&gt;"OK","",ROUND($G370*使い方と設定!$B$7*$AK370*INDEX(個性タイプマスタ!$Q$5:$AA$54,$AE370,10)/$AG370,4))</f>
        <v>1.3521000000000001</v>
      </c>
      <c r="S370" s="9">
        <f>IF($H370&lt;&gt;"OK","",ROUND($G370*使い方と設定!$B$7*$AK370*INDEX(個性タイプマスタ!$Q$5:$AA$54,$AE370,11)/$AG370,4))</f>
        <v>1.1942999999999999</v>
      </c>
      <c r="T370" s="9">
        <f>IF($H370&lt;&gt;"OK","",ROUND($G370*使い方と設定!$B$8*$AK370*$AH370*INDEX(属性耐性マスタ!$B$5:$G$10,$AF370,1),4))</f>
        <v>0.19739999999999999</v>
      </c>
      <c r="U370" s="9">
        <f>IF($H370&lt;&gt;"OK","",ROUND($G370*使い方と設定!$B$8*$AK370*$AH370*INDEX(属性耐性マスタ!$B$5:$G$10,$AF370,2),4))</f>
        <v>0.98719999999999997</v>
      </c>
      <c r="V370" s="9">
        <f>IF($H370&lt;&gt;"OK","",ROUND($G370*使い方と設定!$B$8*$AK370*$AH370*INDEX(属性耐性マスタ!$B$5:$G$10,$AF370,3),4))</f>
        <v>6.5799999999999997E-2</v>
      </c>
      <c r="W370" s="9">
        <f>IF($H370&lt;&gt;"OK","",ROUND($G370*使い方と設定!$B$8*$AK370*$AH370*INDEX(属性耐性マスタ!$B$5:$G$10,$AF370,4),4))</f>
        <v>6.5799999999999997E-2</v>
      </c>
      <c r="X370" s="9">
        <f>IF($H370&lt;&gt;"OK","",ROUND($G370*使い方と設定!$B$8*$AK370*$AH370*INDEX(属性耐性マスタ!$B$5:$G$10,$AF370,5),4))</f>
        <v>4.9399999999999999E-2</v>
      </c>
      <c r="Y370" s="9">
        <f>IF($H370&lt;&gt;"OK","",ROUND($G370*使い方と設定!$B$8*$AK370*$AH370*INDEX(属性耐性マスタ!$B$5:$G$10,$AF370,6),4))</f>
        <v>4.9399999999999999E-2</v>
      </c>
      <c r="Z370" s="9">
        <f>IF($H370&lt;&gt;"OK","",ROUND($G370*使い方と設定!$B$9*$AK370*$AI370,4))</f>
        <v>5.5446999999999997</v>
      </c>
      <c r="AA370" s="10">
        <v>1</v>
      </c>
      <c r="AB370" s="11">
        <f t="shared" si="16"/>
        <v>18.1465</v>
      </c>
      <c r="AC370" s="11">
        <f t="shared" si="17"/>
        <v>1.415</v>
      </c>
      <c r="AD370" s="7" t="str">
        <f>IF($H370&lt;&gt;"OK","",INDEX(個性タイプマスタ!$P$5:$P$54,$AE370))</f>
        <v>魔法防御に偏重した耐久型</v>
      </c>
      <c r="AE370">
        <f>IFERROR(MATCH(E370,個性タイプマスタ!$A$5:$A$54,0),0)</f>
        <v>24</v>
      </c>
      <c r="AF370">
        <f>IFERROR(MATCH(F370,属性耐性マスタ!$A$5:$A$10,0),0)</f>
        <v>2</v>
      </c>
      <c r="AG370">
        <f>IF(AE370=0,1,INDEX(個性タイプマスタ!$AB$5:$AB$54,AE370))</f>
        <v>11.273833333333332</v>
      </c>
      <c r="AH370">
        <f>IF(AE370=0,1,INDEX(個性タイプマスタ!$AC$5:$AC$54,AE370))</f>
        <v>1.3599999999999999</v>
      </c>
      <c r="AI370">
        <f>IF(AE370=0,0,INDEX(個性タイプマスタ!$AD$5:$AD$54,AE370))</f>
        <v>0.91666666666666663</v>
      </c>
      <c r="AJ370" s="16">
        <v>61</v>
      </c>
      <c r="AK370" s="17">
        <f>IF(OR(AJ370="",AJ370&lt;1),"",POWER(使い方と設定!$E$6,AJ370-1))</f>
        <v>10.519627408052864</v>
      </c>
    </row>
    <row r="371" spans="1:37">
      <c r="A371" t="str">
        <f>+[2]称号!A366</f>
        <v>TITLE_365</v>
      </c>
      <c r="B371" t="str">
        <f>+[2]称号!B366</f>
        <v>双獣を屈服させし者</v>
      </c>
      <c r="C371" t="s">
        <v>865</v>
      </c>
      <c r="D371" t="s">
        <v>866</v>
      </c>
      <c r="E371" s="2" t="str">
        <f>[1]モンスター計算!AM369</f>
        <v>近接・軽装強打</v>
      </c>
      <c r="F371" s="2" t="str">
        <f>[1]モンスター計算!C369</f>
        <v>火</v>
      </c>
      <c r="G371" s="8">
        <v>1.2</v>
      </c>
      <c r="H371" t="str">
        <f t="shared" si="15"/>
        <v>OK</v>
      </c>
      <c r="I371" s="9">
        <f>IF($H371&lt;&gt;"OK","",ROUND($G371*使い方と設定!$B$7*$AK371*INDEX(個性タイプマスタ!$Q$5:$AA$54,$AE371,1)/$AG371,4))</f>
        <v>1.6343000000000001</v>
      </c>
      <c r="J371" s="9">
        <f>IF($H371&lt;&gt;"OK","",ROUND($G371*使い方と設定!$B$7*$AK371*INDEX(個性タイプマスタ!$Q$5:$AA$54,$AE371,2)/$AG371,4))</f>
        <v>0.66659999999999997</v>
      </c>
      <c r="K371" s="9">
        <f>IF($H371&lt;&gt;"OK","",ROUND($G371*使い方と設定!$B$7*$AK371*INDEX(個性タイプマスタ!$Q$5:$AA$54,$AE371,3)/$AG371,4))</f>
        <v>4.8872999999999998</v>
      </c>
      <c r="L371" s="9">
        <f>IF($H371&lt;&gt;"OK","",ROUND($G371*使い方と設定!$B$7*$AK371*INDEX(個性タイプマスタ!$Q$5:$AA$54,$AE371,4)/$AG371,4))</f>
        <v>0.30299999999999999</v>
      </c>
      <c r="M371" s="9">
        <f>IF($H371&lt;&gt;"OK","",ROUND($G371*使い方と設定!$B$7*$AK371*INDEX(個性タイプマスタ!$Q$5:$AA$54,$AE371,5)/$AG371,4))</f>
        <v>1.2628999999999999</v>
      </c>
      <c r="N371" s="9">
        <f>IF($H371&lt;&gt;"OK","",ROUND($G371*使い方と設定!$B$7*$AK371*INDEX(個性タイプマスタ!$Q$5:$AA$54,$AE371,6)/$AG371,4))</f>
        <v>1.1632</v>
      </c>
      <c r="O371" s="9">
        <f>IF($H371&lt;&gt;"OK","",ROUND($G371*使い方と設定!$B$7*$AK371*INDEX(個性タイプマスタ!$Q$5:$AA$54,$AE371,7)/$AG371,4))</f>
        <v>2.0428999999999999</v>
      </c>
      <c r="P371" s="9">
        <f>IF($H371&lt;&gt;"OK","",ROUND($G371*使い方と設定!$B$7*$AK371*INDEX(個性タイプマスタ!$Q$5:$AA$54,$AE371,8)/$AG371,4))</f>
        <v>2.0331000000000001</v>
      </c>
      <c r="Q371" s="9">
        <f>IF($H371&lt;&gt;"OK","",ROUND($G371*使い方と設定!$B$7*$AK371*INDEX(個性タイプマスタ!$Q$5:$AA$54,$AE371,9)/$AG371,4))</f>
        <v>1.4408000000000001</v>
      </c>
      <c r="R371" s="9">
        <f>IF($H371&lt;&gt;"OK","",ROUND($G371*使い方と設定!$B$7*$AK371*INDEX(個性タイプマスタ!$Q$5:$AA$54,$AE371,10)/$AG371,4))</f>
        <v>1.6812</v>
      </c>
      <c r="S371" s="9">
        <f>IF($H371&lt;&gt;"OK","",ROUND($G371*使い方と設定!$B$7*$AK371*INDEX(個性タイプマスタ!$Q$5:$AA$54,$AE371,11)/$AG371,4))</f>
        <v>1.82</v>
      </c>
      <c r="T371" s="9">
        <f>IF($H371&lt;&gt;"OK","",ROUND($G371*使い方と設定!$B$8*$AK371*$AH371*INDEX(属性耐性マスタ!$B$5:$G$10,$AF371,1),4))</f>
        <v>0.54530000000000001</v>
      </c>
      <c r="U371" s="9">
        <f>IF($H371&lt;&gt;"OK","",ROUND($G371*使い方と設定!$B$8*$AK371*$AH371*INDEX(属性耐性マスタ!$B$5:$G$10,$AF371,2),4))</f>
        <v>0.1091</v>
      </c>
      <c r="V371" s="9">
        <f>IF($H371&lt;&gt;"OK","",ROUND($G371*使い方と設定!$B$8*$AK371*$AH371*INDEX(属性耐性マスタ!$B$5:$G$10,$AF371,3),4))</f>
        <v>3.6400000000000002E-2</v>
      </c>
      <c r="W371" s="9">
        <f>IF($H371&lt;&gt;"OK","",ROUND($G371*使い方と設定!$B$8*$AK371*$AH371*INDEX(属性耐性マスタ!$B$5:$G$10,$AF371,4),4))</f>
        <v>3.6400000000000002E-2</v>
      </c>
      <c r="X371" s="9">
        <f>IF($H371&lt;&gt;"OK","",ROUND($G371*使い方と設定!$B$8*$AK371*$AH371*INDEX(属性耐性マスタ!$B$5:$G$10,$AF371,5),4))</f>
        <v>2.7300000000000001E-2</v>
      </c>
      <c r="Y371" s="9">
        <f>IF($H371&lt;&gt;"OK","",ROUND($G371*使い方と設定!$B$8*$AK371*$AH371*INDEX(属性耐性マスタ!$B$5:$G$10,$AF371,6),4))</f>
        <v>2.7300000000000001E-2</v>
      </c>
      <c r="Z371" s="9">
        <f>IF($H371&lt;&gt;"OK","",ROUND($G371*使い方と設定!$B$9*$AK371*$AI371,4))</f>
        <v>7.3110999999999997</v>
      </c>
      <c r="AA371" s="10">
        <v>1</v>
      </c>
      <c r="AB371" s="11">
        <f t="shared" si="16"/>
        <v>18.935300000000002</v>
      </c>
      <c r="AC371" s="11">
        <f t="shared" si="17"/>
        <v>0.78180000000000005</v>
      </c>
      <c r="AD371" s="7" t="str">
        <f>IF($H371&lt;&gt;"OK","",INDEX(個性タイプマスタ!$P$5:$P$54,$AE371))</f>
        <v>高い会心倍率と中距離の強打</v>
      </c>
      <c r="AE371">
        <f>IFERROR(MATCH(E371,個性タイプマスタ!$A$5:$A$54,0),0)</f>
        <v>50</v>
      </c>
      <c r="AF371">
        <f>IFERROR(MATCH(F371,属性耐性マスタ!$A$5:$A$10,0),0)</f>
        <v>1</v>
      </c>
      <c r="AG371">
        <f>IF(AE371=0,1,INDEX(個性タイプマスタ!$AB$5:$AB$54,AE371))</f>
        <v>9.6859999999999982</v>
      </c>
      <c r="AH371">
        <f>IF(AE371=0,1,INDEX(個性タイプマスタ!$AC$5:$AC$54,AE371))</f>
        <v>0.72</v>
      </c>
      <c r="AI371">
        <f>IF(AE371=0,0,INDEX(個性タイプマスタ!$AD$5:$AD$54,AE371))</f>
        <v>1.1583333333333332</v>
      </c>
      <c r="AJ371" s="16">
        <v>61</v>
      </c>
      <c r="AK371" s="17">
        <f>IF(OR(AJ371="",AJ371&lt;1),"",POWER(使い方と設定!$E$6,AJ371-1))</f>
        <v>10.519627408052864</v>
      </c>
    </row>
    <row r="372" spans="1:37">
      <c r="A372" t="str">
        <f>+[2]称号!A367</f>
        <v>TITLE_366</v>
      </c>
      <c r="B372" t="str">
        <f>+[2]称号!B367</f>
        <v>終晶を超越せし者</v>
      </c>
      <c r="C372" t="s">
        <v>867</v>
      </c>
      <c r="D372" t="s">
        <v>868</v>
      </c>
      <c r="E372" s="2" t="str">
        <f>[1]モンスター計算!AM370</f>
        <v>魔法・支援</v>
      </c>
      <c r="F372" s="2" t="str">
        <f>[1]モンスター計算!C370</f>
        <v>風</v>
      </c>
      <c r="G372" s="8">
        <v>1.25</v>
      </c>
      <c r="H372" t="str">
        <f t="shared" si="15"/>
        <v>OK</v>
      </c>
      <c r="I372" s="9">
        <f>IF($H372&lt;&gt;"OK","",ROUND($G372*使い方と設定!$B$7*$AK372*INDEX(個性タイプマスタ!$Q$5:$AA$54,$AE372,1)/$AG372,4))</f>
        <v>2.0091999999999999</v>
      </c>
      <c r="J372" s="9">
        <f>IF($H372&lt;&gt;"OK","",ROUND($G372*使い方と設定!$B$7*$AK372*INDEX(個性タイプマスタ!$Q$5:$AA$54,$AE372,2)/$AG372,4))</f>
        <v>2.9133</v>
      </c>
      <c r="K372" s="9">
        <f>IF($H372&lt;&gt;"OK","",ROUND($G372*使い方と設定!$B$7*$AK372*INDEX(個性タイプマスタ!$Q$5:$AA$54,$AE372,3)/$AG372,4))</f>
        <v>0.45660000000000001</v>
      </c>
      <c r="L372" s="9">
        <f>IF($H372&lt;&gt;"OK","",ROUND($G372*使い方と設定!$B$7*$AK372*INDEX(個性タイプマスタ!$Q$5:$AA$54,$AE372,4)/$AG372,4))</f>
        <v>4.5663999999999998</v>
      </c>
      <c r="M372" s="9">
        <f>IF($H372&lt;&gt;"OK","",ROUND($G372*使い方と設定!$B$7*$AK372*INDEX(個性タイプマスタ!$Q$5:$AA$54,$AE372,5)/$AG372,4))</f>
        <v>1.5526</v>
      </c>
      <c r="N372" s="9">
        <f>IF($H372&lt;&gt;"OK","",ROUND($G372*使い方と設定!$B$7*$AK372*INDEX(個性タイプマスタ!$Q$5:$AA$54,$AE372,6)/$AG372,4))</f>
        <v>1.8631</v>
      </c>
      <c r="O372" s="9">
        <f>IF($H372&lt;&gt;"OK","",ROUND($G372*使い方と設定!$B$7*$AK372*INDEX(個性タイプマスタ!$Q$5:$AA$54,$AE372,7)/$AG372,4))</f>
        <v>1.2055</v>
      </c>
      <c r="P372" s="9">
        <f>IF($H372&lt;&gt;"OK","",ROUND($G372*使い方と設定!$B$7*$AK372*INDEX(個性タイプマスタ!$Q$5:$AA$54,$AE372,8)/$AG372,4))</f>
        <v>1.1081000000000001</v>
      </c>
      <c r="Q372" s="9">
        <f>IF($H372&lt;&gt;"OK","",ROUND($G372*使い方と設定!$B$7*$AK372*INDEX(個性タイプマスタ!$Q$5:$AA$54,$AE372,9)/$AG372,4))</f>
        <v>0.84389999999999998</v>
      </c>
      <c r="R372" s="9">
        <f>IF($H372&lt;&gt;"OK","",ROUND($G372*使い方と設定!$B$7*$AK372*INDEX(個性タイプマスタ!$Q$5:$AA$54,$AE372,10)/$AG372,4))</f>
        <v>1.7352000000000001</v>
      </c>
      <c r="S372" s="9">
        <f>IF($H372&lt;&gt;"OK","",ROUND($G372*使い方と設定!$B$7*$AK372*INDEX(個性タイプマスタ!$Q$5:$AA$54,$AE372,11)/$AG372,4))</f>
        <v>1.4703999999999999</v>
      </c>
      <c r="T372" s="9">
        <f>IF($H372&lt;&gt;"OK","",ROUND($G372*使い方と設定!$B$8*$AK372*$AH372*INDEX(属性耐性マスタ!$B$5:$G$10,$AF372,1),4))</f>
        <v>5.8900000000000001E-2</v>
      </c>
      <c r="U372" s="9">
        <f>IF($H372&lt;&gt;"OK","",ROUND($G372*使い方と設定!$B$8*$AK372*$AH372*INDEX(属性耐性マスタ!$B$5:$G$10,$AF372,2),4))</f>
        <v>5.8900000000000001E-2</v>
      </c>
      <c r="V372" s="9">
        <f>IF($H372&lt;&gt;"OK","",ROUND($G372*使い方と設定!$B$8*$AK372*$AH372*INDEX(属性耐性マスタ!$B$5:$G$10,$AF372,3),4))</f>
        <v>0.88360000000000005</v>
      </c>
      <c r="W372" s="9">
        <f>IF($H372&lt;&gt;"OK","",ROUND($G372*使い方と設定!$B$8*$AK372*$AH372*INDEX(属性耐性マスタ!$B$5:$G$10,$AF372,4),4))</f>
        <v>0.22090000000000001</v>
      </c>
      <c r="X372" s="9">
        <f>IF($H372&lt;&gt;"OK","",ROUND($G372*使い方と設定!$B$8*$AK372*$AH372*INDEX(属性耐性マスタ!$B$5:$G$10,$AF372,5),4))</f>
        <v>4.4200000000000003E-2</v>
      </c>
      <c r="Y372" s="9">
        <f>IF($H372&lt;&gt;"OK","",ROUND($G372*使い方と設定!$B$8*$AK372*$AH372*INDEX(属性耐性マスタ!$B$5:$G$10,$AF372,6),4))</f>
        <v>4.4200000000000003E-2</v>
      </c>
      <c r="Z372" s="9">
        <f>IF($H372&lt;&gt;"OK","",ROUND($G372*使い方と設定!$B$9*$AK372*$AI372,4))</f>
        <v>6.2460000000000004</v>
      </c>
      <c r="AA372" s="10">
        <v>0.9</v>
      </c>
      <c r="AB372" s="11">
        <f t="shared" si="16"/>
        <v>19.724299999999999</v>
      </c>
      <c r="AC372" s="11">
        <f t="shared" si="17"/>
        <v>1.3107</v>
      </c>
      <c r="AD372" s="7" t="str">
        <f>IF($H372&lt;&gt;"OK","",INDEX(個性タイプマスタ!$P$5:$P$54,$AE372))</f>
        <v>MPと魔防寄りの支援型</v>
      </c>
      <c r="AE372">
        <f>IFERROR(MATCH(E372,個性タイプマスタ!$A$5:$A$54,0),0)</f>
        <v>10</v>
      </c>
      <c r="AF372">
        <f>IFERROR(MATCH(F372,属性耐性マスタ!$A$5:$A$10,0),0)</f>
        <v>3</v>
      </c>
      <c r="AG372">
        <f>IF(AE372=0,1,INDEX(個性タイプマスタ!$AB$5:$AB$54,AE372))</f>
        <v>10.798666666666666</v>
      </c>
      <c r="AH372">
        <f>IF(AE372=0,1,INDEX(個性タイプマスタ!$AC$5:$AC$54,AE372))</f>
        <v>1.1200000000000001</v>
      </c>
      <c r="AI372">
        <f>IF(AE372=0,0,INDEX(個性タイプマスタ!$AD$5:$AD$54,AE372))</f>
        <v>0.95</v>
      </c>
      <c r="AJ372" s="16">
        <v>61</v>
      </c>
      <c r="AK372" s="17">
        <f>IF(OR(AJ372="",AJ372&lt;1),"",POWER(使い方と設定!$E$6,AJ372-1))</f>
        <v>10.519627408052864</v>
      </c>
    </row>
  </sheetData>
  <mergeCells count="2">
    <mergeCell ref="A1:AD2"/>
    <mergeCell ref="A3:P3"/>
  </mergeCells>
  <phoneticPr fontId="9"/>
  <dataValidations count="2">
    <dataValidation type="list" sqref="E7:E372" xr:uid="{00000000-0002-0000-0100-000000000000}">
      <formula1>INDIRECT("'個性タイプマスタ'!$A$5:$A$54")</formula1>
    </dataValidation>
    <dataValidation type="list" sqref="F7:F372" xr:uid="{00000000-0002-0000-0100-000001000000}">
      <formula1>"火,水,風,雷,光,闇"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workbookViewId="0">
      <pane ySplit="4" topLeftCell="A5" activePane="bottomLeft" state="frozen"/>
      <selection pane="bottomLeft" activeCell="D5" sqref="D5"/>
    </sheetView>
  </sheetViews>
  <sheetFormatPr defaultRowHeight="14.25"/>
  <cols>
    <col min="1" max="1" width="24" customWidth="1"/>
    <col min="2" max="2" width="12" customWidth="1"/>
    <col min="3" max="15" width="14" customWidth="1"/>
    <col min="16" max="16" width="40" customWidth="1"/>
    <col min="17" max="30" width="16" customWidth="1"/>
  </cols>
  <sheetData>
    <row r="1" spans="1:30">
      <c r="A1" s="18" t="s">
        <v>869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>
      <c r="A3" t="s">
        <v>870</v>
      </c>
    </row>
    <row r="4" spans="1:30" ht="29.1" customHeight="1">
      <c r="A4" s="1" t="s">
        <v>871</v>
      </c>
      <c r="B4" s="1" t="s">
        <v>872</v>
      </c>
      <c r="C4" s="1" t="s">
        <v>873</v>
      </c>
      <c r="D4" s="1" t="s">
        <v>874</v>
      </c>
      <c r="E4" s="1" t="s">
        <v>875</v>
      </c>
      <c r="F4" s="1" t="s">
        <v>876</v>
      </c>
      <c r="G4" s="1" t="s">
        <v>877</v>
      </c>
      <c r="H4" s="1" t="s">
        <v>878</v>
      </c>
      <c r="I4" s="1" t="s">
        <v>61</v>
      </c>
      <c r="J4" s="1" t="s">
        <v>62</v>
      </c>
      <c r="K4" s="1" t="s">
        <v>63</v>
      </c>
      <c r="L4" s="1" t="s">
        <v>879</v>
      </c>
      <c r="M4" s="1" t="s">
        <v>880</v>
      </c>
      <c r="N4" s="1" t="s">
        <v>881</v>
      </c>
      <c r="O4" s="1" t="s">
        <v>882</v>
      </c>
      <c r="P4" s="1" t="s">
        <v>883</v>
      </c>
      <c r="Q4" s="1" t="s">
        <v>884</v>
      </c>
      <c r="R4" s="1" t="s">
        <v>885</v>
      </c>
      <c r="S4" s="1" t="s">
        <v>886</v>
      </c>
      <c r="T4" s="1" t="s">
        <v>887</v>
      </c>
      <c r="U4" s="1" t="s">
        <v>888</v>
      </c>
      <c r="V4" s="1" t="s">
        <v>889</v>
      </c>
      <c r="W4" s="1" t="s">
        <v>890</v>
      </c>
      <c r="X4" s="1" t="s">
        <v>891</v>
      </c>
      <c r="Y4" s="1" t="s">
        <v>892</v>
      </c>
      <c r="Z4" s="1" t="s">
        <v>893</v>
      </c>
      <c r="AA4" s="1" t="s">
        <v>894</v>
      </c>
      <c r="AB4" s="1" t="s">
        <v>78</v>
      </c>
      <c r="AC4" s="1" t="s">
        <v>895</v>
      </c>
      <c r="AD4" s="1" t="s">
        <v>896</v>
      </c>
    </row>
    <row r="5" spans="1:30">
      <c r="A5" s="2" t="s">
        <v>83</v>
      </c>
      <c r="B5" s="2" t="s">
        <v>897</v>
      </c>
      <c r="C5" s="3">
        <v>0.82</v>
      </c>
      <c r="D5" s="3">
        <v>0.85</v>
      </c>
      <c r="E5" s="3">
        <v>1</v>
      </c>
      <c r="F5" s="3">
        <v>1</v>
      </c>
      <c r="G5" s="3">
        <v>1</v>
      </c>
      <c r="H5" s="3">
        <v>0.68</v>
      </c>
      <c r="I5" s="3">
        <v>0.05</v>
      </c>
      <c r="J5" s="3">
        <v>1.5</v>
      </c>
      <c r="K5" s="3">
        <v>2</v>
      </c>
      <c r="L5" s="3">
        <v>-0.02</v>
      </c>
      <c r="M5" s="3">
        <v>1</v>
      </c>
      <c r="N5" s="3">
        <v>0.9</v>
      </c>
      <c r="O5" s="3">
        <v>1</v>
      </c>
      <c r="P5" s="3" t="s">
        <v>898</v>
      </c>
      <c r="Q5" s="4">
        <f t="shared" ref="Q5:Q36" si="0">MAX(0.1,C5)*1.1</f>
        <v>0.90200000000000002</v>
      </c>
      <c r="R5" s="4">
        <f t="shared" ref="R5:R36" si="1">MAX(0.1,N5)*IF(B5="Ranged",1.1,0.55)</f>
        <v>0.9900000000000001</v>
      </c>
      <c r="S5" s="4">
        <f t="shared" ref="S5:S36" si="2">IF(B5="Melee",2.5,0.25*MAX(0.5,O5))</f>
        <v>0.25</v>
      </c>
      <c r="T5" s="4">
        <f t="shared" ref="T5:T36" si="3">IF(B5="Ranged",2.5,0.25*MAX(0.5,O5))</f>
        <v>2.5</v>
      </c>
      <c r="U5" s="4">
        <f t="shared" ref="U5:U36" si="4">MAX(0.1,D5)*0.85</f>
        <v>0.72249999999999992</v>
      </c>
      <c r="V5" s="4">
        <f t="shared" ref="V5:V36" si="5">MAX(0.1,E5)*0.85</f>
        <v>0.85</v>
      </c>
      <c r="W5" s="4">
        <f t="shared" ref="W5:W36" si="6">MAX(0.3,I5/0.05)*0.55</f>
        <v>0.55000000000000004</v>
      </c>
      <c r="X5" s="4">
        <f t="shared" ref="X5:X36" si="7">MAX(0.3,J5/1.5)*0.65</f>
        <v>0.65</v>
      </c>
      <c r="Y5" s="4">
        <f t="shared" ref="Y5:Y36" si="8">MAX(0.3,K5/2.5)*0.55</f>
        <v>0.44000000000000006</v>
      </c>
      <c r="Z5" s="4">
        <f t="shared" ref="Z5:Z36" si="9">MAX(0.2,F5)*1</f>
        <v>1</v>
      </c>
      <c r="AA5" s="4">
        <f t="shared" ref="AA5:AA36" si="10">MAX(0.2,G5)*0.7</f>
        <v>0.7</v>
      </c>
      <c r="AB5" s="4">
        <f t="shared" ref="AB5:AB36" si="11">SUM(Q5:AA5)</f>
        <v>9.5545000000000009</v>
      </c>
      <c r="AC5" s="4">
        <f t="shared" ref="AC5:AC36" si="12">MAX(0.5,MIN(1.5,1+L5*4))</f>
        <v>0.92</v>
      </c>
      <c r="AD5" s="4">
        <f t="shared" ref="AD5:AD36" si="13">MAX(0.3,MIN(2.5,0.6+K5/6+IF(ISNUMBER(SEARCH("探索",A5)),0.75,0)))</f>
        <v>0.93333333333333335</v>
      </c>
    </row>
    <row r="6" spans="1:30">
      <c r="A6" s="2" t="s">
        <v>91</v>
      </c>
      <c r="B6" s="2" t="s">
        <v>897</v>
      </c>
      <c r="C6" s="3">
        <v>0.92</v>
      </c>
      <c r="D6" s="3">
        <v>0.95</v>
      </c>
      <c r="E6" s="3">
        <v>1.05</v>
      </c>
      <c r="F6" s="3">
        <v>1.05</v>
      </c>
      <c r="G6" s="3">
        <v>1</v>
      </c>
      <c r="H6" s="3">
        <v>0.74</v>
      </c>
      <c r="I6" s="3">
        <v>0.05</v>
      </c>
      <c r="J6" s="3">
        <v>1.5</v>
      </c>
      <c r="K6" s="3">
        <v>2</v>
      </c>
      <c r="L6" s="3">
        <v>0</v>
      </c>
      <c r="M6" s="3">
        <v>1</v>
      </c>
      <c r="N6" s="3">
        <v>1</v>
      </c>
      <c r="O6" s="3">
        <v>1</v>
      </c>
      <c r="P6" s="3" t="s">
        <v>899</v>
      </c>
      <c r="Q6" s="4">
        <f t="shared" si="0"/>
        <v>1.0120000000000002</v>
      </c>
      <c r="R6" s="4">
        <f t="shared" si="1"/>
        <v>1.1000000000000001</v>
      </c>
      <c r="S6" s="4">
        <f t="shared" si="2"/>
        <v>0.25</v>
      </c>
      <c r="T6" s="4">
        <f t="shared" si="3"/>
        <v>2.5</v>
      </c>
      <c r="U6" s="4">
        <f t="shared" si="4"/>
        <v>0.8075</v>
      </c>
      <c r="V6" s="4">
        <f t="shared" si="5"/>
        <v>0.89249999999999996</v>
      </c>
      <c r="W6" s="4">
        <f t="shared" si="6"/>
        <v>0.55000000000000004</v>
      </c>
      <c r="X6" s="4">
        <f t="shared" si="7"/>
        <v>0.65</v>
      </c>
      <c r="Y6" s="4">
        <f t="shared" si="8"/>
        <v>0.44000000000000006</v>
      </c>
      <c r="Z6" s="4">
        <f t="shared" si="9"/>
        <v>1.05</v>
      </c>
      <c r="AA6" s="4">
        <f t="shared" si="10"/>
        <v>0.7</v>
      </c>
      <c r="AB6" s="4">
        <f t="shared" si="11"/>
        <v>9.952</v>
      </c>
      <c r="AC6" s="4">
        <f t="shared" si="12"/>
        <v>1</v>
      </c>
      <c r="AD6" s="4">
        <f t="shared" si="13"/>
        <v>0.93333333333333335</v>
      </c>
    </row>
    <row r="7" spans="1:30">
      <c r="A7" s="2" t="s">
        <v>121</v>
      </c>
      <c r="B7" s="2" t="s">
        <v>897</v>
      </c>
      <c r="C7" s="3">
        <v>1</v>
      </c>
      <c r="D7" s="3">
        <v>0.95</v>
      </c>
      <c r="E7" s="3">
        <v>1.1000000000000001</v>
      </c>
      <c r="F7" s="3">
        <v>1.1000000000000001</v>
      </c>
      <c r="G7" s="3">
        <v>1.08</v>
      </c>
      <c r="H7" s="3">
        <v>0.8</v>
      </c>
      <c r="I7" s="3">
        <v>7.0000000000000007E-2</v>
      </c>
      <c r="J7" s="3">
        <v>1.55</v>
      </c>
      <c r="K7" s="3">
        <v>2.2999999999999998</v>
      </c>
      <c r="L7" s="3">
        <v>-0.03</v>
      </c>
      <c r="M7" s="3">
        <v>1</v>
      </c>
      <c r="N7" s="3">
        <v>1.1000000000000001</v>
      </c>
      <c r="O7" s="3">
        <v>1</v>
      </c>
      <c r="P7" s="3" t="s">
        <v>900</v>
      </c>
      <c r="Q7" s="4">
        <f t="shared" si="0"/>
        <v>1.1000000000000001</v>
      </c>
      <c r="R7" s="4">
        <f t="shared" si="1"/>
        <v>1.2100000000000002</v>
      </c>
      <c r="S7" s="4">
        <f t="shared" si="2"/>
        <v>0.25</v>
      </c>
      <c r="T7" s="4">
        <f t="shared" si="3"/>
        <v>2.5</v>
      </c>
      <c r="U7" s="4">
        <f t="shared" si="4"/>
        <v>0.8075</v>
      </c>
      <c r="V7" s="4">
        <f t="shared" si="5"/>
        <v>0.93500000000000005</v>
      </c>
      <c r="W7" s="4">
        <f t="shared" si="6"/>
        <v>0.77000000000000013</v>
      </c>
      <c r="X7" s="4">
        <f t="shared" si="7"/>
        <v>0.67166666666666675</v>
      </c>
      <c r="Y7" s="4">
        <f t="shared" si="8"/>
        <v>0.50600000000000001</v>
      </c>
      <c r="Z7" s="4">
        <f t="shared" si="9"/>
        <v>1.1000000000000001</v>
      </c>
      <c r="AA7" s="4">
        <f t="shared" si="10"/>
        <v>0.75600000000000001</v>
      </c>
      <c r="AB7" s="4">
        <f t="shared" si="11"/>
        <v>10.606166666666667</v>
      </c>
      <c r="AC7" s="4">
        <f t="shared" si="12"/>
        <v>0.88</v>
      </c>
      <c r="AD7" s="4">
        <f t="shared" si="13"/>
        <v>0.98333333333333328</v>
      </c>
    </row>
    <row r="8" spans="1:30">
      <c r="A8" s="2" t="s">
        <v>150</v>
      </c>
      <c r="B8" s="2" t="s">
        <v>901</v>
      </c>
      <c r="C8" s="3">
        <v>1.2</v>
      </c>
      <c r="D8" s="3">
        <v>1.3</v>
      </c>
      <c r="E8" s="3">
        <v>0.85</v>
      </c>
      <c r="F8" s="3">
        <v>1</v>
      </c>
      <c r="G8" s="3">
        <v>0.8</v>
      </c>
      <c r="H8" s="3">
        <v>0.85</v>
      </c>
      <c r="I8" s="3">
        <v>0.08</v>
      </c>
      <c r="J8" s="3">
        <v>1.6</v>
      </c>
      <c r="K8" s="3">
        <v>2.8</v>
      </c>
      <c r="L8" s="3">
        <v>3.5000000000000003E-2</v>
      </c>
      <c r="M8" s="3">
        <v>1</v>
      </c>
      <c r="N8" s="3">
        <v>0.85</v>
      </c>
      <c r="O8" s="3">
        <v>1</v>
      </c>
      <c r="P8" s="3" t="s">
        <v>902</v>
      </c>
      <c r="Q8" s="4">
        <f t="shared" si="0"/>
        <v>1.32</v>
      </c>
      <c r="R8" s="4">
        <f t="shared" si="1"/>
        <v>0.46750000000000003</v>
      </c>
      <c r="S8" s="4">
        <f t="shared" si="2"/>
        <v>2.5</v>
      </c>
      <c r="T8" s="4">
        <f t="shared" si="3"/>
        <v>0.25</v>
      </c>
      <c r="U8" s="4">
        <f t="shared" si="4"/>
        <v>1.105</v>
      </c>
      <c r="V8" s="4">
        <f t="shared" si="5"/>
        <v>0.72249999999999992</v>
      </c>
      <c r="W8" s="4">
        <f t="shared" si="6"/>
        <v>0.88</v>
      </c>
      <c r="X8" s="4">
        <f t="shared" si="7"/>
        <v>0.69333333333333336</v>
      </c>
      <c r="Y8" s="4">
        <f t="shared" si="8"/>
        <v>0.61599999999999999</v>
      </c>
      <c r="Z8" s="4">
        <f t="shared" si="9"/>
        <v>1</v>
      </c>
      <c r="AA8" s="4">
        <f t="shared" si="10"/>
        <v>0.55999999999999994</v>
      </c>
      <c r="AB8" s="4">
        <f t="shared" si="11"/>
        <v>10.114333333333335</v>
      </c>
      <c r="AC8" s="4">
        <f t="shared" si="12"/>
        <v>1.1400000000000001</v>
      </c>
      <c r="AD8" s="4">
        <f t="shared" si="13"/>
        <v>1.0666666666666667</v>
      </c>
    </row>
    <row r="9" spans="1:30">
      <c r="A9" s="2" t="s">
        <v>136</v>
      </c>
      <c r="B9" s="2" t="s">
        <v>901</v>
      </c>
      <c r="C9" s="3">
        <v>1.35</v>
      </c>
      <c r="D9" s="3">
        <v>1.4</v>
      </c>
      <c r="E9" s="3">
        <v>1</v>
      </c>
      <c r="F9" s="3">
        <v>1.05</v>
      </c>
      <c r="G9" s="3">
        <v>0.8</v>
      </c>
      <c r="H9" s="3">
        <v>0.9</v>
      </c>
      <c r="I9" s="3">
        <v>0.08</v>
      </c>
      <c r="J9" s="3">
        <v>1.6</v>
      </c>
      <c r="K9" s="3">
        <v>2.7</v>
      </c>
      <c r="L9" s="3">
        <v>6.5000000000000002E-2</v>
      </c>
      <c r="M9" s="3">
        <v>1</v>
      </c>
      <c r="N9" s="3">
        <v>0.9</v>
      </c>
      <c r="O9" s="3">
        <v>1</v>
      </c>
      <c r="P9" s="3" t="s">
        <v>903</v>
      </c>
      <c r="Q9" s="4">
        <f t="shared" si="0"/>
        <v>1.4850000000000003</v>
      </c>
      <c r="R9" s="4">
        <f t="shared" si="1"/>
        <v>0.49500000000000005</v>
      </c>
      <c r="S9" s="4">
        <f t="shared" si="2"/>
        <v>2.5</v>
      </c>
      <c r="T9" s="4">
        <f t="shared" si="3"/>
        <v>0.25</v>
      </c>
      <c r="U9" s="4">
        <f t="shared" si="4"/>
        <v>1.19</v>
      </c>
      <c r="V9" s="4">
        <f t="shared" si="5"/>
        <v>0.85</v>
      </c>
      <c r="W9" s="4">
        <f t="shared" si="6"/>
        <v>0.88</v>
      </c>
      <c r="X9" s="4">
        <f t="shared" si="7"/>
        <v>0.69333333333333336</v>
      </c>
      <c r="Y9" s="4">
        <f t="shared" si="8"/>
        <v>0.59400000000000008</v>
      </c>
      <c r="Z9" s="4">
        <f t="shared" si="9"/>
        <v>1.05</v>
      </c>
      <c r="AA9" s="4">
        <f t="shared" si="10"/>
        <v>0.55999999999999994</v>
      </c>
      <c r="AB9" s="4">
        <f t="shared" si="11"/>
        <v>10.547333333333334</v>
      </c>
      <c r="AC9" s="4">
        <f t="shared" si="12"/>
        <v>1.26</v>
      </c>
      <c r="AD9" s="4">
        <f t="shared" si="13"/>
        <v>1.05</v>
      </c>
    </row>
    <row r="10" spans="1:30">
      <c r="A10" s="2" t="s">
        <v>202</v>
      </c>
      <c r="B10" s="2" t="s">
        <v>897</v>
      </c>
      <c r="C10" s="3">
        <v>1.5</v>
      </c>
      <c r="D10" s="3">
        <v>1.5</v>
      </c>
      <c r="E10" s="3">
        <v>1.4</v>
      </c>
      <c r="F10" s="3">
        <v>1.2</v>
      </c>
      <c r="G10" s="3">
        <v>1.2</v>
      </c>
      <c r="H10" s="3">
        <v>1</v>
      </c>
      <c r="I10" s="3">
        <v>0.1</v>
      </c>
      <c r="J10" s="3">
        <v>1.75</v>
      </c>
      <c r="K10" s="3">
        <v>2.4</v>
      </c>
      <c r="L10" s="3">
        <v>0.08</v>
      </c>
      <c r="M10" s="3">
        <v>1</v>
      </c>
      <c r="N10" s="3">
        <v>1.25</v>
      </c>
      <c r="O10" s="3">
        <v>1</v>
      </c>
      <c r="P10" s="3" t="s">
        <v>904</v>
      </c>
      <c r="Q10" s="4">
        <f t="shared" si="0"/>
        <v>1.6500000000000001</v>
      </c>
      <c r="R10" s="4">
        <f t="shared" si="1"/>
        <v>1.375</v>
      </c>
      <c r="S10" s="4">
        <f t="shared" si="2"/>
        <v>0.25</v>
      </c>
      <c r="T10" s="4">
        <f t="shared" si="3"/>
        <v>2.5</v>
      </c>
      <c r="U10" s="4">
        <f t="shared" si="4"/>
        <v>1.2749999999999999</v>
      </c>
      <c r="V10" s="4">
        <f t="shared" si="5"/>
        <v>1.19</v>
      </c>
      <c r="W10" s="4">
        <f t="shared" si="6"/>
        <v>1.1000000000000001</v>
      </c>
      <c r="X10" s="4">
        <f t="shared" si="7"/>
        <v>0.75833333333333341</v>
      </c>
      <c r="Y10" s="4">
        <f t="shared" si="8"/>
        <v>0.52800000000000002</v>
      </c>
      <c r="Z10" s="4">
        <f t="shared" si="9"/>
        <v>1.2</v>
      </c>
      <c r="AA10" s="4">
        <f t="shared" si="10"/>
        <v>0.84</v>
      </c>
      <c r="AB10" s="4">
        <f t="shared" si="11"/>
        <v>12.666333333333332</v>
      </c>
      <c r="AC10" s="4">
        <f t="shared" si="12"/>
        <v>1.32</v>
      </c>
      <c r="AD10" s="4">
        <f t="shared" si="13"/>
        <v>1</v>
      </c>
    </row>
    <row r="11" spans="1:30">
      <c r="A11" s="2" t="s">
        <v>383</v>
      </c>
      <c r="B11" s="2" t="s">
        <v>901</v>
      </c>
      <c r="C11" s="3">
        <v>0.92</v>
      </c>
      <c r="D11" s="3">
        <v>0.95</v>
      </c>
      <c r="E11" s="3">
        <v>1.05</v>
      </c>
      <c r="F11" s="3">
        <v>1.05</v>
      </c>
      <c r="G11" s="3">
        <v>0.8</v>
      </c>
      <c r="H11" s="3">
        <v>0.74</v>
      </c>
      <c r="I11" s="3">
        <v>0.05</v>
      </c>
      <c r="J11" s="3">
        <v>1.5</v>
      </c>
      <c r="K11" s="3">
        <v>2</v>
      </c>
      <c r="L11" s="3">
        <v>0.01</v>
      </c>
      <c r="M11" s="3">
        <v>1</v>
      </c>
      <c r="N11" s="3">
        <v>1</v>
      </c>
      <c r="O11" s="3">
        <v>1</v>
      </c>
      <c r="P11" s="3" t="s">
        <v>905</v>
      </c>
      <c r="Q11" s="4">
        <f t="shared" si="0"/>
        <v>1.0120000000000002</v>
      </c>
      <c r="R11" s="4">
        <f t="shared" si="1"/>
        <v>0.55000000000000004</v>
      </c>
      <c r="S11" s="4">
        <f t="shared" si="2"/>
        <v>2.5</v>
      </c>
      <c r="T11" s="4">
        <f t="shared" si="3"/>
        <v>0.25</v>
      </c>
      <c r="U11" s="4">
        <f t="shared" si="4"/>
        <v>0.8075</v>
      </c>
      <c r="V11" s="4">
        <f t="shared" si="5"/>
        <v>0.89249999999999996</v>
      </c>
      <c r="W11" s="4">
        <f t="shared" si="6"/>
        <v>0.55000000000000004</v>
      </c>
      <c r="X11" s="4">
        <f t="shared" si="7"/>
        <v>0.65</v>
      </c>
      <c r="Y11" s="4">
        <f t="shared" si="8"/>
        <v>0.44000000000000006</v>
      </c>
      <c r="Z11" s="4">
        <f t="shared" si="9"/>
        <v>1.05</v>
      </c>
      <c r="AA11" s="4">
        <f t="shared" si="10"/>
        <v>0.55999999999999994</v>
      </c>
      <c r="AB11" s="4">
        <f t="shared" si="11"/>
        <v>9.2620000000000022</v>
      </c>
      <c r="AC11" s="4">
        <f t="shared" si="12"/>
        <v>1.04</v>
      </c>
      <c r="AD11" s="4">
        <f t="shared" si="13"/>
        <v>0.93333333333333335</v>
      </c>
    </row>
    <row r="12" spans="1:30">
      <c r="A12" s="2" t="s">
        <v>142</v>
      </c>
      <c r="B12" s="2" t="s">
        <v>897</v>
      </c>
      <c r="C12" s="3">
        <v>1.2</v>
      </c>
      <c r="D12" s="3">
        <v>1.3</v>
      </c>
      <c r="E12" s="3">
        <v>0.85</v>
      </c>
      <c r="F12" s="3">
        <v>1</v>
      </c>
      <c r="G12" s="3">
        <v>1</v>
      </c>
      <c r="H12" s="3">
        <v>0.85</v>
      </c>
      <c r="I12" s="3">
        <v>0.08</v>
      </c>
      <c r="J12" s="3">
        <v>1.6</v>
      </c>
      <c r="K12" s="3">
        <v>2.8</v>
      </c>
      <c r="L12" s="3">
        <v>1.4999999999999999E-2</v>
      </c>
      <c r="M12" s="3">
        <v>1</v>
      </c>
      <c r="N12" s="3">
        <v>1</v>
      </c>
      <c r="O12" s="3">
        <v>1</v>
      </c>
      <c r="P12" s="3" t="s">
        <v>906</v>
      </c>
      <c r="Q12" s="4">
        <f t="shared" si="0"/>
        <v>1.32</v>
      </c>
      <c r="R12" s="4">
        <f t="shared" si="1"/>
        <v>1.1000000000000001</v>
      </c>
      <c r="S12" s="4">
        <f t="shared" si="2"/>
        <v>0.25</v>
      </c>
      <c r="T12" s="4">
        <f t="shared" si="3"/>
        <v>2.5</v>
      </c>
      <c r="U12" s="4">
        <f t="shared" si="4"/>
        <v>1.105</v>
      </c>
      <c r="V12" s="4">
        <f t="shared" si="5"/>
        <v>0.72249999999999992</v>
      </c>
      <c r="W12" s="4">
        <f t="shared" si="6"/>
        <v>0.88</v>
      </c>
      <c r="X12" s="4">
        <f t="shared" si="7"/>
        <v>0.69333333333333336</v>
      </c>
      <c r="Y12" s="4">
        <f t="shared" si="8"/>
        <v>0.61599999999999999</v>
      </c>
      <c r="Z12" s="4">
        <f t="shared" si="9"/>
        <v>1</v>
      </c>
      <c r="AA12" s="4">
        <f t="shared" si="10"/>
        <v>0.7</v>
      </c>
      <c r="AB12" s="4">
        <f t="shared" si="11"/>
        <v>10.886833333333332</v>
      </c>
      <c r="AC12" s="4">
        <f t="shared" si="12"/>
        <v>1.06</v>
      </c>
      <c r="AD12" s="4">
        <f t="shared" si="13"/>
        <v>1.0666666666666667</v>
      </c>
    </row>
    <row r="13" spans="1:30">
      <c r="A13" s="2" t="s">
        <v>128</v>
      </c>
      <c r="B13" s="2" t="s">
        <v>897</v>
      </c>
      <c r="C13" s="3">
        <v>0.78</v>
      </c>
      <c r="D13" s="3">
        <v>0.75</v>
      </c>
      <c r="E13" s="3">
        <v>0.8</v>
      </c>
      <c r="F13" s="3">
        <v>1.1000000000000001</v>
      </c>
      <c r="G13" s="3">
        <v>1.1000000000000001</v>
      </c>
      <c r="H13" s="3">
        <v>0.72</v>
      </c>
      <c r="I13" s="3">
        <v>0.11</v>
      </c>
      <c r="J13" s="3">
        <v>1.65</v>
      </c>
      <c r="K13" s="3">
        <v>2.2000000000000002</v>
      </c>
      <c r="L13" s="3">
        <v>-0.04</v>
      </c>
      <c r="M13" s="3">
        <v>1.05</v>
      </c>
      <c r="N13" s="3">
        <v>1.1499999999999999</v>
      </c>
      <c r="O13" s="3">
        <v>1</v>
      </c>
      <c r="P13" s="3" t="s">
        <v>907</v>
      </c>
      <c r="Q13" s="4">
        <f t="shared" si="0"/>
        <v>0.8580000000000001</v>
      </c>
      <c r="R13" s="4">
        <f t="shared" si="1"/>
        <v>1.2649999999999999</v>
      </c>
      <c r="S13" s="4">
        <f t="shared" si="2"/>
        <v>0.25</v>
      </c>
      <c r="T13" s="4">
        <f t="shared" si="3"/>
        <v>2.5</v>
      </c>
      <c r="U13" s="4">
        <f t="shared" si="4"/>
        <v>0.63749999999999996</v>
      </c>
      <c r="V13" s="4">
        <f t="shared" si="5"/>
        <v>0.68</v>
      </c>
      <c r="W13" s="4">
        <f t="shared" si="6"/>
        <v>1.21</v>
      </c>
      <c r="X13" s="4">
        <f t="shared" si="7"/>
        <v>0.71499999999999997</v>
      </c>
      <c r="Y13" s="4">
        <f t="shared" si="8"/>
        <v>0.4840000000000001</v>
      </c>
      <c r="Z13" s="4">
        <f t="shared" si="9"/>
        <v>1.1000000000000001</v>
      </c>
      <c r="AA13" s="4">
        <f t="shared" si="10"/>
        <v>0.77</v>
      </c>
      <c r="AB13" s="4">
        <f t="shared" si="11"/>
        <v>10.4695</v>
      </c>
      <c r="AC13" s="4">
        <f t="shared" si="12"/>
        <v>0.84</v>
      </c>
      <c r="AD13" s="4">
        <f t="shared" si="13"/>
        <v>0.96666666666666667</v>
      </c>
    </row>
    <row r="14" spans="1:30">
      <c r="A14" s="2" t="s">
        <v>111</v>
      </c>
      <c r="B14" s="2" t="s">
        <v>897</v>
      </c>
      <c r="C14" s="3">
        <v>1</v>
      </c>
      <c r="D14" s="3">
        <v>1</v>
      </c>
      <c r="E14" s="3">
        <v>1.2</v>
      </c>
      <c r="F14" s="3">
        <v>0.95</v>
      </c>
      <c r="G14" s="3">
        <v>1.1499999999999999</v>
      </c>
      <c r="H14" s="3">
        <v>0.84</v>
      </c>
      <c r="I14" s="3">
        <v>0.06</v>
      </c>
      <c r="J14" s="3">
        <v>1.4</v>
      </c>
      <c r="K14" s="3">
        <v>2.1</v>
      </c>
      <c r="L14" s="3">
        <v>0.03</v>
      </c>
      <c r="M14" s="3">
        <v>1.2</v>
      </c>
      <c r="N14" s="3">
        <v>1.45</v>
      </c>
      <c r="O14" s="3">
        <v>1</v>
      </c>
      <c r="P14" s="3" t="s">
        <v>908</v>
      </c>
      <c r="Q14" s="4">
        <f t="shared" si="0"/>
        <v>1.1000000000000001</v>
      </c>
      <c r="R14" s="4">
        <f t="shared" si="1"/>
        <v>1.595</v>
      </c>
      <c r="S14" s="4">
        <f t="shared" si="2"/>
        <v>0.25</v>
      </c>
      <c r="T14" s="4">
        <f t="shared" si="3"/>
        <v>2.5</v>
      </c>
      <c r="U14" s="4">
        <f t="shared" si="4"/>
        <v>0.85</v>
      </c>
      <c r="V14" s="4">
        <f t="shared" si="5"/>
        <v>1.02</v>
      </c>
      <c r="W14" s="4">
        <f t="shared" si="6"/>
        <v>0.66</v>
      </c>
      <c r="X14" s="4">
        <f t="shared" si="7"/>
        <v>0.60666666666666658</v>
      </c>
      <c r="Y14" s="4">
        <f t="shared" si="8"/>
        <v>0.46200000000000008</v>
      </c>
      <c r="Z14" s="4">
        <f t="shared" si="9"/>
        <v>0.95</v>
      </c>
      <c r="AA14" s="4">
        <f t="shared" si="10"/>
        <v>0.80499999999999994</v>
      </c>
      <c r="AB14" s="4">
        <f t="shared" si="11"/>
        <v>10.798666666666666</v>
      </c>
      <c r="AC14" s="4">
        <f t="shared" si="12"/>
        <v>1.1200000000000001</v>
      </c>
      <c r="AD14" s="4">
        <f t="shared" si="13"/>
        <v>0.95</v>
      </c>
    </row>
    <row r="15" spans="1:30">
      <c r="A15" s="2" t="s">
        <v>331</v>
      </c>
      <c r="B15" s="2" t="s">
        <v>901</v>
      </c>
      <c r="C15" s="3">
        <v>0.9</v>
      </c>
      <c r="D15" s="3">
        <v>0.9</v>
      </c>
      <c r="E15" s="3">
        <v>0.9</v>
      </c>
      <c r="F15" s="3">
        <v>1.18</v>
      </c>
      <c r="G15" s="3">
        <v>0.9</v>
      </c>
      <c r="H15" s="3">
        <v>0.72</v>
      </c>
      <c r="I15" s="3">
        <v>0.11</v>
      </c>
      <c r="J15" s="3">
        <v>1.75</v>
      </c>
      <c r="K15" s="3">
        <v>3</v>
      </c>
      <c r="L15" s="3">
        <v>-0.03</v>
      </c>
      <c r="M15" s="3">
        <v>1.05</v>
      </c>
      <c r="N15" s="3">
        <v>0.8</v>
      </c>
      <c r="O15" s="3">
        <v>1</v>
      </c>
      <c r="P15" s="3" t="s">
        <v>909</v>
      </c>
      <c r="Q15" s="4">
        <f t="shared" si="0"/>
        <v>0.9900000000000001</v>
      </c>
      <c r="R15" s="4">
        <f t="shared" si="1"/>
        <v>0.44000000000000006</v>
      </c>
      <c r="S15" s="4">
        <f t="shared" si="2"/>
        <v>2.5</v>
      </c>
      <c r="T15" s="4">
        <f t="shared" si="3"/>
        <v>0.25</v>
      </c>
      <c r="U15" s="4">
        <f t="shared" si="4"/>
        <v>0.76500000000000001</v>
      </c>
      <c r="V15" s="4">
        <f t="shared" si="5"/>
        <v>0.76500000000000001</v>
      </c>
      <c r="W15" s="4">
        <f t="shared" si="6"/>
        <v>1.21</v>
      </c>
      <c r="X15" s="4">
        <f t="shared" si="7"/>
        <v>0.75833333333333341</v>
      </c>
      <c r="Y15" s="4">
        <f t="shared" si="8"/>
        <v>0.66</v>
      </c>
      <c r="Z15" s="4">
        <f t="shared" si="9"/>
        <v>1.18</v>
      </c>
      <c r="AA15" s="4">
        <f t="shared" si="10"/>
        <v>0.63</v>
      </c>
      <c r="AB15" s="4">
        <f t="shared" si="11"/>
        <v>10.148333333333333</v>
      </c>
      <c r="AC15" s="4">
        <f t="shared" si="12"/>
        <v>0.88</v>
      </c>
      <c r="AD15" s="4">
        <f t="shared" si="13"/>
        <v>1.1000000000000001</v>
      </c>
    </row>
    <row r="16" spans="1:30">
      <c r="A16" s="2" t="s">
        <v>279</v>
      </c>
      <c r="B16" s="2" t="s">
        <v>901</v>
      </c>
      <c r="C16" s="3">
        <v>0.8</v>
      </c>
      <c r="D16" s="3">
        <v>0.8</v>
      </c>
      <c r="E16" s="3">
        <v>0.8</v>
      </c>
      <c r="F16" s="3">
        <v>1.32</v>
      </c>
      <c r="G16" s="3">
        <v>1</v>
      </c>
      <c r="H16" s="3">
        <v>0.68</v>
      </c>
      <c r="I16" s="3">
        <v>0.08</v>
      </c>
      <c r="J16" s="3">
        <v>1.55</v>
      </c>
      <c r="K16" s="3">
        <v>3.3</v>
      </c>
      <c r="L16" s="3">
        <v>-0.04</v>
      </c>
      <c r="M16" s="3">
        <v>1.2</v>
      </c>
      <c r="N16" s="3">
        <v>0.85</v>
      </c>
      <c r="O16" s="3">
        <v>1</v>
      </c>
      <c r="P16" s="3" t="s">
        <v>910</v>
      </c>
      <c r="Q16" s="4">
        <f t="shared" si="0"/>
        <v>0.88000000000000012</v>
      </c>
      <c r="R16" s="4">
        <f t="shared" si="1"/>
        <v>0.46750000000000003</v>
      </c>
      <c r="S16" s="4">
        <f t="shared" si="2"/>
        <v>2.5</v>
      </c>
      <c r="T16" s="4">
        <f t="shared" si="3"/>
        <v>0.25</v>
      </c>
      <c r="U16" s="4">
        <f t="shared" si="4"/>
        <v>0.68</v>
      </c>
      <c r="V16" s="4">
        <f t="shared" si="5"/>
        <v>0.68</v>
      </c>
      <c r="W16" s="4">
        <f t="shared" si="6"/>
        <v>0.88</v>
      </c>
      <c r="X16" s="4">
        <f t="shared" si="7"/>
        <v>0.67166666666666675</v>
      </c>
      <c r="Y16" s="4">
        <f t="shared" si="8"/>
        <v>0.72599999999999998</v>
      </c>
      <c r="Z16" s="4">
        <f t="shared" si="9"/>
        <v>1.32</v>
      </c>
      <c r="AA16" s="4">
        <f t="shared" si="10"/>
        <v>0.7</v>
      </c>
      <c r="AB16" s="4">
        <f t="shared" si="11"/>
        <v>9.7551666666666659</v>
      </c>
      <c r="AC16" s="4">
        <f t="shared" si="12"/>
        <v>0.84</v>
      </c>
      <c r="AD16" s="4">
        <f t="shared" si="13"/>
        <v>1.1499999999999999</v>
      </c>
    </row>
    <row r="17" spans="1:30">
      <c r="A17" s="2" t="s">
        <v>224</v>
      </c>
      <c r="B17" s="2" t="s">
        <v>901</v>
      </c>
      <c r="C17" s="3">
        <v>1.6</v>
      </c>
      <c r="D17" s="3">
        <v>1.55</v>
      </c>
      <c r="E17" s="3">
        <v>1.4</v>
      </c>
      <c r="F17" s="3">
        <v>0.82</v>
      </c>
      <c r="G17" s="3">
        <v>0.8</v>
      </c>
      <c r="H17" s="3">
        <v>0.88</v>
      </c>
      <c r="I17" s="3">
        <v>0.04</v>
      </c>
      <c r="J17" s="3">
        <v>1.4</v>
      </c>
      <c r="K17" s="3">
        <v>2.2000000000000002</v>
      </c>
      <c r="L17" s="3">
        <v>0.1</v>
      </c>
      <c r="M17" s="3">
        <v>1</v>
      </c>
      <c r="N17" s="3">
        <v>0.85</v>
      </c>
      <c r="O17" s="3">
        <v>1</v>
      </c>
      <c r="P17" s="3" t="s">
        <v>911</v>
      </c>
      <c r="Q17" s="4">
        <f t="shared" si="0"/>
        <v>1.7600000000000002</v>
      </c>
      <c r="R17" s="4">
        <f t="shared" si="1"/>
        <v>0.46750000000000003</v>
      </c>
      <c r="S17" s="4">
        <f t="shared" si="2"/>
        <v>2.5</v>
      </c>
      <c r="T17" s="4">
        <f t="shared" si="3"/>
        <v>0.25</v>
      </c>
      <c r="U17" s="4">
        <f t="shared" si="4"/>
        <v>1.3174999999999999</v>
      </c>
      <c r="V17" s="4">
        <f t="shared" si="5"/>
        <v>1.19</v>
      </c>
      <c r="W17" s="4">
        <f t="shared" si="6"/>
        <v>0.44</v>
      </c>
      <c r="X17" s="4">
        <f t="shared" si="7"/>
        <v>0.60666666666666658</v>
      </c>
      <c r="Y17" s="4">
        <f t="shared" si="8"/>
        <v>0.4840000000000001</v>
      </c>
      <c r="Z17" s="4">
        <f t="shared" si="9"/>
        <v>0.82</v>
      </c>
      <c r="AA17" s="4">
        <f t="shared" si="10"/>
        <v>0.55999999999999994</v>
      </c>
      <c r="AB17" s="4">
        <f t="shared" si="11"/>
        <v>10.395666666666667</v>
      </c>
      <c r="AC17" s="4">
        <f t="shared" si="12"/>
        <v>1.4</v>
      </c>
      <c r="AD17" s="4">
        <f t="shared" si="13"/>
        <v>0.96666666666666667</v>
      </c>
    </row>
    <row r="18" spans="1:30">
      <c r="A18" s="2" t="s">
        <v>199</v>
      </c>
      <c r="B18" s="2" t="s">
        <v>897</v>
      </c>
      <c r="C18" s="3">
        <v>1.1000000000000001</v>
      </c>
      <c r="D18" s="3">
        <v>1.1000000000000001</v>
      </c>
      <c r="E18" s="3">
        <v>1.1000000000000001</v>
      </c>
      <c r="F18" s="3">
        <v>1</v>
      </c>
      <c r="G18" s="3">
        <v>1</v>
      </c>
      <c r="H18" s="3">
        <v>0.88</v>
      </c>
      <c r="I18" s="3">
        <v>7.0000000000000007E-2</v>
      </c>
      <c r="J18" s="3">
        <v>1.55</v>
      </c>
      <c r="K18" s="3">
        <v>2.4</v>
      </c>
      <c r="L18" s="3">
        <v>0.02</v>
      </c>
      <c r="M18" s="3">
        <v>1</v>
      </c>
      <c r="N18" s="3">
        <v>1.05</v>
      </c>
      <c r="O18" s="3">
        <v>1</v>
      </c>
      <c r="P18" s="3" t="s">
        <v>912</v>
      </c>
      <c r="Q18" s="4">
        <f t="shared" si="0"/>
        <v>1.2100000000000002</v>
      </c>
      <c r="R18" s="4">
        <f t="shared" si="1"/>
        <v>1.1550000000000002</v>
      </c>
      <c r="S18" s="4">
        <f t="shared" si="2"/>
        <v>0.25</v>
      </c>
      <c r="T18" s="4">
        <f t="shared" si="3"/>
        <v>2.5</v>
      </c>
      <c r="U18" s="4">
        <f t="shared" si="4"/>
        <v>0.93500000000000005</v>
      </c>
      <c r="V18" s="4">
        <f t="shared" si="5"/>
        <v>0.93500000000000005</v>
      </c>
      <c r="W18" s="4">
        <f t="shared" si="6"/>
        <v>0.77000000000000013</v>
      </c>
      <c r="X18" s="4">
        <f t="shared" si="7"/>
        <v>0.67166666666666675</v>
      </c>
      <c r="Y18" s="4">
        <f t="shared" si="8"/>
        <v>0.52800000000000002</v>
      </c>
      <c r="Z18" s="4">
        <f t="shared" si="9"/>
        <v>1</v>
      </c>
      <c r="AA18" s="4">
        <f t="shared" si="10"/>
        <v>0.7</v>
      </c>
      <c r="AB18" s="4">
        <f t="shared" si="11"/>
        <v>10.654666666666667</v>
      </c>
      <c r="AC18" s="4">
        <f t="shared" si="12"/>
        <v>1.08</v>
      </c>
      <c r="AD18" s="4">
        <f t="shared" si="13"/>
        <v>1</v>
      </c>
    </row>
    <row r="19" spans="1:30">
      <c r="A19" s="2" t="s">
        <v>139</v>
      </c>
      <c r="B19" s="2" t="s">
        <v>897</v>
      </c>
      <c r="C19" s="3">
        <v>0.74</v>
      </c>
      <c r="D19" s="3">
        <v>0.72</v>
      </c>
      <c r="E19" s="3">
        <v>0.84</v>
      </c>
      <c r="F19" s="3">
        <v>1.55</v>
      </c>
      <c r="G19" s="3">
        <v>0.92</v>
      </c>
      <c r="H19" s="3">
        <v>0.61</v>
      </c>
      <c r="I19" s="3">
        <v>0.05</v>
      </c>
      <c r="J19" s="3">
        <v>1.4</v>
      </c>
      <c r="K19" s="3">
        <v>3.35</v>
      </c>
      <c r="L19" s="3">
        <v>-7.0000000000000007E-2</v>
      </c>
      <c r="M19" s="3">
        <v>1</v>
      </c>
      <c r="N19" s="3">
        <v>0.95</v>
      </c>
      <c r="O19" s="3">
        <v>0.65</v>
      </c>
      <c r="P19" s="3" t="s">
        <v>913</v>
      </c>
      <c r="Q19" s="4">
        <f t="shared" si="0"/>
        <v>0.81400000000000006</v>
      </c>
      <c r="R19" s="4">
        <f t="shared" si="1"/>
        <v>1.0449999999999999</v>
      </c>
      <c r="S19" s="4">
        <f t="shared" si="2"/>
        <v>0.16250000000000001</v>
      </c>
      <c r="T19" s="4">
        <f t="shared" si="3"/>
        <v>2.5</v>
      </c>
      <c r="U19" s="4">
        <f t="shared" si="4"/>
        <v>0.61199999999999999</v>
      </c>
      <c r="V19" s="4">
        <f t="shared" si="5"/>
        <v>0.71399999999999997</v>
      </c>
      <c r="W19" s="4">
        <f t="shared" si="6"/>
        <v>0.55000000000000004</v>
      </c>
      <c r="X19" s="4">
        <f t="shared" si="7"/>
        <v>0.60666666666666658</v>
      </c>
      <c r="Y19" s="4">
        <f t="shared" si="8"/>
        <v>0.7370000000000001</v>
      </c>
      <c r="Z19" s="4">
        <f t="shared" si="9"/>
        <v>1.55</v>
      </c>
      <c r="AA19" s="4">
        <f t="shared" si="10"/>
        <v>0.64400000000000002</v>
      </c>
      <c r="AB19" s="4">
        <f t="shared" si="11"/>
        <v>9.9351666666666674</v>
      </c>
      <c r="AC19" s="4">
        <f t="shared" si="12"/>
        <v>0.72</v>
      </c>
      <c r="AD19" s="4">
        <f t="shared" si="13"/>
        <v>1.1583333333333332</v>
      </c>
    </row>
    <row r="20" spans="1:30">
      <c r="A20" s="2" t="s">
        <v>217</v>
      </c>
      <c r="B20" s="2" t="s">
        <v>897</v>
      </c>
      <c r="C20" s="3">
        <v>0.67</v>
      </c>
      <c r="D20" s="3">
        <v>0.65</v>
      </c>
      <c r="E20" s="3">
        <v>0.8</v>
      </c>
      <c r="F20" s="3">
        <v>0.75</v>
      </c>
      <c r="G20" s="3">
        <v>1.78</v>
      </c>
      <c r="H20" s="3">
        <v>0.62</v>
      </c>
      <c r="I20" s="3">
        <v>0.18</v>
      </c>
      <c r="J20" s="3">
        <v>1.85</v>
      </c>
      <c r="K20" s="3">
        <v>2.0499999999999998</v>
      </c>
      <c r="L20" s="3">
        <v>-0.06</v>
      </c>
      <c r="M20" s="3">
        <v>1.4</v>
      </c>
      <c r="N20" s="3">
        <v>1.1000000000000001</v>
      </c>
      <c r="O20" s="3">
        <v>0.52</v>
      </c>
      <c r="P20" s="3" t="s">
        <v>914</v>
      </c>
      <c r="Q20" s="4">
        <f t="shared" si="0"/>
        <v>0.7370000000000001</v>
      </c>
      <c r="R20" s="4">
        <f t="shared" si="1"/>
        <v>1.2100000000000002</v>
      </c>
      <c r="S20" s="4">
        <f t="shared" si="2"/>
        <v>0.13</v>
      </c>
      <c r="T20" s="4">
        <f t="shared" si="3"/>
        <v>2.5</v>
      </c>
      <c r="U20" s="4">
        <f t="shared" si="4"/>
        <v>0.55249999999999999</v>
      </c>
      <c r="V20" s="4">
        <f t="shared" si="5"/>
        <v>0.68</v>
      </c>
      <c r="W20" s="4">
        <f t="shared" si="6"/>
        <v>1.98</v>
      </c>
      <c r="X20" s="4">
        <f t="shared" si="7"/>
        <v>0.80166666666666675</v>
      </c>
      <c r="Y20" s="4">
        <f t="shared" si="8"/>
        <v>0.45100000000000001</v>
      </c>
      <c r="Z20" s="4">
        <f t="shared" si="9"/>
        <v>0.75</v>
      </c>
      <c r="AA20" s="4">
        <f t="shared" si="10"/>
        <v>1.246</v>
      </c>
      <c r="AB20" s="4">
        <f t="shared" si="11"/>
        <v>11.038166666666667</v>
      </c>
      <c r="AC20" s="4">
        <f t="shared" si="12"/>
        <v>0.76</v>
      </c>
      <c r="AD20" s="4">
        <f t="shared" si="13"/>
        <v>0.94166666666666665</v>
      </c>
    </row>
    <row r="21" spans="1:30">
      <c r="A21" s="2" t="s">
        <v>158</v>
      </c>
      <c r="B21" s="2" t="s">
        <v>897</v>
      </c>
      <c r="C21" s="3">
        <v>0.91</v>
      </c>
      <c r="D21" s="3">
        <v>0.88</v>
      </c>
      <c r="E21" s="3">
        <v>0.95</v>
      </c>
      <c r="F21" s="3">
        <v>0.64</v>
      </c>
      <c r="G21" s="3">
        <v>1.48</v>
      </c>
      <c r="H21" s="3">
        <v>0.75</v>
      </c>
      <c r="I21" s="3">
        <v>0.04</v>
      </c>
      <c r="J21" s="3">
        <v>2.2000000000000002</v>
      </c>
      <c r="K21" s="3">
        <v>1.65</v>
      </c>
      <c r="L21" s="3">
        <v>-2.5000000000000001E-2</v>
      </c>
      <c r="M21" s="3">
        <v>1.25</v>
      </c>
      <c r="N21" s="3">
        <v>1.6</v>
      </c>
      <c r="O21" s="3">
        <v>0.75</v>
      </c>
      <c r="P21" s="3" t="s">
        <v>915</v>
      </c>
      <c r="Q21" s="4">
        <f t="shared" si="0"/>
        <v>1.0010000000000001</v>
      </c>
      <c r="R21" s="4">
        <f t="shared" si="1"/>
        <v>1.7600000000000002</v>
      </c>
      <c r="S21" s="4">
        <f t="shared" si="2"/>
        <v>0.1875</v>
      </c>
      <c r="T21" s="4">
        <f t="shared" si="3"/>
        <v>2.5</v>
      </c>
      <c r="U21" s="4">
        <f t="shared" si="4"/>
        <v>0.748</v>
      </c>
      <c r="V21" s="4">
        <f t="shared" si="5"/>
        <v>0.8075</v>
      </c>
      <c r="W21" s="4">
        <f t="shared" si="6"/>
        <v>0.44</v>
      </c>
      <c r="X21" s="4">
        <f t="shared" si="7"/>
        <v>0.95333333333333348</v>
      </c>
      <c r="Y21" s="4">
        <f t="shared" si="8"/>
        <v>0.36299999999999999</v>
      </c>
      <c r="Z21" s="4">
        <f t="shared" si="9"/>
        <v>0.64</v>
      </c>
      <c r="AA21" s="4">
        <f t="shared" si="10"/>
        <v>1.036</v>
      </c>
      <c r="AB21" s="4">
        <f t="shared" si="11"/>
        <v>10.436333333333334</v>
      </c>
      <c r="AC21" s="4">
        <f t="shared" si="12"/>
        <v>0.9</v>
      </c>
      <c r="AD21" s="4">
        <f t="shared" si="13"/>
        <v>0.875</v>
      </c>
    </row>
    <row r="22" spans="1:30">
      <c r="A22" s="2" t="s">
        <v>145</v>
      </c>
      <c r="B22" s="2" t="s">
        <v>897</v>
      </c>
      <c r="C22" s="3">
        <v>0.57999999999999996</v>
      </c>
      <c r="D22" s="3">
        <v>0.64</v>
      </c>
      <c r="E22" s="3">
        <v>0.65</v>
      </c>
      <c r="F22" s="3">
        <v>1.3</v>
      </c>
      <c r="G22" s="3">
        <v>1</v>
      </c>
      <c r="H22" s="3">
        <v>0.56999999999999995</v>
      </c>
      <c r="I22" s="3">
        <v>0.08</v>
      </c>
      <c r="J22" s="3">
        <v>1.55</v>
      </c>
      <c r="K22" s="3">
        <v>4.2</v>
      </c>
      <c r="L22" s="3">
        <v>-0.09</v>
      </c>
      <c r="M22" s="3">
        <v>1.05</v>
      </c>
      <c r="N22" s="3">
        <v>0.78</v>
      </c>
      <c r="O22" s="3">
        <v>0.48</v>
      </c>
      <c r="P22" s="3" t="s">
        <v>916</v>
      </c>
      <c r="Q22" s="4">
        <f t="shared" si="0"/>
        <v>0.63800000000000001</v>
      </c>
      <c r="R22" s="4">
        <f t="shared" si="1"/>
        <v>0.8580000000000001</v>
      </c>
      <c r="S22" s="4">
        <f t="shared" si="2"/>
        <v>0.125</v>
      </c>
      <c r="T22" s="4">
        <f t="shared" si="3"/>
        <v>2.5</v>
      </c>
      <c r="U22" s="4">
        <f t="shared" si="4"/>
        <v>0.54400000000000004</v>
      </c>
      <c r="V22" s="4">
        <f t="shared" si="5"/>
        <v>0.55249999999999999</v>
      </c>
      <c r="W22" s="4">
        <f t="shared" si="6"/>
        <v>0.88</v>
      </c>
      <c r="X22" s="4">
        <f t="shared" si="7"/>
        <v>0.67166666666666675</v>
      </c>
      <c r="Y22" s="4">
        <f t="shared" si="8"/>
        <v>0.92400000000000015</v>
      </c>
      <c r="Z22" s="4">
        <f t="shared" si="9"/>
        <v>1.3</v>
      </c>
      <c r="AA22" s="4">
        <f t="shared" si="10"/>
        <v>0.7</v>
      </c>
      <c r="AB22" s="4">
        <f t="shared" si="11"/>
        <v>9.6931666666666683</v>
      </c>
      <c r="AC22" s="4">
        <f t="shared" si="12"/>
        <v>0.64</v>
      </c>
      <c r="AD22" s="4">
        <f t="shared" si="13"/>
        <v>1.3</v>
      </c>
    </row>
    <row r="23" spans="1:30">
      <c r="A23" s="2" t="s">
        <v>101</v>
      </c>
      <c r="B23" s="2" t="s">
        <v>897</v>
      </c>
      <c r="C23" s="3">
        <v>1.72</v>
      </c>
      <c r="D23" s="3">
        <v>1.64</v>
      </c>
      <c r="E23" s="3">
        <v>1.55</v>
      </c>
      <c r="F23" s="3">
        <v>0.6</v>
      </c>
      <c r="G23" s="3">
        <v>1.24</v>
      </c>
      <c r="H23" s="3">
        <v>0.91</v>
      </c>
      <c r="I23" s="3">
        <v>3.5000000000000003E-2</v>
      </c>
      <c r="J23" s="3">
        <v>1.4</v>
      </c>
      <c r="K23" s="3">
        <v>1.5</v>
      </c>
      <c r="L23" s="3">
        <v>0.12</v>
      </c>
      <c r="M23" s="3">
        <v>1.03</v>
      </c>
      <c r="N23" s="3">
        <v>1.35</v>
      </c>
      <c r="O23" s="3">
        <v>0.65</v>
      </c>
      <c r="P23" s="3" t="s">
        <v>917</v>
      </c>
      <c r="Q23" s="4">
        <f t="shared" si="0"/>
        <v>1.8920000000000001</v>
      </c>
      <c r="R23" s="4">
        <f t="shared" si="1"/>
        <v>1.4850000000000003</v>
      </c>
      <c r="S23" s="4">
        <f t="shared" si="2"/>
        <v>0.16250000000000001</v>
      </c>
      <c r="T23" s="4">
        <f t="shared" si="3"/>
        <v>2.5</v>
      </c>
      <c r="U23" s="4">
        <f t="shared" si="4"/>
        <v>1.3939999999999999</v>
      </c>
      <c r="V23" s="4">
        <f t="shared" si="5"/>
        <v>1.3174999999999999</v>
      </c>
      <c r="W23" s="4">
        <f t="shared" si="6"/>
        <v>0.38500000000000006</v>
      </c>
      <c r="X23" s="4">
        <f t="shared" si="7"/>
        <v>0.60666666666666658</v>
      </c>
      <c r="Y23" s="4">
        <f t="shared" si="8"/>
        <v>0.33</v>
      </c>
      <c r="Z23" s="4">
        <f t="shared" si="9"/>
        <v>0.6</v>
      </c>
      <c r="AA23" s="4">
        <f t="shared" si="10"/>
        <v>0.86799999999999999</v>
      </c>
      <c r="AB23" s="4">
        <f t="shared" si="11"/>
        <v>11.540666666666668</v>
      </c>
      <c r="AC23" s="4">
        <f t="shared" si="12"/>
        <v>1.48</v>
      </c>
      <c r="AD23" s="4">
        <f t="shared" si="13"/>
        <v>0.85</v>
      </c>
    </row>
    <row r="24" spans="1:30">
      <c r="A24" s="2" t="s">
        <v>214</v>
      </c>
      <c r="B24" s="2" t="s">
        <v>897</v>
      </c>
      <c r="C24" s="3">
        <v>0.96</v>
      </c>
      <c r="D24" s="3">
        <v>0.82</v>
      </c>
      <c r="E24" s="3">
        <v>0.91</v>
      </c>
      <c r="F24" s="3">
        <v>0.91</v>
      </c>
      <c r="G24" s="3">
        <v>1.9</v>
      </c>
      <c r="H24" s="3">
        <v>0.75</v>
      </c>
      <c r="I24" s="3">
        <v>0.06</v>
      </c>
      <c r="J24" s="3">
        <v>1.6</v>
      </c>
      <c r="K24" s="3">
        <v>2.25</v>
      </c>
      <c r="L24" s="3">
        <v>-0.02</v>
      </c>
      <c r="M24" s="3">
        <v>1.65</v>
      </c>
      <c r="N24" s="3">
        <v>1.1000000000000001</v>
      </c>
      <c r="O24" s="3">
        <v>0.62</v>
      </c>
      <c r="P24" s="3" t="s">
        <v>918</v>
      </c>
      <c r="Q24" s="4">
        <f t="shared" si="0"/>
        <v>1.056</v>
      </c>
      <c r="R24" s="4">
        <f t="shared" si="1"/>
        <v>1.2100000000000002</v>
      </c>
      <c r="S24" s="4">
        <f t="shared" si="2"/>
        <v>0.155</v>
      </c>
      <c r="T24" s="4">
        <f t="shared" si="3"/>
        <v>2.5</v>
      </c>
      <c r="U24" s="4">
        <f t="shared" si="4"/>
        <v>0.69699999999999995</v>
      </c>
      <c r="V24" s="4">
        <f t="shared" si="5"/>
        <v>0.77349999999999997</v>
      </c>
      <c r="W24" s="4">
        <f t="shared" si="6"/>
        <v>0.66</v>
      </c>
      <c r="X24" s="4">
        <f t="shared" si="7"/>
        <v>0.69333333333333336</v>
      </c>
      <c r="Y24" s="4">
        <f t="shared" si="8"/>
        <v>0.49500000000000005</v>
      </c>
      <c r="Z24" s="4">
        <f t="shared" si="9"/>
        <v>0.91</v>
      </c>
      <c r="AA24" s="4">
        <f t="shared" si="10"/>
        <v>1.3299999999999998</v>
      </c>
      <c r="AB24" s="4">
        <f t="shared" si="11"/>
        <v>10.479833333333334</v>
      </c>
      <c r="AC24" s="4">
        <f t="shared" si="12"/>
        <v>0.92</v>
      </c>
      <c r="AD24" s="4">
        <f t="shared" si="13"/>
        <v>0.97499999999999998</v>
      </c>
    </row>
    <row r="25" spans="1:30">
      <c r="A25" s="2" t="s">
        <v>155</v>
      </c>
      <c r="B25" s="2" t="s">
        <v>897</v>
      </c>
      <c r="C25" s="3">
        <v>1.28</v>
      </c>
      <c r="D25" s="3">
        <v>1.23</v>
      </c>
      <c r="E25" s="3">
        <v>1.1200000000000001</v>
      </c>
      <c r="F25" s="3">
        <v>1.45</v>
      </c>
      <c r="G25" s="3">
        <v>0.62</v>
      </c>
      <c r="H25" s="3">
        <v>0.8</v>
      </c>
      <c r="I25" s="3">
        <v>7.0000000000000007E-2</v>
      </c>
      <c r="J25" s="3">
        <v>1.5</v>
      </c>
      <c r="K25" s="3">
        <v>2.8</v>
      </c>
      <c r="L25" s="3">
        <v>0.03</v>
      </c>
      <c r="M25" s="3">
        <v>0.9</v>
      </c>
      <c r="N25" s="3">
        <v>0.95</v>
      </c>
      <c r="O25" s="3">
        <v>0.85</v>
      </c>
      <c r="P25" s="3" t="s">
        <v>919</v>
      </c>
      <c r="Q25" s="4">
        <f t="shared" si="0"/>
        <v>1.4080000000000001</v>
      </c>
      <c r="R25" s="4">
        <f t="shared" si="1"/>
        <v>1.0449999999999999</v>
      </c>
      <c r="S25" s="4">
        <f t="shared" si="2"/>
        <v>0.21249999999999999</v>
      </c>
      <c r="T25" s="4">
        <f t="shared" si="3"/>
        <v>2.5</v>
      </c>
      <c r="U25" s="4">
        <f t="shared" si="4"/>
        <v>1.0454999999999999</v>
      </c>
      <c r="V25" s="4">
        <f t="shared" si="5"/>
        <v>0.95200000000000007</v>
      </c>
      <c r="W25" s="4">
        <f t="shared" si="6"/>
        <v>0.77000000000000013</v>
      </c>
      <c r="X25" s="4">
        <f t="shared" si="7"/>
        <v>0.65</v>
      </c>
      <c r="Y25" s="4">
        <f t="shared" si="8"/>
        <v>0.61599999999999999</v>
      </c>
      <c r="Z25" s="4">
        <f t="shared" si="9"/>
        <v>1.45</v>
      </c>
      <c r="AA25" s="4">
        <f t="shared" si="10"/>
        <v>0.434</v>
      </c>
      <c r="AB25" s="4">
        <f t="shared" si="11"/>
        <v>11.082999999999998</v>
      </c>
      <c r="AC25" s="4">
        <f t="shared" si="12"/>
        <v>1.1200000000000001</v>
      </c>
      <c r="AD25" s="4">
        <f t="shared" si="13"/>
        <v>1.0666666666666667</v>
      </c>
    </row>
    <row r="26" spans="1:30">
      <c r="A26" s="2" t="s">
        <v>232</v>
      </c>
      <c r="B26" s="2" t="s">
        <v>897</v>
      </c>
      <c r="C26" s="3">
        <v>0.73</v>
      </c>
      <c r="D26" s="3">
        <v>0.77</v>
      </c>
      <c r="E26" s="3">
        <v>0.85</v>
      </c>
      <c r="F26" s="3">
        <v>0.95</v>
      </c>
      <c r="G26" s="3">
        <v>1.1200000000000001</v>
      </c>
      <c r="H26" s="3">
        <v>0.66</v>
      </c>
      <c r="I26" s="3">
        <v>0.26</v>
      </c>
      <c r="J26" s="3">
        <v>1.95</v>
      </c>
      <c r="K26" s="3">
        <v>2.75</v>
      </c>
      <c r="L26" s="3">
        <v>-0.05</v>
      </c>
      <c r="M26" s="3">
        <v>1.1000000000000001</v>
      </c>
      <c r="N26" s="3">
        <v>1.18</v>
      </c>
      <c r="O26" s="3">
        <v>0.56000000000000005</v>
      </c>
      <c r="P26" s="3" t="s">
        <v>920</v>
      </c>
      <c r="Q26" s="4">
        <f t="shared" si="0"/>
        <v>0.80300000000000005</v>
      </c>
      <c r="R26" s="4">
        <f t="shared" si="1"/>
        <v>1.298</v>
      </c>
      <c r="S26" s="4">
        <f t="shared" si="2"/>
        <v>0.14000000000000001</v>
      </c>
      <c r="T26" s="4">
        <f t="shared" si="3"/>
        <v>2.5</v>
      </c>
      <c r="U26" s="4">
        <f t="shared" si="4"/>
        <v>0.65449999999999997</v>
      </c>
      <c r="V26" s="4">
        <f t="shared" si="5"/>
        <v>0.72249999999999992</v>
      </c>
      <c r="W26" s="4">
        <f t="shared" si="6"/>
        <v>2.8600000000000003</v>
      </c>
      <c r="X26" s="4">
        <f t="shared" si="7"/>
        <v>0.84500000000000008</v>
      </c>
      <c r="Y26" s="4">
        <f t="shared" si="8"/>
        <v>0.60500000000000009</v>
      </c>
      <c r="Z26" s="4">
        <f t="shared" si="9"/>
        <v>0.95</v>
      </c>
      <c r="AA26" s="4">
        <f t="shared" si="10"/>
        <v>0.78400000000000003</v>
      </c>
      <c r="AB26" s="4">
        <f t="shared" si="11"/>
        <v>12.162000000000001</v>
      </c>
      <c r="AC26" s="4">
        <f t="shared" si="12"/>
        <v>0.8</v>
      </c>
      <c r="AD26" s="4">
        <f t="shared" si="13"/>
        <v>1.0583333333333333</v>
      </c>
    </row>
    <row r="27" spans="1:30">
      <c r="A27" s="2" t="s">
        <v>173</v>
      </c>
      <c r="B27" s="2" t="s">
        <v>897</v>
      </c>
      <c r="C27" s="3">
        <v>0.82</v>
      </c>
      <c r="D27" s="3">
        <v>0.81</v>
      </c>
      <c r="E27" s="3">
        <v>0.87</v>
      </c>
      <c r="F27" s="3">
        <v>0.68</v>
      </c>
      <c r="G27" s="3">
        <v>1.42</v>
      </c>
      <c r="H27" s="3">
        <v>0.67</v>
      </c>
      <c r="I27" s="3">
        <v>0.12</v>
      </c>
      <c r="J27" s="3">
        <v>2.5499999999999998</v>
      </c>
      <c r="K27" s="3">
        <v>2.2999999999999998</v>
      </c>
      <c r="L27" s="3">
        <v>-5.5E-2</v>
      </c>
      <c r="M27" s="3">
        <v>1.2</v>
      </c>
      <c r="N27" s="3">
        <v>1.35</v>
      </c>
      <c r="O27" s="3">
        <v>0.6</v>
      </c>
      <c r="P27" s="3" t="s">
        <v>921</v>
      </c>
      <c r="Q27" s="4">
        <f t="shared" si="0"/>
        <v>0.90200000000000002</v>
      </c>
      <c r="R27" s="4">
        <f t="shared" si="1"/>
        <v>1.4850000000000003</v>
      </c>
      <c r="S27" s="4">
        <f t="shared" si="2"/>
        <v>0.15</v>
      </c>
      <c r="T27" s="4">
        <f t="shared" si="3"/>
        <v>2.5</v>
      </c>
      <c r="U27" s="4">
        <f t="shared" si="4"/>
        <v>0.6885</v>
      </c>
      <c r="V27" s="4">
        <f t="shared" si="5"/>
        <v>0.73949999999999994</v>
      </c>
      <c r="W27" s="4">
        <f t="shared" si="6"/>
        <v>1.32</v>
      </c>
      <c r="X27" s="4">
        <f t="shared" si="7"/>
        <v>1.105</v>
      </c>
      <c r="Y27" s="4">
        <f t="shared" si="8"/>
        <v>0.50600000000000001</v>
      </c>
      <c r="Z27" s="4">
        <f t="shared" si="9"/>
        <v>0.68</v>
      </c>
      <c r="AA27" s="4">
        <f t="shared" si="10"/>
        <v>0.99399999999999988</v>
      </c>
      <c r="AB27" s="4">
        <f t="shared" si="11"/>
        <v>11.07</v>
      </c>
      <c r="AC27" s="4">
        <f t="shared" si="12"/>
        <v>0.78</v>
      </c>
      <c r="AD27" s="4">
        <f t="shared" si="13"/>
        <v>0.98333333333333328</v>
      </c>
    </row>
    <row r="28" spans="1:30">
      <c r="A28" s="2" t="s">
        <v>105</v>
      </c>
      <c r="B28" s="2" t="s">
        <v>897</v>
      </c>
      <c r="C28" s="3">
        <v>1.06</v>
      </c>
      <c r="D28" s="3">
        <v>0.77</v>
      </c>
      <c r="E28" s="3">
        <v>2.0499999999999998</v>
      </c>
      <c r="F28" s="3">
        <v>0.84</v>
      </c>
      <c r="G28" s="3">
        <v>1.06</v>
      </c>
      <c r="H28" s="3">
        <v>0.82</v>
      </c>
      <c r="I28" s="3">
        <v>4.4999999999999998E-2</v>
      </c>
      <c r="J28" s="3">
        <v>1.45</v>
      </c>
      <c r="K28" s="3">
        <v>1.9</v>
      </c>
      <c r="L28" s="3">
        <v>0.09</v>
      </c>
      <c r="M28" s="3">
        <v>1.1000000000000001</v>
      </c>
      <c r="N28" s="3">
        <v>1.75</v>
      </c>
      <c r="O28" s="3">
        <v>0.65</v>
      </c>
      <c r="P28" s="3" t="s">
        <v>922</v>
      </c>
      <c r="Q28" s="4">
        <f t="shared" si="0"/>
        <v>1.1660000000000001</v>
      </c>
      <c r="R28" s="4">
        <f t="shared" si="1"/>
        <v>1.9250000000000003</v>
      </c>
      <c r="S28" s="4">
        <f t="shared" si="2"/>
        <v>0.16250000000000001</v>
      </c>
      <c r="T28" s="4">
        <f t="shared" si="3"/>
        <v>2.5</v>
      </c>
      <c r="U28" s="4">
        <f t="shared" si="4"/>
        <v>0.65449999999999997</v>
      </c>
      <c r="V28" s="4">
        <f t="shared" si="5"/>
        <v>1.7424999999999997</v>
      </c>
      <c r="W28" s="4">
        <f t="shared" si="6"/>
        <v>0.495</v>
      </c>
      <c r="X28" s="4">
        <f t="shared" si="7"/>
        <v>0.62833333333333341</v>
      </c>
      <c r="Y28" s="4">
        <f t="shared" si="8"/>
        <v>0.41800000000000004</v>
      </c>
      <c r="Z28" s="4">
        <f t="shared" si="9"/>
        <v>0.84</v>
      </c>
      <c r="AA28" s="4">
        <f t="shared" si="10"/>
        <v>0.74199999999999999</v>
      </c>
      <c r="AB28" s="4">
        <f t="shared" si="11"/>
        <v>11.273833333333332</v>
      </c>
      <c r="AC28" s="4">
        <f t="shared" si="12"/>
        <v>1.3599999999999999</v>
      </c>
      <c r="AD28" s="4">
        <f t="shared" si="13"/>
        <v>0.91666666666666663</v>
      </c>
    </row>
    <row r="29" spans="1:30">
      <c r="A29" s="2" t="s">
        <v>87</v>
      </c>
      <c r="B29" s="2" t="s">
        <v>897</v>
      </c>
      <c r="C29" s="3">
        <v>1.1200000000000001</v>
      </c>
      <c r="D29" s="3">
        <v>1.95</v>
      </c>
      <c r="E29" s="3">
        <v>0.72</v>
      </c>
      <c r="F29" s="3">
        <v>0.87</v>
      </c>
      <c r="G29" s="3">
        <v>0.94</v>
      </c>
      <c r="H29" s="3">
        <v>0.82</v>
      </c>
      <c r="I29" s="3">
        <v>5.5E-2</v>
      </c>
      <c r="J29" s="3">
        <v>1.5</v>
      </c>
      <c r="K29" s="3">
        <v>1.85</v>
      </c>
      <c r="L29" s="3">
        <v>6.5000000000000002E-2</v>
      </c>
      <c r="M29" s="3">
        <v>1.05</v>
      </c>
      <c r="N29" s="3">
        <v>1.35</v>
      </c>
      <c r="O29" s="3">
        <v>0.66</v>
      </c>
      <c r="P29" s="3" t="s">
        <v>923</v>
      </c>
      <c r="Q29" s="4">
        <f t="shared" si="0"/>
        <v>1.2320000000000002</v>
      </c>
      <c r="R29" s="4">
        <f t="shared" si="1"/>
        <v>1.4850000000000003</v>
      </c>
      <c r="S29" s="4">
        <f t="shared" si="2"/>
        <v>0.16500000000000001</v>
      </c>
      <c r="T29" s="4">
        <f t="shared" si="3"/>
        <v>2.5</v>
      </c>
      <c r="U29" s="4">
        <f t="shared" si="4"/>
        <v>1.6575</v>
      </c>
      <c r="V29" s="4">
        <f t="shared" si="5"/>
        <v>0.61199999999999999</v>
      </c>
      <c r="W29" s="4">
        <f t="shared" si="6"/>
        <v>0.60499999999999998</v>
      </c>
      <c r="X29" s="4">
        <f t="shared" si="7"/>
        <v>0.65</v>
      </c>
      <c r="Y29" s="4">
        <f t="shared" si="8"/>
        <v>0.40700000000000003</v>
      </c>
      <c r="Z29" s="4">
        <f t="shared" si="9"/>
        <v>0.87</v>
      </c>
      <c r="AA29" s="4">
        <f t="shared" si="10"/>
        <v>0.65799999999999992</v>
      </c>
      <c r="AB29" s="4">
        <f t="shared" si="11"/>
        <v>10.8415</v>
      </c>
      <c r="AC29" s="4">
        <f t="shared" si="12"/>
        <v>1.26</v>
      </c>
      <c r="AD29" s="4">
        <f t="shared" si="13"/>
        <v>0.90833333333333333</v>
      </c>
    </row>
    <row r="30" spans="1:30">
      <c r="A30" s="2" t="s">
        <v>229</v>
      </c>
      <c r="B30" s="2" t="s">
        <v>897</v>
      </c>
      <c r="C30" s="3">
        <v>1</v>
      </c>
      <c r="D30" s="3">
        <v>0.96</v>
      </c>
      <c r="E30" s="3">
        <v>1.02</v>
      </c>
      <c r="F30" s="3">
        <v>0.92</v>
      </c>
      <c r="G30" s="3">
        <v>1.07</v>
      </c>
      <c r="H30" s="3">
        <v>0.85</v>
      </c>
      <c r="I30" s="3">
        <v>4.4999999999999998E-2</v>
      </c>
      <c r="J30" s="3">
        <v>1.4</v>
      </c>
      <c r="K30" s="3">
        <v>2.0499999999999998</v>
      </c>
      <c r="L30" s="3">
        <v>0.19</v>
      </c>
      <c r="M30" s="3">
        <v>1</v>
      </c>
      <c r="N30" s="3">
        <v>1.2</v>
      </c>
      <c r="O30" s="3">
        <v>0.7</v>
      </c>
      <c r="P30" s="3" t="s">
        <v>924</v>
      </c>
      <c r="Q30" s="4">
        <f t="shared" si="0"/>
        <v>1.1000000000000001</v>
      </c>
      <c r="R30" s="4">
        <f t="shared" si="1"/>
        <v>1.32</v>
      </c>
      <c r="S30" s="4">
        <f t="shared" si="2"/>
        <v>0.17499999999999999</v>
      </c>
      <c r="T30" s="4">
        <f t="shared" si="3"/>
        <v>2.5</v>
      </c>
      <c r="U30" s="4">
        <f t="shared" si="4"/>
        <v>0.81599999999999995</v>
      </c>
      <c r="V30" s="4">
        <f t="shared" si="5"/>
        <v>0.86699999999999999</v>
      </c>
      <c r="W30" s="4">
        <f t="shared" si="6"/>
        <v>0.495</v>
      </c>
      <c r="X30" s="4">
        <f t="shared" si="7"/>
        <v>0.60666666666666658</v>
      </c>
      <c r="Y30" s="4">
        <f t="shared" si="8"/>
        <v>0.45100000000000001</v>
      </c>
      <c r="Z30" s="4">
        <f t="shared" si="9"/>
        <v>0.92</v>
      </c>
      <c r="AA30" s="4">
        <f t="shared" si="10"/>
        <v>0.749</v>
      </c>
      <c r="AB30" s="4">
        <f t="shared" si="11"/>
        <v>9.9996666666666663</v>
      </c>
      <c r="AC30" s="4">
        <f t="shared" si="12"/>
        <v>1.5</v>
      </c>
      <c r="AD30" s="4">
        <f t="shared" si="13"/>
        <v>0.94166666666666665</v>
      </c>
    </row>
    <row r="31" spans="1:30">
      <c r="A31" s="2" t="s">
        <v>170</v>
      </c>
      <c r="B31" s="2" t="s">
        <v>897</v>
      </c>
      <c r="C31" s="3">
        <v>1.03</v>
      </c>
      <c r="D31" s="3">
        <v>0.96</v>
      </c>
      <c r="E31" s="3">
        <v>1.18</v>
      </c>
      <c r="F31" s="3">
        <v>0.9</v>
      </c>
      <c r="G31" s="3">
        <v>1.1200000000000001</v>
      </c>
      <c r="H31" s="3">
        <v>0.79</v>
      </c>
      <c r="I31" s="3">
        <v>6.5000000000000002E-2</v>
      </c>
      <c r="J31" s="3">
        <v>1.45</v>
      </c>
      <c r="K31" s="3">
        <v>2.1</v>
      </c>
      <c r="L31" s="3">
        <v>0.02</v>
      </c>
      <c r="M31" s="3">
        <v>1.05</v>
      </c>
      <c r="N31" s="3">
        <v>2.65</v>
      </c>
      <c r="O31" s="3">
        <v>0.7</v>
      </c>
      <c r="P31" s="3" t="s">
        <v>925</v>
      </c>
      <c r="Q31" s="4">
        <f t="shared" si="0"/>
        <v>1.1330000000000002</v>
      </c>
      <c r="R31" s="4">
        <f t="shared" si="1"/>
        <v>2.915</v>
      </c>
      <c r="S31" s="4">
        <f t="shared" si="2"/>
        <v>0.17499999999999999</v>
      </c>
      <c r="T31" s="4">
        <f t="shared" si="3"/>
        <v>2.5</v>
      </c>
      <c r="U31" s="4">
        <f t="shared" si="4"/>
        <v>0.81599999999999995</v>
      </c>
      <c r="V31" s="4">
        <f t="shared" si="5"/>
        <v>1.0029999999999999</v>
      </c>
      <c r="W31" s="4">
        <f t="shared" si="6"/>
        <v>0.71500000000000008</v>
      </c>
      <c r="X31" s="4">
        <f t="shared" si="7"/>
        <v>0.62833333333333341</v>
      </c>
      <c r="Y31" s="4">
        <f t="shared" si="8"/>
        <v>0.46200000000000008</v>
      </c>
      <c r="Z31" s="4">
        <f t="shared" si="9"/>
        <v>0.9</v>
      </c>
      <c r="AA31" s="4">
        <f t="shared" si="10"/>
        <v>0.78400000000000003</v>
      </c>
      <c r="AB31" s="4">
        <f t="shared" si="11"/>
        <v>12.031333333333334</v>
      </c>
      <c r="AC31" s="4">
        <f t="shared" si="12"/>
        <v>1.08</v>
      </c>
      <c r="AD31" s="4">
        <f t="shared" si="13"/>
        <v>0.95</v>
      </c>
    </row>
    <row r="32" spans="1:30">
      <c r="A32" s="2" t="s">
        <v>246</v>
      </c>
      <c r="B32" s="2" t="s">
        <v>897</v>
      </c>
      <c r="C32" s="3">
        <v>0.89</v>
      </c>
      <c r="D32" s="3">
        <v>0.92</v>
      </c>
      <c r="E32" s="3">
        <v>0.91</v>
      </c>
      <c r="F32" s="3">
        <v>1.1499999999999999</v>
      </c>
      <c r="G32" s="3">
        <v>1.23</v>
      </c>
      <c r="H32" s="3">
        <v>0.74</v>
      </c>
      <c r="I32" s="3">
        <v>7.4999999999999997E-2</v>
      </c>
      <c r="J32" s="3">
        <v>1.5</v>
      </c>
      <c r="K32" s="3">
        <v>3.1</v>
      </c>
      <c r="L32" s="3">
        <v>-0.01</v>
      </c>
      <c r="M32" s="3">
        <v>2.15</v>
      </c>
      <c r="N32" s="3">
        <v>0.95</v>
      </c>
      <c r="O32" s="3">
        <v>0.6</v>
      </c>
      <c r="P32" s="3" t="s">
        <v>926</v>
      </c>
      <c r="Q32" s="4">
        <f t="shared" si="0"/>
        <v>0.97900000000000009</v>
      </c>
      <c r="R32" s="4">
        <f t="shared" si="1"/>
        <v>1.0449999999999999</v>
      </c>
      <c r="S32" s="4">
        <f t="shared" si="2"/>
        <v>0.15</v>
      </c>
      <c r="T32" s="4">
        <f t="shared" si="3"/>
        <v>2.5</v>
      </c>
      <c r="U32" s="4">
        <f t="shared" si="4"/>
        <v>0.78200000000000003</v>
      </c>
      <c r="V32" s="4">
        <f t="shared" si="5"/>
        <v>0.77349999999999997</v>
      </c>
      <c r="W32" s="4">
        <f t="shared" si="6"/>
        <v>0.82499999999999996</v>
      </c>
      <c r="X32" s="4">
        <f t="shared" si="7"/>
        <v>0.65</v>
      </c>
      <c r="Y32" s="4">
        <f t="shared" si="8"/>
        <v>0.68200000000000005</v>
      </c>
      <c r="Z32" s="4">
        <f t="shared" si="9"/>
        <v>1.1499999999999999</v>
      </c>
      <c r="AA32" s="4">
        <f t="shared" si="10"/>
        <v>0.86099999999999999</v>
      </c>
      <c r="AB32" s="4">
        <f t="shared" si="11"/>
        <v>10.397500000000001</v>
      </c>
      <c r="AC32" s="4">
        <f t="shared" si="12"/>
        <v>0.96</v>
      </c>
      <c r="AD32" s="4">
        <f t="shared" si="13"/>
        <v>1.8666666666666667</v>
      </c>
    </row>
    <row r="33" spans="1:30">
      <c r="A33" s="2" t="s">
        <v>187</v>
      </c>
      <c r="B33" s="2" t="s">
        <v>897</v>
      </c>
      <c r="C33" s="3">
        <v>0.79</v>
      </c>
      <c r="D33" s="3">
        <v>0.85</v>
      </c>
      <c r="E33" s="3">
        <v>0.81</v>
      </c>
      <c r="F33" s="3">
        <v>1.72</v>
      </c>
      <c r="G33" s="3">
        <v>0.76</v>
      </c>
      <c r="H33" s="3">
        <v>0.63</v>
      </c>
      <c r="I33" s="3">
        <v>6.5000000000000002E-2</v>
      </c>
      <c r="J33" s="3">
        <v>1.45</v>
      </c>
      <c r="K33" s="3">
        <v>4</v>
      </c>
      <c r="L33" s="3">
        <v>-7.0000000000000007E-2</v>
      </c>
      <c r="M33" s="3">
        <v>1.35</v>
      </c>
      <c r="N33" s="3">
        <v>0.9</v>
      </c>
      <c r="O33" s="3">
        <v>0.53</v>
      </c>
      <c r="P33" s="3" t="s">
        <v>927</v>
      </c>
      <c r="Q33" s="4">
        <f t="shared" si="0"/>
        <v>0.86900000000000011</v>
      </c>
      <c r="R33" s="4">
        <f t="shared" si="1"/>
        <v>0.9900000000000001</v>
      </c>
      <c r="S33" s="4">
        <f t="shared" si="2"/>
        <v>0.13250000000000001</v>
      </c>
      <c r="T33" s="4">
        <f t="shared" si="3"/>
        <v>2.5</v>
      </c>
      <c r="U33" s="4">
        <f t="shared" si="4"/>
        <v>0.72249999999999992</v>
      </c>
      <c r="V33" s="4">
        <f t="shared" si="5"/>
        <v>0.6885</v>
      </c>
      <c r="W33" s="4">
        <f t="shared" si="6"/>
        <v>0.71500000000000008</v>
      </c>
      <c r="X33" s="4">
        <f t="shared" si="7"/>
        <v>0.62833333333333341</v>
      </c>
      <c r="Y33" s="4">
        <f t="shared" si="8"/>
        <v>0.88000000000000012</v>
      </c>
      <c r="Z33" s="4">
        <f t="shared" si="9"/>
        <v>1.72</v>
      </c>
      <c r="AA33" s="4">
        <f t="shared" si="10"/>
        <v>0.53199999999999992</v>
      </c>
      <c r="AB33" s="4">
        <f t="shared" si="11"/>
        <v>10.377833333333335</v>
      </c>
      <c r="AC33" s="4">
        <f t="shared" si="12"/>
        <v>0.72</v>
      </c>
      <c r="AD33" s="4">
        <f t="shared" si="13"/>
        <v>1.2666666666666666</v>
      </c>
    </row>
    <row r="34" spans="1:30">
      <c r="A34" s="2" t="s">
        <v>125</v>
      </c>
      <c r="B34" s="2" t="s">
        <v>897</v>
      </c>
      <c r="C34" s="3">
        <v>1.4</v>
      </c>
      <c r="D34" s="3">
        <v>0.95</v>
      </c>
      <c r="E34" s="3">
        <v>1.68</v>
      </c>
      <c r="F34" s="3">
        <v>0.72</v>
      </c>
      <c r="G34" s="3">
        <v>1.33</v>
      </c>
      <c r="H34" s="3">
        <v>0.86</v>
      </c>
      <c r="I34" s="3">
        <v>0.115</v>
      </c>
      <c r="J34" s="3">
        <v>1.95</v>
      </c>
      <c r="K34" s="3">
        <v>1.2</v>
      </c>
      <c r="L34" s="3">
        <v>0.08</v>
      </c>
      <c r="M34" s="3">
        <v>1.25</v>
      </c>
      <c r="N34" s="3">
        <v>2.2000000000000002</v>
      </c>
      <c r="O34" s="3">
        <v>0.84</v>
      </c>
      <c r="P34" s="3" t="s">
        <v>928</v>
      </c>
      <c r="Q34" s="4">
        <f t="shared" si="0"/>
        <v>1.54</v>
      </c>
      <c r="R34" s="4">
        <f t="shared" si="1"/>
        <v>2.4200000000000004</v>
      </c>
      <c r="S34" s="4">
        <f t="shared" si="2"/>
        <v>0.21</v>
      </c>
      <c r="T34" s="4">
        <f t="shared" si="3"/>
        <v>2.5</v>
      </c>
      <c r="U34" s="4">
        <f t="shared" si="4"/>
        <v>0.8075</v>
      </c>
      <c r="V34" s="4">
        <f t="shared" si="5"/>
        <v>1.4279999999999999</v>
      </c>
      <c r="W34" s="4">
        <f t="shared" si="6"/>
        <v>1.2649999999999999</v>
      </c>
      <c r="X34" s="4">
        <f t="shared" si="7"/>
        <v>0.84500000000000008</v>
      </c>
      <c r="Y34" s="4">
        <f t="shared" si="8"/>
        <v>0.26400000000000001</v>
      </c>
      <c r="Z34" s="4">
        <f t="shared" si="9"/>
        <v>0.72</v>
      </c>
      <c r="AA34" s="4">
        <f t="shared" si="10"/>
        <v>0.93099999999999994</v>
      </c>
      <c r="AB34" s="4">
        <f t="shared" si="11"/>
        <v>12.9305</v>
      </c>
      <c r="AC34" s="4">
        <f t="shared" si="12"/>
        <v>1.32</v>
      </c>
      <c r="AD34" s="4">
        <f t="shared" si="13"/>
        <v>0.79999999999999993</v>
      </c>
    </row>
    <row r="35" spans="1:30">
      <c r="A35" s="2" t="s">
        <v>108</v>
      </c>
      <c r="B35" s="2" t="s">
        <v>897</v>
      </c>
      <c r="C35" s="3">
        <v>0.55000000000000004</v>
      </c>
      <c r="D35" s="3">
        <v>1.45</v>
      </c>
      <c r="E35" s="3">
        <v>2.25</v>
      </c>
      <c r="F35" s="3">
        <v>0.88</v>
      </c>
      <c r="G35" s="3">
        <v>1.26</v>
      </c>
      <c r="H35" s="3">
        <v>0.75</v>
      </c>
      <c r="I35" s="3">
        <v>0.04</v>
      </c>
      <c r="J35" s="3">
        <v>1.38</v>
      </c>
      <c r="K35" s="3">
        <v>2.2000000000000002</v>
      </c>
      <c r="L35" s="3">
        <v>0.13</v>
      </c>
      <c r="M35" s="3">
        <v>1.1200000000000001</v>
      </c>
      <c r="N35" s="3">
        <v>1.5</v>
      </c>
      <c r="O35" s="3">
        <v>0.8</v>
      </c>
      <c r="P35" s="3" t="s">
        <v>929</v>
      </c>
      <c r="Q35" s="4">
        <f t="shared" si="0"/>
        <v>0.60500000000000009</v>
      </c>
      <c r="R35" s="4">
        <f t="shared" si="1"/>
        <v>1.6500000000000001</v>
      </c>
      <c r="S35" s="4">
        <f t="shared" si="2"/>
        <v>0.2</v>
      </c>
      <c r="T35" s="4">
        <f t="shared" si="3"/>
        <v>2.5</v>
      </c>
      <c r="U35" s="4">
        <f t="shared" si="4"/>
        <v>1.2324999999999999</v>
      </c>
      <c r="V35" s="4">
        <f t="shared" si="5"/>
        <v>1.9124999999999999</v>
      </c>
      <c r="W35" s="4">
        <f t="shared" si="6"/>
        <v>0.44</v>
      </c>
      <c r="X35" s="4">
        <f t="shared" si="7"/>
        <v>0.59799999999999998</v>
      </c>
      <c r="Y35" s="4">
        <f t="shared" si="8"/>
        <v>0.4840000000000001</v>
      </c>
      <c r="Z35" s="4">
        <f t="shared" si="9"/>
        <v>0.88</v>
      </c>
      <c r="AA35" s="4">
        <f t="shared" si="10"/>
        <v>0.8819999999999999</v>
      </c>
      <c r="AB35" s="4">
        <f t="shared" si="11"/>
        <v>11.384</v>
      </c>
      <c r="AC35" s="4">
        <f t="shared" si="12"/>
        <v>1.5</v>
      </c>
      <c r="AD35" s="4">
        <f t="shared" si="13"/>
        <v>0.96666666666666667</v>
      </c>
    </row>
    <row r="36" spans="1:30">
      <c r="A36" s="2" t="s">
        <v>165</v>
      </c>
      <c r="B36" s="2" t="s">
        <v>901</v>
      </c>
      <c r="C36" s="3">
        <v>0.65</v>
      </c>
      <c r="D36" s="3">
        <v>0.62</v>
      </c>
      <c r="E36" s="3">
        <v>0.68</v>
      </c>
      <c r="F36" s="3">
        <v>1.35</v>
      </c>
      <c r="G36" s="3">
        <v>0.86</v>
      </c>
      <c r="H36" s="3">
        <v>0.56999999999999995</v>
      </c>
      <c r="I36" s="3">
        <v>0.18</v>
      </c>
      <c r="J36" s="3">
        <v>2.1</v>
      </c>
      <c r="K36" s="3">
        <v>3.15</v>
      </c>
      <c r="L36" s="3">
        <v>-0.08</v>
      </c>
      <c r="M36" s="3">
        <v>1.2</v>
      </c>
      <c r="N36" s="3">
        <v>0.48</v>
      </c>
      <c r="O36" s="3">
        <v>0.65</v>
      </c>
      <c r="P36" s="3" t="s">
        <v>930</v>
      </c>
      <c r="Q36" s="4">
        <f t="shared" si="0"/>
        <v>0.71500000000000008</v>
      </c>
      <c r="R36" s="4">
        <f t="shared" si="1"/>
        <v>0.26400000000000001</v>
      </c>
      <c r="S36" s="4">
        <f t="shared" si="2"/>
        <v>2.5</v>
      </c>
      <c r="T36" s="4">
        <f t="shared" si="3"/>
        <v>0.16250000000000001</v>
      </c>
      <c r="U36" s="4">
        <f t="shared" si="4"/>
        <v>0.52700000000000002</v>
      </c>
      <c r="V36" s="4">
        <f t="shared" si="5"/>
        <v>0.57800000000000007</v>
      </c>
      <c r="W36" s="4">
        <f t="shared" si="6"/>
        <v>1.98</v>
      </c>
      <c r="X36" s="4">
        <f t="shared" si="7"/>
        <v>0.91000000000000014</v>
      </c>
      <c r="Y36" s="4">
        <f t="shared" si="8"/>
        <v>0.69300000000000006</v>
      </c>
      <c r="Z36" s="4">
        <f t="shared" si="9"/>
        <v>1.35</v>
      </c>
      <c r="AA36" s="4">
        <f t="shared" si="10"/>
        <v>0.60199999999999998</v>
      </c>
      <c r="AB36" s="4">
        <f t="shared" si="11"/>
        <v>10.281499999999999</v>
      </c>
      <c r="AC36" s="4">
        <f t="shared" si="12"/>
        <v>0.67999999999999994</v>
      </c>
      <c r="AD36" s="4">
        <f t="shared" si="13"/>
        <v>1.125</v>
      </c>
    </row>
    <row r="37" spans="1:30">
      <c r="A37" s="2" t="s">
        <v>95</v>
      </c>
      <c r="B37" s="2" t="s">
        <v>901</v>
      </c>
      <c r="C37" s="3">
        <v>1.27</v>
      </c>
      <c r="D37" s="3">
        <v>1.05</v>
      </c>
      <c r="E37" s="3">
        <v>0.88</v>
      </c>
      <c r="F37" s="3">
        <v>0.53</v>
      </c>
      <c r="G37" s="3">
        <v>1.24</v>
      </c>
      <c r="H37" s="3">
        <v>0.8</v>
      </c>
      <c r="I37" s="3">
        <v>0.06</v>
      </c>
      <c r="J37" s="3">
        <v>2.15</v>
      </c>
      <c r="K37" s="3">
        <v>1.65</v>
      </c>
      <c r="L37" s="3">
        <v>-2.5000000000000001E-2</v>
      </c>
      <c r="M37" s="3">
        <v>1.1000000000000001</v>
      </c>
      <c r="N37" s="3">
        <v>0.7</v>
      </c>
      <c r="O37" s="3">
        <v>0.65</v>
      </c>
      <c r="P37" s="3" t="s">
        <v>931</v>
      </c>
      <c r="Q37" s="4">
        <f t="shared" ref="Q37:Q54" si="14">MAX(0.1,C37)*1.1</f>
        <v>1.3970000000000002</v>
      </c>
      <c r="R37" s="4">
        <f t="shared" ref="R37:R54" si="15">MAX(0.1,N37)*IF(B37="Ranged",1.1,0.55)</f>
        <v>0.38500000000000001</v>
      </c>
      <c r="S37" s="4">
        <f t="shared" ref="S37:S54" si="16">IF(B37="Melee",2.5,0.25*MAX(0.5,O37))</f>
        <v>2.5</v>
      </c>
      <c r="T37" s="4">
        <f t="shared" ref="T37:T54" si="17">IF(B37="Ranged",2.5,0.25*MAX(0.5,O37))</f>
        <v>0.16250000000000001</v>
      </c>
      <c r="U37" s="4">
        <f t="shared" ref="U37:U54" si="18">MAX(0.1,D37)*0.85</f>
        <v>0.89249999999999996</v>
      </c>
      <c r="V37" s="4">
        <f t="shared" ref="V37:V54" si="19">MAX(0.1,E37)*0.85</f>
        <v>0.748</v>
      </c>
      <c r="W37" s="4">
        <f t="shared" ref="W37:W54" si="20">MAX(0.3,I37/0.05)*0.55</f>
        <v>0.66</v>
      </c>
      <c r="X37" s="4">
        <f t="shared" ref="X37:X54" si="21">MAX(0.3,J37/1.5)*0.65</f>
        <v>0.93166666666666675</v>
      </c>
      <c r="Y37" s="4">
        <f t="shared" ref="Y37:Y54" si="22">MAX(0.3,K37/2.5)*0.55</f>
        <v>0.36299999999999999</v>
      </c>
      <c r="Z37" s="4">
        <f t="shared" ref="Z37:Z54" si="23">MAX(0.2,F37)*1</f>
        <v>0.53</v>
      </c>
      <c r="AA37" s="4">
        <f t="shared" ref="AA37:AA54" si="24">MAX(0.2,G37)*0.7</f>
        <v>0.86799999999999999</v>
      </c>
      <c r="AB37" s="4">
        <f t="shared" ref="AB37:AB54" si="25">SUM(Q37:AA37)</f>
        <v>9.4376666666666669</v>
      </c>
      <c r="AC37" s="4">
        <f t="shared" ref="AC37:AC54" si="26">MAX(0.5,MIN(1.5,1+L37*4))</f>
        <v>0.9</v>
      </c>
      <c r="AD37" s="4">
        <f t="shared" ref="AD37:AD54" si="27">MAX(0.3,MIN(2.5,0.6+K37/6+IF(ISNUMBER(SEARCH("探索",A37)),0.75,0)))</f>
        <v>0.875</v>
      </c>
    </row>
    <row r="38" spans="1:30">
      <c r="A38" s="2" t="s">
        <v>396</v>
      </c>
      <c r="B38" s="2" t="s">
        <v>901</v>
      </c>
      <c r="C38" s="3">
        <v>0.8</v>
      </c>
      <c r="D38" s="3">
        <v>0.82</v>
      </c>
      <c r="E38" s="3">
        <v>0.76</v>
      </c>
      <c r="F38" s="3">
        <v>1.06</v>
      </c>
      <c r="G38" s="3">
        <v>1.62</v>
      </c>
      <c r="H38" s="3">
        <v>0.71</v>
      </c>
      <c r="I38" s="3">
        <v>0.13</v>
      </c>
      <c r="J38" s="3">
        <v>1.7</v>
      </c>
      <c r="K38" s="3">
        <v>3</v>
      </c>
      <c r="L38" s="3">
        <v>-4.4999999999999998E-2</v>
      </c>
      <c r="M38" s="3">
        <v>1.3</v>
      </c>
      <c r="N38" s="3">
        <v>0.75</v>
      </c>
      <c r="O38" s="3">
        <v>0.76</v>
      </c>
      <c r="P38" s="3" t="s">
        <v>932</v>
      </c>
      <c r="Q38" s="4">
        <f t="shared" si="14"/>
        <v>0.88000000000000012</v>
      </c>
      <c r="R38" s="4">
        <f t="shared" si="15"/>
        <v>0.41250000000000003</v>
      </c>
      <c r="S38" s="4">
        <f t="shared" si="16"/>
        <v>2.5</v>
      </c>
      <c r="T38" s="4">
        <f t="shared" si="17"/>
        <v>0.19</v>
      </c>
      <c r="U38" s="4">
        <f t="shared" si="18"/>
        <v>0.69699999999999995</v>
      </c>
      <c r="V38" s="4">
        <f t="shared" si="19"/>
        <v>0.64600000000000002</v>
      </c>
      <c r="W38" s="4">
        <f t="shared" si="20"/>
        <v>1.4300000000000002</v>
      </c>
      <c r="X38" s="4">
        <f t="shared" si="21"/>
        <v>0.73666666666666669</v>
      </c>
      <c r="Y38" s="4">
        <f t="shared" si="22"/>
        <v>0.66</v>
      </c>
      <c r="Z38" s="4">
        <f t="shared" si="23"/>
        <v>1.06</v>
      </c>
      <c r="AA38" s="4">
        <f t="shared" si="24"/>
        <v>1.1339999999999999</v>
      </c>
      <c r="AB38" s="4">
        <f t="shared" si="25"/>
        <v>10.346166666666667</v>
      </c>
      <c r="AC38" s="4">
        <f t="shared" si="26"/>
        <v>0.82000000000000006</v>
      </c>
      <c r="AD38" s="4">
        <f t="shared" si="27"/>
        <v>1.1000000000000001</v>
      </c>
    </row>
    <row r="39" spans="1:30">
      <c r="A39" s="2" t="s">
        <v>344</v>
      </c>
      <c r="B39" s="2" t="s">
        <v>901</v>
      </c>
      <c r="C39" s="3">
        <v>0.81</v>
      </c>
      <c r="D39" s="3">
        <v>0.75</v>
      </c>
      <c r="E39" s="3">
        <v>0.79</v>
      </c>
      <c r="F39" s="3">
        <v>1.77</v>
      </c>
      <c r="G39" s="3">
        <v>0.76</v>
      </c>
      <c r="H39" s="3">
        <v>0.66</v>
      </c>
      <c r="I39" s="3">
        <v>7.0000000000000007E-2</v>
      </c>
      <c r="J39" s="3">
        <v>1.45</v>
      </c>
      <c r="K39" s="3">
        <v>3.35</v>
      </c>
      <c r="L39" s="3">
        <v>-6.5000000000000002E-2</v>
      </c>
      <c r="M39" s="3">
        <v>1.25</v>
      </c>
      <c r="N39" s="3">
        <v>0.78</v>
      </c>
      <c r="O39" s="3">
        <v>0.7</v>
      </c>
      <c r="P39" s="3" t="s">
        <v>933</v>
      </c>
      <c r="Q39" s="4">
        <f t="shared" si="14"/>
        <v>0.89100000000000013</v>
      </c>
      <c r="R39" s="4">
        <f t="shared" si="15"/>
        <v>0.42900000000000005</v>
      </c>
      <c r="S39" s="4">
        <f t="shared" si="16"/>
        <v>2.5</v>
      </c>
      <c r="T39" s="4">
        <f t="shared" si="17"/>
        <v>0.17499999999999999</v>
      </c>
      <c r="U39" s="4">
        <f t="shared" si="18"/>
        <v>0.63749999999999996</v>
      </c>
      <c r="V39" s="4">
        <f t="shared" si="19"/>
        <v>0.67149999999999999</v>
      </c>
      <c r="W39" s="4">
        <f t="shared" si="20"/>
        <v>0.77000000000000013</v>
      </c>
      <c r="X39" s="4">
        <f t="shared" si="21"/>
        <v>0.62833333333333341</v>
      </c>
      <c r="Y39" s="4">
        <f t="shared" si="22"/>
        <v>0.7370000000000001</v>
      </c>
      <c r="Z39" s="4">
        <f t="shared" si="23"/>
        <v>1.77</v>
      </c>
      <c r="AA39" s="4">
        <f t="shared" si="24"/>
        <v>0.53199999999999992</v>
      </c>
      <c r="AB39" s="4">
        <f t="shared" si="25"/>
        <v>9.7413333333333334</v>
      </c>
      <c r="AC39" s="4">
        <f t="shared" si="26"/>
        <v>0.74</v>
      </c>
      <c r="AD39" s="4">
        <f t="shared" si="27"/>
        <v>1.1583333333333332</v>
      </c>
    </row>
    <row r="40" spans="1:30">
      <c r="A40" s="2" t="s">
        <v>292</v>
      </c>
      <c r="B40" s="2" t="s">
        <v>901</v>
      </c>
      <c r="C40" s="3">
        <v>0.7</v>
      </c>
      <c r="D40" s="3">
        <v>0.76</v>
      </c>
      <c r="E40" s="3">
        <v>0.78</v>
      </c>
      <c r="F40" s="3">
        <v>1.3</v>
      </c>
      <c r="G40" s="3">
        <v>0.88</v>
      </c>
      <c r="H40" s="3">
        <v>0.62</v>
      </c>
      <c r="I40" s="3">
        <v>0.11</v>
      </c>
      <c r="J40" s="3">
        <v>1.58</v>
      </c>
      <c r="K40" s="3">
        <v>4.45</v>
      </c>
      <c r="L40" s="3">
        <v>-0.06</v>
      </c>
      <c r="M40" s="3">
        <v>1.4</v>
      </c>
      <c r="N40" s="3">
        <v>0.85</v>
      </c>
      <c r="O40" s="3">
        <v>0.75</v>
      </c>
      <c r="P40" s="3" t="s">
        <v>934</v>
      </c>
      <c r="Q40" s="4">
        <f t="shared" si="14"/>
        <v>0.77</v>
      </c>
      <c r="R40" s="4">
        <f t="shared" si="15"/>
        <v>0.46750000000000003</v>
      </c>
      <c r="S40" s="4">
        <f t="shared" si="16"/>
        <v>2.5</v>
      </c>
      <c r="T40" s="4">
        <f t="shared" si="17"/>
        <v>0.1875</v>
      </c>
      <c r="U40" s="4">
        <f t="shared" si="18"/>
        <v>0.64600000000000002</v>
      </c>
      <c r="V40" s="4">
        <f t="shared" si="19"/>
        <v>0.66300000000000003</v>
      </c>
      <c r="W40" s="4">
        <f t="shared" si="20"/>
        <v>1.21</v>
      </c>
      <c r="X40" s="4">
        <f t="shared" si="21"/>
        <v>0.68466666666666676</v>
      </c>
      <c r="Y40" s="4">
        <f t="shared" si="22"/>
        <v>0.97900000000000009</v>
      </c>
      <c r="Z40" s="4">
        <f t="shared" si="23"/>
        <v>1.3</v>
      </c>
      <c r="AA40" s="4">
        <f t="shared" si="24"/>
        <v>0.61599999999999999</v>
      </c>
      <c r="AB40" s="4">
        <f t="shared" si="25"/>
        <v>10.023666666666667</v>
      </c>
      <c r="AC40" s="4">
        <f t="shared" si="26"/>
        <v>0.76</v>
      </c>
      <c r="AD40" s="4">
        <f t="shared" si="27"/>
        <v>1.3416666666666668</v>
      </c>
    </row>
    <row r="41" spans="1:30">
      <c r="A41" s="2" t="s">
        <v>239</v>
      </c>
      <c r="B41" s="2" t="s">
        <v>901</v>
      </c>
      <c r="C41" s="3">
        <v>1.82</v>
      </c>
      <c r="D41" s="3">
        <v>2.15</v>
      </c>
      <c r="E41" s="3">
        <v>1.06</v>
      </c>
      <c r="F41" s="3">
        <v>0.65</v>
      </c>
      <c r="G41" s="3">
        <v>0.68</v>
      </c>
      <c r="H41" s="3">
        <v>0.92</v>
      </c>
      <c r="I41" s="3">
        <v>0.03</v>
      </c>
      <c r="J41" s="3">
        <v>1.35</v>
      </c>
      <c r="K41" s="3">
        <v>1.5</v>
      </c>
      <c r="L41" s="3">
        <v>0.1</v>
      </c>
      <c r="M41" s="3">
        <v>0.85</v>
      </c>
      <c r="N41" s="3">
        <v>0.72</v>
      </c>
      <c r="O41" s="3">
        <v>0.84</v>
      </c>
      <c r="P41" s="3" t="s">
        <v>935</v>
      </c>
      <c r="Q41" s="4">
        <f t="shared" si="14"/>
        <v>2.0020000000000002</v>
      </c>
      <c r="R41" s="4">
        <f t="shared" si="15"/>
        <v>0.39600000000000002</v>
      </c>
      <c r="S41" s="4">
        <f t="shared" si="16"/>
        <v>2.5</v>
      </c>
      <c r="T41" s="4">
        <f t="shared" si="17"/>
        <v>0.21</v>
      </c>
      <c r="U41" s="4">
        <f t="shared" si="18"/>
        <v>1.8274999999999999</v>
      </c>
      <c r="V41" s="4">
        <f t="shared" si="19"/>
        <v>0.90100000000000002</v>
      </c>
      <c r="W41" s="4">
        <f t="shared" si="20"/>
        <v>0.33</v>
      </c>
      <c r="X41" s="4">
        <f t="shared" si="21"/>
        <v>0.58500000000000008</v>
      </c>
      <c r="Y41" s="4">
        <f t="shared" si="22"/>
        <v>0.33</v>
      </c>
      <c r="Z41" s="4">
        <f t="shared" si="23"/>
        <v>0.65</v>
      </c>
      <c r="AA41" s="4">
        <f t="shared" si="24"/>
        <v>0.47599999999999998</v>
      </c>
      <c r="AB41" s="4">
        <f t="shared" si="25"/>
        <v>10.2075</v>
      </c>
      <c r="AC41" s="4">
        <f t="shared" si="26"/>
        <v>1.4</v>
      </c>
      <c r="AD41" s="4">
        <f t="shared" si="27"/>
        <v>0.85</v>
      </c>
    </row>
    <row r="42" spans="1:30">
      <c r="A42" s="2" t="s">
        <v>180</v>
      </c>
      <c r="B42" s="2" t="s">
        <v>901</v>
      </c>
      <c r="C42" s="3">
        <v>1.47</v>
      </c>
      <c r="D42" s="3">
        <v>0.92</v>
      </c>
      <c r="E42" s="3">
        <v>2.2000000000000002</v>
      </c>
      <c r="F42" s="3">
        <v>0.79</v>
      </c>
      <c r="G42" s="3">
        <v>0.84</v>
      </c>
      <c r="H42" s="3">
        <v>0.86</v>
      </c>
      <c r="I42" s="3">
        <v>0.05</v>
      </c>
      <c r="J42" s="3">
        <v>1.5</v>
      </c>
      <c r="K42" s="3">
        <v>2.0499999999999998</v>
      </c>
      <c r="L42" s="3">
        <v>7.0000000000000007E-2</v>
      </c>
      <c r="M42" s="3">
        <v>1</v>
      </c>
      <c r="N42" s="3">
        <v>1</v>
      </c>
      <c r="O42" s="3">
        <v>0.76</v>
      </c>
      <c r="P42" s="3" t="s">
        <v>936</v>
      </c>
      <c r="Q42" s="4">
        <f t="shared" si="14"/>
        <v>1.617</v>
      </c>
      <c r="R42" s="4">
        <f t="shared" si="15"/>
        <v>0.55000000000000004</v>
      </c>
      <c r="S42" s="4">
        <f t="shared" si="16"/>
        <v>2.5</v>
      </c>
      <c r="T42" s="4">
        <f t="shared" si="17"/>
        <v>0.19</v>
      </c>
      <c r="U42" s="4">
        <f t="shared" si="18"/>
        <v>0.78200000000000003</v>
      </c>
      <c r="V42" s="4">
        <f t="shared" si="19"/>
        <v>1.87</v>
      </c>
      <c r="W42" s="4">
        <f t="shared" si="20"/>
        <v>0.55000000000000004</v>
      </c>
      <c r="X42" s="4">
        <f t="shared" si="21"/>
        <v>0.65</v>
      </c>
      <c r="Y42" s="4">
        <f t="shared" si="22"/>
        <v>0.45100000000000001</v>
      </c>
      <c r="Z42" s="4">
        <f t="shared" si="23"/>
        <v>0.79</v>
      </c>
      <c r="AA42" s="4">
        <f t="shared" si="24"/>
        <v>0.58799999999999997</v>
      </c>
      <c r="AB42" s="4">
        <f t="shared" si="25"/>
        <v>10.538000000000002</v>
      </c>
      <c r="AC42" s="4">
        <f t="shared" si="26"/>
        <v>1.28</v>
      </c>
      <c r="AD42" s="4">
        <f t="shared" si="27"/>
        <v>0.94166666666666665</v>
      </c>
    </row>
    <row r="43" spans="1:30">
      <c r="A43" s="2" t="s">
        <v>115</v>
      </c>
      <c r="B43" s="2" t="s">
        <v>901</v>
      </c>
      <c r="C43" s="3">
        <v>1.18</v>
      </c>
      <c r="D43" s="3">
        <v>1.1399999999999999</v>
      </c>
      <c r="E43" s="3">
        <v>1.1399999999999999</v>
      </c>
      <c r="F43" s="3">
        <v>0.88</v>
      </c>
      <c r="G43" s="3">
        <v>0.95</v>
      </c>
      <c r="H43" s="3">
        <v>0.88</v>
      </c>
      <c r="I43" s="3">
        <v>0.04</v>
      </c>
      <c r="J43" s="3">
        <v>1.43</v>
      </c>
      <c r="K43" s="3">
        <v>2.15</v>
      </c>
      <c r="L43" s="3">
        <v>0.19</v>
      </c>
      <c r="M43" s="3">
        <v>0.95</v>
      </c>
      <c r="N43" s="3">
        <v>1.05</v>
      </c>
      <c r="O43" s="3">
        <v>0.7</v>
      </c>
      <c r="P43" s="3" t="s">
        <v>937</v>
      </c>
      <c r="Q43" s="4">
        <f t="shared" si="14"/>
        <v>1.298</v>
      </c>
      <c r="R43" s="4">
        <f t="shared" si="15"/>
        <v>0.57750000000000012</v>
      </c>
      <c r="S43" s="4">
        <f t="shared" si="16"/>
        <v>2.5</v>
      </c>
      <c r="T43" s="4">
        <f t="shared" si="17"/>
        <v>0.17499999999999999</v>
      </c>
      <c r="U43" s="4">
        <f t="shared" si="18"/>
        <v>0.96899999999999986</v>
      </c>
      <c r="V43" s="4">
        <f t="shared" si="19"/>
        <v>0.96899999999999986</v>
      </c>
      <c r="W43" s="4">
        <f t="shared" si="20"/>
        <v>0.44</v>
      </c>
      <c r="X43" s="4">
        <f t="shared" si="21"/>
        <v>0.61966666666666659</v>
      </c>
      <c r="Y43" s="4">
        <f t="shared" si="22"/>
        <v>0.47300000000000003</v>
      </c>
      <c r="Z43" s="4">
        <f t="shared" si="23"/>
        <v>0.88</v>
      </c>
      <c r="AA43" s="4">
        <f t="shared" si="24"/>
        <v>0.66499999999999992</v>
      </c>
      <c r="AB43" s="4">
        <f t="shared" si="25"/>
        <v>9.5661666666666676</v>
      </c>
      <c r="AC43" s="4">
        <f t="shared" si="26"/>
        <v>1.5</v>
      </c>
      <c r="AD43" s="4">
        <f t="shared" si="27"/>
        <v>0.95833333333333326</v>
      </c>
    </row>
    <row r="44" spans="1:30">
      <c r="A44" s="2" t="s">
        <v>98</v>
      </c>
      <c r="B44" s="2" t="s">
        <v>901</v>
      </c>
      <c r="C44" s="3">
        <v>0.92</v>
      </c>
      <c r="D44" s="3">
        <v>0.92</v>
      </c>
      <c r="E44" s="3">
        <v>0.85</v>
      </c>
      <c r="F44" s="3">
        <v>0.94</v>
      </c>
      <c r="G44" s="3">
        <v>1.82</v>
      </c>
      <c r="H44" s="3">
        <v>0.74</v>
      </c>
      <c r="I44" s="3">
        <v>7.0000000000000007E-2</v>
      </c>
      <c r="J44" s="3">
        <v>1.6</v>
      </c>
      <c r="K44" s="3">
        <v>2.4500000000000002</v>
      </c>
      <c r="L44" s="3">
        <v>-3.5000000000000003E-2</v>
      </c>
      <c r="M44" s="3">
        <v>1.4</v>
      </c>
      <c r="N44" s="3">
        <v>0.9</v>
      </c>
      <c r="O44" s="3">
        <v>0.8</v>
      </c>
      <c r="P44" s="3" t="s">
        <v>938</v>
      </c>
      <c r="Q44" s="4">
        <f t="shared" si="14"/>
        <v>1.0120000000000002</v>
      </c>
      <c r="R44" s="4">
        <f t="shared" si="15"/>
        <v>0.49500000000000005</v>
      </c>
      <c r="S44" s="4">
        <f t="shared" si="16"/>
        <v>2.5</v>
      </c>
      <c r="T44" s="4">
        <f t="shared" si="17"/>
        <v>0.2</v>
      </c>
      <c r="U44" s="4">
        <f t="shared" si="18"/>
        <v>0.78200000000000003</v>
      </c>
      <c r="V44" s="4">
        <f t="shared" si="19"/>
        <v>0.72249999999999992</v>
      </c>
      <c r="W44" s="4">
        <f t="shared" si="20"/>
        <v>0.77000000000000013</v>
      </c>
      <c r="X44" s="4">
        <f t="shared" si="21"/>
        <v>0.69333333333333336</v>
      </c>
      <c r="Y44" s="4">
        <f t="shared" si="22"/>
        <v>0.53900000000000015</v>
      </c>
      <c r="Z44" s="4">
        <f t="shared" si="23"/>
        <v>0.94</v>
      </c>
      <c r="AA44" s="4">
        <f t="shared" si="24"/>
        <v>1.274</v>
      </c>
      <c r="AB44" s="4">
        <f t="shared" si="25"/>
        <v>9.9278333333333357</v>
      </c>
      <c r="AC44" s="4">
        <f t="shared" si="26"/>
        <v>0.86</v>
      </c>
      <c r="AD44" s="4">
        <f t="shared" si="27"/>
        <v>1.0083333333333333</v>
      </c>
    </row>
    <row r="45" spans="1:30">
      <c r="A45" s="2" t="s">
        <v>357</v>
      </c>
      <c r="B45" s="2" t="s">
        <v>901</v>
      </c>
      <c r="C45" s="3">
        <v>0.66</v>
      </c>
      <c r="D45" s="3">
        <v>0.7</v>
      </c>
      <c r="E45" s="3">
        <v>0.71</v>
      </c>
      <c r="F45" s="3">
        <v>1.56</v>
      </c>
      <c r="G45" s="3">
        <v>0.6</v>
      </c>
      <c r="H45" s="3">
        <v>0.6</v>
      </c>
      <c r="I45" s="3">
        <v>0.21</v>
      </c>
      <c r="J45" s="3">
        <v>1.78</v>
      </c>
      <c r="K45" s="3">
        <v>4.05</v>
      </c>
      <c r="L45" s="3">
        <v>-0.08</v>
      </c>
      <c r="M45" s="3">
        <v>1.25</v>
      </c>
      <c r="N45" s="3">
        <v>0.6</v>
      </c>
      <c r="O45" s="3">
        <v>0.55000000000000004</v>
      </c>
      <c r="P45" s="3" t="s">
        <v>939</v>
      </c>
      <c r="Q45" s="4">
        <f t="shared" si="14"/>
        <v>0.72600000000000009</v>
      </c>
      <c r="R45" s="4">
        <f t="shared" si="15"/>
        <v>0.33</v>
      </c>
      <c r="S45" s="4">
        <f t="shared" si="16"/>
        <v>2.5</v>
      </c>
      <c r="T45" s="4">
        <f t="shared" si="17"/>
        <v>0.13750000000000001</v>
      </c>
      <c r="U45" s="4">
        <f t="shared" si="18"/>
        <v>0.59499999999999997</v>
      </c>
      <c r="V45" s="4">
        <f t="shared" si="19"/>
        <v>0.60349999999999993</v>
      </c>
      <c r="W45" s="4">
        <f t="shared" si="20"/>
        <v>2.3099999999999996</v>
      </c>
      <c r="X45" s="4">
        <f t="shared" si="21"/>
        <v>0.77133333333333343</v>
      </c>
      <c r="Y45" s="4">
        <f t="shared" si="22"/>
        <v>0.89100000000000001</v>
      </c>
      <c r="Z45" s="4">
        <f t="shared" si="23"/>
        <v>1.56</v>
      </c>
      <c r="AA45" s="4">
        <f t="shared" si="24"/>
        <v>0.42</v>
      </c>
      <c r="AB45" s="4">
        <f t="shared" si="25"/>
        <v>10.844333333333333</v>
      </c>
      <c r="AC45" s="4">
        <f t="shared" si="26"/>
        <v>0.67999999999999994</v>
      </c>
      <c r="AD45" s="4">
        <f t="shared" si="27"/>
        <v>1.2749999999999999</v>
      </c>
    </row>
    <row r="46" spans="1:30">
      <c r="A46" s="2" t="s">
        <v>305</v>
      </c>
      <c r="B46" s="2" t="s">
        <v>901</v>
      </c>
      <c r="C46" s="3">
        <v>0.57999999999999996</v>
      </c>
      <c r="D46" s="3">
        <v>0.55000000000000004</v>
      </c>
      <c r="E46" s="3">
        <v>0.56000000000000005</v>
      </c>
      <c r="F46" s="3">
        <v>1.0900000000000001</v>
      </c>
      <c r="G46" s="3">
        <v>0.96</v>
      </c>
      <c r="H46" s="3">
        <v>0.54</v>
      </c>
      <c r="I46" s="3">
        <v>0.08</v>
      </c>
      <c r="J46" s="3">
        <v>1.95</v>
      </c>
      <c r="K46" s="3">
        <v>2.85</v>
      </c>
      <c r="L46" s="3">
        <v>-0.115</v>
      </c>
      <c r="M46" s="3">
        <v>1.1000000000000001</v>
      </c>
      <c r="N46" s="3">
        <v>0.5</v>
      </c>
      <c r="O46" s="3">
        <v>0.5</v>
      </c>
      <c r="P46" s="3" t="s">
        <v>940</v>
      </c>
      <c r="Q46" s="4">
        <f t="shared" si="14"/>
        <v>0.63800000000000001</v>
      </c>
      <c r="R46" s="4">
        <f t="shared" si="15"/>
        <v>0.27500000000000002</v>
      </c>
      <c r="S46" s="4">
        <f t="shared" si="16"/>
        <v>2.5</v>
      </c>
      <c r="T46" s="4">
        <f t="shared" si="17"/>
        <v>0.125</v>
      </c>
      <c r="U46" s="4">
        <f t="shared" si="18"/>
        <v>0.46750000000000003</v>
      </c>
      <c r="V46" s="4">
        <f t="shared" si="19"/>
        <v>0.47600000000000003</v>
      </c>
      <c r="W46" s="4">
        <f t="shared" si="20"/>
        <v>0.88</v>
      </c>
      <c r="X46" s="4">
        <f t="shared" si="21"/>
        <v>0.84500000000000008</v>
      </c>
      <c r="Y46" s="4">
        <f t="shared" si="22"/>
        <v>0.62700000000000011</v>
      </c>
      <c r="Z46" s="4">
        <f t="shared" si="23"/>
        <v>1.0900000000000001</v>
      </c>
      <c r="AA46" s="4">
        <f t="shared" si="24"/>
        <v>0.67199999999999993</v>
      </c>
      <c r="AB46" s="4">
        <f t="shared" si="25"/>
        <v>8.5954999999999995</v>
      </c>
      <c r="AC46" s="4">
        <f t="shared" si="26"/>
        <v>0.54</v>
      </c>
      <c r="AD46" s="4">
        <f t="shared" si="27"/>
        <v>1.075</v>
      </c>
    </row>
    <row r="47" spans="1:30">
      <c r="A47" s="2" t="s">
        <v>253</v>
      </c>
      <c r="B47" s="2" t="s">
        <v>901</v>
      </c>
      <c r="C47" s="3">
        <v>1.1200000000000001</v>
      </c>
      <c r="D47" s="3">
        <v>1.26</v>
      </c>
      <c r="E47" s="3">
        <v>1.24</v>
      </c>
      <c r="F47" s="3">
        <v>1.03</v>
      </c>
      <c r="G47" s="3">
        <v>0.98</v>
      </c>
      <c r="H47" s="3">
        <v>0.82</v>
      </c>
      <c r="I47" s="3">
        <v>0.04</v>
      </c>
      <c r="J47" s="3">
        <v>1.4</v>
      </c>
      <c r="K47" s="3">
        <v>2.4500000000000002</v>
      </c>
      <c r="L47" s="3">
        <v>0.04</v>
      </c>
      <c r="M47" s="3">
        <v>1</v>
      </c>
      <c r="N47" s="3">
        <v>0.95</v>
      </c>
      <c r="O47" s="3">
        <v>0.78</v>
      </c>
      <c r="P47" s="3" t="s">
        <v>941</v>
      </c>
      <c r="Q47" s="4">
        <f t="shared" si="14"/>
        <v>1.2320000000000002</v>
      </c>
      <c r="R47" s="4">
        <f t="shared" si="15"/>
        <v>0.52249999999999996</v>
      </c>
      <c r="S47" s="4">
        <f t="shared" si="16"/>
        <v>2.5</v>
      </c>
      <c r="T47" s="4">
        <f t="shared" si="17"/>
        <v>0.19500000000000001</v>
      </c>
      <c r="U47" s="4">
        <f t="shared" si="18"/>
        <v>1.071</v>
      </c>
      <c r="V47" s="4">
        <f t="shared" si="19"/>
        <v>1.054</v>
      </c>
      <c r="W47" s="4">
        <f t="shared" si="20"/>
        <v>0.44</v>
      </c>
      <c r="X47" s="4">
        <f t="shared" si="21"/>
        <v>0.60666666666666658</v>
      </c>
      <c r="Y47" s="4">
        <f t="shared" si="22"/>
        <v>0.53900000000000015</v>
      </c>
      <c r="Z47" s="4">
        <f t="shared" si="23"/>
        <v>1.03</v>
      </c>
      <c r="AA47" s="4">
        <f t="shared" si="24"/>
        <v>0.68599999999999994</v>
      </c>
      <c r="AB47" s="4">
        <f t="shared" si="25"/>
        <v>9.8761666666666663</v>
      </c>
      <c r="AC47" s="4">
        <f t="shared" si="26"/>
        <v>1.1599999999999999</v>
      </c>
      <c r="AD47" s="4">
        <f t="shared" si="27"/>
        <v>1.0083333333333333</v>
      </c>
    </row>
    <row r="48" spans="1:30">
      <c r="A48" s="2" t="s">
        <v>194</v>
      </c>
      <c r="B48" s="2" t="s">
        <v>901</v>
      </c>
      <c r="C48" s="3">
        <v>0.79</v>
      </c>
      <c r="D48" s="3">
        <v>0.79</v>
      </c>
      <c r="E48" s="3">
        <v>0.73</v>
      </c>
      <c r="F48" s="3">
        <v>1.41</v>
      </c>
      <c r="G48" s="3">
        <v>1.2</v>
      </c>
      <c r="H48" s="3">
        <v>0.64</v>
      </c>
      <c r="I48" s="3">
        <v>0.1</v>
      </c>
      <c r="J48" s="3">
        <v>1.85</v>
      </c>
      <c r="K48" s="3">
        <v>4</v>
      </c>
      <c r="L48" s="3">
        <v>-5.5E-2</v>
      </c>
      <c r="M48" s="3">
        <v>1.6</v>
      </c>
      <c r="N48" s="3">
        <v>0.85</v>
      </c>
      <c r="O48" s="3">
        <v>0.7</v>
      </c>
      <c r="P48" s="3" t="s">
        <v>942</v>
      </c>
      <c r="Q48" s="4">
        <f t="shared" si="14"/>
        <v>0.86900000000000011</v>
      </c>
      <c r="R48" s="4">
        <f t="shared" si="15"/>
        <v>0.46750000000000003</v>
      </c>
      <c r="S48" s="4">
        <f t="shared" si="16"/>
        <v>2.5</v>
      </c>
      <c r="T48" s="4">
        <f t="shared" si="17"/>
        <v>0.17499999999999999</v>
      </c>
      <c r="U48" s="4">
        <f t="shared" si="18"/>
        <v>0.67149999999999999</v>
      </c>
      <c r="V48" s="4">
        <f t="shared" si="19"/>
        <v>0.62049999999999994</v>
      </c>
      <c r="W48" s="4">
        <f t="shared" si="20"/>
        <v>1.1000000000000001</v>
      </c>
      <c r="X48" s="4">
        <f t="shared" si="21"/>
        <v>0.80166666666666675</v>
      </c>
      <c r="Y48" s="4">
        <f t="shared" si="22"/>
        <v>0.88000000000000012</v>
      </c>
      <c r="Z48" s="4">
        <f t="shared" si="23"/>
        <v>1.41</v>
      </c>
      <c r="AA48" s="4">
        <f t="shared" si="24"/>
        <v>0.84</v>
      </c>
      <c r="AB48" s="4">
        <f t="shared" si="25"/>
        <v>10.335166666666666</v>
      </c>
      <c r="AC48" s="4">
        <f t="shared" si="26"/>
        <v>0.78</v>
      </c>
      <c r="AD48" s="4">
        <f t="shared" si="27"/>
        <v>1.2666666666666666</v>
      </c>
    </row>
    <row r="49" spans="1:30">
      <c r="A49" s="2" t="s">
        <v>133</v>
      </c>
      <c r="B49" s="2" t="s">
        <v>901</v>
      </c>
      <c r="C49" s="3">
        <v>2.0499999999999998</v>
      </c>
      <c r="D49" s="3">
        <v>1.52</v>
      </c>
      <c r="E49" s="3">
        <v>1.3</v>
      </c>
      <c r="F49" s="3">
        <v>0.51</v>
      </c>
      <c r="G49" s="3">
        <v>0.85</v>
      </c>
      <c r="H49" s="3">
        <v>0.95</v>
      </c>
      <c r="I49" s="3">
        <v>2.5000000000000001E-2</v>
      </c>
      <c r="J49" s="3">
        <v>1.35</v>
      </c>
      <c r="K49" s="3">
        <v>1.1499999999999999</v>
      </c>
      <c r="L49" s="3">
        <v>0.05</v>
      </c>
      <c r="M49" s="3">
        <v>0.8</v>
      </c>
      <c r="N49" s="3">
        <v>0.6</v>
      </c>
      <c r="O49" s="3">
        <v>0.9</v>
      </c>
      <c r="P49" s="3" t="s">
        <v>943</v>
      </c>
      <c r="Q49" s="4">
        <f t="shared" si="14"/>
        <v>2.2549999999999999</v>
      </c>
      <c r="R49" s="4">
        <f t="shared" si="15"/>
        <v>0.33</v>
      </c>
      <c r="S49" s="4">
        <f t="shared" si="16"/>
        <v>2.5</v>
      </c>
      <c r="T49" s="4">
        <f t="shared" si="17"/>
        <v>0.22500000000000001</v>
      </c>
      <c r="U49" s="4">
        <f t="shared" si="18"/>
        <v>1.292</v>
      </c>
      <c r="V49" s="4">
        <f t="shared" si="19"/>
        <v>1.105</v>
      </c>
      <c r="W49" s="4">
        <f t="shared" si="20"/>
        <v>0.27500000000000002</v>
      </c>
      <c r="X49" s="4">
        <f t="shared" si="21"/>
        <v>0.58500000000000008</v>
      </c>
      <c r="Y49" s="4">
        <f t="shared" si="22"/>
        <v>0.253</v>
      </c>
      <c r="Z49" s="4">
        <f t="shared" si="23"/>
        <v>0.51</v>
      </c>
      <c r="AA49" s="4">
        <f t="shared" si="24"/>
        <v>0.59499999999999997</v>
      </c>
      <c r="AB49" s="4">
        <f t="shared" si="25"/>
        <v>9.9250000000000007</v>
      </c>
      <c r="AC49" s="4">
        <f t="shared" si="26"/>
        <v>1.2</v>
      </c>
      <c r="AD49" s="4">
        <f t="shared" si="27"/>
        <v>0.79166666666666663</v>
      </c>
    </row>
    <row r="50" spans="1:30">
      <c r="A50" s="2" t="s">
        <v>118</v>
      </c>
      <c r="B50" s="2" t="s">
        <v>901</v>
      </c>
      <c r="C50" s="3">
        <v>0.87</v>
      </c>
      <c r="D50" s="3">
        <v>0.86</v>
      </c>
      <c r="E50" s="3">
        <v>0.77</v>
      </c>
      <c r="F50" s="3">
        <v>1.04</v>
      </c>
      <c r="G50" s="3">
        <v>1.02</v>
      </c>
      <c r="H50" s="3">
        <v>0.7</v>
      </c>
      <c r="I50" s="3">
        <v>0.27</v>
      </c>
      <c r="J50" s="3">
        <v>2.0299999999999998</v>
      </c>
      <c r="K50" s="3">
        <v>2.75</v>
      </c>
      <c r="L50" s="3">
        <v>-0.06</v>
      </c>
      <c r="M50" s="3">
        <v>1.05</v>
      </c>
      <c r="N50" s="3">
        <v>0.72</v>
      </c>
      <c r="O50" s="3">
        <v>0.65</v>
      </c>
      <c r="P50" s="3" t="s">
        <v>944</v>
      </c>
      <c r="Q50" s="4">
        <f t="shared" si="14"/>
        <v>0.95700000000000007</v>
      </c>
      <c r="R50" s="4">
        <f t="shared" si="15"/>
        <v>0.39600000000000002</v>
      </c>
      <c r="S50" s="4">
        <f t="shared" si="16"/>
        <v>2.5</v>
      </c>
      <c r="T50" s="4">
        <f t="shared" si="17"/>
        <v>0.16250000000000001</v>
      </c>
      <c r="U50" s="4">
        <f t="shared" si="18"/>
        <v>0.73099999999999998</v>
      </c>
      <c r="V50" s="4">
        <f t="shared" si="19"/>
        <v>0.65449999999999997</v>
      </c>
      <c r="W50" s="4">
        <f t="shared" si="20"/>
        <v>2.9700000000000006</v>
      </c>
      <c r="X50" s="4">
        <f t="shared" si="21"/>
        <v>0.87966666666666671</v>
      </c>
      <c r="Y50" s="4">
        <f t="shared" si="22"/>
        <v>0.60500000000000009</v>
      </c>
      <c r="Z50" s="4">
        <f t="shared" si="23"/>
        <v>1.04</v>
      </c>
      <c r="AA50" s="4">
        <f t="shared" si="24"/>
        <v>0.71399999999999997</v>
      </c>
      <c r="AB50" s="4">
        <f t="shared" si="25"/>
        <v>11.609666666666667</v>
      </c>
      <c r="AC50" s="4">
        <f t="shared" si="26"/>
        <v>0.76</v>
      </c>
      <c r="AD50" s="4">
        <f t="shared" si="27"/>
        <v>1.0583333333333333</v>
      </c>
    </row>
    <row r="51" spans="1:30">
      <c r="A51" s="2" t="s">
        <v>370</v>
      </c>
      <c r="B51" s="2" t="s">
        <v>901</v>
      </c>
      <c r="C51" s="3">
        <v>1.2</v>
      </c>
      <c r="D51" s="3">
        <v>0.76</v>
      </c>
      <c r="E51" s="3">
        <v>2.1</v>
      </c>
      <c r="F51" s="3">
        <v>1</v>
      </c>
      <c r="G51" s="3">
        <v>0.93</v>
      </c>
      <c r="H51" s="3">
        <v>0.8</v>
      </c>
      <c r="I51" s="3">
        <v>0.05</v>
      </c>
      <c r="J51" s="3">
        <v>1.47</v>
      </c>
      <c r="K51" s="3">
        <v>2.4500000000000002</v>
      </c>
      <c r="L51" s="3">
        <v>6.5000000000000002E-2</v>
      </c>
      <c r="M51" s="3">
        <v>1.05</v>
      </c>
      <c r="N51" s="3">
        <v>1.1200000000000001</v>
      </c>
      <c r="O51" s="3">
        <v>0.83</v>
      </c>
      <c r="P51" s="3" t="s">
        <v>945</v>
      </c>
      <c r="Q51" s="4">
        <f t="shared" si="14"/>
        <v>1.32</v>
      </c>
      <c r="R51" s="4">
        <f t="shared" si="15"/>
        <v>0.6160000000000001</v>
      </c>
      <c r="S51" s="4">
        <f t="shared" si="16"/>
        <v>2.5</v>
      </c>
      <c r="T51" s="4">
        <f t="shared" si="17"/>
        <v>0.20749999999999999</v>
      </c>
      <c r="U51" s="4">
        <f t="shared" si="18"/>
        <v>0.64600000000000002</v>
      </c>
      <c r="V51" s="4">
        <f t="shared" si="19"/>
        <v>1.7849999999999999</v>
      </c>
      <c r="W51" s="4">
        <f t="shared" si="20"/>
        <v>0.55000000000000004</v>
      </c>
      <c r="X51" s="4">
        <f t="shared" si="21"/>
        <v>0.63700000000000001</v>
      </c>
      <c r="Y51" s="4">
        <f t="shared" si="22"/>
        <v>0.53900000000000015</v>
      </c>
      <c r="Z51" s="4">
        <f t="shared" si="23"/>
        <v>1</v>
      </c>
      <c r="AA51" s="4">
        <f t="shared" si="24"/>
        <v>0.65100000000000002</v>
      </c>
      <c r="AB51" s="4">
        <f t="shared" si="25"/>
        <v>10.451499999999999</v>
      </c>
      <c r="AC51" s="4">
        <f t="shared" si="26"/>
        <v>1.26</v>
      </c>
      <c r="AD51" s="4">
        <f t="shared" si="27"/>
        <v>1.0083333333333333</v>
      </c>
    </row>
    <row r="52" spans="1:30">
      <c r="A52" s="2" t="s">
        <v>318</v>
      </c>
      <c r="B52" s="2" t="s">
        <v>901</v>
      </c>
      <c r="C52" s="3">
        <v>0.8</v>
      </c>
      <c r="D52" s="3">
        <v>0.77</v>
      </c>
      <c r="E52" s="3">
        <v>0.83</v>
      </c>
      <c r="F52" s="3">
        <v>1.29</v>
      </c>
      <c r="G52" s="3">
        <v>1.03</v>
      </c>
      <c r="H52" s="3">
        <v>0.71</v>
      </c>
      <c r="I52" s="3">
        <v>6.5000000000000002E-2</v>
      </c>
      <c r="J52" s="3">
        <v>1.46</v>
      </c>
      <c r="K52" s="3">
        <v>3.88</v>
      </c>
      <c r="L52" s="3">
        <v>-0.04</v>
      </c>
      <c r="M52" s="3">
        <v>2.2999999999999998</v>
      </c>
      <c r="N52" s="3">
        <v>1.05</v>
      </c>
      <c r="O52" s="3">
        <v>0.7</v>
      </c>
      <c r="P52" s="3" t="s">
        <v>946</v>
      </c>
      <c r="Q52" s="4">
        <f t="shared" si="14"/>
        <v>0.88000000000000012</v>
      </c>
      <c r="R52" s="4">
        <f t="shared" si="15"/>
        <v>0.57750000000000012</v>
      </c>
      <c r="S52" s="4">
        <f t="shared" si="16"/>
        <v>2.5</v>
      </c>
      <c r="T52" s="4">
        <f t="shared" si="17"/>
        <v>0.17499999999999999</v>
      </c>
      <c r="U52" s="4">
        <f t="shared" si="18"/>
        <v>0.65449999999999997</v>
      </c>
      <c r="V52" s="4">
        <f t="shared" si="19"/>
        <v>0.7054999999999999</v>
      </c>
      <c r="W52" s="4">
        <f t="shared" si="20"/>
        <v>0.71500000000000008</v>
      </c>
      <c r="X52" s="4">
        <f t="shared" si="21"/>
        <v>0.6326666666666666</v>
      </c>
      <c r="Y52" s="4">
        <f t="shared" si="22"/>
        <v>0.85360000000000014</v>
      </c>
      <c r="Z52" s="4">
        <f t="shared" si="23"/>
        <v>1.29</v>
      </c>
      <c r="AA52" s="4">
        <f t="shared" si="24"/>
        <v>0.72099999999999997</v>
      </c>
      <c r="AB52" s="4">
        <f t="shared" si="25"/>
        <v>9.7047666666666661</v>
      </c>
      <c r="AC52" s="4">
        <f t="shared" si="26"/>
        <v>0.84</v>
      </c>
      <c r="AD52" s="4">
        <f t="shared" si="27"/>
        <v>1.2466666666666666</v>
      </c>
    </row>
    <row r="53" spans="1:30">
      <c r="A53" s="2" t="s">
        <v>266</v>
      </c>
      <c r="B53" s="2" t="s">
        <v>901</v>
      </c>
      <c r="C53" s="3">
        <v>1.51</v>
      </c>
      <c r="D53" s="3">
        <v>1.69</v>
      </c>
      <c r="E53" s="3">
        <v>0.94</v>
      </c>
      <c r="F53" s="3">
        <v>0.73</v>
      </c>
      <c r="G53" s="3">
        <v>1.55</v>
      </c>
      <c r="H53" s="3">
        <v>0.9</v>
      </c>
      <c r="I53" s="3">
        <v>3.5000000000000003E-2</v>
      </c>
      <c r="J53" s="3">
        <v>1.43</v>
      </c>
      <c r="K53" s="3">
        <v>1.75</v>
      </c>
      <c r="L53" s="3">
        <v>0.09</v>
      </c>
      <c r="M53" s="3">
        <v>1.1000000000000001</v>
      </c>
      <c r="N53" s="3">
        <v>0.84</v>
      </c>
      <c r="O53" s="3">
        <v>0.78</v>
      </c>
      <c r="P53" s="3" t="s">
        <v>947</v>
      </c>
      <c r="Q53" s="4">
        <f t="shared" si="14"/>
        <v>1.6610000000000003</v>
      </c>
      <c r="R53" s="4">
        <f t="shared" si="15"/>
        <v>0.46200000000000002</v>
      </c>
      <c r="S53" s="4">
        <f t="shared" si="16"/>
        <v>2.5</v>
      </c>
      <c r="T53" s="4">
        <f t="shared" si="17"/>
        <v>0.19500000000000001</v>
      </c>
      <c r="U53" s="4">
        <f t="shared" si="18"/>
        <v>1.4364999999999999</v>
      </c>
      <c r="V53" s="4">
        <f t="shared" si="19"/>
        <v>0.79899999999999993</v>
      </c>
      <c r="W53" s="4">
        <f t="shared" si="20"/>
        <v>0.38500000000000006</v>
      </c>
      <c r="X53" s="4">
        <f t="shared" si="21"/>
        <v>0.61966666666666659</v>
      </c>
      <c r="Y53" s="4">
        <f t="shared" si="22"/>
        <v>0.38500000000000001</v>
      </c>
      <c r="Z53" s="4">
        <f t="shared" si="23"/>
        <v>0.73</v>
      </c>
      <c r="AA53" s="4">
        <f t="shared" si="24"/>
        <v>1.085</v>
      </c>
      <c r="AB53" s="4">
        <f t="shared" si="25"/>
        <v>10.258166666666668</v>
      </c>
      <c r="AC53" s="4">
        <f t="shared" si="26"/>
        <v>1.3599999999999999</v>
      </c>
      <c r="AD53" s="4">
        <f t="shared" si="27"/>
        <v>0.89166666666666661</v>
      </c>
    </row>
    <row r="54" spans="1:30">
      <c r="A54" s="2" t="s">
        <v>209</v>
      </c>
      <c r="B54" s="2" t="s">
        <v>901</v>
      </c>
      <c r="C54" s="3">
        <v>0.76</v>
      </c>
      <c r="D54" s="3">
        <v>0.76</v>
      </c>
      <c r="E54" s="3">
        <v>0.7</v>
      </c>
      <c r="F54" s="3">
        <v>0.86</v>
      </c>
      <c r="G54" s="3">
        <v>1.33</v>
      </c>
      <c r="H54" s="3">
        <v>0.64</v>
      </c>
      <c r="I54" s="3">
        <v>9.5000000000000001E-2</v>
      </c>
      <c r="J54" s="3">
        <v>2.4</v>
      </c>
      <c r="K54" s="3">
        <v>3.35</v>
      </c>
      <c r="L54" s="3">
        <v>-7.0000000000000007E-2</v>
      </c>
      <c r="M54" s="3">
        <v>1.1499999999999999</v>
      </c>
      <c r="N54" s="3">
        <v>0.62</v>
      </c>
      <c r="O54" s="3">
        <v>0.62</v>
      </c>
      <c r="P54" s="3" t="s">
        <v>948</v>
      </c>
      <c r="Q54" s="4">
        <f t="shared" si="14"/>
        <v>0.83600000000000008</v>
      </c>
      <c r="R54" s="4">
        <f t="shared" si="15"/>
        <v>0.34100000000000003</v>
      </c>
      <c r="S54" s="4">
        <f t="shared" si="16"/>
        <v>2.5</v>
      </c>
      <c r="T54" s="4">
        <f t="shared" si="17"/>
        <v>0.155</v>
      </c>
      <c r="U54" s="4">
        <f t="shared" si="18"/>
        <v>0.64600000000000002</v>
      </c>
      <c r="V54" s="4">
        <f t="shared" si="19"/>
        <v>0.59499999999999997</v>
      </c>
      <c r="W54" s="4">
        <f t="shared" si="20"/>
        <v>1.0449999999999999</v>
      </c>
      <c r="X54" s="4">
        <f t="shared" si="21"/>
        <v>1.04</v>
      </c>
      <c r="Y54" s="4">
        <f t="shared" si="22"/>
        <v>0.7370000000000001</v>
      </c>
      <c r="Z54" s="4">
        <f t="shared" si="23"/>
        <v>0.86</v>
      </c>
      <c r="AA54" s="4">
        <f t="shared" si="24"/>
        <v>0.93099999999999994</v>
      </c>
      <c r="AB54" s="4">
        <f t="shared" si="25"/>
        <v>9.6859999999999982</v>
      </c>
      <c r="AC54" s="4">
        <f t="shared" si="26"/>
        <v>0.72</v>
      </c>
      <c r="AD54" s="4">
        <f t="shared" si="27"/>
        <v>1.1583333333333332</v>
      </c>
    </row>
  </sheetData>
  <mergeCells count="1">
    <mergeCell ref="A1:AD2"/>
  </mergeCells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pane ySplit="4" topLeftCell="A5" activePane="bottomLeft" state="frozen"/>
      <selection pane="bottomLeft" sqref="A1:H2"/>
    </sheetView>
  </sheetViews>
  <sheetFormatPr defaultRowHeight="14.25"/>
  <cols>
    <col min="1" max="1" width="14" customWidth="1"/>
    <col min="2" max="7" width="15" customWidth="1"/>
    <col min="8" max="8" width="35" customWidth="1"/>
  </cols>
  <sheetData>
    <row r="1" spans="1:8">
      <c r="A1" s="18" t="s">
        <v>949</v>
      </c>
      <c r="B1" s="18"/>
      <c r="C1" s="18"/>
      <c r="D1" s="18"/>
      <c r="E1" s="18"/>
      <c r="F1" s="18"/>
      <c r="G1" s="18"/>
      <c r="H1" s="18"/>
    </row>
    <row r="2" spans="1:8">
      <c r="A2" s="18"/>
      <c r="B2" s="18"/>
      <c r="C2" s="18"/>
      <c r="D2" s="18"/>
      <c r="E2" s="18"/>
      <c r="F2" s="18"/>
      <c r="G2" s="18"/>
      <c r="H2" s="18"/>
    </row>
    <row r="3" spans="1:8">
      <c r="A3" t="s">
        <v>950</v>
      </c>
    </row>
    <row r="4" spans="1:8" ht="29.1" customHeight="1">
      <c r="A4" s="1" t="s">
        <v>951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952</v>
      </c>
    </row>
    <row r="5" spans="1:8">
      <c r="A5" t="s">
        <v>88</v>
      </c>
      <c r="B5" s="5">
        <v>0.06</v>
      </c>
      <c r="C5" s="5">
        <v>1.2E-2</v>
      </c>
      <c r="D5" s="5">
        <v>4.0000000000000001E-3</v>
      </c>
      <c r="E5" s="5">
        <v>4.0000000000000001E-3</v>
      </c>
      <c r="F5" s="5">
        <v>3.0000000000000001E-3</v>
      </c>
      <c r="G5" s="5">
        <v>3.0000000000000001E-3</v>
      </c>
      <c r="H5" t="s">
        <v>953</v>
      </c>
    </row>
    <row r="6" spans="1:8">
      <c r="A6" t="s">
        <v>84</v>
      </c>
      <c r="B6" s="5">
        <v>1.2E-2</v>
      </c>
      <c r="C6" s="5">
        <v>0.06</v>
      </c>
      <c r="D6" s="5">
        <v>4.0000000000000001E-3</v>
      </c>
      <c r="E6" s="5">
        <v>4.0000000000000001E-3</v>
      </c>
      <c r="F6" s="5">
        <v>3.0000000000000001E-3</v>
      </c>
      <c r="G6" s="5">
        <v>3.0000000000000001E-3</v>
      </c>
      <c r="H6" t="s">
        <v>954</v>
      </c>
    </row>
    <row r="7" spans="1:8">
      <c r="A7" t="s">
        <v>92</v>
      </c>
      <c r="B7" s="5">
        <v>4.0000000000000001E-3</v>
      </c>
      <c r="C7" s="5">
        <v>4.0000000000000001E-3</v>
      </c>
      <c r="D7" s="5">
        <v>0.06</v>
      </c>
      <c r="E7" s="5">
        <v>1.4999999999999999E-2</v>
      </c>
      <c r="F7" s="5">
        <v>3.0000000000000001E-3</v>
      </c>
      <c r="G7" s="5">
        <v>3.0000000000000001E-3</v>
      </c>
      <c r="H7" t="s">
        <v>955</v>
      </c>
    </row>
    <row r="8" spans="1:8">
      <c r="A8" t="s">
        <v>112</v>
      </c>
      <c r="B8" s="5">
        <v>4.0000000000000001E-3</v>
      </c>
      <c r="C8" s="5">
        <v>4.0000000000000001E-3</v>
      </c>
      <c r="D8" s="5">
        <v>1.4999999999999999E-2</v>
      </c>
      <c r="E8" s="5">
        <v>0.06</v>
      </c>
      <c r="F8" s="5">
        <v>3.0000000000000001E-3</v>
      </c>
      <c r="G8" s="5">
        <v>3.0000000000000001E-3</v>
      </c>
      <c r="H8" t="s">
        <v>956</v>
      </c>
    </row>
    <row r="9" spans="1:8">
      <c r="A9" t="s">
        <v>102</v>
      </c>
      <c r="B9" s="5">
        <v>3.0000000000000001E-3</v>
      </c>
      <c r="C9" s="5">
        <v>3.0000000000000001E-3</v>
      </c>
      <c r="D9" s="5">
        <v>3.0000000000000001E-3</v>
      </c>
      <c r="E9" s="5">
        <v>3.0000000000000001E-3</v>
      </c>
      <c r="F9" s="5">
        <v>0.06</v>
      </c>
      <c r="G9" s="5">
        <v>8.0000000000000002E-3</v>
      </c>
      <c r="H9" t="s">
        <v>957</v>
      </c>
    </row>
    <row r="10" spans="1:8">
      <c r="A10" t="s">
        <v>122</v>
      </c>
      <c r="B10" s="5">
        <v>3.0000000000000001E-3</v>
      </c>
      <c r="C10" s="5">
        <v>3.0000000000000001E-3</v>
      </c>
      <c r="D10" s="5">
        <v>3.0000000000000001E-3</v>
      </c>
      <c r="E10" s="5">
        <v>3.0000000000000001E-3</v>
      </c>
      <c r="F10" s="5">
        <v>8.0000000000000002E-3</v>
      </c>
      <c r="G10" s="5">
        <v>0.06</v>
      </c>
      <c r="H10" t="s">
        <v>958</v>
      </c>
    </row>
  </sheetData>
  <mergeCells count="1">
    <mergeCell ref="A1:H2"/>
  </mergeCells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使い方と設定</vt:lpstr>
      <vt:lpstr>称号計算</vt:lpstr>
      <vt:lpstr>個性タイプマスタ</vt:lpstr>
      <vt:lpstr>属性耐性マスタ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KEIYA</dc:creator>
  <cp:lastModifiedBy>圭哉 相原</cp:lastModifiedBy>
  <dcterms:created xsi:type="dcterms:W3CDTF">2026-10-17T18:19:45Z</dcterms:created>
  <dcterms:modified xsi:type="dcterms:W3CDTF">2026-10-17T18:34:13Z</dcterms:modified>
</cp:coreProperties>
</file>