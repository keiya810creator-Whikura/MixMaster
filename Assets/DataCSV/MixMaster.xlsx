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C01A0B33-4145-49C8-9248-C84786B731B6}" xr6:coauthVersionLast="47" xr6:coauthVersionMax="47" xr10:uidLastSave="{00000000-0000-0000-0000-000000000000}"/>
  <bookViews>
    <workbookView xWindow="28680" yWindow="-120" windowWidth="29040" windowHeight="15720" activeTab="4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スキル" sheetId="14" r:id="rId5"/>
    <sheet name="素材" sheetId="10" r:id="rId6"/>
    <sheet name="マップ" sheetId="6" r:id="rId7"/>
    <sheet name="マップ地形" sheetId="7" r:id="rId8"/>
    <sheet name="GPTマップ作製" sheetId="12" r:id="rId9"/>
    <sheet name="必要経験値" sheetId="8" r:id="rId10"/>
    <sheet name="入力規制リスト" sheetId="4" r:id="rId11"/>
    <sheet name="画像編集用" sheetId="1" r:id="rId12"/>
    <sheet name="やることリスト" sheetId="2" r:id="rId13"/>
  </sheets>
  <externalReferences>
    <externalReference r:id="rId14"/>
    <externalReference r:id="rId1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204" i="14" l="1"/>
  <c r="W204" i="14"/>
  <c r="V204" i="14"/>
  <c r="X203" i="14"/>
  <c r="W203" i="14"/>
  <c r="V203" i="14"/>
  <c r="X202" i="14"/>
  <c r="W202" i="14"/>
  <c r="V202" i="14"/>
  <c r="X201" i="14"/>
  <c r="W201" i="14"/>
  <c r="V201" i="14"/>
  <c r="X200" i="14"/>
  <c r="W200" i="14"/>
  <c r="V200" i="14"/>
  <c r="X199" i="14"/>
  <c r="W199" i="14"/>
  <c r="V199" i="14"/>
  <c r="X198" i="14"/>
  <c r="W198" i="14"/>
  <c r="V198" i="14"/>
  <c r="X197" i="14"/>
  <c r="W197" i="14"/>
  <c r="V197" i="14"/>
  <c r="X196" i="14"/>
  <c r="W196" i="14"/>
  <c r="V196" i="14"/>
  <c r="X195" i="14"/>
  <c r="W195" i="14"/>
  <c r="V195" i="14"/>
  <c r="X194" i="14"/>
  <c r="W194" i="14"/>
  <c r="V194" i="14"/>
  <c r="X193" i="14"/>
  <c r="W193" i="14"/>
  <c r="V193" i="14"/>
  <c r="X192" i="14"/>
  <c r="W192" i="14"/>
  <c r="V192" i="14"/>
  <c r="X191" i="14"/>
  <c r="W191" i="14"/>
  <c r="V191" i="14"/>
  <c r="X190" i="14"/>
  <c r="W190" i="14"/>
  <c r="V190" i="14"/>
  <c r="X189" i="14"/>
  <c r="W189" i="14"/>
  <c r="V189" i="14"/>
  <c r="X188" i="14"/>
  <c r="W188" i="14"/>
  <c r="V188" i="14"/>
  <c r="X187" i="14"/>
  <c r="W187" i="14"/>
  <c r="V187" i="14"/>
  <c r="X186" i="14"/>
  <c r="W186" i="14"/>
  <c r="V186" i="14"/>
  <c r="X185" i="14"/>
  <c r="W185" i="14"/>
  <c r="V185" i="14"/>
  <c r="X184" i="14"/>
  <c r="W184" i="14"/>
  <c r="V184" i="14"/>
  <c r="X183" i="14"/>
  <c r="W183" i="14"/>
  <c r="V183" i="14"/>
  <c r="X182" i="14"/>
  <c r="W182" i="14"/>
  <c r="V182" i="14"/>
  <c r="X181" i="14"/>
  <c r="W181" i="14"/>
  <c r="V181" i="14"/>
  <c r="X180" i="14"/>
  <c r="W180" i="14"/>
  <c r="V180" i="14"/>
  <c r="X179" i="14"/>
  <c r="W179" i="14"/>
  <c r="V179" i="14"/>
  <c r="X178" i="14"/>
  <c r="W178" i="14"/>
  <c r="V178" i="14"/>
  <c r="X177" i="14"/>
  <c r="W177" i="14"/>
  <c r="V177" i="14"/>
  <c r="X176" i="14"/>
  <c r="W176" i="14"/>
  <c r="V176" i="14"/>
  <c r="X175" i="14"/>
  <c r="W175" i="14"/>
  <c r="V175" i="14"/>
  <c r="X174" i="14"/>
  <c r="W174" i="14"/>
  <c r="V174" i="14"/>
  <c r="X173" i="14"/>
  <c r="W173" i="14"/>
  <c r="V173" i="14"/>
  <c r="X172" i="14"/>
  <c r="W172" i="14"/>
  <c r="V172" i="14"/>
  <c r="X171" i="14"/>
  <c r="W171" i="14"/>
  <c r="V171" i="14"/>
  <c r="X170" i="14"/>
  <c r="W170" i="14"/>
  <c r="V170" i="14"/>
  <c r="X169" i="14"/>
  <c r="W169" i="14"/>
  <c r="V169" i="14"/>
  <c r="X168" i="14"/>
  <c r="W168" i="14"/>
  <c r="V168" i="14"/>
  <c r="X167" i="14"/>
  <c r="W167" i="14"/>
  <c r="V167" i="14"/>
  <c r="X166" i="14"/>
  <c r="W166" i="14"/>
  <c r="V166" i="14"/>
  <c r="X165" i="14"/>
  <c r="W165" i="14"/>
  <c r="V165" i="14"/>
  <c r="X164" i="14"/>
  <c r="W164" i="14"/>
  <c r="V164" i="14"/>
  <c r="X163" i="14"/>
  <c r="W163" i="14"/>
  <c r="V163" i="14"/>
  <c r="X162" i="14"/>
  <c r="W162" i="14"/>
  <c r="V162" i="14"/>
  <c r="X161" i="14"/>
  <c r="W161" i="14"/>
  <c r="V161" i="14"/>
  <c r="X160" i="14"/>
  <c r="W160" i="14"/>
  <c r="V160" i="14"/>
  <c r="X159" i="14"/>
  <c r="W159" i="14"/>
  <c r="V159" i="14"/>
  <c r="X158" i="14"/>
  <c r="W158" i="14"/>
  <c r="V158" i="14"/>
  <c r="X157" i="14"/>
  <c r="W157" i="14"/>
  <c r="V157" i="14"/>
  <c r="X156" i="14"/>
  <c r="W156" i="14"/>
  <c r="V156" i="14"/>
  <c r="X155" i="14"/>
  <c r="W155" i="14"/>
  <c r="V155" i="14"/>
  <c r="X154" i="14"/>
  <c r="W154" i="14"/>
  <c r="V154" i="14"/>
  <c r="X153" i="14"/>
  <c r="W153" i="14"/>
  <c r="V153" i="14"/>
  <c r="X152" i="14"/>
  <c r="W152" i="14"/>
  <c r="V152" i="14"/>
  <c r="X151" i="14"/>
  <c r="W151" i="14"/>
  <c r="V151" i="14"/>
  <c r="X150" i="14"/>
  <c r="W150" i="14"/>
  <c r="V150" i="14"/>
  <c r="X149" i="14"/>
  <c r="W149" i="14"/>
  <c r="V149" i="14"/>
  <c r="X148" i="14"/>
  <c r="W148" i="14"/>
  <c r="V148" i="14"/>
  <c r="X147" i="14"/>
  <c r="W147" i="14"/>
  <c r="V147" i="14"/>
  <c r="X146" i="14"/>
  <c r="W146" i="14"/>
  <c r="V146" i="14"/>
  <c r="X145" i="14"/>
  <c r="W145" i="14"/>
  <c r="V145" i="14"/>
  <c r="X144" i="14"/>
  <c r="W144" i="14"/>
  <c r="V144" i="14"/>
  <c r="X143" i="14"/>
  <c r="W143" i="14"/>
  <c r="V143" i="14"/>
  <c r="X142" i="14"/>
  <c r="W142" i="14"/>
  <c r="V142" i="14"/>
  <c r="X141" i="14"/>
  <c r="W141" i="14"/>
  <c r="V141" i="14"/>
  <c r="X140" i="14"/>
  <c r="W140" i="14"/>
  <c r="V140" i="14"/>
  <c r="X139" i="14"/>
  <c r="W139" i="14"/>
  <c r="V139" i="14"/>
  <c r="X138" i="14"/>
  <c r="W138" i="14"/>
  <c r="V138" i="14"/>
  <c r="X137" i="14"/>
  <c r="W137" i="14"/>
  <c r="V137" i="14"/>
  <c r="X136" i="14"/>
  <c r="W136" i="14"/>
  <c r="V136" i="14"/>
  <c r="X135" i="14"/>
  <c r="W135" i="14"/>
  <c r="V135" i="14"/>
  <c r="X134" i="14"/>
  <c r="W134" i="14"/>
  <c r="V134" i="14"/>
  <c r="X133" i="14"/>
  <c r="W133" i="14"/>
  <c r="V133" i="14"/>
  <c r="X132" i="14"/>
  <c r="W132" i="14"/>
  <c r="V132" i="14"/>
  <c r="X131" i="14"/>
  <c r="W131" i="14"/>
  <c r="V131" i="14"/>
  <c r="X130" i="14"/>
  <c r="W130" i="14"/>
  <c r="V130" i="14"/>
  <c r="X129" i="14"/>
  <c r="W129" i="14"/>
  <c r="V129" i="14"/>
  <c r="X128" i="14"/>
  <c r="W128" i="14"/>
  <c r="V128" i="14"/>
  <c r="X127" i="14"/>
  <c r="W127" i="14"/>
  <c r="V127" i="14"/>
  <c r="X126" i="14"/>
  <c r="W126" i="14"/>
  <c r="V126" i="14"/>
  <c r="X125" i="14"/>
  <c r="W125" i="14"/>
  <c r="V125" i="14"/>
  <c r="X124" i="14"/>
  <c r="W124" i="14"/>
  <c r="V124" i="14"/>
  <c r="X123" i="14"/>
  <c r="W123" i="14"/>
  <c r="V123" i="14"/>
  <c r="X122" i="14"/>
  <c r="W122" i="14"/>
  <c r="V122" i="14"/>
  <c r="X121" i="14"/>
  <c r="W121" i="14"/>
  <c r="V121" i="14"/>
  <c r="X120" i="14"/>
  <c r="W120" i="14"/>
  <c r="V120" i="14"/>
  <c r="X119" i="14"/>
  <c r="W119" i="14"/>
  <c r="V119" i="14"/>
  <c r="X118" i="14"/>
  <c r="W118" i="14"/>
  <c r="V118" i="14"/>
  <c r="X117" i="14"/>
  <c r="W117" i="14"/>
  <c r="V117" i="14"/>
  <c r="X116" i="14"/>
  <c r="W116" i="14"/>
  <c r="V116" i="14"/>
  <c r="X115" i="14"/>
  <c r="W115" i="14"/>
  <c r="V115" i="14"/>
  <c r="X114" i="14"/>
  <c r="W114" i="14"/>
  <c r="V114" i="14"/>
  <c r="X113" i="14"/>
  <c r="W113" i="14"/>
  <c r="V113" i="14"/>
  <c r="X112" i="14"/>
  <c r="W112" i="14"/>
  <c r="V112" i="14"/>
  <c r="X111" i="14"/>
  <c r="W111" i="14"/>
  <c r="V111" i="14"/>
  <c r="X110" i="14"/>
  <c r="W110" i="14"/>
  <c r="V110" i="14"/>
  <c r="X109" i="14"/>
  <c r="W109" i="14"/>
  <c r="V109" i="14"/>
  <c r="X108" i="14"/>
  <c r="W108" i="14"/>
  <c r="V108" i="14"/>
  <c r="X107" i="14"/>
  <c r="W107" i="14"/>
  <c r="V107" i="14"/>
  <c r="X106" i="14"/>
  <c r="W106" i="14"/>
  <c r="V106" i="14"/>
  <c r="X105" i="14"/>
  <c r="W105" i="14"/>
  <c r="V105" i="14"/>
  <c r="X104" i="14"/>
  <c r="W104" i="14"/>
  <c r="V104" i="14"/>
  <c r="X103" i="14"/>
  <c r="W103" i="14"/>
  <c r="V103" i="14"/>
  <c r="X102" i="14"/>
  <c r="W102" i="14"/>
  <c r="V102" i="14"/>
  <c r="X101" i="14"/>
  <c r="W101" i="14"/>
  <c r="V101" i="14"/>
  <c r="X100" i="14"/>
  <c r="W100" i="14"/>
  <c r="V100" i="14"/>
  <c r="X99" i="14"/>
  <c r="W99" i="14"/>
  <c r="V99" i="14"/>
  <c r="X98" i="14"/>
  <c r="W98" i="14"/>
  <c r="V98" i="14"/>
  <c r="X97" i="14"/>
  <c r="W97" i="14"/>
  <c r="V97" i="14"/>
  <c r="X96" i="14"/>
  <c r="W96" i="14"/>
  <c r="V96" i="14"/>
  <c r="X95" i="14"/>
  <c r="W95" i="14"/>
  <c r="V95" i="14"/>
  <c r="X94" i="14"/>
  <c r="W94" i="14"/>
  <c r="V94" i="14"/>
  <c r="X93" i="14"/>
  <c r="W93" i="14"/>
  <c r="V93" i="14"/>
  <c r="X92" i="14"/>
  <c r="W92" i="14"/>
  <c r="V92" i="14"/>
  <c r="X91" i="14"/>
  <c r="W91" i="14"/>
  <c r="V91" i="14"/>
  <c r="X90" i="14"/>
  <c r="W90" i="14"/>
  <c r="V90" i="14"/>
  <c r="X89" i="14"/>
  <c r="W89" i="14"/>
  <c r="V89" i="14"/>
  <c r="X88" i="14"/>
  <c r="W88" i="14"/>
  <c r="V88" i="14"/>
  <c r="X87" i="14"/>
  <c r="W87" i="14"/>
  <c r="V87" i="14"/>
  <c r="X86" i="14"/>
  <c r="W86" i="14"/>
  <c r="V86" i="14"/>
  <c r="X85" i="14"/>
  <c r="W85" i="14"/>
  <c r="V85" i="14"/>
  <c r="X84" i="14"/>
  <c r="W84" i="14"/>
  <c r="V84" i="14"/>
  <c r="X83" i="14"/>
  <c r="W83" i="14"/>
  <c r="V83" i="14"/>
  <c r="X82" i="14"/>
  <c r="W82" i="14"/>
  <c r="V82" i="14"/>
  <c r="X81" i="14"/>
  <c r="W81" i="14"/>
  <c r="V81" i="14"/>
  <c r="X80" i="14"/>
  <c r="W80" i="14"/>
  <c r="V80" i="14"/>
  <c r="X79" i="14"/>
  <c r="W79" i="14"/>
  <c r="V79" i="14"/>
  <c r="X78" i="14"/>
  <c r="W78" i="14"/>
  <c r="V78" i="14"/>
  <c r="X77" i="14"/>
  <c r="W77" i="14"/>
  <c r="V77" i="14"/>
  <c r="X76" i="14"/>
  <c r="W76" i="14"/>
  <c r="V76" i="14"/>
  <c r="X75" i="14"/>
  <c r="W75" i="14"/>
  <c r="V75" i="14"/>
  <c r="X74" i="14"/>
  <c r="W74" i="14"/>
  <c r="V74" i="14"/>
  <c r="X73" i="14"/>
  <c r="W73" i="14"/>
  <c r="V73" i="14"/>
  <c r="X72" i="14"/>
  <c r="W72" i="14"/>
  <c r="V72" i="14"/>
  <c r="X71" i="14"/>
  <c r="W71" i="14"/>
  <c r="V71" i="14"/>
  <c r="X70" i="14"/>
  <c r="W70" i="14"/>
  <c r="V70" i="14"/>
  <c r="X69" i="14"/>
  <c r="W69" i="14"/>
  <c r="V69" i="14"/>
  <c r="X68" i="14"/>
  <c r="W68" i="14"/>
  <c r="V68" i="14"/>
  <c r="X67" i="14"/>
  <c r="W67" i="14"/>
  <c r="V67" i="14"/>
  <c r="X66" i="14"/>
  <c r="W66" i="14"/>
  <c r="V66" i="14"/>
  <c r="X65" i="14"/>
  <c r="W65" i="14"/>
  <c r="V65" i="14"/>
  <c r="X64" i="14"/>
  <c r="W64" i="14"/>
  <c r="V64" i="14"/>
  <c r="X63" i="14"/>
  <c r="W63" i="14"/>
  <c r="V63" i="14"/>
  <c r="X62" i="14"/>
  <c r="W62" i="14"/>
  <c r="V62" i="14"/>
  <c r="X61" i="14"/>
  <c r="W61" i="14"/>
  <c r="V61" i="14"/>
  <c r="X60" i="14"/>
  <c r="W60" i="14"/>
  <c r="V60" i="14"/>
  <c r="X59" i="14"/>
  <c r="W59" i="14"/>
  <c r="V59" i="14"/>
  <c r="X58" i="14"/>
  <c r="W58" i="14"/>
  <c r="V58" i="14"/>
  <c r="X57" i="14"/>
  <c r="W57" i="14"/>
  <c r="V57" i="14"/>
  <c r="X56" i="14"/>
  <c r="W56" i="14"/>
  <c r="V56" i="14"/>
  <c r="X55" i="14"/>
  <c r="W55" i="14"/>
  <c r="V55" i="14"/>
  <c r="X54" i="14"/>
  <c r="W54" i="14"/>
  <c r="V54" i="14"/>
  <c r="X53" i="14"/>
  <c r="W53" i="14"/>
  <c r="V53" i="14"/>
  <c r="X52" i="14"/>
  <c r="W52" i="14"/>
  <c r="V52" i="14"/>
  <c r="X51" i="14"/>
  <c r="W51" i="14"/>
  <c r="V51" i="14"/>
  <c r="X50" i="14"/>
  <c r="W50" i="14"/>
  <c r="V50" i="14"/>
  <c r="X49" i="14"/>
  <c r="W49" i="14"/>
  <c r="V49" i="14"/>
  <c r="X48" i="14"/>
  <c r="W48" i="14"/>
  <c r="V48" i="14"/>
  <c r="X47" i="14"/>
  <c r="W47" i="14"/>
  <c r="V47" i="14"/>
  <c r="X46" i="14"/>
  <c r="W46" i="14"/>
  <c r="V46" i="14"/>
  <c r="X45" i="14"/>
  <c r="W45" i="14"/>
  <c r="V45" i="14"/>
  <c r="X44" i="14"/>
  <c r="W44" i="14"/>
  <c r="V44" i="14"/>
  <c r="O2" i="3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<sst xmlns="http://schemas.openxmlformats.org/spreadsheetml/2006/main" count="5632" uniqueCount="1945">
  <si>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</si>
  <si>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</si>
  <si>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</si>
  <si>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</si>
  <si>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</si>
  <si>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</si>
  <si>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</si>
  <si>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</si>
  <si>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</si>
  <si>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</si>
  <si>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</si>
  <si>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</si>
  <si>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</si>
  <si>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</si>
  <si>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</si>
  <si>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</si>
  <si>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</si>
  <si>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</si>
  <si>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</si>
  <si>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</si>
  <si>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</si>
  <si>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</si>
  <si>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</si>
  <si>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</si>
  <si>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</si>
  <si>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</si>
  <si>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</si>
  <si>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</si>
  <si>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</si>
  <si>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</si>
  <si>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</si>
  <si>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</si>
  <si>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</si>
  <si>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</si>
  <si>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</si>
  <si>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</si>
  <si>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</si>
  <si>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</si>
  <si>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</si>
  <si>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</si>
  <si>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</si>
  <si>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</si>
  <si>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</si>
  <si>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</si>
  <si>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</si>
  <si>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</si>
  <si>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</si>
  <si>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</si>
  <si>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</si>
  <si>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</si>
  <si>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</si>
  <si>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</si>
  <si>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</si>
  <si>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</si>
  <si>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</si>
  <si>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</si>
  <si>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</si>
  <si>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</si>
  <si>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</si>
  <si>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</si>
  <si>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</si>
  <si>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</si>
  <si>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</si>
  <si>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</si>
  <si>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MAT_002</t>
  </si>
  <si>
    <t>TITLE_002</t>
  </si>
  <si>
    <t>MAT_003</t>
  </si>
  <si>
    <t>TITLE_003</t>
  </si>
  <si>
    <t>MAT_004</t>
  </si>
  <si>
    <t>TITLE_004</t>
  </si>
  <si>
    <t>MAT_005</t>
  </si>
  <si>
    <t>TITLE_005</t>
  </si>
  <si>
    <t>MAT_006</t>
  </si>
  <si>
    <t>TITLE_006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</si>
  <si>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</si>
  <si>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</si>
  <si>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</si>
  <si>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</si>
  <si>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</si>
  <si>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</si>
  <si>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</si>
  <si>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</si>
  <si>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</si>
  <si>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</si>
  <si>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</si>
  <si>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</si>
  <si>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</si>
  <si>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</si>
  <si>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</si>
  <si>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</si>
  <si>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</si>
  <si>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</si>
  <si>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</si>
  <si>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</si>
  <si>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</si>
  <si>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</si>
  <si>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</si>
  <si>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</si>
  <si>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</si>
  <si>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</si>
  <si>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</si>
  <si>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</si>
  <si>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</si>
  <si>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</si>
  <si>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</si>
  <si>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</si>
  <si>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</si>
  <si>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</si>
  <si>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</si>
  <si>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</si>
  <si>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</si>
  <si>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</si>
  <si>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</si>
  <si>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</si>
  <si>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</si>
  <si>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</si>
  <si>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</si>
  <si>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</si>
  <si>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</si>
  <si>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</si>
  <si>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</si>
  <si>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</si>
  <si>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</si>
  <si>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</si>
  <si>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</si>
  <si>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</si>
  <si>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</si>
  <si>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</si>
  <si>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</si>
  <si>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</si>
  <si>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</si>
  <si>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</si>
  <si>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</si>
  <si>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</si>
  <si>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</si>
  <si>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</si>
  <si>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</si>
  <si>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</si>
  <si>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</si>
  <si>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</si>
  <si>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</si>
  <si>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</si>
  <si>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</si>
  <si>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</si>
  <si>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</si>
  <si>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</si>
  <si>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</si>
  <si>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</si>
  <si>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</si>
  <si>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</si>
  <si>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</si>
  <si>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</si>
  <si>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</si>
  <si>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</si>
  <si>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</si>
  <si>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</si>
  <si>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</si>
  <si>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</si>
  <si>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</si>
  <si>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</si>
  <si>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</si>
  <si>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</si>
  <si>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</si>
  <si>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</si>
  <si>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</si>
  <si>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</si>
  <si>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</si>
  <si>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</si>
  <si>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</si>
  <si>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</si>
  <si>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</si>
  <si>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</si>
  <si>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</si>
  <si>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</si>
  <si>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</si>
  <si>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</si>
  <si>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</si>
  <si>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</si>
  <si>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</si>
  <si>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</si>
  <si>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</si>
  <si>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</si>
  <si>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</si>
  <si>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</si>
  <si>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</si>
  <si>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</si>
  <si>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</si>
  <si>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</si>
  <si>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</si>
  <si>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</si>
  <si>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</si>
  <si>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</si>
  <si>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</si>
  <si>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</si>
  <si>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</si>
  <si>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</si>
  <si>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</si>
  <si>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</si>
  <si>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</si>
  <si>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</si>
  <si>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</si>
  <si>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</si>
  <si>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</si>
  <si>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</si>
  <si>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</si>
  <si>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</si>
  <si>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</si>
  <si>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</si>
  <si>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</si>
  <si>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</si>
  <si>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</si>
  <si>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</si>
  <si>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</si>
  <si>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</si>
  <si>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</si>
  <si>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</si>
  <si>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</si>
  <si>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</si>
  <si>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</si>
  <si>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</si>
  <si>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</si>
  <si>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</si>
  <si>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</si>
  <si>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</si>
  <si>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</si>
  <si>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</si>
  <si>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</si>
  <si>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</si>
  <si>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</si>
  <si>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</si>
  <si>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</si>
  <si>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</si>
  <si>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</si>
  <si>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</si>
  <si>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</si>
  <si>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</si>
  <si>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</si>
  <si>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</si>
  <si>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</si>
  <si>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</si>
  <si>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</si>
  <si>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</si>
  <si>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</si>
  <si>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</si>
  <si>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</si>
  <si>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</si>
  <si>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</si>
  <si>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</si>
  <si>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</si>
  <si>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</si>
  <si>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</si>
  <si>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</si>
  <si>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</si>
  <si>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</si>
  <si>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</si>
  <si>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</si>
  <si>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</si>
  <si>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</si>
  <si>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</si>
  <si>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</si>
  <si>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</si>
  <si>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</si>
  <si>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</si>
  <si>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</si>
  <si>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</si>
  <si>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</si>
  <si>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</si>
  <si>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</si>
  <si>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</si>
  <si>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</si>
  <si>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</si>
  <si>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</si>
  <si>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</si>
  <si>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</si>
  <si>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</si>
  <si>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</si>
  <si>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</si>
  <si>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</si>
  <si>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</si>
  <si>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</si>
  <si>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</si>
  <si>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</si>
  <si>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</si>
  <si>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</si>
  <si>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</si>
  <si>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</si>
  <si>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</si>
  <si>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</si>
  <si>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</si>
  <si>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</si>
  <si>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</si>
  <si>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</si>
  <si>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</si>
  <si>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</si>
  <si>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</si>
  <si>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</si>
  <si>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</si>
  <si>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</si>
  <si>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</si>
  <si>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</si>
  <si>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</si>
  <si>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</si>
  <si>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</si>
  <si>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</si>
  <si>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</si>
  <si>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</si>
  <si>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</si>
  <si>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</si>
  <si>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</si>
  <si>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</si>
  <si>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</si>
  <si>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</si>
  <si>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</si>
  <si>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</si>
  <si>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</si>
  <si>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</si>
  <si>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</si>
  <si>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</si>
  <si>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</si>
  <si>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</si>
  <si>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</si>
  <si>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</si>
  <si>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</si>
  <si>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</si>
  <si>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</si>
  <si>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</si>
  <si>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</si>
  <si>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</si>
  <si>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</si>
  <si>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</si>
  <si>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</si>
  <si>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</si>
  <si>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</si>
  <si>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</si>
  <si>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</si>
  <si>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</si>
  <si>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</si>
  <si>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</si>
  <si>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</si>
  <si>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</si>
  <si>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</si>
  <si>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</si>
  <si>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</si>
  <si>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</si>
  <si>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</si>
  <si>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</si>
  <si>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</si>
  <si>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</si>
  <si>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</si>
  <si>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</si>
  <si>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</si>
  <si>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</si>
  <si>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</si>
  <si>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</si>
  <si>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</si>
  <si>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</si>
  <si>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</si>
  <si>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</si>
  <si>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</si>
  <si>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</si>
  <si>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</si>
  <si>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</si>
  <si>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</si>
  <si>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</si>
  <si>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</si>
  <si>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</si>
  <si>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</si>
  <si>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</si>
  <si>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</si>
  <si>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</si>
  <si>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</si>
  <si>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</si>
  <si>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</si>
  <si>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</si>
  <si>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</si>
  <si>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</si>
  <si>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</si>
  <si>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</si>
  <si>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</si>
  <si>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</si>
  <si>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</si>
  <si>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</si>
  <si>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</si>
  <si>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</si>
  <si>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</si>
  <si>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</si>
  <si>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</si>
  <si>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</si>
  <si>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</si>
  <si>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</si>
  <si>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</si>
  <si>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</si>
  <si>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</si>
  <si>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</si>
  <si>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</si>
  <si>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</si>
  <si>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</si>
  <si>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</si>
  <si>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</si>
  <si>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</si>
  <si>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</si>
  <si>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</si>
  <si>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</si>
  <si>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</si>
  <si>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</si>
  <si>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</si>
  <si>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</si>
  <si>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</si>
  <si>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</si>
  <si>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</si>
  <si>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</si>
  <si>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</si>
  <si>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</si>
  <si>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</si>
  <si>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</si>
  <si>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</si>
  <si>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</si>
  <si>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</si>
  <si>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</si>
  <si>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</si>
  <si>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</si>
  <si>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</si>
  <si>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</si>
  <si>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</si>
  <si>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</si>
  <si>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</si>
  <si>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</si>
  <si>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</si>
  <si>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</si>
  <si>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</si>
  <si>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</si>
  <si>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</si>
  <si>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</si>
  <si>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</si>
  <si>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</si>
  <si>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</si>
  <si>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</si>
  <si>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</si>
  <si>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</si>
  <si>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</si>
  <si>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</si>
  <si>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</si>
  <si>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</si>
  <si>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</si>
  <si>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</si>
  <si>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</si>
  <si>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</si>
  <si>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</si>
  <si>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</si>
  <si>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</si>
  <si>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</si>
  <si>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</si>
  <si>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</si>
  <si>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</si>
  <si>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</si>
  <si>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</si>
  <si>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</si>
  <si>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</si>
  <si>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</si>
  <si>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</si>
  <si>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</si>
  <si>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</si>
  <si>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</si>
  <si>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</si>
  <si>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</si>
  <si>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</si>
  <si>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</si>
  <si>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</si>
  <si>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</si>
  <si>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</si>
  <si>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</si>
  <si>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</si>
  <si>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</si>
  <si>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</si>
  <si>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</si>
  <si>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</si>
  <si>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</si>
  <si>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</si>
  <si>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</si>
  <si>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</si>
  <si>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</si>
  <si>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</si>
  <si>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</si>
  <si>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</si>
  <si>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</si>
  <si>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</si>
  <si>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</si>
  <si>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</si>
  <si>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</si>
  <si>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</si>
  <si>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</si>
  <si>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</si>
  <si>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</si>
  <si>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</si>
  <si>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</si>
  <si>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</si>
  <si>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</si>
  <si>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</si>
  <si>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</si>
  <si>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</si>
  <si>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</si>
  <si>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</si>
  <si>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</si>
  <si>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</si>
  <si>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</si>
  <si>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</si>
  <si>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</si>
  <si>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</si>
  <si>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</si>
  <si>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</si>
  <si>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</si>
  <si>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</si>
  <si>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</si>
  <si>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</si>
  <si>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</si>
  <si>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</si>
  <si>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</si>
  <si>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</si>
  <si>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</si>
  <si>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</si>
  <si>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</si>
  <si>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</si>
  <si>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</si>
  <si>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</si>
  <si>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</si>
  <si>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</si>
  <si>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</si>
  <si>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</si>
  <si>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</si>
  <si>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</si>
  <si>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</si>
  <si>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</si>
  <si>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</si>
  <si>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</si>
  <si>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</si>
  <si>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</si>
  <si>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</si>
  <si>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</si>
  <si>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</si>
  <si>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</si>
  <si>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</si>
  <si>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</si>
  <si>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</si>
  <si>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</si>
  <si>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</si>
  <si>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</si>
  <si>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</si>
  <si>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</si>
  <si>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</si>
  <si>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</si>
  <si>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</si>
  <si>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</si>
  <si>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</si>
  <si>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</si>
  <si>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</si>
  <si>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</si>
  <si>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</si>
  <si>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</si>
  <si>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</si>
  <si>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</si>
  <si>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</si>
  <si>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</si>
  <si>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</si>
  <si>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</si>
  <si>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</si>
  <si>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</si>
  <si>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</si>
  <si>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</si>
  <si>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</si>
  <si>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</si>
  <si>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</si>
  <si>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</si>
  <si>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</si>
  <si>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</si>
  <si>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</si>
  <si>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</si>
  <si>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</si>
  <si>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</si>
  <si>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</si>
  <si>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</si>
  <si>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</si>
  <si>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</si>
  <si>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</si>
  <si>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</si>
  <si>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</si>
  <si>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</si>
  <si>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</si>
  <si>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</si>
  <si>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</si>
  <si>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</si>
  <si>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</si>
  <si>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</si>
  <si>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</si>
  <si>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</si>
  <si>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</si>
  <si>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</si>
  <si>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</si>
  <si>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</si>
  <si>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</si>
  <si>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</si>
  <si>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</si>
  <si>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</si>
  <si>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</si>
  <si>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</si>
  <si>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</si>
  <si>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</si>
  <si>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</si>
  <si>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</si>
  <si>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</si>
  <si>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</si>
  <si>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</si>
  <si>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</si>
  <si>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</si>
  <si>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</si>
  <si>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</si>
  <si>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</si>
  <si>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</si>
  <si>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</si>
  <si>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</si>
  <si>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</si>
  <si>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</si>
  <si>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</si>
  <si>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</si>
  <si>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</si>
  <si>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</si>
  <si>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</si>
  <si>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</si>
  <si>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</si>
  <si>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</si>
  <si>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</si>
  <si>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</si>
  <si>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</si>
  <si>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</si>
  <si>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</si>
  <si>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</si>
  <si>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</si>
  <si>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</si>
  <si>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</si>
  <si>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</si>
  <si>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</si>
  <si>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</si>
  <si>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</si>
  <si>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</si>
  <si>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</si>
  <si>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</si>
  <si>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</si>
  <si>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</si>
  <si>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</si>
  <si>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</si>
  <si>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</si>
  <si>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</si>
  <si>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</si>
  <si>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</si>
  <si>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</si>
  <si>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</si>
  <si>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</si>
  <si>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</si>
  <si>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</si>
  <si>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</si>
  <si>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</si>
  <si>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</si>
  <si>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</si>
  <si>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</si>
  <si>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</si>
  <si>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</si>
  <si>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</si>
  <si>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</si>
  <si>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</si>
  <si>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</si>
  <si>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</si>
  <si>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</si>
  <si>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</si>
  <si>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</si>
  <si>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</si>
  <si>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</si>
  <si>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</si>
  <si>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</si>
  <si>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</si>
  <si>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</si>
  <si>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</si>
  <si>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</si>
  <si>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</si>
  <si>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</si>
  <si>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</si>
  <si>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</si>
  <si>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</si>
  <si>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</si>
  <si>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</si>
  <si>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</si>
  <si>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</si>
  <si>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</si>
  <si>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</si>
  <si>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</si>
  <si>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</si>
  <si>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</si>
  <si>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</si>
  <si>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</si>
  <si>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</si>
  <si>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</si>
  <si>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</si>
  <si>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</si>
  <si>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</si>
  <si>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</si>
  <si>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</si>
  <si>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</si>
  <si>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</si>
  <si>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</si>
  <si>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</si>
  <si>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</si>
  <si>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</si>
  <si>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</si>
  <si>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</si>
  <si>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</si>
  <si>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</si>
  <si>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</si>
  <si>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</si>
  <si>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</si>
  <si>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</si>
  <si>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</si>
  <si>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</si>
  <si>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</si>
  <si>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</si>
  <si>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</si>
  <si>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</si>
  <si>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</si>
  <si>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</si>
  <si>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</si>
  <si>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</si>
  <si>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</si>
  <si>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</si>
  <si>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</si>
  <si>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</si>
  <si>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</si>
  <si>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</si>
  <si>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</si>
  <si>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</si>
  <si>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</si>
  <si>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</si>
  <si>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</si>
  <si>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</si>
  <si>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</si>
  <si>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</si>
  <si>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</si>
  <si>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</si>
  <si>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</si>
  <si>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</si>
  <si>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</si>
  <si>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</si>
  <si>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</si>
  <si>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</si>
  <si>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</si>
  <si>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</si>
  <si>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</si>
  <si>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</si>
  <si>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</si>
  <si>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</si>
  <si>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</si>
  <si>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</si>
  <si>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</si>
  <si>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</si>
  <si>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</si>
  <si>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</si>
  <si>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</si>
  <si>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</si>
  <si>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</si>
  <si>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</si>
  <si>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</si>
  <si>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</si>
  <si>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</si>
  <si>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</si>
  <si>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</si>
  <si>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</si>
  <si>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</si>
  <si>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</si>
  <si>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</si>
  <si>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</si>
  <si>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</si>
  <si>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</si>
  <si>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</si>
  <si>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</si>
  <si>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</si>
  <si>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</si>
  <si>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</si>
  <si>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</si>
  <si>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</si>
  <si>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</si>
  <si>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</si>
  <si>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</si>
  <si>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</si>
  <si>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</si>
  <si>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</si>
  <si>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</si>
  <si>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</si>
  <si>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</si>
  <si>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</si>
  <si>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</si>
  <si>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</si>
  <si>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</si>
  <si>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</si>
  <si>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</si>
  <si>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</si>
  <si>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</si>
  <si>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</si>
  <si>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</si>
  <si>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</si>
  <si>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</si>
  <si>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</si>
  <si>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</si>
  <si>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</si>
  <si>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</si>
  <si>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</si>
  <si>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</si>
  <si>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</si>
  <si>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</si>
  <si>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</si>
  <si>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</si>
  <si>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</si>
  <si>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</si>
  <si>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</si>
  <si>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</si>
  <si>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</si>
  <si>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</si>
  <si>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</si>
  <si>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</si>
  <si>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</si>
  <si>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</si>
  <si>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</si>
  <si>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</si>
  <si>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</si>
  <si>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</si>
  <si>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</si>
  <si>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</si>
  <si>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</si>
  <si>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</si>
  <si>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</si>
  <si>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</si>
  <si>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</si>
  <si>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</si>
  <si>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</si>
  <si>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</si>
  <si>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</si>
  <si>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</si>
  <si>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</si>
  <si>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</si>
  <si>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</si>
  <si>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</si>
  <si>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</si>
  <si>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</si>
  <si>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</si>
  <si>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</si>
  <si>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</si>
  <si>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</si>
  <si>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</si>
  <si>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</si>
  <si>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</si>
  <si>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</si>
  <si>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</si>
  <si>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</si>
  <si>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</si>
  <si>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</si>
  <si>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</si>
  <si>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</si>
  <si>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</si>
  <si>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</si>
  <si>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</si>
  <si>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</si>
  <si>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</si>
  <si>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</si>
  <si>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</si>
  <si>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</si>
  <si>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</si>
  <si>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</si>
  <si>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</si>
  <si>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</si>
  <si>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</si>
  <si>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</si>
  <si>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</si>
  <si>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</si>
  <si>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</si>
  <si>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</si>
  <si>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</si>
  <si>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</si>
  <si>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</si>
  <si>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</si>
  <si>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</si>
  <si>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</si>
  <si>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</si>
  <si>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</si>
  <si>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</si>
  <si>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</si>
  <si>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</si>
  <si>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</si>
  <si>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</si>
  <si>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</si>
  <si>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</si>
  <si>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</si>
  <si>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</si>
  <si>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</si>
  <si>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</si>
  <si>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</si>
  <si>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</si>
  <si>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</si>
  <si>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</si>
  <si>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</si>
  <si>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</si>
  <si>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</si>
  <si>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</si>
  <si>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</si>
  <si>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</si>
  <si>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</si>
  <si>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</si>
  <si>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</si>
  <si>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</si>
  <si>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</si>
  <si>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</si>
  <si>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</si>
  <si>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</si>
  <si>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</si>
  <si>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</si>
  <si>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</si>
  <si>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</si>
  <si>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</si>
  <si>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</si>
  <si>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</si>
  <si>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</si>
  <si>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</si>
  <si>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</si>
  <si>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</si>
  <si>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</si>
  <si>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</si>
  <si>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</si>
  <si>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</si>
  <si>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</si>
  <si>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</si>
  <si>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</si>
  <si>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</si>
  <si>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</si>
  <si>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</si>
  <si>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</si>
  <si>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</si>
  <si>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</si>
  <si>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</si>
  <si>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</si>
  <si>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</si>
  <si>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</si>
  <si>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</si>
  <si>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</si>
  <si>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</si>
  <si>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</si>
  <si>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</si>
  <si>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</si>
  <si>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</si>
  <si>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</si>
  <si>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</si>
  <si>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</si>
  <si>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</si>
  <si>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</si>
  <si>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</si>
  <si>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</si>
  <si>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</si>
  <si>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</si>
  <si>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</si>
  <si>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</si>
  <si>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</si>
  <si>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</si>
  <si>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</si>
  <si>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</si>
  <si>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</si>
  <si>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</si>
  <si>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</si>
  <si>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</si>
  <si>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</si>
  <si>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</si>
  <si>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</si>
  <si>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</si>
  <si>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</si>
  <si>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</si>
  <si>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</si>
  <si>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</si>
  <si>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</si>
  <si>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</si>
  <si>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</si>
  <si>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</si>
  <si>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</si>
  <si>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</si>
  <si>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</si>
  <si>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</si>
  <si>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</si>
  <si>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</si>
  <si>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</si>
  <si>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</si>
  <si>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</si>
  <si>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</si>
  <si>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</si>
  <si>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</si>
  <si>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</si>
  <si>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</si>
  <si>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</si>
  <si>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</si>
  <si>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</si>
  <si>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</si>
  <si>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</si>
  <si>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</si>
  <si>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</si>
  <si>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</si>
  <si>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</si>
  <si>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</si>
  <si>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</si>
  <si>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</si>
  <si>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</si>
  <si>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</si>
  <si>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</si>
  <si>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</si>
  <si>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</si>
  <si>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</si>
  <si>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</si>
  <si>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</si>
  <si>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</si>
  <si>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</si>
  <si>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</si>
  <si>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</si>
  <si>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</si>
  <si>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</si>
  <si>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</si>
  <si>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</si>
  <si>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</si>
  <si>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</si>
  <si>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</si>
  <si>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</si>
  <si>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</si>
  <si>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</si>
  <si>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</si>
  <si>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</si>
  <si>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</si>
  <si>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</si>
  <si>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</si>
  <si>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</si>
  <si>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</si>
  <si>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</si>
  <si>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</si>
  <si>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</si>
  <si>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</si>
  <si>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</si>
  <si>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</si>
  <si>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</si>
  <si>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</si>
  <si>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</si>
  <si>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</si>
  <si>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</si>
  <si>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</si>
  <si>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</si>
  <si>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</si>
  <si>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</si>
  <si>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</si>
  <si>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</si>
  <si>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</si>
  <si>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</si>
  <si>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</si>
  <si>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</si>
  <si>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</si>
  <si>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</si>
  <si>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</si>
  <si>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</si>
  <si>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</si>
  <si>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</si>
  <si>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</si>
  <si>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</si>
  <si>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</si>
  <si>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</si>
  <si>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</si>
  <si>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</si>
  <si>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</si>
  <si>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</si>
  <si>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</si>
  <si>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</si>
  <si>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</si>
  <si>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</si>
  <si>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</si>
  <si>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</si>
  <si>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</si>
  <si>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</si>
  <si>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</si>
  <si>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</si>
  <si>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</si>
  <si>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</si>
  <si>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</si>
  <si>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</si>
  <si>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</si>
  <si>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</si>
  <si>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</si>
  <si>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</si>
  <si>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</si>
  <si>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</si>
  <si>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</si>
  <si>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</si>
  <si>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</si>
  <si>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</si>
  <si>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</si>
  <si>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</si>
  <si>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</si>
  <si>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</si>
  <si>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</si>
  <si>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</si>
  <si>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</si>
  <si>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</si>
  <si>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</si>
  <si>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</si>
  <si>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</si>
  <si>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</si>
  <si>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</si>
  <si>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</si>
  <si>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</si>
  <si>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</si>
  <si>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</si>
  <si>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</si>
  <si>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</si>
  <si>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</si>
  <si>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</si>
  <si>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</si>
  <si>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</si>
  <si>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</si>
  <si>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</si>
  <si>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</si>
  <si>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</si>
  <si>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</si>
  <si>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</si>
  <si>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</si>
  <si>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</si>
  <si>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</si>
  <si>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</si>
  <si>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</si>
  <si>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</si>
  <si>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</si>
  <si>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</si>
  <si>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</si>
  <si>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</si>
  <si>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</si>
  <si>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</si>
  <si>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</si>
  <si>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</si>
  <si>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</si>
  <si>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</si>
  <si>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</si>
  <si>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</si>
  <si>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</si>
  <si>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</si>
  <si>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</si>
  <si>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</si>
  <si>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</si>
  <si>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</si>
  <si>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</si>
  <si>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</si>
  <si>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</si>
  <si>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</si>
  <si>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</si>
  <si>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</si>
  <si>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</si>
  <si>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</si>
  <si>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</si>
  <si>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</si>
  <si>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</si>
  <si>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</si>
  <si>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</si>
  <si>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</si>
  <si>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</si>
  <si>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</si>
  <si>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</si>
  <si>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</si>
  <si>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</si>
  <si>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</si>
  <si>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</si>
  <si>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</si>
  <si>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</si>
  <si>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</si>
  <si>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</si>
  <si>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</si>
  <si>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</si>
  <si>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</si>
  <si>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</si>
  <si>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</si>
  <si>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</si>
  <si>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</si>
  <si>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</si>
  <si>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</si>
  <si>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</si>
  <si>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</si>
  <si>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</si>
  <si>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</si>
  <si>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</si>
  <si>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</si>
  <si>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</si>
  <si>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</si>
  <si>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</si>
  <si>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</si>
  <si>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</si>
  <si>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</si>
  <si>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</si>
  <si>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</si>
  <si>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</si>
  <si>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</si>
  <si>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</si>
  <si>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</si>
  <si>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</si>
  <si>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</si>
  <si>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</si>
  <si>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</si>
  <si>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</si>
  <si>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</si>
  <si>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</si>
  <si>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</si>
  <si>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</si>
  <si>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</si>
  <si>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</si>
  <si>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</si>
  <si>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</si>
  <si>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</si>
  <si>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</si>
  <si>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</si>
  <si>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</si>
  <si>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</si>
  <si>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</si>
  <si>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</si>
  <si>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</si>
  <si>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</si>
  <si>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</si>
  <si>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</si>
  <si>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</si>
  <si>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</si>
  <si>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</si>
  <si>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</si>
  <si>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</si>
  <si>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</si>
  <si>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</si>
  <si>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</si>
  <si>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</si>
  <si>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</si>
  <si>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</si>
  <si>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</si>
  <si>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</si>
  <si>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</si>
  <si>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</si>
  <si>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</si>
  <si>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</si>
  <si>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</si>
  <si>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</si>
  <si>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</si>
  <si>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</si>
  <si>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</si>
  <si>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</si>
  <si>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</si>
  <si>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</si>
  <si>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</si>
  <si>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</si>
  <si>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</si>
  <si>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</si>
  <si>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</si>
  <si>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</si>
  <si>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</si>
  <si>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</si>
  <si>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</si>
  <si>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</si>
  <si>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</si>
  <si>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</si>
  <si>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</si>
  <si>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</si>
  <si>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</si>
  <si>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</si>
  <si>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</si>
  <si>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</si>
  <si>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</si>
  <si>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</si>
  <si>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</si>
  <si>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</si>
  <si>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</si>
  <si>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</si>
  <si>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</si>
  <si>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</si>
  <si>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</si>
  <si>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</si>
  <si>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</si>
  <si>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</si>
  <si>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</si>
  <si>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</si>
  <si>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</si>
  <si>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</si>
  <si>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</si>
  <si>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</si>
  <si>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</si>
  <si>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</si>
  <si>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</si>
  <si>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</si>
  <si>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</si>
  <si>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</si>
  <si>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</si>
  <si>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</si>
  <si>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</si>
  <si>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</si>
  <si>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</si>
  <si>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</si>
  <si>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</si>
  <si>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</si>
  <si>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</si>
  <si>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</si>
  <si>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</si>
  <si>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</si>
  <si>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</si>
  <si>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</si>
  <si>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</si>
  <si>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</si>
  <si>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</si>
  <si>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</si>
  <si>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</si>
  <si>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</si>
  <si>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</si>
  <si>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</si>
  <si>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</si>
  <si>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</si>
  <si>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</si>
  <si>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</si>
  <si>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</si>
  <si>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</si>
  <si>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</si>
  <si>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</si>
  <si>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</si>
  <si>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</si>
  <si>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</si>
  <si>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</si>
  <si>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</si>
  <si>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</si>
  <si>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</si>
  <si>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</si>
  <si>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</si>
  <si>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</si>
  <si>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</si>
  <si>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</si>
  <si>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</si>
  <si>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</si>
  <si>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</si>
  <si>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</si>
  <si>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</si>
  <si>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</si>
  <si>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</si>
  <si>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</si>
  <si>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</si>
  <si>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</si>
  <si>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</si>
  <si>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</si>
  <si>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</si>
  <si>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</si>
  <si>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</si>
  <si>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</si>
  <si>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</si>
  <si>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</si>
  <si>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</si>
  <si>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</si>
  <si>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</si>
  <si>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</si>
  <si>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</si>
  <si>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</si>
  <si>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</si>
  <si>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</si>
  <si>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</si>
  <si>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</si>
  <si>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</si>
  <si>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</si>
  <si>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</si>
  <si>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</si>
  <si>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</si>
  <si>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</si>
  <si>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</si>
  <si>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</si>
  <si>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</si>
  <si>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</si>
  <si>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</si>
  <si>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</si>
  <si>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</si>
  <si>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</si>
  <si>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</si>
  <si>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</si>
  <si>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</si>
  <si>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</si>
  <si>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</si>
  <si>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</si>
  <si>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</si>
  <si>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</si>
  <si>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</si>
  <si>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</si>
  <si>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</si>
  <si>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</si>
  <si>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</si>
  <si>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</si>
  <si>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</si>
  <si>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</si>
  <si>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</si>
  <si>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</si>
  <si>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</si>
  <si>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</si>
  <si>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</si>
  <si>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</si>
  <si>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</si>
  <si>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</si>
  <si>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</si>
  <si>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</si>
  <si>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</si>
  <si>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</si>
  <si>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</si>
  <si>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</si>
  <si>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</si>
  <si>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</si>
  <si>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</si>
  <si>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</si>
  <si>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</si>
  <si>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</si>
  <si>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</si>
  <si>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</si>
  <si>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</si>
  <si>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</si>
  <si>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</si>
  <si>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</si>
  <si>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</si>
  <si>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</si>
  <si>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</si>
  <si>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</si>
  <si>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</si>
  <si>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</si>
  <si>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</si>
  <si>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</si>
  <si>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</si>
  <si>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</si>
  <si>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</si>
  <si>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</si>
  <si>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</si>
  <si>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</si>
  <si>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</si>
  <si>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</si>
  <si>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</si>
  <si>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</si>
  <si>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</si>
  <si>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</si>
  <si>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</si>
  <si>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</si>
  <si>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</si>
  <si>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</si>
  <si>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</si>
  <si>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</si>
  <si>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</si>
  <si>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</si>
  <si>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</si>
  <si>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</si>
  <si>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</si>
  <si>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</si>
  <si>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</si>
  <si>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</si>
  <si>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</si>
  <si>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</si>
  <si>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</si>
  <si>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</si>
  <si>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</si>
  <si>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</si>
  <si>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</si>
  <si>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</si>
  <si>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</si>
  <si>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</si>
  <si>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</si>
  <si>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</si>
  <si>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</si>
  <si>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</si>
  <si>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</si>
  <si>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</si>
  <si>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</si>
  <si>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</si>
  <si>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</si>
  <si>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</si>
  <si>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</si>
  <si>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</si>
  <si>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</si>
  <si>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</si>
  <si>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</si>
  <si>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</si>
  <si>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</si>
  <si>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</si>
  <si>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</si>
  <si>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</si>
  <si>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</si>
  <si>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</si>
  <si>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</si>
  <si>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</si>
  <si>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</si>
  <si>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</si>
  <si>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</si>
  <si>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</si>
  <si>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</si>
  <si>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</si>
  <si>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</si>
  <si>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</si>
  <si>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</si>
  <si>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</si>
  <si>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</si>
  <si>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</si>
  <si>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</si>
  <si>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</si>
  <si>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</si>
  <si>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</si>
  <si>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</si>
  <si>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</si>
  <si>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</si>
  <si>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</si>
  <si>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</si>
  <si>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</si>
  <si>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</si>
  <si>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</si>
  <si>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</si>
  <si>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</si>
  <si>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</si>
  <si>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</si>
  <si>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</si>
  <si>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</si>
  <si>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</si>
  <si>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</si>
  <si>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</si>
  <si>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</si>
  <si>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</si>
  <si>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</si>
  <si>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</si>
  <si>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</si>
  <si>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</si>
  <si>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</si>
  <si>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</si>
  <si>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</si>
  <si>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</si>
  <si>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</si>
  <si>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</si>
  <si>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</si>
  <si>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</si>
  <si>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</si>
  <si>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</si>
  <si>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</si>
  <si>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</si>
  <si>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</si>
  <si>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</si>
  <si>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</si>
  <si>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</si>
  <si>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</si>
  <si>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</si>
  <si>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</si>
  <si>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</si>
  <si>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</si>
  <si>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</si>
  <si>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</si>
  <si>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</si>
  <si>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</si>
  <si>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</si>
  <si>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</si>
  <si>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</si>
  <si>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</si>
  <si>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</si>
  <si>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</si>
  <si>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</si>
  <si>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</si>
  <si>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</si>
  <si>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</si>
  <si>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</si>
  <si>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</si>
  <si>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</si>
  <si>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</si>
  <si>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</si>
  <si>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</si>
  <si>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</si>
  <si>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</si>
  <si>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</si>
  <si>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</si>
  <si>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</si>
  <si>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</si>
  <si>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</si>
  <si>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</si>
  <si>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</si>
  <si>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</si>
  <si>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</si>
  <si>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</si>
  <si>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</si>
  <si>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</si>
  <si>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</si>
  <si>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</si>
  <si>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</si>
  <si>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</si>
  <si>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</si>
  <si>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</si>
  <si>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</si>
  <si>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</si>
  <si>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</si>
  <si>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</si>
  <si>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</si>
  <si>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</si>
  <si>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</si>
  <si>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</si>
  <si>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</si>
  <si>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</si>
  <si>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</si>
  <si>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</si>
  <si>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</si>
  <si>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</si>
  <si>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</si>
  <si>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</si>
  <si>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</si>
  <si>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</si>
  <si>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</si>
  <si>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</si>
  <si>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</si>
  <si>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</si>
  <si>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</si>
  <si>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</si>
  <si>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</si>
  <si>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</si>
  <si>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</si>
  <si>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</si>
  <si>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</si>
  <si>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</si>
  <si>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</si>
  <si>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</si>
  <si>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</si>
  <si>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</si>
  <si>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</si>
  <si>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</si>
  <si>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</si>
  <si>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</si>
  <si>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</si>
  <si>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</si>
  <si>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</si>
  <si>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</si>
  <si>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</si>
  <si>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</si>
  <si>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</si>
  <si>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</si>
  <si>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</si>
  <si>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</si>
  <si>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</si>
  <si>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</si>
  <si>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</si>
  <si>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</si>
  <si>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</si>
  <si>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</si>
  <si>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</si>
  <si>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</si>
  <si>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</si>
  <si>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</si>
  <si>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</si>
  <si>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</si>
  <si>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</si>
  <si>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</si>
  <si>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</si>
  <si>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</si>
  <si>
    <t>必要レベル</t>
  </si>
  <si>
    <t>習得ポイント</t>
  </si>
  <si>
    <t>再使用時間秒</t>
  </si>
  <si>
    <t>詠唱時間秒</t>
  </si>
  <si>
    <t>共通待機時間秒</t>
  </si>
  <si>
    <t>射程</t>
  </si>
  <si>
    <t>対象</t>
  </si>
  <si>
    <t>基本効果</t>
  </si>
  <si>
    <t>参照能力</t>
  </si>
  <si>
    <t>倍率</t>
  </si>
  <si>
    <t>固定値</t>
  </si>
  <si>
    <t>会心有効</t>
  </si>
  <si>
    <t>適用先</t>
  </si>
  <si>
    <t>範囲半径</t>
  </si>
  <si>
    <t>命中上限</t>
  </si>
  <si>
    <t>発動形式</t>
  </si>
  <si>
    <t>発射物速度</t>
  </si>
  <si>
    <t>発射物寿命秒</t>
  </si>
  <si>
    <t>追尾</t>
  </si>
  <si>
    <t>画像パス</t>
  </si>
  <si>
    <t>演出パス</t>
  </si>
  <si>
    <t>追加効果1_種別</t>
  </si>
  <si>
    <t>追加効果1_対象能力</t>
  </si>
  <si>
    <t>追加効果1_変化方式</t>
  </si>
  <si>
    <t>追加効果1_効果量</t>
  </si>
  <si>
    <t>追加効果1_持続秒</t>
  </si>
  <si>
    <t>追加効果1_付与確率％</t>
  </si>
  <si>
    <t>追加効果1_状態異常</t>
  </si>
  <si>
    <t>追加効果1_継続間隔秒</t>
  </si>
  <si>
    <t>追加効果1_重複方式</t>
  </si>
  <si>
    <t>追加効果1_重複上限</t>
  </si>
  <si>
    <t>追加効果2_種別</t>
  </si>
  <si>
    <t>追加効果2_対象能力</t>
  </si>
  <si>
    <t>追加効果2_変化方式</t>
  </si>
  <si>
    <t>追加効果2_効果量</t>
  </si>
  <si>
    <t>追加効果2_持続秒</t>
  </si>
  <si>
    <t>追加効果2_付与確率％</t>
  </si>
  <si>
    <t>追加効果2_状態異常</t>
  </si>
  <si>
    <t>追加効果2_継続間隔秒</t>
  </si>
  <si>
    <t>追加効果2_重複方式</t>
  </si>
  <si>
    <t>追加効果2_重複上限</t>
  </si>
  <si>
    <t>追加効果3_種別</t>
  </si>
  <si>
    <t>追加効果3_対象能力</t>
  </si>
  <si>
    <t>追加効果3_変化方式</t>
  </si>
  <si>
    <t>追加効果3_効果量</t>
  </si>
  <si>
    <t>追加効果3_持続秒</t>
  </si>
  <si>
    <t>追加効果3_付与確率％</t>
  </si>
  <si>
    <t>追加効果3_状態異常</t>
  </si>
  <si>
    <t>追加効果3_継続間隔秒</t>
  </si>
  <si>
    <t>追加効果3_重複方式</t>
  </si>
  <si>
    <t>追加効果3_重複上限</t>
  </si>
  <si>
    <t>発射物速度入力</t>
  </si>
  <si>
    <t>発射物寿命入力秒</t>
  </si>
  <si>
    <t>追尾入力</t>
  </si>
  <si>
    <t>ファイアボール</t>
  </si>
  <si>
    <t>敵一体へ火属性の魔弾を放つ</t>
  </si>
  <si>
    <t>敵一体</t>
  </si>
  <si>
    <t>ダメージ</t>
  </si>
  <si>
    <t>魔法攻撃力</t>
  </si>
  <si>
    <t>火</t>
  </si>
  <si>
    <t>有効</t>
  </si>
  <si>
    <t>選択対象</t>
  </si>
  <si>
    <t>発射物</t>
  </si>
  <si>
    <t>なし</t>
  </si>
  <si>
    <t>時間更新</t>
  </si>
  <si>
    <t>ヒーリング</t>
  </si>
  <si>
    <t>自分または味方一体の体力を回復する</t>
  </si>
  <si>
    <t>味方一体</t>
  </si>
  <si>
    <t>回復</t>
  </si>
  <si>
    <t>使用者と同じ</t>
  </si>
  <si>
    <t>無効</t>
  </si>
  <si>
    <t>即時</t>
  </si>
  <si>
    <t>衝撃波</t>
  </si>
  <si>
    <t>自身の周囲の敵に物理ダメージ</t>
  </si>
  <si>
    <t>自身中心</t>
  </si>
  <si>
    <t>攻撃力</t>
  </si>
  <si>
    <t>範囲内の敵</t>
  </si>
  <si>
    <t>剛力の加護</t>
  </si>
  <si>
    <t>味方一体の攻撃力を20％上昇</t>
  </si>
  <si>
    <t>バフ</t>
  </si>
  <si>
    <t>割合変化</t>
  </si>
  <si>
    <t>疾風の光弾</t>
  </si>
  <si>
    <t>味方へ命中すると移動速度が30％上昇</t>
  </si>
  <si>
    <t>破甲弾</t>
  </si>
  <si>
    <t>敵に命中すると防御力が20％低下</t>
  </si>
  <si>
    <t>デバフ</t>
  </si>
  <si>
    <t>防御力</t>
  </si>
  <si>
    <t>鈍足の陣</t>
  </si>
  <si>
    <t>周囲の敵の移動速度を30％低下</t>
  </si>
  <si>
    <t>毒弾</t>
  </si>
  <si>
    <t>命中時に毒。最大体力の1％を2秒ごとに与える</t>
  </si>
  <si>
    <t>状態異常</t>
  </si>
  <si>
    <t>最大体力割合</t>
  </si>
  <si>
    <t>毒</t>
  </si>
  <si>
    <t>灼熱弾</t>
  </si>
  <si>
    <t>火傷により固定50ダメージを1秒ごとに与える</t>
  </si>
  <si>
    <t>固定ダメージ</t>
  </si>
  <si>
    <t>火傷</t>
  </si>
  <si>
    <t>凍結弾</t>
  </si>
  <si>
    <t>命中時に3秒間凍結させる</t>
  </si>
  <si>
    <t>水</t>
  </si>
  <si>
    <t>凍結</t>
  </si>
  <si>
    <t>封魔</t>
  </si>
  <si>
    <t>敵一体のスキル使用を5秒間封じる</t>
  </si>
  <si>
    <t>沈黙</t>
  </si>
  <si>
    <t>腐食毒弾</t>
  </si>
  <si>
    <t>ダメージと同時に防御力低下と毒を付与</t>
  </si>
  <si>
    <t>消費MP</t>
  </si>
  <si>
    <t>発射物プレファブパス</t>
  </si>
  <si>
    <t>発射物_貫通</t>
  </si>
  <si>
    <t>発射物_回転</t>
  </si>
  <si>
    <t>発射物_回転速度</t>
  </si>
  <si>
    <t>発射物_蛇行</t>
  </si>
  <si>
    <t>発射物_蛇行幅</t>
  </si>
  <si>
    <t>発射物_蛇行回数</t>
  </si>
  <si>
    <t>発射物_加速</t>
  </si>
  <si>
    <t>発射物_加速度</t>
  </si>
  <si>
    <t>発射物_最高速度</t>
  </si>
  <si>
    <t>発射物_命中半径</t>
  </si>
  <si>
    <t>発射物_移動タイプ</t>
  </si>
  <si>
    <t>発射物_追尾旋回速度</t>
  </si>
  <si>
    <t>発射物_拡大速度</t>
  </si>
  <si>
    <t>発射物_最大拡大倍率</t>
  </si>
  <si>
    <t>発射物_直進秒</t>
  </si>
  <si>
    <t>発射物_帰還速度</t>
  </si>
  <si>
    <t>発射物_周回秒</t>
  </si>
  <si>
    <t>発射物_周回半径</t>
  </si>
  <si>
    <t>発射物_周回角速度</t>
  </si>
  <si>
    <t>発射物_追尾開始秒</t>
  </si>
  <si>
    <t>発射物_螺旋角速度</t>
  </si>
  <si>
    <t>発射物_螺旋拡大速度</t>
  </si>
  <si>
    <t>発射物_往復距離</t>
  </si>
  <si>
    <t>発射物_反転回数</t>
  </si>
  <si>
    <t>発射物_反転終了で消滅</t>
  </si>
  <si>
    <t>発射物_使用者に追従</t>
  </si>
  <si>
    <t>発射物_再命中</t>
  </si>
  <si>
    <t>発射物_再命中間隔秒</t>
  </si>
  <si>
    <t>発射物_収束秒</t>
  </si>
  <si>
    <t>発射物_収束最大拡大倍率</t>
  </si>
  <si>
    <t>発射物_収束最大威力倍率</t>
  </si>
  <si>
    <t>発射物_時間切替</t>
  </si>
  <si>
    <t>発射物_切替秒</t>
  </si>
  <si>
    <t>発射物_切替後移動タイプ</t>
  </si>
  <si>
    <t>発射物_切替後速度</t>
  </si>
  <si>
    <t>発射物_連鎖</t>
  </si>
  <si>
    <t>発射物_連鎖回数</t>
  </si>
  <si>
    <t>発射物_連鎖半径</t>
  </si>
  <si>
    <t>発射物_連鎖威力倍率</t>
  </si>
  <si>
    <t>発射物_分裂</t>
  </si>
  <si>
    <t>発射物_子弾数</t>
  </si>
  <si>
    <t>発射物_分裂角度</t>
  </si>
  <si>
    <t>発射物_子弾威力倍率</t>
  </si>
  <si>
    <t>発射物_分裂世代数</t>
  </si>
  <si>
    <t>発射物_命中時爆発</t>
  </si>
  <si>
    <t>発射物_停止時爆発</t>
  </si>
  <si>
    <t>発射物_爆発半径</t>
  </si>
  <si>
    <t>発射物_爆発表示秒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</si>
  <si>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</si>
  <si>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</si>
  <si>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</si>
  <si>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</si>
  <si>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</si>
  <si>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</si>
  <si>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</si>
  <si>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</si>
  <si>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</si>
  <si>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</si>
  <si>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</si>
  <si>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</si>
  <si>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発射物_表示倍率</t>
  </si>
  <si>
    <t>発射物_色</t>
  </si>
  <si>
    <t>発射物_描画順</t>
  </si>
  <si>
    <t>発射物_画像角度</t>
  </si>
  <si>
    <t>直進</t>
  </si>
  <si>
    <t>#FFFFFFFF</t>
  </si>
  <si>
    <t>1;2;3;4;5;6;7;8;9;10;12;11</t>
  </si>
  <si>
    <t>スキル種別</t>
  </si>
  <si>
    <t>生成位置</t>
  </si>
  <si>
    <t>追従先</t>
  </si>
  <si>
    <t>効果発生タイミング</t>
  </si>
  <si>
    <t>効果間隔秒</t>
  </si>
  <si>
    <t>パッシブ1_効果</t>
  </si>
  <si>
    <t>パッシブ1_効果量</t>
  </si>
  <si>
    <t>パッシブ2_効果</t>
  </si>
  <si>
    <t>パッシブ2_効果量</t>
  </si>
  <si>
    <t>パッシブ3_効果</t>
  </si>
  <si>
    <t>パッシブ3_効果量</t>
  </si>
  <si>
    <t>アクティブ</t>
  </si>
  <si>
    <t>使用者</t>
  </si>
  <si>
    <t>追従なし</t>
  </si>
  <si>
    <t>命中時</t>
  </si>
  <si>
    <t>その場</t>
  </si>
  <si>
    <t>生成時</t>
  </si>
  <si>
    <t>13</t>
  </si>
  <si>
    <t>最大HP＋10％</t>
  </si>
  <si>
    <t>枠にセット中のみ有効。</t>
  </si>
  <si>
    <t>自身</t>
  </si>
  <si>
    <t>パッシブ</t>
  </si>
  <si>
    <t>最大HP</t>
  </si>
  <si>
    <t>14</t>
  </si>
  <si>
    <t>最大MP＋10％</t>
  </si>
  <si>
    <t>最大MP</t>
  </si>
  <si>
    <t>15</t>
  </si>
  <si>
    <t>攻撃力＋10％</t>
  </si>
  <si>
    <t>16</t>
  </si>
  <si>
    <t>魔法攻撃力＋10％</t>
  </si>
  <si>
    <t>17</t>
  </si>
  <si>
    <t>防御力＋10％</t>
  </si>
  <si>
    <t>18</t>
  </si>
  <si>
    <t>魔法防御力＋10％</t>
  </si>
  <si>
    <t>魔法防御力</t>
  </si>
  <si>
    <t>19</t>
  </si>
  <si>
    <t>移動速度＋10％</t>
  </si>
  <si>
    <t>20</t>
  </si>
  <si>
    <t>攻撃速度＋10％</t>
  </si>
  <si>
    <t>21</t>
  </si>
  <si>
    <t>攻撃範囲＋10％</t>
  </si>
  <si>
    <t>22</t>
  </si>
  <si>
    <t>会心率＋10％</t>
  </si>
  <si>
    <t>会心率</t>
  </si>
  <si>
    <t>23</t>
  </si>
  <si>
    <t>会心倍率＋10％</t>
  </si>
  <si>
    <t>会心倍率</t>
  </si>
  <si>
    <t>24</t>
  </si>
  <si>
    <t>素材ドロップ率＋10％</t>
  </si>
  <si>
    <t>素材ドロップ率</t>
  </si>
  <si>
    <t>25</t>
  </si>
  <si>
    <t>装備ドロップ率＋10％</t>
  </si>
  <si>
    <t>装備ドロップ率</t>
  </si>
  <si>
    <t>26</t>
  </si>
  <si>
    <t>火属性耐性＋10％</t>
  </si>
  <si>
    <t>火属性耐性</t>
  </si>
  <si>
    <t>27</t>
  </si>
  <si>
    <t>水属性耐性＋10％</t>
  </si>
  <si>
    <t>水属性耐性</t>
  </si>
  <si>
    <t>28</t>
  </si>
  <si>
    <t>風属性耐性＋10％</t>
  </si>
  <si>
    <t>風属性耐性</t>
  </si>
  <si>
    <t>29</t>
  </si>
  <si>
    <t>雷属性耐性＋10％</t>
  </si>
  <si>
    <t>雷属性耐性</t>
  </si>
  <si>
    <t>30</t>
  </si>
  <si>
    <t>光属性耐性＋10％</t>
  </si>
  <si>
    <t>光属性耐性</t>
  </si>
  <si>
    <t>31</t>
  </si>
  <si>
    <t>闇属性耐性＋10％</t>
  </si>
  <si>
    <t>闇属性耐性</t>
  </si>
  <si>
    <t>32</t>
  </si>
  <si>
    <t>全属性耐性＋10％</t>
  </si>
  <si>
    <t>全属性耐性</t>
  </si>
  <si>
    <t>33</t>
  </si>
  <si>
    <t>近接攻撃タイプに変更</t>
  </si>
  <si>
    <t>通常攻撃の方式を変更。両方装着時は後ろの枠を優先。</t>
  </si>
  <si>
    <t>近接攻撃タイプ</t>
  </si>
  <si>
    <t>34</t>
  </si>
  <si>
    <t>遠距離攻撃タイプに変更</t>
  </si>
  <si>
    <t>遠距離攻撃タイプ</t>
  </si>
  <si>
    <t>35</t>
  </si>
  <si>
    <t>配合確率＋10％</t>
  </si>
  <si>
    <t>配合確率</t>
  </si>
  <si>
    <t>36</t>
  </si>
  <si>
    <t>武器取得数＋1</t>
  </si>
  <si>
    <t>武器取得数</t>
  </si>
  <si>
    <t>37</t>
  </si>
  <si>
    <t>称号抽選回数＋1</t>
  </si>
  <si>
    <t>称号抽選回数</t>
  </si>
  <si>
    <t>38</t>
  </si>
  <si>
    <t>敵リスポーン速度＋10％</t>
  </si>
  <si>
    <t>敵リスポーン速度</t>
  </si>
  <si>
    <t>1;2;3;4;5;6;7;8;9;10;12;11;13;14;15;16;17;18;19;20;21;22;23;24;25;26;27;28;29;30;31;32;33;34;35;36;37;38</t>
    <phoneticPr fontId="1"/>
  </si>
  <si>
    <t>発射物_画像番号</t>
  </si>
  <si>
    <t>一定間隔</t>
  </si>
  <si>
    <t>39</t>
  </si>
  <si>
    <t>使用者の位置に衝撃波を表示し、半径3の敵へ一度だけダメージを与える。</t>
  </si>
  <si>
    <t>#B4ECFFFF</t>
  </si>
  <si>
    <t>40</t>
  </si>
  <si>
    <t>炎の陣</t>
  </si>
  <si>
    <t>使用した地点に5秒残り、0.5秒ごとに半径3の敵へ火属性ダメージを与える。</t>
  </si>
  <si>
    <t>#FFAA66FF</t>
  </si>
  <si>
    <t>41</t>
  </si>
  <si>
    <t>癒しの陣</t>
  </si>
  <si>
    <t>使用した地点に5秒残り、1秒ごとに半径3の味方を回復する。</t>
  </si>
  <si>
    <t>範囲内の味方</t>
  </si>
  <si>
    <t>#8AFFBFFF</t>
  </si>
  <si>
    <t>42</t>
  </si>
  <si>
    <t>守護の陣</t>
  </si>
  <si>
    <t>使用した地点に5秒残り、1秒ごとに半径3の味方へ防御力＋30％を1.5秒付与する。</t>
  </si>
  <si>
    <t>#BDA8FFFF</t>
  </si>
  <si>
    <r>
      <rPr>
        <sz val="11"/>
        <color theme="1"/>
        <rFont val="Noto Sans JP"/>
        <family val="3"/>
        <charset val="128"/>
      </rPr>
      <t>アクティブ</t>
    </r>
  </si>
  <si>
    <r>
      <rPr>
        <sz val="11"/>
        <color theme="1"/>
        <rFont val="Noto Sans JP"/>
        <family val="3"/>
        <charset val="128"/>
      </rPr>
      <t>使用者</t>
    </r>
  </si>
  <si>
    <r>
      <rPr>
        <sz val="11"/>
        <color theme="1"/>
        <rFont val="Noto Sans JP"/>
        <family val="3"/>
        <charset val="128"/>
      </rPr>
      <t>追従なし</t>
    </r>
  </si>
  <si>
    <r>
      <rPr>
        <sz val="11"/>
        <color theme="1"/>
        <rFont val="Noto Sans JP"/>
        <family val="3"/>
        <charset val="128"/>
      </rPr>
      <t>生成時</t>
    </r>
  </si>
  <si>
    <r>
      <rPr>
        <sz val="11"/>
        <color theme="1"/>
        <rFont val="Noto Sans JP"/>
        <family val="3"/>
        <charset val="128"/>
      </rPr>
      <t>一定間隔</t>
    </r>
  </si>
  <si>
    <r>
      <rPr>
        <sz val="11"/>
        <color theme="1"/>
        <rFont val="Noto Sans JP"/>
        <family val="3"/>
        <charset val="128"/>
      </rPr>
      <t>なし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</si>
</sst>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00;[Red]\-#,##0.0000"/>
    <numFmt numFmtId="177" formatCode="0.0##"/>
  </numFmts>
  <fonts count="1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rgb="FFFFFFFF"/>
      <name val="Noto Sans JP"/>
      <family val="3"/>
      <charset val="128"/>
    </font>
    <font>
      <sz val="11"/>
      <color rgb="FF1D4F91"/>
      <name val="Noto Sans JP"/>
      <family val="3"/>
      <charset val="128"/>
    </font>
    <font>
      <sz val="11"/>
      <color rgb="FF263D5C"/>
      <name val="Noto Sans JP"/>
      <family val="3"/>
      <charset val="128"/>
    </font>
    <font>
      <sz val="11"/>
      <color rgb="FF1B3543"/>
      <name val="Noto Sans JP"/>
      <family val="3"/>
      <charset val="128"/>
    </font>
    <font>
      <sz val="11"/>
      <color theme="1"/>
      <name val="Noto Sans JP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263D5C"/>
      </patternFill>
    </fill>
    <fill>
      <patternFill patternType="solid">
        <fgColor rgb="FF35685A"/>
      </patternFill>
    </fill>
    <fill>
      <patternFill patternType="solid">
        <fgColor rgb="FF825B36"/>
      </patternFill>
    </fill>
    <fill>
      <patternFill patternType="solid">
        <fgColor rgb="FF69527E"/>
      </patternFill>
    </fill>
    <fill>
      <patternFill patternType="solid">
        <fgColor rgb="FF775C24"/>
      </patternFill>
    </fill>
    <fill>
      <patternFill patternType="solid">
        <fgColor rgb="FF365C78"/>
      </patternFill>
    </fill>
    <fill>
      <patternFill patternType="solid">
        <fgColor rgb="FFE9EDF2"/>
      </patternFill>
    </fill>
    <fill>
      <patternFill patternType="solid">
        <fgColor rgb="FFFFF0C9"/>
      </patternFill>
    </fill>
    <fill>
      <patternFill patternType="solid">
        <fgColor rgb="FF214E66"/>
      </patternFill>
    </fill>
    <fill>
      <patternFill patternType="solid">
        <fgColor rgb="FFFFF3D5"/>
      </patternFill>
    </fill>
    <fill>
      <patternFill patternType="solid">
        <fgColor rgb="FFFFF3D5"/>
        <bgColor indexed="64"/>
      </patternFill>
    </fill>
  </fills>
  <borders count="5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  <xf numFmtId="0" fontId="3" fillId="0" borderId="0"/>
  </cellStyleXfs>
  <cellXfs count="11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3" xfId="0" applyFont="1" applyBorder="1" applyAlignment="1">
      <alignment horizontal="center" vertical="center" shrinkToFit="1"/>
    </xf>
    <xf numFmtId="0" fontId="0" fillId="0" borderId="4" xfId="0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2" fillId="0" borderId="6" xfId="0" applyFont="1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2" fillId="0" borderId="9" xfId="0" applyFon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28" xfId="0" applyFont="1" applyBorder="1" applyAlignment="1">
      <alignment horizontal="center"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0" fillId="0" borderId="34" xfId="0" applyBorder="1" applyAlignment="1">
      <alignment vertical="center" shrinkToFit="1"/>
    </xf>
    <xf numFmtId="3" fontId="0" fillId="0" borderId="6" xfId="0" applyNumberFormat="1" applyBorder="1" applyAlignment="1">
      <alignment vertical="center" shrinkToFit="1"/>
    </xf>
    <xf numFmtId="176" fontId="0" fillId="0" borderId="6" xfId="2" applyNumberFormat="1" applyFont="1" applyBorder="1" applyAlignment="1">
      <alignment vertical="center" shrinkToFit="1"/>
    </xf>
    <xf numFmtId="0" fontId="2" fillId="0" borderId="15" xfId="0" applyFont="1" applyBorder="1" applyAlignment="1">
      <alignment vertical="center" shrinkToFit="1"/>
    </xf>
    <xf numFmtId="0" fontId="2" fillId="0" borderId="16" xfId="0" applyFont="1" applyBorder="1" applyAlignment="1">
      <alignment vertical="center" shrinkToFit="1"/>
    </xf>
    <xf numFmtId="0" fontId="2" fillId="0" borderId="17" xfId="0" applyFont="1" applyBorder="1" applyAlignment="1">
      <alignment vertical="center" shrinkToFit="1"/>
    </xf>
    <xf numFmtId="0" fontId="2" fillId="0" borderId="35" xfId="0" applyFont="1" applyBorder="1" applyAlignment="1">
      <alignment horizontal="center"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0" fontId="2" fillId="0" borderId="42" xfId="0" applyFont="1" applyBorder="1" applyAlignment="1">
      <alignment vertical="center" shrinkToFit="1"/>
    </xf>
    <xf numFmtId="0" fontId="0" fillId="0" borderId="43" xfId="0" applyBorder="1" applyAlignment="1">
      <alignment vertical="center" shrinkToFit="1"/>
    </xf>
    <xf numFmtId="0" fontId="0" fillId="0" borderId="44" xfId="0" applyBorder="1" applyAlignment="1">
      <alignment vertical="center" shrinkToFit="1"/>
    </xf>
    <xf numFmtId="0" fontId="0" fillId="0" borderId="45" xfId="0" applyBorder="1" applyAlignment="1">
      <alignment vertical="center" shrinkToFit="1"/>
    </xf>
    <xf numFmtId="0" fontId="0" fillId="0" borderId="46" xfId="0" applyBorder="1" applyAlignment="1">
      <alignment vertical="center" shrinkToFit="1"/>
    </xf>
    <xf numFmtId="0" fontId="0" fillId="0" borderId="47" xfId="0" applyBorder="1" applyAlignment="1">
      <alignment vertical="center" shrinkToFit="1"/>
    </xf>
    <xf numFmtId="0" fontId="0" fillId="0" borderId="48" xfId="0" applyBorder="1" applyAlignment="1">
      <alignment vertical="center" shrinkToFit="1"/>
    </xf>
    <xf numFmtId="49" fontId="0" fillId="0" borderId="0" xfId="1" applyNumberFormat="1" applyFont="1"/>
    <xf numFmtId="1" fontId="0" fillId="0" borderId="0" xfId="1" applyNumberFormat="1" applyFont="1"/>
    <xf numFmtId="177" fontId="0" fillId="0" borderId="0" xfId="1" applyNumberFormat="1" applyFont="1"/>
    <xf numFmtId="0" fontId="0" fillId="0" borderId="0" xfId="0" applyAlignment="1"/>
    <xf numFmtId="0" fontId="9" fillId="9" borderId="0" xfId="1" applyFont="1" applyFill="1"/>
    <xf numFmtId="0" fontId="10" fillId="12" borderId="0" xfId="1" applyFont="1" applyFill="1"/>
    <xf numFmtId="0" fontId="7" fillId="3" borderId="49" xfId="1" applyFont="1" applyFill="1" applyBorder="1" applyAlignment="1">
      <alignment horizontal="center" vertical="center" wrapText="1"/>
    </xf>
    <xf numFmtId="0" fontId="7" fillId="3" borderId="50" xfId="1" applyFont="1" applyFill="1" applyBorder="1" applyAlignment="1">
      <alignment horizontal="center" vertical="center" wrapText="1"/>
    </xf>
    <xf numFmtId="0" fontId="7" fillId="4" borderId="50" xfId="1" applyFont="1" applyFill="1" applyBorder="1" applyAlignment="1">
      <alignment horizontal="center" vertical="center" wrapText="1"/>
    </xf>
    <xf numFmtId="0" fontId="7" fillId="5" borderId="50" xfId="1" applyFont="1" applyFill="1" applyBorder="1" applyAlignment="1">
      <alignment horizontal="center" vertical="center" wrapText="1"/>
    </xf>
    <xf numFmtId="0" fontId="7" fillId="6" borderId="50" xfId="1" applyFont="1" applyFill="1" applyBorder="1" applyAlignment="1">
      <alignment horizontal="center" vertical="center" wrapText="1"/>
    </xf>
    <xf numFmtId="0" fontId="7" fillId="7" borderId="50" xfId="1" applyFont="1" applyFill="1" applyBorder="1" applyAlignment="1">
      <alignment horizontal="center" vertical="center" wrapText="1"/>
    </xf>
    <xf numFmtId="0" fontId="7" fillId="8" borderId="50" xfId="1" applyFont="1" applyFill="1" applyBorder="1" applyAlignment="1">
      <alignment horizontal="center" vertical="center" wrapText="1"/>
    </xf>
    <xf numFmtId="0" fontId="7" fillId="11" borderId="50" xfId="1" applyFont="1" applyFill="1" applyBorder="1" applyAlignment="1">
      <alignment wrapText="1"/>
    </xf>
    <xf numFmtId="0" fontId="7" fillId="11" borderId="51" xfId="1" applyFont="1" applyFill="1" applyBorder="1" applyAlignment="1">
      <alignment wrapText="1"/>
    </xf>
    <xf numFmtId="49" fontId="8" fillId="0" borderId="16" xfId="1" applyNumberFormat="1" applyFont="1" applyBorder="1" applyAlignment="1">
      <alignment vertical="center"/>
    </xf>
    <xf numFmtId="0" fontId="8" fillId="0" borderId="2" xfId="1" applyFont="1" applyBorder="1" applyAlignment="1">
      <alignment vertical="center"/>
    </xf>
    <xf numFmtId="0" fontId="8" fillId="0" borderId="2" xfId="1" applyFont="1" applyBorder="1" applyAlignment="1">
      <alignment vertical="center" wrapText="1"/>
    </xf>
    <xf numFmtId="1" fontId="8" fillId="0" borderId="2" xfId="1" applyNumberFormat="1" applyFont="1" applyBorder="1" applyAlignment="1">
      <alignment vertical="center"/>
    </xf>
    <xf numFmtId="177" fontId="8" fillId="0" borderId="2" xfId="1" applyNumberFormat="1" applyFont="1" applyBorder="1" applyAlignment="1">
      <alignment vertical="center"/>
    </xf>
    <xf numFmtId="0" fontId="9" fillId="9" borderId="2" xfId="1" applyFont="1" applyFill="1" applyBorder="1" applyAlignment="1">
      <alignment vertical="center"/>
    </xf>
    <xf numFmtId="177" fontId="8" fillId="10" borderId="2" xfId="1" applyNumberFormat="1" applyFont="1" applyFill="1" applyBorder="1" applyAlignment="1">
      <alignment vertical="center"/>
    </xf>
    <xf numFmtId="0" fontId="8" fillId="10" borderId="2" xfId="1" applyFont="1" applyFill="1" applyBorder="1" applyAlignment="1">
      <alignment vertical="center"/>
    </xf>
    <xf numFmtId="0" fontId="8" fillId="0" borderId="2" xfId="1" applyFont="1" applyBorder="1"/>
    <xf numFmtId="177" fontId="8" fillId="0" borderId="2" xfId="1" applyNumberFormat="1" applyFont="1" applyBorder="1"/>
    <xf numFmtId="0" fontId="8" fillId="0" borderId="2" xfId="1" applyFont="1" applyBorder="1" applyAlignment="1">
      <alignment horizontal="center"/>
    </xf>
    <xf numFmtId="0" fontId="10" fillId="12" borderId="2" xfId="1" applyFont="1" applyFill="1" applyBorder="1"/>
    <xf numFmtId="0" fontId="10" fillId="12" borderId="20" xfId="1" applyFont="1" applyFill="1" applyBorder="1"/>
    <xf numFmtId="49" fontId="0" fillId="0" borderId="16" xfId="1" applyNumberFormat="1" applyFont="1" applyBorder="1"/>
    <xf numFmtId="0" fontId="0" fillId="0" borderId="2" xfId="0" applyBorder="1" applyAlignment="1"/>
    <xf numFmtId="1" fontId="0" fillId="0" borderId="2" xfId="1" applyNumberFormat="1" applyFont="1" applyBorder="1"/>
    <xf numFmtId="177" fontId="0" fillId="0" borderId="2" xfId="1" applyNumberFormat="1" applyFont="1" applyBorder="1"/>
    <xf numFmtId="0" fontId="9" fillId="9" borderId="2" xfId="1" applyFont="1" applyFill="1" applyBorder="1"/>
    <xf numFmtId="49" fontId="0" fillId="0" borderId="42" xfId="1" applyNumberFormat="1" applyFont="1" applyBorder="1"/>
    <xf numFmtId="0" fontId="0" fillId="0" borderId="45" xfId="0" applyBorder="1" applyAlignment="1"/>
    <xf numFmtId="1" fontId="0" fillId="0" borderId="45" xfId="1" applyNumberFormat="1" applyFont="1" applyBorder="1"/>
    <xf numFmtId="177" fontId="0" fillId="0" borderId="45" xfId="1" applyNumberFormat="1" applyFont="1" applyBorder="1"/>
    <xf numFmtId="0" fontId="9" fillId="9" borderId="45" xfId="1" applyFont="1" applyFill="1" applyBorder="1"/>
    <xf numFmtId="0" fontId="10" fillId="12" borderId="45" xfId="1" applyFont="1" applyFill="1" applyBorder="1"/>
    <xf numFmtId="0" fontId="10" fillId="12" borderId="52" xfId="1" applyFont="1" applyFill="1" applyBorder="1"/>
    <xf numFmtId="0" fontId="10" fillId="13" borderId="2" xfId="1" applyFont="1" applyFill="1" applyBorder="1"/>
    <xf numFmtId="0" fontId="10" fillId="13" borderId="20" xfId="1" applyFont="1" applyFill="1" applyBorder="1"/>
    <xf numFmtId="0" fontId="10" fillId="13" borderId="50" xfId="1" applyFont="1" applyFill="1" applyBorder="1"/>
    <xf numFmtId="0" fontId="10" fillId="13" borderId="45" xfId="1" applyFont="1" applyFill="1" applyBorder="1"/>
    <xf numFmtId="0" fontId="0" fillId="0" borderId="50" xfId="0" applyBorder="1" applyAlignment="1"/>
  </cellXfs>
  <cellStyles count="4">
    <cellStyle name="Normal" xfId="1" xr:uid="{815D33BA-1CA3-4931-8A1C-5CD2B7DA8A26}"/>
    <cellStyle name="桁区切り" xfId="2" builtinId="6"/>
    <cellStyle name="標準" xfId="0" builtinId="0"/>
    <cellStyle name="標準 2" xfId="3" xr:uid="{BBF9A094-C44A-4888-B41E-3CA08DBEA7D0}"/>
  </cellStyles>
  <dxfs count="1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1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游ゴシック"/>
        <family val="3"/>
        <charset val="128"/>
        <scheme val="minor"/>
      </font>
      <alignment horizontal="general" vertical="center" textRotation="0" wrapText="0" indent="0" justifyLastLine="0" shrinkToFit="1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alignment horizontal="general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B3543"/>
        <name val="Noto Sans JP"/>
        <family val="3"/>
        <charset val="128"/>
        <scheme val="none"/>
      </font>
      <fill>
        <patternFill patternType="solid">
          <fgColor indexed="64"/>
          <bgColor rgb="FFFFF3D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762000</xdr:colOff>
      <xdr:row>0</xdr:row>
      <xdr:rowOff>330573</xdr:rowOff>
    </xdr:from>
    <xdr:to>
      <xdr:col>3</xdr:col>
      <xdr:colOff>759199</xdr:colOff>
      <xdr:row>1</xdr:row>
      <xdr:rowOff>330573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1714500" y="330573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28AFE4-ECB4-403A-B581-5D04AA101F5B}" name="テーブル1" displayName="テーブル1" ref="A1:AI367" totalsRowShown="0" headerRowDxfId="38" headerRowBorderDxfId="37" tableBorderDxfId="36">
  <autoFilter ref="A1:AI367" xr:uid="{E928AFE4-ECB4-403A-B581-5D04AA101F5B}"/>
  <tableColumns count="35">
    <tableColumn id="1" xr3:uid="{97773A54-15D0-4C8B-BD44-3EE9F468C7D8}" name="ID" dataDxfId="35"/>
    <tableColumn id="2" xr3:uid="{F93B55FF-4D51-44F4-85B2-6BC56D5D54A1}" name="名前" dataDxfId="34"/>
    <tableColumn id="3" xr3:uid="{1DD29FAA-EF7A-4732-8A2C-0D3E6DA627C7}" name="属性" dataDxfId="33"/>
    <tableColumn id="4" xr3:uid="{FE33858B-47A6-47BD-B4EF-C8A42D413A1E}" name="攻撃方式" dataDxfId="32"/>
    <tableColumn id="5" xr3:uid="{E0AFB413-365D-4144-8899-33E7A22B2262}" name="基礎HP" dataDxfId="31">
      <calculatedColumnFormula>+[1]モンスター計算!E5</calculatedColumnFormula>
    </tableColumn>
    <tableColumn id="6" xr3:uid="{D3423B46-5F20-43C8-AC6F-DF66332B3AC2}" name="基礎MP" dataDxfId="30">
      <calculatedColumnFormula>+[1]モンスター計算!F5</calculatedColumnFormula>
    </tableColumn>
    <tableColumn id="7" xr3:uid="{A649A164-8E84-4A37-8E4B-766442BA121B}" name="基礎攻撃力" dataDxfId="29">
      <calculatedColumnFormula>+[1]モンスター計算!G5</calculatedColumnFormula>
    </tableColumn>
    <tableColumn id="8" xr3:uid="{A186C277-CFAA-4792-A9A1-ADDDE94B9CBD}" name="基礎魔力" dataDxfId="28">
      <calculatedColumnFormula>+[1]モンスター計算!H5</calculatedColumnFormula>
    </tableColumn>
    <tableColumn id="9" xr3:uid="{2C3D0C37-AE91-47A8-866A-0301B9E3C7C7}" name="基礎防御力" dataDxfId="27">
      <calculatedColumnFormula>+[1]モンスター計算!I5</calculatedColumnFormula>
    </tableColumn>
    <tableColumn id="10" xr3:uid="{734FF1C1-FDE6-43E4-9EF3-7DB1CC53D797}" name="基礎魔防" dataDxfId="26">
      <calculatedColumnFormula>+[1]モンスター計算!J5</calculatedColumnFormula>
    </tableColumn>
    <tableColumn id="11" xr3:uid="{FDDF2461-2744-43DD-8CE1-CCADC616C663}" name="クリ率" dataDxfId="25">
      <calculatedColumnFormula>+[1]モンスター計算!K5</calculatedColumnFormula>
    </tableColumn>
    <tableColumn id="12" xr3:uid="{0E47D266-285D-41BB-AD9B-64AB3BA7E001}" name="クリ倍" dataDxfId="24">
      <calculatedColumnFormula>+[1]モンスター計算!L5</calculatedColumnFormula>
    </tableColumn>
    <tableColumn id="13" xr3:uid="{EB3626E6-6462-4A42-BA99-5AEDD5338153}" name="移動速度" dataDxfId="23">
      <calculatedColumnFormula>+[1]モンスター計算!M5</calculatedColumnFormula>
    </tableColumn>
    <tableColumn id="14" xr3:uid="{6F64D893-8807-401B-8196-377FB23B81F5}" name="攻撃速度" dataDxfId="22">
      <calculatedColumnFormula>+[1]モンスター計算!N5</calculatedColumnFormula>
    </tableColumn>
    <tableColumn id="15" xr3:uid="{B7E16074-027C-4BB3-825B-EEA8A02882BE}" name="攻撃範囲" dataDxfId="21">
      <calculatedColumnFormula>+[1]モンスター計算!O5</calculatedColumnFormula>
    </tableColumn>
    <tableColumn id="16" xr3:uid="{F6143BD9-B6A9-4A3A-A0BC-EF621370B964}" name="火耐性" dataDxfId="20">
      <calculatedColumnFormula>+[1]モンスター計算!P5</calculatedColumnFormula>
    </tableColumn>
    <tableColumn id="17" xr3:uid="{EE61610C-9F13-456E-B6E6-98856C592278}" name="水耐性" dataDxfId="19">
      <calculatedColumnFormula>+[1]モンスター計算!Q5</calculatedColumnFormula>
    </tableColumn>
    <tableColumn id="18" xr3:uid="{DC9BBD46-71AF-4009-A12F-12857F61E28D}" name="風耐性" dataDxfId="18">
      <calculatedColumnFormula>+[1]モンスター計算!R5</calculatedColumnFormula>
    </tableColumn>
    <tableColumn id="19" xr3:uid="{C0370F99-9A20-4393-9F79-7F315C2B95E2}" name="雷耐性" dataDxfId="17">
      <calculatedColumnFormula>+[1]モンスター計算!S5</calculatedColumnFormula>
    </tableColumn>
    <tableColumn id="20" xr3:uid="{D298B622-F13E-42E5-A3AD-E3A7A701F088}" name="光耐性" dataDxfId="16">
      <calculatedColumnFormula>+[1]モンスター計算!T5</calculatedColumnFormula>
    </tableColumn>
    <tableColumn id="21" xr3:uid="{010CBA98-CAD8-4DCD-B7F9-AF0267065A85}" name="闇耐性" dataDxfId="15">
      <calculatedColumnFormula>+[1]モンスター計算!U5</calculatedColumnFormula>
    </tableColumn>
    <tableColumn id="22" xr3:uid="{D1A9A916-FE30-4FA4-AB6E-F574E253821D}" name="索敵範囲" dataDxfId="14">
      <calculatedColumnFormula>+[1]モンスター計算!V5</calculatedColumnFormula>
    </tableColumn>
    <tableColumn id="23" xr3:uid="{E17B9655-F84F-469D-8A4D-03DA22D1825D}" name="リス秒" dataDxfId="13"/>
    <tableColumn id="24" xr3:uid="{1286B2AC-C8D5-412C-B0A5-8E3F3DB086C1}" name="素材ID" dataDxfId="12"/>
    <tableColumn id="25" xr3:uid="{871D7A70-9F55-43ED-ADAA-C61A6AA1FF7B}" name="素材名" dataDxfId="11"/>
    <tableColumn id="26" xr3:uid="{14A2E5CE-D441-4446-85E0-B47CF594EE67}" name="素材ドロ率" dataDxfId="10"/>
    <tableColumn id="27" xr3:uid="{D2DF9DCE-1A53-4507-A835-BD804D50CC3F}" name="経験値" dataDxfId="9"/>
    <tableColumn id="28" xr3:uid="{AB0DE6B9-6CE8-4FA4-A2B6-87B45421AFD3}" name="配合用値" dataDxfId="8"/>
    <tableColumn id="29" xr3:uid="{388AC190-5509-4C15-9D12-5C84DBFBFE5D}" name="出現ステージ" dataDxfId="7"/>
    <tableColumn id="30" xr3:uid="{E19C14BD-A3C3-494E-B5C2-F8821C6A5159}" name="魔弾Prefab名" dataDxfId="6"/>
    <tableColumn id="31" xr3:uid="{8FD9929B-34A4-4A45-8050-B1B69454951B}" name="魔弾速度" dataDxfId="5"/>
    <tableColumn id="32" xr3:uid="{8943F13F-90E4-4161-9ED0-7C58A9E00A57}" name="魔弾寿命秒数" dataDxfId="4"/>
    <tableColumn id="33" xr3:uid="{D4EDFA16-2275-44D6-8682-EA2478350F14}" name="魔弾追尾" dataDxfId="3"/>
    <tableColumn id="34" xr3:uid="{6110ACE0-EA0E-40A1-9E33-95ABF5B9E16C}" name="称号ID" dataDxfId="2"/>
    <tableColumn id="35" xr3:uid="{E84E718C-C7DD-427F-942F-0DCEEE068D75}" name="SkillIds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8811ED-C2F3-48D6-96F7-AEDFB1B1BBCA}" name="SkillsTable4" displayName="SkillsTable4" ref="A1:DT43" totalsRowShown="0" headerRowDxfId="165" headerRowBorderDxfId="164" tableBorderDxfId="163" totalsRowBorderDxfId="162">
  <autoFilter ref="A1:DT43" xr:uid="{A48811ED-C2F3-48D6-96F7-AEDFB1B1BBCA}"/>
  <tableColumns count="124">
    <tableColumn id="1" xr3:uid="{B8AB1E2E-ECCF-4E64-8DE1-F34E18B72A9C}" name="ID" dataDxfId="161"/>
    <tableColumn id="2" xr3:uid="{0A3A7E95-EF54-40DB-ADB0-2A682C99550D}" name="名前" dataDxfId="160"/>
    <tableColumn id="3" xr3:uid="{19F82D57-1CCA-40DB-9DF1-B304DB98DB70}" name="説明" dataDxfId="159"/>
    <tableColumn id="4" xr3:uid="{7B0C61DD-F13E-49FE-8544-B82BEC4716C8}" name="必要レベル" dataDxfId="158"/>
    <tableColumn id="5" xr3:uid="{2AE1620C-2163-4F89-85CF-4FEE34ACDA7D}" name="習得ポイント" dataDxfId="157"/>
    <tableColumn id="6" xr3:uid="{6CD3044D-7A73-4AF7-9B92-5A7C0A8749DF}" name="消費MP" dataDxfId="156"/>
    <tableColumn id="7" xr3:uid="{C59AF5E7-D95B-499E-AAB2-7296C0455018}" name="再使用時間秒" dataDxfId="155"/>
    <tableColumn id="8" xr3:uid="{593C2E10-2C84-4038-ACA2-359BACB2C3E4}" name="詠唱時間秒" dataDxfId="154"/>
    <tableColumn id="9" xr3:uid="{5EF79E67-773B-4886-9B3A-54CE2368B90D}" name="共通待機時間秒" dataDxfId="153"/>
    <tableColumn id="10" xr3:uid="{0A5B584D-ACC8-4963-9B4C-C5B6AE32A15F}" name="射程" dataDxfId="152"/>
    <tableColumn id="11" xr3:uid="{579925E3-D5E0-482E-A835-4D9B63740C7A}" name="対象" dataDxfId="151"/>
    <tableColumn id="12" xr3:uid="{333E5C19-A0AC-4EC3-900E-915FD053A3D8}" name="基本効果" dataDxfId="150"/>
    <tableColumn id="13" xr3:uid="{A1902A67-DEF7-4305-BE93-66C0BB793B73}" name="参照能力" dataDxfId="149"/>
    <tableColumn id="14" xr3:uid="{6A7E8DED-87C7-45D1-B31E-648C3CD05A4E}" name="倍率" dataDxfId="148"/>
    <tableColumn id="15" xr3:uid="{C4221406-744D-4A70-9660-F32EB39E7DBA}" name="固定値" dataDxfId="147"/>
    <tableColumn id="16" xr3:uid="{06C6CE52-BB57-43DC-B77C-869027C39AFF}" name="属性" dataDxfId="146"/>
    <tableColumn id="17" xr3:uid="{1A353D14-5042-45CA-BEE6-E3C2F835F0A7}" name="会心有効" dataDxfId="145"/>
    <tableColumn id="18" xr3:uid="{A746B161-14F2-47BE-B9D4-0F84F4F8A0CF}" name="適用先" dataDxfId="144"/>
    <tableColumn id="19" xr3:uid="{4D212FFF-0F74-4B06-9CEE-6C3D096597DC}" name="範囲半径" dataDxfId="143"/>
    <tableColumn id="20" xr3:uid="{C44634EF-D32D-41F2-8C58-70880CE28CC9}" name="命中上限" dataDxfId="142"/>
    <tableColumn id="21" xr3:uid="{8FFC6E4E-4C28-4A04-A0EE-DBB9CD637EEC}" name="発動形式" dataDxfId="141"/>
    <tableColumn id="22" xr3:uid="{1BF1BE37-F536-4434-8A8F-48256878C5DA}" name="発射物速度" dataDxfId="140"/>
    <tableColumn id="23" xr3:uid="{CE7B4BDE-A108-46B9-BA92-9A4AF17F7557}" name="発射物寿命秒" dataDxfId="139"/>
    <tableColumn id="24" xr3:uid="{226A0C8B-1E71-486F-B8BD-DA2372262EBC}" name="追尾" dataDxfId="138"/>
    <tableColumn id="25" xr3:uid="{2047BF74-8077-4299-AE2C-A55E2F166B8C}" name="画像パス" dataDxfId="137"/>
    <tableColumn id="26" xr3:uid="{D6F3BAA8-5143-4B5F-9A69-94E737E7E379}" name="演出パス" dataDxfId="136"/>
    <tableColumn id="27" xr3:uid="{90EB094F-01E1-4DE6-97B3-307BB7FA0E2B}" name="追加効果1_種別" dataDxfId="135"/>
    <tableColumn id="28" xr3:uid="{FAE55497-5F01-4C0C-9BE9-FF89C11FD36B}" name="追加効果1_対象能力" dataDxfId="134"/>
    <tableColumn id="29" xr3:uid="{732DA429-0503-4DBD-97CE-D930DA33A692}" name="追加効果1_変化方式" dataDxfId="133"/>
    <tableColumn id="30" xr3:uid="{EB186181-24E7-4BE9-89C8-69A0ADFA7C8E}" name="追加効果1_効果量" dataDxfId="132"/>
    <tableColumn id="31" xr3:uid="{A84C7308-6D26-4E16-A6B1-145102611E39}" name="追加効果1_持続秒" dataDxfId="131"/>
    <tableColumn id="32" xr3:uid="{D810B94C-C539-462E-9552-E03D0010958A}" name="追加効果1_付与確率％" dataDxfId="130"/>
    <tableColumn id="33" xr3:uid="{574708F7-0382-409E-9E2F-4E4DD7FF5E79}" name="追加効果1_状態異常" dataDxfId="129"/>
    <tableColumn id="34" xr3:uid="{68E62E13-B615-48E8-A936-F938431635BB}" name="追加効果1_継続間隔秒" dataDxfId="128"/>
    <tableColumn id="35" xr3:uid="{9A919289-569F-47DE-AC9E-ADC979BAE426}" name="追加効果1_重複方式" dataDxfId="127"/>
    <tableColumn id="36" xr3:uid="{050D64CA-DE1E-4C05-AC82-3028AC1AACAE}" name="追加効果1_重複上限" dataDxfId="126"/>
    <tableColumn id="37" xr3:uid="{88C81C1E-B0A7-46F7-9EC2-5C3BD67A84BB}" name="追加効果2_種別" dataDxfId="125"/>
    <tableColumn id="38" xr3:uid="{9A7D738D-32A7-4D5F-8719-5A77BF2B064B}" name="追加効果2_対象能力" dataDxfId="124"/>
    <tableColumn id="39" xr3:uid="{7D18153F-DB24-45CE-B3D1-698956971C80}" name="追加効果2_変化方式" dataDxfId="123"/>
    <tableColumn id="40" xr3:uid="{22BC011B-DC51-4F42-AC7E-E48CC20DB29C}" name="追加効果2_効果量" dataDxfId="122"/>
    <tableColumn id="41" xr3:uid="{99E4AB84-EB16-4126-BA5A-AC40B4691DF0}" name="追加効果2_持続秒" dataDxfId="121"/>
    <tableColumn id="42" xr3:uid="{52274ADB-E718-41E1-A947-D585286AD19E}" name="追加効果2_付与確率％" dataDxfId="120"/>
    <tableColumn id="43" xr3:uid="{4E9806CB-C192-45E9-8EA1-3B144D5AB3C5}" name="追加効果2_状態異常" dataDxfId="119"/>
    <tableColumn id="44" xr3:uid="{398650BE-6797-43E2-83D2-C3195558A4BF}" name="追加効果2_継続間隔秒" dataDxfId="118"/>
    <tableColumn id="45" xr3:uid="{F8114941-1904-449F-B9D9-8051BC3E731D}" name="追加効果2_重複方式" dataDxfId="117"/>
    <tableColumn id="46" xr3:uid="{D2CDC11F-5DD7-482E-BF27-094D7A919176}" name="追加効果2_重複上限" dataDxfId="116"/>
    <tableColumn id="47" xr3:uid="{F06F165F-5753-413D-B9BC-F07207819CB9}" name="追加効果3_種別" dataDxfId="115"/>
    <tableColumn id="48" xr3:uid="{E178CDE5-D1A5-4926-A97A-9EAD2829E9D8}" name="追加効果3_対象能力" dataDxfId="114"/>
    <tableColumn id="49" xr3:uid="{CD015373-87BF-4096-9539-D20E60EC7758}" name="追加効果3_変化方式" dataDxfId="113"/>
    <tableColumn id="50" xr3:uid="{B72FEB76-15A8-4B9E-8172-35327CA59952}" name="追加効果3_効果量" dataDxfId="112"/>
    <tableColumn id="51" xr3:uid="{39C8796B-2126-4CC6-98B9-04E88B96C4B0}" name="追加効果3_持続秒" dataDxfId="111"/>
    <tableColumn id="52" xr3:uid="{7B4D314F-15D7-49D6-94B0-640C659839A6}" name="追加効果3_付与確率％" dataDxfId="110"/>
    <tableColumn id="53" xr3:uid="{ED42C078-ED01-47AE-AC3B-9283FED0D720}" name="追加効果3_状態異常" dataDxfId="109"/>
    <tableColumn id="54" xr3:uid="{E0BD2F21-8B56-45B2-B0A7-5A380C6E08E2}" name="追加効果3_継続間隔秒" dataDxfId="108"/>
    <tableColumn id="55" xr3:uid="{EB3F52D0-080C-4309-8D88-869867C2F796}" name="追加効果3_重複方式" dataDxfId="107"/>
    <tableColumn id="56" xr3:uid="{A40A664D-05F6-4C18-9FEB-0B48C44B0869}" name="追加効果3_重複上限" dataDxfId="106"/>
    <tableColumn id="57" xr3:uid="{BD12C8CA-2D8F-46A0-A851-4FF6C30B39FE}" name="発射物速度入力" dataDxfId="105"/>
    <tableColumn id="58" xr3:uid="{2F6AA15A-02E6-48DC-91E9-6DF6B0F8AE34}" name="発射物寿命入力秒" dataDxfId="104"/>
    <tableColumn id="59" xr3:uid="{B0A5AA75-37EB-46E2-A0E0-6A518D9A38FA}" name="追尾入力" dataDxfId="103"/>
    <tableColumn id="60" xr3:uid="{D17572F9-8FFC-4598-9419-57F835603128}" name="発射物プレファブパス" dataDxfId="102"/>
    <tableColumn id="61" xr3:uid="{A9C897A7-BA5E-48E7-B256-D83C917EAE75}" name="発射物_貫通" dataDxfId="101"/>
    <tableColumn id="62" xr3:uid="{9F5E84D8-FCB3-429F-8D21-785DB39DA199}" name="発射物_回転" dataDxfId="100"/>
    <tableColumn id="63" xr3:uid="{4E076D20-BBC8-4B84-AA19-1F54F9AF6116}" name="発射物_回転速度" dataDxfId="99"/>
    <tableColumn id="64" xr3:uid="{C1196120-252D-4171-AD47-EAC658AA4C7C}" name="発射物_蛇行" dataDxfId="98"/>
    <tableColumn id="65" xr3:uid="{AF40CF39-5E32-45B0-B395-9CE7A1963F3F}" name="発射物_蛇行幅" dataDxfId="97"/>
    <tableColumn id="66" xr3:uid="{7EA9204B-3269-4C7D-B4C3-63C12AE35817}" name="発射物_蛇行回数" dataDxfId="96"/>
    <tableColumn id="67" xr3:uid="{04A7957E-CD1E-4739-974E-6BE1EF06BC74}" name="発射物_加速" dataDxfId="95"/>
    <tableColumn id="68" xr3:uid="{7C71A263-7BCF-42F2-8A2F-907A9AE101D4}" name="発射物_加速度" dataDxfId="94"/>
    <tableColumn id="69" xr3:uid="{2BCF6030-F2DE-4B0D-97FF-19DC944A4E58}" name="発射物_最高速度" dataDxfId="93"/>
    <tableColumn id="70" xr3:uid="{F353B6D6-D969-4648-8667-6EE4332D7307}" name="発射物_命中半径" dataDxfId="92"/>
    <tableColumn id="71" xr3:uid="{337882E6-A9C7-4B4F-BF01-E8B3516CF9B4}" name="発射物_移動タイプ" dataDxfId="91"/>
    <tableColumn id="72" xr3:uid="{8B3AFA65-2E68-4207-9144-01C5AE0DA039}" name="発射物_追尾旋回速度" dataDxfId="90"/>
    <tableColumn id="73" xr3:uid="{67FF4D78-21F9-4127-830A-E0E2AF151CA9}" name="発射物_拡大速度" dataDxfId="89"/>
    <tableColumn id="74" xr3:uid="{CCDF4C3F-160B-49EF-ADAC-2A4C44E1E285}" name="発射物_最大拡大倍率" dataDxfId="88"/>
    <tableColumn id="75" xr3:uid="{7B8267EB-FE06-481A-BDE8-F572F7AEC478}" name="発射物_直進秒" dataDxfId="87"/>
    <tableColumn id="76" xr3:uid="{E6B359D0-1DA4-441C-B5CF-9A648A7FDF38}" name="発射物_帰還速度" dataDxfId="86"/>
    <tableColumn id="77" xr3:uid="{5109BB2D-A983-4489-BB2C-36D09B661813}" name="発射物_周回秒" dataDxfId="85"/>
    <tableColumn id="78" xr3:uid="{878A2F63-D44F-4AE0-8B87-832F32F02C29}" name="発射物_周回半径" dataDxfId="84"/>
    <tableColumn id="79" xr3:uid="{BD28ED9F-3D0E-43F4-9680-3B45FC3171AD}" name="発射物_周回角速度" dataDxfId="83"/>
    <tableColumn id="80" xr3:uid="{F91E1A3E-403C-43D2-8937-6C7F85E6785E}" name="発射物_追尾開始秒" dataDxfId="82"/>
    <tableColumn id="81" xr3:uid="{EB0B1D19-285A-4F75-A5A5-0991EA8BCD96}" name="発射物_螺旋角速度" dataDxfId="81"/>
    <tableColumn id="82" xr3:uid="{7FBAF310-648F-44F2-BA2E-3F3B80F45E96}" name="発射物_螺旋拡大速度" dataDxfId="80"/>
    <tableColumn id="83" xr3:uid="{34890690-3CB7-48EA-9BA9-3E75B9F919D1}" name="発射物_往復距離" dataDxfId="79"/>
    <tableColumn id="84" xr3:uid="{09848393-3318-477E-B61E-44B68ECD8088}" name="発射物_反転回数" dataDxfId="78"/>
    <tableColumn id="85" xr3:uid="{C172A99A-FB6B-45C0-A3E1-E2EECEE649E3}" name="発射物_反転終了で消滅" dataDxfId="77"/>
    <tableColumn id="86" xr3:uid="{3C02C323-2FA9-4668-814C-69463CB13A93}" name="発射物_使用者に追従" dataDxfId="76"/>
    <tableColumn id="87" xr3:uid="{D4A292A0-7006-45D8-874E-6DEE7AF74026}" name="発射物_再命中" dataDxfId="75"/>
    <tableColumn id="88" xr3:uid="{7B3AC562-5EB5-4AB8-95F7-200618AE680E}" name="発射物_再命中間隔秒" dataDxfId="74"/>
    <tableColumn id="89" xr3:uid="{1B9B1FD7-9290-4925-89C2-F6A9ADB44979}" name="発射物_収束秒" dataDxfId="73"/>
    <tableColumn id="90" xr3:uid="{3B79247D-84DA-46EE-B884-FB4652C23918}" name="発射物_収束最大拡大倍率" dataDxfId="72"/>
    <tableColumn id="91" xr3:uid="{201DD083-6A13-471B-9E9E-C5BABE12C9DB}" name="発射物_収束最大威力倍率" dataDxfId="71"/>
    <tableColumn id="92" xr3:uid="{A6C1542C-17C0-4109-8FA3-9A542BDC9966}" name="発射物_時間切替" dataDxfId="70"/>
    <tableColumn id="93" xr3:uid="{A291F138-F9B3-472B-8226-E7A064EB3439}" name="発射物_切替秒" dataDxfId="69"/>
    <tableColumn id="94" xr3:uid="{C3582CA9-FF91-43AF-83D1-6DDF4FF15F5E}" name="発射物_切替後移動タイプ" dataDxfId="68"/>
    <tableColumn id="95" xr3:uid="{5B0678A1-1C69-47DF-A2F8-60FC2CF162AA}" name="発射物_切替後速度" dataDxfId="67"/>
    <tableColumn id="96" xr3:uid="{42F52539-DE37-4EE0-B2EC-F25B6EF49A4A}" name="発射物_連鎖" dataDxfId="66"/>
    <tableColumn id="97" xr3:uid="{A67CB2F9-4DD5-48C0-9A6C-EB155615DF7A}" name="発射物_連鎖回数" dataDxfId="65"/>
    <tableColumn id="98" xr3:uid="{B6BDEF8F-36A6-44F2-AA88-8CEF753C423A}" name="発射物_連鎖半径" dataDxfId="64"/>
    <tableColumn id="99" xr3:uid="{26CC6A50-0237-4A80-9982-138C1DFC796D}" name="発射物_連鎖威力倍率" dataDxfId="63"/>
    <tableColumn id="100" xr3:uid="{08DD8128-44C0-4927-9ED4-4BEA14CCC002}" name="発射物_分裂" dataDxfId="62"/>
    <tableColumn id="101" xr3:uid="{C894FC1C-933C-4BB5-868A-6895512778A0}" name="発射物_子弾数" dataDxfId="61"/>
    <tableColumn id="102" xr3:uid="{0B19A8DA-1325-4C61-9915-D486C3AE9C1B}" name="発射物_分裂角度" dataDxfId="60"/>
    <tableColumn id="103" xr3:uid="{E5DD941C-E935-4EFF-9415-673D605DD443}" name="発射物_子弾威力倍率" dataDxfId="59"/>
    <tableColumn id="104" xr3:uid="{32783B53-3292-4DD4-9404-3BD42820E6D5}" name="発射物_分裂世代数" dataDxfId="58"/>
    <tableColumn id="105" xr3:uid="{44E19316-223F-4223-88D8-0288ACF8AF34}" name="発射物_命中時爆発" dataDxfId="57"/>
    <tableColumn id="106" xr3:uid="{0AFC3AEF-A1E3-47FB-B788-F2D216B8DF17}" name="発射物_停止時爆発" dataDxfId="56"/>
    <tableColumn id="107" xr3:uid="{0975D5DB-AED2-4376-9562-37C57602FB74}" name="発射物_爆発半径" dataDxfId="55"/>
    <tableColumn id="108" xr3:uid="{447E632D-C149-4854-AFFB-DA5D661355AB}" name="発射物_爆発表示秒" dataDxfId="54"/>
    <tableColumn id="109" xr3:uid="{D1DE954C-428E-4387-9345-C19E923832BC}" name="発射物_表示倍率" dataDxfId="53"/>
    <tableColumn id="110" xr3:uid="{B85BDD8D-5AC7-4352-B7F5-63E9885BD6C3}" name="発射物_色" dataDxfId="52"/>
    <tableColumn id="111" xr3:uid="{341E4359-ED9F-464C-A921-B7056A32B5BA}" name="発射物_描画順" dataDxfId="51"/>
    <tableColumn id="112" xr3:uid="{449ACB71-F364-4970-83E4-28693FBF2738}" name="発射物_画像角度" dataDxfId="50"/>
    <tableColumn id="113" xr3:uid="{2D4D92C2-3079-4AF4-9682-63F2B0E2C738}" name="スキル種別" dataDxfId="49" dataCellStyle="Normal"/>
    <tableColumn id="114" xr3:uid="{05417A56-C6A8-49B0-B7EC-86D6A81984D1}" name="生成位置" dataDxfId="48" dataCellStyle="Normal"/>
    <tableColumn id="115" xr3:uid="{0D6E26FA-0EB8-4ABA-8A6A-E1075D7A9DBD}" name="追従先" dataDxfId="47" dataCellStyle="Normal"/>
    <tableColumn id="116" xr3:uid="{B6189153-D980-4AB3-81D6-ACEB2D78D3D9}" name="効果発生タイミング" dataDxfId="46" dataCellStyle="Normal"/>
    <tableColumn id="117" xr3:uid="{A893B177-9755-4161-A45A-B13865FBE16C}" name="効果間隔秒" dataDxfId="45" dataCellStyle="Normal"/>
    <tableColumn id="118" xr3:uid="{490FD67F-086D-4E47-9A7B-8C5FEC508A34}" name="パッシブ1_効果" dataDxfId="44" dataCellStyle="Normal"/>
    <tableColumn id="119" xr3:uid="{0F209CD5-993F-4ED2-AB93-44D24D3CBADE}" name="パッシブ1_効果量" dataDxfId="43" dataCellStyle="Normal"/>
    <tableColumn id="120" xr3:uid="{4A83AE70-6906-465F-80C6-CAD4DA3B0C7A}" name="パッシブ2_効果" dataDxfId="42" dataCellStyle="Normal"/>
    <tableColumn id="121" xr3:uid="{BAF5F3C5-9EBA-45D2-92F7-EA53D756921D}" name="パッシブ2_効果量" dataDxfId="41" dataCellStyle="Normal"/>
    <tableColumn id="122" xr3:uid="{03841463-B5A4-4C8D-A272-1A0A595F53A9}" name="パッシブ3_効果" dataDxfId="40" dataCellStyle="Normal"/>
    <tableColumn id="123" xr3:uid="{738E7776-34A2-450B-9258-A7719DC8CD95}" name="パッシブ3_効果量" dataDxfId="39" dataCellStyle="Normal"/>
    <tableColumn id="124" xr3:uid="{77C81612-A88F-4B4B-BA2E-536B0CF2851C}" name="発射物_画像番号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workbookViewId="0">
      <pane xSplit="2" ySplit="1" topLeftCell="N2" activePane="bottomRight" state="frozen"/>
      <selection pane="topRight" activeCell="C1" sqref="C1"/>
      <selection pane="bottomLeft" activeCell="A2" sqref="A2"/>
      <selection pane="bottomRight" activeCell="AI3" sqref="AI3"/>
    </sheetView>
  </sheetViews>
  <sheetFormatPr defaultColWidth="7" defaultRowHeight="18.75"/>
  <cols>
    <col min="1" max="1" width="7" style="4"/>
    <col min="2" max="3" width="7" style="3"/>
    <col min="4" max="4" width="10.25" style="3" customWidth="1"/>
    <col min="5" max="5" width="9.25" style="3" customWidth="1"/>
    <col min="6" max="6" width="9.5" style="3" customWidth="1"/>
    <col min="7" max="7" width="12.125" style="3" customWidth="1"/>
    <col min="8" max="8" width="10.25" style="3" customWidth="1"/>
    <col min="9" max="9" width="12.125" style="3" customWidth="1"/>
    <col min="10" max="10" width="10.25" style="3" customWidth="1"/>
    <col min="11" max="12" width="8.375" style="3" customWidth="1"/>
    <col min="13" max="15" width="10.25" style="3" customWidth="1"/>
    <col min="16" max="21" width="8.375" style="3" customWidth="1"/>
    <col min="22" max="22" width="10.25" style="3" customWidth="1"/>
    <col min="23" max="23" width="8.375" style="3" customWidth="1"/>
    <col min="24" max="24" width="8.625" style="3" customWidth="1"/>
    <col min="25" max="25" width="8.375" style="3" customWidth="1"/>
    <col min="26" max="26" width="12.125" style="3" customWidth="1"/>
    <col min="27" max="27" width="8.375" style="3" customWidth="1"/>
    <col min="28" max="28" width="10.25" style="3" customWidth="1"/>
    <col min="29" max="29" width="14" style="3" customWidth="1"/>
    <col min="30" max="30" width="14.5" style="3" customWidth="1"/>
    <col min="31" max="31" width="10.25" style="3" customWidth="1"/>
    <col min="32" max="32" width="14" style="3" customWidth="1"/>
    <col min="33" max="33" width="10.25" style="3" customWidth="1"/>
    <col min="34" max="34" width="8.625" style="3" customWidth="1"/>
    <col min="35" max="35" width="9.375" style="3" customWidth="1"/>
    <col min="36" max="16384" width="7" style="3"/>
  </cols>
  <sheetData>
    <row r="1" spans="1:35" ht="19.5" thickBot="1">
      <c r="A1" s="54" t="s">
        <v>6</v>
      </c>
      <c r="B1" s="55" t="s">
        <v>7</v>
      </c>
      <c r="C1" s="56" t="s">
        <v>14</v>
      </c>
      <c r="D1" s="55" t="s">
        <v>15</v>
      </c>
      <c r="E1" s="56" t="s">
        <v>16</v>
      </c>
      <c r="F1" s="57" t="s">
        <v>17</v>
      </c>
      <c r="G1" s="57" t="s">
        <v>18</v>
      </c>
      <c r="H1" s="57" t="s">
        <v>19</v>
      </c>
      <c r="I1" s="57" t="s">
        <v>20</v>
      </c>
      <c r="J1" s="55" t="s">
        <v>21</v>
      </c>
      <c r="K1" s="56" t="s">
        <v>22</v>
      </c>
      <c r="L1" s="55" t="s">
        <v>23</v>
      </c>
      <c r="M1" s="56" t="s">
        <v>24</v>
      </c>
      <c r="N1" s="57" t="s">
        <v>25</v>
      </c>
      <c r="O1" s="55" t="s">
        <v>26</v>
      </c>
      <c r="P1" s="56" t="s">
        <v>27</v>
      </c>
      <c r="Q1" s="57" t="s">
        <v>28</v>
      </c>
      <c r="R1" s="57" t="s">
        <v>29</v>
      </c>
      <c r="S1" s="57" t="s">
        <v>76</v>
      </c>
      <c r="T1" s="57" t="s">
        <v>30</v>
      </c>
      <c r="U1" s="57" t="s">
        <v>31</v>
      </c>
      <c r="V1" s="55" t="s">
        <v>32</v>
      </c>
      <c r="W1" s="58" t="s">
        <v>33</v>
      </c>
      <c r="X1" s="56" t="s">
        <v>34</v>
      </c>
      <c r="Y1" s="59" t="s">
        <v>86</v>
      </c>
      <c r="Z1" s="55" t="s">
        <v>35</v>
      </c>
      <c r="AA1" s="58" t="s">
        <v>36</v>
      </c>
      <c r="AB1" s="58" t="s">
        <v>37</v>
      </c>
      <c r="AC1" s="60" t="s">
        <v>1641</v>
      </c>
      <c r="AD1" s="56" t="s">
        <v>38</v>
      </c>
      <c r="AE1" s="57" t="s">
        <v>39</v>
      </c>
      <c r="AF1" s="57" t="s">
        <v>40</v>
      </c>
      <c r="AG1" s="55" t="s">
        <v>41</v>
      </c>
      <c r="AH1" s="58" t="s">
        <v>42</v>
      </c>
      <c r="AI1" s="59" t="s">
        <v>43</v>
      </c>
    </row>
    <row r="2" spans="1:35">
      <c r="A2" s="51" t="s">
        <v>8</v>
      </c>
      <c r="B2" s="11" t="s">
        <v>0</v>
      </c>
      <c r="C2" s="26" t="s">
        <v>45</v>
      </c>
      <c r="D2" s="11" t="s">
        <v>61</v>
      </c>
      <c r="E2" s="49">
        <f>+[1]モンスター計算!E5</f>
        <v>82</v>
      </c>
      <c r="F2" s="10">
        <f>+[1]モンスター計算!F5</f>
        <v>13</v>
      </c>
      <c r="G2" s="10">
        <f>+[1]モンスター計算!G5</f>
        <v>10</v>
      </c>
      <c r="H2" s="10">
        <f>+[1]モンスター計算!H5</f>
        <v>22</v>
      </c>
      <c r="I2" s="10">
        <f>+[1]モンスター計算!I5</f>
        <v>7</v>
      </c>
      <c r="J2" s="11">
        <f>+[1]モンスター計算!J5</f>
        <v>8</v>
      </c>
      <c r="K2" s="26">
        <f>+[1]モンスター計算!K5</f>
        <v>0.05</v>
      </c>
      <c r="L2" s="11">
        <f>+[1]モンスター計算!L5</f>
        <v>1.5</v>
      </c>
      <c r="M2" s="26">
        <f>+[1]モンスター計算!M5</f>
        <v>2</v>
      </c>
      <c r="N2" s="10">
        <f>+[1]モンスター計算!N5</f>
        <v>1</v>
      </c>
      <c r="O2" s="11">
        <f>+[1]モンスター計算!O5</f>
        <v>2.5</v>
      </c>
      <c r="P2" s="26">
        <f>+[1]モンスター計算!P5</f>
        <v>-0.12000000000000001</v>
      </c>
      <c r="Q2" s="10">
        <f>+[1]モンスター計算!Q5</f>
        <v>0.18000000000000002</v>
      </c>
      <c r="R2" s="10">
        <f>+[1]モンスター計算!R5</f>
        <v>-0.02</v>
      </c>
      <c r="S2" s="10">
        <f>+[1]モンスター計算!S5</f>
        <v>-0.02</v>
      </c>
      <c r="T2" s="10">
        <f>+[1]モンスター計算!T5</f>
        <v>-0.02</v>
      </c>
      <c r="U2" s="10">
        <f>+[1]モンスター計算!U5</f>
        <v>-0.02</v>
      </c>
      <c r="V2" s="11">
        <f>+[1]モンスター計算!V5</f>
        <v>4</v>
      </c>
      <c r="W2" s="29">
        <v>8</v>
      </c>
      <c r="X2" s="26" t="s">
        <v>109</v>
      </c>
      <c r="Y2" s="32" t="s">
        <v>87</v>
      </c>
      <c r="Z2" s="11">
        <v>1.2</v>
      </c>
      <c r="AA2" s="29">
        <v>5</v>
      </c>
      <c r="AB2" s="29">
        <v>10</v>
      </c>
      <c r="AC2" s="46">
        <v>1</v>
      </c>
      <c r="AD2" s="26" t="s">
        <v>51</v>
      </c>
      <c r="AE2" s="10">
        <v>7</v>
      </c>
      <c r="AF2" s="10">
        <v>3</v>
      </c>
      <c r="AG2" s="11" t="b">
        <v>1</v>
      </c>
      <c r="AH2" s="29" t="s">
        <v>63</v>
      </c>
      <c r="AI2" s="32" t="s">
        <v>1920</v>
      </c>
    </row>
    <row r="3" spans="1:35">
      <c r="A3" s="52" t="s">
        <v>9</v>
      </c>
      <c r="B3" s="13" t="s">
        <v>1</v>
      </c>
      <c r="C3" s="27" t="s">
        <v>44</v>
      </c>
      <c r="D3" s="13" t="s">
        <v>61</v>
      </c>
      <c r="E3" s="27">
        <f>+[1]モンスター計算!E6</f>
        <v>112</v>
      </c>
      <c r="F3" s="5">
        <f>+[1]モンスター計算!F6</f>
        <v>20</v>
      </c>
      <c r="G3" s="5">
        <f>+[1]モンスター計算!G6</f>
        <v>5</v>
      </c>
      <c r="H3" s="5">
        <f>+[1]モンスター計算!H6</f>
        <v>16</v>
      </c>
      <c r="I3" s="5">
        <f>+[1]モンスター計算!I6</f>
        <v>16</v>
      </c>
      <c r="J3" s="13">
        <f>+[1]モンスター計算!J6</f>
        <v>6</v>
      </c>
      <c r="K3" s="27">
        <f>+[1]モンスター計算!K6</f>
        <v>5.5E-2</v>
      </c>
      <c r="L3" s="13">
        <f>+[1]モンスター計算!L6</f>
        <v>1.5</v>
      </c>
      <c r="M3" s="27">
        <f>+[1]モンスター計算!M6</f>
        <v>1.85</v>
      </c>
      <c r="N3" s="5">
        <f>+[1]モンスター計算!N6</f>
        <v>0.87</v>
      </c>
      <c r="O3" s="13">
        <f>+[1]モンスター計算!O6</f>
        <v>2.35</v>
      </c>
      <c r="P3" s="27">
        <f>+[1]モンスター計算!P6</f>
        <v>0.26500000000000001</v>
      </c>
      <c r="Q3" s="5">
        <f>+[1]モンスター計算!Q6</f>
        <v>-3.5000000000000003E-2</v>
      </c>
      <c r="R3" s="5">
        <f>+[1]モンスター計算!R6</f>
        <v>6.5000000000000002E-2</v>
      </c>
      <c r="S3" s="5">
        <f>+[1]モンスター計算!S6</f>
        <v>6.5000000000000002E-2</v>
      </c>
      <c r="T3" s="5">
        <f>+[1]モンスター計算!T6</f>
        <v>6.5000000000000002E-2</v>
      </c>
      <c r="U3" s="5">
        <f>+[1]モンスター計算!U6</f>
        <v>6.5000000000000002E-2</v>
      </c>
      <c r="V3" s="13">
        <f>+[1]モンスター計算!V6</f>
        <v>4.2</v>
      </c>
      <c r="W3" s="30">
        <v>8</v>
      </c>
      <c r="X3" s="27" t="s">
        <v>64</v>
      </c>
      <c r="Y3" s="33" t="s">
        <v>88</v>
      </c>
      <c r="Z3" s="13">
        <v>1.2</v>
      </c>
      <c r="AA3" s="30">
        <v>7</v>
      </c>
      <c r="AB3" s="30">
        <v>12</v>
      </c>
      <c r="AC3" s="47">
        <v>1</v>
      </c>
      <c r="AD3" s="27" t="s">
        <v>49</v>
      </c>
      <c r="AE3" s="5">
        <v>7.5</v>
      </c>
      <c r="AF3" s="5">
        <v>3</v>
      </c>
      <c r="AG3" s="13" t="b">
        <v>1</v>
      </c>
      <c r="AH3" s="30" t="s">
        <v>65</v>
      </c>
      <c r="AI3" s="33" t="s">
        <v>1826</v>
      </c>
    </row>
    <row r="4" spans="1:35">
      <c r="A4" s="52" t="s">
        <v>10</v>
      </c>
      <c r="B4" s="13" t="s">
        <v>2</v>
      </c>
      <c r="C4" s="27" t="s">
        <v>46</v>
      </c>
      <c r="D4" s="13" t="s">
        <v>61</v>
      </c>
      <c r="E4" s="27">
        <f>+[1]モンスター計算!E7</f>
        <v>92</v>
      </c>
      <c r="F4" s="5">
        <f>+[1]モンスター計算!F7</f>
        <v>15</v>
      </c>
      <c r="G4" s="5">
        <f>+[1]モンスター計算!G7</f>
        <v>8</v>
      </c>
      <c r="H4" s="5">
        <f>+[1]モンスター計算!H7</f>
        <v>18</v>
      </c>
      <c r="I4" s="5">
        <f>+[1]モンスター計算!I7</f>
        <v>8</v>
      </c>
      <c r="J4" s="13">
        <f>+[1]モンスター計算!J7</f>
        <v>8</v>
      </c>
      <c r="K4" s="27">
        <f>+[1]モンスター計算!K7</f>
        <v>0.05</v>
      </c>
      <c r="L4" s="13">
        <f>+[1]モンスター計算!L7</f>
        <v>1.5</v>
      </c>
      <c r="M4" s="27">
        <f>+[1]モンスター計算!M7</f>
        <v>2</v>
      </c>
      <c r="N4" s="5">
        <f>+[1]モンスター計算!N7</f>
        <v>1.05</v>
      </c>
      <c r="O4" s="13">
        <f>+[1]モンスター計算!O7</f>
        <v>2.5</v>
      </c>
      <c r="P4" s="27">
        <f>+[1]モンスター計算!P7</f>
        <v>0</v>
      </c>
      <c r="Q4" s="5">
        <f>+[1]モンスター計算!Q7</f>
        <v>0</v>
      </c>
      <c r="R4" s="5">
        <f>+[1]モンスター計算!R7</f>
        <v>0.2</v>
      </c>
      <c r="S4" s="5">
        <f>+[1]モンスター計算!S7</f>
        <v>-0.1</v>
      </c>
      <c r="T4" s="5">
        <f>+[1]モンスター計算!T7</f>
        <v>0</v>
      </c>
      <c r="U4" s="5">
        <f>+[1]モンスター計算!U7</f>
        <v>0</v>
      </c>
      <c r="V4" s="13">
        <f>+[1]モンスター計算!V7</f>
        <v>4</v>
      </c>
      <c r="W4" s="30">
        <v>9</v>
      </c>
      <c r="X4" s="27" t="s">
        <v>66</v>
      </c>
      <c r="Y4" s="33" t="s">
        <v>89</v>
      </c>
      <c r="Z4" s="13">
        <v>1.22</v>
      </c>
      <c r="AA4" s="30">
        <v>10</v>
      </c>
      <c r="AB4" s="30">
        <v>15</v>
      </c>
      <c r="AC4" s="47">
        <v>1</v>
      </c>
      <c r="AD4" s="27" t="s">
        <v>53</v>
      </c>
      <c r="AE4" s="5">
        <v>8.5</v>
      </c>
      <c r="AF4" s="5">
        <v>3</v>
      </c>
      <c r="AG4" s="13" t="b">
        <v>1</v>
      </c>
      <c r="AH4" s="30" t="s">
        <v>67</v>
      </c>
      <c r="AI4" s="33" t="s">
        <v>1826</v>
      </c>
    </row>
    <row r="5" spans="1:35">
      <c r="A5" s="52" t="s">
        <v>11</v>
      </c>
      <c r="B5" s="13" t="s">
        <v>3</v>
      </c>
      <c r="C5" s="27" t="s">
        <v>44</v>
      </c>
      <c r="D5" s="13" t="s">
        <v>59</v>
      </c>
      <c r="E5" s="27">
        <f>+[1]モンスター計算!E8</f>
        <v>127</v>
      </c>
      <c r="F5" s="5">
        <f>+[1]モンスター計算!F8</f>
        <v>5</v>
      </c>
      <c r="G5" s="5">
        <f>+[1]モンスター計算!G8</f>
        <v>25</v>
      </c>
      <c r="H5" s="5">
        <f>+[1]モンスター計算!H8</f>
        <v>7</v>
      </c>
      <c r="I5" s="5">
        <f>+[1]モンスター計算!I8</f>
        <v>8</v>
      </c>
      <c r="J5" s="13">
        <f>+[1]モンスター計算!J8</f>
        <v>7</v>
      </c>
      <c r="K5" s="27">
        <f>+[1]モンスター計算!K8</f>
        <v>0.06</v>
      </c>
      <c r="L5" s="13">
        <f>+[1]モンスター計算!L8</f>
        <v>2.15</v>
      </c>
      <c r="M5" s="27">
        <f>+[1]モンスター計算!M8</f>
        <v>1.65</v>
      </c>
      <c r="N5" s="5">
        <f>+[1]モンスター計算!N8</f>
        <v>0.53</v>
      </c>
      <c r="O5" s="13">
        <f>+[1]モンスター計算!O8</f>
        <v>1.86</v>
      </c>
      <c r="P5" s="27">
        <f>+[1]モンスター計算!P8</f>
        <v>0.17500000000000002</v>
      </c>
      <c r="Q5" s="5">
        <f>+[1]モンスター計算!Q8</f>
        <v>-0.125</v>
      </c>
      <c r="R5" s="5">
        <f>+[1]モンスター計算!R8</f>
        <v>-2.5000000000000001E-2</v>
      </c>
      <c r="S5" s="5">
        <f>+[1]モンスター計算!S8</f>
        <v>-2.5000000000000001E-2</v>
      </c>
      <c r="T5" s="5">
        <f>+[1]モンスター計算!T8</f>
        <v>-2.5000000000000001E-2</v>
      </c>
      <c r="U5" s="5">
        <f>+[1]モンスター計算!U8</f>
        <v>-2.5000000000000001E-2</v>
      </c>
      <c r="V5" s="13">
        <f>+[1]モンスター計算!V8</f>
        <v>4.4000000000000004</v>
      </c>
      <c r="W5" s="30">
        <v>10</v>
      </c>
      <c r="X5" s="27" t="s">
        <v>68</v>
      </c>
      <c r="Y5" s="33" t="s">
        <v>90</v>
      </c>
      <c r="Z5" s="13">
        <v>1.25</v>
      </c>
      <c r="AA5" s="30">
        <v>15</v>
      </c>
      <c r="AB5" s="30">
        <v>20</v>
      </c>
      <c r="AC5" s="47">
        <v>1</v>
      </c>
      <c r="AD5" s="27" t="s">
        <v>74</v>
      </c>
      <c r="AE5" s="5">
        <v>0</v>
      </c>
      <c r="AF5" s="5">
        <v>0</v>
      </c>
      <c r="AG5" s="13" t="b">
        <v>0</v>
      </c>
      <c r="AH5" s="30" t="s">
        <v>69</v>
      </c>
      <c r="AI5" s="33" t="s">
        <v>1826</v>
      </c>
    </row>
    <row r="6" spans="1:35">
      <c r="A6" s="52" t="s">
        <v>12</v>
      </c>
      <c r="B6" s="13" t="s">
        <v>4</v>
      </c>
      <c r="C6" s="27" t="s">
        <v>45</v>
      </c>
      <c r="D6" s="13" t="s">
        <v>59</v>
      </c>
      <c r="E6" s="27">
        <f>+[1]モンスター計算!E9</f>
        <v>92</v>
      </c>
      <c r="F6" s="5">
        <f>+[1]モンスター計算!F9</f>
        <v>6</v>
      </c>
      <c r="G6" s="5">
        <f>+[1]モンスター計算!G9</f>
        <v>19</v>
      </c>
      <c r="H6" s="5">
        <f>+[1]モンスター計算!H9</f>
        <v>7</v>
      </c>
      <c r="I6" s="5">
        <f>+[1]モンスター計算!I9</f>
        <v>7</v>
      </c>
      <c r="J6" s="13">
        <f>+[1]モンスター計算!J9</f>
        <v>7</v>
      </c>
      <c r="K6" s="27">
        <f>+[1]モンスター計算!K9</f>
        <v>7.0000000000000007E-2</v>
      </c>
      <c r="L6" s="13">
        <f>+[1]モンスター計算!L9</f>
        <v>1.6</v>
      </c>
      <c r="M6" s="27">
        <f>+[1]モンスター計算!M9</f>
        <v>2.4500000000000002</v>
      </c>
      <c r="N6" s="5">
        <f>+[1]モンスター計算!N9</f>
        <v>0.94</v>
      </c>
      <c r="O6" s="13">
        <f>+[1]モンスター計算!O9</f>
        <v>2.73</v>
      </c>
      <c r="P6" s="27">
        <f>+[1]モンスター計算!P9</f>
        <v>-0.13500000000000001</v>
      </c>
      <c r="Q6" s="5">
        <f>+[1]モンスター計算!Q9</f>
        <v>0.16500000000000001</v>
      </c>
      <c r="R6" s="5">
        <f>+[1]モンスター計算!R9</f>
        <v>-3.5000000000000003E-2</v>
      </c>
      <c r="S6" s="5">
        <f>+[1]モンスター計算!S9</f>
        <v>-3.5000000000000003E-2</v>
      </c>
      <c r="T6" s="5">
        <f>+[1]モンスター計算!T9</f>
        <v>-3.5000000000000003E-2</v>
      </c>
      <c r="U6" s="5">
        <f>+[1]モンスター計算!U9</f>
        <v>-3.5000000000000003E-2</v>
      </c>
      <c r="V6" s="13">
        <f>+[1]モンスター計算!V9</f>
        <v>5.6</v>
      </c>
      <c r="W6" s="30">
        <v>11</v>
      </c>
      <c r="X6" s="27" t="s">
        <v>70</v>
      </c>
      <c r="Y6" s="33" t="s">
        <v>91</v>
      </c>
      <c r="Z6" s="13">
        <v>1.25</v>
      </c>
      <c r="AA6" s="30">
        <v>20</v>
      </c>
      <c r="AB6" s="30">
        <v>25</v>
      </c>
      <c r="AC6" s="47">
        <v>1</v>
      </c>
      <c r="AD6" s="27" t="s">
        <v>74</v>
      </c>
      <c r="AE6" s="5">
        <v>0</v>
      </c>
      <c r="AF6" s="5">
        <v>0</v>
      </c>
      <c r="AG6" s="13" t="b">
        <v>0</v>
      </c>
      <c r="AH6" s="30" t="s">
        <v>71</v>
      </c>
      <c r="AI6" s="33" t="s">
        <v>1826</v>
      </c>
    </row>
    <row r="7" spans="1:35" ht="19.5" thickBot="1">
      <c r="A7" s="53" t="s">
        <v>13</v>
      </c>
      <c r="B7" s="16" t="s">
        <v>5</v>
      </c>
      <c r="C7" s="28" t="s">
        <v>47</v>
      </c>
      <c r="D7" s="16" t="s">
        <v>61</v>
      </c>
      <c r="E7" s="28">
        <f>+[1]モンスター計算!E10</f>
        <v>172</v>
      </c>
      <c r="F7" s="15">
        <f>+[1]モンスター計算!F10</f>
        <v>20</v>
      </c>
      <c r="G7" s="15">
        <f>+[1]モンスター計算!G10</f>
        <v>4</v>
      </c>
      <c r="H7" s="15">
        <f>+[1]モンスター計算!H10</f>
        <v>14</v>
      </c>
      <c r="I7" s="15">
        <f>+[1]モンスター計算!I10</f>
        <v>13</v>
      </c>
      <c r="J7" s="16">
        <f>+[1]モンスター計算!J10</f>
        <v>12</v>
      </c>
      <c r="K7" s="28">
        <f>+[1]モンスター計算!K10</f>
        <v>3.5000000000000003E-2</v>
      </c>
      <c r="L7" s="16">
        <f>+[1]モンスター計算!L10</f>
        <v>1.4</v>
      </c>
      <c r="M7" s="28">
        <f>+[1]モンスター計算!M10</f>
        <v>1.5</v>
      </c>
      <c r="N7" s="15">
        <f>+[1]モンスター計算!N10</f>
        <v>0.6</v>
      </c>
      <c r="O7" s="16">
        <f>+[1]モンスター計算!O10</f>
        <v>3.1</v>
      </c>
      <c r="P7" s="28">
        <f>+[1]モンスター計算!P10</f>
        <v>0.12</v>
      </c>
      <c r="Q7" s="15">
        <f>+[1]モンスター計算!Q10</f>
        <v>0.12</v>
      </c>
      <c r="R7" s="15">
        <f>+[1]モンスター計算!R10</f>
        <v>0.12</v>
      </c>
      <c r="S7" s="15">
        <f>+[1]モンスター計算!S10</f>
        <v>0.12</v>
      </c>
      <c r="T7" s="15">
        <f>+[1]モンスター計算!T10</f>
        <v>0.32</v>
      </c>
      <c r="U7" s="15">
        <f>+[1]モンスター計算!U10</f>
        <v>1.999999999999999E-2</v>
      </c>
      <c r="V7" s="16">
        <f>+[1]モンスター計算!V10</f>
        <v>4.12</v>
      </c>
      <c r="W7" s="31">
        <v>15</v>
      </c>
      <c r="X7" s="28" t="s">
        <v>72</v>
      </c>
      <c r="Y7" s="34" t="s">
        <v>92</v>
      </c>
      <c r="Z7" s="16">
        <v>1.3</v>
      </c>
      <c r="AA7" s="31">
        <v>40</v>
      </c>
      <c r="AB7" s="31">
        <v>40</v>
      </c>
      <c r="AC7" s="48">
        <v>1</v>
      </c>
      <c r="AD7" s="28" t="s">
        <v>55</v>
      </c>
      <c r="AE7" s="15">
        <v>10</v>
      </c>
      <c r="AF7" s="15">
        <v>4</v>
      </c>
      <c r="AG7" s="16" t="b">
        <v>1</v>
      </c>
      <c r="AH7" s="31" t="s">
        <v>73</v>
      </c>
      <c r="AI7" s="34" t="s">
        <v>1826</v>
      </c>
    </row>
    <row r="8" spans="1:35">
      <c r="A8" s="51" t="s">
        <v>523</v>
      </c>
      <c r="B8" s="11" t="s">
        <v>199</v>
      </c>
      <c r="C8" s="26" t="s">
        <v>45</v>
      </c>
      <c r="D8" s="11" t="s">
        <v>61</v>
      </c>
      <c r="E8" s="26">
        <f>+[1]モンスター計算!E11</f>
        <v>117</v>
      </c>
      <c r="F8" s="10">
        <f>+[1]モンスター計算!F11</f>
        <v>28</v>
      </c>
      <c r="G8" s="10">
        <f>+[1]モンスター計算!G11</f>
        <v>6</v>
      </c>
      <c r="H8" s="10">
        <f>+[1]モンスター計算!H11</f>
        <v>19</v>
      </c>
      <c r="I8" s="10">
        <f>+[1]モンスター計算!I11</f>
        <v>7</v>
      </c>
      <c r="J8" s="11">
        <f>+[1]モンスター計算!J11</f>
        <v>18</v>
      </c>
      <c r="K8" s="26">
        <f>+[1]モンスター計算!K11</f>
        <v>4.4999999999999998E-2</v>
      </c>
      <c r="L8" s="11">
        <f>+[1]モンスター計算!L11</f>
        <v>1.45</v>
      </c>
      <c r="M8" s="26">
        <f>+[1]モンスター計算!M11</f>
        <v>1.9</v>
      </c>
      <c r="N8" s="10">
        <f>+[1]モンスター計算!N11</f>
        <v>0.84</v>
      </c>
      <c r="O8" s="11">
        <f>+[1]モンスター計算!O11</f>
        <v>2.65</v>
      </c>
      <c r="P8" s="26">
        <f>+[1]モンスター計算!P11</f>
        <v>-1.0000000000000009E-2</v>
      </c>
      <c r="Q8" s="10">
        <f>+[1]モンスター計算!Q11</f>
        <v>0.29000000000000004</v>
      </c>
      <c r="R8" s="10">
        <f>+[1]モンスター計算!R11</f>
        <v>0.09</v>
      </c>
      <c r="S8" s="10">
        <f>+[1]モンスター計算!S11</f>
        <v>0.09</v>
      </c>
      <c r="T8" s="10">
        <f>+[1]モンスター計算!T11</f>
        <v>0.09</v>
      </c>
      <c r="U8" s="10">
        <f>+[1]モンスター計算!U11</f>
        <v>0.09</v>
      </c>
      <c r="V8" s="11">
        <f>+[1]モンスター計算!V11</f>
        <v>4.4000000000000004</v>
      </c>
      <c r="W8" s="29">
        <v>8</v>
      </c>
      <c r="X8" s="26" t="s">
        <v>109</v>
      </c>
      <c r="Y8" s="32" t="s">
        <v>87</v>
      </c>
      <c r="Z8" s="11">
        <v>1.2</v>
      </c>
      <c r="AA8" s="29">
        <v>5</v>
      </c>
      <c r="AB8" s="29">
        <f>ROUNDUP(AB2*1.05,0)</f>
        <v>11</v>
      </c>
      <c r="AC8" s="46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29" t="s">
        <v>919</v>
      </c>
      <c r="AI8" s="32" t="s">
        <v>1826</v>
      </c>
    </row>
    <row r="9" spans="1:35">
      <c r="A9" s="52" t="s">
        <v>524</v>
      </c>
      <c r="B9" s="13" t="s">
        <v>200</v>
      </c>
      <c r="C9" s="27" t="s">
        <v>44</v>
      </c>
      <c r="D9" s="13" t="s">
        <v>61</v>
      </c>
      <c r="E9" s="27">
        <f>+[1]モンスター計算!E12</f>
        <v>61</v>
      </c>
      <c r="F9" s="5">
        <f>+[1]モンスター計算!F12</f>
        <v>24</v>
      </c>
      <c r="G9" s="5">
        <f>+[1]モンスター計算!G12</f>
        <v>11</v>
      </c>
      <c r="H9" s="5">
        <f>+[1]モンスター計算!H12</f>
        <v>31</v>
      </c>
      <c r="I9" s="5">
        <f>+[1]モンスター計算!I12</f>
        <v>13</v>
      </c>
      <c r="J9" s="13">
        <f>+[1]モンスター計算!J12</f>
        <v>20</v>
      </c>
      <c r="K9" s="27">
        <f>+[1]モンスター計算!K12</f>
        <v>0.04</v>
      </c>
      <c r="L9" s="13">
        <f>+[1]モンスター計算!L12</f>
        <v>1.38</v>
      </c>
      <c r="M9" s="27">
        <f>+[1]モンスター計算!M12</f>
        <v>2.2000000000000002</v>
      </c>
      <c r="N9" s="5">
        <f>+[1]モンスター計算!N12</f>
        <v>0.88</v>
      </c>
      <c r="O9" s="13">
        <f>+[1]モンスター計算!O12</f>
        <v>3.15</v>
      </c>
      <c r="P9" s="27">
        <f>+[1]モンスター計算!P12</f>
        <v>0.33</v>
      </c>
      <c r="Q9" s="5">
        <f>+[1]モンスター計算!Q12</f>
        <v>0.03</v>
      </c>
      <c r="R9" s="5">
        <f>+[1]モンスター計算!R12</f>
        <v>0.13</v>
      </c>
      <c r="S9" s="5">
        <f>+[1]モンスター計算!S12</f>
        <v>0.13</v>
      </c>
      <c r="T9" s="5">
        <f>+[1]モンスター計算!T12</f>
        <v>0.13</v>
      </c>
      <c r="U9" s="5">
        <f>+[1]モンスター計算!U12</f>
        <v>0.13</v>
      </c>
      <c r="V9" s="13">
        <f>+[1]モンスター計算!V12</f>
        <v>4.4800000000000004</v>
      </c>
      <c r="W9" s="30">
        <v>8</v>
      </c>
      <c r="X9" s="27" t="s">
        <v>64</v>
      </c>
      <c r="Y9" s="33" t="s">
        <v>88</v>
      </c>
      <c r="Z9" s="13">
        <v>1.2</v>
      </c>
      <c r="AA9" s="30">
        <v>7</v>
      </c>
      <c r="AB9" s="30">
        <f t="shared" ref="AB9:AB72" si="0">ROUNDUP(AB3*1.05,0)</f>
        <v>13</v>
      </c>
      <c r="AC9" s="47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0" t="s">
        <v>920</v>
      </c>
      <c r="AI9" s="33" t="s">
        <v>1826</v>
      </c>
    </row>
    <row r="10" spans="1:35">
      <c r="A10" s="52" t="s">
        <v>525</v>
      </c>
      <c r="B10" s="13" t="s">
        <v>201</v>
      </c>
      <c r="C10" s="27" t="s">
        <v>46</v>
      </c>
      <c r="D10" s="13" t="s">
        <v>61</v>
      </c>
      <c r="E10" s="27">
        <f>+[1]モンスター計算!E13</f>
        <v>110</v>
      </c>
      <c r="F10" s="5">
        <f>+[1]モンスター計算!F13</f>
        <v>23</v>
      </c>
      <c r="G10" s="5">
        <f>+[1]モンスター計算!G13</f>
        <v>9</v>
      </c>
      <c r="H10" s="5">
        <f>+[1]モンスター計算!H13</f>
        <v>19</v>
      </c>
      <c r="I10" s="5">
        <f>+[1]モンスター計算!I13</f>
        <v>9</v>
      </c>
      <c r="J10" s="13">
        <f>+[1]モンスター計算!J13</f>
        <v>11</v>
      </c>
      <c r="K10" s="27">
        <f>+[1]モンスター計算!K13</f>
        <v>0.06</v>
      </c>
      <c r="L10" s="13">
        <f>+[1]モンスター計算!L13</f>
        <v>1.4</v>
      </c>
      <c r="M10" s="27">
        <f>+[1]モンスター計算!M13</f>
        <v>2.1</v>
      </c>
      <c r="N10" s="5">
        <f>+[1]モンスター計算!N13</f>
        <v>0.95</v>
      </c>
      <c r="O10" s="13">
        <f>+[1]モンスター計算!O13</f>
        <v>2.875</v>
      </c>
      <c r="P10" s="27">
        <f>+[1]モンスター計算!P13</f>
        <v>0.03</v>
      </c>
      <c r="Q10" s="5">
        <f>+[1]モンスター計算!Q13</f>
        <v>0.03</v>
      </c>
      <c r="R10" s="5">
        <f>+[1]モンスター計算!R13</f>
        <v>0.23</v>
      </c>
      <c r="S10" s="5">
        <f>+[1]モンスター計算!S13</f>
        <v>-7.0000000000000007E-2</v>
      </c>
      <c r="T10" s="5">
        <f>+[1]モンスター計算!T13</f>
        <v>0.03</v>
      </c>
      <c r="U10" s="5">
        <f>+[1]モンスター計算!U13</f>
        <v>0.03</v>
      </c>
      <c r="V10" s="13">
        <f>+[1]モンスター計算!V13</f>
        <v>4.8</v>
      </c>
      <c r="W10" s="30">
        <v>9</v>
      </c>
      <c r="X10" s="27" t="s">
        <v>66</v>
      </c>
      <c r="Y10" s="33" t="s">
        <v>89</v>
      </c>
      <c r="Z10" s="13">
        <v>1.22</v>
      </c>
      <c r="AA10" s="30">
        <v>10</v>
      </c>
      <c r="AB10" s="30">
        <f t="shared" si="0"/>
        <v>16</v>
      </c>
      <c r="AC10" s="47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0" t="s">
        <v>921</v>
      </c>
      <c r="AI10" s="33" t="s">
        <v>1826</v>
      </c>
    </row>
    <row r="11" spans="1:35">
      <c r="A11" s="52" t="s">
        <v>526</v>
      </c>
      <c r="B11" s="13" t="s">
        <v>202</v>
      </c>
      <c r="C11" s="27" t="s">
        <v>44</v>
      </c>
      <c r="D11" s="13" t="s">
        <v>59</v>
      </c>
      <c r="E11" s="27">
        <f>+[1]モンスター計算!E14</f>
        <v>130</v>
      </c>
      <c r="F11" s="5">
        <f>+[1]モンスター計算!F14</f>
        <v>7</v>
      </c>
      <c r="G11" s="5">
        <f>+[1]モンスター計算!G14</f>
        <v>17</v>
      </c>
      <c r="H11" s="5">
        <f>+[1]モンスター計算!H14</f>
        <v>5</v>
      </c>
      <c r="I11" s="5">
        <f>+[1]モンスター計算!I14</f>
        <v>10</v>
      </c>
      <c r="J11" s="13">
        <f>+[1]モンスター計算!J14</f>
        <v>10</v>
      </c>
      <c r="K11" s="27">
        <f>+[1]モンスター計算!K14</f>
        <v>0.04</v>
      </c>
      <c r="L11" s="13">
        <f>+[1]モンスター計算!L14</f>
        <v>1.43</v>
      </c>
      <c r="M11" s="27">
        <f>+[1]モンスター計算!M14</f>
        <v>2.15</v>
      </c>
      <c r="N11" s="5">
        <f>+[1]モンスター計算!N14</f>
        <v>0.88</v>
      </c>
      <c r="O11" s="13">
        <f>+[1]モンスター計算!O14</f>
        <v>1.425</v>
      </c>
      <c r="P11" s="27">
        <f>+[1]モンスター計算!P14</f>
        <v>0.39</v>
      </c>
      <c r="Q11" s="5">
        <f>+[1]モンスター計算!Q14</f>
        <v>0.09</v>
      </c>
      <c r="R11" s="5">
        <f>+[1]モンスター計算!R14</f>
        <v>0.19</v>
      </c>
      <c r="S11" s="5">
        <f>+[1]モンスター計算!S14</f>
        <v>0.19</v>
      </c>
      <c r="T11" s="5">
        <f>+[1]モンスター計算!T14</f>
        <v>0.19</v>
      </c>
      <c r="U11" s="5">
        <f>+[1]モンスター計算!U14</f>
        <v>0.19</v>
      </c>
      <c r="V11" s="13">
        <f>+[1]モンスター計算!V14</f>
        <v>3.8</v>
      </c>
      <c r="W11" s="30">
        <v>10</v>
      </c>
      <c r="X11" s="27" t="s">
        <v>68</v>
      </c>
      <c r="Y11" s="33" t="s">
        <v>90</v>
      </c>
      <c r="Z11" s="13">
        <v>1.25</v>
      </c>
      <c r="AA11" s="30">
        <v>15</v>
      </c>
      <c r="AB11" s="30">
        <f t="shared" si="0"/>
        <v>21</v>
      </c>
      <c r="AC11" s="47">
        <f t="shared" si="1"/>
        <v>2</v>
      </c>
      <c r="AD11" s="27" t="s">
        <v>74</v>
      </c>
      <c r="AE11" s="5">
        <v>0</v>
      </c>
      <c r="AF11" s="5">
        <v>0</v>
      </c>
      <c r="AG11" s="13" t="b">
        <v>0</v>
      </c>
      <c r="AH11" s="30" t="s">
        <v>922</v>
      </c>
      <c r="AI11" s="33" t="s">
        <v>1826</v>
      </c>
    </row>
    <row r="12" spans="1:35">
      <c r="A12" s="52" t="s">
        <v>527</v>
      </c>
      <c r="B12" s="13" t="s">
        <v>203</v>
      </c>
      <c r="C12" s="27" t="s">
        <v>45</v>
      </c>
      <c r="D12" s="13" t="s">
        <v>59</v>
      </c>
      <c r="E12" s="27">
        <f>+[1]モンスター計算!E15</f>
        <v>96</v>
      </c>
      <c r="F12" s="5">
        <f>+[1]モンスター計算!F15</f>
        <v>5</v>
      </c>
      <c r="G12" s="5">
        <f>+[1]モンスター計算!G15</f>
        <v>18</v>
      </c>
      <c r="H12" s="5">
        <f>+[1]モンスター計算!H15</f>
        <v>5</v>
      </c>
      <c r="I12" s="5">
        <f>+[1]モンスター計算!I15</f>
        <v>8</v>
      </c>
      <c r="J12" s="13">
        <f>+[1]モンスター計算!J15</f>
        <v>7</v>
      </c>
      <c r="K12" s="27">
        <f>+[1]モンスター計算!K15</f>
        <v>0.27</v>
      </c>
      <c r="L12" s="13">
        <f>+[1]モンスター計算!L15</f>
        <v>2.0299999999999998</v>
      </c>
      <c r="M12" s="27">
        <f>+[1]モンスター計算!M15</f>
        <v>2.75</v>
      </c>
      <c r="N12" s="5">
        <f>+[1]モンスター計算!N15</f>
        <v>1.04</v>
      </c>
      <c r="O12" s="13">
        <f>+[1]モンスター計算!O15</f>
        <v>1.53</v>
      </c>
      <c r="P12" s="27">
        <f>+[1]モンスター計算!P15</f>
        <v>-0.16</v>
      </c>
      <c r="Q12" s="5">
        <f>+[1]モンスター計算!Q15</f>
        <v>0.14000000000000001</v>
      </c>
      <c r="R12" s="5">
        <f>+[1]モンスター計算!R15</f>
        <v>-0.06</v>
      </c>
      <c r="S12" s="5">
        <f>+[1]モンスター計算!S15</f>
        <v>-0.06</v>
      </c>
      <c r="T12" s="5">
        <f>+[1]モンスター計算!T15</f>
        <v>-0.06</v>
      </c>
      <c r="U12" s="5">
        <f>+[1]モンスター計算!U15</f>
        <v>-0.06</v>
      </c>
      <c r="V12" s="13">
        <f>+[1]モンスター計算!V15</f>
        <v>4.2</v>
      </c>
      <c r="W12" s="30">
        <v>11</v>
      </c>
      <c r="X12" s="27" t="s">
        <v>70</v>
      </c>
      <c r="Y12" s="33" t="s">
        <v>91</v>
      </c>
      <c r="Z12" s="13">
        <v>1.25</v>
      </c>
      <c r="AA12" s="30">
        <v>20</v>
      </c>
      <c r="AB12" s="30">
        <f t="shared" si="0"/>
        <v>27</v>
      </c>
      <c r="AC12" s="47">
        <f t="shared" si="1"/>
        <v>2</v>
      </c>
      <c r="AD12" s="27" t="s">
        <v>74</v>
      </c>
      <c r="AE12" s="5">
        <v>0</v>
      </c>
      <c r="AF12" s="5">
        <v>0</v>
      </c>
      <c r="AG12" s="13" t="b">
        <v>0</v>
      </c>
      <c r="AH12" s="30" t="s">
        <v>923</v>
      </c>
      <c r="AI12" s="33" t="s">
        <v>1826</v>
      </c>
    </row>
    <row r="13" spans="1:35" ht="19.5" thickBot="1">
      <c r="A13" s="53" t="s">
        <v>528</v>
      </c>
      <c r="B13" s="16" t="s">
        <v>204</v>
      </c>
      <c r="C13" s="28" t="s">
        <v>47</v>
      </c>
      <c r="D13" s="16" t="s">
        <v>61</v>
      </c>
      <c r="E13" s="28">
        <f>+[1]モンスター計算!E16</f>
        <v>110</v>
      </c>
      <c r="F13" s="15">
        <f>+[1]モンスター計算!F16</f>
        <v>18</v>
      </c>
      <c r="G13" s="15">
        <f>+[1]モンスター計算!G16</f>
        <v>8</v>
      </c>
      <c r="H13" s="15">
        <f>+[1]モンスター計算!H16</f>
        <v>18</v>
      </c>
      <c r="I13" s="15">
        <f>+[1]モンスター計算!I16</f>
        <v>8</v>
      </c>
      <c r="J13" s="16">
        <f>+[1]モンスター計算!J16</f>
        <v>10</v>
      </c>
      <c r="K13" s="28">
        <f>+[1]モンスター計算!K16</f>
        <v>7.0000000000000007E-2</v>
      </c>
      <c r="L13" s="16">
        <f>+[1]モンスター計算!L16</f>
        <v>1.55</v>
      </c>
      <c r="M13" s="28">
        <f>+[1]モンスター計算!M16</f>
        <v>2.2999999999999998</v>
      </c>
      <c r="N13" s="15">
        <f>+[1]モンスター計算!N16</f>
        <v>1.1000000000000001</v>
      </c>
      <c r="O13" s="16">
        <f>+[1]モンスター計算!O16</f>
        <v>2.7</v>
      </c>
      <c r="P13" s="28">
        <f>+[1]モンスター計算!P16</f>
        <v>-0.03</v>
      </c>
      <c r="Q13" s="15">
        <f>+[1]モンスター計算!Q16</f>
        <v>-0.03</v>
      </c>
      <c r="R13" s="15">
        <f>+[1]モンスター計算!R16</f>
        <v>-0.03</v>
      </c>
      <c r="S13" s="15">
        <f>+[1]モンスター計算!S16</f>
        <v>-0.03</v>
      </c>
      <c r="T13" s="15">
        <f>+[1]モンスター計算!T16</f>
        <v>0.17</v>
      </c>
      <c r="U13" s="15">
        <f>+[1]モンスター計算!U16</f>
        <v>-0.13</v>
      </c>
      <c r="V13" s="16">
        <f>+[1]モンスター計算!V16</f>
        <v>4</v>
      </c>
      <c r="W13" s="31">
        <v>15</v>
      </c>
      <c r="X13" s="28" t="s">
        <v>72</v>
      </c>
      <c r="Y13" s="34" t="s">
        <v>92</v>
      </c>
      <c r="Z13" s="16">
        <v>1.3</v>
      </c>
      <c r="AA13" s="31">
        <v>40</v>
      </c>
      <c r="AB13" s="31">
        <f t="shared" si="0"/>
        <v>42</v>
      </c>
      <c r="AC13" s="48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1" t="s">
        <v>924</v>
      </c>
      <c r="AI13" s="34" t="s">
        <v>1826</v>
      </c>
    </row>
    <row r="14" spans="1:35">
      <c r="A14" s="51" t="s">
        <v>529</v>
      </c>
      <c r="B14" s="11" t="s">
        <v>205</v>
      </c>
      <c r="C14" s="26" t="s">
        <v>45</v>
      </c>
      <c r="D14" s="11" t="s">
        <v>61</v>
      </c>
      <c r="E14" s="26">
        <f>+[1]モンスター計算!E17</f>
        <v>169</v>
      </c>
      <c r="F14" s="10">
        <f>+[1]モンスター計算!F17</f>
        <v>39</v>
      </c>
      <c r="G14" s="10">
        <f>+[1]モンスター計算!G17</f>
        <v>6</v>
      </c>
      <c r="H14" s="10">
        <f>+[1]モンスター計算!H17</f>
        <v>17</v>
      </c>
      <c r="I14" s="10">
        <f>+[1]モンスター計算!I17</f>
        <v>9</v>
      </c>
      <c r="J14" s="11">
        <f>+[1]モンスター計算!J17</f>
        <v>16</v>
      </c>
      <c r="K14" s="26">
        <f>+[1]モンスター計算!K17</f>
        <v>0.115</v>
      </c>
      <c r="L14" s="11">
        <f>+[1]モンスター計算!L17</f>
        <v>1.95</v>
      </c>
      <c r="M14" s="26">
        <f>+[1]モンスター計算!M17</f>
        <v>1.2</v>
      </c>
      <c r="N14" s="10">
        <f>+[1]モンスター計算!N17</f>
        <v>0.72</v>
      </c>
      <c r="O14" s="11">
        <f>+[1]モンスター計算!O17</f>
        <v>3.3250000000000002</v>
      </c>
      <c r="P14" s="26">
        <f>+[1]モンスター計算!P17</f>
        <v>-2.0000000000000004E-2</v>
      </c>
      <c r="Q14" s="10">
        <f>+[1]モンスター計算!Q17</f>
        <v>0.28000000000000003</v>
      </c>
      <c r="R14" s="10">
        <f>+[1]モンスター計算!R17</f>
        <v>0.08</v>
      </c>
      <c r="S14" s="10">
        <f>+[1]モンスター計算!S17</f>
        <v>0.08</v>
      </c>
      <c r="T14" s="10">
        <f>+[1]モンスター計算!T17</f>
        <v>0.08</v>
      </c>
      <c r="U14" s="10">
        <f>+[1]モンスター計算!U17</f>
        <v>0.08</v>
      </c>
      <c r="V14" s="11">
        <f>+[1]モンスター計算!V17</f>
        <v>5</v>
      </c>
      <c r="W14" s="29">
        <v>8</v>
      </c>
      <c r="X14" s="26" t="s">
        <v>109</v>
      </c>
      <c r="Y14" s="32" t="s">
        <v>87</v>
      </c>
      <c r="Z14" s="11">
        <v>1.2</v>
      </c>
      <c r="AA14" s="29">
        <v>5</v>
      </c>
      <c r="AB14" s="29">
        <f t="shared" si="0"/>
        <v>12</v>
      </c>
      <c r="AC14" s="46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29" t="s">
        <v>925</v>
      </c>
      <c r="AI14" s="32" t="s">
        <v>1826</v>
      </c>
    </row>
    <row r="15" spans="1:35">
      <c r="A15" s="52" t="s">
        <v>530</v>
      </c>
      <c r="B15" s="13" t="s">
        <v>206</v>
      </c>
      <c r="C15" s="27" t="s">
        <v>44</v>
      </c>
      <c r="D15" s="13" t="s">
        <v>61</v>
      </c>
      <c r="E15" s="27">
        <f>+[1]モンスター計算!E18</f>
        <v>94</v>
      </c>
      <c r="F15" s="5">
        <f>+[1]モンスター計算!F18</f>
        <v>20</v>
      </c>
      <c r="G15" s="5">
        <f>+[1]モンスター計算!G18</f>
        <v>12</v>
      </c>
      <c r="H15" s="5">
        <f>+[1]モンスター計算!H18</f>
        <v>26</v>
      </c>
      <c r="I15" s="5">
        <f>+[1]モンスター計算!I18</f>
        <v>7</v>
      </c>
      <c r="J15" s="13">
        <f>+[1]モンスター計算!J18</f>
        <v>8</v>
      </c>
      <c r="K15" s="27">
        <f>+[1]モンスター計算!K18</f>
        <v>0.11</v>
      </c>
      <c r="L15" s="13">
        <f>+[1]モンスター計算!L18</f>
        <v>1.65</v>
      </c>
      <c r="M15" s="27">
        <f>+[1]モンスター計算!M18</f>
        <v>2.2000000000000002</v>
      </c>
      <c r="N15" s="5">
        <f>+[1]モンスター計算!N18</f>
        <v>1.1000000000000001</v>
      </c>
      <c r="O15" s="13">
        <f>+[1]モンスター計算!O18</f>
        <v>2.75</v>
      </c>
      <c r="P15" s="27">
        <f>+[1]モンスター計算!P18</f>
        <v>0.16</v>
      </c>
      <c r="Q15" s="5">
        <f>+[1]モンスター計算!Q18</f>
        <v>-0.14000000000000001</v>
      </c>
      <c r="R15" s="5">
        <f>+[1]モンスター計算!R18</f>
        <v>-0.04</v>
      </c>
      <c r="S15" s="5">
        <f>+[1]モンスター計算!S18</f>
        <v>-0.04</v>
      </c>
      <c r="T15" s="5">
        <f>+[1]モンスター計算!T18</f>
        <v>-0.04</v>
      </c>
      <c r="U15" s="5">
        <f>+[1]モンスター計算!U18</f>
        <v>-0.04</v>
      </c>
      <c r="V15" s="13">
        <f>+[1]モンスター計算!V18</f>
        <v>4.2</v>
      </c>
      <c r="W15" s="30">
        <v>8</v>
      </c>
      <c r="X15" s="27" t="s">
        <v>64</v>
      </c>
      <c r="Y15" s="33" t="s">
        <v>88</v>
      </c>
      <c r="Z15" s="13">
        <v>1.2</v>
      </c>
      <c r="AA15" s="30">
        <v>7</v>
      </c>
      <c r="AB15" s="30">
        <f t="shared" si="0"/>
        <v>14</v>
      </c>
      <c r="AC15" s="47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0" t="s">
        <v>926</v>
      </c>
      <c r="AI15" s="33" t="s">
        <v>1826</v>
      </c>
    </row>
    <row r="16" spans="1:35">
      <c r="A16" s="52" t="s">
        <v>531</v>
      </c>
      <c r="B16" s="13" t="s">
        <v>207</v>
      </c>
      <c r="C16" s="27" t="s">
        <v>46</v>
      </c>
      <c r="D16" s="13" t="s">
        <v>61</v>
      </c>
      <c r="E16" s="27">
        <f>+[1]モンスター計算!E19</f>
        <v>208</v>
      </c>
      <c r="F16" s="5">
        <f>+[1]モンスター計算!F19</f>
        <v>24</v>
      </c>
      <c r="G16" s="5">
        <f>+[1]モンスター計算!G19</f>
        <v>5</v>
      </c>
      <c r="H16" s="5">
        <f>+[1]モンスター計算!H19</f>
        <v>17</v>
      </c>
      <c r="I16" s="5">
        <f>+[1]モンスター計算!I19</f>
        <v>16</v>
      </c>
      <c r="J16" s="13">
        <f>+[1]モンスター計算!J19</f>
        <v>15</v>
      </c>
      <c r="K16" s="27">
        <f>+[1]モンスター計算!K19</f>
        <v>3.5000000000000003E-2</v>
      </c>
      <c r="L16" s="13">
        <f>+[1]モンスター計算!L19</f>
        <v>1.4</v>
      </c>
      <c r="M16" s="27">
        <f>+[1]モンスター計算!M19</f>
        <v>1.5</v>
      </c>
      <c r="N16" s="5">
        <f>+[1]モンスター計算!N19</f>
        <v>0.6</v>
      </c>
      <c r="O16" s="13">
        <f>+[1]モンスター計算!O19</f>
        <v>3.1</v>
      </c>
      <c r="P16" s="27">
        <f>+[1]モンスター計算!P19</f>
        <v>0.12</v>
      </c>
      <c r="Q16" s="5">
        <f>+[1]モンスター計算!Q19</f>
        <v>0.12</v>
      </c>
      <c r="R16" s="5">
        <f>+[1]モンスター計算!R19</f>
        <v>0.32</v>
      </c>
      <c r="S16" s="5">
        <f>+[1]モンスター計算!S19</f>
        <v>1.999999999999999E-2</v>
      </c>
      <c r="T16" s="5">
        <f>+[1]モンスター計算!T19</f>
        <v>0.12</v>
      </c>
      <c r="U16" s="5">
        <f>+[1]モンスター計算!U19</f>
        <v>0.12</v>
      </c>
      <c r="V16" s="13">
        <f>+[1]モンスター計算!V19</f>
        <v>4.12</v>
      </c>
      <c r="W16" s="30">
        <v>9</v>
      </c>
      <c r="X16" s="27" t="s">
        <v>66</v>
      </c>
      <c r="Y16" s="33" t="s">
        <v>89</v>
      </c>
      <c r="Z16" s="13">
        <v>1.22</v>
      </c>
      <c r="AA16" s="30">
        <v>10</v>
      </c>
      <c r="AB16" s="30">
        <f t="shared" si="0"/>
        <v>17</v>
      </c>
      <c r="AC16" s="47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0" t="s">
        <v>927</v>
      </c>
      <c r="AI16" s="33" t="s">
        <v>1826</v>
      </c>
    </row>
    <row r="17" spans="1:35">
      <c r="A17" s="52" t="s">
        <v>532</v>
      </c>
      <c r="B17" s="13" t="s">
        <v>208</v>
      </c>
      <c r="C17" s="27" t="s">
        <v>44</v>
      </c>
      <c r="D17" s="13" t="s">
        <v>59</v>
      </c>
      <c r="E17" s="27">
        <f>+[1]モンスター計算!E20</f>
        <v>248</v>
      </c>
      <c r="F17" s="5">
        <f>+[1]モンスター計算!F20</f>
        <v>5</v>
      </c>
      <c r="G17" s="5">
        <f>+[1]モンスター計算!G20</f>
        <v>19</v>
      </c>
      <c r="H17" s="5">
        <f>+[1]モンスター計算!H20</f>
        <v>8</v>
      </c>
      <c r="I17" s="5">
        <f>+[1]モンスター計算!I20</f>
        <v>15</v>
      </c>
      <c r="J17" s="13">
        <f>+[1]モンスター計算!J20</f>
        <v>13</v>
      </c>
      <c r="K17" s="27">
        <f>+[1]モンスター計算!K20</f>
        <v>2.5000000000000001E-2</v>
      </c>
      <c r="L17" s="13">
        <f>+[1]モンスター計算!L20</f>
        <v>1.35</v>
      </c>
      <c r="M17" s="27">
        <f>+[1]モンスター計算!M20</f>
        <v>1.1499999999999999</v>
      </c>
      <c r="N17" s="5">
        <f>+[1]モンスター計算!N20</f>
        <v>0.51</v>
      </c>
      <c r="O17" s="13">
        <f>+[1]モンスター計算!O20</f>
        <v>1.2749999999999999</v>
      </c>
      <c r="P17" s="27">
        <f>+[1]モンスター計算!P20</f>
        <v>0.25</v>
      </c>
      <c r="Q17" s="5">
        <f>+[1]モンスター計算!Q20</f>
        <v>-0.05</v>
      </c>
      <c r="R17" s="5">
        <f>+[1]モンスター計算!R20</f>
        <v>0.05</v>
      </c>
      <c r="S17" s="5">
        <f>+[1]モンスター計算!S20</f>
        <v>0.05</v>
      </c>
      <c r="T17" s="5">
        <f>+[1]モンスター計算!T20</f>
        <v>0.05</v>
      </c>
      <c r="U17" s="5">
        <f>+[1]モンスター計算!U20</f>
        <v>0.05</v>
      </c>
      <c r="V17" s="13">
        <f>+[1]モンスター計算!V20</f>
        <v>3.2</v>
      </c>
      <c r="W17" s="30">
        <v>10</v>
      </c>
      <c r="X17" s="27" t="s">
        <v>68</v>
      </c>
      <c r="Y17" s="33" t="s">
        <v>90</v>
      </c>
      <c r="Z17" s="13">
        <v>1.25</v>
      </c>
      <c r="AA17" s="30">
        <v>15</v>
      </c>
      <c r="AB17" s="30">
        <f t="shared" si="0"/>
        <v>23</v>
      </c>
      <c r="AC17" s="47">
        <f t="shared" si="1"/>
        <v>3</v>
      </c>
      <c r="AD17" s="27" t="s">
        <v>74</v>
      </c>
      <c r="AE17" s="5">
        <v>0</v>
      </c>
      <c r="AF17" s="5">
        <v>0</v>
      </c>
      <c r="AG17" s="13" t="b">
        <v>0</v>
      </c>
      <c r="AH17" s="30" t="s">
        <v>928</v>
      </c>
      <c r="AI17" s="33" t="s">
        <v>1826</v>
      </c>
    </row>
    <row r="18" spans="1:35">
      <c r="A18" s="52" t="s">
        <v>533</v>
      </c>
      <c r="B18" s="13" t="s">
        <v>209</v>
      </c>
      <c r="C18" s="27" t="s">
        <v>45</v>
      </c>
      <c r="D18" s="13" t="s">
        <v>59</v>
      </c>
      <c r="E18" s="27">
        <f>+[1]モンスター計算!E21</f>
        <v>163</v>
      </c>
      <c r="F18" s="5">
        <f>+[1]モンスター計算!F21</f>
        <v>7</v>
      </c>
      <c r="G18" s="5">
        <f>+[1]モンスター計算!G21</f>
        <v>14</v>
      </c>
      <c r="H18" s="5">
        <f>+[1]モンスター計算!H21</f>
        <v>6</v>
      </c>
      <c r="I18" s="5">
        <f>+[1]モンスター計算!I21</f>
        <v>14</v>
      </c>
      <c r="J18" s="13">
        <f>+[1]モンスター計算!J21</f>
        <v>10</v>
      </c>
      <c r="K18" s="27">
        <f>+[1]モンスター計算!K21</f>
        <v>0.08</v>
      </c>
      <c r="L18" s="13">
        <f>+[1]モンスター計算!L21</f>
        <v>1.6</v>
      </c>
      <c r="M18" s="27">
        <f>+[1]モンスター計算!M21</f>
        <v>2.7</v>
      </c>
      <c r="N18" s="5">
        <f>+[1]モンスター計算!N21</f>
        <v>1.05</v>
      </c>
      <c r="O18" s="13">
        <f>+[1]モンスター計算!O21</f>
        <v>1.2</v>
      </c>
      <c r="P18" s="27">
        <f>+[1]モンスター計算!P21</f>
        <v>-3.5000000000000003E-2</v>
      </c>
      <c r="Q18" s="5">
        <f>+[1]モンスター計算!Q21</f>
        <v>0.26500000000000001</v>
      </c>
      <c r="R18" s="5">
        <f>+[1]モンスター計算!R21</f>
        <v>6.5000000000000002E-2</v>
      </c>
      <c r="S18" s="5">
        <f>+[1]モンスター計算!S21</f>
        <v>6.5000000000000002E-2</v>
      </c>
      <c r="T18" s="5">
        <f>+[1]モンスター計算!T21</f>
        <v>6.5000000000000002E-2</v>
      </c>
      <c r="U18" s="5">
        <f>+[1]モンスター計算!U21</f>
        <v>6.5000000000000002E-2</v>
      </c>
      <c r="V18" s="13">
        <f>+[1]モンスター計算!V21</f>
        <v>4</v>
      </c>
      <c r="W18" s="30">
        <v>11</v>
      </c>
      <c r="X18" s="27" t="s">
        <v>70</v>
      </c>
      <c r="Y18" s="33" t="s">
        <v>91</v>
      </c>
      <c r="Z18" s="13">
        <v>1.25</v>
      </c>
      <c r="AA18" s="30">
        <v>20</v>
      </c>
      <c r="AB18" s="30">
        <f t="shared" si="0"/>
        <v>29</v>
      </c>
      <c r="AC18" s="47">
        <f t="shared" si="1"/>
        <v>3</v>
      </c>
      <c r="AD18" s="27" t="s">
        <v>74</v>
      </c>
      <c r="AE18" s="5">
        <v>0</v>
      </c>
      <c r="AF18" s="5">
        <v>0</v>
      </c>
      <c r="AG18" s="13" t="b">
        <v>0</v>
      </c>
      <c r="AH18" s="30" t="s">
        <v>929</v>
      </c>
      <c r="AI18" s="33" t="s">
        <v>1826</v>
      </c>
    </row>
    <row r="19" spans="1:35" ht="19.5" thickBot="1">
      <c r="A19" s="53" t="s">
        <v>534</v>
      </c>
      <c r="B19" s="16" t="s">
        <v>210</v>
      </c>
      <c r="C19" s="28" t="s">
        <v>47</v>
      </c>
      <c r="D19" s="16" t="s">
        <v>61</v>
      </c>
      <c r="E19" s="28">
        <f>+[1]モンスター計算!E22</f>
        <v>90</v>
      </c>
      <c r="F19" s="15">
        <f>+[1]モンスター計算!F22</f>
        <v>17</v>
      </c>
      <c r="G19" s="15">
        <f>+[1]モンスター計算!G22</f>
        <v>6</v>
      </c>
      <c r="H19" s="15">
        <f>+[1]モンスター計算!H22</f>
        <v>21</v>
      </c>
      <c r="I19" s="15">
        <f>+[1]モンスター計算!I22</f>
        <v>7</v>
      </c>
      <c r="J19" s="16">
        <f>+[1]モンスター計算!J22</f>
        <v>8</v>
      </c>
      <c r="K19" s="28">
        <f>+[1]モンスター計算!K22</f>
        <v>0.05</v>
      </c>
      <c r="L19" s="16">
        <f>+[1]モンスター計算!L22</f>
        <v>1.4</v>
      </c>
      <c r="M19" s="28">
        <f>+[1]モンスター計算!M22</f>
        <v>3.35</v>
      </c>
      <c r="N19" s="15">
        <f>+[1]モンスター計算!N22</f>
        <v>1.55</v>
      </c>
      <c r="O19" s="16">
        <f>+[1]モンスター計算!O22</f>
        <v>2.2999999999999998</v>
      </c>
      <c r="P19" s="28">
        <f>+[1]モンスター計算!P22</f>
        <v>-7.0000000000000007E-2</v>
      </c>
      <c r="Q19" s="15">
        <f>+[1]モンスター計算!Q22</f>
        <v>-7.0000000000000007E-2</v>
      </c>
      <c r="R19" s="15">
        <f>+[1]モンスター計算!R22</f>
        <v>-7.0000000000000007E-2</v>
      </c>
      <c r="S19" s="15">
        <f>+[1]モンスター計算!S22</f>
        <v>-7.0000000000000007E-2</v>
      </c>
      <c r="T19" s="15">
        <f>+[1]モンスター計算!T22</f>
        <v>0.13</v>
      </c>
      <c r="U19" s="15">
        <f>+[1]モンスター計算!U22</f>
        <v>-0.17</v>
      </c>
      <c r="V19" s="16">
        <f>+[1]モンスター計算!V22</f>
        <v>4</v>
      </c>
      <c r="W19" s="31">
        <v>15</v>
      </c>
      <c r="X19" s="28" t="s">
        <v>72</v>
      </c>
      <c r="Y19" s="34" t="s">
        <v>92</v>
      </c>
      <c r="Z19" s="16">
        <v>1.3</v>
      </c>
      <c r="AA19" s="31">
        <v>40</v>
      </c>
      <c r="AB19" s="31">
        <f t="shared" si="0"/>
        <v>45</v>
      </c>
      <c r="AC19" s="48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1" t="s">
        <v>930</v>
      </c>
      <c r="AI19" s="34" t="s">
        <v>1826</v>
      </c>
    </row>
    <row r="20" spans="1:35">
      <c r="A20" s="51" t="s">
        <v>535</v>
      </c>
      <c r="B20" s="11" t="s">
        <v>211</v>
      </c>
      <c r="C20" s="26" t="s">
        <v>45</v>
      </c>
      <c r="D20" s="11" t="s">
        <v>61</v>
      </c>
      <c r="E20" s="26">
        <f>+[1]モンスター計算!E23</f>
        <v>160</v>
      </c>
      <c r="F20" s="10">
        <f>+[1]モンスター計算!F23</f>
        <v>19</v>
      </c>
      <c r="G20" s="10">
        <f>+[1]モンスター計算!G23</f>
        <v>9</v>
      </c>
      <c r="H20" s="10">
        <f>+[1]モンスター計算!H23</f>
        <v>19</v>
      </c>
      <c r="I20" s="10">
        <f>+[1]モンスター計算!I23</f>
        <v>14</v>
      </c>
      <c r="J20" s="11">
        <f>+[1]モンスター計算!J23</f>
        <v>9</v>
      </c>
      <c r="K20" s="26">
        <f>+[1]モンスター計算!K23</f>
        <v>0.08</v>
      </c>
      <c r="L20" s="11">
        <f>+[1]モンスター計算!L23</f>
        <v>1.6</v>
      </c>
      <c r="M20" s="26">
        <f>+[1]モンスター計算!M23</f>
        <v>2.8</v>
      </c>
      <c r="N20" s="10">
        <f>+[1]モンスター計算!N23</f>
        <v>1</v>
      </c>
      <c r="O20" s="11">
        <f>+[1]モンスター計算!O23</f>
        <v>2.5</v>
      </c>
      <c r="P20" s="26">
        <f>+[1]モンスター計算!P23</f>
        <v>-8.5000000000000006E-2</v>
      </c>
      <c r="Q20" s="10">
        <f>+[1]モンスター計算!Q23</f>
        <v>0.21500000000000002</v>
      </c>
      <c r="R20" s="10">
        <f>+[1]モンスター計算!R23</f>
        <v>1.4999999999999999E-2</v>
      </c>
      <c r="S20" s="10">
        <f>+[1]モンスター計算!S23</f>
        <v>1.4999999999999999E-2</v>
      </c>
      <c r="T20" s="10">
        <f>+[1]モンスター計算!T23</f>
        <v>1.4999999999999999E-2</v>
      </c>
      <c r="U20" s="10">
        <f>+[1]モンスター計算!U23</f>
        <v>1.4999999999999999E-2</v>
      </c>
      <c r="V20" s="11">
        <f>+[1]モンスター計算!V23</f>
        <v>4</v>
      </c>
      <c r="W20" s="29">
        <v>8</v>
      </c>
      <c r="X20" s="26" t="s">
        <v>109</v>
      </c>
      <c r="Y20" s="32" t="s">
        <v>87</v>
      </c>
      <c r="Z20" s="11">
        <v>1.2</v>
      </c>
      <c r="AA20" s="29">
        <v>5</v>
      </c>
      <c r="AB20" s="29">
        <f t="shared" si="0"/>
        <v>13</v>
      </c>
      <c r="AC20" s="46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29" t="s">
        <v>931</v>
      </c>
      <c r="AI20" s="32" t="s">
        <v>1826</v>
      </c>
    </row>
    <row r="21" spans="1:35">
      <c r="A21" s="52" t="s">
        <v>536</v>
      </c>
      <c r="B21" s="13" t="s">
        <v>212</v>
      </c>
      <c r="C21" s="27" t="s">
        <v>44</v>
      </c>
      <c r="D21" s="13" t="s">
        <v>61</v>
      </c>
      <c r="E21" s="27">
        <f>+[1]モンスター計算!E24</f>
        <v>77</v>
      </c>
      <c r="F21" s="5">
        <f>+[1]モンスター計算!F24</f>
        <v>15</v>
      </c>
      <c r="G21" s="5">
        <f>+[1]モンスター計算!G24</f>
        <v>8</v>
      </c>
      <c r="H21" s="5">
        <f>+[1]モンスター計算!H24</f>
        <v>35</v>
      </c>
      <c r="I21" s="5">
        <f>+[1]モンスター計算!I24</f>
        <v>7</v>
      </c>
      <c r="J21" s="13">
        <f>+[1]モンスター計算!J24</f>
        <v>7</v>
      </c>
      <c r="K21" s="27">
        <f>+[1]モンスター計算!K24</f>
        <v>0.08</v>
      </c>
      <c r="L21" s="13">
        <f>+[1]モンスター計算!L24</f>
        <v>1.55</v>
      </c>
      <c r="M21" s="27">
        <f>+[1]モンスター計算!M24</f>
        <v>4.2</v>
      </c>
      <c r="N21" s="5">
        <f>+[1]モンスター計算!N24</f>
        <v>1.3</v>
      </c>
      <c r="O21" s="13">
        <f>+[1]モンスター計算!O24</f>
        <v>2.5</v>
      </c>
      <c r="P21" s="27">
        <f>+[1]モンスター計算!P24</f>
        <v>0.11000000000000001</v>
      </c>
      <c r="Q21" s="5">
        <f>+[1]モンスター計算!Q24</f>
        <v>-0.19</v>
      </c>
      <c r="R21" s="5">
        <f>+[1]モンスター計算!R24</f>
        <v>-0.09</v>
      </c>
      <c r="S21" s="5">
        <f>+[1]モンスター計算!S24</f>
        <v>-0.09</v>
      </c>
      <c r="T21" s="5">
        <f>+[1]モンスター計算!T24</f>
        <v>-0.09</v>
      </c>
      <c r="U21" s="5">
        <f>+[1]モンスター計算!U24</f>
        <v>-0.09</v>
      </c>
      <c r="V21" s="13">
        <f>+[1]モンスター計算!V24</f>
        <v>4.2</v>
      </c>
      <c r="W21" s="30">
        <v>8</v>
      </c>
      <c r="X21" s="27" t="s">
        <v>64</v>
      </c>
      <c r="Y21" s="33" t="s">
        <v>88</v>
      </c>
      <c r="Z21" s="13">
        <v>1.2</v>
      </c>
      <c r="AA21" s="30">
        <v>7</v>
      </c>
      <c r="AB21" s="30">
        <f t="shared" si="0"/>
        <v>15</v>
      </c>
      <c r="AC21" s="47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0" t="s">
        <v>932</v>
      </c>
      <c r="AI21" s="33" t="s">
        <v>1826</v>
      </c>
    </row>
    <row r="22" spans="1:35">
      <c r="A22" s="52" t="s">
        <v>537</v>
      </c>
      <c r="B22" s="13" t="s">
        <v>213</v>
      </c>
      <c r="C22" s="27" t="s">
        <v>46</v>
      </c>
      <c r="D22" s="13" t="s">
        <v>61</v>
      </c>
      <c r="E22" s="27">
        <f>+[1]モンスター計算!E25</f>
        <v>149</v>
      </c>
      <c r="F22" s="5">
        <f>+[1]モンスター計算!F25</f>
        <v>26</v>
      </c>
      <c r="G22" s="5">
        <f>+[1]モンスター計算!G25</f>
        <v>7</v>
      </c>
      <c r="H22" s="5">
        <f>+[1]モンスター計算!H25</f>
        <v>22</v>
      </c>
      <c r="I22" s="5">
        <f>+[1]モンスター計算!I25</f>
        <v>21</v>
      </c>
      <c r="J22" s="13">
        <f>+[1]モンスター計算!J25</f>
        <v>8</v>
      </c>
      <c r="K22" s="27">
        <f>+[1]モンスター計算!K25</f>
        <v>5.5E-2</v>
      </c>
      <c r="L22" s="13">
        <f>+[1]モンスター計算!L25</f>
        <v>1.5</v>
      </c>
      <c r="M22" s="27">
        <f>+[1]モンスター計算!M25</f>
        <v>1.85</v>
      </c>
      <c r="N22" s="5">
        <f>+[1]モンスター計算!N25</f>
        <v>0.87</v>
      </c>
      <c r="O22" s="13">
        <f>+[1]モンスター計算!O25</f>
        <v>2.35</v>
      </c>
      <c r="P22" s="27">
        <f>+[1]モンスター計算!P25</f>
        <v>6.5000000000000002E-2</v>
      </c>
      <c r="Q22" s="5">
        <f>+[1]モンスター計算!Q25</f>
        <v>6.5000000000000002E-2</v>
      </c>
      <c r="R22" s="5">
        <f>+[1]モンスター計算!R25</f>
        <v>0.26500000000000001</v>
      </c>
      <c r="S22" s="5">
        <f>+[1]モンスター計算!S25</f>
        <v>-3.5000000000000003E-2</v>
      </c>
      <c r="T22" s="5">
        <f>+[1]モンスター計算!T25</f>
        <v>6.5000000000000002E-2</v>
      </c>
      <c r="U22" s="5">
        <f>+[1]モンスター計算!U25</f>
        <v>6.5000000000000002E-2</v>
      </c>
      <c r="V22" s="13">
        <f>+[1]モンスター計算!V25</f>
        <v>4.2</v>
      </c>
      <c r="W22" s="30">
        <v>9</v>
      </c>
      <c r="X22" s="27" t="s">
        <v>66</v>
      </c>
      <c r="Y22" s="33" t="s">
        <v>89</v>
      </c>
      <c r="Z22" s="13">
        <v>1.22</v>
      </c>
      <c r="AA22" s="30">
        <v>10</v>
      </c>
      <c r="AB22" s="30">
        <f t="shared" si="0"/>
        <v>18</v>
      </c>
      <c r="AC22" s="47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0" t="s">
        <v>933</v>
      </c>
      <c r="AI22" s="33" t="s">
        <v>1826</v>
      </c>
    </row>
    <row r="23" spans="1:35">
      <c r="A23" s="52" t="s">
        <v>538</v>
      </c>
      <c r="B23" s="13" t="s">
        <v>214</v>
      </c>
      <c r="C23" s="27" t="s">
        <v>44</v>
      </c>
      <c r="D23" s="13" t="s">
        <v>59</v>
      </c>
      <c r="E23" s="27">
        <f>+[1]モンスター計算!E26</f>
        <v>160</v>
      </c>
      <c r="F23" s="5">
        <f>+[1]モンスター計算!F26</f>
        <v>7</v>
      </c>
      <c r="G23" s="5">
        <f>+[1]モンスター計算!G26</f>
        <v>19</v>
      </c>
      <c r="H23" s="5">
        <f>+[1]モンスター計算!H26</f>
        <v>9</v>
      </c>
      <c r="I23" s="5">
        <f>+[1]モンスター計算!I26</f>
        <v>14</v>
      </c>
      <c r="J23" s="13">
        <f>+[1]モンスター計算!J26</f>
        <v>9</v>
      </c>
      <c r="K23" s="27">
        <f>+[1]モンスター計算!K26</f>
        <v>0.08</v>
      </c>
      <c r="L23" s="13">
        <f>+[1]モンスター計算!L26</f>
        <v>1.6</v>
      </c>
      <c r="M23" s="27">
        <f>+[1]モンスター計算!M26</f>
        <v>2.8</v>
      </c>
      <c r="N23" s="5">
        <f>+[1]モンスター計算!N26</f>
        <v>1</v>
      </c>
      <c r="O23" s="13">
        <f>+[1]モンスター計算!O26</f>
        <v>1.2</v>
      </c>
      <c r="P23" s="27">
        <f>+[1]モンスター計算!P26</f>
        <v>0.23500000000000001</v>
      </c>
      <c r="Q23" s="5">
        <f>+[1]モンスター計算!Q26</f>
        <v>-6.5000000000000002E-2</v>
      </c>
      <c r="R23" s="5">
        <f>+[1]モンスター計算!R26</f>
        <v>3.5000000000000003E-2</v>
      </c>
      <c r="S23" s="5">
        <f>+[1]モンスター計算!S26</f>
        <v>3.5000000000000003E-2</v>
      </c>
      <c r="T23" s="5">
        <f>+[1]モンスター計算!T26</f>
        <v>3.5000000000000003E-2</v>
      </c>
      <c r="U23" s="5">
        <f>+[1]モンスター計算!U26</f>
        <v>3.5000000000000003E-2</v>
      </c>
      <c r="V23" s="13">
        <f>+[1]モンスター計算!V26</f>
        <v>4</v>
      </c>
      <c r="W23" s="30">
        <v>10</v>
      </c>
      <c r="X23" s="27" t="s">
        <v>68</v>
      </c>
      <c r="Y23" s="33" t="s">
        <v>90</v>
      </c>
      <c r="Z23" s="13">
        <v>1.25</v>
      </c>
      <c r="AA23" s="30">
        <v>15</v>
      </c>
      <c r="AB23" s="30">
        <f t="shared" si="0"/>
        <v>25</v>
      </c>
      <c r="AC23" s="47">
        <f t="shared" si="1"/>
        <v>4</v>
      </c>
      <c r="AD23" s="27" t="s">
        <v>74</v>
      </c>
      <c r="AE23" s="5">
        <v>0</v>
      </c>
      <c r="AF23" s="5">
        <v>0</v>
      </c>
      <c r="AG23" s="13" t="b">
        <v>0</v>
      </c>
      <c r="AH23" s="30" t="s">
        <v>934</v>
      </c>
      <c r="AI23" s="33" t="s">
        <v>1826</v>
      </c>
    </row>
    <row r="24" spans="1:35">
      <c r="A24" s="52" t="s">
        <v>539</v>
      </c>
      <c r="B24" s="13" t="s">
        <v>215</v>
      </c>
      <c r="C24" s="27" t="s">
        <v>45</v>
      </c>
      <c r="D24" s="13" t="s">
        <v>59</v>
      </c>
      <c r="E24" s="27">
        <f>+[1]モンスター計算!E27</f>
        <v>169</v>
      </c>
      <c r="F24" s="5">
        <f>+[1]モンスター計算!F27</f>
        <v>6</v>
      </c>
      <c r="G24" s="5">
        <f>+[1]モンスター計算!G27</f>
        <v>34</v>
      </c>
      <c r="H24" s="5">
        <f>+[1]モンスター計算!H27</f>
        <v>10</v>
      </c>
      <c r="I24" s="5">
        <f>+[1]モンスター計算!I27</f>
        <v>11</v>
      </c>
      <c r="J24" s="13">
        <f>+[1]モンスター計算!J27</f>
        <v>9</v>
      </c>
      <c r="K24" s="27">
        <f>+[1]モンスター計算!K27</f>
        <v>0.06</v>
      </c>
      <c r="L24" s="13">
        <f>+[1]モンスター計算!L27</f>
        <v>2.15</v>
      </c>
      <c r="M24" s="27">
        <f>+[1]モンスター計算!M27</f>
        <v>1.65</v>
      </c>
      <c r="N24" s="5">
        <f>+[1]モンスター計算!N27</f>
        <v>0.53</v>
      </c>
      <c r="O24" s="13">
        <f>+[1]モンスター計算!O27</f>
        <v>1.86</v>
      </c>
      <c r="P24" s="27">
        <f>+[1]モンスター計算!P27</f>
        <v>-0.125</v>
      </c>
      <c r="Q24" s="5">
        <f>+[1]モンスター計算!Q27</f>
        <v>0.17500000000000002</v>
      </c>
      <c r="R24" s="5">
        <f>+[1]モンスター計算!R27</f>
        <v>-2.5000000000000001E-2</v>
      </c>
      <c r="S24" s="5">
        <f>+[1]モンスター計算!S27</f>
        <v>-2.5000000000000001E-2</v>
      </c>
      <c r="T24" s="5">
        <f>+[1]モンスター計算!T27</f>
        <v>-2.5000000000000001E-2</v>
      </c>
      <c r="U24" s="5">
        <f>+[1]モンスター計算!U27</f>
        <v>-2.5000000000000001E-2</v>
      </c>
      <c r="V24" s="13">
        <f>+[1]モンスター計算!V27</f>
        <v>4.4000000000000004</v>
      </c>
      <c r="W24" s="30">
        <v>11</v>
      </c>
      <c r="X24" s="27" t="s">
        <v>70</v>
      </c>
      <c r="Y24" s="33" t="s">
        <v>91</v>
      </c>
      <c r="Z24" s="13">
        <v>1.25</v>
      </c>
      <c r="AA24" s="30">
        <v>20</v>
      </c>
      <c r="AB24" s="30">
        <f t="shared" si="0"/>
        <v>31</v>
      </c>
      <c r="AC24" s="47">
        <f t="shared" si="1"/>
        <v>4</v>
      </c>
      <c r="AD24" s="27" t="s">
        <v>74</v>
      </c>
      <c r="AE24" s="5">
        <v>0</v>
      </c>
      <c r="AF24" s="5">
        <v>0</v>
      </c>
      <c r="AG24" s="13" t="b">
        <v>0</v>
      </c>
      <c r="AH24" s="30" t="s">
        <v>935</v>
      </c>
      <c r="AI24" s="33" t="s">
        <v>1826</v>
      </c>
    </row>
    <row r="25" spans="1:35" ht="19.5" thickBot="1">
      <c r="A25" s="53" t="s">
        <v>540</v>
      </c>
      <c r="B25" s="16" t="s">
        <v>216</v>
      </c>
      <c r="C25" s="28" t="s">
        <v>47</v>
      </c>
      <c r="D25" s="16" t="s">
        <v>61</v>
      </c>
      <c r="E25" s="28">
        <f>+[1]モンスター計算!E28</f>
        <v>170</v>
      </c>
      <c r="F25" s="15">
        <f>+[1]モンスター計算!F28</f>
        <v>18</v>
      </c>
      <c r="G25" s="15">
        <f>+[1]モンスター計算!G28</f>
        <v>5</v>
      </c>
      <c r="H25" s="15">
        <f>+[1]モンスター計算!H28</f>
        <v>13</v>
      </c>
      <c r="I25" s="15">
        <f>+[1]モンスター計算!I28</f>
        <v>13</v>
      </c>
      <c r="J25" s="16">
        <f>+[1]モンスター計算!J28</f>
        <v>12</v>
      </c>
      <c r="K25" s="28">
        <f>+[1]モンスター計算!K28</f>
        <v>7.0000000000000007E-2</v>
      </c>
      <c r="L25" s="16">
        <f>+[1]モンスター計算!L28</f>
        <v>1.5</v>
      </c>
      <c r="M25" s="28">
        <f>+[1]モンスター計算!M28</f>
        <v>2.8</v>
      </c>
      <c r="N25" s="15">
        <f>+[1]モンスター計算!N28</f>
        <v>1.45</v>
      </c>
      <c r="O25" s="16">
        <f>+[1]モンスター計算!O28</f>
        <v>1.55</v>
      </c>
      <c r="P25" s="28">
        <f>+[1]モンスター計算!P28</f>
        <v>0.03</v>
      </c>
      <c r="Q25" s="15">
        <f>+[1]モンスター計算!Q28</f>
        <v>0.03</v>
      </c>
      <c r="R25" s="15">
        <f>+[1]モンスター計算!R28</f>
        <v>0.03</v>
      </c>
      <c r="S25" s="15">
        <f>+[1]モンスター計算!S28</f>
        <v>0.03</v>
      </c>
      <c r="T25" s="15">
        <f>+[1]モンスター計算!T28</f>
        <v>0.23</v>
      </c>
      <c r="U25" s="15">
        <f>+[1]モンスター計算!U28</f>
        <v>-7.0000000000000007E-2</v>
      </c>
      <c r="V25" s="16">
        <f>+[1]モンスター計算!V28</f>
        <v>3.6</v>
      </c>
      <c r="W25" s="31">
        <v>15</v>
      </c>
      <c r="X25" s="28" t="s">
        <v>72</v>
      </c>
      <c r="Y25" s="34" t="s">
        <v>92</v>
      </c>
      <c r="Z25" s="16">
        <v>1.3</v>
      </c>
      <c r="AA25" s="31">
        <v>40</v>
      </c>
      <c r="AB25" s="31">
        <f t="shared" si="0"/>
        <v>48</v>
      </c>
      <c r="AC25" s="48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1" t="s">
        <v>936</v>
      </c>
      <c r="AI25" s="34" t="s">
        <v>1826</v>
      </c>
    </row>
    <row r="26" spans="1:35">
      <c r="A26" s="51" t="s">
        <v>541</v>
      </c>
      <c r="B26" s="11" t="s">
        <v>217</v>
      </c>
      <c r="C26" s="26" t="s">
        <v>45</v>
      </c>
      <c r="D26" s="11" t="s">
        <v>61</v>
      </c>
      <c r="E26" s="26">
        <f>+[1]モンスター計算!E29</f>
        <v>133</v>
      </c>
      <c r="F26" s="10">
        <f>+[1]モンスター計算!F29</f>
        <v>34</v>
      </c>
      <c r="G26" s="10">
        <f>+[1]モンスター計算!G29</f>
        <v>15</v>
      </c>
      <c r="H26" s="10">
        <f>+[1]モンスター計算!H29</f>
        <v>43</v>
      </c>
      <c r="I26" s="10">
        <f>+[1]モンスター計算!I29</f>
        <v>10</v>
      </c>
      <c r="J26" s="11">
        <f>+[1]モンスター計算!J29</f>
        <v>11</v>
      </c>
      <c r="K26" s="26">
        <f>+[1]モンスター計算!K29</f>
        <v>0.04</v>
      </c>
      <c r="L26" s="11">
        <f>+[1]モンスター計算!L29</f>
        <v>2.2000000000000002</v>
      </c>
      <c r="M26" s="26">
        <f>+[1]モンスター計算!M29</f>
        <v>1.65</v>
      </c>
      <c r="N26" s="10">
        <f>+[1]モンスター計算!N29</f>
        <v>0.64</v>
      </c>
      <c r="O26" s="11">
        <f>+[1]モンスター計算!O29</f>
        <v>3.7</v>
      </c>
      <c r="P26" s="26">
        <f>+[1]モンスター計算!P29</f>
        <v>-0.125</v>
      </c>
      <c r="Q26" s="10">
        <f>+[1]モンスター計算!Q29</f>
        <v>0.17500000000000002</v>
      </c>
      <c r="R26" s="10">
        <f>+[1]モンスター計算!R29</f>
        <v>-2.5000000000000001E-2</v>
      </c>
      <c r="S26" s="10">
        <f>+[1]モンスター計算!S29</f>
        <v>-2.5000000000000001E-2</v>
      </c>
      <c r="T26" s="10">
        <f>+[1]モンスター計算!T29</f>
        <v>-2.5000000000000001E-2</v>
      </c>
      <c r="U26" s="10">
        <f>+[1]モンスター計算!U29</f>
        <v>-2.5000000000000001E-2</v>
      </c>
      <c r="V26" s="11">
        <f>+[1]モンスター計算!V29</f>
        <v>5</v>
      </c>
      <c r="W26" s="29">
        <v>8</v>
      </c>
      <c r="X26" s="26" t="s">
        <v>109</v>
      </c>
      <c r="Y26" s="32" t="s">
        <v>87</v>
      </c>
      <c r="Z26" s="11">
        <v>1.2</v>
      </c>
      <c r="AA26" s="29">
        <v>5</v>
      </c>
      <c r="AB26" s="29">
        <f t="shared" si="0"/>
        <v>14</v>
      </c>
      <c r="AC26" s="46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29" t="s">
        <v>937</v>
      </c>
      <c r="AI26" s="32" t="s">
        <v>1826</v>
      </c>
    </row>
    <row r="27" spans="1:35">
      <c r="A27" s="52" t="s">
        <v>542</v>
      </c>
      <c r="B27" s="13" t="s">
        <v>218</v>
      </c>
      <c r="C27" s="27" t="s">
        <v>44</v>
      </c>
      <c r="D27" s="13" t="s">
        <v>61</v>
      </c>
      <c r="E27" s="27">
        <f>+[1]モンスター計算!E30</f>
        <v>155</v>
      </c>
      <c r="F27" s="5">
        <f>+[1]モンスター計算!F30</f>
        <v>37</v>
      </c>
      <c r="G27" s="5">
        <f>+[1]モンスター計算!G30</f>
        <v>8</v>
      </c>
      <c r="H27" s="5">
        <f>+[1]モンスター計算!H30</f>
        <v>26</v>
      </c>
      <c r="I27" s="5">
        <f>+[1]モンスター計算!I30</f>
        <v>9</v>
      </c>
      <c r="J27" s="13">
        <f>+[1]モンスター計算!J30</f>
        <v>24</v>
      </c>
      <c r="K27" s="27">
        <f>+[1]モンスター計算!K30</f>
        <v>4.4999999999999998E-2</v>
      </c>
      <c r="L27" s="13">
        <f>+[1]モンスター計算!L30</f>
        <v>1.45</v>
      </c>
      <c r="M27" s="27">
        <f>+[1]モンスター計算!M30</f>
        <v>1.9</v>
      </c>
      <c r="N27" s="5">
        <f>+[1]モンスター計算!N30</f>
        <v>0.84</v>
      </c>
      <c r="O27" s="13">
        <f>+[1]モンスター計算!O30</f>
        <v>2.65</v>
      </c>
      <c r="P27" s="27">
        <f>+[1]モンスター計算!P30</f>
        <v>0.29000000000000004</v>
      </c>
      <c r="Q27" s="5">
        <f>+[1]モンスター計算!Q30</f>
        <v>-1.0000000000000009E-2</v>
      </c>
      <c r="R27" s="5">
        <f>+[1]モンスター計算!R30</f>
        <v>0.09</v>
      </c>
      <c r="S27" s="5">
        <f>+[1]モンスター計算!S30</f>
        <v>0.09</v>
      </c>
      <c r="T27" s="5">
        <f>+[1]モンスター計算!T30</f>
        <v>0.09</v>
      </c>
      <c r="U27" s="5">
        <f>+[1]モンスター計算!U30</f>
        <v>0.09</v>
      </c>
      <c r="V27" s="13">
        <f>+[1]モンスター計算!V30</f>
        <v>4.4000000000000004</v>
      </c>
      <c r="W27" s="30">
        <v>8</v>
      </c>
      <c r="X27" s="27" t="s">
        <v>64</v>
      </c>
      <c r="Y27" s="33" t="s">
        <v>88</v>
      </c>
      <c r="Z27" s="13">
        <v>1.2</v>
      </c>
      <c r="AA27" s="30">
        <v>7</v>
      </c>
      <c r="AB27" s="30">
        <f t="shared" si="0"/>
        <v>16</v>
      </c>
      <c r="AC27" s="47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0" t="s">
        <v>938</v>
      </c>
      <c r="AI27" s="33" t="s">
        <v>1826</v>
      </c>
    </row>
    <row r="28" spans="1:35">
      <c r="A28" s="52" t="s">
        <v>543</v>
      </c>
      <c r="B28" s="13" t="s">
        <v>219</v>
      </c>
      <c r="C28" s="27" t="s">
        <v>46</v>
      </c>
      <c r="D28" s="13" t="s">
        <v>61</v>
      </c>
      <c r="E28" s="27">
        <f>+[1]モンスター計算!E31</f>
        <v>81</v>
      </c>
      <c r="F28" s="5">
        <f>+[1]モンスター計算!F31</f>
        <v>32</v>
      </c>
      <c r="G28" s="5">
        <f>+[1]モンスター計算!G31</f>
        <v>15</v>
      </c>
      <c r="H28" s="5">
        <f>+[1]モンスター計算!H31</f>
        <v>42</v>
      </c>
      <c r="I28" s="5">
        <f>+[1]モンスター計算!I31</f>
        <v>17</v>
      </c>
      <c r="J28" s="13">
        <f>+[1]モンスター計算!J31</f>
        <v>26</v>
      </c>
      <c r="K28" s="27">
        <f>+[1]モンスター計算!K31</f>
        <v>0.04</v>
      </c>
      <c r="L28" s="13">
        <f>+[1]モンスター計算!L31</f>
        <v>1.38</v>
      </c>
      <c r="M28" s="27">
        <f>+[1]モンスター計算!M31</f>
        <v>2.2000000000000002</v>
      </c>
      <c r="N28" s="5">
        <f>+[1]モンスター計算!N31</f>
        <v>0.88</v>
      </c>
      <c r="O28" s="13">
        <f>+[1]モンスター計算!O31</f>
        <v>3.15</v>
      </c>
      <c r="P28" s="27">
        <f>+[1]モンスター計算!P31</f>
        <v>0.13</v>
      </c>
      <c r="Q28" s="5">
        <f>+[1]モンスター計算!Q31</f>
        <v>0.13</v>
      </c>
      <c r="R28" s="5">
        <f>+[1]モンスター計算!R31</f>
        <v>0.33</v>
      </c>
      <c r="S28" s="5">
        <f>+[1]モンスター計算!S31</f>
        <v>0.03</v>
      </c>
      <c r="T28" s="5">
        <f>+[1]モンスター計算!T31</f>
        <v>0.13</v>
      </c>
      <c r="U28" s="5">
        <f>+[1]モンスター計算!U31</f>
        <v>0.13</v>
      </c>
      <c r="V28" s="13">
        <f>+[1]モンスター計算!V31</f>
        <v>4.4800000000000004</v>
      </c>
      <c r="W28" s="30">
        <v>9</v>
      </c>
      <c r="X28" s="27" t="s">
        <v>66</v>
      </c>
      <c r="Y28" s="33" t="s">
        <v>89</v>
      </c>
      <c r="Z28" s="13">
        <v>1.22</v>
      </c>
      <c r="AA28" s="30">
        <v>10</v>
      </c>
      <c r="AB28" s="30">
        <f t="shared" si="0"/>
        <v>19</v>
      </c>
      <c r="AC28" s="47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0" t="s">
        <v>939</v>
      </c>
      <c r="AI28" s="33" t="s">
        <v>1826</v>
      </c>
    </row>
    <row r="29" spans="1:35">
      <c r="A29" s="52" t="s">
        <v>544</v>
      </c>
      <c r="B29" s="13" t="s">
        <v>220</v>
      </c>
      <c r="C29" s="27" t="s">
        <v>44</v>
      </c>
      <c r="D29" s="13" t="s">
        <v>59</v>
      </c>
      <c r="E29" s="27">
        <f>+[1]モンスター計算!E32</f>
        <v>95</v>
      </c>
      <c r="F29" s="5">
        <f>+[1]モンスター計算!F32</f>
        <v>5</v>
      </c>
      <c r="G29" s="5">
        <f>+[1]モンスター計算!G32</f>
        <v>29</v>
      </c>
      <c r="H29" s="5">
        <f>+[1]モンスター計算!H32</f>
        <v>8</v>
      </c>
      <c r="I29" s="5">
        <f>+[1]モンスター計算!I32</f>
        <v>7</v>
      </c>
      <c r="J29" s="13">
        <f>+[1]モンスター計算!J32</f>
        <v>8</v>
      </c>
      <c r="K29" s="27">
        <f>+[1]モンスター計算!K32</f>
        <v>0.18</v>
      </c>
      <c r="L29" s="13">
        <f>+[1]モンスター計算!L32</f>
        <v>2.1</v>
      </c>
      <c r="M29" s="27">
        <f>+[1]モンスター計算!M32</f>
        <v>3.15</v>
      </c>
      <c r="N29" s="5">
        <f>+[1]モンスター計算!N32</f>
        <v>1.35</v>
      </c>
      <c r="O29" s="13">
        <f>+[1]モンスター計算!O32</f>
        <v>1.29</v>
      </c>
      <c r="P29" s="27">
        <f>+[1]モンスター計算!P32</f>
        <v>0.12000000000000001</v>
      </c>
      <c r="Q29" s="5">
        <f>+[1]モンスター計算!Q32</f>
        <v>-0.18</v>
      </c>
      <c r="R29" s="5">
        <f>+[1]モンスター計算!R32</f>
        <v>-0.08</v>
      </c>
      <c r="S29" s="5">
        <f>+[1]モンスター計算!S32</f>
        <v>-0.08</v>
      </c>
      <c r="T29" s="5">
        <f>+[1]モンスター計算!T32</f>
        <v>-0.08</v>
      </c>
      <c r="U29" s="5">
        <f>+[1]モンスター計算!U32</f>
        <v>-0.08</v>
      </c>
      <c r="V29" s="13">
        <f>+[1]モンスター計算!V32</f>
        <v>4.8</v>
      </c>
      <c r="W29" s="30">
        <v>10</v>
      </c>
      <c r="X29" s="27" t="s">
        <v>68</v>
      </c>
      <c r="Y29" s="33" t="s">
        <v>90</v>
      </c>
      <c r="Z29" s="13">
        <v>1.25</v>
      </c>
      <c r="AA29" s="30">
        <v>15</v>
      </c>
      <c r="AB29" s="30">
        <f t="shared" si="0"/>
        <v>27</v>
      </c>
      <c r="AC29" s="47">
        <f t="shared" si="1"/>
        <v>5</v>
      </c>
      <c r="AD29" s="27" t="s">
        <v>74</v>
      </c>
      <c r="AE29" s="5">
        <v>0</v>
      </c>
      <c r="AF29" s="5">
        <v>0</v>
      </c>
      <c r="AG29" s="13" t="b">
        <v>0</v>
      </c>
      <c r="AH29" s="30" t="s">
        <v>940</v>
      </c>
      <c r="AI29" s="33" t="s">
        <v>1826</v>
      </c>
    </row>
    <row r="30" spans="1:35">
      <c r="A30" s="52" t="s">
        <v>545</v>
      </c>
      <c r="B30" s="13" t="s">
        <v>221</v>
      </c>
      <c r="C30" s="27" t="s">
        <v>45</v>
      </c>
      <c r="D30" s="13" t="s">
        <v>59</v>
      </c>
      <c r="E30" s="27">
        <f>+[1]モンスター計算!E33</f>
        <v>173</v>
      </c>
      <c r="F30" s="5">
        <f>+[1]モンスター計算!F33</f>
        <v>10</v>
      </c>
      <c r="G30" s="5">
        <f>+[1]モンスター計算!G33</f>
        <v>23</v>
      </c>
      <c r="H30" s="5">
        <f>+[1]モンスター計算!H33</f>
        <v>7</v>
      </c>
      <c r="I30" s="5">
        <f>+[1]モンスター計算!I33</f>
        <v>13</v>
      </c>
      <c r="J30" s="13">
        <f>+[1]モンスター計算!J33</f>
        <v>13</v>
      </c>
      <c r="K30" s="27">
        <f>+[1]モンスター計算!K33</f>
        <v>0.04</v>
      </c>
      <c r="L30" s="13">
        <f>+[1]モンスター計算!L33</f>
        <v>1.43</v>
      </c>
      <c r="M30" s="27">
        <f>+[1]モンスター計算!M33</f>
        <v>2.15</v>
      </c>
      <c r="N30" s="5">
        <f>+[1]モンスター計算!N33</f>
        <v>0.88</v>
      </c>
      <c r="O30" s="13">
        <f>+[1]モンスター計算!O33</f>
        <v>1.425</v>
      </c>
      <c r="P30" s="27">
        <f>+[1]モンスター計算!P33</f>
        <v>0.09</v>
      </c>
      <c r="Q30" s="5">
        <f>+[1]モンスター計算!Q33</f>
        <v>0.39</v>
      </c>
      <c r="R30" s="5">
        <f>+[1]モンスター計算!R33</f>
        <v>0.19</v>
      </c>
      <c r="S30" s="5">
        <f>+[1]モンスター計算!S33</f>
        <v>0.19</v>
      </c>
      <c r="T30" s="5">
        <f>+[1]モンスター計算!T33</f>
        <v>0.19</v>
      </c>
      <c r="U30" s="5">
        <f>+[1]モンスター計算!U33</f>
        <v>0.19</v>
      </c>
      <c r="V30" s="13">
        <f>+[1]モンスター計算!V33</f>
        <v>3.8</v>
      </c>
      <c r="W30" s="30">
        <v>11</v>
      </c>
      <c r="X30" s="27" t="s">
        <v>70</v>
      </c>
      <c r="Y30" s="33" t="s">
        <v>91</v>
      </c>
      <c r="Z30" s="13">
        <v>1.25</v>
      </c>
      <c r="AA30" s="30">
        <v>20</v>
      </c>
      <c r="AB30" s="30">
        <f t="shared" si="0"/>
        <v>33</v>
      </c>
      <c r="AC30" s="47">
        <f t="shared" si="1"/>
        <v>5</v>
      </c>
      <c r="AD30" s="27" t="s">
        <v>74</v>
      </c>
      <c r="AE30" s="5">
        <v>0</v>
      </c>
      <c r="AF30" s="5">
        <v>0</v>
      </c>
      <c r="AG30" s="13" t="b">
        <v>0</v>
      </c>
      <c r="AH30" s="30" t="s">
        <v>941</v>
      </c>
      <c r="AI30" s="33" t="s">
        <v>1826</v>
      </c>
    </row>
    <row r="31" spans="1:35" ht="19.5" thickBot="1">
      <c r="A31" s="53" t="s">
        <v>546</v>
      </c>
      <c r="B31" s="16" t="s">
        <v>222</v>
      </c>
      <c r="C31" s="28" t="s">
        <v>47</v>
      </c>
      <c r="D31" s="16" t="s">
        <v>61</v>
      </c>
      <c r="E31" s="28">
        <f>+[1]モンスター計算!E34</f>
        <v>151</v>
      </c>
      <c r="F31" s="15">
        <f>+[1]モンスター計算!F34</f>
        <v>57</v>
      </c>
      <c r="G31" s="15">
        <f>+[1]モンスター計算!G34</f>
        <v>9</v>
      </c>
      <c r="H31" s="15">
        <f>+[1]モンスター計算!H34</f>
        <v>27</v>
      </c>
      <c r="I31" s="15">
        <f>+[1]モンスター計算!I34</f>
        <v>11</v>
      </c>
      <c r="J31" s="16">
        <f>+[1]モンスター計算!J34</f>
        <v>14</v>
      </c>
      <c r="K31" s="28">
        <f>+[1]モンスター計算!K34</f>
        <v>6.5000000000000002E-2</v>
      </c>
      <c r="L31" s="16">
        <f>+[1]モンスター計算!L34</f>
        <v>1.45</v>
      </c>
      <c r="M31" s="28">
        <f>+[1]モンスター計算!M34</f>
        <v>2.1</v>
      </c>
      <c r="N31" s="15">
        <f>+[1]モンスター計算!N34</f>
        <v>0.9</v>
      </c>
      <c r="O31" s="16">
        <f>+[1]モンスター計算!O34</f>
        <v>2.8</v>
      </c>
      <c r="P31" s="28">
        <f>+[1]モンスター計算!P34</f>
        <v>0.02</v>
      </c>
      <c r="Q31" s="15">
        <f>+[1]モンスター計算!Q34</f>
        <v>0.02</v>
      </c>
      <c r="R31" s="15">
        <f>+[1]モンスター計算!R34</f>
        <v>0.02</v>
      </c>
      <c r="S31" s="15">
        <f>+[1]モンスター計算!S34</f>
        <v>0.02</v>
      </c>
      <c r="T31" s="15">
        <f>+[1]モンスター計算!T34</f>
        <v>0.22</v>
      </c>
      <c r="U31" s="15">
        <f>+[1]モンスター計算!U34</f>
        <v>-0.08</v>
      </c>
      <c r="V31" s="16">
        <f>+[1]モンスター計算!V34</f>
        <v>4.2</v>
      </c>
      <c r="W31" s="31">
        <v>15</v>
      </c>
      <c r="X31" s="28" t="s">
        <v>72</v>
      </c>
      <c r="Y31" s="34" t="s">
        <v>92</v>
      </c>
      <c r="Z31" s="16">
        <v>1.3</v>
      </c>
      <c r="AA31" s="31">
        <v>40</v>
      </c>
      <c r="AB31" s="31">
        <f t="shared" si="0"/>
        <v>51</v>
      </c>
      <c r="AC31" s="48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1" t="s">
        <v>942</v>
      </c>
      <c r="AI31" s="34" t="s">
        <v>1826</v>
      </c>
    </row>
    <row r="32" spans="1:35">
      <c r="A32" s="51" t="s">
        <v>547</v>
      </c>
      <c r="B32" s="11" t="s">
        <v>223</v>
      </c>
      <c r="C32" s="26" t="s">
        <v>45</v>
      </c>
      <c r="D32" s="11" t="s">
        <v>61</v>
      </c>
      <c r="E32" s="26">
        <f>+[1]モンスター計算!E35</f>
        <v>132</v>
      </c>
      <c r="F32" s="10">
        <f>+[1]モンスター計算!F35</f>
        <v>32</v>
      </c>
      <c r="G32" s="10">
        <f>+[1]モンスター計算!G35</f>
        <v>12</v>
      </c>
      <c r="H32" s="10">
        <f>+[1]モンスター計算!H35</f>
        <v>45</v>
      </c>
      <c r="I32" s="10">
        <f>+[1]モンスター計算!I35</f>
        <v>10</v>
      </c>
      <c r="J32" s="11">
        <f>+[1]モンスター計算!J35</f>
        <v>11</v>
      </c>
      <c r="K32" s="26">
        <f>+[1]モンスター計算!K35</f>
        <v>0.12</v>
      </c>
      <c r="L32" s="11">
        <f>+[1]モンスター計算!L35</f>
        <v>2.5499999999999998</v>
      </c>
      <c r="M32" s="26">
        <f>+[1]モンスター計算!M35</f>
        <v>2.2999999999999998</v>
      </c>
      <c r="N32" s="10">
        <f>+[1]モンスター計算!N35</f>
        <v>0.68</v>
      </c>
      <c r="O32" s="11">
        <f>+[1]モンスター計算!O35</f>
        <v>3.55</v>
      </c>
      <c r="P32" s="26">
        <f>+[1]モンスター計算!P35</f>
        <v>-0.155</v>
      </c>
      <c r="Q32" s="10">
        <f>+[1]モンスター計算!Q35</f>
        <v>0.14500000000000002</v>
      </c>
      <c r="R32" s="10">
        <f>+[1]モンスター計算!R35</f>
        <v>-5.5E-2</v>
      </c>
      <c r="S32" s="10">
        <f>+[1]モンスター計算!S35</f>
        <v>-5.5E-2</v>
      </c>
      <c r="T32" s="10">
        <f>+[1]モンスター計算!T35</f>
        <v>-5.5E-2</v>
      </c>
      <c r="U32" s="10">
        <f>+[1]モンスター計算!U35</f>
        <v>-5.5E-2</v>
      </c>
      <c r="V32" s="11">
        <f>+[1]モンスター計算!V35</f>
        <v>4.8</v>
      </c>
      <c r="W32" s="29">
        <v>8</v>
      </c>
      <c r="X32" s="26" t="s">
        <v>109</v>
      </c>
      <c r="Y32" s="32" t="s">
        <v>87</v>
      </c>
      <c r="Z32" s="11">
        <v>1.2</v>
      </c>
      <c r="AA32" s="29">
        <v>5</v>
      </c>
      <c r="AB32" s="29">
        <f t="shared" si="0"/>
        <v>15</v>
      </c>
      <c r="AC32" s="46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29" t="s">
        <v>943</v>
      </c>
      <c r="AI32" s="32" t="s">
        <v>1826</v>
      </c>
    </row>
    <row r="33" spans="1:35">
      <c r="A33" s="52" t="s">
        <v>548</v>
      </c>
      <c r="B33" s="13" t="s">
        <v>224</v>
      </c>
      <c r="C33" s="27" t="s">
        <v>44</v>
      </c>
      <c r="D33" s="13" t="s">
        <v>61</v>
      </c>
      <c r="E33" s="27">
        <f>+[1]モンスター計算!E36</f>
        <v>225</v>
      </c>
      <c r="F33" s="5">
        <f>+[1]モンスター計算!F36</f>
        <v>52</v>
      </c>
      <c r="G33" s="5">
        <f>+[1]モンスター計算!G36</f>
        <v>9</v>
      </c>
      <c r="H33" s="5">
        <f>+[1]モンスター計算!H36</f>
        <v>23</v>
      </c>
      <c r="I33" s="5">
        <f>+[1]モンスター計算!I36</f>
        <v>12</v>
      </c>
      <c r="J33" s="13">
        <f>+[1]モンスター計算!J36</f>
        <v>22</v>
      </c>
      <c r="K33" s="27">
        <f>+[1]モンスター計算!K36</f>
        <v>0.115</v>
      </c>
      <c r="L33" s="13">
        <f>+[1]モンスター計算!L36</f>
        <v>1.95</v>
      </c>
      <c r="M33" s="27">
        <f>+[1]モンスター計算!M36</f>
        <v>1.2</v>
      </c>
      <c r="N33" s="5">
        <f>+[1]モンスター計算!N36</f>
        <v>0.72</v>
      </c>
      <c r="O33" s="13">
        <f>+[1]モンスター計算!O36</f>
        <v>3.3250000000000002</v>
      </c>
      <c r="P33" s="27">
        <f>+[1]モンスター計算!P36</f>
        <v>0.28000000000000003</v>
      </c>
      <c r="Q33" s="5">
        <f>+[1]モンスター計算!Q36</f>
        <v>-2.0000000000000004E-2</v>
      </c>
      <c r="R33" s="5">
        <f>+[1]モンスター計算!R36</f>
        <v>0.08</v>
      </c>
      <c r="S33" s="5">
        <f>+[1]モンスター計算!S36</f>
        <v>0.08</v>
      </c>
      <c r="T33" s="5">
        <f>+[1]モンスター計算!T36</f>
        <v>0.08</v>
      </c>
      <c r="U33" s="5">
        <f>+[1]モンスター計算!U36</f>
        <v>0.08</v>
      </c>
      <c r="V33" s="13">
        <f>+[1]モンスター計算!V36</f>
        <v>5</v>
      </c>
      <c r="W33" s="30">
        <v>8</v>
      </c>
      <c r="X33" s="27" t="s">
        <v>64</v>
      </c>
      <c r="Y33" s="33" t="s">
        <v>88</v>
      </c>
      <c r="Z33" s="13">
        <v>1.2</v>
      </c>
      <c r="AA33" s="30">
        <v>7</v>
      </c>
      <c r="AB33" s="30">
        <f t="shared" si="0"/>
        <v>17</v>
      </c>
      <c r="AC33" s="47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0" t="s">
        <v>944</v>
      </c>
      <c r="AI33" s="33" t="s">
        <v>1826</v>
      </c>
    </row>
    <row r="34" spans="1:35">
      <c r="A34" s="52" t="s">
        <v>549</v>
      </c>
      <c r="B34" s="13" t="s">
        <v>225</v>
      </c>
      <c r="C34" s="27" t="s">
        <v>46</v>
      </c>
      <c r="D34" s="13" t="s">
        <v>61</v>
      </c>
      <c r="E34" s="27">
        <f>+[1]モンスター計算!E37</f>
        <v>126</v>
      </c>
      <c r="F34" s="5">
        <f>+[1]モンスター計算!F37</f>
        <v>27</v>
      </c>
      <c r="G34" s="5">
        <f>+[1]モンスター計算!G37</f>
        <v>15</v>
      </c>
      <c r="H34" s="5">
        <f>+[1]モンスター計算!H37</f>
        <v>34</v>
      </c>
      <c r="I34" s="5">
        <f>+[1]モンスター計算!I37</f>
        <v>10</v>
      </c>
      <c r="J34" s="13">
        <f>+[1]モンスター計算!J37</f>
        <v>10</v>
      </c>
      <c r="K34" s="27">
        <f>+[1]モンスター計算!K37</f>
        <v>0.11</v>
      </c>
      <c r="L34" s="13">
        <f>+[1]モンスター計算!L37</f>
        <v>1.65</v>
      </c>
      <c r="M34" s="27">
        <f>+[1]モンスター計算!M37</f>
        <v>2.2000000000000002</v>
      </c>
      <c r="N34" s="5">
        <f>+[1]モンスター計算!N37</f>
        <v>1.1000000000000001</v>
      </c>
      <c r="O34" s="13">
        <f>+[1]モンスター計算!O37</f>
        <v>2.75</v>
      </c>
      <c r="P34" s="27">
        <f>+[1]モンスター計算!P37</f>
        <v>-0.04</v>
      </c>
      <c r="Q34" s="5">
        <f>+[1]モンスター計算!Q37</f>
        <v>-0.04</v>
      </c>
      <c r="R34" s="5">
        <f>+[1]モンスター計算!R37</f>
        <v>0.16</v>
      </c>
      <c r="S34" s="5">
        <f>+[1]モンスター計算!S37</f>
        <v>-0.14000000000000001</v>
      </c>
      <c r="T34" s="5">
        <f>+[1]モンスター計算!T37</f>
        <v>-0.04</v>
      </c>
      <c r="U34" s="5">
        <f>+[1]モンスター計算!U37</f>
        <v>-0.04</v>
      </c>
      <c r="V34" s="13">
        <f>+[1]モンスター計算!V37</f>
        <v>4.2</v>
      </c>
      <c r="W34" s="30">
        <v>9</v>
      </c>
      <c r="X34" s="27" t="s">
        <v>66</v>
      </c>
      <c r="Y34" s="33" t="s">
        <v>89</v>
      </c>
      <c r="Z34" s="13">
        <v>1.22</v>
      </c>
      <c r="AA34" s="30">
        <v>10</v>
      </c>
      <c r="AB34" s="30">
        <f t="shared" si="0"/>
        <v>20</v>
      </c>
      <c r="AC34" s="47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0" t="s">
        <v>945</v>
      </c>
      <c r="AI34" s="33" t="s">
        <v>1826</v>
      </c>
    </row>
    <row r="35" spans="1:35">
      <c r="A35" s="52" t="s">
        <v>550</v>
      </c>
      <c r="B35" s="13" t="s">
        <v>226</v>
      </c>
      <c r="C35" s="27" t="s">
        <v>44</v>
      </c>
      <c r="D35" s="13" t="s">
        <v>59</v>
      </c>
      <c r="E35" s="27">
        <f>+[1]モンスター計算!E38</f>
        <v>237</v>
      </c>
      <c r="F35" s="5">
        <f>+[1]モンスター計算!F38</f>
        <v>10</v>
      </c>
      <c r="G35" s="5">
        <f>+[1]モンスター計算!G38</f>
        <v>22</v>
      </c>
      <c r="H35" s="5">
        <f>+[1]モンスター計算!H38</f>
        <v>8</v>
      </c>
      <c r="I35" s="5">
        <f>+[1]モンスター計算!I38</f>
        <v>12</v>
      </c>
      <c r="J35" s="13">
        <f>+[1]モンスター計算!J38</f>
        <v>28</v>
      </c>
      <c r="K35" s="27">
        <f>+[1]モンスター計算!K38</f>
        <v>0.05</v>
      </c>
      <c r="L35" s="13">
        <f>+[1]モンスター計算!L38</f>
        <v>1.5</v>
      </c>
      <c r="M35" s="27">
        <f>+[1]モンスター計算!M38</f>
        <v>2.0499999999999998</v>
      </c>
      <c r="N35" s="5">
        <f>+[1]モンスター計算!N38</f>
        <v>0.79</v>
      </c>
      <c r="O35" s="13">
        <f>+[1]モンスター計算!O38</f>
        <v>1.26</v>
      </c>
      <c r="P35" s="27">
        <f>+[1]モンスター計算!P38</f>
        <v>0.27</v>
      </c>
      <c r="Q35" s="5">
        <f>+[1]モンスター計算!Q38</f>
        <v>-0.03</v>
      </c>
      <c r="R35" s="5">
        <f>+[1]モンスター計算!R38</f>
        <v>7.0000000000000007E-2</v>
      </c>
      <c r="S35" s="5">
        <f>+[1]モンスター計算!S38</f>
        <v>7.0000000000000007E-2</v>
      </c>
      <c r="T35" s="5">
        <f>+[1]モンスター計算!T38</f>
        <v>7.0000000000000007E-2</v>
      </c>
      <c r="U35" s="5">
        <f>+[1]モンスター計算!U38</f>
        <v>7.0000000000000007E-2</v>
      </c>
      <c r="V35" s="13">
        <f>+[1]モンスター計算!V38</f>
        <v>4</v>
      </c>
      <c r="W35" s="30">
        <v>10</v>
      </c>
      <c r="X35" s="27" t="s">
        <v>68</v>
      </c>
      <c r="Y35" s="33" t="s">
        <v>90</v>
      </c>
      <c r="Z35" s="13">
        <v>1.25</v>
      </c>
      <c r="AA35" s="30">
        <v>15</v>
      </c>
      <c r="AB35" s="30">
        <f t="shared" si="0"/>
        <v>29</v>
      </c>
      <c r="AC35" s="47">
        <f t="shared" si="1"/>
        <v>6</v>
      </c>
      <c r="AD35" s="27" t="s">
        <v>74</v>
      </c>
      <c r="AE35" s="5">
        <v>0</v>
      </c>
      <c r="AF35" s="5">
        <v>0</v>
      </c>
      <c r="AG35" s="13" t="b">
        <v>0</v>
      </c>
      <c r="AH35" s="30" t="s">
        <v>946</v>
      </c>
      <c r="AI35" s="33" t="s">
        <v>1826</v>
      </c>
    </row>
    <row r="36" spans="1:35">
      <c r="A36" s="52" t="s">
        <v>551</v>
      </c>
      <c r="B36" s="13" t="s">
        <v>227</v>
      </c>
      <c r="C36" s="27" t="s">
        <v>45</v>
      </c>
      <c r="D36" s="13" t="s">
        <v>59</v>
      </c>
      <c r="E36" s="27">
        <f>+[1]モンスター計算!E39</f>
        <v>330</v>
      </c>
      <c r="F36" s="5">
        <f>+[1]モンスター計算!F39</f>
        <v>6</v>
      </c>
      <c r="G36" s="5">
        <f>+[1]モンスター計算!G39</f>
        <v>25</v>
      </c>
      <c r="H36" s="5">
        <f>+[1]モンスター計算!H39</f>
        <v>10</v>
      </c>
      <c r="I36" s="5">
        <f>+[1]モンスター計算!I39</f>
        <v>20</v>
      </c>
      <c r="J36" s="13">
        <f>+[1]モンスター計算!J39</f>
        <v>17</v>
      </c>
      <c r="K36" s="27">
        <f>+[1]モンスター計算!K39</f>
        <v>2.5000000000000001E-2</v>
      </c>
      <c r="L36" s="13">
        <f>+[1]モンスター計算!L39</f>
        <v>1.35</v>
      </c>
      <c r="M36" s="27">
        <f>+[1]モンスター計算!M39</f>
        <v>1.1499999999999999</v>
      </c>
      <c r="N36" s="5">
        <f>+[1]モンスター計算!N39</f>
        <v>0.51</v>
      </c>
      <c r="O36" s="13">
        <f>+[1]モンスター計算!O39</f>
        <v>1.2749999999999999</v>
      </c>
      <c r="P36" s="27">
        <f>+[1]モンスター計算!P39</f>
        <v>-0.05</v>
      </c>
      <c r="Q36" s="5">
        <f>+[1]モンスター計算!Q39</f>
        <v>0.25</v>
      </c>
      <c r="R36" s="5">
        <f>+[1]モンスター計算!R39</f>
        <v>0.05</v>
      </c>
      <c r="S36" s="5">
        <f>+[1]モンスター計算!S39</f>
        <v>0.05</v>
      </c>
      <c r="T36" s="5">
        <f>+[1]モンスター計算!T39</f>
        <v>0.05</v>
      </c>
      <c r="U36" s="5">
        <f>+[1]モンスター計算!U39</f>
        <v>0.05</v>
      </c>
      <c r="V36" s="13">
        <f>+[1]モンスター計算!V39</f>
        <v>3.2</v>
      </c>
      <c r="W36" s="30">
        <v>11</v>
      </c>
      <c r="X36" s="27" t="s">
        <v>70</v>
      </c>
      <c r="Y36" s="33" t="s">
        <v>91</v>
      </c>
      <c r="Z36" s="13">
        <v>1.25</v>
      </c>
      <c r="AA36" s="30">
        <v>20</v>
      </c>
      <c r="AB36" s="30">
        <f t="shared" si="0"/>
        <v>35</v>
      </c>
      <c r="AC36" s="47">
        <f t="shared" si="1"/>
        <v>6</v>
      </c>
      <c r="AD36" s="27" t="s">
        <v>74</v>
      </c>
      <c r="AE36" s="5">
        <v>0</v>
      </c>
      <c r="AF36" s="5">
        <v>0</v>
      </c>
      <c r="AG36" s="13" t="b">
        <v>0</v>
      </c>
      <c r="AH36" s="30" t="s">
        <v>947</v>
      </c>
      <c r="AI36" s="33" t="s">
        <v>1826</v>
      </c>
    </row>
    <row r="37" spans="1:35" ht="19.5" thickBot="1">
      <c r="A37" s="53" t="s">
        <v>552</v>
      </c>
      <c r="B37" s="16" t="s">
        <v>228</v>
      </c>
      <c r="C37" s="28" t="s">
        <v>47</v>
      </c>
      <c r="D37" s="16" t="s">
        <v>61</v>
      </c>
      <c r="E37" s="28">
        <f>+[1]モンスター計算!E40</f>
        <v>148</v>
      </c>
      <c r="F37" s="15">
        <f>+[1]モンスター計算!F40</f>
        <v>23</v>
      </c>
      <c r="G37" s="15">
        <f>+[1]モンスター計算!G40</f>
        <v>14</v>
      </c>
      <c r="H37" s="15">
        <f>+[1]モンスター計算!H40</f>
        <v>30</v>
      </c>
      <c r="I37" s="15">
        <f>+[1]モンスター計算!I40</f>
        <v>12</v>
      </c>
      <c r="J37" s="16">
        <f>+[1]モンスター計算!J40</f>
        <v>14</v>
      </c>
      <c r="K37" s="28">
        <f>+[1]モンスター計算!K40</f>
        <v>0.05</v>
      </c>
      <c r="L37" s="16">
        <f>+[1]モンスター計算!L40</f>
        <v>1.5</v>
      </c>
      <c r="M37" s="28">
        <f>+[1]モンスター計算!M40</f>
        <v>2</v>
      </c>
      <c r="N37" s="15">
        <f>+[1]モンスター計算!N40</f>
        <v>1.05</v>
      </c>
      <c r="O37" s="16">
        <f>+[1]モンスター計算!O40</f>
        <v>2.5</v>
      </c>
      <c r="P37" s="28">
        <f>+[1]モンスター計算!P40</f>
        <v>0</v>
      </c>
      <c r="Q37" s="15">
        <f>+[1]モンスター計算!Q40</f>
        <v>0</v>
      </c>
      <c r="R37" s="15">
        <f>+[1]モンスター計算!R40</f>
        <v>0</v>
      </c>
      <c r="S37" s="15">
        <f>+[1]モンスター計算!S40</f>
        <v>0</v>
      </c>
      <c r="T37" s="15">
        <f>+[1]モンスター計算!T40</f>
        <v>0.2</v>
      </c>
      <c r="U37" s="15">
        <f>+[1]モンスター計算!U40</f>
        <v>-0.1</v>
      </c>
      <c r="V37" s="16">
        <f>+[1]モンスター計算!V40</f>
        <v>4</v>
      </c>
      <c r="W37" s="31">
        <v>15</v>
      </c>
      <c r="X37" s="28" t="s">
        <v>72</v>
      </c>
      <c r="Y37" s="34" t="s">
        <v>92</v>
      </c>
      <c r="Z37" s="16">
        <v>1.3</v>
      </c>
      <c r="AA37" s="31">
        <v>40</v>
      </c>
      <c r="AB37" s="31">
        <f t="shared" si="0"/>
        <v>54</v>
      </c>
      <c r="AC37" s="48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1" t="s">
        <v>948</v>
      </c>
      <c r="AI37" s="34" t="s">
        <v>1826</v>
      </c>
    </row>
    <row r="38" spans="1:35">
      <c r="A38" s="51" t="s">
        <v>553</v>
      </c>
      <c r="B38" s="11" t="s">
        <v>229</v>
      </c>
      <c r="C38" s="26" t="s">
        <v>45</v>
      </c>
      <c r="D38" s="11" t="s">
        <v>61</v>
      </c>
      <c r="E38" s="26">
        <f>+[1]モンスター計算!E41</f>
        <v>140</v>
      </c>
      <c r="F38" s="10">
        <f>+[1]モンスター計算!F41</f>
        <v>23</v>
      </c>
      <c r="G38" s="10">
        <f>+[1]モンスター計算!G41</f>
        <v>6</v>
      </c>
      <c r="H38" s="10">
        <f>+[1]モンスター計算!H41</f>
        <v>26</v>
      </c>
      <c r="I38" s="10">
        <f>+[1]モンスター計算!I41</f>
        <v>12</v>
      </c>
      <c r="J38" s="11">
        <f>+[1]モンスター計算!J41</f>
        <v>11</v>
      </c>
      <c r="K38" s="26">
        <f>+[1]モンスター計算!K41</f>
        <v>6.5000000000000002E-2</v>
      </c>
      <c r="L38" s="11">
        <f>+[1]モンスター計算!L41</f>
        <v>1.45</v>
      </c>
      <c r="M38" s="26">
        <f>+[1]モンスター計算!M41</f>
        <v>4</v>
      </c>
      <c r="N38" s="10">
        <f>+[1]モンスター計算!N41</f>
        <v>1.72</v>
      </c>
      <c r="O38" s="11">
        <f>+[1]モンスター計算!O41</f>
        <v>1.9</v>
      </c>
      <c r="P38" s="26">
        <f>+[1]モンスター計算!P41</f>
        <v>-0.17</v>
      </c>
      <c r="Q38" s="10">
        <f>+[1]モンスター計算!Q41</f>
        <v>0.13</v>
      </c>
      <c r="R38" s="10">
        <f>+[1]モンスター計算!R41</f>
        <v>-7.0000000000000007E-2</v>
      </c>
      <c r="S38" s="10">
        <f>+[1]モンスター計算!S41</f>
        <v>-7.0000000000000007E-2</v>
      </c>
      <c r="T38" s="10">
        <f>+[1]モンスター計算!T41</f>
        <v>-7.0000000000000007E-2</v>
      </c>
      <c r="U38" s="10">
        <f>+[1]モンスター計算!U41</f>
        <v>-7.0000000000000007E-2</v>
      </c>
      <c r="V38" s="11">
        <f>+[1]モンスター計算!V41</f>
        <v>5.4</v>
      </c>
      <c r="W38" s="29">
        <v>8</v>
      </c>
      <c r="X38" s="26" t="s">
        <v>109</v>
      </c>
      <c r="Y38" s="32" t="s">
        <v>87</v>
      </c>
      <c r="Z38" s="11">
        <v>1.2</v>
      </c>
      <c r="AA38" s="29">
        <v>5</v>
      </c>
      <c r="AB38" s="29">
        <f t="shared" si="0"/>
        <v>16</v>
      </c>
      <c r="AC38" s="46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29" t="s">
        <v>949</v>
      </c>
      <c r="AI38" s="32" t="s">
        <v>1826</v>
      </c>
    </row>
    <row r="39" spans="1:35">
      <c r="A39" s="52" t="s">
        <v>554</v>
      </c>
      <c r="B39" s="13" t="s">
        <v>230</v>
      </c>
      <c r="C39" s="27" t="s">
        <v>44</v>
      </c>
      <c r="D39" s="13" t="s">
        <v>61</v>
      </c>
      <c r="E39" s="27">
        <f>+[1]モンスター計算!E42</f>
        <v>213</v>
      </c>
      <c r="F39" s="5">
        <f>+[1]モンスター計算!F42</f>
        <v>26</v>
      </c>
      <c r="G39" s="5">
        <f>+[1]モンスター計算!G42</f>
        <v>11</v>
      </c>
      <c r="H39" s="5">
        <f>+[1]モンスター計算!H42</f>
        <v>25</v>
      </c>
      <c r="I39" s="5">
        <f>+[1]モンスター計算!I42</f>
        <v>18</v>
      </c>
      <c r="J39" s="13">
        <f>+[1]モンスター計算!J42</f>
        <v>12</v>
      </c>
      <c r="K39" s="27">
        <f>+[1]モンスター計算!K42</f>
        <v>0.08</v>
      </c>
      <c r="L39" s="13">
        <f>+[1]モンスター計算!L42</f>
        <v>1.6</v>
      </c>
      <c r="M39" s="27">
        <f>+[1]モンスター計算!M42</f>
        <v>2.8</v>
      </c>
      <c r="N39" s="5">
        <f>+[1]モンスター計算!N42</f>
        <v>1</v>
      </c>
      <c r="O39" s="13">
        <f>+[1]モンスター計算!O42</f>
        <v>2.5</v>
      </c>
      <c r="P39" s="27">
        <f>+[1]モンスター計算!P42</f>
        <v>0.21500000000000002</v>
      </c>
      <c r="Q39" s="5">
        <f>+[1]モンスター計算!Q42</f>
        <v>-8.5000000000000006E-2</v>
      </c>
      <c r="R39" s="5">
        <f>+[1]モンスター計算!R42</f>
        <v>1.4999999999999999E-2</v>
      </c>
      <c r="S39" s="5">
        <f>+[1]モンスター計算!S42</f>
        <v>1.4999999999999999E-2</v>
      </c>
      <c r="T39" s="5">
        <f>+[1]モンスター計算!T42</f>
        <v>1.4999999999999999E-2</v>
      </c>
      <c r="U39" s="5">
        <f>+[1]モンスター計算!U42</f>
        <v>1.4999999999999999E-2</v>
      </c>
      <c r="V39" s="13">
        <f>+[1]モンスター計算!V42</f>
        <v>4</v>
      </c>
      <c r="W39" s="30">
        <v>8</v>
      </c>
      <c r="X39" s="27" t="s">
        <v>64</v>
      </c>
      <c r="Y39" s="33" t="s">
        <v>88</v>
      </c>
      <c r="Z39" s="13">
        <v>1.2</v>
      </c>
      <c r="AA39" s="30">
        <v>7</v>
      </c>
      <c r="AB39" s="30">
        <f t="shared" si="0"/>
        <v>18</v>
      </c>
      <c r="AC39" s="47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0" t="s">
        <v>950</v>
      </c>
      <c r="AI39" s="33" t="s">
        <v>1826</v>
      </c>
    </row>
    <row r="40" spans="1:35">
      <c r="A40" s="52" t="s">
        <v>555</v>
      </c>
      <c r="B40" s="13" t="s">
        <v>231</v>
      </c>
      <c r="C40" s="27" t="s">
        <v>46</v>
      </c>
      <c r="D40" s="13" t="s">
        <v>61</v>
      </c>
      <c r="E40" s="27">
        <f>+[1]モンスター計算!E43</f>
        <v>103</v>
      </c>
      <c r="F40" s="5">
        <f>+[1]モンスター計算!F43</f>
        <v>20</v>
      </c>
      <c r="G40" s="5">
        <f>+[1]モンスター計算!G43</f>
        <v>10</v>
      </c>
      <c r="H40" s="5">
        <f>+[1]モンスター計算!H43</f>
        <v>47</v>
      </c>
      <c r="I40" s="5">
        <f>+[1]モンスター計算!I43</f>
        <v>9</v>
      </c>
      <c r="J40" s="13">
        <f>+[1]モンスター計算!J43</f>
        <v>9</v>
      </c>
      <c r="K40" s="27">
        <f>+[1]モンスター計算!K43</f>
        <v>0.08</v>
      </c>
      <c r="L40" s="13">
        <f>+[1]モンスター計算!L43</f>
        <v>1.55</v>
      </c>
      <c r="M40" s="27">
        <f>+[1]モンスター計算!M43</f>
        <v>4.2</v>
      </c>
      <c r="N40" s="5">
        <f>+[1]モンスター計算!N43</f>
        <v>1.3</v>
      </c>
      <c r="O40" s="13">
        <f>+[1]モンスター計算!O43</f>
        <v>2.5</v>
      </c>
      <c r="P40" s="27">
        <f>+[1]モンスター計算!P43</f>
        <v>-0.09</v>
      </c>
      <c r="Q40" s="5">
        <f>+[1]モンスター計算!Q43</f>
        <v>-0.09</v>
      </c>
      <c r="R40" s="5">
        <f>+[1]モンスター計算!R43</f>
        <v>0.11000000000000001</v>
      </c>
      <c r="S40" s="5">
        <f>+[1]モンスター計算!S43</f>
        <v>-0.19</v>
      </c>
      <c r="T40" s="5">
        <f>+[1]モンスター計算!T43</f>
        <v>-0.09</v>
      </c>
      <c r="U40" s="5">
        <f>+[1]モンスター計算!U43</f>
        <v>-0.09</v>
      </c>
      <c r="V40" s="13">
        <f>+[1]モンスター計算!V43</f>
        <v>4.2</v>
      </c>
      <c r="W40" s="30">
        <v>9</v>
      </c>
      <c r="X40" s="27" t="s">
        <v>66</v>
      </c>
      <c r="Y40" s="33" t="s">
        <v>89</v>
      </c>
      <c r="Z40" s="13">
        <v>1.22</v>
      </c>
      <c r="AA40" s="30">
        <v>10</v>
      </c>
      <c r="AB40" s="30">
        <f t="shared" si="0"/>
        <v>21</v>
      </c>
      <c r="AC40" s="47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0" t="s">
        <v>951</v>
      </c>
      <c r="AI40" s="33" t="s">
        <v>1826</v>
      </c>
    </row>
    <row r="41" spans="1:35">
      <c r="A41" s="52" t="s">
        <v>556</v>
      </c>
      <c r="B41" s="13" t="s">
        <v>232</v>
      </c>
      <c r="C41" s="27" t="s">
        <v>44</v>
      </c>
      <c r="D41" s="13" t="s">
        <v>59</v>
      </c>
      <c r="E41" s="27">
        <f>+[1]モンスター計算!E44</f>
        <v>140</v>
      </c>
      <c r="F41" s="5">
        <f>+[1]モンスター計算!F44</f>
        <v>10</v>
      </c>
      <c r="G41" s="5">
        <f>+[1]モンスター計算!G44</f>
        <v>29</v>
      </c>
      <c r="H41" s="5">
        <f>+[1]モンスター計算!H44</f>
        <v>9</v>
      </c>
      <c r="I41" s="5">
        <f>+[1]モンスター計算!I44</f>
        <v>11</v>
      </c>
      <c r="J41" s="13">
        <f>+[1]モンスター計算!J44</f>
        <v>10</v>
      </c>
      <c r="K41" s="27">
        <f>+[1]モンスター計算!K44</f>
        <v>0.1</v>
      </c>
      <c r="L41" s="13">
        <f>+[1]モンスター計算!L44</f>
        <v>1.85</v>
      </c>
      <c r="M41" s="27">
        <f>+[1]モンスター計算!M44</f>
        <v>4</v>
      </c>
      <c r="N41" s="5">
        <f>+[1]モンスター計算!N44</f>
        <v>1.41</v>
      </c>
      <c r="O41" s="13">
        <f>+[1]モンスター計算!O44</f>
        <v>1.8</v>
      </c>
      <c r="P41" s="27">
        <f>+[1]モンスター計算!P44</f>
        <v>0.14500000000000002</v>
      </c>
      <c r="Q41" s="5">
        <f>+[1]モンスター計算!Q44</f>
        <v>-0.155</v>
      </c>
      <c r="R41" s="5">
        <f>+[1]モンスター計算!R44</f>
        <v>-5.5E-2</v>
      </c>
      <c r="S41" s="5">
        <f>+[1]モンスター計算!S44</f>
        <v>-5.5E-2</v>
      </c>
      <c r="T41" s="5">
        <f>+[1]モンスター計算!T44</f>
        <v>-5.5E-2</v>
      </c>
      <c r="U41" s="5">
        <f>+[1]モンスター計算!U44</f>
        <v>-5.5E-2</v>
      </c>
      <c r="V41" s="13">
        <f>+[1]モンスター計算!V44</f>
        <v>6.4</v>
      </c>
      <c r="W41" s="30">
        <v>10</v>
      </c>
      <c r="X41" s="27" t="s">
        <v>68</v>
      </c>
      <c r="Y41" s="33" t="s">
        <v>90</v>
      </c>
      <c r="Z41" s="13">
        <v>1.25</v>
      </c>
      <c r="AA41" s="30">
        <v>15</v>
      </c>
      <c r="AB41" s="30">
        <f t="shared" si="0"/>
        <v>31</v>
      </c>
      <c r="AC41" s="47">
        <f t="shared" si="1"/>
        <v>7</v>
      </c>
      <c r="AD41" s="27" t="s">
        <v>74</v>
      </c>
      <c r="AE41" s="5">
        <v>0</v>
      </c>
      <c r="AF41" s="5">
        <v>0</v>
      </c>
      <c r="AG41" s="13" t="b">
        <v>0</v>
      </c>
      <c r="AH41" s="30" t="s">
        <v>952</v>
      </c>
      <c r="AI41" s="33" t="s">
        <v>1826</v>
      </c>
    </row>
    <row r="42" spans="1:35">
      <c r="A42" s="52" t="s">
        <v>557</v>
      </c>
      <c r="B42" s="13" t="s">
        <v>233</v>
      </c>
      <c r="C42" s="27" t="s">
        <v>45</v>
      </c>
      <c r="D42" s="13" t="s">
        <v>59</v>
      </c>
      <c r="E42" s="27">
        <f>+[1]モンスター計算!E45</f>
        <v>213</v>
      </c>
      <c r="F42" s="5">
        <f>+[1]モンスター計算!F45</f>
        <v>10</v>
      </c>
      <c r="G42" s="5">
        <f>+[1]モンスター計算!G45</f>
        <v>26</v>
      </c>
      <c r="H42" s="5">
        <f>+[1]モンスター計算!H45</f>
        <v>12</v>
      </c>
      <c r="I42" s="5">
        <f>+[1]モンスター計算!I45</f>
        <v>18</v>
      </c>
      <c r="J42" s="13">
        <f>+[1]モンスター計算!J45</f>
        <v>12</v>
      </c>
      <c r="K42" s="27">
        <f>+[1]モンスター計算!K45</f>
        <v>0.08</v>
      </c>
      <c r="L42" s="13">
        <f>+[1]モンスター計算!L45</f>
        <v>1.6</v>
      </c>
      <c r="M42" s="27">
        <f>+[1]モンスター計算!M45</f>
        <v>2.8</v>
      </c>
      <c r="N42" s="5">
        <f>+[1]モンスター計算!N45</f>
        <v>1</v>
      </c>
      <c r="O42" s="13">
        <f>+[1]モンスター計算!O45</f>
        <v>1.2</v>
      </c>
      <c r="P42" s="27">
        <f>+[1]モンスター計算!P45</f>
        <v>-6.5000000000000002E-2</v>
      </c>
      <c r="Q42" s="5">
        <f>+[1]モンスター計算!Q45</f>
        <v>0.23500000000000001</v>
      </c>
      <c r="R42" s="5">
        <f>+[1]モンスター計算!R45</f>
        <v>3.5000000000000003E-2</v>
      </c>
      <c r="S42" s="5">
        <f>+[1]モンスター計算!S45</f>
        <v>3.5000000000000003E-2</v>
      </c>
      <c r="T42" s="5">
        <f>+[1]モンスター計算!T45</f>
        <v>3.5000000000000003E-2</v>
      </c>
      <c r="U42" s="5">
        <f>+[1]モンスター計算!U45</f>
        <v>3.5000000000000003E-2</v>
      </c>
      <c r="V42" s="13">
        <f>+[1]モンスター計算!V45</f>
        <v>4</v>
      </c>
      <c r="W42" s="30">
        <v>11</v>
      </c>
      <c r="X42" s="27" t="s">
        <v>70</v>
      </c>
      <c r="Y42" s="33" t="s">
        <v>91</v>
      </c>
      <c r="Z42" s="13">
        <v>1.25</v>
      </c>
      <c r="AA42" s="30">
        <v>20</v>
      </c>
      <c r="AB42" s="30">
        <f t="shared" si="0"/>
        <v>37</v>
      </c>
      <c r="AC42" s="47">
        <f t="shared" si="1"/>
        <v>7</v>
      </c>
      <c r="AD42" s="27" t="s">
        <v>74</v>
      </c>
      <c r="AE42" s="5">
        <v>0</v>
      </c>
      <c r="AF42" s="5">
        <v>0</v>
      </c>
      <c r="AG42" s="13" t="b">
        <v>0</v>
      </c>
      <c r="AH42" s="30" t="s">
        <v>953</v>
      </c>
      <c r="AI42" s="33" t="s">
        <v>1826</v>
      </c>
    </row>
    <row r="43" spans="1:35" ht="19.5" thickBot="1">
      <c r="A43" s="53" t="s">
        <v>558</v>
      </c>
      <c r="B43" s="16" t="s">
        <v>234</v>
      </c>
      <c r="C43" s="28" t="s">
        <v>47</v>
      </c>
      <c r="D43" s="16" t="s">
        <v>61</v>
      </c>
      <c r="E43" s="28">
        <f>+[1]モンスター計算!E46</f>
        <v>195</v>
      </c>
      <c r="F43" s="15">
        <f>+[1]モンスター計算!F46</f>
        <v>27</v>
      </c>
      <c r="G43" s="15">
        <f>+[1]モンスター計算!G46</f>
        <v>12</v>
      </c>
      <c r="H43" s="15">
        <f>+[1]モンスター計算!H46</f>
        <v>27</v>
      </c>
      <c r="I43" s="15">
        <f>+[1]モンスター計算!I46</f>
        <v>16</v>
      </c>
      <c r="J43" s="16">
        <f>+[1]モンスター計算!J46</f>
        <v>16</v>
      </c>
      <c r="K43" s="28">
        <f>+[1]モンスター計算!K46</f>
        <v>7.0000000000000007E-2</v>
      </c>
      <c r="L43" s="16">
        <f>+[1]モンスター計算!L46</f>
        <v>1.55</v>
      </c>
      <c r="M43" s="28">
        <f>+[1]モンスター計算!M46</f>
        <v>2.4</v>
      </c>
      <c r="N43" s="15">
        <f>+[1]モンスター計算!N46</f>
        <v>1</v>
      </c>
      <c r="O43" s="16">
        <f>+[1]モンスター計算!O46</f>
        <v>2.5</v>
      </c>
      <c r="P43" s="28">
        <f>+[1]モンスター計算!P46</f>
        <v>0.02</v>
      </c>
      <c r="Q43" s="15">
        <f>+[1]モンスター計算!Q46</f>
        <v>0.02</v>
      </c>
      <c r="R43" s="15">
        <f>+[1]モンスター計算!R46</f>
        <v>0.02</v>
      </c>
      <c r="S43" s="15">
        <f>+[1]モンスター計算!S46</f>
        <v>0.02</v>
      </c>
      <c r="T43" s="15">
        <f>+[1]モンスター計算!T46</f>
        <v>0.22</v>
      </c>
      <c r="U43" s="15">
        <f>+[1]モンスター計算!U46</f>
        <v>-0.08</v>
      </c>
      <c r="V43" s="16">
        <f>+[1]モンスター計算!V46</f>
        <v>4</v>
      </c>
      <c r="W43" s="31">
        <v>15</v>
      </c>
      <c r="X43" s="28" t="s">
        <v>72</v>
      </c>
      <c r="Y43" s="34" t="s">
        <v>92</v>
      </c>
      <c r="Z43" s="16">
        <v>1.3</v>
      </c>
      <c r="AA43" s="31">
        <v>40</v>
      </c>
      <c r="AB43" s="31">
        <f t="shared" si="0"/>
        <v>57</v>
      </c>
      <c r="AC43" s="48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1" t="s">
        <v>954</v>
      </c>
      <c r="AI43" s="34" t="s">
        <v>1826</v>
      </c>
    </row>
    <row r="44" spans="1:35">
      <c r="A44" s="51" t="s">
        <v>559</v>
      </c>
      <c r="B44" s="11" t="s">
        <v>235</v>
      </c>
      <c r="C44" s="26" t="s">
        <v>45</v>
      </c>
      <c r="D44" s="11" t="s">
        <v>61</v>
      </c>
      <c r="E44" s="26">
        <f>+[1]モンスター計算!E47</f>
        <v>292</v>
      </c>
      <c r="F44" s="10">
        <f>+[1]モンスター計算!F47</f>
        <v>36</v>
      </c>
      <c r="G44" s="10">
        <f>+[1]モンスター計算!G47</f>
        <v>7</v>
      </c>
      <c r="H44" s="10">
        <f>+[1]モンスター計算!H47</f>
        <v>16</v>
      </c>
      <c r="I44" s="10">
        <f>+[1]モンスター計算!I47</f>
        <v>23</v>
      </c>
      <c r="J44" s="11">
        <f>+[1]モンスター計算!J47</f>
        <v>22</v>
      </c>
      <c r="K44" s="26">
        <f>+[1]モンスター計算!K47</f>
        <v>0.1</v>
      </c>
      <c r="L44" s="11">
        <f>+[1]モンスター計算!L47</f>
        <v>1.75</v>
      </c>
      <c r="M44" s="26">
        <f>+[1]モンスター計算!M47</f>
        <v>2.4</v>
      </c>
      <c r="N44" s="10">
        <f>+[1]モンスター計算!N47</f>
        <v>1.2</v>
      </c>
      <c r="O44" s="11">
        <f>+[1]モンスター計算!O47</f>
        <v>3</v>
      </c>
      <c r="P44" s="26">
        <f>+[1]モンスター計算!P47</f>
        <v>-2.0000000000000004E-2</v>
      </c>
      <c r="Q44" s="10">
        <f>+[1]モンスター計算!Q47</f>
        <v>0.28000000000000003</v>
      </c>
      <c r="R44" s="10">
        <f>+[1]モンスター計算!R47</f>
        <v>0.08</v>
      </c>
      <c r="S44" s="10">
        <f>+[1]モンスター計算!S47</f>
        <v>0.08</v>
      </c>
      <c r="T44" s="10">
        <f>+[1]モンスター計算!T47</f>
        <v>0.08</v>
      </c>
      <c r="U44" s="10">
        <f>+[1]モンスター計算!U47</f>
        <v>0.08</v>
      </c>
      <c r="V44" s="11">
        <f>+[1]モンスター計算!V47</f>
        <v>4</v>
      </c>
      <c r="W44" s="29">
        <v>8</v>
      </c>
      <c r="X44" s="26" t="s">
        <v>109</v>
      </c>
      <c r="Y44" s="32" t="s">
        <v>87</v>
      </c>
      <c r="Z44" s="11">
        <v>1.2</v>
      </c>
      <c r="AA44" s="29">
        <v>5</v>
      </c>
      <c r="AB44" s="29">
        <f t="shared" si="0"/>
        <v>17</v>
      </c>
      <c r="AC44" s="46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29" t="s">
        <v>955</v>
      </c>
      <c r="AI44" s="32" t="s">
        <v>1826</v>
      </c>
    </row>
    <row r="45" spans="1:35">
      <c r="A45" s="52" t="s">
        <v>560</v>
      </c>
      <c r="B45" s="13" t="s">
        <v>236</v>
      </c>
      <c r="C45" s="27" t="s">
        <v>44</v>
      </c>
      <c r="D45" s="13" t="s">
        <v>61</v>
      </c>
      <c r="E45" s="27">
        <f>+[1]モンスター計算!E48</f>
        <v>177</v>
      </c>
      <c r="F45" s="5">
        <f>+[1]モンスター計算!F48</f>
        <v>45</v>
      </c>
      <c r="G45" s="5">
        <f>+[1]モンスター計算!G48</f>
        <v>19</v>
      </c>
      <c r="H45" s="5">
        <f>+[1]モンスター計算!H48</f>
        <v>57</v>
      </c>
      <c r="I45" s="5">
        <f>+[1]モンスター計算!I48</f>
        <v>14</v>
      </c>
      <c r="J45" s="13">
        <f>+[1]モンスター計算!J48</f>
        <v>15</v>
      </c>
      <c r="K45" s="27">
        <f>+[1]モンスター計算!K48</f>
        <v>0.04</v>
      </c>
      <c r="L45" s="13">
        <f>+[1]モンスター計算!L48</f>
        <v>2.2000000000000002</v>
      </c>
      <c r="M45" s="27">
        <f>+[1]モンスター計算!M48</f>
        <v>1.65</v>
      </c>
      <c r="N45" s="5">
        <f>+[1]モンスター計算!N48</f>
        <v>0.64</v>
      </c>
      <c r="O45" s="13">
        <f>+[1]モンスター計算!O48</f>
        <v>3.7</v>
      </c>
      <c r="P45" s="27">
        <f>+[1]モンスター計算!P48</f>
        <v>0.17500000000000002</v>
      </c>
      <c r="Q45" s="5">
        <f>+[1]モンスター計算!Q48</f>
        <v>-0.125</v>
      </c>
      <c r="R45" s="5">
        <f>+[1]モンスター計算!R48</f>
        <v>-2.5000000000000001E-2</v>
      </c>
      <c r="S45" s="5">
        <f>+[1]モンスター計算!S48</f>
        <v>-2.5000000000000001E-2</v>
      </c>
      <c r="T45" s="5">
        <f>+[1]モンスター計算!T48</f>
        <v>-2.5000000000000001E-2</v>
      </c>
      <c r="U45" s="5">
        <f>+[1]モンスター計算!U48</f>
        <v>-2.5000000000000001E-2</v>
      </c>
      <c r="V45" s="13">
        <f>+[1]モンスター計算!V48</f>
        <v>5</v>
      </c>
      <c r="W45" s="30">
        <v>8</v>
      </c>
      <c r="X45" s="27" t="s">
        <v>64</v>
      </c>
      <c r="Y45" s="33" t="s">
        <v>88</v>
      </c>
      <c r="Z45" s="13">
        <v>1.2</v>
      </c>
      <c r="AA45" s="30">
        <v>7</v>
      </c>
      <c r="AB45" s="30">
        <f t="shared" si="0"/>
        <v>19</v>
      </c>
      <c r="AC45" s="47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0" t="s">
        <v>956</v>
      </c>
      <c r="AI45" s="33" t="s">
        <v>1826</v>
      </c>
    </row>
    <row r="46" spans="1:35">
      <c r="A46" s="52" t="s">
        <v>561</v>
      </c>
      <c r="B46" s="13" t="s">
        <v>237</v>
      </c>
      <c r="C46" s="27" t="s">
        <v>46</v>
      </c>
      <c r="D46" s="13" t="s">
        <v>61</v>
      </c>
      <c r="E46" s="27">
        <f>+[1]モンスター計算!E49</f>
        <v>207</v>
      </c>
      <c r="F46" s="5">
        <f>+[1]モンスター計算!F49</f>
        <v>50</v>
      </c>
      <c r="G46" s="5">
        <f>+[1]モンスター計算!G49</f>
        <v>10</v>
      </c>
      <c r="H46" s="5">
        <f>+[1]モンスター計算!H49</f>
        <v>34</v>
      </c>
      <c r="I46" s="5">
        <f>+[1]モンスター計算!I49</f>
        <v>12</v>
      </c>
      <c r="J46" s="13">
        <f>+[1]モンスター計算!J49</f>
        <v>32</v>
      </c>
      <c r="K46" s="27">
        <f>+[1]モンスター計算!K49</f>
        <v>4.4999999999999998E-2</v>
      </c>
      <c r="L46" s="13">
        <f>+[1]モンスター計算!L49</f>
        <v>1.45</v>
      </c>
      <c r="M46" s="27">
        <f>+[1]モンスター計算!M49</f>
        <v>1.9</v>
      </c>
      <c r="N46" s="5">
        <f>+[1]モンスター計算!N49</f>
        <v>0.84</v>
      </c>
      <c r="O46" s="13">
        <f>+[1]モンスター計算!O49</f>
        <v>2.65</v>
      </c>
      <c r="P46" s="27">
        <f>+[1]モンスター計算!P49</f>
        <v>0.09</v>
      </c>
      <c r="Q46" s="5">
        <f>+[1]モンスター計算!Q49</f>
        <v>0.09</v>
      </c>
      <c r="R46" s="5">
        <f>+[1]モンスター計算!R49</f>
        <v>0.29000000000000004</v>
      </c>
      <c r="S46" s="5">
        <f>+[1]モンスター計算!S49</f>
        <v>-1.0000000000000009E-2</v>
      </c>
      <c r="T46" s="5">
        <f>+[1]モンスター計算!T49</f>
        <v>0.09</v>
      </c>
      <c r="U46" s="5">
        <f>+[1]モンスター計算!U49</f>
        <v>0.09</v>
      </c>
      <c r="V46" s="13">
        <f>+[1]モンスター計算!V49</f>
        <v>4.4000000000000004</v>
      </c>
      <c r="W46" s="30">
        <v>9</v>
      </c>
      <c r="X46" s="27" t="s">
        <v>66</v>
      </c>
      <c r="Y46" s="33" t="s">
        <v>89</v>
      </c>
      <c r="Z46" s="13">
        <v>1.22</v>
      </c>
      <c r="AA46" s="30">
        <v>10</v>
      </c>
      <c r="AB46" s="30">
        <f t="shared" si="0"/>
        <v>23</v>
      </c>
      <c r="AC46" s="47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0" t="s">
        <v>957</v>
      </c>
      <c r="AI46" s="33" t="s">
        <v>1826</v>
      </c>
    </row>
    <row r="47" spans="1:35">
      <c r="A47" s="52" t="s">
        <v>562</v>
      </c>
      <c r="B47" s="13" t="s">
        <v>238</v>
      </c>
      <c r="C47" s="27" t="s">
        <v>44</v>
      </c>
      <c r="D47" s="13" t="s">
        <v>59</v>
      </c>
      <c r="E47" s="27">
        <f>+[1]モンスター計算!E50</f>
        <v>148</v>
      </c>
      <c r="F47" s="5">
        <f>+[1]モンスター計算!F50</f>
        <v>8</v>
      </c>
      <c r="G47" s="5">
        <f>+[1]モンスター計算!G50</f>
        <v>51</v>
      </c>
      <c r="H47" s="5">
        <f>+[1]モンスター計算!H50</f>
        <v>14</v>
      </c>
      <c r="I47" s="5">
        <f>+[1]モンスター計算!I50</f>
        <v>12</v>
      </c>
      <c r="J47" s="13">
        <f>+[1]モンスター計算!J50</f>
        <v>11</v>
      </c>
      <c r="K47" s="27">
        <f>+[1]モンスター計算!K50</f>
        <v>9.5000000000000001E-2</v>
      </c>
      <c r="L47" s="13">
        <f>+[1]モンスター計算!L50</f>
        <v>2.4</v>
      </c>
      <c r="M47" s="27">
        <f>+[1]モンスター計算!M50</f>
        <v>3.35</v>
      </c>
      <c r="N47" s="5">
        <f>+[1]モンスター計算!N50</f>
        <v>0.86</v>
      </c>
      <c r="O47" s="13">
        <f>+[1]モンスター計算!O50</f>
        <v>1.9950000000000001</v>
      </c>
      <c r="P47" s="27">
        <f>+[1]モンスター計算!P50</f>
        <v>0.13</v>
      </c>
      <c r="Q47" s="5">
        <f>+[1]モンスター計算!Q50</f>
        <v>-0.17</v>
      </c>
      <c r="R47" s="5">
        <f>+[1]モンスター計算!R50</f>
        <v>-7.0000000000000007E-2</v>
      </c>
      <c r="S47" s="5">
        <f>+[1]モンスター計算!S50</f>
        <v>-7.0000000000000007E-2</v>
      </c>
      <c r="T47" s="5">
        <f>+[1]モンスター計算!T50</f>
        <v>-7.0000000000000007E-2</v>
      </c>
      <c r="U47" s="5">
        <f>+[1]モンスター計算!U50</f>
        <v>-7.0000000000000007E-2</v>
      </c>
      <c r="V47" s="13">
        <f>+[1]モンスター計算!V50</f>
        <v>4.5999999999999996</v>
      </c>
      <c r="W47" s="30">
        <v>10</v>
      </c>
      <c r="X47" s="27" t="s">
        <v>68</v>
      </c>
      <c r="Y47" s="33" t="s">
        <v>90</v>
      </c>
      <c r="Z47" s="13">
        <v>1.25</v>
      </c>
      <c r="AA47" s="30">
        <v>15</v>
      </c>
      <c r="AB47" s="30">
        <f t="shared" si="0"/>
        <v>33</v>
      </c>
      <c r="AC47" s="47">
        <f t="shared" si="1"/>
        <v>8</v>
      </c>
      <c r="AD47" s="27" t="s">
        <v>74</v>
      </c>
      <c r="AE47" s="5">
        <v>0</v>
      </c>
      <c r="AF47" s="5">
        <v>0</v>
      </c>
      <c r="AG47" s="13" t="b">
        <v>0</v>
      </c>
      <c r="AH47" s="30" t="s">
        <v>958</v>
      </c>
      <c r="AI47" s="33" t="s">
        <v>1826</v>
      </c>
    </row>
    <row r="48" spans="1:35">
      <c r="A48" s="52" t="s">
        <v>563</v>
      </c>
      <c r="B48" s="13" t="s">
        <v>239</v>
      </c>
      <c r="C48" s="27" t="s">
        <v>45</v>
      </c>
      <c r="D48" s="13" t="s">
        <v>59</v>
      </c>
      <c r="E48" s="27">
        <f>+[1]モンスター計算!E51</f>
        <v>127</v>
      </c>
      <c r="F48" s="5">
        <f>+[1]モンスター計算!F51</f>
        <v>6</v>
      </c>
      <c r="G48" s="5">
        <f>+[1]モンスター計算!G51</f>
        <v>39</v>
      </c>
      <c r="H48" s="5">
        <f>+[1]モンスター計算!H51</f>
        <v>11</v>
      </c>
      <c r="I48" s="5">
        <f>+[1]モンスター計算!I51</f>
        <v>10</v>
      </c>
      <c r="J48" s="13">
        <f>+[1]モンスター計算!J51</f>
        <v>11</v>
      </c>
      <c r="K48" s="27">
        <f>+[1]モンスター計算!K51</f>
        <v>0.18</v>
      </c>
      <c r="L48" s="13">
        <f>+[1]モンスター計算!L51</f>
        <v>2.1</v>
      </c>
      <c r="M48" s="27">
        <f>+[1]モンスター計算!M51</f>
        <v>3.15</v>
      </c>
      <c r="N48" s="5">
        <f>+[1]モンスター計算!N51</f>
        <v>1.35</v>
      </c>
      <c r="O48" s="13">
        <f>+[1]モンスター計算!O51</f>
        <v>1.29</v>
      </c>
      <c r="P48" s="27">
        <f>+[1]モンスター計算!P51</f>
        <v>-0.18</v>
      </c>
      <c r="Q48" s="5">
        <f>+[1]モンスター計算!Q51</f>
        <v>0.12000000000000001</v>
      </c>
      <c r="R48" s="5">
        <f>+[1]モンスター計算!R51</f>
        <v>-0.08</v>
      </c>
      <c r="S48" s="5">
        <f>+[1]モンスター計算!S51</f>
        <v>-0.08</v>
      </c>
      <c r="T48" s="5">
        <f>+[1]モンスター計算!T51</f>
        <v>-0.08</v>
      </c>
      <c r="U48" s="5">
        <f>+[1]モンスター計算!U51</f>
        <v>-0.08</v>
      </c>
      <c r="V48" s="13">
        <f>+[1]モンスター計算!V51</f>
        <v>4.8</v>
      </c>
      <c r="W48" s="30">
        <v>11</v>
      </c>
      <c r="X48" s="27" t="s">
        <v>70</v>
      </c>
      <c r="Y48" s="33" t="s">
        <v>91</v>
      </c>
      <c r="Z48" s="13">
        <v>1.25</v>
      </c>
      <c r="AA48" s="30">
        <v>20</v>
      </c>
      <c r="AB48" s="30">
        <f t="shared" si="0"/>
        <v>39</v>
      </c>
      <c r="AC48" s="47">
        <f t="shared" si="1"/>
        <v>8</v>
      </c>
      <c r="AD48" s="27" t="s">
        <v>74</v>
      </c>
      <c r="AE48" s="5">
        <v>0</v>
      </c>
      <c r="AF48" s="5">
        <v>0</v>
      </c>
      <c r="AG48" s="13" t="b">
        <v>0</v>
      </c>
      <c r="AH48" s="30" t="s">
        <v>959</v>
      </c>
      <c r="AI48" s="33" t="s">
        <v>1826</v>
      </c>
    </row>
    <row r="49" spans="1:35" ht="19.5" thickBot="1">
      <c r="A49" s="53" t="s">
        <v>564</v>
      </c>
      <c r="B49" s="16" t="s">
        <v>240</v>
      </c>
      <c r="C49" s="28" t="s">
        <v>47</v>
      </c>
      <c r="D49" s="16" t="s">
        <v>61</v>
      </c>
      <c r="E49" s="28">
        <f>+[1]モンスター計算!E52</f>
        <v>187</v>
      </c>
      <c r="F49" s="15">
        <f>+[1]モンスター計算!F52</f>
        <v>31</v>
      </c>
      <c r="G49" s="15">
        <f>+[1]モンスター計算!G52</f>
        <v>10</v>
      </c>
      <c r="H49" s="15">
        <f>+[1]モンスター計算!H52</f>
        <v>37</v>
      </c>
      <c r="I49" s="15">
        <f>+[1]モンスター計算!I52</f>
        <v>13</v>
      </c>
      <c r="J49" s="16">
        <f>+[1]モンスター計算!J52</f>
        <v>14</v>
      </c>
      <c r="K49" s="28">
        <f>+[1]モンスター計算!K52</f>
        <v>0.06</v>
      </c>
      <c r="L49" s="16">
        <f>+[1]モンスター計算!L52</f>
        <v>1.6</v>
      </c>
      <c r="M49" s="28">
        <f>+[1]モンスター計算!M52</f>
        <v>2.25</v>
      </c>
      <c r="N49" s="15">
        <f>+[1]モンスター計算!N52</f>
        <v>0.91</v>
      </c>
      <c r="O49" s="16">
        <f>+[1]モンスター計算!O52</f>
        <v>4.75</v>
      </c>
      <c r="P49" s="28">
        <f>+[1]モンスター計算!P52</f>
        <v>-0.02</v>
      </c>
      <c r="Q49" s="15">
        <f>+[1]モンスター計算!Q52</f>
        <v>-0.02</v>
      </c>
      <c r="R49" s="15">
        <f>+[1]モンスター計算!R52</f>
        <v>-0.02</v>
      </c>
      <c r="S49" s="15">
        <f>+[1]モンスター計算!S52</f>
        <v>-0.02</v>
      </c>
      <c r="T49" s="15">
        <f>+[1]モンスター計算!T52</f>
        <v>0.18000000000000002</v>
      </c>
      <c r="U49" s="15">
        <f>+[1]モンスター計算!U52</f>
        <v>-0.12000000000000001</v>
      </c>
      <c r="V49" s="16">
        <f>+[1]モンスター計算!V52</f>
        <v>6.6</v>
      </c>
      <c r="W49" s="31">
        <v>15</v>
      </c>
      <c r="X49" s="28" t="s">
        <v>72</v>
      </c>
      <c r="Y49" s="34" t="s">
        <v>92</v>
      </c>
      <c r="Z49" s="16">
        <v>1.3</v>
      </c>
      <c r="AA49" s="31">
        <v>40</v>
      </c>
      <c r="AB49" s="31">
        <f t="shared" si="0"/>
        <v>60</v>
      </c>
      <c r="AC49" s="48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1" t="s">
        <v>960</v>
      </c>
      <c r="AI49" s="34" t="s">
        <v>1826</v>
      </c>
    </row>
    <row r="50" spans="1:35">
      <c r="A50" s="51" t="s">
        <v>565</v>
      </c>
      <c r="B50" s="11" t="s">
        <v>241</v>
      </c>
      <c r="C50" s="26" t="s">
        <v>45</v>
      </c>
      <c r="D50" s="11" t="s">
        <v>61</v>
      </c>
      <c r="E50" s="26">
        <f>+[1]モンスター計算!E53</f>
        <v>144</v>
      </c>
      <c r="F50" s="10">
        <f>+[1]モンスター計算!F53</f>
        <v>34</v>
      </c>
      <c r="G50" s="10">
        <f>+[1]モンスター計算!G53</f>
        <v>16</v>
      </c>
      <c r="H50" s="10">
        <f>+[1]モンスター計算!H53</f>
        <v>68</v>
      </c>
      <c r="I50" s="10">
        <f>+[1]モンスター計算!I53</f>
        <v>11</v>
      </c>
      <c r="J50" s="11">
        <f>+[1]モンスター計算!J53</f>
        <v>14</v>
      </c>
      <c r="K50" s="26">
        <f>+[1]モンスター計算!K53</f>
        <v>0.18</v>
      </c>
      <c r="L50" s="11">
        <f>+[1]モンスター計算!L53</f>
        <v>1.85</v>
      </c>
      <c r="M50" s="26">
        <f>+[1]モンスター計算!M53</f>
        <v>2.0499999999999998</v>
      </c>
      <c r="N50" s="10">
        <f>+[1]モンスター計算!N53</f>
        <v>0.75</v>
      </c>
      <c r="O50" s="11">
        <f>+[1]モンスター計算!O53</f>
        <v>4.45</v>
      </c>
      <c r="P50" s="26">
        <f>+[1]モンスター計算!P53</f>
        <v>-0.16</v>
      </c>
      <c r="Q50" s="10">
        <f>+[1]モンスター計算!Q53</f>
        <v>0.14000000000000001</v>
      </c>
      <c r="R50" s="10">
        <f>+[1]モンスター計算!R53</f>
        <v>-0.06</v>
      </c>
      <c r="S50" s="10">
        <f>+[1]モンスター計算!S53</f>
        <v>-0.06</v>
      </c>
      <c r="T50" s="10">
        <f>+[1]モンスター計算!T53</f>
        <v>-0.06</v>
      </c>
      <c r="U50" s="10">
        <f>+[1]モンスター計算!U53</f>
        <v>-0.06</v>
      </c>
      <c r="V50" s="11">
        <f>+[1]モンスター計算!V53</f>
        <v>5.6</v>
      </c>
      <c r="W50" s="29">
        <v>8</v>
      </c>
      <c r="X50" s="26" t="s">
        <v>109</v>
      </c>
      <c r="Y50" s="32" t="s">
        <v>87</v>
      </c>
      <c r="Z50" s="11">
        <v>1.2</v>
      </c>
      <c r="AA50" s="29">
        <v>5</v>
      </c>
      <c r="AB50" s="29">
        <f t="shared" si="0"/>
        <v>18</v>
      </c>
      <c r="AC50" s="46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29" t="s">
        <v>961</v>
      </c>
      <c r="AI50" s="32" t="s">
        <v>1826</v>
      </c>
    </row>
    <row r="51" spans="1:35">
      <c r="A51" s="52" t="s">
        <v>566</v>
      </c>
      <c r="B51" s="13" t="s">
        <v>242</v>
      </c>
      <c r="C51" s="27" t="s">
        <v>44</v>
      </c>
      <c r="D51" s="13" t="s">
        <v>61</v>
      </c>
      <c r="E51" s="27">
        <f>+[1]モンスター計算!E54</f>
        <v>176</v>
      </c>
      <c r="F51" s="5">
        <f>+[1]モンスター計算!F54</f>
        <v>42</v>
      </c>
      <c r="G51" s="5">
        <f>+[1]モンスター計算!G54</f>
        <v>16</v>
      </c>
      <c r="H51" s="5">
        <f>+[1]モンスター計算!H54</f>
        <v>60</v>
      </c>
      <c r="I51" s="5">
        <f>+[1]モンスター計算!I54</f>
        <v>14</v>
      </c>
      <c r="J51" s="13">
        <f>+[1]モンスター計算!J54</f>
        <v>15</v>
      </c>
      <c r="K51" s="27">
        <f>+[1]モンスター計算!K54</f>
        <v>0.12</v>
      </c>
      <c r="L51" s="13">
        <f>+[1]モンスター計算!L54</f>
        <v>2.5499999999999998</v>
      </c>
      <c r="M51" s="27">
        <f>+[1]モンスター計算!M54</f>
        <v>2.2999999999999998</v>
      </c>
      <c r="N51" s="5">
        <f>+[1]モンスター計算!N54</f>
        <v>0.68</v>
      </c>
      <c r="O51" s="13">
        <f>+[1]モンスター計算!O54</f>
        <v>3.55</v>
      </c>
      <c r="P51" s="27">
        <f>+[1]モンスター計算!P54</f>
        <v>0.14500000000000002</v>
      </c>
      <c r="Q51" s="5">
        <f>+[1]モンスター計算!Q54</f>
        <v>-0.155</v>
      </c>
      <c r="R51" s="5">
        <f>+[1]モンスター計算!R54</f>
        <v>-5.5E-2</v>
      </c>
      <c r="S51" s="5">
        <f>+[1]モンスター計算!S54</f>
        <v>-5.5E-2</v>
      </c>
      <c r="T51" s="5">
        <f>+[1]モンスター計算!T54</f>
        <v>-5.5E-2</v>
      </c>
      <c r="U51" s="5">
        <f>+[1]モンスター計算!U54</f>
        <v>-5.5E-2</v>
      </c>
      <c r="V51" s="13">
        <f>+[1]モンスター計算!V54</f>
        <v>4.8</v>
      </c>
      <c r="W51" s="30">
        <v>8</v>
      </c>
      <c r="X51" s="27" t="s">
        <v>64</v>
      </c>
      <c r="Y51" s="33" t="s">
        <v>88</v>
      </c>
      <c r="Z51" s="13">
        <v>1.2</v>
      </c>
      <c r="AA51" s="30">
        <v>7</v>
      </c>
      <c r="AB51" s="30">
        <f t="shared" si="0"/>
        <v>20</v>
      </c>
      <c r="AC51" s="47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0" t="s">
        <v>962</v>
      </c>
      <c r="AI51" s="33" t="s">
        <v>1826</v>
      </c>
    </row>
    <row r="52" spans="1:35">
      <c r="A52" s="52" t="s">
        <v>567</v>
      </c>
      <c r="B52" s="13" t="s">
        <v>243</v>
      </c>
      <c r="C52" s="27" t="s">
        <v>46</v>
      </c>
      <c r="D52" s="13" t="s">
        <v>61</v>
      </c>
      <c r="E52" s="27">
        <f>+[1]モンスター計算!E55</f>
        <v>300</v>
      </c>
      <c r="F52" s="5">
        <f>+[1]モンスター計算!F55</f>
        <v>69</v>
      </c>
      <c r="G52" s="5">
        <f>+[1]モンスター計算!G55</f>
        <v>11</v>
      </c>
      <c r="H52" s="5">
        <f>+[1]モンスター計算!H55</f>
        <v>30</v>
      </c>
      <c r="I52" s="5">
        <f>+[1]モンスター計算!I55</f>
        <v>16</v>
      </c>
      <c r="J52" s="13">
        <f>+[1]モンスター計算!J55</f>
        <v>29</v>
      </c>
      <c r="K52" s="27">
        <f>+[1]モンスター計算!K55</f>
        <v>0.115</v>
      </c>
      <c r="L52" s="13">
        <f>+[1]モンスター計算!L55</f>
        <v>1.95</v>
      </c>
      <c r="M52" s="27">
        <f>+[1]モンスター計算!M55</f>
        <v>1.2</v>
      </c>
      <c r="N52" s="5">
        <f>+[1]モンスター計算!N55</f>
        <v>0.72</v>
      </c>
      <c r="O52" s="13">
        <f>+[1]モンスター計算!O55</f>
        <v>3.3250000000000002</v>
      </c>
      <c r="P52" s="27">
        <f>+[1]モンスター計算!P55</f>
        <v>0.08</v>
      </c>
      <c r="Q52" s="5">
        <f>+[1]モンスター計算!Q55</f>
        <v>0.08</v>
      </c>
      <c r="R52" s="5">
        <f>+[1]モンスター計算!R55</f>
        <v>0.28000000000000003</v>
      </c>
      <c r="S52" s="5">
        <f>+[1]モンスター計算!S55</f>
        <v>-2.0000000000000004E-2</v>
      </c>
      <c r="T52" s="5">
        <f>+[1]モンスター計算!T55</f>
        <v>0.08</v>
      </c>
      <c r="U52" s="5">
        <f>+[1]モンスター計算!U55</f>
        <v>0.08</v>
      </c>
      <c r="V52" s="13">
        <f>+[1]モンスター計算!V55</f>
        <v>5</v>
      </c>
      <c r="W52" s="30">
        <v>9</v>
      </c>
      <c r="X52" s="27" t="s">
        <v>66</v>
      </c>
      <c r="Y52" s="33" t="s">
        <v>89</v>
      </c>
      <c r="Z52" s="13">
        <v>1.22</v>
      </c>
      <c r="AA52" s="30">
        <v>10</v>
      </c>
      <c r="AB52" s="30">
        <f t="shared" si="0"/>
        <v>25</v>
      </c>
      <c r="AC52" s="47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0" t="s">
        <v>963</v>
      </c>
      <c r="AI52" s="33" t="s">
        <v>1826</v>
      </c>
    </row>
    <row r="53" spans="1:35">
      <c r="A53" s="52" t="s">
        <v>568</v>
      </c>
      <c r="B53" s="13" t="s">
        <v>244</v>
      </c>
      <c r="C53" s="27" t="s">
        <v>44</v>
      </c>
      <c r="D53" s="13" t="s">
        <v>59</v>
      </c>
      <c r="E53" s="27">
        <f>+[1]モンスター計算!E56</f>
        <v>343</v>
      </c>
      <c r="F53" s="5">
        <f>+[1]モンスター計算!F56</f>
        <v>12</v>
      </c>
      <c r="G53" s="5">
        <f>+[1]モンスター計算!G56</f>
        <v>26</v>
      </c>
      <c r="H53" s="5">
        <f>+[1]モンスター計算!H56</f>
        <v>12</v>
      </c>
      <c r="I53" s="5">
        <f>+[1]モンスター計算!I56</f>
        <v>27</v>
      </c>
      <c r="J53" s="13">
        <f>+[1]モンスター計算!J56</f>
        <v>24</v>
      </c>
      <c r="K53" s="27">
        <f>+[1]モンスター計算!K56</f>
        <v>0.04</v>
      </c>
      <c r="L53" s="13">
        <f>+[1]モンスター計算!L56</f>
        <v>1.4</v>
      </c>
      <c r="M53" s="27">
        <f>+[1]モンスター計算!M56</f>
        <v>2.2000000000000002</v>
      </c>
      <c r="N53" s="5">
        <f>+[1]モンスター計算!N56</f>
        <v>0.82</v>
      </c>
      <c r="O53" s="13">
        <f>+[1]モンスター計算!O56</f>
        <v>1.2</v>
      </c>
      <c r="P53" s="27">
        <f>+[1]モンスター計算!P56</f>
        <v>0.30000000000000004</v>
      </c>
      <c r="Q53" s="5">
        <f>+[1]モンスター計算!Q56</f>
        <v>0</v>
      </c>
      <c r="R53" s="5">
        <f>+[1]モンスター計算!R56</f>
        <v>0.1</v>
      </c>
      <c r="S53" s="5">
        <f>+[1]モンスター計算!S56</f>
        <v>0.1</v>
      </c>
      <c r="T53" s="5">
        <f>+[1]モンスター計算!T56</f>
        <v>0.1</v>
      </c>
      <c r="U53" s="5">
        <f>+[1]モンスター計算!U56</f>
        <v>0.1</v>
      </c>
      <c r="V53" s="13">
        <f>+[1]モンスター計算!V56</f>
        <v>4</v>
      </c>
      <c r="W53" s="30">
        <v>10</v>
      </c>
      <c r="X53" s="27" t="s">
        <v>68</v>
      </c>
      <c r="Y53" s="33" t="s">
        <v>90</v>
      </c>
      <c r="Z53" s="13">
        <v>1.25</v>
      </c>
      <c r="AA53" s="30">
        <v>15</v>
      </c>
      <c r="AB53" s="30">
        <f t="shared" si="0"/>
        <v>35</v>
      </c>
      <c r="AC53" s="47">
        <f t="shared" si="1"/>
        <v>9</v>
      </c>
      <c r="AD53" s="27" t="s">
        <v>74</v>
      </c>
      <c r="AE53" s="5">
        <v>0</v>
      </c>
      <c r="AF53" s="5">
        <v>0</v>
      </c>
      <c r="AG53" s="13" t="b">
        <v>0</v>
      </c>
      <c r="AH53" s="30" t="s">
        <v>964</v>
      </c>
      <c r="AI53" s="33" t="s">
        <v>1826</v>
      </c>
    </row>
    <row r="54" spans="1:35">
      <c r="A54" s="52" t="s">
        <v>569</v>
      </c>
      <c r="B54" s="13" t="s">
        <v>245</v>
      </c>
      <c r="C54" s="27" t="s">
        <v>45</v>
      </c>
      <c r="D54" s="13" t="s">
        <v>59</v>
      </c>
      <c r="E54" s="27">
        <f>+[1]モンスター計算!E57</f>
        <v>315</v>
      </c>
      <c r="F54" s="5">
        <f>+[1]モンスター計算!F57</f>
        <v>14</v>
      </c>
      <c r="G54" s="5">
        <f>+[1]モンスター計算!G57</f>
        <v>29</v>
      </c>
      <c r="H54" s="5">
        <f>+[1]モンスター計算!H57</f>
        <v>10</v>
      </c>
      <c r="I54" s="5">
        <f>+[1]モンスター計算!I57</f>
        <v>16</v>
      </c>
      <c r="J54" s="13">
        <f>+[1]モンスター計算!J57</f>
        <v>38</v>
      </c>
      <c r="K54" s="27">
        <f>+[1]モンスター計算!K57</f>
        <v>0.05</v>
      </c>
      <c r="L54" s="13">
        <f>+[1]モンスター計算!L57</f>
        <v>1.5</v>
      </c>
      <c r="M54" s="27">
        <f>+[1]モンスター計算!M57</f>
        <v>2.0499999999999998</v>
      </c>
      <c r="N54" s="5">
        <f>+[1]モンスター計算!N57</f>
        <v>0.79</v>
      </c>
      <c r="O54" s="13">
        <f>+[1]モンスター計算!O57</f>
        <v>1.26</v>
      </c>
      <c r="P54" s="27">
        <f>+[1]モンスター計算!P57</f>
        <v>-0.03</v>
      </c>
      <c r="Q54" s="5">
        <f>+[1]モンスター計算!Q57</f>
        <v>0.27</v>
      </c>
      <c r="R54" s="5">
        <f>+[1]モンスター計算!R57</f>
        <v>7.0000000000000007E-2</v>
      </c>
      <c r="S54" s="5">
        <f>+[1]モンスター計算!S57</f>
        <v>7.0000000000000007E-2</v>
      </c>
      <c r="T54" s="5">
        <f>+[1]モンスター計算!T57</f>
        <v>7.0000000000000007E-2</v>
      </c>
      <c r="U54" s="5">
        <f>+[1]モンスター計算!U57</f>
        <v>7.0000000000000007E-2</v>
      </c>
      <c r="V54" s="13">
        <f>+[1]モンスター計算!V57</f>
        <v>4</v>
      </c>
      <c r="W54" s="30">
        <v>11</v>
      </c>
      <c r="X54" s="27" t="s">
        <v>70</v>
      </c>
      <c r="Y54" s="33" t="s">
        <v>91</v>
      </c>
      <c r="Z54" s="13">
        <v>1.25</v>
      </c>
      <c r="AA54" s="30">
        <v>20</v>
      </c>
      <c r="AB54" s="30">
        <f t="shared" si="0"/>
        <v>41</v>
      </c>
      <c r="AC54" s="47">
        <f t="shared" si="1"/>
        <v>9</v>
      </c>
      <c r="AD54" s="27" t="s">
        <v>74</v>
      </c>
      <c r="AE54" s="5">
        <v>0</v>
      </c>
      <c r="AF54" s="5">
        <v>0</v>
      </c>
      <c r="AG54" s="13" t="b">
        <v>0</v>
      </c>
      <c r="AH54" s="30" t="s">
        <v>965</v>
      </c>
      <c r="AI54" s="33" t="s">
        <v>1826</v>
      </c>
    </row>
    <row r="55" spans="1:35" ht="19.5" thickBot="1">
      <c r="A55" s="53" t="s">
        <v>570</v>
      </c>
      <c r="B55" s="16" t="s">
        <v>246</v>
      </c>
      <c r="C55" s="28" t="s">
        <v>47</v>
      </c>
      <c r="D55" s="16" t="s">
        <v>61</v>
      </c>
      <c r="E55" s="28">
        <f>+[1]モンスター計算!E58</f>
        <v>214</v>
      </c>
      <c r="F55" s="15">
        <f>+[1]モンスター計算!F58</f>
        <v>38</v>
      </c>
      <c r="G55" s="15">
        <f>+[1]モンスター計算!G58</f>
        <v>12</v>
      </c>
      <c r="H55" s="15">
        <f>+[1]モンスター計算!H58</f>
        <v>39</v>
      </c>
      <c r="I55" s="15">
        <f>+[1]モンスター計算!I58</f>
        <v>16</v>
      </c>
      <c r="J55" s="16">
        <f>+[1]モンスター計算!J58</f>
        <v>17</v>
      </c>
      <c r="K55" s="28">
        <f>+[1]モンスター計算!K58</f>
        <v>4.4999999999999998E-2</v>
      </c>
      <c r="L55" s="16">
        <f>+[1]モンスター計算!L58</f>
        <v>1.4</v>
      </c>
      <c r="M55" s="28">
        <f>+[1]モンスター計算!M58</f>
        <v>2.0499999999999998</v>
      </c>
      <c r="N55" s="15">
        <f>+[1]モンスター計算!N58</f>
        <v>0.92</v>
      </c>
      <c r="O55" s="16">
        <f>+[1]モンスター計算!O58</f>
        <v>2.6749999999999998</v>
      </c>
      <c r="P55" s="28">
        <f>+[1]モンスター計算!P58</f>
        <v>0.19</v>
      </c>
      <c r="Q55" s="15">
        <f>+[1]モンスター計算!Q58</f>
        <v>0.19</v>
      </c>
      <c r="R55" s="15">
        <f>+[1]モンスター計算!R58</f>
        <v>0.19</v>
      </c>
      <c r="S55" s="15">
        <f>+[1]モンスター計算!S58</f>
        <v>0.19</v>
      </c>
      <c r="T55" s="15">
        <f>+[1]モンスター計算!T58</f>
        <v>0.39</v>
      </c>
      <c r="U55" s="15">
        <f>+[1]モンスター計算!U58</f>
        <v>0.09</v>
      </c>
      <c r="V55" s="16">
        <f>+[1]モンスター計算!V58</f>
        <v>4</v>
      </c>
      <c r="W55" s="31">
        <v>15</v>
      </c>
      <c r="X55" s="28" t="s">
        <v>72</v>
      </c>
      <c r="Y55" s="34" t="s">
        <v>92</v>
      </c>
      <c r="Z55" s="16">
        <v>1.3</v>
      </c>
      <c r="AA55" s="31">
        <v>40</v>
      </c>
      <c r="AB55" s="31">
        <f t="shared" si="0"/>
        <v>63</v>
      </c>
      <c r="AC55" s="48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1" t="s">
        <v>966</v>
      </c>
      <c r="AI55" s="34" t="s">
        <v>1826</v>
      </c>
    </row>
    <row r="56" spans="1:35">
      <c r="A56" s="51" t="s">
        <v>571</v>
      </c>
      <c r="B56" s="11" t="s">
        <v>247</v>
      </c>
      <c r="C56" s="26" t="s">
        <v>45</v>
      </c>
      <c r="D56" s="11" t="s">
        <v>61</v>
      </c>
      <c r="E56" s="26">
        <f>+[1]モンスター計算!E59</f>
        <v>172</v>
      </c>
      <c r="F56" s="10">
        <f>+[1]モンスター計算!F59</f>
        <v>41</v>
      </c>
      <c r="G56" s="10">
        <f>+[1]モンスター計算!G59</f>
        <v>13</v>
      </c>
      <c r="H56" s="10">
        <f>+[1]モンスター計算!H59</f>
        <v>53</v>
      </c>
      <c r="I56" s="10">
        <f>+[1]モンスター計算!I59</f>
        <v>15</v>
      </c>
      <c r="J56" s="11">
        <f>+[1]モンスター計算!J59</f>
        <v>16</v>
      </c>
      <c r="K56" s="26">
        <f>+[1]モンスター計算!K59</f>
        <v>0.26</v>
      </c>
      <c r="L56" s="11">
        <f>+[1]モンスター計算!L59</f>
        <v>1.95</v>
      </c>
      <c r="M56" s="26">
        <f>+[1]モンスター計算!M59</f>
        <v>2.75</v>
      </c>
      <c r="N56" s="10">
        <f>+[1]モンスター計算!N59</f>
        <v>0.95</v>
      </c>
      <c r="O56" s="11">
        <f>+[1]モンスター計算!O59</f>
        <v>2.8</v>
      </c>
      <c r="P56" s="26">
        <f>+[1]モンスター計算!P59</f>
        <v>-0.15000000000000002</v>
      </c>
      <c r="Q56" s="10">
        <f>+[1]モンスター計算!Q59</f>
        <v>0.15000000000000002</v>
      </c>
      <c r="R56" s="10">
        <f>+[1]モンスター計算!R59</f>
        <v>-0.05</v>
      </c>
      <c r="S56" s="10">
        <f>+[1]モンスター計算!S59</f>
        <v>-0.05</v>
      </c>
      <c r="T56" s="10">
        <f>+[1]モンスター計算!T59</f>
        <v>-0.05</v>
      </c>
      <c r="U56" s="10">
        <f>+[1]モンスター計算!U59</f>
        <v>-0.05</v>
      </c>
      <c r="V56" s="11">
        <f>+[1]モンスター計算!V59</f>
        <v>4.4000000000000004</v>
      </c>
      <c r="W56" s="29">
        <v>8</v>
      </c>
      <c r="X56" s="26" t="s">
        <v>109</v>
      </c>
      <c r="Y56" s="32" t="s">
        <v>87</v>
      </c>
      <c r="Z56" s="11">
        <v>1.2</v>
      </c>
      <c r="AA56" s="29">
        <v>5</v>
      </c>
      <c r="AB56" s="29">
        <f t="shared" si="0"/>
        <v>19</v>
      </c>
      <c r="AC56" s="46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29" t="s">
        <v>967</v>
      </c>
      <c r="AI56" s="32" t="s">
        <v>1826</v>
      </c>
    </row>
    <row r="57" spans="1:35">
      <c r="A57" s="52" t="s">
        <v>572</v>
      </c>
      <c r="B57" s="13" t="s">
        <v>248</v>
      </c>
      <c r="C57" s="27" t="s">
        <v>44</v>
      </c>
      <c r="D57" s="13" t="s">
        <v>61</v>
      </c>
      <c r="E57" s="27">
        <f>+[1]モンスター計算!E60</f>
        <v>186</v>
      </c>
      <c r="F57" s="5">
        <f>+[1]モンスター計算!F60</f>
        <v>31</v>
      </c>
      <c r="G57" s="5">
        <f>+[1]モンスター計算!G60</f>
        <v>8</v>
      </c>
      <c r="H57" s="5">
        <f>+[1]モンスター計算!H60</f>
        <v>34</v>
      </c>
      <c r="I57" s="5">
        <f>+[1]モンスター計算!I60</f>
        <v>16</v>
      </c>
      <c r="J57" s="13">
        <f>+[1]モンスター計算!J60</f>
        <v>15</v>
      </c>
      <c r="K57" s="27">
        <f>+[1]モンスター計算!K60</f>
        <v>6.5000000000000002E-2</v>
      </c>
      <c r="L57" s="13">
        <f>+[1]モンスター計算!L60</f>
        <v>1.45</v>
      </c>
      <c r="M57" s="27">
        <f>+[1]モンスター計算!M60</f>
        <v>4</v>
      </c>
      <c r="N57" s="5">
        <f>+[1]モンスター計算!N60</f>
        <v>1.72</v>
      </c>
      <c r="O57" s="13">
        <f>+[1]モンスター計算!O60</f>
        <v>1.9</v>
      </c>
      <c r="P57" s="27">
        <f>+[1]モンスター計算!P60</f>
        <v>0.13</v>
      </c>
      <c r="Q57" s="5">
        <f>+[1]モンスター計算!Q60</f>
        <v>-0.17</v>
      </c>
      <c r="R57" s="5">
        <f>+[1]モンスター計算!R60</f>
        <v>-7.0000000000000007E-2</v>
      </c>
      <c r="S57" s="5">
        <f>+[1]モンスター計算!S60</f>
        <v>-7.0000000000000007E-2</v>
      </c>
      <c r="T57" s="5">
        <f>+[1]モンスター計算!T60</f>
        <v>-7.0000000000000007E-2</v>
      </c>
      <c r="U57" s="5">
        <f>+[1]モンスター計算!U60</f>
        <v>-7.0000000000000007E-2</v>
      </c>
      <c r="V57" s="13">
        <f>+[1]モンスター計算!V60</f>
        <v>5.4</v>
      </c>
      <c r="W57" s="30">
        <v>8</v>
      </c>
      <c r="X57" s="27" t="s">
        <v>64</v>
      </c>
      <c r="Y57" s="33" t="s">
        <v>88</v>
      </c>
      <c r="Z57" s="13">
        <v>1.2</v>
      </c>
      <c r="AA57" s="30">
        <v>7</v>
      </c>
      <c r="AB57" s="30">
        <f t="shared" si="0"/>
        <v>21</v>
      </c>
      <c r="AC57" s="47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0" t="s">
        <v>968</v>
      </c>
      <c r="AI57" s="33" t="s">
        <v>1826</v>
      </c>
    </row>
    <row r="58" spans="1:35">
      <c r="A58" s="52" t="s">
        <v>573</v>
      </c>
      <c r="B58" s="13" t="s">
        <v>249</v>
      </c>
      <c r="C58" s="27" t="s">
        <v>46</v>
      </c>
      <c r="D58" s="13" t="s">
        <v>61</v>
      </c>
      <c r="E58" s="27">
        <f>+[1]モンスター計算!E61</f>
        <v>283</v>
      </c>
      <c r="F58" s="5">
        <f>+[1]モンスター計算!F61</f>
        <v>34</v>
      </c>
      <c r="G58" s="5">
        <f>+[1]モンスター計算!G61</f>
        <v>15</v>
      </c>
      <c r="H58" s="5">
        <f>+[1]モンスター計算!H61</f>
        <v>33</v>
      </c>
      <c r="I58" s="5">
        <f>+[1]モンスター計算!I61</f>
        <v>25</v>
      </c>
      <c r="J58" s="13">
        <f>+[1]モンスター計算!J61</f>
        <v>16</v>
      </c>
      <c r="K58" s="27">
        <f>+[1]モンスター計算!K61</f>
        <v>0.08</v>
      </c>
      <c r="L58" s="13">
        <f>+[1]モンスター計算!L61</f>
        <v>1.6</v>
      </c>
      <c r="M58" s="27">
        <f>+[1]モンスター計算!M61</f>
        <v>2.8</v>
      </c>
      <c r="N58" s="5">
        <f>+[1]モンスター計算!N61</f>
        <v>1</v>
      </c>
      <c r="O58" s="13">
        <f>+[1]モンスター計算!O61</f>
        <v>2.5</v>
      </c>
      <c r="P58" s="27">
        <f>+[1]モンスター計算!P61</f>
        <v>1.4999999999999999E-2</v>
      </c>
      <c r="Q58" s="5">
        <f>+[1]モンスター計算!Q61</f>
        <v>1.4999999999999999E-2</v>
      </c>
      <c r="R58" s="5">
        <f>+[1]モンスター計算!R61</f>
        <v>0.21500000000000002</v>
      </c>
      <c r="S58" s="5">
        <f>+[1]モンスター計算!S61</f>
        <v>-8.5000000000000006E-2</v>
      </c>
      <c r="T58" s="5">
        <f>+[1]モンスター計算!T61</f>
        <v>1.4999999999999999E-2</v>
      </c>
      <c r="U58" s="5">
        <f>+[1]モンスター計算!U61</f>
        <v>1.4999999999999999E-2</v>
      </c>
      <c r="V58" s="13">
        <f>+[1]モンスター計算!V61</f>
        <v>4</v>
      </c>
      <c r="W58" s="30">
        <v>9</v>
      </c>
      <c r="X58" s="27" t="s">
        <v>66</v>
      </c>
      <c r="Y58" s="33" t="s">
        <v>89</v>
      </c>
      <c r="Z58" s="13">
        <v>1.22</v>
      </c>
      <c r="AA58" s="30">
        <v>10</v>
      </c>
      <c r="AB58" s="30">
        <f t="shared" si="0"/>
        <v>27</v>
      </c>
      <c r="AC58" s="47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0" t="s">
        <v>969</v>
      </c>
      <c r="AI58" s="33" t="s">
        <v>1826</v>
      </c>
    </row>
    <row r="59" spans="1:35">
      <c r="A59" s="52" t="s">
        <v>574</v>
      </c>
      <c r="B59" s="13" t="s">
        <v>250</v>
      </c>
      <c r="C59" s="27" t="s">
        <v>44</v>
      </c>
      <c r="D59" s="13" t="s">
        <v>59</v>
      </c>
      <c r="E59" s="27">
        <f>+[1]モンスター計算!E62</f>
        <v>429</v>
      </c>
      <c r="F59" s="5">
        <f>+[1]モンスター計算!F62</f>
        <v>11</v>
      </c>
      <c r="G59" s="5">
        <f>+[1]モンスター計算!G62</f>
        <v>31</v>
      </c>
      <c r="H59" s="5">
        <f>+[1]モンスター計算!H62</f>
        <v>12</v>
      </c>
      <c r="I59" s="5">
        <f>+[1]モンスター計算!I62</f>
        <v>41</v>
      </c>
      <c r="J59" s="13">
        <f>+[1]モンスター計算!J62</f>
        <v>20</v>
      </c>
      <c r="K59" s="27">
        <f>+[1]モンスター計算!K62</f>
        <v>0.03</v>
      </c>
      <c r="L59" s="13">
        <f>+[1]モンスター計算!L62</f>
        <v>1.35</v>
      </c>
      <c r="M59" s="27">
        <f>+[1]モンスター計算!M62</f>
        <v>1.5</v>
      </c>
      <c r="N59" s="5">
        <f>+[1]モンスター計算!N62</f>
        <v>0.65</v>
      </c>
      <c r="O59" s="13">
        <f>+[1]モンスター計算!O62</f>
        <v>1.02</v>
      </c>
      <c r="P59" s="27">
        <f>+[1]モンスター計算!P62</f>
        <v>0.30000000000000004</v>
      </c>
      <c r="Q59" s="5">
        <f>+[1]モンスター計算!Q62</f>
        <v>0</v>
      </c>
      <c r="R59" s="5">
        <f>+[1]モンスター計算!R62</f>
        <v>0.1</v>
      </c>
      <c r="S59" s="5">
        <f>+[1]モンスター計算!S62</f>
        <v>0.1</v>
      </c>
      <c r="T59" s="5">
        <f>+[1]モンスター計算!T62</f>
        <v>0.1</v>
      </c>
      <c r="U59" s="5">
        <f>+[1]モンスター計算!U62</f>
        <v>0.1</v>
      </c>
      <c r="V59" s="13">
        <f>+[1]モンスター計算!V62</f>
        <v>3.4</v>
      </c>
      <c r="W59" s="30">
        <v>10</v>
      </c>
      <c r="X59" s="27" t="s">
        <v>68</v>
      </c>
      <c r="Y59" s="33" t="s">
        <v>90</v>
      </c>
      <c r="Z59" s="13">
        <v>1.25</v>
      </c>
      <c r="AA59" s="30">
        <v>15</v>
      </c>
      <c r="AB59" s="30">
        <f t="shared" si="0"/>
        <v>37</v>
      </c>
      <c r="AC59" s="47">
        <f t="shared" si="1"/>
        <v>10</v>
      </c>
      <c r="AD59" s="27" t="s">
        <v>74</v>
      </c>
      <c r="AE59" s="5">
        <v>0</v>
      </c>
      <c r="AF59" s="5">
        <v>0</v>
      </c>
      <c r="AG59" s="13" t="b">
        <v>0</v>
      </c>
      <c r="AH59" s="30" t="s">
        <v>970</v>
      </c>
      <c r="AI59" s="33" t="s">
        <v>1826</v>
      </c>
    </row>
    <row r="60" spans="1:35">
      <c r="A60" s="52" t="s">
        <v>575</v>
      </c>
      <c r="B60" s="13" t="s">
        <v>251</v>
      </c>
      <c r="C60" s="27" t="s">
        <v>45</v>
      </c>
      <c r="D60" s="13" t="s">
        <v>59</v>
      </c>
      <c r="E60" s="27">
        <f>+[1]モンスター計算!E63</f>
        <v>186</v>
      </c>
      <c r="F60" s="5">
        <f>+[1]モンスター計算!F63</f>
        <v>13</v>
      </c>
      <c r="G60" s="5">
        <f>+[1]モンスター計算!G63</f>
        <v>38</v>
      </c>
      <c r="H60" s="5">
        <f>+[1]モンスター計算!H63</f>
        <v>12</v>
      </c>
      <c r="I60" s="5">
        <f>+[1]モンスター計算!I63</f>
        <v>15</v>
      </c>
      <c r="J60" s="13">
        <f>+[1]モンスター計算!J63</f>
        <v>14</v>
      </c>
      <c r="K60" s="27">
        <f>+[1]モンスター計算!K63</f>
        <v>0.1</v>
      </c>
      <c r="L60" s="13">
        <f>+[1]モンスター計算!L63</f>
        <v>1.85</v>
      </c>
      <c r="M60" s="27">
        <f>+[1]モンスター計算!M63</f>
        <v>4</v>
      </c>
      <c r="N60" s="5">
        <f>+[1]モンスター計算!N63</f>
        <v>1.41</v>
      </c>
      <c r="O60" s="13">
        <f>+[1]モンスター計算!O63</f>
        <v>1.8</v>
      </c>
      <c r="P60" s="27">
        <f>+[1]モンスター計算!P63</f>
        <v>-0.155</v>
      </c>
      <c r="Q60" s="5">
        <f>+[1]モンスター計算!Q63</f>
        <v>0.14500000000000002</v>
      </c>
      <c r="R60" s="5">
        <f>+[1]モンスター計算!R63</f>
        <v>-5.5E-2</v>
      </c>
      <c r="S60" s="5">
        <f>+[1]モンスター計算!S63</f>
        <v>-5.5E-2</v>
      </c>
      <c r="T60" s="5">
        <f>+[1]モンスター計算!T63</f>
        <v>-5.5E-2</v>
      </c>
      <c r="U60" s="5">
        <f>+[1]モンスター計算!U63</f>
        <v>-5.5E-2</v>
      </c>
      <c r="V60" s="13">
        <f>+[1]モンスター計算!V63</f>
        <v>6.4</v>
      </c>
      <c r="W60" s="30">
        <v>11</v>
      </c>
      <c r="X60" s="27" t="s">
        <v>70</v>
      </c>
      <c r="Y60" s="33" t="s">
        <v>91</v>
      </c>
      <c r="Z60" s="13">
        <v>1.25</v>
      </c>
      <c r="AA60" s="30">
        <v>20</v>
      </c>
      <c r="AB60" s="30">
        <f t="shared" si="0"/>
        <v>44</v>
      </c>
      <c r="AC60" s="47">
        <f t="shared" si="1"/>
        <v>10</v>
      </c>
      <c r="AD60" s="27" t="s">
        <v>74</v>
      </c>
      <c r="AE60" s="5">
        <v>0</v>
      </c>
      <c r="AF60" s="5">
        <v>0</v>
      </c>
      <c r="AG60" s="13" t="b">
        <v>0</v>
      </c>
      <c r="AH60" s="30" t="s">
        <v>971</v>
      </c>
      <c r="AI60" s="33" t="s">
        <v>1826</v>
      </c>
    </row>
    <row r="61" spans="1:35" ht="19.5" thickBot="1">
      <c r="A61" s="53" t="s">
        <v>576</v>
      </c>
      <c r="B61" s="16" t="s">
        <v>252</v>
      </c>
      <c r="C61" s="28" t="s">
        <v>47</v>
      </c>
      <c r="D61" s="16" t="s">
        <v>61</v>
      </c>
      <c r="E61" s="28">
        <f>+[1]モンスター計算!E64</f>
        <v>193</v>
      </c>
      <c r="F61" s="15">
        <f>+[1]モンスター計算!F64</f>
        <v>31</v>
      </c>
      <c r="G61" s="15">
        <f>+[1]モンスター計算!G64</f>
        <v>24</v>
      </c>
      <c r="H61" s="15">
        <f>+[1]モンスター計算!H64</f>
        <v>53</v>
      </c>
      <c r="I61" s="15">
        <f>+[1]モンスター計算!I64</f>
        <v>16</v>
      </c>
      <c r="J61" s="16">
        <f>+[1]モンスター計算!J64</f>
        <v>19</v>
      </c>
      <c r="K61" s="28">
        <f>+[1]モンスター計算!K64</f>
        <v>0.05</v>
      </c>
      <c r="L61" s="16">
        <f>+[1]モンスター計算!L64</f>
        <v>1.5</v>
      </c>
      <c r="M61" s="28">
        <f>+[1]モンスター計算!M64</f>
        <v>2</v>
      </c>
      <c r="N61" s="15">
        <f>+[1]モンスター計算!N64</f>
        <v>1</v>
      </c>
      <c r="O61" s="16">
        <f>+[1]モンスター計算!O64</f>
        <v>2.5</v>
      </c>
      <c r="P61" s="28">
        <f>+[1]モンスター計算!P64</f>
        <v>-0.02</v>
      </c>
      <c r="Q61" s="15">
        <f>+[1]モンスター計算!Q64</f>
        <v>-0.02</v>
      </c>
      <c r="R61" s="15">
        <f>+[1]モンスター計算!R64</f>
        <v>-0.02</v>
      </c>
      <c r="S61" s="15">
        <f>+[1]モンスター計算!S64</f>
        <v>-0.02</v>
      </c>
      <c r="T61" s="15">
        <f>+[1]モンスター計算!T64</f>
        <v>0.18000000000000002</v>
      </c>
      <c r="U61" s="15">
        <f>+[1]モンスター計算!U64</f>
        <v>-0.12000000000000001</v>
      </c>
      <c r="V61" s="16">
        <f>+[1]モンスター計算!V64</f>
        <v>4</v>
      </c>
      <c r="W61" s="31">
        <v>15</v>
      </c>
      <c r="X61" s="28" t="s">
        <v>72</v>
      </c>
      <c r="Y61" s="34" t="s">
        <v>92</v>
      </c>
      <c r="Z61" s="16">
        <v>1.3</v>
      </c>
      <c r="AA61" s="31">
        <v>40</v>
      </c>
      <c r="AB61" s="31">
        <f t="shared" si="0"/>
        <v>67</v>
      </c>
      <c r="AC61" s="48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1" t="s">
        <v>972</v>
      </c>
      <c r="AI61" s="34" t="s">
        <v>1826</v>
      </c>
    </row>
    <row r="62" spans="1:35">
      <c r="A62" s="51" t="s">
        <v>577</v>
      </c>
      <c r="B62" s="11" t="s">
        <v>253</v>
      </c>
      <c r="C62" s="26" t="s">
        <v>45</v>
      </c>
      <c r="D62" s="11" t="s">
        <v>61</v>
      </c>
      <c r="E62" s="26">
        <f>+[1]モンスター計算!E65</f>
        <v>231</v>
      </c>
      <c r="F62" s="10">
        <f>+[1]モンスター計算!F65</f>
        <v>36</v>
      </c>
      <c r="G62" s="10">
        <f>+[1]モンスター計算!G65</f>
        <v>12</v>
      </c>
      <c r="H62" s="10">
        <f>+[1]モンスター計算!H65</f>
        <v>45</v>
      </c>
      <c r="I62" s="10">
        <f>+[1]モンスター計算!I65</f>
        <v>19</v>
      </c>
      <c r="J62" s="11">
        <f>+[1]モンスター計算!J65</f>
        <v>19</v>
      </c>
      <c r="K62" s="26">
        <f>+[1]モンスター計算!K65</f>
        <v>7.4999999999999997E-2</v>
      </c>
      <c r="L62" s="11">
        <f>+[1]モンスター計算!L65</f>
        <v>1.5</v>
      </c>
      <c r="M62" s="26">
        <f>+[1]モンスター計算!M65</f>
        <v>3.1</v>
      </c>
      <c r="N62" s="10">
        <f>+[1]モンスター計算!N65</f>
        <v>1.1499999999999999</v>
      </c>
      <c r="O62" s="11">
        <f>+[1]モンスター計算!O65</f>
        <v>3.0750000000000002</v>
      </c>
      <c r="P62" s="26">
        <f>+[1]モンスター計算!P65</f>
        <v>-0.11</v>
      </c>
      <c r="Q62" s="10">
        <f>+[1]モンスター計算!Q65</f>
        <v>0.19</v>
      </c>
      <c r="R62" s="10">
        <f>+[1]モンスター計算!R65</f>
        <v>-0.01</v>
      </c>
      <c r="S62" s="10">
        <f>+[1]モンスター計算!S65</f>
        <v>-0.01</v>
      </c>
      <c r="T62" s="10">
        <f>+[1]モンスター計算!T65</f>
        <v>-0.01</v>
      </c>
      <c r="U62" s="10">
        <f>+[1]モンスター計算!U65</f>
        <v>-0.01</v>
      </c>
      <c r="V62" s="11">
        <f>+[1]モンスター計算!V65</f>
        <v>8.6</v>
      </c>
      <c r="W62" s="29">
        <v>8</v>
      </c>
      <c r="X62" s="26" t="s">
        <v>109</v>
      </c>
      <c r="Y62" s="32" t="s">
        <v>87</v>
      </c>
      <c r="Z62" s="11">
        <v>1.2</v>
      </c>
      <c r="AA62" s="29">
        <v>5</v>
      </c>
      <c r="AB62" s="29">
        <f t="shared" si="0"/>
        <v>20</v>
      </c>
      <c r="AC62" s="46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29" t="s">
        <v>973</v>
      </c>
      <c r="AI62" s="32" t="s">
        <v>1826</v>
      </c>
    </row>
    <row r="63" spans="1:35">
      <c r="A63" s="52" t="s">
        <v>578</v>
      </c>
      <c r="B63" s="13" t="s">
        <v>254</v>
      </c>
      <c r="C63" s="27" t="s">
        <v>44</v>
      </c>
      <c r="D63" s="13" t="s">
        <v>61</v>
      </c>
      <c r="E63" s="27">
        <f>+[1]モンスター計算!E66</f>
        <v>389</v>
      </c>
      <c r="F63" s="5">
        <f>+[1]モンスター計算!F66</f>
        <v>47</v>
      </c>
      <c r="G63" s="5">
        <f>+[1]モンスター計算!G66</f>
        <v>9</v>
      </c>
      <c r="H63" s="5">
        <f>+[1]モンスター計算!H66</f>
        <v>21</v>
      </c>
      <c r="I63" s="5">
        <f>+[1]モンスター計算!I66</f>
        <v>31</v>
      </c>
      <c r="J63" s="13">
        <f>+[1]モンスター計算!J66</f>
        <v>29</v>
      </c>
      <c r="K63" s="27">
        <f>+[1]モンスター計算!K66</f>
        <v>0.1</v>
      </c>
      <c r="L63" s="13">
        <f>+[1]モンスター計算!L66</f>
        <v>1.75</v>
      </c>
      <c r="M63" s="27">
        <f>+[1]モンスター計算!M66</f>
        <v>2.4</v>
      </c>
      <c r="N63" s="5">
        <f>+[1]モンスター計算!N66</f>
        <v>1.2</v>
      </c>
      <c r="O63" s="13">
        <f>+[1]モンスター計算!O66</f>
        <v>3</v>
      </c>
      <c r="P63" s="27">
        <f>+[1]モンスター計算!P66</f>
        <v>0.28000000000000003</v>
      </c>
      <c r="Q63" s="5">
        <f>+[1]モンスター計算!Q66</f>
        <v>-2.0000000000000004E-2</v>
      </c>
      <c r="R63" s="5">
        <f>+[1]モンスター計算!R66</f>
        <v>0.08</v>
      </c>
      <c r="S63" s="5">
        <f>+[1]モンスター計算!S66</f>
        <v>0.08</v>
      </c>
      <c r="T63" s="5">
        <f>+[1]モンスター計算!T66</f>
        <v>0.08</v>
      </c>
      <c r="U63" s="5">
        <f>+[1]モンスター計算!U66</f>
        <v>0.08</v>
      </c>
      <c r="V63" s="13">
        <f>+[1]モンスター計算!V66</f>
        <v>4</v>
      </c>
      <c r="W63" s="30">
        <v>8</v>
      </c>
      <c r="X63" s="27" t="s">
        <v>64</v>
      </c>
      <c r="Y63" s="33" t="s">
        <v>88</v>
      </c>
      <c r="Z63" s="13">
        <v>1.2</v>
      </c>
      <c r="AA63" s="30">
        <v>7</v>
      </c>
      <c r="AB63" s="30">
        <f t="shared" si="0"/>
        <v>23</v>
      </c>
      <c r="AC63" s="47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0" t="s">
        <v>974</v>
      </c>
      <c r="AI63" s="33" t="s">
        <v>1826</v>
      </c>
    </row>
    <row r="64" spans="1:35">
      <c r="A64" s="52" t="s">
        <v>579</v>
      </c>
      <c r="B64" s="13" t="s">
        <v>255</v>
      </c>
      <c r="C64" s="27" t="s">
        <v>46</v>
      </c>
      <c r="D64" s="13" t="s">
        <v>61</v>
      </c>
      <c r="E64" s="27">
        <f>+[1]モンスター計算!E67</f>
        <v>236</v>
      </c>
      <c r="F64" s="5">
        <f>+[1]モンスター計算!F67</f>
        <v>61</v>
      </c>
      <c r="G64" s="5">
        <f>+[1]モンスター計算!G67</f>
        <v>26</v>
      </c>
      <c r="H64" s="5">
        <f>+[1]モンスター計算!H67</f>
        <v>76</v>
      </c>
      <c r="I64" s="5">
        <f>+[1]モンスター計算!I67</f>
        <v>18</v>
      </c>
      <c r="J64" s="13">
        <f>+[1]モンスター計算!J67</f>
        <v>20</v>
      </c>
      <c r="K64" s="27">
        <f>+[1]モンスター計算!K67</f>
        <v>0.04</v>
      </c>
      <c r="L64" s="13">
        <f>+[1]モンスター計算!L67</f>
        <v>2.2000000000000002</v>
      </c>
      <c r="M64" s="27">
        <f>+[1]モンスター計算!M67</f>
        <v>1.65</v>
      </c>
      <c r="N64" s="5">
        <f>+[1]モンスター計算!N67</f>
        <v>0.64</v>
      </c>
      <c r="O64" s="13">
        <f>+[1]モンスター計算!O67</f>
        <v>3.7</v>
      </c>
      <c r="P64" s="27">
        <f>+[1]モンスター計算!P67</f>
        <v>-2.5000000000000001E-2</v>
      </c>
      <c r="Q64" s="5">
        <f>+[1]モンスター計算!Q67</f>
        <v>-2.5000000000000001E-2</v>
      </c>
      <c r="R64" s="5">
        <f>+[1]モンスター計算!R67</f>
        <v>0.17500000000000002</v>
      </c>
      <c r="S64" s="5">
        <f>+[1]モンスター計算!S67</f>
        <v>-0.125</v>
      </c>
      <c r="T64" s="5">
        <f>+[1]モンスター計算!T67</f>
        <v>-2.5000000000000001E-2</v>
      </c>
      <c r="U64" s="5">
        <f>+[1]モンスター計算!U67</f>
        <v>-2.5000000000000001E-2</v>
      </c>
      <c r="V64" s="13">
        <f>+[1]モンスター計算!V67</f>
        <v>5</v>
      </c>
      <c r="W64" s="30">
        <v>9</v>
      </c>
      <c r="X64" s="27" t="s">
        <v>66</v>
      </c>
      <c r="Y64" s="33" t="s">
        <v>89</v>
      </c>
      <c r="Z64" s="13">
        <v>1.22</v>
      </c>
      <c r="AA64" s="30">
        <v>10</v>
      </c>
      <c r="AB64" s="30">
        <f t="shared" si="0"/>
        <v>29</v>
      </c>
      <c r="AC64" s="47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0" t="s">
        <v>975</v>
      </c>
      <c r="AI64" s="33" t="s">
        <v>1826</v>
      </c>
    </row>
    <row r="65" spans="1:35">
      <c r="A65" s="52" t="s">
        <v>580</v>
      </c>
      <c r="B65" s="13" t="s">
        <v>256</v>
      </c>
      <c r="C65" s="27" t="s">
        <v>44</v>
      </c>
      <c r="D65" s="13" t="s">
        <v>59</v>
      </c>
      <c r="E65" s="27">
        <f>+[1]モンスター計算!E68</f>
        <v>290</v>
      </c>
      <c r="F65" s="5">
        <f>+[1]モンスター計算!F68</f>
        <v>16</v>
      </c>
      <c r="G65" s="5">
        <f>+[1]モンスター計算!G68</f>
        <v>38</v>
      </c>
      <c r="H65" s="5">
        <f>+[1]モンスター計算!H68</f>
        <v>13</v>
      </c>
      <c r="I65" s="5">
        <f>+[1]モンスター計算!I68</f>
        <v>26</v>
      </c>
      <c r="J65" s="13">
        <f>+[1]モンスター計算!J68</f>
        <v>26</v>
      </c>
      <c r="K65" s="27">
        <f>+[1]モンスター計算!K68</f>
        <v>0.04</v>
      </c>
      <c r="L65" s="13">
        <f>+[1]モンスター計算!L68</f>
        <v>1.4</v>
      </c>
      <c r="M65" s="27">
        <f>+[1]モンスター計算!M68</f>
        <v>2.4500000000000002</v>
      </c>
      <c r="N65" s="5">
        <f>+[1]モンスター計算!N68</f>
        <v>1.03</v>
      </c>
      <c r="O65" s="13">
        <f>+[1]モンスター計算!O68</f>
        <v>1.47</v>
      </c>
      <c r="P65" s="27">
        <f>+[1]モンスター計算!P68</f>
        <v>0.24000000000000002</v>
      </c>
      <c r="Q65" s="5">
        <f>+[1]モンスター計算!Q68</f>
        <v>-6.0000000000000005E-2</v>
      </c>
      <c r="R65" s="5">
        <f>+[1]モンスター計算!R68</f>
        <v>0.04</v>
      </c>
      <c r="S65" s="5">
        <f>+[1]モンスター計算!S68</f>
        <v>0.04</v>
      </c>
      <c r="T65" s="5">
        <f>+[1]モンスター計算!T68</f>
        <v>0.04</v>
      </c>
      <c r="U65" s="5">
        <f>+[1]モンスター計算!U68</f>
        <v>0.04</v>
      </c>
      <c r="V65" s="13">
        <f>+[1]モンスター計算!V68</f>
        <v>4</v>
      </c>
      <c r="W65" s="30">
        <v>10</v>
      </c>
      <c r="X65" s="27" t="s">
        <v>68</v>
      </c>
      <c r="Y65" s="33" t="s">
        <v>90</v>
      </c>
      <c r="Z65" s="13">
        <v>1.25</v>
      </c>
      <c r="AA65" s="30">
        <v>15</v>
      </c>
      <c r="AB65" s="30">
        <f t="shared" si="0"/>
        <v>39</v>
      </c>
      <c r="AC65" s="47">
        <f t="shared" si="1"/>
        <v>11</v>
      </c>
      <c r="AD65" s="27" t="s">
        <v>74</v>
      </c>
      <c r="AE65" s="5">
        <v>0</v>
      </c>
      <c r="AF65" s="5">
        <v>0</v>
      </c>
      <c r="AG65" s="13" t="b">
        <v>0</v>
      </c>
      <c r="AH65" s="30" t="s">
        <v>976</v>
      </c>
      <c r="AI65" s="33" t="s">
        <v>1826</v>
      </c>
    </row>
    <row r="66" spans="1:35">
      <c r="A66" s="52" t="s">
        <v>581</v>
      </c>
      <c r="B66" s="13" t="s">
        <v>257</v>
      </c>
      <c r="C66" s="27" t="s">
        <v>45</v>
      </c>
      <c r="D66" s="13" t="s">
        <v>59</v>
      </c>
      <c r="E66" s="27">
        <f>+[1]モンスター計算!E69</f>
        <v>197</v>
      </c>
      <c r="F66" s="5">
        <f>+[1]モンスター計算!F69</f>
        <v>10</v>
      </c>
      <c r="G66" s="5">
        <f>+[1]モンスター計算!G69</f>
        <v>68</v>
      </c>
      <c r="H66" s="5">
        <f>+[1]モンスター計算!H69</f>
        <v>19</v>
      </c>
      <c r="I66" s="5">
        <f>+[1]モンスター計算!I69</f>
        <v>16</v>
      </c>
      <c r="J66" s="13">
        <f>+[1]モンスター計算!J69</f>
        <v>15</v>
      </c>
      <c r="K66" s="27">
        <f>+[1]モンスター計算!K69</f>
        <v>9.5000000000000001E-2</v>
      </c>
      <c r="L66" s="13">
        <f>+[1]モンスター計算!L69</f>
        <v>2.4</v>
      </c>
      <c r="M66" s="27">
        <f>+[1]モンスター計算!M69</f>
        <v>3.35</v>
      </c>
      <c r="N66" s="5">
        <f>+[1]モンスター計算!N69</f>
        <v>0.86</v>
      </c>
      <c r="O66" s="13">
        <f>+[1]モンスター計算!O69</f>
        <v>1.9950000000000001</v>
      </c>
      <c r="P66" s="27">
        <f>+[1]モンスター計算!P69</f>
        <v>-0.17</v>
      </c>
      <c r="Q66" s="5">
        <f>+[1]モンスター計算!Q69</f>
        <v>0.13</v>
      </c>
      <c r="R66" s="5">
        <f>+[1]モンスター計算!R69</f>
        <v>-7.0000000000000007E-2</v>
      </c>
      <c r="S66" s="5">
        <f>+[1]モンスター計算!S69</f>
        <v>-7.0000000000000007E-2</v>
      </c>
      <c r="T66" s="5">
        <f>+[1]モンスター計算!T69</f>
        <v>-7.0000000000000007E-2</v>
      </c>
      <c r="U66" s="5">
        <f>+[1]モンスター計算!U69</f>
        <v>-7.0000000000000007E-2</v>
      </c>
      <c r="V66" s="13">
        <f>+[1]モンスター計算!V69</f>
        <v>4.5999999999999996</v>
      </c>
      <c r="W66" s="30">
        <v>11</v>
      </c>
      <c r="X66" s="27" t="s">
        <v>70</v>
      </c>
      <c r="Y66" s="33" t="s">
        <v>91</v>
      </c>
      <c r="Z66" s="13">
        <v>1.25</v>
      </c>
      <c r="AA66" s="30">
        <v>20</v>
      </c>
      <c r="AB66" s="30">
        <f t="shared" si="0"/>
        <v>47</v>
      </c>
      <c r="AC66" s="47">
        <f t="shared" si="1"/>
        <v>11</v>
      </c>
      <c r="AD66" s="27" t="s">
        <v>74</v>
      </c>
      <c r="AE66" s="5">
        <v>0</v>
      </c>
      <c r="AF66" s="5">
        <v>0</v>
      </c>
      <c r="AG66" s="13" t="b">
        <v>0</v>
      </c>
      <c r="AH66" s="30" t="s">
        <v>977</v>
      </c>
      <c r="AI66" s="33" t="s">
        <v>1826</v>
      </c>
    </row>
    <row r="67" spans="1:35" ht="19.5" thickBot="1">
      <c r="A67" s="53" t="s">
        <v>582</v>
      </c>
      <c r="B67" s="16" t="s">
        <v>258</v>
      </c>
      <c r="C67" s="28" t="s">
        <v>47</v>
      </c>
      <c r="D67" s="16" t="s">
        <v>61</v>
      </c>
      <c r="E67" s="28">
        <f>+[1]モンスター計算!E70</f>
        <v>259</v>
      </c>
      <c r="F67" s="15">
        <f>+[1]モンスター計算!F70</f>
        <v>55</v>
      </c>
      <c r="G67" s="15">
        <f>+[1]モンスター計算!G70</f>
        <v>21</v>
      </c>
      <c r="H67" s="15">
        <f>+[1]モンスター計算!H70</f>
        <v>46</v>
      </c>
      <c r="I67" s="15">
        <f>+[1]モンスター計算!I70</f>
        <v>21</v>
      </c>
      <c r="J67" s="16">
        <f>+[1]モンスター計算!J70</f>
        <v>25</v>
      </c>
      <c r="K67" s="28">
        <f>+[1]モンスター計算!K70</f>
        <v>0.06</v>
      </c>
      <c r="L67" s="16">
        <f>+[1]モンスター計算!L70</f>
        <v>1.4</v>
      </c>
      <c r="M67" s="28">
        <f>+[1]モンスター計算!M70</f>
        <v>2.1</v>
      </c>
      <c r="N67" s="15">
        <f>+[1]モンスター計算!N70</f>
        <v>0.95</v>
      </c>
      <c r="O67" s="16">
        <f>+[1]モンスター計算!O70</f>
        <v>2.875</v>
      </c>
      <c r="P67" s="28">
        <f>+[1]モンスター計算!P70</f>
        <v>0.03</v>
      </c>
      <c r="Q67" s="15">
        <f>+[1]モンスター計算!Q70</f>
        <v>0.03</v>
      </c>
      <c r="R67" s="15">
        <f>+[1]モンスター計算!R70</f>
        <v>0.03</v>
      </c>
      <c r="S67" s="15">
        <f>+[1]モンスター計算!S70</f>
        <v>0.03</v>
      </c>
      <c r="T67" s="15">
        <f>+[1]モンスター計算!T70</f>
        <v>0.23</v>
      </c>
      <c r="U67" s="15">
        <f>+[1]モンスター計算!U70</f>
        <v>-7.0000000000000007E-2</v>
      </c>
      <c r="V67" s="16">
        <f>+[1]モンスター計算!V70</f>
        <v>4.8</v>
      </c>
      <c r="W67" s="31">
        <v>15</v>
      </c>
      <c r="X67" s="28" t="s">
        <v>72</v>
      </c>
      <c r="Y67" s="34" t="s">
        <v>92</v>
      </c>
      <c r="Z67" s="16">
        <v>1.3</v>
      </c>
      <c r="AA67" s="31">
        <v>40</v>
      </c>
      <c r="AB67" s="31">
        <f t="shared" si="0"/>
        <v>71</v>
      </c>
      <c r="AC67" s="48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1" t="s">
        <v>978</v>
      </c>
      <c r="AI67" s="34" t="s">
        <v>1826</v>
      </c>
    </row>
    <row r="68" spans="1:35">
      <c r="A68" s="51" t="s">
        <v>583</v>
      </c>
      <c r="B68" s="11" t="s">
        <v>259</v>
      </c>
      <c r="C68" s="26" t="s">
        <v>45</v>
      </c>
      <c r="D68" s="11" t="s">
        <v>61</v>
      </c>
      <c r="E68" s="26">
        <f>+[1]モンスター計算!E71</f>
        <v>285</v>
      </c>
      <c r="F68" s="10">
        <f>+[1]モンスター計算!F71</f>
        <v>46</v>
      </c>
      <c r="G68" s="10">
        <f>+[1]モンスター計算!G71</f>
        <v>21</v>
      </c>
      <c r="H68" s="10">
        <f>+[1]モンスター計算!H71</f>
        <v>46</v>
      </c>
      <c r="I68" s="10">
        <f>+[1]モンスター計算!I71</f>
        <v>22</v>
      </c>
      <c r="J68" s="11">
        <f>+[1]モンスター計算!J71</f>
        <v>25</v>
      </c>
      <c r="K68" s="26">
        <f>+[1]モンスター計算!K71</f>
        <v>7.0000000000000007E-2</v>
      </c>
      <c r="L68" s="11">
        <f>+[1]モンスター計算!L71</f>
        <v>1.55</v>
      </c>
      <c r="M68" s="26">
        <f>+[1]モンスター計算!M71</f>
        <v>2.2999999999999998</v>
      </c>
      <c r="N68" s="10">
        <f>+[1]モンスター計算!N71</f>
        <v>1.1000000000000001</v>
      </c>
      <c r="O68" s="11">
        <f>+[1]モンスター計算!O71</f>
        <v>2.7</v>
      </c>
      <c r="P68" s="26">
        <f>+[1]モンスター計算!P71</f>
        <v>-0.13</v>
      </c>
      <c r="Q68" s="10">
        <f>+[1]モンスター計算!Q71</f>
        <v>0.17</v>
      </c>
      <c r="R68" s="10">
        <f>+[1]モンスター計算!R71</f>
        <v>-0.03</v>
      </c>
      <c r="S68" s="10">
        <f>+[1]モンスター計算!S71</f>
        <v>-0.03</v>
      </c>
      <c r="T68" s="10">
        <f>+[1]モンスター計算!T71</f>
        <v>-0.03</v>
      </c>
      <c r="U68" s="10">
        <f>+[1]モンスター計算!U71</f>
        <v>-0.03</v>
      </c>
      <c r="V68" s="11">
        <f>+[1]モンスター計算!V71</f>
        <v>4</v>
      </c>
      <c r="W68" s="29">
        <v>8</v>
      </c>
      <c r="X68" s="26" t="s">
        <v>109</v>
      </c>
      <c r="Y68" s="32" t="s">
        <v>87</v>
      </c>
      <c r="Z68" s="11">
        <v>1.2</v>
      </c>
      <c r="AA68" s="29">
        <v>5</v>
      </c>
      <c r="AB68" s="29">
        <f t="shared" si="0"/>
        <v>21</v>
      </c>
      <c r="AC68" s="46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29" t="s">
        <v>979</v>
      </c>
      <c r="AI68" s="32" t="s">
        <v>1826</v>
      </c>
    </row>
    <row r="69" spans="1:35">
      <c r="A69" s="52" t="s">
        <v>584</v>
      </c>
      <c r="B69" s="13" t="s">
        <v>260</v>
      </c>
      <c r="C69" s="27" t="s">
        <v>44</v>
      </c>
      <c r="D69" s="13" t="s">
        <v>61</v>
      </c>
      <c r="E69" s="27">
        <f>+[1]モンスター計算!E72</f>
        <v>191</v>
      </c>
      <c r="F69" s="5">
        <f>+[1]モンスター計算!F72</f>
        <v>46</v>
      </c>
      <c r="G69" s="5">
        <f>+[1]モンスター計算!G72</f>
        <v>21</v>
      </c>
      <c r="H69" s="5">
        <f>+[1]モンスター計算!H72</f>
        <v>91</v>
      </c>
      <c r="I69" s="5">
        <f>+[1]モンスター計算!I72</f>
        <v>15</v>
      </c>
      <c r="J69" s="13">
        <f>+[1]モンスター計算!J72</f>
        <v>18</v>
      </c>
      <c r="K69" s="27">
        <f>+[1]モンスター計算!K72</f>
        <v>0.18</v>
      </c>
      <c r="L69" s="13">
        <f>+[1]モンスター計算!L72</f>
        <v>1.85</v>
      </c>
      <c r="M69" s="27">
        <f>+[1]モンスター計算!M72</f>
        <v>2.0499999999999998</v>
      </c>
      <c r="N69" s="5">
        <f>+[1]モンスター計算!N72</f>
        <v>0.75</v>
      </c>
      <c r="O69" s="13">
        <f>+[1]モンスター計算!O72</f>
        <v>4.45</v>
      </c>
      <c r="P69" s="27">
        <f>+[1]モンスター計算!P72</f>
        <v>0.14000000000000001</v>
      </c>
      <c r="Q69" s="5">
        <f>+[1]モンスター計算!Q72</f>
        <v>-0.16</v>
      </c>
      <c r="R69" s="5">
        <f>+[1]モンスター計算!R72</f>
        <v>-0.06</v>
      </c>
      <c r="S69" s="5">
        <f>+[1]モンスター計算!S72</f>
        <v>-0.06</v>
      </c>
      <c r="T69" s="5">
        <f>+[1]モンスター計算!T72</f>
        <v>-0.06</v>
      </c>
      <c r="U69" s="5">
        <f>+[1]モンスター計算!U72</f>
        <v>-0.06</v>
      </c>
      <c r="V69" s="13">
        <f>+[1]モンスター計算!V72</f>
        <v>5.6</v>
      </c>
      <c r="W69" s="30">
        <v>8</v>
      </c>
      <c r="X69" s="27" t="s">
        <v>64</v>
      </c>
      <c r="Y69" s="33" t="s">
        <v>88</v>
      </c>
      <c r="Z69" s="13">
        <v>1.2</v>
      </c>
      <c r="AA69" s="30">
        <v>7</v>
      </c>
      <c r="AB69" s="30">
        <f t="shared" si="0"/>
        <v>25</v>
      </c>
      <c r="AC69" s="47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0" t="s">
        <v>980</v>
      </c>
      <c r="AI69" s="33" t="s">
        <v>1826</v>
      </c>
    </row>
    <row r="70" spans="1:35">
      <c r="A70" s="52" t="s">
        <v>585</v>
      </c>
      <c r="B70" s="13" t="s">
        <v>261</v>
      </c>
      <c r="C70" s="27" t="s">
        <v>46</v>
      </c>
      <c r="D70" s="13" t="s">
        <v>61</v>
      </c>
      <c r="E70" s="27">
        <f>+[1]モンスター計算!E73</f>
        <v>234</v>
      </c>
      <c r="F70" s="5">
        <f>+[1]モンスター計算!F73</f>
        <v>56</v>
      </c>
      <c r="G70" s="5">
        <f>+[1]モンスター計算!G73</f>
        <v>22</v>
      </c>
      <c r="H70" s="5">
        <f>+[1]モンスター計算!H73</f>
        <v>80</v>
      </c>
      <c r="I70" s="5">
        <f>+[1]モンスター計算!I73</f>
        <v>18</v>
      </c>
      <c r="J70" s="13">
        <f>+[1]モンスター計算!J73</f>
        <v>20</v>
      </c>
      <c r="K70" s="27">
        <f>+[1]モンスター計算!K73</f>
        <v>0.12</v>
      </c>
      <c r="L70" s="13">
        <f>+[1]モンスター計算!L73</f>
        <v>2.5499999999999998</v>
      </c>
      <c r="M70" s="27">
        <f>+[1]モンスター計算!M73</f>
        <v>2.2999999999999998</v>
      </c>
      <c r="N70" s="5">
        <f>+[1]モンスター計算!N73</f>
        <v>0.68</v>
      </c>
      <c r="O70" s="13">
        <f>+[1]モンスター計算!O73</f>
        <v>3.55</v>
      </c>
      <c r="P70" s="27">
        <f>+[1]モンスター計算!P73</f>
        <v>-5.5E-2</v>
      </c>
      <c r="Q70" s="5">
        <f>+[1]モンスター計算!Q73</f>
        <v>-5.5E-2</v>
      </c>
      <c r="R70" s="5">
        <f>+[1]モンスター計算!R73</f>
        <v>0.14500000000000002</v>
      </c>
      <c r="S70" s="5">
        <f>+[1]モンスター計算!S73</f>
        <v>-0.155</v>
      </c>
      <c r="T70" s="5">
        <f>+[1]モンスター計算!T73</f>
        <v>-5.5E-2</v>
      </c>
      <c r="U70" s="5">
        <f>+[1]モンスター計算!U73</f>
        <v>-5.5E-2</v>
      </c>
      <c r="V70" s="13">
        <f>+[1]モンスター計算!V73</f>
        <v>4.8</v>
      </c>
      <c r="W70" s="30">
        <v>9</v>
      </c>
      <c r="X70" s="27" t="s">
        <v>66</v>
      </c>
      <c r="Y70" s="33" t="s">
        <v>89</v>
      </c>
      <c r="Z70" s="13">
        <v>1.22</v>
      </c>
      <c r="AA70" s="30">
        <v>10</v>
      </c>
      <c r="AB70" s="30">
        <f t="shared" si="0"/>
        <v>31</v>
      </c>
      <c r="AC70" s="47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0" t="s">
        <v>981</v>
      </c>
      <c r="AI70" s="33" t="s">
        <v>1826</v>
      </c>
    </row>
    <row r="71" spans="1:35">
      <c r="A71" s="52" t="s">
        <v>586</v>
      </c>
      <c r="B71" s="13" t="s">
        <v>262</v>
      </c>
      <c r="C71" s="27" t="s">
        <v>44</v>
      </c>
      <c r="D71" s="13" t="s">
        <v>59</v>
      </c>
      <c r="E71" s="27">
        <f>+[1]モンスター計算!E74</f>
        <v>431</v>
      </c>
      <c r="F71" s="5">
        <f>+[1]モンスター計算!F74</f>
        <v>16</v>
      </c>
      <c r="G71" s="5">
        <f>+[1]モンスター計算!G74</f>
        <v>39</v>
      </c>
      <c r="H71" s="5">
        <f>+[1]モンスター計算!H74</f>
        <v>14</v>
      </c>
      <c r="I71" s="5">
        <f>+[1]モンスター計算!I74</f>
        <v>39</v>
      </c>
      <c r="J71" s="13">
        <f>+[1]モンスター計算!J74</f>
        <v>21</v>
      </c>
      <c r="K71" s="27">
        <f>+[1]モンスター計算!K74</f>
        <v>3.5000000000000003E-2</v>
      </c>
      <c r="L71" s="13">
        <f>+[1]モンスター計算!L74</f>
        <v>1.43</v>
      </c>
      <c r="M71" s="27">
        <f>+[1]モンスター計算!M74</f>
        <v>1.75</v>
      </c>
      <c r="N71" s="5">
        <f>+[1]モンスター計算!N74</f>
        <v>0.73</v>
      </c>
      <c r="O71" s="13">
        <f>+[1]モンスター計算!O74</f>
        <v>2.3250000000000002</v>
      </c>
      <c r="P71" s="27">
        <f>+[1]モンスター計算!P74</f>
        <v>0.29000000000000004</v>
      </c>
      <c r="Q71" s="5">
        <f>+[1]モンスター計算!Q74</f>
        <v>-1.0000000000000009E-2</v>
      </c>
      <c r="R71" s="5">
        <f>+[1]モンスター計算!R74</f>
        <v>0.09</v>
      </c>
      <c r="S71" s="5">
        <f>+[1]モンスター計算!S74</f>
        <v>0.09</v>
      </c>
      <c r="T71" s="5">
        <f>+[1]モンスター計算!T74</f>
        <v>0.09</v>
      </c>
      <c r="U71" s="5">
        <f>+[1]モンスター計算!U74</f>
        <v>0.09</v>
      </c>
      <c r="V71" s="13">
        <f>+[1]モンスター計算!V74</f>
        <v>4.4000000000000004</v>
      </c>
      <c r="W71" s="30">
        <v>10</v>
      </c>
      <c r="X71" s="27" t="s">
        <v>68</v>
      </c>
      <c r="Y71" s="33" t="s">
        <v>90</v>
      </c>
      <c r="Z71" s="13">
        <v>1.25</v>
      </c>
      <c r="AA71" s="30">
        <v>15</v>
      </c>
      <c r="AB71" s="30">
        <f t="shared" si="0"/>
        <v>41</v>
      </c>
      <c r="AC71" s="47">
        <f t="shared" si="1"/>
        <v>12</v>
      </c>
      <c r="AD71" s="27" t="s">
        <v>74</v>
      </c>
      <c r="AE71" s="5">
        <v>0</v>
      </c>
      <c r="AF71" s="5">
        <v>0</v>
      </c>
      <c r="AG71" s="13" t="b">
        <v>0</v>
      </c>
      <c r="AH71" s="30" t="s">
        <v>982</v>
      </c>
      <c r="AI71" s="33" t="s">
        <v>1826</v>
      </c>
    </row>
    <row r="72" spans="1:35">
      <c r="A72" s="52" t="s">
        <v>587</v>
      </c>
      <c r="B72" s="13" t="s">
        <v>263</v>
      </c>
      <c r="C72" s="27" t="s">
        <v>45</v>
      </c>
      <c r="D72" s="13" t="s">
        <v>59</v>
      </c>
      <c r="E72" s="27">
        <f>+[1]モンスター計算!E75</f>
        <v>456</v>
      </c>
      <c r="F72" s="5">
        <f>+[1]モンスター計算!F75</f>
        <v>16</v>
      </c>
      <c r="G72" s="5">
        <f>+[1]モンスター計算!G75</f>
        <v>35</v>
      </c>
      <c r="H72" s="5">
        <f>+[1]モンスター計算!H75</f>
        <v>16</v>
      </c>
      <c r="I72" s="5">
        <f>+[1]モンスター計算!I75</f>
        <v>35</v>
      </c>
      <c r="J72" s="13">
        <f>+[1]モンスター計算!J75</f>
        <v>32</v>
      </c>
      <c r="K72" s="27">
        <f>+[1]モンスター計算!K75</f>
        <v>0.04</v>
      </c>
      <c r="L72" s="13">
        <f>+[1]モンスター計算!L75</f>
        <v>1.4</v>
      </c>
      <c r="M72" s="27">
        <f>+[1]モンスター計算!M75</f>
        <v>2.2000000000000002</v>
      </c>
      <c r="N72" s="5">
        <f>+[1]モンスター計算!N75</f>
        <v>0.82</v>
      </c>
      <c r="O72" s="13">
        <f>+[1]モンスター計算!O75</f>
        <v>1.2</v>
      </c>
      <c r="P72" s="27">
        <f>+[1]モンスター計算!P75</f>
        <v>0</v>
      </c>
      <c r="Q72" s="5">
        <f>+[1]モンスター計算!Q75</f>
        <v>0.30000000000000004</v>
      </c>
      <c r="R72" s="5">
        <f>+[1]モンスター計算!R75</f>
        <v>0.1</v>
      </c>
      <c r="S72" s="5">
        <f>+[1]モンスター計算!S75</f>
        <v>0.1</v>
      </c>
      <c r="T72" s="5">
        <f>+[1]モンスター計算!T75</f>
        <v>0.1</v>
      </c>
      <c r="U72" s="5">
        <f>+[1]モンスター計算!U75</f>
        <v>0.1</v>
      </c>
      <c r="V72" s="13">
        <f>+[1]モンスター計算!V75</f>
        <v>4</v>
      </c>
      <c r="W72" s="30">
        <v>11</v>
      </c>
      <c r="X72" s="27" t="s">
        <v>70</v>
      </c>
      <c r="Y72" s="33" t="s">
        <v>91</v>
      </c>
      <c r="Z72" s="13">
        <v>1.25</v>
      </c>
      <c r="AA72" s="30">
        <v>20</v>
      </c>
      <c r="AB72" s="30">
        <f t="shared" si="0"/>
        <v>50</v>
      </c>
      <c r="AC72" s="47">
        <f t="shared" si="1"/>
        <v>12</v>
      </c>
      <c r="AD72" s="27" t="s">
        <v>74</v>
      </c>
      <c r="AE72" s="5">
        <v>0</v>
      </c>
      <c r="AF72" s="5">
        <v>0</v>
      </c>
      <c r="AG72" s="13" t="b">
        <v>0</v>
      </c>
      <c r="AH72" s="30" t="s">
        <v>983</v>
      </c>
      <c r="AI72" s="33" t="s">
        <v>1826</v>
      </c>
    </row>
    <row r="73" spans="1:35" ht="19.5" thickBot="1">
      <c r="A73" s="53" t="s">
        <v>588</v>
      </c>
      <c r="B73" s="16" t="s">
        <v>264</v>
      </c>
      <c r="C73" s="28" t="s">
        <v>47</v>
      </c>
      <c r="D73" s="16" t="s">
        <v>61</v>
      </c>
      <c r="E73" s="28">
        <f>+[1]モンスター計算!E76</f>
        <v>491</v>
      </c>
      <c r="F73" s="15">
        <f>+[1]モンスター計算!F76</f>
        <v>56</v>
      </c>
      <c r="G73" s="15">
        <f>+[1]モンスター計算!G76</f>
        <v>12</v>
      </c>
      <c r="H73" s="15">
        <f>+[1]モンスター計算!H76</f>
        <v>41</v>
      </c>
      <c r="I73" s="15">
        <f>+[1]モンスター計算!I76</f>
        <v>37</v>
      </c>
      <c r="J73" s="16">
        <f>+[1]モンスター計算!J76</f>
        <v>35</v>
      </c>
      <c r="K73" s="28">
        <f>+[1]モンスター計算!K76</f>
        <v>3.5000000000000003E-2</v>
      </c>
      <c r="L73" s="16">
        <f>+[1]モンスター計算!L76</f>
        <v>1.4</v>
      </c>
      <c r="M73" s="28">
        <f>+[1]モンスター計算!M76</f>
        <v>1.5</v>
      </c>
      <c r="N73" s="15">
        <f>+[1]モンスター計算!N76</f>
        <v>0.6</v>
      </c>
      <c r="O73" s="16">
        <f>+[1]モンスター計算!O76</f>
        <v>3.1</v>
      </c>
      <c r="P73" s="28">
        <f>+[1]モンスター計算!P76</f>
        <v>0.12</v>
      </c>
      <c r="Q73" s="15">
        <f>+[1]モンスター計算!Q76</f>
        <v>0.12</v>
      </c>
      <c r="R73" s="15">
        <f>+[1]モンスター計算!R76</f>
        <v>0.12</v>
      </c>
      <c r="S73" s="15">
        <f>+[1]モンスター計算!S76</f>
        <v>0.12</v>
      </c>
      <c r="T73" s="15">
        <f>+[1]モンスター計算!T76</f>
        <v>0.32</v>
      </c>
      <c r="U73" s="15">
        <f>+[1]モンスター計算!U76</f>
        <v>1.999999999999999E-2</v>
      </c>
      <c r="V73" s="16">
        <f>+[1]モンスター計算!V76</f>
        <v>4.12</v>
      </c>
      <c r="W73" s="31">
        <v>15</v>
      </c>
      <c r="X73" s="28" t="s">
        <v>72</v>
      </c>
      <c r="Y73" s="34" t="s">
        <v>92</v>
      </c>
      <c r="Z73" s="16">
        <v>1.3</v>
      </c>
      <c r="AA73" s="31">
        <v>40</v>
      </c>
      <c r="AB73" s="31">
        <f t="shared" ref="AB73:AB136" si="2">ROUNDUP(AB67*1.05,0)</f>
        <v>75</v>
      </c>
      <c r="AC73" s="48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1" t="s">
        <v>984</v>
      </c>
      <c r="AI73" s="34" t="s">
        <v>1826</v>
      </c>
    </row>
    <row r="74" spans="1:35">
      <c r="A74" s="51" t="s">
        <v>589</v>
      </c>
      <c r="B74" s="11" t="s">
        <v>265</v>
      </c>
      <c r="C74" s="26" t="s">
        <v>45</v>
      </c>
      <c r="D74" s="11" t="s">
        <v>61</v>
      </c>
      <c r="E74" s="26">
        <f>+[1]モンスター計算!E77</f>
        <v>232</v>
      </c>
      <c r="F74" s="10">
        <f>+[1]モンスター計算!F77</f>
        <v>43</v>
      </c>
      <c r="G74" s="10">
        <f>+[1]モンスター計算!G77</f>
        <v>16</v>
      </c>
      <c r="H74" s="10">
        <f>+[1]モンスター計算!H77</f>
        <v>54</v>
      </c>
      <c r="I74" s="10">
        <f>+[1]モンスター計算!I77</f>
        <v>18</v>
      </c>
      <c r="J74" s="11">
        <f>+[1]モンスター計算!J77</f>
        <v>21</v>
      </c>
      <c r="K74" s="26">
        <f>+[1]モンスター計算!K77</f>
        <v>0.05</v>
      </c>
      <c r="L74" s="11">
        <f>+[1]モンスター計算!L77</f>
        <v>1.4</v>
      </c>
      <c r="M74" s="26">
        <f>+[1]モンスター計算!M77</f>
        <v>3.35</v>
      </c>
      <c r="N74" s="10">
        <f>+[1]モンスター計算!N77</f>
        <v>1.55</v>
      </c>
      <c r="O74" s="11">
        <f>+[1]モンスター計算!O77</f>
        <v>2.2999999999999998</v>
      </c>
      <c r="P74" s="26">
        <f>+[1]モンスター計算!P77</f>
        <v>-0.17</v>
      </c>
      <c r="Q74" s="10">
        <f>+[1]モンスター計算!Q77</f>
        <v>0.13</v>
      </c>
      <c r="R74" s="10">
        <f>+[1]モンスター計算!R77</f>
        <v>-7.0000000000000007E-2</v>
      </c>
      <c r="S74" s="10">
        <f>+[1]モンスター計算!S77</f>
        <v>-7.0000000000000007E-2</v>
      </c>
      <c r="T74" s="10">
        <f>+[1]モンスター計算!T77</f>
        <v>-7.0000000000000007E-2</v>
      </c>
      <c r="U74" s="10">
        <f>+[1]モンスター計算!U77</f>
        <v>-7.0000000000000007E-2</v>
      </c>
      <c r="V74" s="11">
        <f>+[1]モンスター計算!V77</f>
        <v>4</v>
      </c>
      <c r="W74" s="29">
        <v>8</v>
      </c>
      <c r="X74" s="26" t="s">
        <v>109</v>
      </c>
      <c r="Y74" s="32" t="s">
        <v>87</v>
      </c>
      <c r="Z74" s="11">
        <v>1.2</v>
      </c>
      <c r="AA74" s="29">
        <v>5</v>
      </c>
      <c r="AB74" s="29">
        <f t="shared" si="2"/>
        <v>23</v>
      </c>
      <c r="AC74" s="46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29" t="s">
        <v>985</v>
      </c>
      <c r="AI74" s="32" t="s">
        <v>1826</v>
      </c>
    </row>
    <row r="75" spans="1:35">
      <c r="A75" s="52" t="s">
        <v>590</v>
      </c>
      <c r="B75" s="13" t="s">
        <v>266</v>
      </c>
      <c r="C75" s="27" t="s">
        <v>44</v>
      </c>
      <c r="D75" s="13" t="s">
        <v>61</v>
      </c>
      <c r="E75" s="27">
        <f>+[1]モンスター計算!E78</f>
        <v>229</v>
      </c>
      <c r="F75" s="5">
        <f>+[1]モンスター計算!F78</f>
        <v>54</v>
      </c>
      <c r="G75" s="5">
        <f>+[1]モンスター計算!G78</f>
        <v>18</v>
      </c>
      <c r="H75" s="5">
        <f>+[1]モンスター計算!H78</f>
        <v>70</v>
      </c>
      <c r="I75" s="5">
        <f>+[1]モンスター計算!I78</f>
        <v>19</v>
      </c>
      <c r="J75" s="13">
        <f>+[1]モンスター計算!J78</f>
        <v>21</v>
      </c>
      <c r="K75" s="27">
        <f>+[1]モンスター計算!K78</f>
        <v>0.26</v>
      </c>
      <c r="L75" s="13">
        <f>+[1]モンスター計算!L78</f>
        <v>1.95</v>
      </c>
      <c r="M75" s="27">
        <f>+[1]モンスター計算!M78</f>
        <v>2.75</v>
      </c>
      <c r="N75" s="5">
        <f>+[1]モンスター計算!N78</f>
        <v>0.95</v>
      </c>
      <c r="O75" s="13">
        <f>+[1]モンスター計算!O78</f>
        <v>2.8</v>
      </c>
      <c r="P75" s="27">
        <f>+[1]モンスター計算!P78</f>
        <v>0.15000000000000002</v>
      </c>
      <c r="Q75" s="5">
        <f>+[1]モンスター計算!Q78</f>
        <v>-0.15000000000000002</v>
      </c>
      <c r="R75" s="5">
        <f>+[1]モンスター計算!R78</f>
        <v>-0.05</v>
      </c>
      <c r="S75" s="5">
        <f>+[1]モンスター計算!S78</f>
        <v>-0.05</v>
      </c>
      <c r="T75" s="5">
        <f>+[1]モンスター計算!T78</f>
        <v>-0.05</v>
      </c>
      <c r="U75" s="5">
        <f>+[1]モンスター計算!U78</f>
        <v>-0.05</v>
      </c>
      <c r="V75" s="13">
        <f>+[1]モンスター計算!V78</f>
        <v>4.4000000000000004</v>
      </c>
      <c r="W75" s="30">
        <v>8</v>
      </c>
      <c r="X75" s="27" t="s">
        <v>64</v>
      </c>
      <c r="Y75" s="33" t="s">
        <v>88</v>
      </c>
      <c r="Z75" s="13">
        <v>1.2</v>
      </c>
      <c r="AA75" s="30">
        <v>7</v>
      </c>
      <c r="AB75" s="30">
        <f t="shared" si="2"/>
        <v>27</v>
      </c>
      <c r="AC75" s="47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0" t="s">
        <v>986</v>
      </c>
      <c r="AI75" s="33" t="s">
        <v>1826</v>
      </c>
    </row>
    <row r="76" spans="1:35">
      <c r="A76" s="52" t="s">
        <v>591</v>
      </c>
      <c r="B76" s="13" t="s">
        <v>267</v>
      </c>
      <c r="C76" s="27" t="s">
        <v>46</v>
      </c>
      <c r="D76" s="13" t="s">
        <v>61</v>
      </c>
      <c r="E76" s="27">
        <f>+[1]モンスター計算!E79</f>
        <v>248</v>
      </c>
      <c r="F76" s="5">
        <f>+[1]モンスター計算!F79</f>
        <v>41</v>
      </c>
      <c r="G76" s="5">
        <f>+[1]モンスター計算!G79</f>
        <v>11</v>
      </c>
      <c r="H76" s="5">
        <f>+[1]モンスター計算!H79</f>
        <v>46</v>
      </c>
      <c r="I76" s="5">
        <f>+[1]モンスター計算!I79</f>
        <v>21</v>
      </c>
      <c r="J76" s="13">
        <f>+[1]モンスター計算!J79</f>
        <v>20</v>
      </c>
      <c r="K76" s="27">
        <f>+[1]モンスター計算!K79</f>
        <v>6.5000000000000002E-2</v>
      </c>
      <c r="L76" s="13">
        <f>+[1]モンスター計算!L79</f>
        <v>1.45</v>
      </c>
      <c r="M76" s="27">
        <f>+[1]モンスター計算!M79</f>
        <v>4</v>
      </c>
      <c r="N76" s="5">
        <f>+[1]モンスター計算!N79</f>
        <v>1.72</v>
      </c>
      <c r="O76" s="13">
        <f>+[1]モンスター計算!O79</f>
        <v>1.9</v>
      </c>
      <c r="P76" s="27">
        <f>+[1]モンスター計算!P79</f>
        <v>-7.0000000000000007E-2</v>
      </c>
      <c r="Q76" s="5">
        <f>+[1]モンスター計算!Q79</f>
        <v>-7.0000000000000007E-2</v>
      </c>
      <c r="R76" s="5">
        <f>+[1]モンスター計算!R79</f>
        <v>0.13</v>
      </c>
      <c r="S76" s="5">
        <f>+[1]モンスター計算!S79</f>
        <v>-0.17</v>
      </c>
      <c r="T76" s="5">
        <f>+[1]モンスター計算!T79</f>
        <v>-7.0000000000000007E-2</v>
      </c>
      <c r="U76" s="5">
        <f>+[1]モンスター計算!U79</f>
        <v>-7.0000000000000007E-2</v>
      </c>
      <c r="V76" s="13">
        <f>+[1]モンスター計算!V79</f>
        <v>5.4</v>
      </c>
      <c r="W76" s="30">
        <v>9</v>
      </c>
      <c r="X76" s="27" t="s">
        <v>66</v>
      </c>
      <c r="Y76" s="33" t="s">
        <v>89</v>
      </c>
      <c r="Z76" s="13">
        <v>1.22</v>
      </c>
      <c r="AA76" s="30">
        <v>10</v>
      </c>
      <c r="AB76" s="30">
        <f t="shared" si="2"/>
        <v>33</v>
      </c>
      <c r="AC76" s="47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0" t="s">
        <v>987</v>
      </c>
      <c r="AI76" s="33" t="s">
        <v>1826</v>
      </c>
    </row>
    <row r="77" spans="1:35">
      <c r="A77" s="52" t="s">
        <v>592</v>
      </c>
      <c r="B77" s="13" t="s">
        <v>268</v>
      </c>
      <c r="C77" s="27" t="s">
        <v>44</v>
      </c>
      <c r="D77" s="13" t="s">
        <v>59</v>
      </c>
      <c r="E77" s="27">
        <f>+[1]モンスター計算!E80</f>
        <v>251</v>
      </c>
      <c r="F77" s="5">
        <f>+[1]モンスター計算!F80</f>
        <v>17</v>
      </c>
      <c r="G77" s="5">
        <f>+[1]モンスター計算!G80</f>
        <v>56</v>
      </c>
      <c r="H77" s="5">
        <f>+[1]モンスター計算!H80</f>
        <v>25</v>
      </c>
      <c r="I77" s="5">
        <f>+[1]モンスター計算!I80</f>
        <v>20</v>
      </c>
      <c r="J77" s="13">
        <f>+[1]モンスター計算!J80</f>
        <v>20</v>
      </c>
      <c r="K77" s="27">
        <f>+[1]モンスター計算!K80</f>
        <v>0.08</v>
      </c>
      <c r="L77" s="13">
        <f>+[1]モンスター計算!L80</f>
        <v>1.55</v>
      </c>
      <c r="M77" s="27">
        <f>+[1]モンスター計算!M80</f>
        <v>3.3</v>
      </c>
      <c r="N77" s="5">
        <f>+[1]モンスター計算!N80</f>
        <v>1.32</v>
      </c>
      <c r="O77" s="13">
        <f>+[1]モンスター計算!O80</f>
        <v>1.5</v>
      </c>
      <c r="P77" s="27">
        <f>+[1]モンスター計算!P80</f>
        <v>0.16</v>
      </c>
      <c r="Q77" s="5">
        <f>+[1]モンスター計算!Q80</f>
        <v>-0.14000000000000001</v>
      </c>
      <c r="R77" s="5">
        <f>+[1]モンスター計算!R80</f>
        <v>-0.04</v>
      </c>
      <c r="S77" s="5">
        <f>+[1]モンスター計算!S80</f>
        <v>-0.04</v>
      </c>
      <c r="T77" s="5">
        <f>+[1]モンスター計算!T80</f>
        <v>-0.04</v>
      </c>
      <c r="U77" s="5">
        <f>+[1]モンスター計算!U80</f>
        <v>-0.04</v>
      </c>
      <c r="V77" s="13">
        <f>+[1]モンスター計算!V80</f>
        <v>4.8</v>
      </c>
      <c r="W77" s="30">
        <v>10</v>
      </c>
      <c r="X77" s="27" t="s">
        <v>68</v>
      </c>
      <c r="Y77" s="33" t="s">
        <v>90</v>
      </c>
      <c r="Z77" s="13">
        <v>1.25</v>
      </c>
      <c r="AA77" s="30">
        <v>15</v>
      </c>
      <c r="AB77" s="30">
        <f t="shared" si="2"/>
        <v>44</v>
      </c>
      <c r="AC77" s="47">
        <f t="shared" si="3"/>
        <v>13</v>
      </c>
      <c r="AD77" s="27" t="s">
        <v>74</v>
      </c>
      <c r="AE77" s="5">
        <v>0</v>
      </c>
      <c r="AF77" s="5">
        <v>0</v>
      </c>
      <c r="AG77" s="13" t="b">
        <v>0</v>
      </c>
      <c r="AH77" s="30" t="s">
        <v>988</v>
      </c>
      <c r="AI77" s="33" t="s">
        <v>1826</v>
      </c>
    </row>
    <row r="78" spans="1:35">
      <c r="A78" s="52" t="s">
        <v>593</v>
      </c>
      <c r="B78" s="13" t="s">
        <v>269</v>
      </c>
      <c r="C78" s="27" t="s">
        <v>45</v>
      </c>
      <c r="D78" s="13" t="s">
        <v>59</v>
      </c>
      <c r="E78" s="27">
        <f>+[1]モンスター計算!E81</f>
        <v>571</v>
      </c>
      <c r="F78" s="5">
        <f>+[1]モンスター計算!F81</f>
        <v>15</v>
      </c>
      <c r="G78" s="5">
        <f>+[1]モンスター計算!G81</f>
        <v>42</v>
      </c>
      <c r="H78" s="5">
        <f>+[1]モンスター計算!H81</f>
        <v>16</v>
      </c>
      <c r="I78" s="5">
        <f>+[1]モンスター計算!I81</f>
        <v>54</v>
      </c>
      <c r="J78" s="13">
        <f>+[1]モンスター計算!J81</f>
        <v>27</v>
      </c>
      <c r="K78" s="27">
        <f>+[1]モンスター計算!K81</f>
        <v>0.03</v>
      </c>
      <c r="L78" s="13">
        <f>+[1]モンスター計算!L81</f>
        <v>1.35</v>
      </c>
      <c r="M78" s="27">
        <f>+[1]モンスター計算!M81</f>
        <v>1.5</v>
      </c>
      <c r="N78" s="5">
        <f>+[1]モンスター計算!N81</f>
        <v>0.65</v>
      </c>
      <c r="O78" s="13">
        <f>+[1]モンスター計算!O81</f>
        <v>1.02</v>
      </c>
      <c r="P78" s="27">
        <f>+[1]モンスター計算!P81</f>
        <v>0</v>
      </c>
      <c r="Q78" s="5">
        <f>+[1]モンスター計算!Q81</f>
        <v>0.30000000000000004</v>
      </c>
      <c r="R78" s="5">
        <f>+[1]モンスター計算!R81</f>
        <v>0.1</v>
      </c>
      <c r="S78" s="5">
        <f>+[1]モンスター計算!S81</f>
        <v>0.1</v>
      </c>
      <c r="T78" s="5">
        <f>+[1]モンスター計算!T81</f>
        <v>0.1</v>
      </c>
      <c r="U78" s="5">
        <f>+[1]モンスター計算!U81</f>
        <v>0.1</v>
      </c>
      <c r="V78" s="13">
        <f>+[1]モンスター計算!V81</f>
        <v>3.4</v>
      </c>
      <c r="W78" s="30">
        <v>11</v>
      </c>
      <c r="X78" s="27" t="s">
        <v>70</v>
      </c>
      <c r="Y78" s="33" t="s">
        <v>91</v>
      </c>
      <c r="Z78" s="13">
        <v>1.25</v>
      </c>
      <c r="AA78" s="30">
        <v>20</v>
      </c>
      <c r="AB78" s="30">
        <f t="shared" si="2"/>
        <v>53</v>
      </c>
      <c r="AC78" s="47">
        <f t="shared" si="3"/>
        <v>13</v>
      </c>
      <c r="AD78" s="27" t="s">
        <v>74</v>
      </c>
      <c r="AE78" s="5">
        <v>0</v>
      </c>
      <c r="AF78" s="5">
        <v>0</v>
      </c>
      <c r="AG78" s="13" t="b">
        <v>0</v>
      </c>
      <c r="AH78" s="30" t="s">
        <v>989</v>
      </c>
      <c r="AI78" s="33" t="s">
        <v>1826</v>
      </c>
    </row>
    <row r="79" spans="1:35" ht="19.5" thickBot="1">
      <c r="A79" s="53" t="s">
        <v>594</v>
      </c>
      <c r="B79" s="16" t="s">
        <v>270</v>
      </c>
      <c r="C79" s="28" t="s">
        <v>47</v>
      </c>
      <c r="D79" s="16" t="s">
        <v>61</v>
      </c>
      <c r="E79" s="28">
        <f>+[1]モンスター計算!E82</f>
        <v>352</v>
      </c>
      <c r="F79" s="15">
        <f>+[1]モンスター計算!F82</f>
        <v>62</v>
      </c>
      <c r="G79" s="15">
        <f>+[1]モンスター計算!G82</f>
        <v>15</v>
      </c>
      <c r="H79" s="15">
        <f>+[1]モンスター計算!H82</f>
        <v>52</v>
      </c>
      <c r="I79" s="15">
        <f>+[1]モンスター計算!I82</f>
        <v>49</v>
      </c>
      <c r="J79" s="16">
        <f>+[1]モンスター計算!J82</f>
        <v>18</v>
      </c>
      <c r="K79" s="28">
        <f>+[1]モンスター計算!K82</f>
        <v>5.5E-2</v>
      </c>
      <c r="L79" s="16">
        <f>+[1]モンスター計算!L82</f>
        <v>1.5</v>
      </c>
      <c r="M79" s="28">
        <f>+[1]モンスター計算!M82</f>
        <v>1.85</v>
      </c>
      <c r="N79" s="15">
        <f>+[1]モンスター計算!N82</f>
        <v>0.87</v>
      </c>
      <c r="O79" s="16">
        <f>+[1]モンスター計算!O82</f>
        <v>2.35</v>
      </c>
      <c r="P79" s="28">
        <f>+[1]モンスター計算!P82</f>
        <v>6.5000000000000002E-2</v>
      </c>
      <c r="Q79" s="15">
        <f>+[1]モンスター計算!Q82</f>
        <v>6.5000000000000002E-2</v>
      </c>
      <c r="R79" s="15">
        <f>+[1]モンスター計算!R82</f>
        <v>6.5000000000000002E-2</v>
      </c>
      <c r="S79" s="15">
        <f>+[1]モンスター計算!S82</f>
        <v>6.5000000000000002E-2</v>
      </c>
      <c r="T79" s="15">
        <f>+[1]モンスター計算!T82</f>
        <v>0.26500000000000001</v>
      </c>
      <c r="U79" s="15">
        <f>+[1]モンスター計算!U82</f>
        <v>-3.5000000000000003E-2</v>
      </c>
      <c r="V79" s="16">
        <f>+[1]モンスター計算!V82</f>
        <v>4.2</v>
      </c>
      <c r="W79" s="31">
        <v>15</v>
      </c>
      <c r="X79" s="28" t="s">
        <v>72</v>
      </c>
      <c r="Y79" s="34" t="s">
        <v>92</v>
      </c>
      <c r="Z79" s="16">
        <v>1.3</v>
      </c>
      <c r="AA79" s="31">
        <v>40</v>
      </c>
      <c r="AB79" s="31">
        <f t="shared" si="2"/>
        <v>79</v>
      </c>
      <c r="AC79" s="48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1" t="s">
        <v>990</v>
      </c>
      <c r="AI79" s="34" t="s">
        <v>1826</v>
      </c>
    </row>
    <row r="80" spans="1:35">
      <c r="A80" s="51" t="s">
        <v>595</v>
      </c>
      <c r="B80" s="11" t="s">
        <v>271</v>
      </c>
      <c r="C80" s="26" t="s">
        <v>45</v>
      </c>
      <c r="D80" s="11" t="s">
        <v>61</v>
      </c>
      <c r="E80" s="26">
        <f>+[1]モンスター計算!E83</f>
        <v>442</v>
      </c>
      <c r="F80" s="10">
        <f>+[1]モンスター計算!F83</f>
        <v>48</v>
      </c>
      <c r="G80" s="10">
        <f>+[1]モンスター計算!G83</f>
        <v>13</v>
      </c>
      <c r="H80" s="10">
        <f>+[1]モンスター計算!H83</f>
        <v>33</v>
      </c>
      <c r="I80" s="10">
        <f>+[1]モンスター計算!I83</f>
        <v>34</v>
      </c>
      <c r="J80" s="11">
        <f>+[1]モンスター計算!J83</f>
        <v>31</v>
      </c>
      <c r="K80" s="26">
        <f>+[1]モンスター計算!K83</f>
        <v>7.0000000000000007E-2</v>
      </c>
      <c r="L80" s="11">
        <f>+[1]モンスター計算!L83</f>
        <v>1.5</v>
      </c>
      <c r="M80" s="26">
        <f>+[1]モンスター計算!M83</f>
        <v>2.8</v>
      </c>
      <c r="N80" s="10">
        <f>+[1]モンスター計算!N83</f>
        <v>1.45</v>
      </c>
      <c r="O80" s="11">
        <f>+[1]モンスター計算!O83</f>
        <v>1.55</v>
      </c>
      <c r="P80" s="26">
        <f>+[1]モンスター計算!P83</f>
        <v>-7.0000000000000007E-2</v>
      </c>
      <c r="Q80" s="10">
        <f>+[1]モンスター計算!Q83</f>
        <v>0.23</v>
      </c>
      <c r="R80" s="10">
        <f>+[1]モンスター計算!R83</f>
        <v>0.03</v>
      </c>
      <c r="S80" s="10">
        <f>+[1]モンスター計算!S83</f>
        <v>0.03</v>
      </c>
      <c r="T80" s="10">
        <f>+[1]モンスター計算!T83</f>
        <v>0.03</v>
      </c>
      <c r="U80" s="10">
        <f>+[1]モンスター計算!U83</f>
        <v>0.03</v>
      </c>
      <c r="V80" s="11">
        <f>+[1]モンスター計算!V83</f>
        <v>3.6</v>
      </c>
      <c r="W80" s="29">
        <v>8</v>
      </c>
      <c r="X80" s="26" t="s">
        <v>109</v>
      </c>
      <c r="Y80" s="32" t="s">
        <v>87</v>
      </c>
      <c r="Z80" s="11">
        <v>1.2</v>
      </c>
      <c r="AA80" s="29">
        <v>5</v>
      </c>
      <c r="AB80" s="29">
        <f t="shared" si="2"/>
        <v>25</v>
      </c>
      <c r="AC80" s="46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29" t="s">
        <v>991</v>
      </c>
      <c r="AI80" s="32" t="s">
        <v>1826</v>
      </c>
    </row>
    <row r="81" spans="1:35">
      <c r="A81" s="52" t="s">
        <v>596</v>
      </c>
      <c r="B81" s="13" t="s">
        <v>272</v>
      </c>
      <c r="C81" s="27" t="s">
        <v>44</v>
      </c>
      <c r="D81" s="13" t="s">
        <v>61</v>
      </c>
      <c r="E81" s="27">
        <f>+[1]モンスター計算!E84</f>
        <v>307</v>
      </c>
      <c r="F81" s="5">
        <f>+[1]モンスター計算!F84</f>
        <v>48</v>
      </c>
      <c r="G81" s="5">
        <f>+[1]モンスター計算!G84</f>
        <v>16</v>
      </c>
      <c r="H81" s="5">
        <f>+[1]モンスター計算!H84</f>
        <v>60</v>
      </c>
      <c r="I81" s="5">
        <f>+[1]モンスター計算!I84</f>
        <v>25</v>
      </c>
      <c r="J81" s="13">
        <f>+[1]モンスター計算!J84</f>
        <v>25</v>
      </c>
      <c r="K81" s="27">
        <f>+[1]モンスター計算!K84</f>
        <v>7.4999999999999997E-2</v>
      </c>
      <c r="L81" s="13">
        <f>+[1]モンスター計算!L84</f>
        <v>1.5</v>
      </c>
      <c r="M81" s="27">
        <f>+[1]モンスター計算!M84</f>
        <v>3.1</v>
      </c>
      <c r="N81" s="5">
        <f>+[1]モンスター計算!N84</f>
        <v>1.1499999999999999</v>
      </c>
      <c r="O81" s="13">
        <f>+[1]モンスター計算!O84</f>
        <v>3.0750000000000002</v>
      </c>
      <c r="P81" s="27">
        <f>+[1]モンスター計算!P84</f>
        <v>0.19</v>
      </c>
      <c r="Q81" s="5">
        <f>+[1]モンスター計算!Q84</f>
        <v>-0.11</v>
      </c>
      <c r="R81" s="5">
        <f>+[1]モンスター計算!R84</f>
        <v>-0.01</v>
      </c>
      <c r="S81" s="5">
        <f>+[1]モンスター計算!S84</f>
        <v>-0.01</v>
      </c>
      <c r="T81" s="5">
        <f>+[1]モンスター計算!T84</f>
        <v>-0.01</v>
      </c>
      <c r="U81" s="5">
        <f>+[1]モンスター計算!U84</f>
        <v>-0.01</v>
      </c>
      <c r="V81" s="13">
        <f>+[1]モンスター計算!V84</f>
        <v>8.6</v>
      </c>
      <c r="W81" s="30">
        <v>8</v>
      </c>
      <c r="X81" s="27" t="s">
        <v>64</v>
      </c>
      <c r="Y81" s="33" t="s">
        <v>88</v>
      </c>
      <c r="Z81" s="13">
        <v>1.2</v>
      </c>
      <c r="AA81" s="30">
        <v>7</v>
      </c>
      <c r="AB81" s="30">
        <f t="shared" si="2"/>
        <v>29</v>
      </c>
      <c r="AC81" s="47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0" t="s">
        <v>992</v>
      </c>
      <c r="AI81" s="33" t="s">
        <v>1826</v>
      </c>
    </row>
    <row r="82" spans="1:35">
      <c r="A82" s="52" t="s">
        <v>597</v>
      </c>
      <c r="B82" s="13" t="s">
        <v>273</v>
      </c>
      <c r="C82" s="27" t="s">
        <v>46</v>
      </c>
      <c r="D82" s="13" t="s">
        <v>61</v>
      </c>
      <c r="E82" s="27">
        <f>+[1]モンスター計算!E85</f>
        <v>518</v>
      </c>
      <c r="F82" s="5">
        <f>+[1]モンスター計算!F85</f>
        <v>63</v>
      </c>
      <c r="G82" s="5">
        <f>+[1]モンスター計算!G85</f>
        <v>13</v>
      </c>
      <c r="H82" s="5">
        <f>+[1]モンスター計算!H85</f>
        <v>28</v>
      </c>
      <c r="I82" s="5">
        <f>+[1]モンスター計算!I85</f>
        <v>41</v>
      </c>
      <c r="J82" s="13">
        <f>+[1]モンスター計算!J85</f>
        <v>39</v>
      </c>
      <c r="K82" s="27">
        <f>+[1]モンスター計算!K85</f>
        <v>0.1</v>
      </c>
      <c r="L82" s="13">
        <f>+[1]モンスター計算!L85</f>
        <v>1.75</v>
      </c>
      <c r="M82" s="27">
        <f>+[1]モンスター計算!M85</f>
        <v>2.4</v>
      </c>
      <c r="N82" s="5">
        <f>+[1]モンスター計算!N85</f>
        <v>1.2</v>
      </c>
      <c r="O82" s="13">
        <f>+[1]モンスター計算!O85</f>
        <v>3</v>
      </c>
      <c r="P82" s="27">
        <f>+[1]モンスター計算!P85</f>
        <v>0.08</v>
      </c>
      <c r="Q82" s="5">
        <f>+[1]モンスター計算!Q85</f>
        <v>0.08</v>
      </c>
      <c r="R82" s="5">
        <f>+[1]モンスター計算!R85</f>
        <v>0.28000000000000003</v>
      </c>
      <c r="S82" s="5">
        <f>+[1]モンスター計算!S85</f>
        <v>-2.0000000000000004E-2</v>
      </c>
      <c r="T82" s="5">
        <f>+[1]モンスター計算!T85</f>
        <v>0.08</v>
      </c>
      <c r="U82" s="5">
        <f>+[1]モンスター計算!U85</f>
        <v>0.08</v>
      </c>
      <c r="V82" s="13">
        <f>+[1]モンスター計算!V85</f>
        <v>4</v>
      </c>
      <c r="W82" s="30">
        <v>9</v>
      </c>
      <c r="X82" s="27" t="s">
        <v>66</v>
      </c>
      <c r="Y82" s="33" t="s">
        <v>89</v>
      </c>
      <c r="Z82" s="13">
        <v>1.22</v>
      </c>
      <c r="AA82" s="30">
        <v>10</v>
      </c>
      <c r="AB82" s="30">
        <f t="shared" si="2"/>
        <v>35</v>
      </c>
      <c r="AC82" s="47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0" t="s">
        <v>993</v>
      </c>
      <c r="AI82" s="33" t="s">
        <v>1826</v>
      </c>
    </row>
    <row r="83" spans="1:35">
      <c r="A83" s="52" t="s">
        <v>598</v>
      </c>
      <c r="B83" s="13" t="s">
        <v>274</v>
      </c>
      <c r="C83" s="27" t="s">
        <v>44</v>
      </c>
      <c r="D83" s="13" t="s">
        <v>59</v>
      </c>
      <c r="E83" s="27">
        <f>+[1]モンスター計算!E86</f>
        <v>242</v>
      </c>
      <c r="F83" s="5">
        <f>+[1]モンスター計算!F86</f>
        <v>19</v>
      </c>
      <c r="G83" s="5">
        <f>+[1]モンスター計算!G86</f>
        <v>72</v>
      </c>
      <c r="H83" s="5">
        <f>+[1]モンスター計算!H86</f>
        <v>24</v>
      </c>
      <c r="I83" s="5">
        <f>+[1]モンスター計算!I86</f>
        <v>21</v>
      </c>
      <c r="J83" s="13">
        <f>+[1]モンスター計算!J86</f>
        <v>22</v>
      </c>
      <c r="K83" s="27">
        <f>+[1]モンスター計算!K86</f>
        <v>0.11</v>
      </c>
      <c r="L83" s="13">
        <f>+[1]モンスター計算!L86</f>
        <v>1.58</v>
      </c>
      <c r="M83" s="27">
        <f>+[1]モンスター計算!M86</f>
        <v>4.45</v>
      </c>
      <c r="N83" s="5">
        <f>+[1]モンスター計算!N86</f>
        <v>1.3</v>
      </c>
      <c r="O83" s="13">
        <f>+[1]モンスター計算!O86</f>
        <v>1.32</v>
      </c>
      <c r="P83" s="27">
        <f>+[1]モンスター計算!P86</f>
        <v>0.14000000000000001</v>
      </c>
      <c r="Q83" s="5">
        <f>+[1]モンスター計算!Q86</f>
        <v>-0.16</v>
      </c>
      <c r="R83" s="5">
        <f>+[1]モンスター計算!R86</f>
        <v>-0.06</v>
      </c>
      <c r="S83" s="5">
        <f>+[1]モンスター計算!S86</f>
        <v>-0.06</v>
      </c>
      <c r="T83" s="5">
        <f>+[1]モンスター計算!T86</f>
        <v>-0.06</v>
      </c>
      <c r="U83" s="5">
        <f>+[1]モンスター計算!U86</f>
        <v>-0.06</v>
      </c>
      <c r="V83" s="13">
        <f>+[1]モンスター計算!V86</f>
        <v>5.6</v>
      </c>
      <c r="W83" s="30">
        <v>10</v>
      </c>
      <c r="X83" s="27" t="s">
        <v>68</v>
      </c>
      <c r="Y83" s="33" t="s">
        <v>90</v>
      </c>
      <c r="Z83" s="13">
        <v>1.25</v>
      </c>
      <c r="AA83" s="30">
        <v>15</v>
      </c>
      <c r="AB83" s="30">
        <f t="shared" si="2"/>
        <v>47</v>
      </c>
      <c r="AC83" s="47">
        <f t="shared" si="3"/>
        <v>14</v>
      </c>
      <c r="AD83" s="27" t="s">
        <v>74</v>
      </c>
      <c r="AE83" s="5">
        <v>0</v>
      </c>
      <c r="AF83" s="5">
        <v>0</v>
      </c>
      <c r="AG83" s="13" t="b">
        <v>0</v>
      </c>
      <c r="AH83" s="30" t="s">
        <v>994</v>
      </c>
      <c r="AI83" s="33" t="s">
        <v>1826</v>
      </c>
    </row>
    <row r="84" spans="1:35">
      <c r="A84" s="52" t="s">
        <v>599</v>
      </c>
      <c r="B84" s="13" t="s">
        <v>275</v>
      </c>
      <c r="C84" s="27" t="s">
        <v>45</v>
      </c>
      <c r="D84" s="13" t="s">
        <v>59</v>
      </c>
      <c r="E84" s="27">
        <f>+[1]モンスター計算!E87</f>
        <v>387</v>
      </c>
      <c r="F84" s="5">
        <f>+[1]モンスター計算!F87</f>
        <v>21</v>
      </c>
      <c r="G84" s="5">
        <f>+[1]モンスター計算!G87</f>
        <v>50</v>
      </c>
      <c r="H84" s="5">
        <f>+[1]モンスター計算!H87</f>
        <v>18</v>
      </c>
      <c r="I84" s="5">
        <f>+[1]モンスター計算!I87</f>
        <v>35</v>
      </c>
      <c r="J84" s="13">
        <f>+[1]モンスター計算!J87</f>
        <v>34</v>
      </c>
      <c r="K84" s="27">
        <f>+[1]モンスター計算!K87</f>
        <v>0.04</v>
      </c>
      <c r="L84" s="13">
        <f>+[1]モンスター計算!L87</f>
        <v>1.4</v>
      </c>
      <c r="M84" s="27">
        <f>+[1]モンスター計算!M87</f>
        <v>2.4500000000000002</v>
      </c>
      <c r="N84" s="5">
        <f>+[1]モンスター計算!N87</f>
        <v>1.03</v>
      </c>
      <c r="O84" s="13">
        <f>+[1]モンスター計算!O87</f>
        <v>1.47</v>
      </c>
      <c r="P84" s="27">
        <f>+[1]モンスター計算!P87</f>
        <v>-6.0000000000000005E-2</v>
      </c>
      <c r="Q84" s="5">
        <f>+[1]モンスター計算!Q87</f>
        <v>0.24000000000000002</v>
      </c>
      <c r="R84" s="5">
        <f>+[1]モンスター計算!R87</f>
        <v>0.04</v>
      </c>
      <c r="S84" s="5">
        <f>+[1]モンスター計算!S87</f>
        <v>0.04</v>
      </c>
      <c r="T84" s="5">
        <f>+[1]モンスター計算!T87</f>
        <v>0.04</v>
      </c>
      <c r="U84" s="5">
        <f>+[1]モンスター計算!U87</f>
        <v>0.04</v>
      </c>
      <c r="V84" s="13">
        <f>+[1]モンスター計算!V87</f>
        <v>4</v>
      </c>
      <c r="W84" s="30">
        <v>11</v>
      </c>
      <c r="X84" s="27" t="s">
        <v>70</v>
      </c>
      <c r="Y84" s="33" t="s">
        <v>91</v>
      </c>
      <c r="Z84" s="13">
        <v>1.25</v>
      </c>
      <c r="AA84" s="30">
        <v>20</v>
      </c>
      <c r="AB84" s="30">
        <f t="shared" si="2"/>
        <v>56</v>
      </c>
      <c r="AC84" s="47">
        <f t="shared" si="3"/>
        <v>14</v>
      </c>
      <c r="AD84" s="27" t="s">
        <v>74</v>
      </c>
      <c r="AE84" s="5">
        <v>0</v>
      </c>
      <c r="AF84" s="5">
        <v>0</v>
      </c>
      <c r="AG84" s="13" t="b">
        <v>0</v>
      </c>
      <c r="AH84" s="30" t="s">
        <v>995</v>
      </c>
      <c r="AI84" s="33" t="s">
        <v>1826</v>
      </c>
    </row>
    <row r="85" spans="1:35" ht="19.5" thickBot="1">
      <c r="A85" s="53" t="s">
        <v>600</v>
      </c>
      <c r="B85" s="16" t="s">
        <v>276</v>
      </c>
      <c r="C85" s="28" t="s">
        <v>47</v>
      </c>
      <c r="D85" s="16" t="s">
        <v>61</v>
      </c>
      <c r="E85" s="28">
        <f>+[1]モンスター計算!E88</f>
        <v>190</v>
      </c>
      <c r="F85" s="15">
        <f>+[1]モンスター計算!F88</f>
        <v>76</v>
      </c>
      <c r="G85" s="15">
        <f>+[1]モンスター計算!G88</f>
        <v>36</v>
      </c>
      <c r="H85" s="15">
        <f>+[1]モンスター計算!H88</f>
        <v>99</v>
      </c>
      <c r="I85" s="15">
        <f>+[1]モンスター計算!I88</f>
        <v>40</v>
      </c>
      <c r="J85" s="16">
        <f>+[1]モンスター計算!J88</f>
        <v>62</v>
      </c>
      <c r="K85" s="28">
        <f>+[1]モンスター計算!K88</f>
        <v>0.04</v>
      </c>
      <c r="L85" s="16">
        <f>+[1]モンスター計算!L88</f>
        <v>1.38</v>
      </c>
      <c r="M85" s="28">
        <f>+[1]モンスター計算!M88</f>
        <v>2.2000000000000002</v>
      </c>
      <c r="N85" s="15">
        <f>+[1]モンスター計算!N88</f>
        <v>0.88</v>
      </c>
      <c r="O85" s="16">
        <f>+[1]モンスター計算!O88</f>
        <v>3.15</v>
      </c>
      <c r="P85" s="28">
        <f>+[1]モンスター計算!P88</f>
        <v>0.13</v>
      </c>
      <c r="Q85" s="15">
        <f>+[1]モンスター計算!Q88</f>
        <v>0.13</v>
      </c>
      <c r="R85" s="15">
        <f>+[1]モンスター計算!R88</f>
        <v>0.13</v>
      </c>
      <c r="S85" s="15">
        <f>+[1]モンスター計算!S88</f>
        <v>0.13</v>
      </c>
      <c r="T85" s="15">
        <f>+[1]モンスター計算!T88</f>
        <v>0.33</v>
      </c>
      <c r="U85" s="15">
        <f>+[1]モンスター計算!U88</f>
        <v>0.03</v>
      </c>
      <c r="V85" s="16">
        <f>+[1]モンスター計算!V88</f>
        <v>4.4800000000000004</v>
      </c>
      <c r="W85" s="31">
        <v>15</v>
      </c>
      <c r="X85" s="28" t="s">
        <v>72</v>
      </c>
      <c r="Y85" s="34" t="s">
        <v>92</v>
      </c>
      <c r="Z85" s="16">
        <v>1.3</v>
      </c>
      <c r="AA85" s="31">
        <v>40</v>
      </c>
      <c r="AB85" s="31">
        <f t="shared" si="2"/>
        <v>83</v>
      </c>
      <c r="AC85" s="48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1" t="s">
        <v>996</v>
      </c>
      <c r="AI85" s="34" t="s">
        <v>1826</v>
      </c>
    </row>
    <row r="86" spans="1:35">
      <c r="A86" s="51" t="s">
        <v>601</v>
      </c>
      <c r="B86" s="11" t="s">
        <v>277</v>
      </c>
      <c r="C86" s="26" t="s">
        <v>45</v>
      </c>
      <c r="D86" s="11" t="s">
        <v>61</v>
      </c>
      <c r="E86" s="26">
        <f>+[1]モンスター計算!E89</f>
        <v>391</v>
      </c>
      <c r="F86" s="10">
        <f>+[1]モンスター計算!F89</f>
        <v>147</v>
      </c>
      <c r="G86" s="10">
        <f>+[1]モンスター計算!G89</f>
        <v>22</v>
      </c>
      <c r="H86" s="10">
        <f>+[1]モンスター計算!H89</f>
        <v>70</v>
      </c>
      <c r="I86" s="10">
        <f>+[1]モンスター計算!I89</f>
        <v>29</v>
      </c>
      <c r="J86" s="11">
        <f>+[1]モンスター計算!J89</f>
        <v>36</v>
      </c>
      <c r="K86" s="26">
        <f>+[1]モンスター計算!K89</f>
        <v>6.5000000000000002E-2</v>
      </c>
      <c r="L86" s="11">
        <f>+[1]モンスター計算!L89</f>
        <v>1.45</v>
      </c>
      <c r="M86" s="26">
        <f>+[1]モンスター計算!M89</f>
        <v>2.1</v>
      </c>
      <c r="N86" s="10">
        <f>+[1]モンスター計算!N89</f>
        <v>0.9</v>
      </c>
      <c r="O86" s="11">
        <f>+[1]モンスター計算!O89</f>
        <v>2.8</v>
      </c>
      <c r="P86" s="26">
        <f>+[1]モンスター計算!P89</f>
        <v>-0.08</v>
      </c>
      <c r="Q86" s="10">
        <f>+[1]モンスター計算!Q89</f>
        <v>0.22</v>
      </c>
      <c r="R86" s="10">
        <f>+[1]モンスター計算!R89</f>
        <v>0.02</v>
      </c>
      <c r="S86" s="10">
        <f>+[1]モンスター計算!S89</f>
        <v>0.02</v>
      </c>
      <c r="T86" s="10">
        <f>+[1]モンスター計算!T89</f>
        <v>0.02</v>
      </c>
      <c r="U86" s="10">
        <f>+[1]モンスター計算!U89</f>
        <v>0.02</v>
      </c>
      <c r="V86" s="11">
        <f>+[1]モンスター計算!V89</f>
        <v>4.2</v>
      </c>
      <c r="W86" s="29">
        <v>8</v>
      </c>
      <c r="X86" s="26" t="s">
        <v>109</v>
      </c>
      <c r="Y86" s="32" t="s">
        <v>87</v>
      </c>
      <c r="Z86" s="11">
        <v>1.2</v>
      </c>
      <c r="AA86" s="29">
        <v>5</v>
      </c>
      <c r="AB86" s="29">
        <f t="shared" si="2"/>
        <v>27</v>
      </c>
      <c r="AC86" s="46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29" t="s">
        <v>997</v>
      </c>
      <c r="AI86" s="32" t="s">
        <v>1826</v>
      </c>
    </row>
    <row r="87" spans="1:35">
      <c r="A87" s="52" t="s">
        <v>602</v>
      </c>
      <c r="B87" s="13" t="s">
        <v>278</v>
      </c>
      <c r="C87" s="27" t="s">
        <v>44</v>
      </c>
      <c r="D87" s="13" t="s">
        <v>61</v>
      </c>
      <c r="E87" s="27">
        <f>+[1]モンスター計算!E90</f>
        <v>380</v>
      </c>
      <c r="F87" s="5">
        <f>+[1]モンスター計算!F90</f>
        <v>61</v>
      </c>
      <c r="G87" s="5">
        <f>+[1]モンスター計算!G90</f>
        <v>27</v>
      </c>
      <c r="H87" s="5">
        <f>+[1]モンスター計算!H90</f>
        <v>61</v>
      </c>
      <c r="I87" s="5">
        <f>+[1]モンスター計算!I90</f>
        <v>29</v>
      </c>
      <c r="J87" s="13">
        <f>+[1]モンスター計算!J90</f>
        <v>33</v>
      </c>
      <c r="K87" s="27">
        <f>+[1]モンスター計算!K90</f>
        <v>7.0000000000000007E-2</v>
      </c>
      <c r="L87" s="13">
        <f>+[1]モンスター計算!L90</f>
        <v>1.55</v>
      </c>
      <c r="M87" s="27">
        <f>+[1]モンスター計算!M90</f>
        <v>2.2999999999999998</v>
      </c>
      <c r="N87" s="5">
        <f>+[1]モンスター計算!N90</f>
        <v>1.1000000000000001</v>
      </c>
      <c r="O87" s="13">
        <f>+[1]モンスター計算!O90</f>
        <v>2.7</v>
      </c>
      <c r="P87" s="27">
        <f>+[1]モンスター計算!P90</f>
        <v>0.17</v>
      </c>
      <c r="Q87" s="5">
        <f>+[1]モンスター計算!Q90</f>
        <v>-0.13</v>
      </c>
      <c r="R87" s="5">
        <f>+[1]モンスター計算!R90</f>
        <v>-0.03</v>
      </c>
      <c r="S87" s="5">
        <f>+[1]モンスター計算!S90</f>
        <v>-0.03</v>
      </c>
      <c r="T87" s="5">
        <f>+[1]モンスター計算!T90</f>
        <v>-0.03</v>
      </c>
      <c r="U87" s="5">
        <f>+[1]モンスター計算!U90</f>
        <v>-0.03</v>
      </c>
      <c r="V87" s="13">
        <f>+[1]モンスター計算!V90</f>
        <v>4</v>
      </c>
      <c r="W87" s="30">
        <v>8</v>
      </c>
      <c r="X87" s="27" t="s">
        <v>64</v>
      </c>
      <c r="Y87" s="33" t="s">
        <v>88</v>
      </c>
      <c r="Z87" s="13">
        <v>1.2</v>
      </c>
      <c r="AA87" s="30">
        <v>7</v>
      </c>
      <c r="AB87" s="30">
        <f t="shared" si="2"/>
        <v>31</v>
      </c>
      <c r="AC87" s="47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0" t="s">
        <v>998</v>
      </c>
      <c r="AI87" s="33" t="s">
        <v>1826</v>
      </c>
    </row>
    <row r="88" spans="1:35">
      <c r="A88" s="52" t="s">
        <v>603</v>
      </c>
      <c r="B88" s="13" t="s">
        <v>279</v>
      </c>
      <c r="C88" s="27" t="s">
        <v>46</v>
      </c>
      <c r="D88" s="13" t="s">
        <v>61</v>
      </c>
      <c r="E88" s="27">
        <f>+[1]モンスター計算!E91</f>
        <v>254</v>
      </c>
      <c r="F88" s="5">
        <f>+[1]モンスター計算!F91</f>
        <v>61</v>
      </c>
      <c r="G88" s="5">
        <f>+[1]モンスター計算!G91</f>
        <v>28</v>
      </c>
      <c r="H88" s="5">
        <f>+[1]モンスター計算!H91</f>
        <v>121</v>
      </c>
      <c r="I88" s="5">
        <f>+[1]モンスター計算!I91</f>
        <v>20</v>
      </c>
      <c r="J88" s="13">
        <f>+[1]モンスター計算!J91</f>
        <v>24</v>
      </c>
      <c r="K88" s="27">
        <f>+[1]モンスター計算!K91</f>
        <v>0.18</v>
      </c>
      <c r="L88" s="13">
        <f>+[1]モンスター計算!L91</f>
        <v>1.85</v>
      </c>
      <c r="M88" s="27">
        <f>+[1]モンスター計算!M91</f>
        <v>2.0499999999999998</v>
      </c>
      <c r="N88" s="5">
        <f>+[1]モンスター計算!N91</f>
        <v>0.75</v>
      </c>
      <c r="O88" s="13">
        <f>+[1]モンスター計算!O91</f>
        <v>4.45</v>
      </c>
      <c r="P88" s="27">
        <f>+[1]モンスター計算!P91</f>
        <v>-0.06</v>
      </c>
      <c r="Q88" s="5">
        <f>+[1]モンスター計算!Q91</f>
        <v>-0.06</v>
      </c>
      <c r="R88" s="5">
        <f>+[1]モンスター計算!R91</f>
        <v>0.14000000000000001</v>
      </c>
      <c r="S88" s="5">
        <f>+[1]モンスター計算!S91</f>
        <v>-0.16</v>
      </c>
      <c r="T88" s="5">
        <f>+[1]モンスター計算!T91</f>
        <v>-0.06</v>
      </c>
      <c r="U88" s="5">
        <f>+[1]モンスター計算!U91</f>
        <v>-0.06</v>
      </c>
      <c r="V88" s="13">
        <f>+[1]モンスター計算!V91</f>
        <v>5.6</v>
      </c>
      <c r="W88" s="30">
        <v>9</v>
      </c>
      <c r="X88" s="27" t="s">
        <v>66</v>
      </c>
      <c r="Y88" s="33" t="s">
        <v>89</v>
      </c>
      <c r="Z88" s="13">
        <v>1.22</v>
      </c>
      <c r="AA88" s="30">
        <v>10</v>
      </c>
      <c r="AB88" s="30">
        <f t="shared" si="2"/>
        <v>37</v>
      </c>
      <c r="AC88" s="47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0" t="s">
        <v>999</v>
      </c>
      <c r="AI88" s="33" t="s">
        <v>1826</v>
      </c>
    </row>
    <row r="89" spans="1:35">
      <c r="A89" s="52" t="s">
        <v>604</v>
      </c>
      <c r="B89" s="13" t="s">
        <v>280</v>
      </c>
      <c r="C89" s="27" t="s">
        <v>44</v>
      </c>
      <c r="D89" s="13" t="s">
        <v>59</v>
      </c>
      <c r="E89" s="27">
        <f>+[1]モンスター計算!E92</f>
        <v>220</v>
      </c>
      <c r="F89" s="5">
        <f>+[1]モンスター計算!F92</f>
        <v>12</v>
      </c>
      <c r="G89" s="5">
        <f>+[1]モンスター計算!G92</f>
        <v>121</v>
      </c>
      <c r="H89" s="5">
        <f>+[1]モンスター計算!H92</f>
        <v>27</v>
      </c>
      <c r="I89" s="5">
        <f>+[1]モンスター計算!I92</f>
        <v>17</v>
      </c>
      <c r="J89" s="13">
        <f>+[1]モンスター計算!J92</f>
        <v>17</v>
      </c>
      <c r="K89" s="27">
        <f>+[1]モンスター計算!K92</f>
        <v>0.08</v>
      </c>
      <c r="L89" s="13">
        <f>+[1]モンスター計算!L92</f>
        <v>1.95</v>
      </c>
      <c r="M89" s="27">
        <f>+[1]モンスター計算!M92</f>
        <v>2.85</v>
      </c>
      <c r="N89" s="5">
        <f>+[1]モンスター計算!N92</f>
        <v>1.0900000000000001</v>
      </c>
      <c r="O89" s="13">
        <f>+[1]モンスター計算!O92</f>
        <v>1.44</v>
      </c>
      <c r="P89" s="27">
        <f>+[1]モンスター計算!P92</f>
        <v>8.5000000000000006E-2</v>
      </c>
      <c r="Q89" s="5">
        <f>+[1]モンスター計算!Q92</f>
        <v>-0.21500000000000002</v>
      </c>
      <c r="R89" s="5">
        <f>+[1]モンスター計算!R92</f>
        <v>-0.115</v>
      </c>
      <c r="S89" s="5">
        <f>+[1]モンスター計算!S92</f>
        <v>-0.115</v>
      </c>
      <c r="T89" s="5">
        <f>+[1]モンスター計算!T92</f>
        <v>-0.115</v>
      </c>
      <c r="U89" s="5">
        <f>+[1]モンスター計算!U92</f>
        <v>-0.115</v>
      </c>
      <c r="V89" s="13">
        <f>+[1]モンスター計算!V92</f>
        <v>4.4000000000000004</v>
      </c>
      <c r="W89" s="30">
        <v>10</v>
      </c>
      <c r="X89" s="27" t="s">
        <v>68</v>
      </c>
      <c r="Y89" s="33" t="s">
        <v>90</v>
      </c>
      <c r="Z89" s="13">
        <v>1.25</v>
      </c>
      <c r="AA89" s="30">
        <v>15</v>
      </c>
      <c r="AB89" s="30">
        <f t="shared" si="2"/>
        <v>50</v>
      </c>
      <c r="AC89" s="47">
        <f t="shared" si="3"/>
        <v>15</v>
      </c>
      <c r="AD89" s="27" t="s">
        <v>74</v>
      </c>
      <c r="AE89" s="5">
        <v>0</v>
      </c>
      <c r="AF89" s="5">
        <v>0</v>
      </c>
      <c r="AG89" s="13" t="b">
        <v>0</v>
      </c>
      <c r="AH89" s="30" t="s">
        <v>1000</v>
      </c>
      <c r="AI89" s="33" t="s">
        <v>1826</v>
      </c>
    </row>
    <row r="90" spans="1:35">
      <c r="A90" s="52" t="s">
        <v>605</v>
      </c>
      <c r="B90" s="13" t="s">
        <v>281</v>
      </c>
      <c r="C90" s="27" t="s">
        <v>45</v>
      </c>
      <c r="D90" s="13" t="s">
        <v>59</v>
      </c>
      <c r="E90" s="27">
        <f>+[1]モンスター計算!E93</f>
        <v>573</v>
      </c>
      <c r="F90" s="5">
        <f>+[1]モンスター計算!F93</f>
        <v>21</v>
      </c>
      <c r="G90" s="5">
        <f>+[1]モンスター計算!G93</f>
        <v>52</v>
      </c>
      <c r="H90" s="5">
        <f>+[1]モンスター計算!H93</f>
        <v>18</v>
      </c>
      <c r="I90" s="5">
        <f>+[1]モンスター計算!I93</f>
        <v>51</v>
      </c>
      <c r="J90" s="13">
        <f>+[1]モンスター計算!J93</f>
        <v>29</v>
      </c>
      <c r="K90" s="27">
        <f>+[1]モンスター計算!K93</f>
        <v>3.5000000000000003E-2</v>
      </c>
      <c r="L90" s="13">
        <f>+[1]モンスター計算!L93</f>
        <v>1.43</v>
      </c>
      <c r="M90" s="27">
        <f>+[1]モンスター計算!M93</f>
        <v>1.75</v>
      </c>
      <c r="N90" s="5">
        <f>+[1]モンスター計算!N93</f>
        <v>0.73</v>
      </c>
      <c r="O90" s="13">
        <f>+[1]モンスター計算!O93</f>
        <v>2.3250000000000002</v>
      </c>
      <c r="P90" s="27">
        <f>+[1]モンスター計算!P93</f>
        <v>-1.0000000000000009E-2</v>
      </c>
      <c r="Q90" s="5">
        <f>+[1]モンスター計算!Q93</f>
        <v>0.29000000000000004</v>
      </c>
      <c r="R90" s="5">
        <f>+[1]モンスター計算!R93</f>
        <v>0.09</v>
      </c>
      <c r="S90" s="5">
        <f>+[1]モンスター計算!S93</f>
        <v>0.09</v>
      </c>
      <c r="T90" s="5">
        <f>+[1]モンスター計算!T93</f>
        <v>0.09</v>
      </c>
      <c r="U90" s="5">
        <f>+[1]モンスター計算!U93</f>
        <v>0.09</v>
      </c>
      <c r="V90" s="13">
        <f>+[1]モンスター計算!V93</f>
        <v>4.4000000000000004</v>
      </c>
      <c r="W90" s="30">
        <v>11</v>
      </c>
      <c r="X90" s="27" t="s">
        <v>70</v>
      </c>
      <c r="Y90" s="33" t="s">
        <v>91</v>
      </c>
      <c r="Z90" s="13">
        <v>1.25</v>
      </c>
      <c r="AA90" s="30">
        <v>20</v>
      </c>
      <c r="AB90" s="30">
        <f t="shared" si="2"/>
        <v>59</v>
      </c>
      <c r="AC90" s="47">
        <f t="shared" si="3"/>
        <v>15</v>
      </c>
      <c r="AD90" s="27" t="s">
        <v>74</v>
      </c>
      <c r="AE90" s="5">
        <v>0</v>
      </c>
      <c r="AF90" s="5">
        <v>0</v>
      </c>
      <c r="AG90" s="13" t="b">
        <v>0</v>
      </c>
      <c r="AH90" s="30" t="s">
        <v>1001</v>
      </c>
      <c r="AI90" s="33" t="s">
        <v>1826</v>
      </c>
    </row>
    <row r="91" spans="1:35" ht="19.5" thickBot="1">
      <c r="A91" s="53" t="s">
        <v>606</v>
      </c>
      <c r="B91" s="16" t="s">
        <v>282</v>
      </c>
      <c r="C91" s="28" t="s">
        <v>47</v>
      </c>
      <c r="D91" s="16" t="s">
        <v>61</v>
      </c>
      <c r="E91" s="28">
        <f>+[1]モンスター計算!E94</f>
        <v>296</v>
      </c>
      <c r="F91" s="15">
        <f>+[1]モンスター計算!F94</f>
        <v>64</v>
      </c>
      <c r="G91" s="15">
        <f>+[1]モンスター計算!G94</f>
        <v>36</v>
      </c>
      <c r="H91" s="15">
        <f>+[1]モンスター計算!H94</f>
        <v>80</v>
      </c>
      <c r="I91" s="15">
        <f>+[1]モンスター計算!I94</f>
        <v>23</v>
      </c>
      <c r="J91" s="16">
        <f>+[1]モンスター計算!J94</f>
        <v>24</v>
      </c>
      <c r="K91" s="28">
        <f>+[1]モンスター計算!K94</f>
        <v>0.11</v>
      </c>
      <c r="L91" s="16">
        <f>+[1]モンスター計算!L94</f>
        <v>1.65</v>
      </c>
      <c r="M91" s="28">
        <f>+[1]モンスター計算!M94</f>
        <v>2.2000000000000002</v>
      </c>
      <c r="N91" s="15">
        <f>+[1]モンスター計算!N94</f>
        <v>1.1000000000000001</v>
      </c>
      <c r="O91" s="16">
        <f>+[1]モンスター計算!O94</f>
        <v>2.75</v>
      </c>
      <c r="P91" s="28">
        <f>+[1]モンスター計算!P94</f>
        <v>-0.04</v>
      </c>
      <c r="Q91" s="15">
        <f>+[1]モンスター計算!Q94</f>
        <v>-0.04</v>
      </c>
      <c r="R91" s="15">
        <f>+[1]モンスター計算!R94</f>
        <v>-0.04</v>
      </c>
      <c r="S91" s="15">
        <f>+[1]モンスター計算!S94</f>
        <v>-0.04</v>
      </c>
      <c r="T91" s="15">
        <f>+[1]モンスター計算!T94</f>
        <v>0.16</v>
      </c>
      <c r="U91" s="15">
        <f>+[1]モンスター計算!U94</f>
        <v>-0.14000000000000001</v>
      </c>
      <c r="V91" s="16">
        <f>+[1]モンスター計算!V94</f>
        <v>4.2</v>
      </c>
      <c r="W91" s="31">
        <v>15</v>
      </c>
      <c r="X91" s="28" t="s">
        <v>72</v>
      </c>
      <c r="Y91" s="34" t="s">
        <v>92</v>
      </c>
      <c r="Z91" s="16">
        <v>1.3</v>
      </c>
      <c r="AA91" s="31">
        <v>40</v>
      </c>
      <c r="AB91" s="31">
        <f t="shared" si="2"/>
        <v>88</v>
      </c>
      <c r="AC91" s="48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1" t="s">
        <v>1002</v>
      </c>
      <c r="AI91" s="34" t="s">
        <v>1826</v>
      </c>
    </row>
    <row r="92" spans="1:35">
      <c r="A92" s="51" t="s">
        <v>607</v>
      </c>
      <c r="B92" s="11" t="s">
        <v>283</v>
      </c>
      <c r="C92" s="26" t="s">
        <v>45</v>
      </c>
      <c r="D92" s="11" t="s">
        <v>61</v>
      </c>
      <c r="E92" s="26">
        <f>+[1]モンスター計算!E95</f>
        <v>384</v>
      </c>
      <c r="F92" s="10">
        <f>+[1]モンスター計算!F95</f>
        <v>61</v>
      </c>
      <c r="G92" s="10">
        <f>+[1]モンスター計算!G95</f>
        <v>35</v>
      </c>
      <c r="H92" s="10">
        <f>+[1]モンスター計算!H95</f>
        <v>77</v>
      </c>
      <c r="I92" s="10">
        <f>+[1]モンスター計算!I95</f>
        <v>32</v>
      </c>
      <c r="J92" s="11">
        <f>+[1]モンスター計算!J95</f>
        <v>35</v>
      </c>
      <c r="K92" s="26">
        <f>+[1]モンスター計算!K95</f>
        <v>0.05</v>
      </c>
      <c r="L92" s="11">
        <f>+[1]モンスター計算!L95</f>
        <v>1.5</v>
      </c>
      <c r="M92" s="26">
        <f>+[1]モンスター計算!M95</f>
        <v>2</v>
      </c>
      <c r="N92" s="10">
        <f>+[1]モンスター計算!N95</f>
        <v>1.05</v>
      </c>
      <c r="O92" s="11">
        <f>+[1]モンスター計算!O95</f>
        <v>2.5</v>
      </c>
      <c r="P92" s="26">
        <f>+[1]モンスター計算!P95</f>
        <v>-0.1</v>
      </c>
      <c r="Q92" s="10">
        <f>+[1]モンスター計算!Q95</f>
        <v>0.2</v>
      </c>
      <c r="R92" s="10">
        <f>+[1]モンスター計算!R95</f>
        <v>0</v>
      </c>
      <c r="S92" s="10">
        <f>+[1]モンスター計算!S95</f>
        <v>0</v>
      </c>
      <c r="T92" s="10">
        <f>+[1]モンスター計算!T95</f>
        <v>0</v>
      </c>
      <c r="U92" s="10">
        <f>+[1]モンスター計算!U95</f>
        <v>0</v>
      </c>
      <c r="V92" s="11">
        <f>+[1]モンスター計算!V95</f>
        <v>4</v>
      </c>
      <c r="W92" s="29">
        <v>8</v>
      </c>
      <c r="X92" s="26" t="s">
        <v>109</v>
      </c>
      <c r="Y92" s="32" t="s">
        <v>87</v>
      </c>
      <c r="Z92" s="11">
        <v>1.2</v>
      </c>
      <c r="AA92" s="29">
        <v>5</v>
      </c>
      <c r="AB92" s="29">
        <f t="shared" si="2"/>
        <v>29</v>
      </c>
      <c r="AC92" s="46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29" t="s">
        <v>1003</v>
      </c>
      <c r="AI92" s="32" t="s">
        <v>1826</v>
      </c>
    </row>
    <row r="93" spans="1:35">
      <c r="A93" s="52" t="s">
        <v>608</v>
      </c>
      <c r="B93" s="13" t="s">
        <v>284</v>
      </c>
      <c r="C93" s="27" t="s">
        <v>44</v>
      </c>
      <c r="D93" s="13" t="s">
        <v>61</v>
      </c>
      <c r="E93" s="27">
        <f>+[1]モンスター計算!E96</f>
        <v>309</v>
      </c>
      <c r="F93" s="5">
        <f>+[1]モンスター計算!F96</f>
        <v>58</v>
      </c>
      <c r="G93" s="5">
        <f>+[1]モンスター計算!G96</f>
        <v>21</v>
      </c>
      <c r="H93" s="5">
        <f>+[1]モンスター計算!H96</f>
        <v>72</v>
      </c>
      <c r="I93" s="5">
        <f>+[1]モンスター計算!I96</f>
        <v>24</v>
      </c>
      <c r="J93" s="13">
        <f>+[1]モンスター計算!J96</f>
        <v>28</v>
      </c>
      <c r="K93" s="27">
        <f>+[1]モンスター計算!K96</f>
        <v>0.05</v>
      </c>
      <c r="L93" s="13">
        <f>+[1]モンスター計算!L96</f>
        <v>1.4</v>
      </c>
      <c r="M93" s="27">
        <f>+[1]モンスター計算!M96</f>
        <v>3.35</v>
      </c>
      <c r="N93" s="5">
        <f>+[1]モンスター計算!N96</f>
        <v>1.55</v>
      </c>
      <c r="O93" s="13">
        <f>+[1]モンスター計算!O96</f>
        <v>2.2999999999999998</v>
      </c>
      <c r="P93" s="27">
        <f>+[1]モンスター計算!P96</f>
        <v>0.13</v>
      </c>
      <c r="Q93" s="5">
        <f>+[1]モンスター計算!Q96</f>
        <v>-0.17</v>
      </c>
      <c r="R93" s="5">
        <f>+[1]モンスター計算!R96</f>
        <v>-7.0000000000000007E-2</v>
      </c>
      <c r="S93" s="5">
        <f>+[1]モンスター計算!S96</f>
        <v>-7.0000000000000007E-2</v>
      </c>
      <c r="T93" s="5">
        <f>+[1]モンスター計算!T96</f>
        <v>-7.0000000000000007E-2</v>
      </c>
      <c r="U93" s="5">
        <f>+[1]モンスター計算!U96</f>
        <v>-7.0000000000000007E-2</v>
      </c>
      <c r="V93" s="13">
        <f>+[1]モンスター計算!V96</f>
        <v>4</v>
      </c>
      <c r="W93" s="30">
        <v>8</v>
      </c>
      <c r="X93" s="27" t="s">
        <v>64</v>
      </c>
      <c r="Y93" s="33" t="s">
        <v>88</v>
      </c>
      <c r="Z93" s="13">
        <v>1.2</v>
      </c>
      <c r="AA93" s="30">
        <v>7</v>
      </c>
      <c r="AB93" s="30">
        <f t="shared" si="2"/>
        <v>33</v>
      </c>
      <c r="AC93" s="47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0" t="s">
        <v>1004</v>
      </c>
      <c r="AI93" s="33" t="s">
        <v>1826</v>
      </c>
    </row>
    <row r="94" spans="1:35">
      <c r="A94" s="52" t="s">
        <v>609</v>
      </c>
      <c r="B94" s="13" t="s">
        <v>285</v>
      </c>
      <c r="C94" s="27" t="s">
        <v>46</v>
      </c>
      <c r="D94" s="13" t="s">
        <v>61</v>
      </c>
      <c r="E94" s="27">
        <f>+[1]モンスター計算!E97</f>
        <v>305</v>
      </c>
      <c r="F94" s="5">
        <f>+[1]モンスター計算!F97</f>
        <v>72</v>
      </c>
      <c r="G94" s="5">
        <f>+[1]モンスター計算!G97</f>
        <v>23</v>
      </c>
      <c r="H94" s="5">
        <f>+[1]モンスター計算!H97</f>
        <v>93</v>
      </c>
      <c r="I94" s="5">
        <f>+[1]モンスター計算!I97</f>
        <v>26</v>
      </c>
      <c r="J94" s="13">
        <f>+[1]モンスター計算!J97</f>
        <v>28</v>
      </c>
      <c r="K94" s="27">
        <f>+[1]モンスター計算!K97</f>
        <v>0.26</v>
      </c>
      <c r="L94" s="13">
        <f>+[1]モンスター計算!L97</f>
        <v>1.95</v>
      </c>
      <c r="M94" s="27">
        <f>+[1]モンスター計算!M97</f>
        <v>2.75</v>
      </c>
      <c r="N94" s="5">
        <f>+[1]モンスター計算!N97</f>
        <v>0.95</v>
      </c>
      <c r="O94" s="13">
        <f>+[1]モンスター計算!O97</f>
        <v>2.8</v>
      </c>
      <c r="P94" s="27">
        <f>+[1]モンスター計算!P97</f>
        <v>-0.05</v>
      </c>
      <c r="Q94" s="5">
        <f>+[1]モンスター計算!Q97</f>
        <v>-0.05</v>
      </c>
      <c r="R94" s="5">
        <f>+[1]モンスター計算!R97</f>
        <v>0.15000000000000002</v>
      </c>
      <c r="S94" s="5">
        <f>+[1]モンスター計算!S97</f>
        <v>-0.15000000000000002</v>
      </c>
      <c r="T94" s="5">
        <f>+[1]モンスター計算!T97</f>
        <v>-0.05</v>
      </c>
      <c r="U94" s="5">
        <f>+[1]モンスター計算!U97</f>
        <v>-0.05</v>
      </c>
      <c r="V94" s="13">
        <f>+[1]モンスター計算!V97</f>
        <v>4.4000000000000004</v>
      </c>
      <c r="W94" s="30">
        <v>9</v>
      </c>
      <c r="X94" s="27" t="s">
        <v>66</v>
      </c>
      <c r="Y94" s="33" t="s">
        <v>89</v>
      </c>
      <c r="Z94" s="13">
        <v>1.22</v>
      </c>
      <c r="AA94" s="30">
        <v>10</v>
      </c>
      <c r="AB94" s="30">
        <f t="shared" si="2"/>
        <v>39</v>
      </c>
      <c r="AC94" s="47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0" t="s">
        <v>1005</v>
      </c>
      <c r="AI94" s="33" t="s">
        <v>1826</v>
      </c>
    </row>
    <row r="95" spans="1:35">
      <c r="A95" s="52" t="s">
        <v>610</v>
      </c>
      <c r="B95" s="13" t="s">
        <v>286</v>
      </c>
      <c r="C95" s="27" t="s">
        <v>44</v>
      </c>
      <c r="D95" s="13" t="s">
        <v>59</v>
      </c>
      <c r="E95" s="27">
        <f>+[1]モンスター計算!E98</f>
        <v>334</v>
      </c>
      <c r="F95" s="5">
        <f>+[1]モンスター計算!F98</f>
        <v>28</v>
      </c>
      <c r="G95" s="5">
        <f>+[1]モンスター計算!G98</f>
        <v>76</v>
      </c>
      <c r="H95" s="5">
        <f>+[1]モンスター計算!H98</f>
        <v>24</v>
      </c>
      <c r="I95" s="5">
        <f>+[1]モンスター計算!I98</f>
        <v>26</v>
      </c>
      <c r="J95" s="13">
        <f>+[1]モンスター計算!J98</f>
        <v>28</v>
      </c>
      <c r="K95" s="27">
        <f>+[1]モンスター計算!K98</f>
        <v>6.5000000000000002E-2</v>
      </c>
      <c r="L95" s="13">
        <f>+[1]モンスター計算!L98</f>
        <v>1.46</v>
      </c>
      <c r="M95" s="27">
        <f>+[1]モンスター計算!M98</f>
        <v>3.88</v>
      </c>
      <c r="N95" s="5">
        <f>+[1]モンスター計算!N98</f>
        <v>1.29</v>
      </c>
      <c r="O95" s="13">
        <f>+[1]モンスター計算!O98</f>
        <v>1.5449999999999999</v>
      </c>
      <c r="P95" s="27">
        <f>+[1]モンスター計算!P98</f>
        <v>0.16</v>
      </c>
      <c r="Q95" s="5">
        <f>+[1]モンスター計算!Q98</f>
        <v>-0.14000000000000001</v>
      </c>
      <c r="R95" s="5">
        <f>+[1]モンスター計算!R98</f>
        <v>-0.04</v>
      </c>
      <c r="S95" s="5">
        <f>+[1]モンスター計算!S98</f>
        <v>-0.04</v>
      </c>
      <c r="T95" s="5">
        <f>+[1]モンスター計算!T98</f>
        <v>-0.04</v>
      </c>
      <c r="U95" s="5">
        <f>+[1]モンスター計算!U98</f>
        <v>-0.04</v>
      </c>
      <c r="V95" s="13">
        <f>+[1]モンスター計算!V98</f>
        <v>9.1999999999999993</v>
      </c>
      <c r="W95" s="30">
        <v>10</v>
      </c>
      <c r="X95" s="27" t="s">
        <v>68</v>
      </c>
      <c r="Y95" s="33" t="s">
        <v>90</v>
      </c>
      <c r="Z95" s="13">
        <v>1.25</v>
      </c>
      <c r="AA95" s="30">
        <v>15</v>
      </c>
      <c r="AB95" s="30">
        <f t="shared" si="2"/>
        <v>53</v>
      </c>
      <c r="AC95" s="47">
        <f t="shared" si="3"/>
        <v>16</v>
      </c>
      <c r="AD95" s="27" t="s">
        <v>74</v>
      </c>
      <c r="AE95" s="5">
        <v>0</v>
      </c>
      <c r="AF95" s="5">
        <v>0</v>
      </c>
      <c r="AG95" s="13" t="b">
        <v>0</v>
      </c>
      <c r="AH95" s="30" t="s">
        <v>1006</v>
      </c>
      <c r="AI95" s="33" t="s">
        <v>1826</v>
      </c>
    </row>
    <row r="96" spans="1:35">
      <c r="A96" s="52" t="s">
        <v>611</v>
      </c>
      <c r="B96" s="13" t="s">
        <v>287</v>
      </c>
      <c r="C96" s="27" t="s">
        <v>45</v>
      </c>
      <c r="D96" s="13" t="s">
        <v>59</v>
      </c>
      <c r="E96" s="27">
        <f>+[1]モンスター計算!E99</f>
        <v>334</v>
      </c>
      <c r="F96" s="5">
        <f>+[1]モンスター計算!F99</f>
        <v>23</v>
      </c>
      <c r="G96" s="5">
        <f>+[1]モンスター計算!G99</f>
        <v>74</v>
      </c>
      <c r="H96" s="5">
        <f>+[1]モンスター計算!H99</f>
        <v>33</v>
      </c>
      <c r="I96" s="5">
        <f>+[1]モンスター計算!I99</f>
        <v>27</v>
      </c>
      <c r="J96" s="13">
        <f>+[1]モンスター計算!J99</f>
        <v>27</v>
      </c>
      <c r="K96" s="27">
        <f>+[1]モンスター計算!K99</f>
        <v>0.08</v>
      </c>
      <c r="L96" s="13">
        <f>+[1]モンスター計算!L99</f>
        <v>1.55</v>
      </c>
      <c r="M96" s="27">
        <f>+[1]モンスター計算!M99</f>
        <v>3.3</v>
      </c>
      <c r="N96" s="5">
        <f>+[1]モンスター計算!N99</f>
        <v>1.32</v>
      </c>
      <c r="O96" s="13">
        <f>+[1]モンスター計算!O99</f>
        <v>1.5</v>
      </c>
      <c r="P96" s="27">
        <f>+[1]モンスター計算!P99</f>
        <v>-0.14000000000000001</v>
      </c>
      <c r="Q96" s="5">
        <f>+[1]モンスター計算!Q99</f>
        <v>0.16</v>
      </c>
      <c r="R96" s="5">
        <f>+[1]モンスター計算!R99</f>
        <v>-0.04</v>
      </c>
      <c r="S96" s="5">
        <f>+[1]モンスター計算!S99</f>
        <v>-0.04</v>
      </c>
      <c r="T96" s="5">
        <f>+[1]モンスター計算!T99</f>
        <v>-0.04</v>
      </c>
      <c r="U96" s="5">
        <f>+[1]モンスター計算!U99</f>
        <v>-0.04</v>
      </c>
      <c r="V96" s="13">
        <f>+[1]モンスター計算!V99</f>
        <v>4.8</v>
      </c>
      <c r="W96" s="30">
        <v>11</v>
      </c>
      <c r="X96" s="27" t="s">
        <v>70</v>
      </c>
      <c r="Y96" s="33" t="s">
        <v>91</v>
      </c>
      <c r="Z96" s="13">
        <v>1.25</v>
      </c>
      <c r="AA96" s="30">
        <v>20</v>
      </c>
      <c r="AB96" s="30">
        <f t="shared" si="2"/>
        <v>62</v>
      </c>
      <c r="AC96" s="47">
        <f t="shared" si="3"/>
        <v>16</v>
      </c>
      <c r="AD96" s="27" t="s">
        <v>74</v>
      </c>
      <c r="AE96" s="5">
        <v>0</v>
      </c>
      <c r="AF96" s="5">
        <v>0</v>
      </c>
      <c r="AG96" s="13" t="b">
        <v>0</v>
      </c>
      <c r="AH96" s="30" t="s">
        <v>1007</v>
      </c>
      <c r="AI96" s="33" t="s">
        <v>1826</v>
      </c>
    </row>
    <row r="97" spans="1:35" ht="19.5" thickBot="1">
      <c r="A97" s="53" t="s">
        <v>612</v>
      </c>
      <c r="B97" s="16" t="s">
        <v>288</v>
      </c>
      <c r="C97" s="28" t="s">
        <v>47</v>
      </c>
      <c r="D97" s="16" t="s">
        <v>61</v>
      </c>
      <c r="E97" s="28">
        <f>+[1]モンスター計算!E100</f>
        <v>242</v>
      </c>
      <c r="F97" s="15">
        <f>+[1]モンスター計算!F100</f>
        <v>48</v>
      </c>
      <c r="G97" s="15">
        <f>+[1]モンスター計算!G100</f>
        <v>24</v>
      </c>
      <c r="H97" s="15">
        <f>+[1]モンスター計算!H100</f>
        <v>110</v>
      </c>
      <c r="I97" s="15">
        <f>+[1]モンスター計算!I100</f>
        <v>21</v>
      </c>
      <c r="J97" s="16">
        <f>+[1]モンスター計算!J100</f>
        <v>22</v>
      </c>
      <c r="K97" s="28">
        <f>+[1]モンスター計算!K100</f>
        <v>0.08</v>
      </c>
      <c r="L97" s="16">
        <f>+[1]モンスター計算!L100</f>
        <v>1.55</v>
      </c>
      <c r="M97" s="28">
        <f>+[1]モンスター計算!M100</f>
        <v>4.2</v>
      </c>
      <c r="N97" s="15">
        <f>+[1]モンスター計算!N100</f>
        <v>1.3</v>
      </c>
      <c r="O97" s="16">
        <f>+[1]モンスター計算!O100</f>
        <v>2.5</v>
      </c>
      <c r="P97" s="28">
        <f>+[1]モンスター計算!P100</f>
        <v>-0.09</v>
      </c>
      <c r="Q97" s="15">
        <f>+[1]モンスター計算!Q100</f>
        <v>-0.09</v>
      </c>
      <c r="R97" s="15">
        <f>+[1]モンスター計算!R100</f>
        <v>-0.09</v>
      </c>
      <c r="S97" s="15">
        <f>+[1]モンスター計算!S100</f>
        <v>-0.09</v>
      </c>
      <c r="T97" s="15">
        <f>+[1]モンスター計算!T100</f>
        <v>0.11000000000000001</v>
      </c>
      <c r="U97" s="15">
        <f>+[1]モンスター計算!U100</f>
        <v>-0.19</v>
      </c>
      <c r="V97" s="16">
        <f>+[1]モンスター計算!V100</f>
        <v>4.2</v>
      </c>
      <c r="W97" s="31">
        <v>15</v>
      </c>
      <c r="X97" s="28" t="s">
        <v>72</v>
      </c>
      <c r="Y97" s="34" t="s">
        <v>92</v>
      </c>
      <c r="Z97" s="16">
        <v>1.3</v>
      </c>
      <c r="AA97" s="31">
        <v>40</v>
      </c>
      <c r="AB97" s="31">
        <f t="shared" si="2"/>
        <v>93</v>
      </c>
      <c r="AC97" s="48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1" t="s">
        <v>1008</v>
      </c>
      <c r="AI97" s="34" t="s">
        <v>1826</v>
      </c>
    </row>
    <row r="98" spans="1:35">
      <c r="A98" s="51" t="s">
        <v>613</v>
      </c>
      <c r="B98" s="11" t="s">
        <v>289</v>
      </c>
      <c r="C98" s="26" t="s">
        <v>45</v>
      </c>
      <c r="D98" s="11" t="s">
        <v>61</v>
      </c>
      <c r="E98" s="26">
        <f>+[1]モンスター計算!E101</f>
        <v>505</v>
      </c>
      <c r="F98" s="10">
        <f>+[1]モンスター計算!F101</f>
        <v>70</v>
      </c>
      <c r="G98" s="10">
        <f>+[1]モンスター計算!G101</f>
        <v>32</v>
      </c>
      <c r="H98" s="10">
        <f>+[1]モンスター計算!H101</f>
        <v>72</v>
      </c>
      <c r="I98" s="10">
        <f>+[1]モンスター計算!I101</f>
        <v>40</v>
      </c>
      <c r="J98" s="11">
        <f>+[1]モンスター計算!J101</f>
        <v>40</v>
      </c>
      <c r="K98" s="26">
        <f>+[1]モンスター計算!K101</f>
        <v>7.0000000000000007E-2</v>
      </c>
      <c r="L98" s="11">
        <f>+[1]モンスター計算!L101</f>
        <v>1.55</v>
      </c>
      <c r="M98" s="26">
        <f>+[1]モンスター計算!M101</f>
        <v>2.4</v>
      </c>
      <c r="N98" s="10">
        <f>+[1]モンスター計算!N101</f>
        <v>1</v>
      </c>
      <c r="O98" s="11">
        <f>+[1]モンスター計算!O101</f>
        <v>2.5</v>
      </c>
      <c r="P98" s="26">
        <f>+[1]モンスター計算!P101</f>
        <v>-0.08</v>
      </c>
      <c r="Q98" s="10">
        <f>+[1]モンスター計算!Q101</f>
        <v>0.22</v>
      </c>
      <c r="R98" s="10">
        <f>+[1]モンスター計算!R101</f>
        <v>0.02</v>
      </c>
      <c r="S98" s="10">
        <f>+[1]モンスター計算!S101</f>
        <v>0.02</v>
      </c>
      <c r="T98" s="10">
        <f>+[1]モンスター計算!T101</f>
        <v>0.02</v>
      </c>
      <c r="U98" s="10">
        <f>+[1]モンスター計算!U101</f>
        <v>0.02</v>
      </c>
      <c r="V98" s="11">
        <f>+[1]モンスター計算!V101</f>
        <v>4</v>
      </c>
      <c r="W98" s="29">
        <v>8</v>
      </c>
      <c r="X98" s="26" t="s">
        <v>109</v>
      </c>
      <c r="Y98" s="32" t="s">
        <v>87</v>
      </c>
      <c r="Z98" s="11">
        <v>1.2</v>
      </c>
      <c r="AA98" s="29">
        <v>5</v>
      </c>
      <c r="AB98" s="29">
        <f t="shared" si="2"/>
        <v>31</v>
      </c>
      <c r="AC98" s="46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29" t="s">
        <v>1009</v>
      </c>
      <c r="AI98" s="32" t="s">
        <v>1826</v>
      </c>
    </row>
    <row r="99" spans="1:35">
      <c r="A99" s="52" t="s">
        <v>614</v>
      </c>
      <c r="B99" s="13" t="s">
        <v>290</v>
      </c>
      <c r="C99" s="27" t="s">
        <v>44</v>
      </c>
      <c r="D99" s="13" t="s">
        <v>61</v>
      </c>
      <c r="E99" s="27">
        <f>+[1]モンスター計算!E102</f>
        <v>588</v>
      </c>
      <c r="F99" s="5">
        <f>+[1]モンスター計算!F102</f>
        <v>64</v>
      </c>
      <c r="G99" s="5">
        <f>+[1]モンスター計算!G102</f>
        <v>17</v>
      </c>
      <c r="H99" s="5">
        <f>+[1]モンスター計算!H102</f>
        <v>44</v>
      </c>
      <c r="I99" s="5">
        <f>+[1]モンスター計算!I102</f>
        <v>45</v>
      </c>
      <c r="J99" s="13">
        <f>+[1]モンスター計算!J102</f>
        <v>41</v>
      </c>
      <c r="K99" s="27">
        <f>+[1]モンスター計算!K102</f>
        <v>7.0000000000000007E-2</v>
      </c>
      <c r="L99" s="13">
        <f>+[1]モンスター計算!L102</f>
        <v>1.5</v>
      </c>
      <c r="M99" s="27">
        <f>+[1]モンスター計算!M102</f>
        <v>2.8</v>
      </c>
      <c r="N99" s="5">
        <f>+[1]モンスター計算!N102</f>
        <v>1.45</v>
      </c>
      <c r="O99" s="13">
        <f>+[1]モンスター計算!O102</f>
        <v>1.55</v>
      </c>
      <c r="P99" s="27">
        <f>+[1]モンスター計算!P102</f>
        <v>0.23</v>
      </c>
      <c r="Q99" s="5">
        <f>+[1]モンスター計算!Q102</f>
        <v>-7.0000000000000007E-2</v>
      </c>
      <c r="R99" s="5">
        <f>+[1]モンスター計算!R102</f>
        <v>0.03</v>
      </c>
      <c r="S99" s="5">
        <f>+[1]モンスター計算!S102</f>
        <v>0.03</v>
      </c>
      <c r="T99" s="5">
        <f>+[1]モンスター計算!T102</f>
        <v>0.03</v>
      </c>
      <c r="U99" s="5">
        <f>+[1]モンスター計算!U102</f>
        <v>0.03</v>
      </c>
      <c r="V99" s="13">
        <f>+[1]モンスター計算!V102</f>
        <v>3.6</v>
      </c>
      <c r="W99" s="30">
        <v>8</v>
      </c>
      <c r="X99" s="27" t="s">
        <v>64</v>
      </c>
      <c r="Y99" s="33" t="s">
        <v>88</v>
      </c>
      <c r="Z99" s="13">
        <v>1.2</v>
      </c>
      <c r="AA99" s="30">
        <v>7</v>
      </c>
      <c r="AB99" s="30">
        <f t="shared" si="2"/>
        <v>35</v>
      </c>
      <c r="AC99" s="47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0" t="s">
        <v>1010</v>
      </c>
      <c r="AI99" s="33" t="s">
        <v>1826</v>
      </c>
    </row>
    <row r="100" spans="1:35">
      <c r="A100" s="52" t="s">
        <v>615</v>
      </c>
      <c r="B100" s="13" t="s">
        <v>291</v>
      </c>
      <c r="C100" s="27" t="s">
        <v>46</v>
      </c>
      <c r="D100" s="13" t="s">
        <v>61</v>
      </c>
      <c r="E100" s="27">
        <f>+[1]モンスター計算!E103</f>
        <v>409</v>
      </c>
      <c r="F100" s="5">
        <f>+[1]モンスター計算!F103</f>
        <v>64</v>
      </c>
      <c r="G100" s="5">
        <f>+[1]モンスター計算!G103</f>
        <v>21</v>
      </c>
      <c r="H100" s="5">
        <f>+[1]モンスター計算!H103</f>
        <v>79</v>
      </c>
      <c r="I100" s="5">
        <f>+[1]モンスター計算!I103</f>
        <v>34</v>
      </c>
      <c r="J100" s="13">
        <f>+[1]モンスター計算!J103</f>
        <v>33</v>
      </c>
      <c r="K100" s="27">
        <f>+[1]モンスター計算!K103</f>
        <v>7.4999999999999997E-2</v>
      </c>
      <c r="L100" s="13">
        <f>+[1]モンスター計算!L103</f>
        <v>1.5</v>
      </c>
      <c r="M100" s="27">
        <f>+[1]モンスター計算!M103</f>
        <v>3.1</v>
      </c>
      <c r="N100" s="5">
        <f>+[1]モンスター計算!N103</f>
        <v>1.1499999999999999</v>
      </c>
      <c r="O100" s="13">
        <f>+[1]モンスター計算!O103</f>
        <v>3.0750000000000002</v>
      </c>
      <c r="P100" s="27">
        <f>+[1]モンスター計算!P103</f>
        <v>-0.01</v>
      </c>
      <c r="Q100" s="5">
        <f>+[1]モンスター計算!Q103</f>
        <v>-0.01</v>
      </c>
      <c r="R100" s="5">
        <f>+[1]モンスター計算!R103</f>
        <v>0.19</v>
      </c>
      <c r="S100" s="5">
        <f>+[1]モンスター計算!S103</f>
        <v>-0.11</v>
      </c>
      <c r="T100" s="5">
        <f>+[1]モンスター計算!T103</f>
        <v>-0.01</v>
      </c>
      <c r="U100" s="5">
        <f>+[1]モンスター計算!U103</f>
        <v>-0.01</v>
      </c>
      <c r="V100" s="13">
        <f>+[1]モンスター計算!V103</f>
        <v>8.6</v>
      </c>
      <c r="W100" s="30">
        <v>9</v>
      </c>
      <c r="X100" s="27" t="s">
        <v>66</v>
      </c>
      <c r="Y100" s="33" t="s">
        <v>89</v>
      </c>
      <c r="Z100" s="13">
        <v>1.22</v>
      </c>
      <c r="AA100" s="30">
        <v>10</v>
      </c>
      <c r="AB100" s="30">
        <f t="shared" si="2"/>
        <v>41</v>
      </c>
      <c r="AC100" s="47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0" t="s">
        <v>1011</v>
      </c>
      <c r="AI100" s="33" t="s">
        <v>1826</v>
      </c>
    </row>
    <row r="101" spans="1:35">
      <c r="A101" s="52" t="s">
        <v>616</v>
      </c>
      <c r="B101" s="13" t="s">
        <v>292</v>
      </c>
      <c r="C101" s="27" t="s">
        <v>44</v>
      </c>
      <c r="D101" s="13" t="s">
        <v>59</v>
      </c>
      <c r="E101" s="27">
        <f>+[1]モンスター計算!E104</f>
        <v>414</v>
      </c>
      <c r="F101" s="5">
        <f>+[1]モンスター計算!F104</f>
        <v>24</v>
      </c>
      <c r="G101" s="5">
        <f>+[1]モンスター計算!G104</f>
        <v>77</v>
      </c>
      <c r="H101" s="5">
        <f>+[1]モンスター計算!H104</f>
        <v>35</v>
      </c>
      <c r="I101" s="5">
        <f>+[1]モンスター計算!I104</f>
        <v>33</v>
      </c>
      <c r="J101" s="13">
        <f>+[1]モンスター計算!J104</f>
        <v>33</v>
      </c>
      <c r="K101" s="27">
        <f>+[1]モンスター計算!K104</f>
        <v>0.11</v>
      </c>
      <c r="L101" s="13">
        <f>+[1]モンスター計算!L104</f>
        <v>1.75</v>
      </c>
      <c r="M101" s="27">
        <f>+[1]モンスター計算!M104</f>
        <v>3</v>
      </c>
      <c r="N101" s="5">
        <f>+[1]モンスター計算!N104</f>
        <v>1.18</v>
      </c>
      <c r="O101" s="13">
        <f>+[1]モンスター計算!O104</f>
        <v>1.35</v>
      </c>
      <c r="P101" s="27">
        <f>+[1]モンスター計算!P104</f>
        <v>0.17</v>
      </c>
      <c r="Q101" s="5">
        <f>+[1]モンスター計算!Q104</f>
        <v>-0.13</v>
      </c>
      <c r="R101" s="5">
        <f>+[1]モンスター計算!R104</f>
        <v>-0.03</v>
      </c>
      <c r="S101" s="5">
        <f>+[1]モンスター計算!S104</f>
        <v>-0.03</v>
      </c>
      <c r="T101" s="5">
        <f>+[1]モンスター計算!T104</f>
        <v>-0.03</v>
      </c>
      <c r="U101" s="5">
        <f>+[1]モンスター計算!U104</f>
        <v>-0.03</v>
      </c>
      <c r="V101" s="13">
        <f>+[1]モンスター計算!V104</f>
        <v>4.2</v>
      </c>
      <c r="W101" s="30">
        <v>10</v>
      </c>
      <c r="X101" s="27" t="s">
        <v>68</v>
      </c>
      <c r="Y101" s="33" t="s">
        <v>90</v>
      </c>
      <c r="Z101" s="13">
        <v>1.25</v>
      </c>
      <c r="AA101" s="30">
        <v>15</v>
      </c>
      <c r="AB101" s="30">
        <f t="shared" si="2"/>
        <v>56</v>
      </c>
      <c r="AC101" s="47">
        <f t="shared" si="3"/>
        <v>17</v>
      </c>
      <c r="AD101" s="27" t="s">
        <v>74</v>
      </c>
      <c r="AE101" s="5">
        <v>0</v>
      </c>
      <c r="AF101" s="5">
        <v>0</v>
      </c>
      <c r="AG101" s="13" t="b">
        <v>0</v>
      </c>
      <c r="AH101" s="30" t="s">
        <v>1012</v>
      </c>
      <c r="AI101" s="33" t="s">
        <v>1826</v>
      </c>
    </row>
    <row r="102" spans="1:35">
      <c r="A102" s="52" t="s">
        <v>617</v>
      </c>
      <c r="B102" s="13" t="s">
        <v>293</v>
      </c>
      <c r="C102" s="27" t="s">
        <v>45</v>
      </c>
      <c r="D102" s="13" t="s">
        <v>59</v>
      </c>
      <c r="E102" s="27">
        <f>+[1]モンスター計算!E105</f>
        <v>322</v>
      </c>
      <c r="F102" s="5">
        <f>+[1]モンスター計算!F105</f>
        <v>25</v>
      </c>
      <c r="G102" s="5">
        <f>+[1]モンスター計算!G105</f>
        <v>95</v>
      </c>
      <c r="H102" s="5">
        <f>+[1]モンスター計算!H105</f>
        <v>32</v>
      </c>
      <c r="I102" s="5">
        <f>+[1]モンスター計算!I105</f>
        <v>28</v>
      </c>
      <c r="J102" s="13">
        <f>+[1]モンスター計算!J105</f>
        <v>29</v>
      </c>
      <c r="K102" s="27">
        <f>+[1]モンスター計算!K105</f>
        <v>0.11</v>
      </c>
      <c r="L102" s="13">
        <f>+[1]モンスター計算!L105</f>
        <v>1.58</v>
      </c>
      <c r="M102" s="27">
        <f>+[1]モンスター計算!M105</f>
        <v>4.45</v>
      </c>
      <c r="N102" s="5">
        <f>+[1]モンスター計算!N105</f>
        <v>1.3</v>
      </c>
      <c r="O102" s="13">
        <f>+[1]モンスター計算!O105</f>
        <v>1.32</v>
      </c>
      <c r="P102" s="27">
        <f>+[1]モンスター計算!P105</f>
        <v>-0.16</v>
      </c>
      <c r="Q102" s="5">
        <f>+[1]モンスター計算!Q105</f>
        <v>0.14000000000000001</v>
      </c>
      <c r="R102" s="5">
        <f>+[1]モンスター計算!R105</f>
        <v>-0.06</v>
      </c>
      <c r="S102" s="5">
        <f>+[1]モンスター計算!S105</f>
        <v>-0.06</v>
      </c>
      <c r="T102" s="5">
        <f>+[1]モンスター計算!T105</f>
        <v>-0.06</v>
      </c>
      <c r="U102" s="5">
        <f>+[1]モンスター計算!U105</f>
        <v>-0.06</v>
      </c>
      <c r="V102" s="13">
        <f>+[1]モンスター計算!V105</f>
        <v>5.6</v>
      </c>
      <c r="W102" s="30">
        <v>11</v>
      </c>
      <c r="X102" s="27" t="s">
        <v>70</v>
      </c>
      <c r="Y102" s="33" t="s">
        <v>91</v>
      </c>
      <c r="Z102" s="13">
        <v>1.25</v>
      </c>
      <c r="AA102" s="30">
        <v>20</v>
      </c>
      <c r="AB102" s="30">
        <f t="shared" si="2"/>
        <v>66</v>
      </c>
      <c r="AC102" s="47">
        <f t="shared" si="3"/>
        <v>17</v>
      </c>
      <c r="AD102" s="27" t="s">
        <v>74</v>
      </c>
      <c r="AE102" s="5">
        <v>0</v>
      </c>
      <c r="AF102" s="5">
        <v>0</v>
      </c>
      <c r="AG102" s="13" t="b">
        <v>0</v>
      </c>
      <c r="AH102" s="30" t="s">
        <v>1013</v>
      </c>
      <c r="AI102" s="33" t="s">
        <v>1826</v>
      </c>
    </row>
    <row r="103" spans="1:35" ht="19.5" thickBot="1">
      <c r="A103" s="53" t="s">
        <v>618</v>
      </c>
      <c r="B103" s="16" t="s">
        <v>294</v>
      </c>
      <c r="C103" s="28" t="s">
        <v>47</v>
      </c>
      <c r="D103" s="16" t="s">
        <v>61</v>
      </c>
      <c r="E103" s="28">
        <f>+[1]モンスター計算!E106</f>
        <v>487</v>
      </c>
      <c r="F103" s="15">
        <f>+[1]モンスター計算!F106</f>
        <v>117</v>
      </c>
      <c r="G103" s="15">
        <f>+[1]モンスター計算!G106</f>
        <v>24</v>
      </c>
      <c r="H103" s="15">
        <f>+[1]モンスター計算!H106</f>
        <v>81</v>
      </c>
      <c r="I103" s="15">
        <f>+[1]モンスター計算!I106</f>
        <v>28</v>
      </c>
      <c r="J103" s="16">
        <f>+[1]モンスター計算!J106</f>
        <v>75</v>
      </c>
      <c r="K103" s="28">
        <f>+[1]モンスター計算!K106</f>
        <v>4.4999999999999998E-2</v>
      </c>
      <c r="L103" s="16">
        <f>+[1]モンスター計算!L106</f>
        <v>1.45</v>
      </c>
      <c r="M103" s="28">
        <f>+[1]モンスター計算!M106</f>
        <v>1.9</v>
      </c>
      <c r="N103" s="15">
        <f>+[1]モンスター計算!N106</f>
        <v>0.84</v>
      </c>
      <c r="O103" s="16">
        <f>+[1]モンスター計算!O106</f>
        <v>2.65</v>
      </c>
      <c r="P103" s="28">
        <f>+[1]モンスター計算!P106</f>
        <v>0.09</v>
      </c>
      <c r="Q103" s="15">
        <f>+[1]モンスター計算!Q106</f>
        <v>0.09</v>
      </c>
      <c r="R103" s="15">
        <f>+[1]モンスター計算!R106</f>
        <v>0.09</v>
      </c>
      <c r="S103" s="15">
        <f>+[1]モンスター計算!S106</f>
        <v>0.09</v>
      </c>
      <c r="T103" s="15">
        <f>+[1]モンスター計算!T106</f>
        <v>0.29000000000000004</v>
      </c>
      <c r="U103" s="15">
        <f>+[1]モンスター計算!U106</f>
        <v>-1.0000000000000009E-2</v>
      </c>
      <c r="V103" s="16">
        <f>+[1]モンスター計算!V106</f>
        <v>4.4000000000000004</v>
      </c>
      <c r="W103" s="31">
        <v>15</v>
      </c>
      <c r="X103" s="28" t="s">
        <v>72</v>
      </c>
      <c r="Y103" s="34" t="s">
        <v>92</v>
      </c>
      <c r="Z103" s="16">
        <v>1.3</v>
      </c>
      <c r="AA103" s="31">
        <v>40</v>
      </c>
      <c r="AB103" s="31">
        <f t="shared" si="2"/>
        <v>98</v>
      </c>
      <c r="AC103" s="48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1" t="s">
        <v>1014</v>
      </c>
      <c r="AI103" s="34" t="s">
        <v>1826</v>
      </c>
    </row>
    <row r="104" spans="1:35">
      <c r="A104" s="51" t="s">
        <v>619</v>
      </c>
      <c r="B104" s="11" t="s">
        <v>295</v>
      </c>
      <c r="C104" s="26" t="s">
        <v>45</v>
      </c>
      <c r="D104" s="11" t="s">
        <v>61</v>
      </c>
      <c r="E104" s="26">
        <f>+[1]モンスター計算!E107</f>
        <v>485</v>
      </c>
      <c r="F104" s="10">
        <f>+[1]モンスター計算!F107</f>
        <v>81</v>
      </c>
      <c r="G104" s="10">
        <f>+[1]モンスター計算!G107</f>
        <v>27</v>
      </c>
      <c r="H104" s="10">
        <f>+[1]モンスター計算!H107</f>
        <v>96</v>
      </c>
      <c r="I104" s="10">
        <f>+[1]モンスター計算!I107</f>
        <v>33</v>
      </c>
      <c r="J104" s="11">
        <f>+[1]モンスター計算!J107</f>
        <v>37</v>
      </c>
      <c r="K104" s="26">
        <f>+[1]モンスター計算!K107</f>
        <v>0.06</v>
      </c>
      <c r="L104" s="11">
        <f>+[1]モンスター計算!L107</f>
        <v>1.6</v>
      </c>
      <c r="M104" s="26">
        <f>+[1]モンスター計算!M107</f>
        <v>2.25</v>
      </c>
      <c r="N104" s="10">
        <f>+[1]モンスター計算!N107</f>
        <v>0.91</v>
      </c>
      <c r="O104" s="11">
        <f>+[1]モンスター計算!O107</f>
        <v>4.75</v>
      </c>
      <c r="P104" s="26">
        <f>+[1]モンスター計算!P107</f>
        <v>-0.12000000000000001</v>
      </c>
      <c r="Q104" s="10">
        <f>+[1]モンスター計算!Q107</f>
        <v>0.18000000000000002</v>
      </c>
      <c r="R104" s="10">
        <f>+[1]モンスター計算!R107</f>
        <v>-0.02</v>
      </c>
      <c r="S104" s="10">
        <f>+[1]モンスター計算!S107</f>
        <v>-0.02</v>
      </c>
      <c r="T104" s="10">
        <f>+[1]モンスター計算!T107</f>
        <v>-0.02</v>
      </c>
      <c r="U104" s="10">
        <f>+[1]モンスター計算!U107</f>
        <v>-0.02</v>
      </c>
      <c r="V104" s="11">
        <f>+[1]モンスター計算!V107</f>
        <v>6.6</v>
      </c>
      <c r="W104" s="29">
        <v>8</v>
      </c>
      <c r="X104" s="26" t="s">
        <v>109</v>
      </c>
      <c r="Y104" s="32" t="s">
        <v>87</v>
      </c>
      <c r="Z104" s="11">
        <v>1.2</v>
      </c>
      <c r="AA104" s="29">
        <v>5</v>
      </c>
      <c r="AB104" s="29">
        <f t="shared" si="2"/>
        <v>33</v>
      </c>
      <c r="AC104" s="46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29" t="s">
        <v>1015</v>
      </c>
      <c r="AI104" s="32" t="s">
        <v>1826</v>
      </c>
    </row>
    <row r="105" spans="1:35">
      <c r="A105" s="52" t="s">
        <v>620</v>
      </c>
      <c r="B105" s="13" t="s">
        <v>296</v>
      </c>
      <c r="C105" s="27" t="s">
        <v>44</v>
      </c>
      <c r="D105" s="13" t="s">
        <v>61</v>
      </c>
      <c r="E105" s="27">
        <f>+[1]モンスター計算!E108</f>
        <v>521</v>
      </c>
      <c r="F105" s="5">
        <f>+[1]モンスター計算!F108</f>
        <v>195</v>
      </c>
      <c r="G105" s="5">
        <f>+[1]モンスター計算!G108</f>
        <v>29</v>
      </c>
      <c r="H105" s="5">
        <f>+[1]モンスター計算!H108</f>
        <v>93</v>
      </c>
      <c r="I105" s="5">
        <f>+[1]モンスター計算!I108</f>
        <v>39</v>
      </c>
      <c r="J105" s="13">
        <f>+[1]モンスター計算!J108</f>
        <v>48</v>
      </c>
      <c r="K105" s="27">
        <f>+[1]モンスター計算!K108</f>
        <v>6.5000000000000002E-2</v>
      </c>
      <c r="L105" s="13">
        <f>+[1]モンスター計算!L108</f>
        <v>1.45</v>
      </c>
      <c r="M105" s="27">
        <f>+[1]モンスター計算!M108</f>
        <v>2.1</v>
      </c>
      <c r="N105" s="5">
        <f>+[1]モンスター計算!N108</f>
        <v>0.9</v>
      </c>
      <c r="O105" s="13">
        <f>+[1]モンスター計算!O108</f>
        <v>2.8</v>
      </c>
      <c r="P105" s="27">
        <f>+[1]モンスター計算!P108</f>
        <v>0.22</v>
      </c>
      <c r="Q105" s="5">
        <f>+[1]モンスター計算!Q108</f>
        <v>-0.08</v>
      </c>
      <c r="R105" s="5">
        <f>+[1]モンスター計算!R108</f>
        <v>0.02</v>
      </c>
      <c r="S105" s="5">
        <f>+[1]モンスター計算!S108</f>
        <v>0.02</v>
      </c>
      <c r="T105" s="5">
        <f>+[1]モンスター計算!T108</f>
        <v>0.02</v>
      </c>
      <c r="U105" s="5">
        <f>+[1]モンスター計算!U108</f>
        <v>0.02</v>
      </c>
      <c r="V105" s="13">
        <f>+[1]モンスター計算!V108</f>
        <v>4.2</v>
      </c>
      <c r="W105" s="30">
        <v>8</v>
      </c>
      <c r="X105" s="27" t="s">
        <v>64</v>
      </c>
      <c r="Y105" s="33" t="s">
        <v>88</v>
      </c>
      <c r="Z105" s="13">
        <v>1.2</v>
      </c>
      <c r="AA105" s="30">
        <v>7</v>
      </c>
      <c r="AB105" s="30">
        <f t="shared" si="2"/>
        <v>37</v>
      </c>
      <c r="AC105" s="47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0" t="s">
        <v>1016</v>
      </c>
      <c r="AI105" s="33" t="s">
        <v>1826</v>
      </c>
    </row>
    <row r="106" spans="1:35">
      <c r="A106" s="52" t="s">
        <v>621</v>
      </c>
      <c r="B106" s="13" t="s">
        <v>297</v>
      </c>
      <c r="C106" s="27" t="s">
        <v>46</v>
      </c>
      <c r="D106" s="13" t="s">
        <v>61</v>
      </c>
      <c r="E106" s="27">
        <f>+[1]モンスター計算!E109</f>
        <v>505</v>
      </c>
      <c r="F106" s="5">
        <f>+[1]モンスター計算!F109</f>
        <v>81</v>
      </c>
      <c r="G106" s="5">
        <f>+[1]モンスター計算!G109</f>
        <v>36</v>
      </c>
      <c r="H106" s="5">
        <f>+[1]モンスター計算!H109</f>
        <v>81</v>
      </c>
      <c r="I106" s="5">
        <f>+[1]モンスター計算!I109</f>
        <v>38</v>
      </c>
      <c r="J106" s="13">
        <f>+[1]モンスター計算!J109</f>
        <v>44</v>
      </c>
      <c r="K106" s="27">
        <f>+[1]モンスター計算!K109</f>
        <v>7.0000000000000007E-2</v>
      </c>
      <c r="L106" s="13">
        <f>+[1]モンスター計算!L109</f>
        <v>1.55</v>
      </c>
      <c r="M106" s="27">
        <f>+[1]モンスター計算!M109</f>
        <v>2.2999999999999998</v>
      </c>
      <c r="N106" s="5">
        <f>+[1]モンスター計算!N109</f>
        <v>1.1000000000000001</v>
      </c>
      <c r="O106" s="13">
        <f>+[1]モンスター計算!O109</f>
        <v>2.7</v>
      </c>
      <c r="P106" s="27">
        <f>+[1]モンスター計算!P109</f>
        <v>-0.03</v>
      </c>
      <c r="Q106" s="5">
        <f>+[1]モンスター計算!Q109</f>
        <v>-0.03</v>
      </c>
      <c r="R106" s="5">
        <f>+[1]モンスター計算!R109</f>
        <v>0.17</v>
      </c>
      <c r="S106" s="5">
        <f>+[1]モンスター計算!S109</f>
        <v>-0.13</v>
      </c>
      <c r="T106" s="5">
        <f>+[1]モンスター計算!T109</f>
        <v>-0.03</v>
      </c>
      <c r="U106" s="5">
        <f>+[1]モンスター計算!U109</f>
        <v>-0.03</v>
      </c>
      <c r="V106" s="13">
        <f>+[1]モンスター計算!V109</f>
        <v>4</v>
      </c>
      <c r="W106" s="30">
        <v>9</v>
      </c>
      <c r="X106" s="27" t="s">
        <v>66</v>
      </c>
      <c r="Y106" s="33" t="s">
        <v>89</v>
      </c>
      <c r="Z106" s="13">
        <v>1.22</v>
      </c>
      <c r="AA106" s="30">
        <v>10</v>
      </c>
      <c r="AB106" s="30">
        <f t="shared" si="2"/>
        <v>44</v>
      </c>
      <c r="AC106" s="47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0" t="s">
        <v>1017</v>
      </c>
      <c r="AI106" s="33" t="s">
        <v>1826</v>
      </c>
    </row>
    <row r="107" spans="1:35">
      <c r="A107" s="52" t="s">
        <v>622</v>
      </c>
      <c r="B107" s="13" t="s">
        <v>298</v>
      </c>
      <c r="C107" s="27" t="s">
        <v>44</v>
      </c>
      <c r="D107" s="13" t="s">
        <v>59</v>
      </c>
      <c r="E107" s="27">
        <f>+[1]モンスター計算!E110</f>
        <v>409</v>
      </c>
      <c r="F107" s="5">
        <f>+[1]モンスター計算!F110</f>
        <v>26</v>
      </c>
      <c r="G107" s="5">
        <f>+[1]モンスター計算!G110</f>
        <v>70</v>
      </c>
      <c r="H107" s="5">
        <f>+[1]モンスター計算!H110</f>
        <v>22</v>
      </c>
      <c r="I107" s="5">
        <f>+[1]モンスター計算!I110</f>
        <v>30</v>
      </c>
      <c r="J107" s="13">
        <f>+[1]モンスター計算!J110</f>
        <v>32</v>
      </c>
      <c r="K107" s="27">
        <f>+[1]モンスター計算!K110</f>
        <v>7.0000000000000007E-2</v>
      </c>
      <c r="L107" s="13">
        <f>+[1]モンスター計算!L110</f>
        <v>1.45</v>
      </c>
      <c r="M107" s="27">
        <f>+[1]モンスター計算!M110</f>
        <v>3.35</v>
      </c>
      <c r="N107" s="5">
        <f>+[1]モンスター計算!N110</f>
        <v>1.77</v>
      </c>
      <c r="O107" s="13">
        <f>+[1]モンスター計算!O110</f>
        <v>1.1399999999999999</v>
      </c>
      <c r="P107" s="27">
        <f>+[1]モンスター計算!P110</f>
        <v>0.13500000000000001</v>
      </c>
      <c r="Q107" s="5">
        <f>+[1]モンスター計算!Q110</f>
        <v>-0.16500000000000001</v>
      </c>
      <c r="R107" s="5">
        <f>+[1]モンスター計算!R110</f>
        <v>-6.5000000000000002E-2</v>
      </c>
      <c r="S107" s="5">
        <f>+[1]モンスター計算!S110</f>
        <v>-6.5000000000000002E-2</v>
      </c>
      <c r="T107" s="5">
        <f>+[1]モンスター計算!T110</f>
        <v>-6.5000000000000002E-2</v>
      </c>
      <c r="U107" s="5">
        <f>+[1]モンスター計算!U110</f>
        <v>-6.5000000000000002E-2</v>
      </c>
      <c r="V107" s="13">
        <f>+[1]モンスター計算!V110</f>
        <v>5</v>
      </c>
      <c r="W107" s="30">
        <v>10</v>
      </c>
      <c r="X107" s="27" t="s">
        <v>68</v>
      </c>
      <c r="Y107" s="33" t="s">
        <v>90</v>
      </c>
      <c r="Z107" s="13">
        <v>1.25</v>
      </c>
      <c r="AA107" s="30">
        <v>15</v>
      </c>
      <c r="AB107" s="30">
        <f t="shared" si="2"/>
        <v>59</v>
      </c>
      <c r="AC107" s="47">
        <f t="shared" si="3"/>
        <v>18</v>
      </c>
      <c r="AD107" s="27" t="s">
        <v>74</v>
      </c>
      <c r="AE107" s="5">
        <v>0</v>
      </c>
      <c r="AF107" s="5">
        <v>0</v>
      </c>
      <c r="AG107" s="13" t="b">
        <v>0</v>
      </c>
      <c r="AH107" s="30" t="s">
        <v>1018</v>
      </c>
      <c r="AI107" s="33" t="s">
        <v>1826</v>
      </c>
    </row>
    <row r="108" spans="1:35">
      <c r="A108" s="52" t="s">
        <v>623</v>
      </c>
      <c r="B108" s="13" t="s">
        <v>299</v>
      </c>
      <c r="C108" s="27" t="s">
        <v>45</v>
      </c>
      <c r="D108" s="13" t="s">
        <v>59</v>
      </c>
      <c r="E108" s="27">
        <f>+[1]モンスター計算!E111</f>
        <v>293</v>
      </c>
      <c r="F108" s="5">
        <f>+[1]モンスター計算!F111</f>
        <v>16</v>
      </c>
      <c r="G108" s="5">
        <f>+[1]モンスター計算!G111</f>
        <v>161</v>
      </c>
      <c r="H108" s="5">
        <f>+[1]モンスター計算!H111</f>
        <v>36</v>
      </c>
      <c r="I108" s="5">
        <f>+[1]モンスター計算!I111</f>
        <v>22</v>
      </c>
      <c r="J108" s="13">
        <f>+[1]モンスター計算!J111</f>
        <v>23</v>
      </c>
      <c r="K108" s="27">
        <f>+[1]モンスター計算!K111</f>
        <v>0.08</v>
      </c>
      <c r="L108" s="13">
        <f>+[1]モンスター計算!L111</f>
        <v>1.95</v>
      </c>
      <c r="M108" s="27">
        <f>+[1]モンスター計算!M111</f>
        <v>2.85</v>
      </c>
      <c r="N108" s="5">
        <f>+[1]モンスター計算!N111</f>
        <v>1.0900000000000001</v>
      </c>
      <c r="O108" s="13">
        <f>+[1]モンスター計算!O111</f>
        <v>1.44</v>
      </c>
      <c r="P108" s="27">
        <f>+[1]モンスター計算!P111</f>
        <v>-0.21500000000000002</v>
      </c>
      <c r="Q108" s="5">
        <f>+[1]モンスター計算!Q111</f>
        <v>8.5000000000000006E-2</v>
      </c>
      <c r="R108" s="5">
        <f>+[1]モンスター計算!R111</f>
        <v>-0.115</v>
      </c>
      <c r="S108" s="5">
        <f>+[1]モンスター計算!S111</f>
        <v>-0.115</v>
      </c>
      <c r="T108" s="5">
        <f>+[1]モンスター計算!T111</f>
        <v>-0.115</v>
      </c>
      <c r="U108" s="5">
        <f>+[1]モンスター計算!U111</f>
        <v>-0.115</v>
      </c>
      <c r="V108" s="13">
        <f>+[1]モンスター計算!V111</f>
        <v>4.4000000000000004</v>
      </c>
      <c r="W108" s="30">
        <v>11</v>
      </c>
      <c r="X108" s="27" t="s">
        <v>70</v>
      </c>
      <c r="Y108" s="33" t="s">
        <v>91</v>
      </c>
      <c r="Z108" s="13">
        <v>1.25</v>
      </c>
      <c r="AA108" s="30">
        <v>20</v>
      </c>
      <c r="AB108" s="30">
        <f t="shared" si="2"/>
        <v>70</v>
      </c>
      <c r="AC108" s="47">
        <f t="shared" si="3"/>
        <v>18</v>
      </c>
      <c r="AD108" s="27" t="s">
        <v>74</v>
      </c>
      <c r="AE108" s="5">
        <v>0</v>
      </c>
      <c r="AF108" s="5">
        <v>0</v>
      </c>
      <c r="AG108" s="13" t="b">
        <v>0</v>
      </c>
      <c r="AH108" s="30" t="s">
        <v>1019</v>
      </c>
      <c r="AI108" s="33" t="s">
        <v>1826</v>
      </c>
    </row>
    <row r="109" spans="1:35" ht="19.5" thickBot="1">
      <c r="A109" s="53" t="s">
        <v>624</v>
      </c>
      <c r="B109" s="16" t="s">
        <v>300</v>
      </c>
      <c r="C109" s="28" t="s">
        <v>47</v>
      </c>
      <c r="D109" s="16" t="s">
        <v>61</v>
      </c>
      <c r="E109" s="28">
        <f>+[1]モンスター計算!E112</f>
        <v>708</v>
      </c>
      <c r="F109" s="15">
        <f>+[1]モンスター計算!F112</f>
        <v>162</v>
      </c>
      <c r="G109" s="15">
        <f>+[1]モンスター計算!G112</f>
        <v>27</v>
      </c>
      <c r="H109" s="15">
        <f>+[1]モンスター計算!H112</f>
        <v>72</v>
      </c>
      <c r="I109" s="15">
        <f>+[1]モンスター計算!I112</f>
        <v>38</v>
      </c>
      <c r="J109" s="16">
        <f>+[1]モンスター計算!J112</f>
        <v>68</v>
      </c>
      <c r="K109" s="28">
        <f>+[1]モンスター計算!K112</f>
        <v>0.115</v>
      </c>
      <c r="L109" s="16">
        <f>+[1]モンスター計算!L112</f>
        <v>1.95</v>
      </c>
      <c r="M109" s="28">
        <f>+[1]モンスター計算!M112</f>
        <v>1.2</v>
      </c>
      <c r="N109" s="15">
        <f>+[1]モンスター計算!N112</f>
        <v>0.72</v>
      </c>
      <c r="O109" s="16">
        <f>+[1]モンスター計算!O112</f>
        <v>3.3250000000000002</v>
      </c>
      <c r="P109" s="28">
        <f>+[1]モンスター計算!P112</f>
        <v>0.08</v>
      </c>
      <c r="Q109" s="15">
        <f>+[1]モンスター計算!Q112</f>
        <v>0.08</v>
      </c>
      <c r="R109" s="15">
        <f>+[1]モンスター計算!R112</f>
        <v>0.08</v>
      </c>
      <c r="S109" s="15">
        <f>+[1]モンスター計算!S112</f>
        <v>0.08</v>
      </c>
      <c r="T109" s="15">
        <f>+[1]モンスター計算!T112</f>
        <v>0.28000000000000003</v>
      </c>
      <c r="U109" s="15">
        <f>+[1]モンスター計算!U112</f>
        <v>-2.0000000000000004E-2</v>
      </c>
      <c r="V109" s="16">
        <f>+[1]モンスター計算!V112</f>
        <v>5</v>
      </c>
      <c r="W109" s="31">
        <v>15</v>
      </c>
      <c r="X109" s="28" t="s">
        <v>72</v>
      </c>
      <c r="Y109" s="34" t="s">
        <v>92</v>
      </c>
      <c r="Z109" s="16">
        <v>1.3</v>
      </c>
      <c r="AA109" s="31">
        <v>40</v>
      </c>
      <c r="AB109" s="31">
        <f t="shared" si="2"/>
        <v>103</v>
      </c>
      <c r="AC109" s="48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1" t="s">
        <v>1020</v>
      </c>
      <c r="AI109" s="34" t="s">
        <v>1826</v>
      </c>
    </row>
    <row r="110" spans="1:35">
      <c r="A110" s="51" t="s">
        <v>625</v>
      </c>
      <c r="B110" s="11" t="s">
        <v>301</v>
      </c>
      <c r="C110" s="26" t="s">
        <v>45</v>
      </c>
      <c r="D110" s="11" t="s">
        <v>61</v>
      </c>
      <c r="E110" s="26">
        <f>+[1]モンスター計算!E113</f>
        <v>556</v>
      </c>
      <c r="F110" s="10">
        <f>+[1]モンスター計算!F113</f>
        <v>97</v>
      </c>
      <c r="G110" s="10">
        <f>+[1]モンスター計算!G113</f>
        <v>32</v>
      </c>
      <c r="H110" s="10">
        <f>+[1]モンスター計算!H113</f>
        <v>100</v>
      </c>
      <c r="I110" s="10">
        <f>+[1]モンスター計算!I113</f>
        <v>43</v>
      </c>
      <c r="J110" s="11">
        <f>+[1]モンスター計算!J113</f>
        <v>45</v>
      </c>
      <c r="K110" s="26">
        <f>+[1]モンスター計算!K113</f>
        <v>4.4999999999999998E-2</v>
      </c>
      <c r="L110" s="11">
        <f>+[1]モンスター計算!L113</f>
        <v>1.4</v>
      </c>
      <c r="M110" s="26">
        <f>+[1]モンスター計算!M113</f>
        <v>2.0499999999999998</v>
      </c>
      <c r="N110" s="10">
        <f>+[1]モンスター計算!N113</f>
        <v>0.92</v>
      </c>
      <c r="O110" s="11">
        <f>+[1]モンスター計算!O113</f>
        <v>2.6749999999999998</v>
      </c>
      <c r="P110" s="26">
        <f>+[1]モンスター計算!P113</f>
        <v>0.09</v>
      </c>
      <c r="Q110" s="10">
        <f>+[1]モンスター計算!Q113</f>
        <v>0.39</v>
      </c>
      <c r="R110" s="10">
        <f>+[1]モンスター計算!R113</f>
        <v>0.19</v>
      </c>
      <c r="S110" s="10">
        <f>+[1]モンスター計算!S113</f>
        <v>0.19</v>
      </c>
      <c r="T110" s="10">
        <f>+[1]モンスター計算!T113</f>
        <v>0.19</v>
      </c>
      <c r="U110" s="10">
        <f>+[1]モンスター計算!U113</f>
        <v>0.19</v>
      </c>
      <c r="V110" s="11">
        <f>+[1]モンスター計算!V113</f>
        <v>4</v>
      </c>
      <c r="W110" s="29">
        <v>8</v>
      </c>
      <c r="X110" s="26" t="s">
        <v>109</v>
      </c>
      <c r="Y110" s="32" t="s">
        <v>87</v>
      </c>
      <c r="Z110" s="11">
        <v>1.2</v>
      </c>
      <c r="AA110" s="29">
        <v>5</v>
      </c>
      <c r="AB110" s="29">
        <f t="shared" si="2"/>
        <v>35</v>
      </c>
      <c r="AC110" s="46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29" t="s">
        <v>1021</v>
      </c>
      <c r="AI110" s="32" t="s">
        <v>1826</v>
      </c>
    </row>
    <row r="111" spans="1:35">
      <c r="A111" s="52" t="s">
        <v>626</v>
      </c>
      <c r="B111" s="13" t="s">
        <v>302</v>
      </c>
      <c r="C111" s="27" t="s">
        <v>44</v>
      </c>
      <c r="D111" s="13" t="s">
        <v>61</v>
      </c>
      <c r="E111" s="27">
        <f>+[1]モンスター計算!E114</f>
        <v>512</v>
      </c>
      <c r="F111" s="5">
        <f>+[1]モンスター計算!F114</f>
        <v>81</v>
      </c>
      <c r="G111" s="5">
        <f>+[1]モンスター計算!G114</f>
        <v>46</v>
      </c>
      <c r="H111" s="5">
        <f>+[1]モンスター計算!H114</f>
        <v>103</v>
      </c>
      <c r="I111" s="5">
        <f>+[1]モンスター計算!I114</f>
        <v>42</v>
      </c>
      <c r="J111" s="13">
        <f>+[1]モンスター計算!J114</f>
        <v>47</v>
      </c>
      <c r="K111" s="27">
        <f>+[1]モンスター計算!K114</f>
        <v>0.05</v>
      </c>
      <c r="L111" s="13">
        <f>+[1]モンスター計算!L114</f>
        <v>1.5</v>
      </c>
      <c r="M111" s="27">
        <f>+[1]モンスター計算!M114</f>
        <v>2</v>
      </c>
      <c r="N111" s="5">
        <f>+[1]モンスター計算!N114</f>
        <v>1.05</v>
      </c>
      <c r="O111" s="13">
        <f>+[1]モンスター計算!O114</f>
        <v>2.5</v>
      </c>
      <c r="P111" s="27">
        <f>+[1]モンスター計算!P114</f>
        <v>0.2</v>
      </c>
      <c r="Q111" s="5">
        <f>+[1]モンスター計算!Q114</f>
        <v>-0.1</v>
      </c>
      <c r="R111" s="5">
        <f>+[1]モンスター計算!R114</f>
        <v>0</v>
      </c>
      <c r="S111" s="5">
        <f>+[1]モンスター計算!S114</f>
        <v>0</v>
      </c>
      <c r="T111" s="5">
        <f>+[1]モンスター計算!T114</f>
        <v>0</v>
      </c>
      <c r="U111" s="5">
        <f>+[1]モンスター計算!U114</f>
        <v>0</v>
      </c>
      <c r="V111" s="13">
        <f>+[1]モンスター計算!V114</f>
        <v>4</v>
      </c>
      <c r="W111" s="30">
        <v>8</v>
      </c>
      <c r="X111" s="27" t="s">
        <v>64</v>
      </c>
      <c r="Y111" s="33" t="s">
        <v>88</v>
      </c>
      <c r="Z111" s="13">
        <v>1.2</v>
      </c>
      <c r="AA111" s="30">
        <v>7</v>
      </c>
      <c r="AB111" s="30">
        <f t="shared" si="2"/>
        <v>39</v>
      </c>
      <c r="AC111" s="47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0" t="s">
        <v>1022</v>
      </c>
      <c r="AI111" s="33" t="s">
        <v>1826</v>
      </c>
    </row>
    <row r="112" spans="1:35">
      <c r="A112" s="52" t="s">
        <v>627</v>
      </c>
      <c r="B112" s="13" t="s">
        <v>303</v>
      </c>
      <c r="C112" s="27" t="s">
        <v>46</v>
      </c>
      <c r="D112" s="13" t="s">
        <v>61</v>
      </c>
      <c r="E112" s="27">
        <f>+[1]モンスター計算!E115</f>
        <v>411</v>
      </c>
      <c r="F112" s="5">
        <f>+[1]モンスター計算!F115</f>
        <v>77</v>
      </c>
      <c r="G112" s="5">
        <f>+[1]モンスター計算!G115</f>
        <v>28</v>
      </c>
      <c r="H112" s="5">
        <f>+[1]モンスター計算!H115</f>
        <v>96</v>
      </c>
      <c r="I112" s="5">
        <f>+[1]モンスター計算!I115</f>
        <v>32</v>
      </c>
      <c r="J112" s="13">
        <f>+[1]モンスター計算!J115</f>
        <v>37</v>
      </c>
      <c r="K112" s="27">
        <f>+[1]モンスター計算!K115</f>
        <v>0.05</v>
      </c>
      <c r="L112" s="13">
        <f>+[1]モンスター計算!L115</f>
        <v>1.4</v>
      </c>
      <c r="M112" s="27">
        <f>+[1]モンスター計算!M115</f>
        <v>3.35</v>
      </c>
      <c r="N112" s="5">
        <f>+[1]モンスター計算!N115</f>
        <v>1.55</v>
      </c>
      <c r="O112" s="13">
        <f>+[1]モンスター計算!O115</f>
        <v>2.2999999999999998</v>
      </c>
      <c r="P112" s="27">
        <f>+[1]モンスター計算!P115</f>
        <v>-7.0000000000000007E-2</v>
      </c>
      <c r="Q112" s="5">
        <f>+[1]モンスター計算!Q115</f>
        <v>-7.0000000000000007E-2</v>
      </c>
      <c r="R112" s="5">
        <f>+[1]モンスター計算!R115</f>
        <v>0.13</v>
      </c>
      <c r="S112" s="5">
        <f>+[1]モンスター計算!S115</f>
        <v>-0.17</v>
      </c>
      <c r="T112" s="5">
        <f>+[1]モンスター計算!T115</f>
        <v>-7.0000000000000007E-2</v>
      </c>
      <c r="U112" s="5">
        <f>+[1]モンスター計算!U115</f>
        <v>-7.0000000000000007E-2</v>
      </c>
      <c r="V112" s="13">
        <f>+[1]モンスター計算!V115</f>
        <v>4</v>
      </c>
      <c r="W112" s="30">
        <v>9</v>
      </c>
      <c r="X112" s="27" t="s">
        <v>66</v>
      </c>
      <c r="Y112" s="33" t="s">
        <v>89</v>
      </c>
      <c r="Z112" s="13">
        <v>1.22</v>
      </c>
      <c r="AA112" s="30">
        <v>10</v>
      </c>
      <c r="AB112" s="30">
        <f t="shared" si="2"/>
        <v>47</v>
      </c>
      <c r="AC112" s="47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0" t="s">
        <v>1023</v>
      </c>
      <c r="AI112" s="33" t="s">
        <v>1826</v>
      </c>
    </row>
    <row r="113" spans="1:35">
      <c r="A113" s="52" t="s">
        <v>628</v>
      </c>
      <c r="B113" s="13" t="s">
        <v>304</v>
      </c>
      <c r="C113" s="27" t="s">
        <v>44</v>
      </c>
      <c r="D113" s="13" t="s">
        <v>59</v>
      </c>
      <c r="E113" s="27">
        <f>+[1]モンスター計算!E116</f>
        <v>367</v>
      </c>
      <c r="F113" s="5">
        <f>+[1]モンスター計算!F116</f>
        <v>22</v>
      </c>
      <c r="G113" s="5">
        <f>+[1]モンスター計算!G116</f>
        <v>99</v>
      </c>
      <c r="H113" s="5">
        <f>+[1]モンスター計算!H116</f>
        <v>25</v>
      </c>
      <c r="I113" s="5">
        <f>+[1]モンスター計算!I116</f>
        <v>31</v>
      </c>
      <c r="J113" s="13">
        <f>+[1]モンスター計算!J116</f>
        <v>32</v>
      </c>
      <c r="K113" s="27">
        <f>+[1]モンスター計算!K116</f>
        <v>0.21</v>
      </c>
      <c r="L113" s="13">
        <f>+[1]モンスター計算!L116</f>
        <v>1.78</v>
      </c>
      <c r="M113" s="27">
        <f>+[1]モンスター計算!M116</f>
        <v>4.05</v>
      </c>
      <c r="N113" s="5">
        <f>+[1]モンスター計算!N116</f>
        <v>1.56</v>
      </c>
      <c r="O113" s="13">
        <f>+[1]モンスター計算!O116</f>
        <v>0.9</v>
      </c>
      <c r="P113" s="27">
        <f>+[1]モンスター計算!P116</f>
        <v>0.12000000000000001</v>
      </c>
      <c r="Q113" s="5">
        <f>+[1]モンスター計算!Q116</f>
        <v>-0.18</v>
      </c>
      <c r="R113" s="5">
        <f>+[1]モンスター計算!R116</f>
        <v>-0.08</v>
      </c>
      <c r="S113" s="5">
        <f>+[1]モンスター計算!S116</f>
        <v>-0.08</v>
      </c>
      <c r="T113" s="5">
        <f>+[1]モンスター計算!T116</f>
        <v>-0.08</v>
      </c>
      <c r="U113" s="5">
        <f>+[1]モンスター計算!U116</f>
        <v>-0.08</v>
      </c>
      <c r="V113" s="13">
        <f>+[1]モンスター計算!V116</f>
        <v>5</v>
      </c>
      <c r="W113" s="30">
        <v>10</v>
      </c>
      <c r="X113" s="27" t="s">
        <v>68</v>
      </c>
      <c r="Y113" s="33" t="s">
        <v>90</v>
      </c>
      <c r="Z113" s="13">
        <v>1.25</v>
      </c>
      <c r="AA113" s="30">
        <v>15</v>
      </c>
      <c r="AB113" s="30">
        <f t="shared" si="2"/>
        <v>62</v>
      </c>
      <c r="AC113" s="47">
        <f t="shared" si="3"/>
        <v>19</v>
      </c>
      <c r="AD113" s="27" t="s">
        <v>74</v>
      </c>
      <c r="AE113" s="5">
        <v>0</v>
      </c>
      <c r="AF113" s="5">
        <v>0</v>
      </c>
      <c r="AG113" s="13" t="b">
        <v>0</v>
      </c>
      <c r="AH113" s="30" t="s">
        <v>1024</v>
      </c>
      <c r="AI113" s="33" t="s">
        <v>1826</v>
      </c>
    </row>
    <row r="114" spans="1:35">
      <c r="A114" s="52" t="s">
        <v>629</v>
      </c>
      <c r="B114" s="13" t="s">
        <v>305</v>
      </c>
      <c r="C114" s="27" t="s">
        <v>45</v>
      </c>
      <c r="D114" s="13" t="s">
        <v>59</v>
      </c>
      <c r="E114" s="27">
        <f>+[1]モンスター計算!E117</f>
        <v>445</v>
      </c>
      <c r="F114" s="5">
        <f>+[1]モンスター計算!F117</f>
        <v>38</v>
      </c>
      <c r="G114" s="5">
        <f>+[1]モンスター計算!G117</f>
        <v>102</v>
      </c>
      <c r="H114" s="5">
        <f>+[1]モンスター計算!H117</f>
        <v>32</v>
      </c>
      <c r="I114" s="5">
        <f>+[1]モンスター計算!I117</f>
        <v>34</v>
      </c>
      <c r="J114" s="13">
        <f>+[1]モンスター計算!J117</f>
        <v>37</v>
      </c>
      <c r="K114" s="27">
        <f>+[1]モンスター計算!K117</f>
        <v>6.5000000000000002E-2</v>
      </c>
      <c r="L114" s="13">
        <f>+[1]モンスター計算!L117</f>
        <v>1.46</v>
      </c>
      <c r="M114" s="27">
        <f>+[1]モンスター計算!M117</f>
        <v>3.88</v>
      </c>
      <c r="N114" s="5">
        <f>+[1]モンスター計算!N117</f>
        <v>1.29</v>
      </c>
      <c r="O114" s="13">
        <f>+[1]モンスター計算!O117</f>
        <v>1.5449999999999999</v>
      </c>
      <c r="P114" s="27">
        <f>+[1]モンスター計算!P117</f>
        <v>-0.14000000000000001</v>
      </c>
      <c r="Q114" s="5">
        <f>+[1]モンスター計算!Q117</f>
        <v>0.16</v>
      </c>
      <c r="R114" s="5">
        <f>+[1]モンスター計算!R117</f>
        <v>-0.04</v>
      </c>
      <c r="S114" s="5">
        <f>+[1]モンスター計算!S117</f>
        <v>-0.04</v>
      </c>
      <c r="T114" s="5">
        <f>+[1]モンスター計算!T117</f>
        <v>-0.04</v>
      </c>
      <c r="U114" s="5">
        <f>+[1]モンスター計算!U117</f>
        <v>-0.04</v>
      </c>
      <c r="V114" s="13">
        <f>+[1]モンスター計算!V117</f>
        <v>9.1999999999999993</v>
      </c>
      <c r="W114" s="30">
        <v>11</v>
      </c>
      <c r="X114" s="27" t="s">
        <v>70</v>
      </c>
      <c r="Y114" s="33" t="s">
        <v>91</v>
      </c>
      <c r="Z114" s="13">
        <v>1.25</v>
      </c>
      <c r="AA114" s="30">
        <v>20</v>
      </c>
      <c r="AB114" s="30">
        <f t="shared" si="2"/>
        <v>74</v>
      </c>
      <c r="AC114" s="47">
        <f t="shared" si="3"/>
        <v>19</v>
      </c>
      <c r="AD114" s="27" t="s">
        <v>74</v>
      </c>
      <c r="AE114" s="5">
        <v>0</v>
      </c>
      <c r="AF114" s="5">
        <v>0</v>
      </c>
      <c r="AG114" s="13" t="b">
        <v>0</v>
      </c>
      <c r="AH114" s="30" t="s">
        <v>1025</v>
      </c>
      <c r="AI114" s="33" t="s">
        <v>1826</v>
      </c>
    </row>
    <row r="115" spans="1:35" ht="19.5" thickBot="1">
      <c r="A115" s="53" t="s">
        <v>630</v>
      </c>
      <c r="B115" s="16" t="s">
        <v>306</v>
      </c>
      <c r="C115" s="28" t="s">
        <v>47</v>
      </c>
      <c r="D115" s="16" t="s">
        <v>61</v>
      </c>
      <c r="E115" s="28">
        <f>+[1]モンスター計算!E118</f>
        <v>667</v>
      </c>
      <c r="F115" s="15">
        <f>+[1]モンスター計算!F118</f>
        <v>81</v>
      </c>
      <c r="G115" s="15">
        <f>+[1]モンスター計算!G118</f>
        <v>36</v>
      </c>
      <c r="H115" s="15">
        <f>+[1]モンスター計算!H118</f>
        <v>79</v>
      </c>
      <c r="I115" s="15">
        <f>+[1]モンスター計算!I118</f>
        <v>58</v>
      </c>
      <c r="J115" s="16">
        <f>+[1]モンスター計算!J118</f>
        <v>38</v>
      </c>
      <c r="K115" s="28">
        <f>+[1]モンスター計算!K118</f>
        <v>0.08</v>
      </c>
      <c r="L115" s="16">
        <f>+[1]モンスター計算!L118</f>
        <v>1.6</v>
      </c>
      <c r="M115" s="28">
        <f>+[1]モンスター計算!M118</f>
        <v>2.8</v>
      </c>
      <c r="N115" s="15">
        <f>+[1]モンスター計算!N118</f>
        <v>1</v>
      </c>
      <c r="O115" s="16">
        <f>+[1]モンスター計算!O118</f>
        <v>2.5</v>
      </c>
      <c r="P115" s="28">
        <f>+[1]モンスター計算!P118</f>
        <v>1.4999999999999999E-2</v>
      </c>
      <c r="Q115" s="15">
        <f>+[1]モンスター計算!Q118</f>
        <v>1.4999999999999999E-2</v>
      </c>
      <c r="R115" s="15">
        <f>+[1]モンスター計算!R118</f>
        <v>1.4999999999999999E-2</v>
      </c>
      <c r="S115" s="15">
        <f>+[1]モンスター計算!S118</f>
        <v>1.4999999999999999E-2</v>
      </c>
      <c r="T115" s="15">
        <f>+[1]モンスター計算!T118</f>
        <v>0.21500000000000002</v>
      </c>
      <c r="U115" s="15">
        <f>+[1]モンスター計算!U118</f>
        <v>-8.5000000000000006E-2</v>
      </c>
      <c r="V115" s="16">
        <f>+[1]モンスター計算!V118</f>
        <v>4</v>
      </c>
      <c r="W115" s="31">
        <v>15</v>
      </c>
      <c r="X115" s="28" t="s">
        <v>72</v>
      </c>
      <c r="Y115" s="34" t="s">
        <v>92</v>
      </c>
      <c r="Z115" s="16">
        <v>1.3</v>
      </c>
      <c r="AA115" s="31">
        <v>40</v>
      </c>
      <c r="AB115" s="31">
        <f t="shared" si="2"/>
        <v>109</v>
      </c>
      <c r="AC115" s="48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1" t="s">
        <v>1026</v>
      </c>
      <c r="AI115" s="34" t="s">
        <v>1826</v>
      </c>
    </row>
    <row r="116" spans="1:35">
      <c r="A116" s="51" t="s">
        <v>631</v>
      </c>
      <c r="B116" s="11" t="s">
        <v>307</v>
      </c>
      <c r="C116" s="26" t="s">
        <v>45</v>
      </c>
      <c r="D116" s="11" t="s">
        <v>61</v>
      </c>
      <c r="E116" s="26">
        <f>+[1]モンスター計算!E119</f>
        <v>502</v>
      </c>
      <c r="F116" s="10">
        <f>+[1]モンスター計算!F119</f>
        <v>80</v>
      </c>
      <c r="G116" s="10">
        <f>+[1]モンスター計算!G119</f>
        <v>62</v>
      </c>
      <c r="H116" s="10">
        <f>+[1]モンスター計算!H119</f>
        <v>137</v>
      </c>
      <c r="I116" s="10">
        <f>+[1]モンスター計算!I119</f>
        <v>42</v>
      </c>
      <c r="J116" s="11">
        <f>+[1]モンスター計算!J119</f>
        <v>49</v>
      </c>
      <c r="K116" s="26">
        <f>+[1]モンスター計算!K119</f>
        <v>0.05</v>
      </c>
      <c r="L116" s="11">
        <f>+[1]モンスター計算!L119</f>
        <v>1.5</v>
      </c>
      <c r="M116" s="26">
        <f>+[1]モンスター計算!M119</f>
        <v>2</v>
      </c>
      <c r="N116" s="10">
        <f>+[1]モンスター計算!N119</f>
        <v>1</v>
      </c>
      <c r="O116" s="11">
        <f>+[1]モンスター計算!O119</f>
        <v>2.5</v>
      </c>
      <c r="P116" s="26">
        <f>+[1]モンスター計算!P119</f>
        <v>-0.12000000000000001</v>
      </c>
      <c r="Q116" s="10">
        <f>+[1]モンスター計算!Q119</f>
        <v>0.18000000000000002</v>
      </c>
      <c r="R116" s="10">
        <f>+[1]モンスター計算!R119</f>
        <v>-0.02</v>
      </c>
      <c r="S116" s="10">
        <f>+[1]モンスター計算!S119</f>
        <v>-0.02</v>
      </c>
      <c r="T116" s="10">
        <f>+[1]モンスター計算!T119</f>
        <v>-0.02</v>
      </c>
      <c r="U116" s="10">
        <f>+[1]モンスター計算!U119</f>
        <v>-0.02</v>
      </c>
      <c r="V116" s="11">
        <f>+[1]モンスター計算!V119</f>
        <v>4</v>
      </c>
      <c r="W116" s="29">
        <v>8</v>
      </c>
      <c r="X116" s="26" t="s">
        <v>109</v>
      </c>
      <c r="Y116" s="32" t="s">
        <v>87</v>
      </c>
      <c r="Z116" s="11">
        <v>1.2</v>
      </c>
      <c r="AA116" s="29">
        <v>5</v>
      </c>
      <c r="AB116" s="29">
        <f t="shared" si="2"/>
        <v>37</v>
      </c>
      <c r="AC116" s="46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29" t="s">
        <v>1027</v>
      </c>
      <c r="AI116" s="32" t="s">
        <v>1826</v>
      </c>
    </row>
    <row r="117" spans="1:35">
      <c r="A117" s="52" t="s">
        <v>632</v>
      </c>
      <c r="B117" s="13" t="s">
        <v>308</v>
      </c>
      <c r="C117" s="27" t="s">
        <v>44</v>
      </c>
      <c r="D117" s="13" t="s">
        <v>61</v>
      </c>
      <c r="E117" s="27">
        <f>+[1]モンスター計算!E120</f>
        <v>673</v>
      </c>
      <c r="F117" s="5">
        <f>+[1]モンスター計算!F120</f>
        <v>94</v>
      </c>
      <c r="G117" s="5">
        <f>+[1]モンスター計算!G120</f>
        <v>43</v>
      </c>
      <c r="H117" s="5">
        <f>+[1]モンスター計算!H120</f>
        <v>95</v>
      </c>
      <c r="I117" s="5">
        <f>+[1]モンスター計算!I120</f>
        <v>54</v>
      </c>
      <c r="J117" s="13">
        <f>+[1]モンスター計算!J120</f>
        <v>54</v>
      </c>
      <c r="K117" s="27">
        <f>+[1]モンスター計算!K120</f>
        <v>7.0000000000000007E-2</v>
      </c>
      <c r="L117" s="13">
        <f>+[1]モンスター計算!L120</f>
        <v>1.55</v>
      </c>
      <c r="M117" s="27">
        <f>+[1]モンスター計算!M120</f>
        <v>2.4</v>
      </c>
      <c r="N117" s="5">
        <f>+[1]モンスター計算!N120</f>
        <v>1</v>
      </c>
      <c r="O117" s="13">
        <f>+[1]モンスター計算!O120</f>
        <v>2.5</v>
      </c>
      <c r="P117" s="27">
        <f>+[1]モンスター計算!P120</f>
        <v>0.22</v>
      </c>
      <c r="Q117" s="5">
        <f>+[1]モンスター計算!Q120</f>
        <v>-0.08</v>
      </c>
      <c r="R117" s="5">
        <f>+[1]モンスター計算!R120</f>
        <v>0.02</v>
      </c>
      <c r="S117" s="5">
        <f>+[1]モンスター計算!S120</f>
        <v>0.02</v>
      </c>
      <c r="T117" s="5">
        <f>+[1]モンスター計算!T120</f>
        <v>0.02</v>
      </c>
      <c r="U117" s="5">
        <f>+[1]モンスター計算!U120</f>
        <v>0.02</v>
      </c>
      <c r="V117" s="13">
        <f>+[1]モンスター計算!V120</f>
        <v>4</v>
      </c>
      <c r="W117" s="30">
        <v>8</v>
      </c>
      <c r="X117" s="27" t="s">
        <v>64</v>
      </c>
      <c r="Y117" s="33" t="s">
        <v>88</v>
      </c>
      <c r="Z117" s="13">
        <v>1.2</v>
      </c>
      <c r="AA117" s="30">
        <v>7</v>
      </c>
      <c r="AB117" s="30">
        <f t="shared" si="2"/>
        <v>41</v>
      </c>
      <c r="AC117" s="47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0" t="s">
        <v>1028</v>
      </c>
      <c r="AI117" s="33" t="s">
        <v>1826</v>
      </c>
    </row>
    <row r="118" spans="1:35">
      <c r="A118" s="52" t="s">
        <v>633</v>
      </c>
      <c r="B118" s="13" t="s">
        <v>309</v>
      </c>
      <c r="C118" s="27" t="s">
        <v>46</v>
      </c>
      <c r="D118" s="13" t="s">
        <v>61</v>
      </c>
      <c r="E118" s="27">
        <f>+[1]モンスター計算!E121</f>
        <v>783</v>
      </c>
      <c r="F118" s="5">
        <f>+[1]モンスター計算!F121</f>
        <v>85</v>
      </c>
      <c r="G118" s="5">
        <f>+[1]モンスター計算!G121</f>
        <v>22</v>
      </c>
      <c r="H118" s="5">
        <f>+[1]モンスター計算!H121</f>
        <v>58</v>
      </c>
      <c r="I118" s="5">
        <f>+[1]モンスター計算!I121</f>
        <v>60</v>
      </c>
      <c r="J118" s="13">
        <f>+[1]モンスター計算!J121</f>
        <v>55</v>
      </c>
      <c r="K118" s="27">
        <f>+[1]モンスター計算!K121</f>
        <v>7.0000000000000007E-2</v>
      </c>
      <c r="L118" s="13">
        <f>+[1]モンスター計算!L121</f>
        <v>1.5</v>
      </c>
      <c r="M118" s="27">
        <f>+[1]モンスター計算!M121</f>
        <v>2.8</v>
      </c>
      <c r="N118" s="5">
        <f>+[1]モンスター計算!N121</f>
        <v>1.45</v>
      </c>
      <c r="O118" s="13">
        <f>+[1]モンスター計算!O121</f>
        <v>1.55</v>
      </c>
      <c r="P118" s="27">
        <f>+[1]モンスター計算!P121</f>
        <v>0.03</v>
      </c>
      <c r="Q118" s="5">
        <f>+[1]モンスター計算!Q121</f>
        <v>0.03</v>
      </c>
      <c r="R118" s="5">
        <f>+[1]モンスター計算!R121</f>
        <v>0.23</v>
      </c>
      <c r="S118" s="5">
        <f>+[1]モンスター計算!S121</f>
        <v>-7.0000000000000007E-2</v>
      </c>
      <c r="T118" s="5">
        <f>+[1]モンスター計算!T121</f>
        <v>0.03</v>
      </c>
      <c r="U118" s="5">
        <f>+[1]モンスター計算!U121</f>
        <v>0.03</v>
      </c>
      <c r="V118" s="13">
        <f>+[1]モンスター計算!V121</f>
        <v>3.6</v>
      </c>
      <c r="W118" s="30">
        <v>9</v>
      </c>
      <c r="X118" s="27" t="s">
        <v>66</v>
      </c>
      <c r="Y118" s="33" t="s">
        <v>89</v>
      </c>
      <c r="Z118" s="13">
        <v>1.22</v>
      </c>
      <c r="AA118" s="30">
        <v>10</v>
      </c>
      <c r="AB118" s="30">
        <f t="shared" si="2"/>
        <v>50</v>
      </c>
      <c r="AC118" s="47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0" t="s">
        <v>1029</v>
      </c>
      <c r="AI118" s="33" t="s">
        <v>1826</v>
      </c>
    </row>
    <row r="119" spans="1:35">
      <c r="A119" s="52" t="s">
        <v>634</v>
      </c>
      <c r="B119" s="13" t="s">
        <v>310</v>
      </c>
      <c r="C119" s="27" t="s">
        <v>44</v>
      </c>
      <c r="D119" s="13" t="s">
        <v>59</v>
      </c>
      <c r="E119" s="27">
        <f>+[1]モンスター計算!E122</f>
        <v>734</v>
      </c>
      <c r="F119" s="5">
        <f>+[1]モンスター計算!F122</f>
        <v>44</v>
      </c>
      <c r="G119" s="5">
        <f>+[1]モンスター計算!G122</f>
        <v>81</v>
      </c>
      <c r="H119" s="5">
        <f>+[1]モンスター計算!H122</f>
        <v>30</v>
      </c>
      <c r="I119" s="5">
        <f>+[1]モンスター計算!I122</f>
        <v>37</v>
      </c>
      <c r="J119" s="13">
        <f>+[1]モンスター計算!J122</f>
        <v>103</v>
      </c>
      <c r="K119" s="27">
        <f>+[1]モンスター計算!K122</f>
        <v>0.05</v>
      </c>
      <c r="L119" s="13">
        <f>+[1]モンスター計算!L122</f>
        <v>1.47</v>
      </c>
      <c r="M119" s="27">
        <f>+[1]モンスター計算!M122</f>
        <v>2.4500000000000002</v>
      </c>
      <c r="N119" s="5">
        <f>+[1]モンスター計算!N122</f>
        <v>1</v>
      </c>
      <c r="O119" s="13">
        <f>+[1]モンスター計算!O122</f>
        <v>1.395</v>
      </c>
      <c r="P119" s="27">
        <f>+[1]モンスター計算!P122</f>
        <v>0.26500000000000001</v>
      </c>
      <c r="Q119" s="5">
        <f>+[1]モンスター計算!Q122</f>
        <v>-3.5000000000000003E-2</v>
      </c>
      <c r="R119" s="5">
        <f>+[1]モンスター計算!R122</f>
        <v>6.5000000000000002E-2</v>
      </c>
      <c r="S119" s="5">
        <f>+[1]モンスター計算!S122</f>
        <v>6.5000000000000002E-2</v>
      </c>
      <c r="T119" s="5">
        <f>+[1]モンスター計算!T122</f>
        <v>6.5000000000000002E-2</v>
      </c>
      <c r="U119" s="5">
        <f>+[1]モンスター計算!U122</f>
        <v>6.5000000000000002E-2</v>
      </c>
      <c r="V119" s="13">
        <f>+[1]モンスター計算!V122</f>
        <v>4.2</v>
      </c>
      <c r="W119" s="30">
        <v>10</v>
      </c>
      <c r="X119" s="27" t="s">
        <v>68</v>
      </c>
      <c r="Y119" s="33" t="s">
        <v>90</v>
      </c>
      <c r="Z119" s="13">
        <v>1.25</v>
      </c>
      <c r="AA119" s="30">
        <v>15</v>
      </c>
      <c r="AB119" s="30">
        <f t="shared" si="2"/>
        <v>66</v>
      </c>
      <c r="AC119" s="47">
        <f t="shared" si="3"/>
        <v>20</v>
      </c>
      <c r="AD119" s="27" t="s">
        <v>74</v>
      </c>
      <c r="AE119" s="5">
        <v>0</v>
      </c>
      <c r="AF119" s="5">
        <v>0</v>
      </c>
      <c r="AG119" s="13" t="b">
        <v>0</v>
      </c>
      <c r="AH119" s="30" t="s">
        <v>1030</v>
      </c>
      <c r="AI119" s="33" t="s">
        <v>1826</v>
      </c>
    </row>
    <row r="120" spans="1:35">
      <c r="A120" s="52" t="s">
        <v>635</v>
      </c>
      <c r="B120" s="13" t="s">
        <v>311</v>
      </c>
      <c r="C120" s="27" t="s">
        <v>45</v>
      </c>
      <c r="D120" s="13" t="s">
        <v>59</v>
      </c>
      <c r="E120" s="27">
        <f>+[1]モンスター計算!E123</f>
        <v>550</v>
      </c>
      <c r="F120" s="5">
        <f>+[1]モンスター計算!F123</f>
        <v>32</v>
      </c>
      <c r="G120" s="5">
        <f>+[1]モンスター計算!G123</f>
        <v>102</v>
      </c>
      <c r="H120" s="5">
        <f>+[1]モンスター計算!H123</f>
        <v>46</v>
      </c>
      <c r="I120" s="5">
        <f>+[1]モンスター計算!I123</f>
        <v>44</v>
      </c>
      <c r="J120" s="13">
        <f>+[1]モンスター計算!J123</f>
        <v>44</v>
      </c>
      <c r="K120" s="27">
        <f>+[1]モンスター計算!K123</f>
        <v>0.11</v>
      </c>
      <c r="L120" s="13">
        <f>+[1]モンスター計算!L123</f>
        <v>1.75</v>
      </c>
      <c r="M120" s="27">
        <f>+[1]モンスター計算!M123</f>
        <v>3</v>
      </c>
      <c r="N120" s="5">
        <f>+[1]モンスター計算!N123</f>
        <v>1.18</v>
      </c>
      <c r="O120" s="13">
        <f>+[1]モンスター計算!O123</f>
        <v>1.35</v>
      </c>
      <c r="P120" s="27">
        <f>+[1]モンスター計算!P123</f>
        <v>-0.13</v>
      </c>
      <c r="Q120" s="5">
        <f>+[1]モンスター計算!Q123</f>
        <v>0.17</v>
      </c>
      <c r="R120" s="5">
        <f>+[1]モンスター計算!R123</f>
        <v>-0.03</v>
      </c>
      <c r="S120" s="5">
        <f>+[1]モンスター計算!S123</f>
        <v>-0.03</v>
      </c>
      <c r="T120" s="5">
        <f>+[1]モンスター計算!T123</f>
        <v>-0.03</v>
      </c>
      <c r="U120" s="5">
        <f>+[1]モンスター計算!U123</f>
        <v>-0.03</v>
      </c>
      <c r="V120" s="13">
        <f>+[1]モンスター計算!V123</f>
        <v>4.2</v>
      </c>
      <c r="W120" s="30">
        <v>11</v>
      </c>
      <c r="X120" s="27" t="s">
        <v>70</v>
      </c>
      <c r="Y120" s="33" t="s">
        <v>91</v>
      </c>
      <c r="Z120" s="13">
        <v>1.25</v>
      </c>
      <c r="AA120" s="30">
        <v>20</v>
      </c>
      <c r="AB120" s="30">
        <f t="shared" si="2"/>
        <v>78</v>
      </c>
      <c r="AC120" s="47">
        <f t="shared" si="3"/>
        <v>20</v>
      </c>
      <c r="AD120" s="27" t="s">
        <v>74</v>
      </c>
      <c r="AE120" s="5">
        <v>0</v>
      </c>
      <c r="AF120" s="5">
        <v>0</v>
      </c>
      <c r="AG120" s="13" t="b">
        <v>0</v>
      </c>
      <c r="AH120" s="30" t="s">
        <v>1031</v>
      </c>
      <c r="AI120" s="33" t="s">
        <v>1826</v>
      </c>
    </row>
    <row r="121" spans="1:35" ht="19.5" thickBot="1">
      <c r="A121" s="53" t="s">
        <v>636</v>
      </c>
      <c r="B121" s="16" t="s">
        <v>312</v>
      </c>
      <c r="C121" s="28" t="s">
        <v>47</v>
      </c>
      <c r="D121" s="16" t="s">
        <v>61</v>
      </c>
      <c r="E121" s="28">
        <f>+[1]モンスター計算!E124</f>
        <v>557</v>
      </c>
      <c r="F121" s="15">
        <f>+[1]モンスター計算!F124</f>
        <v>143</v>
      </c>
      <c r="G121" s="15">
        <f>+[1]モンスター計算!G124</f>
        <v>60</v>
      </c>
      <c r="H121" s="15">
        <f>+[1]モンスター計算!H124</f>
        <v>179</v>
      </c>
      <c r="I121" s="15">
        <f>+[1]モンスター計算!I124</f>
        <v>43</v>
      </c>
      <c r="J121" s="16">
        <f>+[1]モンスター計算!J124</f>
        <v>46</v>
      </c>
      <c r="K121" s="28">
        <f>+[1]モンスター計算!K124</f>
        <v>0.04</v>
      </c>
      <c r="L121" s="16">
        <f>+[1]モンスター計算!L124</f>
        <v>2.2000000000000002</v>
      </c>
      <c r="M121" s="28">
        <f>+[1]モンスター計算!M124</f>
        <v>1.65</v>
      </c>
      <c r="N121" s="15">
        <f>+[1]モンスター計算!N124</f>
        <v>0.64</v>
      </c>
      <c r="O121" s="16">
        <f>+[1]モンスター計算!O124</f>
        <v>3.7</v>
      </c>
      <c r="P121" s="28">
        <f>+[1]モンスター計算!P124</f>
        <v>-2.5000000000000001E-2</v>
      </c>
      <c r="Q121" s="15">
        <f>+[1]モンスター計算!Q124</f>
        <v>-2.5000000000000001E-2</v>
      </c>
      <c r="R121" s="15">
        <f>+[1]モンスター計算!R124</f>
        <v>-2.5000000000000001E-2</v>
      </c>
      <c r="S121" s="15">
        <f>+[1]モンスター計算!S124</f>
        <v>-2.5000000000000001E-2</v>
      </c>
      <c r="T121" s="15">
        <f>+[1]モンスター計算!T124</f>
        <v>0.17500000000000002</v>
      </c>
      <c r="U121" s="15">
        <f>+[1]モンスター計算!U124</f>
        <v>-0.125</v>
      </c>
      <c r="V121" s="16">
        <f>+[1]モンスター計算!V124</f>
        <v>5</v>
      </c>
      <c r="W121" s="31">
        <v>15</v>
      </c>
      <c r="X121" s="28" t="s">
        <v>72</v>
      </c>
      <c r="Y121" s="34" t="s">
        <v>92</v>
      </c>
      <c r="Z121" s="16">
        <v>1.3</v>
      </c>
      <c r="AA121" s="31">
        <v>40</v>
      </c>
      <c r="AB121" s="31">
        <f t="shared" si="2"/>
        <v>115</v>
      </c>
      <c r="AC121" s="48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1" t="s">
        <v>1032</v>
      </c>
      <c r="AI121" s="34" t="s">
        <v>1826</v>
      </c>
    </row>
    <row r="122" spans="1:35">
      <c r="A122" s="51" t="s">
        <v>637</v>
      </c>
      <c r="B122" s="11" t="s">
        <v>313</v>
      </c>
      <c r="C122" s="26" t="s">
        <v>45</v>
      </c>
      <c r="D122" s="11" t="s">
        <v>61</v>
      </c>
      <c r="E122" s="26">
        <f>+[1]モンスター計算!E125</f>
        <v>673</v>
      </c>
      <c r="F122" s="10">
        <f>+[1]モンスター計算!F125</f>
        <v>142</v>
      </c>
      <c r="G122" s="10">
        <f>+[1]モンスター計算!G125</f>
        <v>54</v>
      </c>
      <c r="H122" s="10">
        <f>+[1]モンスター計算!H125</f>
        <v>120</v>
      </c>
      <c r="I122" s="10">
        <f>+[1]モンスター計算!I125</f>
        <v>54</v>
      </c>
      <c r="J122" s="11">
        <f>+[1]モンスター計算!J125</f>
        <v>65</v>
      </c>
      <c r="K122" s="26">
        <f>+[1]モンスター計算!K125</f>
        <v>0.06</v>
      </c>
      <c r="L122" s="11">
        <f>+[1]モンスター計算!L125</f>
        <v>1.4</v>
      </c>
      <c r="M122" s="26">
        <f>+[1]モンスター計算!M125</f>
        <v>2.1</v>
      </c>
      <c r="N122" s="10">
        <f>+[1]モンスター計算!N125</f>
        <v>0.95</v>
      </c>
      <c r="O122" s="11">
        <f>+[1]モンスター計算!O125</f>
        <v>2.875</v>
      </c>
      <c r="P122" s="26">
        <f>+[1]モンスター計算!P125</f>
        <v>-7.0000000000000007E-2</v>
      </c>
      <c r="Q122" s="10">
        <f>+[1]モンスター計算!Q125</f>
        <v>0.23</v>
      </c>
      <c r="R122" s="10">
        <f>+[1]モンスター計算!R125</f>
        <v>0.03</v>
      </c>
      <c r="S122" s="10">
        <f>+[1]モンスター計算!S125</f>
        <v>0.03</v>
      </c>
      <c r="T122" s="10">
        <f>+[1]モンスター計算!T125</f>
        <v>0.03</v>
      </c>
      <c r="U122" s="10">
        <f>+[1]モンスター計算!U125</f>
        <v>0.03</v>
      </c>
      <c r="V122" s="11">
        <f>+[1]モンスター計算!V125</f>
        <v>4.8</v>
      </c>
      <c r="W122" s="29">
        <v>8</v>
      </c>
      <c r="X122" s="26" t="s">
        <v>109</v>
      </c>
      <c r="Y122" s="32" t="s">
        <v>87</v>
      </c>
      <c r="Z122" s="11">
        <v>1.2</v>
      </c>
      <c r="AA122" s="29">
        <v>5</v>
      </c>
      <c r="AB122" s="29">
        <f t="shared" si="2"/>
        <v>39</v>
      </c>
      <c r="AC122" s="46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29" t="s">
        <v>1033</v>
      </c>
      <c r="AI122" s="32" t="s">
        <v>1826</v>
      </c>
    </row>
    <row r="123" spans="1:35">
      <c r="A123" s="52" t="s">
        <v>638</v>
      </c>
      <c r="B123" s="13" t="s">
        <v>314</v>
      </c>
      <c r="C123" s="27" t="s">
        <v>44</v>
      </c>
      <c r="D123" s="13" t="s">
        <v>61</v>
      </c>
      <c r="E123" s="27">
        <f>+[1]モンスター計算!E126</f>
        <v>646</v>
      </c>
      <c r="F123" s="5">
        <f>+[1]モンスター計算!F126</f>
        <v>108</v>
      </c>
      <c r="G123" s="5">
        <f>+[1]モンスター計算!G126</f>
        <v>36</v>
      </c>
      <c r="H123" s="5">
        <f>+[1]モンスター計算!H126</f>
        <v>128</v>
      </c>
      <c r="I123" s="5">
        <f>+[1]モンスター計算!I126</f>
        <v>44</v>
      </c>
      <c r="J123" s="13">
        <f>+[1]モンスター計算!J126</f>
        <v>49</v>
      </c>
      <c r="K123" s="27">
        <f>+[1]モンスター計算!K126</f>
        <v>0.06</v>
      </c>
      <c r="L123" s="13">
        <f>+[1]モンスター計算!L126</f>
        <v>1.6</v>
      </c>
      <c r="M123" s="27">
        <f>+[1]モンスター計算!M126</f>
        <v>2.25</v>
      </c>
      <c r="N123" s="5">
        <f>+[1]モンスター計算!N126</f>
        <v>0.91</v>
      </c>
      <c r="O123" s="13">
        <f>+[1]モンスター計算!O126</f>
        <v>4.75</v>
      </c>
      <c r="P123" s="27">
        <f>+[1]モンスター計算!P126</f>
        <v>0.18000000000000002</v>
      </c>
      <c r="Q123" s="5">
        <f>+[1]モンスター計算!Q126</f>
        <v>-0.12000000000000001</v>
      </c>
      <c r="R123" s="5">
        <f>+[1]モンスター計算!R126</f>
        <v>-0.02</v>
      </c>
      <c r="S123" s="5">
        <f>+[1]モンスター計算!S126</f>
        <v>-0.02</v>
      </c>
      <c r="T123" s="5">
        <f>+[1]モンスター計算!T126</f>
        <v>-0.02</v>
      </c>
      <c r="U123" s="5">
        <f>+[1]モンスター計算!U126</f>
        <v>-0.02</v>
      </c>
      <c r="V123" s="13">
        <f>+[1]モンスター計算!V126</f>
        <v>6.6</v>
      </c>
      <c r="W123" s="30">
        <v>8</v>
      </c>
      <c r="X123" s="27" t="s">
        <v>64</v>
      </c>
      <c r="Y123" s="33" t="s">
        <v>88</v>
      </c>
      <c r="Z123" s="13">
        <v>1.2</v>
      </c>
      <c r="AA123" s="30">
        <v>7</v>
      </c>
      <c r="AB123" s="30">
        <f t="shared" si="2"/>
        <v>44</v>
      </c>
      <c r="AC123" s="47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0" t="s">
        <v>1034</v>
      </c>
      <c r="AI123" s="33" t="s">
        <v>1826</v>
      </c>
    </row>
    <row r="124" spans="1:35">
      <c r="A124" s="52" t="s">
        <v>639</v>
      </c>
      <c r="B124" s="13" t="s">
        <v>315</v>
      </c>
      <c r="C124" s="27" t="s">
        <v>46</v>
      </c>
      <c r="D124" s="13" t="s">
        <v>61</v>
      </c>
      <c r="E124" s="27">
        <f>+[1]モンスター計算!E127</f>
        <v>693</v>
      </c>
      <c r="F124" s="5">
        <f>+[1]モンスター計算!F127</f>
        <v>260</v>
      </c>
      <c r="G124" s="5">
        <f>+[1]モンスター計算!G127</f>
        <v>39</v>
      </c>
      <c r="H124" s="5">
        <f>+[1]モンスター計算!H127</f>
        <v>124</v>
      </c>
      <c r="I124" s="5">
        <f>+[1]モンスター計算!I127</f>
        <v>52</v>
      </c>
      <c r="J124" s="13">
        <f>+[1]モンスター計算!J127</f>
        <v>64</v>
      </c>
      <c r="K124" s="27">
        <f>+[1]モンスター計算!K127</f>
        <v>6.5000000000000002E-2</v>
      </c>
      <c r="L124" s="13">
        <f>+[1]モンスター計算!L127</f>
        <v>1.45</v>
      </c>
      <c r="M124" s="27">
        <f>+[1]モンスター計算!M127</f>
        <v>2.1</v>
      </c>
      <c r="N124" s="5">
        <f>+[1]モンスター計算!N127</f>
        <v>0.9</v>
      </c>
      <c r="O124" s="13">
        <f>+[1]モンスター計算!O127</f>
        <v>2.8</v>
      </c>
      <c r="P124" s="27">
        <f>+[1]モンスター計算!P127</f>
        <v>0.02</v>
      </c>
      <c r="Q124" s="5">
        <f>+[1]モンスター計算!Q127</f>
        <v>0.02</v>
      </c>
      <c r="R124" s="5">
        <f>+[1]モンスター計算!R127</f>
        <v>0.22</v>
      </c>
      <c r="S124" s="5">
        <f>+[1]モンスター計算!S127</f>
        <v>-0.08</v>
      </c>
      <c r="T124" s="5">
        <f>+[1]モンスター計算!T127</f>
        <v>0.02</v>
      </c>
      <c r="U124" s="5">
        <f>+[1]モンスター計算!U127</f>
        <v>0.02</v>
      </c>
      <c r="V124" s="13">
        <f>+[1]モンスター計算!V127</f>
        <v>4.2</v>
      </c>
      <c r="W124" s="30">
        <v>9</v>
      </c>
      <c r="X124" s="27" t="s">
        <v>66</v>
      </c>
      <c r="Y124" s="33" t="s">
        <v>89</v>
      </c>
      <c r="Z124" s="13">
        <v>1.22</v>
      </c>
      <c r="AA124" s="30">
        <v>10</v>
      </c>
      <c r="AB124" s="30">
        <f t="shared" si="2"/>
        <v>53</v>
      </c>
      <c r="AC124" s="47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0" t="s">
        <v>1035</v>
      </c>
      <c r="AI124" s="33" t="s">
        <v>1826</v>
      </c>
    </row>
    <row r="125" spans="1:35">
      <c r="A125" s="52" t="s">
        <v>640</v>
      </c>
      <c r="B125" s="13" t="s">
        <v>316</v>
      </c>
      <c r="C125" s="27" t="s">
        <v>44</v>
      </c>
      <c r="D125" s="13" t="s">
        <v>59</v>
      </c>
      <c r="E125" s="27">
        <f>+[1]モンスター計算!E128</f>
        <v>619</v>
      </c>
      <c r="F125" s="5">
        <f>+[1]モンスター計算!F128</f>
        <v>44</v>
      </c>
      <c r="G125" s="5">
        <f>+[1]モンスター計算!G128</f>
        <v>127</v>
      </c>
      <c r="H125" s="5">
        <f>+[1]モンスター計算!H128</f>
        <v>57</v>
      </c>
      <c r="I125" s="5">
        <f>+[1]モンスター計算!I128</f>
        <v>51</v>
      </c>
      <c r="J125" s="13">
        <f>+[1]モンスター計算!J128</f>
        <v>57</v>
      </c>
      <c r="K125" s="27">
        <f>+[1]モンスター計算!K128</f>
        <v>0.05</v>
      </c>
      <c r="L125" s="13">
        <f>+[1]モンスター計算!L128</f>
        <v>1.5</v>
      </c>
      <c r="M125" s="27">
        <f>+[1]モンスター計算!M128</f>
        <v>2</v>
      </c>
      <c r="N125" s="5">
        <f>+[1]モンスター計算!N128</f>
        <v>1.05</v>
      </c>
      <c r="O125" s="13">
        <f>+[1]モンスター計算!O128</f>
        <v>1.2</v>
      </c>
      <c r="P125" s="27">
        <f>+[1]モンスター計算!P128</f>
        <v>0.21000000000000002</v>
      </c>
      <c r="Q125" s="5">
        <f>+[1]モンスター計算!Q128</f>
        <v>-9.0000000000000011E-2</v>
      </c>
      <c r="R125" s="5">
        <f>+[1]モンスター計算!R128</f>
        <v>0.01</v>
      </c>
      <c r="S125" s="5">
        <f>+[1]モンスター計算!S128</f>
        <v>0.01</v>
      </c>
      <c r="T125" s="5">
        <f>+[1]モンスター計算!T128</f>
        <v>0.01</v>
      </c>
      <c r="U125" s="5">
        <f>+[1]モンスター計算!U128</f>
        <v>0.01</v>
      </c>
      <c r="V125" s="13">
        <f>+[1]モンスター計算!V128</f>
        <v>4</v>
      </c>
      <c r="W125" s="30">
        <v>10</v>
      </c>
      <c r="X125" s="27" t="s">
        <v>68</v>
      </c>
      <c r="Y125" s="33" t="s">
        <v>90</v>
      </c>
      <c r="Z125" s="13">
        <v>1.25</v>
      </c>
      <c r="AA125" s="30">
        <v>15</v>
      </c>
      <c r="AB125" s="30">
        <f t="shared" si="2"/>
        <v>70</v>
      </c>
      <c r="AC125" s="47">
        <f t="shared" si="3"/>
        <v>21</v>
      </c>
      <c r="AD125" s="27" t="s">
        <v>74</v>
      </c>
      <c r="AE125" s="5">
        <v>0</v>
      </c>
      <c r="AF125" s="5">
        <v>0</v>
      </c>
      <c r="AG125" s="13" t="b">
        <v>0</v>
      </c>
      <c r="AH125" s="30" t="s">
        <v>1036</v>
      </c>
      <c r="AI125" s="33" t="s">
        <v>1826</v>
      </c>
    </row>
    <row r="126" spans="1:35">
      <c r="A126" s="52" t="s">
        <v>641</v>
      </c>
      <c r="B126" s="13" t="s">
        <v>317</v>
      </c>
      <c r="C126" s="27" t="s">
        <v>45</v>
      </c>
      <c r="D126" s="13" t="s">
        <v>59</v>
      </c>
      <c r="E126" s="27">
        <f>+[1]モンスター計算!E129</f>
        <v>545</v>
      </c>
      <c r="F126" s="5">
        <f>+[1]モンスター計算!F129</f>
        <v>34</v>
      </c>
      <c r="G126" s="5">
        <f>+[1]モンスター計算!G129</f>
        <v>93</v>
      </c>
      <c r="H126" s="5">
        <f>+[1]モンスター計算!H129</f>
        <v>29</v>
      </c>
      <c r="I126" s="5">
        <f>+[1]モンスター計算!I129</f>
        <v>40</v>
      </c>
      <c r="J126" s="13">
        <f>+[1]モンスター計算!J129</f>
        <v>43</v>
      </c>
      <c r="K126" s="27">
        <f>+[1]モンスター計算!K129</f>
        <v>7.0000000000000007E-2</v>
      </c>
      <c r="L126" s="13">
        <f>+[1]モンスター計算!L129</f>
        <v>1.45</v>
      </c>
      <c r="M126" s="27">
        <f>+[1]モンスター計算!M129</f>
        <v>3.35</v>
      </c>
      <c r="N126" s="5">
        <f>+[1]モンスター計算!N129</f>
        <v>1.77</v>
      </c>
      <c r="O126" s="13">
        <f>+[1]モンスター計算!O129</f>
        <v>1.1399999999999999</v>
      </c>
      <c r="P126" s="27">
        <f>+[1]モンスター計算!P129</f>
        <v>-0.16500000000000001</v>
      </c>
      <c r="Q126" s="5">
        <f>+[1]モンスター計算!Q129</f>
        <v>0.13500000000000001</v>
      </c>
      <c r="R126" s="5">
        <f>+[1]モンスター計算!R129</f>
        <v>-6.5000000000000002E-2</v>
      </c>
      <c r="S126" s="5">
        <f>+[1]モンスター計算!S129</f>
        <v>-6.5000000000000002E-2</v>
      </c>
      <c r="T126" s="5">
        <f>+[1]モンスター計算!T129</f>
        <v>-6.5000000000000002E-2</v>
      </c>
      <c r="U126" s="5">
        <f>+[1]モンスター計算!U129</f>
        <v>-6.5000000000000002E-2</v>
      </c>
      <c r="V126" s="13">
        <f>+[1]モンスター計算!V129</f>
        <v>5</v>
      </c>
      <c r="W126" s="30">
        <v>11</v>
      </c>
      <c r="X126" s="27" t="s">
        <v>70</v>
      </c>
      <c r="Y126" s="33" t="s">
        <v>91</v>
      </c>
      <c r="Z126" s="13">
        <v>1.25</v>
      </c>
      <c r="AA126" s="30">
        <v>20</v>
      </c>
      <c r="AB126" s="30">
        <f t="shared" si="2"/>
        <v>82</v>
      </c>
      <c r="AC126" s="47">
        <f t="shared" si="3"/>
        <v>21</v>
      </c>
      <c r="AD126" s="27" t="s">
        <v>74</v>
      </c>
      <c r="AE126" s="5">
        <v>0</v>
      </c>
      <c r="AF126" s="5">
        <v>0</v>
      </c>
      <c r="AG126" s="13" t="b">
        <v>0</v>
      </c>
      <c r="AH126" s="30" t="s">
        <v>1037</v>
      </c>
      <c r="AI126" s="33" t="s">
        <v>1826</v>
      </c>
    </row>
    <row r="127" spans="1:35" ht="19.5" thickBot="1">
      <c r="A127" s="53" t="s">
        <v>642</v>
      </c>
      <c r="B127" s="16" t="s">
        <v>318</v>
      </c>
      <c r="C127" s="28" t="s">
        <v>47</v>
      </c>
      <c r="D127" s="16" t="s">
        <v>61</v>
      </c>
      <c r="E127" s="28">
        <f>+[1]モンスター計算!E130</f>
        <v>552</v>
      </c>
      <c r="F127" s="15">
        <f>+[1]モンスター計算!F130</f>
        <v>132</v>
      </c>
      <c r="G127" s="15">
        <f>+[1]モンスター計算!G130</f>
        <v>51</v>
      </c>
      <c r="H127" s="15">
        <f>+[1]モンスター計算!H130</f>
        <v>188</v>
      </c>
      <c r="I127" s="15">
        <f>+[1]モンスター計算!I130</f>
        <v>44</v>
      </c>
      <c r="J127" s="16">
        <f>+[1]モンスター計算!J130</f>
        <v>47</v>
      </c>
      <c r="K127" s="28">
        <f>+[1]モンスター計算!K130</f>
        <v>0.12</v>
      </c>
      <c r="L127" s="16">
        <f>+[1]モンスター計算!L130</f>
        <v>2.5499999999999998</v>
      </c>
      <c r="M127" s="28">
        <f>+[1]モンスター計算!M130</f>
        <v>2.2999999999999998</v>
      </c>
      <c r="N127" s="15">
        <f>+[1]モンスター計算!N130</f>
        <v>0.68</v>
      </c>
      <c r="O127" s="16">
        <f>+[1]モンスター計算!O130</f>
        <v>3.55</v>
      </c>
      <c r="P127" s="28">
        <f>+[1]モンスター計算!P130</f>
        <v>-5.5E-2</v>
      </c>
      <c r="Q127" s="15">
        <f>+[1]モンスター計算!Q130</f>
        <v>-5.5E-2</v>
      </c>
      <c r="R127" s="15">
        <f>+[1]モンスター計算!R130</f>
        <v>-5.5E-2</v>
      </c>
      <c r="S127" s="15">
        <f>+[1]モンスター計算!S130</f>
        <v>-5.5E-2</v>
      </c>
      <c r="T127" s="15">
        <f>+[1]モンスター計算!T130</f>
        <v>0.14500000000000002</v>
      </c>
      <c r="U127" s="15">
        <f>+[1]モンスター計算!U130</f>
        <v>-0.155</v>
      </c>
      <c r="V127" s="16">
        <f>+[1]モンスター計算!V130</f>
        <v>4.8</v>
      </c>
      <c r="W127" s="31">
        <v>15</v>
      </c>
      <c r="X127" s="28" t="s">
        <v>72</v>
      </c>
      <c r="Y127" s="34" t="s">
        <v>92</v>
      </c>
      <c r="Z127" s="16">
        <v>1.3</v>
      </c>
      <c r="AA127" s="31">
        <v>40</v>
      </c>
      <c r="AB127" s="31">
        <f t="shared" si="2"/>
        <v>121</v>
      </c>
      <c r="AC127" s="48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1" t="s">
        <v>1038</v>
      </c>
      <c r="AI127" s="34" t="s">
        <v>1826</v>
      </c>
    </row>
    <row r="128" spans="1:35">
      <c r="A128" s="51" t="s">
        <v>643</v>
      </c>
      <c r="B128" s="11" t="s">
        <v>319</v>
      </c>
      <c r="C128" s="26" t="s">
        <v>45</v>
      </c>
      <c r="D128" s="11" t="s">
        <v>61</v>
      </c>
      <c r="E128" s="26">
        <f>+[1]モンスター計算!E131</f>
        <v>1273</v>
      </c>
      <c r="F128" s="10">
        <f>+[1]モンスター計算!F131</f>
        <v>146</v>
      </c>
      <c r="G128" s="10">
        <f>+[1]モンスター計算!G131</f>
        <v>31</v>
      </c>
      <c r="H128" s="10">
        <f>+[1]モンスター計算!H131</f>
        <v>105</v>
      </c>
      <c r="I128" s="10">
        <f>+[1]モンスター計算!I131</f>
        <v>97</v>
      </c>
      <c r="J128" s="11">
        <f>+[1]モンスター計算!J131</f>
        <v>92</v>
      </c>
      <c r="K128" s="26">
        <f>+[1]モンスター計算!K131</f>
        <v>3.5000000000000003E-2</v>
      </c>
      <c r="L128" s="11">
        <f>+[1]モンスター計算!L131</f>
        <v>1.4</v>
      </c>
      <c r="M128" s="26">
        <f>+[1]モンスター計算!M131</f>
        <v>1.5</v>
      </c>
      <c r="N128" s="10">
        <f>+[1]モンスター計算!N131</f>
        <v>0.6</v>
      </c>
      <c r="O128" s="11">
        <f>+[1]モンスター計算!O131</f>
        <v>3.1</v>
      </c>
      <c r="P128" s="26">
        <f>+[1]モンスター計算!P131</f>
        <v>1.999999999999999E-2</v>
      </c>
      <c r="Q128" s="10">
        <f>+[1]モンスター計算!Q131</f>
        <v>0.32</v>
      </c>
      <c r="R128" s="10">
        <f>+[1]モンスター計算!R131</f>
        <v>0.12</v>
      </c>
      <c r="S128" s="10">
        <f>+[1]モンスター計算!S131</f>
        <v>0.12</v>
      </c>
      <c r="T128" s="10">
        <f>+[1]モンスター計算!T131</f>
        <v>0.12</v>
      </c>
      <c r="U128" s="10">
        <f>+[1]モンスター計算!U131</f>
        <v>0.12</v>
      </c>
      <c r="V128" s="11">
        <f>+[1]モンスター計算!V131</f>
        <v>4.12</v>
      </c>
      <c r="W128" s="29">
        <v>8</v>
      </c>
      <c r="X128" s="26" t="s">
        <v>109</v>
      </c>
      <c r="Y128" s="32" t="s">
        <v>87</v>
      </c>
      <c r="Z128" s="11">
        <v>1.2</v>
      </c>
      <c r="AA128" s="29">
        <v>5</v>
      </c>
      <c r="AB128" s="29">
        <f t="shared" si="2"/>
        <v>41</v>
      </c>
      <c r="AC128" s="46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29" t="s">
        <v>1039</v>
      </c>
      <c r="AI128" s="32" t="s">
        <v>1826</v>
      </c>
    </row>
    <row r="129" spans="1:35">
      <c r="A129" s="52" t="s">
        <v>644</v>
      </c>
      <c r="B129" s="13" t="s">
        <v>320</v>
      </c>
      <c r="C129" s="27" t="s">
        <v>44</v>
      </c>
      <c r="D129" s="13" t="s">
        <v>61</v>
      </c>
      <c r="E129" s="27">
        <f>+[1]モンスター計算!E132</f>
        <v>740</v>
      </c>
      <c r="F129" s="5">
        <f>+[1]モンスター計算!F132</f>
        <v>129</v>
      </c>
      <c r="G129" s="5">
        <f>+[1]モンスター計算!G132</f>
        <v>42</v>
      </c>
      <c r="H129" s="5">
        <f>+[1]モンスター計算!H132</f>
        <v>133</v>
      </c>
      <c r="I129" s="5">
        <f>+[1]モンスター計算!I132</f>
        <v>57</v>
      </c>
      <c r="J129" s="13">
        <f>+[1]モンスター計算!J132</f>
        <v>60</v>
      </c>
      <c r="K129" s="27">
        <f>+[1]モンスター計算!K132</f>
        <v>4.4999999999999998E-2</v>
      </c>
      <c r="L129" s="13">
        <f>+[1]モンスター計算!L132</f>
        <v>1.4</v>
      </c>
      <c r="M129" s="27">
        <f>+[1]モンスター計算!M132</f>
        <v>2.0499999999999998</v>
      </c>
      <c r="N129" s="5">
        <f>+[1]モンスター計算!N132</f>
        <v>0.92</v>
      </c>
      <c r="O129" s="13">
        <f>+[1]モンスター計算!O132</f>
        <v>2.6749999999999998</v>
      </c>
      <c r="P129" s="27">
        <f>+[1]モンスター計算!P132</f>
        <v>0.39</v>
      </c>
      <c r="Q129" s="5">
        <f>+[1]モンスター計算!Q132</f>
        <v>0.09</v>
      </c>
      <c r="R129" s="5">
        <f>+[1]モンスター計算!R132</f>
        <v>0.19</v>
      </c>
      <c r="S129" s="5">
        <f>+[1]モンスター計算!S132</f>
        <v>0.19</v>
      </c>
      <c r="T129" s="5">
        <f>+[1]モンスター計算!T132</f>
        <v>0.19</v>
      </c>
      <c r="U129" s="5">
        <f>+[1]モンスター計算!U132</f>
        <v>0.19</v>
      </c>
      <c r="V129" s="13">
        <f>+[1]モンスター計算!V132</f>
        <v>4</v>
      </c>
      <c r="W129" s="30">
        <v>8</v>
      </c>
      <c r="X129" s="27" t="s">
        <v>64</v>
      </c>
      <c r="Y129" s="33" t="s">
        <v>88</v>
      </c>
      <c r="Z129" s="13">
        <v>1.2</v>
      </c>
      <c r="AA129" s="30">
        <v>7</v>
      </c>
      <c r="AB129" s="30">
        <f t="shared" si="2"/>
        <v>47</v>
      </c>
      <c r="AC129" s="47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0" t="s">
        <v>1040</v>
      </c>
      <c r="AI129" s="33" t="s">
        <v>1826</v>
      </c>
    </row>
    <row r="130" spans="1:35">
      <c r="A130" s="52" t="s">
        <v>645</v>
      </c>
      <c r="B130" s="13" t="s">
        <v>321</v>
      </c>
      <c r="C130" s="27" t="s">
        <v>46</v>
      </c>
      <c r="D130" s="13" t="s">
        <v>61</v>
      </c>
      <c r="E130" s="27">
        <f>+[1]モンスター計算!E133</f>
        <v>681</v>
      </c>
      <c r="F130" s="5">
        <f>+[1]モンスター計算!F133</f>
        <v>108</v>
      </c>
      <c r="G130" s="5">
        <f>+[1]モンスター計算!G133</f>
        <v>62</v>
      </c>
      <c r="H130" s="5">
        <f>+[1]モンスター計算!H133</f>
        <v>137</v>
      </c>
      <c r="I130" s="5">
        <f>+[1]モンスター計算!I133</f>
        <v>56</v>
      </c>
      <c r="J130" s="13">
        <f>+[1]モンスター計算!J133</f>
        <v>62</v>
      </c>
      <c r="K130" s="27">
        <f>+[1]モンスター計算!K133</f>
        <v>0.05</v>
      </c>
      <c r="L130" s="13">
        <f>+[1]モンスター計算!L133</f>
        <v>1.5</v>
      </c>
      <c r="M130" s="27">
        <f>+[1]モンスター計算!M133</f>
        <v>2</v>
      </c>
      <c r="N130" s="5">
        <f>+[1]モンスター計算!N133</f>
        <v>1.05</v>
      </c>
      <c r="O130" s="13">
        <f>+[1]モンスター計算!O133</f>
        <v>2.5</v>
      </c>
      <c r="P130" s="27">
        <f>+[1]モンスター計算!P133</f>
        <v>0</v>
      </c>
      <c r="Q130" s="5">
        <f>+[1]モンスター計算!Q133</f>
        <v>0</v>
      </c>
      <c r="R130" s="5">
        <f>+[1]モンスター計算!R133</f>
        <v>0.2</v>
      </c>
      <c r="S130" s="5">
        <f>+[1]モンスター計算!S133</f>
        <v>-0.1</v>
      </c>
      <c r="T130" s="5">
        <f>+[1]モンスター計算!T133</f>
        <v>0</v>
      </c>
      <c r="U130" s="5">
        <f>+[1]モンスター計算!U133</f>
        <v>0</v>
      </c>
      <c r="V130" s="13">
        <f>+[1]モンスター計算!V133</f>
        <v>4</v>
      </c>
      <c r="W130" s="30">
        <v>9</v>
      </c>
      <c r="X130" s="27" t="s">
        <v>66</v>
      </c>
      <c r="Y130" s="33" t="s">
        <v>89</v>
      </c>
      <c r="Z130" s="13">
        <v>1.22</v>
      </c>
      <c r="AA130" s="30">
        <v>10</v>
      </c>
      <c r="AB130" s="30">
        <f t="shared" si="2"/>
        <v>56</v>
      </c>
      <c r="AC130" s="47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0" t="s">
        <v>1041</v>
      </c>
      <c r="AI130" s="33" t="s">
        <v>1826</v>
      </c>
    </row>
    <row r="131" spans="1:35">
      <c r="A131" s="52" t="s">
        <v>646</v>
      </c>
      <c r="B131" s="13" t="s">
        <v>322</v>
      </c>
      <c r="C131" s="27" t="s">
        <v>44</v>
      </c>
      <c r="D131" s="13" t="s">
        <v>59</v>
      </c>
      <c r="E131" s="27">
        <f>+[1]モンスター計算!E134</f>
        <v>592</v>
      </c>
      <c r="F131" s="5">
        <f>+[1]モンスター計算!F134</f>
        <v>36</v>
      </c>
      <c r="G131" s="5">
        <f>+[1]モンスター計算!G134</f>
        <v>146</v>
      </c>
      <c r="H131" s="5">
        <f>+[1]モンスター計算!H134</f>
        <v>50</v>
      </c>
      <c r="I131" s="5">
        <f>+[1]モンスター計算!I134</f>
        <v>49</v>
      </c>
      <c r="J131" s="13">
        <f>+[1]モンスター計算!J134</f>
        <v>45</v>
      </c>
      <c r="K131" s="27">
        <f>+[1]モンスター計算!K134</f>
        <v>0.13</v>
      </c>
      <c r="L131" s="13">
        <f>+[1]モンスター計算!L134</f>
        <v>1.7</v>
      </c>
      <c r="M131" s="27">
        <f>+[1]モンスター計算!M134</f>
        <v>3</v>
      </c>
      <c r="N131" s="5">
        <f>+[1]モンスター計算!N134</f>
        <v>1.06</v>
      </c>
      <c r="O131" s="13">
        <f>+[1]モンスター計算!O134</f>
        <v>2.4300000000000002</v>
      </c>
      <c r="P131" s="27">
        <f>+[1]モンスター計算!P134</f>
        <v>0.15500000000000003</v>
      </c>
      <c r="Q131" s="5">
        <f>+[1]モンスター計算!Q134</f>
        <v>-0.14500000000000002</v>
      </c>
      <c r="R131" s="5">
        <f>+[1]モンスター計算!R134</f>
        <v>-4.4999999999999998E-2</v>
      </c>
      <c r="S131" s="5">
        <f>+[1]モンスター計算!S134</f>
        <v>-4.4999999999999998E-2</v>
      </c>
      <c r="T131" s="5">
        <f>+[1]モンスター計算!T134</f>
        <v>-4.4999999999999998E-2</v>
      </c>
      <c r="U131" s="5">
        <f>+[1]モンスター計算!U134</f>
        <v>-4.4999999999999998E-2</v>
      </c>
      <c r="V131" s="13">
        <f>+[1]モンスター計算!V134</f>
        <v>5.2</v>
      </c>
      <c r="W131" s="30">
        <v>10</v>
      </c>
      <c r="X131" s="27" t="s">
        <v>68</v>
      </c>
      <c r="Y131" s="33" t="s">
        <v>90</v>
      </c>
      <c r="Z131" s="13">
        <v>1.25</v>
      </c>
      <c r="AA131" s="30">
        <v>15</v>
      </c>
      <c r="AB131" s="30">
        <f t="shared" si="2"/>
        <v>74</v>
      </c>
      <c r="AC131" s="47">
        <f t="shared" si="3"/>
        <v>22</v>
      </c>
      <c r="AD131" s="27" t="s">
        <v>74</v>
      </c>
      <c r="AE131" s="5">
        <v>0</v>
      </c>
      <c r="AF131" s="5">
        <v>0</v>
      </c>
      <c r="AG131" s="13" t="b">
        <v>0</v>
      </c>
      <c r="AH131" s="30" t="s">
        <v>1042</v>
      </c>
      <c r="AI131" s="33" t="s">
        <v>1826</v>
      </c>
    </row>
    <row r="132" spans="1:35">
      <c r="A132" s="52" t="s">
        <v>647</v>
      </c>
      <c r="B132" s="13" t="s">
        <v>323</v>
      </c>
      <c r="C132" s="27" t="s">
        <v>45</v>
      </c>
      <c r="D132" s="13" t="s">
        <v>59</v>
      </c>
      <c r="E132" s="27">
        <f>+[1]モンスター計算!E135</f>
        <v>488</v>
      </c>
      <c r="F132" s="5">
        <f>+[1]モンスター計算!F135</f>
        <v>29</v>
      </c>
      <c r="G132" s="5">
        <f>+[1]モンスター計算!G135</f>
        <v>132</v>
      </c>
      <c r="H132" s="5">
        <f>+[1]モンスター計算!H135</f>
        <v>33</v>
      </c>
      <c r="I132" s="5">
        <f>+[1]モンスター計算!I135</f>
        <v>41</v>
      </c>
      <c r="J132" s="13">
        <f>+[1]モンスター計算!J135</f>
        <v>42</v>
      </c>
      <c r="K132" s="27">
        <f>+[1]モンスター計算!K135</f>
        <v>0.21</v>
      </c>
      <c r="L132" s="13">
        <f>+[1]モンスター計算!L135</f>
        <v>1.78</v>
      </c>
      <c r="M132" s="27">
        <f>+[1]モンスター計算!M135</f>
        <v>4.05</v>
      </c>
      <c r="N132" s="5">
        <f>+[1]モンスター計算!N135</f>
        <v>1.56</v>
      </c>
      <c r="O132" s="13">
        <f>+[1]モンスター計算!O135</f>
        <v>0.9</v>
      </c>
      <c r="P132" s="27">
        <f>+[1]モンスター計算!P135</f>
        <v>-0.18</v>
      </c>
      <c r="Q132" s="5">
        <f>+[1]モンスター計算!Q135</f>
        <v>0.12000000000000001</v>
      </c>
      <c r="R132" s="5">
        <f>+[1]モンスター計算!R135</f>
        <v>-0.08</v>
      </c>
      <c r="S132" s="5">
        <f>+[1]モンスター計算!S135</f>
        <v>-0.08</v>
      </c>
      <c r="T132" s="5">
        <f>+[1]モンスター計算!T135</f>
        <v>-0.08</v>
      </c>
      <c r="U132" s="5">
        <f>+[1]モンスター計算!U135</f>
        <v>-0.08</v>
      </c>
      <c r="V132" s="13">
        <f>+[1]モンスター計算!V135</f>
        <v>5</v>
      </c>
      <c r="W132" s="30">
        <v>11</v>
      </c>
      <c r="X132" s="27" t="s">
        <v>70</v>
      </c>
      <c r="Y132" s="33" t="s">
        <v>91</v>
      </c>
      <c r="Z132" s="13">
        <v>1.25</v>
      </c>
      <c r="AA132" s="30">
        <v>20</v>
      </c>
      <c r="AB132" s="30">
        <f t="shared" si="2"/>
        <v>87</v>
      </c>
      <c r="AC132" s="47">
        <f t="shared" si="3"/>
        <v>22</v>
      </c>
      <c r="AD132" s="27" t="s">
        <v>74</v>
      </c>
      <c r="AE132" s="5">
        <v>0</v>
      </c>
      <c r="AF132" s="5">
        <v>0</v>
      </c>
      <c r="AG132" s="13" t="b">
        <v>0</v>
      </c>
      <c r="AH132" s="30" t="s">
        <v>1043</v>
      </c>
      <c r="AI132" s="33" t="s">
        <v>1826</v>
      </c>
    </row>
    <row r="133" spans="1:35" ht="19.5" thickBot="1">
      <c r="A133" s="53" t="s">
        <v>648</v>
      </c>
      <c r="B133" s="16" t="s">
        <v>324</v>
      </c>
      <c r="C133" s="28" t="s">
        <v>47</v>
      </c>
      <c r="D133" s="16" t="s">
        <v>61</v>
      </c>
      <c r="E133" s="28">
        <f>+[1]モンスター計算!E136</f>
        <v>585</v>
      </c>
      <c r="F133" s="15">
        <f>+[1]モンスター計算!F136</f>
        <v>97</v>
      </c>
      <c r="G133" s="15">
        <f>+[1]モンスター計算!G136</f>
        <v>26</v>
      </c>
      <c r="H133" s="15">
        <f>+[1]モンスター計算!H136</f>
        <v>107</v>
      </c>
      <c r="I133" s="15">
        <f>+[1]モンスター計算!I136</f>
        <v>50</v>
      </c>
      <c r="J133" s="16">
        <f>+[1]モンスター計算!J136</f>
        <v>48</v>
      </c>
      <c r="K133" s="28">
        <f>+[1]モンスター計算!K136</f>
        <v>6.5000000000000002E-2</v>
      </c>
      <c r="L133" s="16">
        <f>+[1]モンスター計算!L136</f>
        <v>1.45</v>
      </c>
      <c r="M133" s="28">
        <f>+[1]モンスター計算!M136</f>
        <v>4</v>
      </c>
      <c r="N133" s="15">
        <f>+[1]モンスター計算!N136</f>
        <v>1.72</v>
      </c>
      <c r="O133" s="16">
        <f>+[1]モンスター計算!O136</f>
        <v>1.9</v>
      </c>
      <c r="P133" s="28">
        <f>+[1]モンスター計算!P136</f>
        <v>-7.0000000000000007E-2</v>
      </c>
      <c r="Q133" s="15">
        <f>+[1]モンスター計算!Q136</f>
        <v>-7.0000000000000007E-2</v>
      </c>
      <c r="R133" s="15">
        <f>+[1]モンスター計算!R136</f>
        <v>-7.0000000000000007E-2</v>
      </c>
      <c r="S133" s="15">
        <f>+[1]モンスター計算!S136</f>
        <v>-7.0000000000000007E-2</v>
      </c>
      <c r="T133" s="15">
        <f>+[1]モンスター計算!T136</f>
        <v>0.13</v>
      </c>
      <c r="U133" s="15">
        <f>+[1]モンスター計算!U136</f>
        <v>-0.17</v>
      </c>
      <c r="V133" s="16">
        <f>+[1]モンスター計算!V136</f>
        <v>5.4</v>
      </c>
      <c r="W133" s="31">
        <v>15</v>
      </c>
      <c r="X133" s="28" t="s">
        <v>72</v>
      </c>
      <c r="Y133" s="34" t="s">
        <v>92</v>
      </c>
      <c r="Z133" s="16">
        <v>1.3</v>
      </c>
      <c r="AA133" s="31">
        <v>40</v>
      </c>
      <c r="AB133" s="31">
        <f t="shared" si="2"/>
        <v>128</v>
      </c>
      <c r="AC133" s="48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1" t="s">
        <v>1044</v>
      </c>
      <c r="AI133" s="34" t="s">
        <v>1826</v>
      </c>
    </row>
    <row r="134" spans="1:35">
      <c r="A134" s="51" t="s">
        <v>649</v>
      </c>
      <c r="B134" s="11" t="s">
        <v>325</v>
      </c>
      <c r="C134" s="26" t="s">
        <v>45</v>
      </c>
      <c r="D134" s="11" t="s">
        <v>61</v>
      </c>
      <c r="E134" s="26">
        <f>+[1]モンスター計算!E137</f>
        <v>912</v>
      </c>
      <c r="F134" s="10">
        <f>+[1]モンスター計算!F137</f>
        <v>160</v>
      </c>
      <c r="G134" s="10">
        <f>+[1]モンスター計算!G137</f>
        <v>40</v>
      </c>
      <c r="H134" s="10">
        <f>+[1]モンスター計算!H137</f>
        <v>135</v>
      </c>
      <c r="I134" s="10">
        <f>+[1]モンスター計算!I137</f>
        <v>127</v>
      </c>
      <c r="J134" s="11">
        <f>+[1]モンスター計算!J137</f>
        <v>47</v>
      </c>
      <c r="K134" s="26">
        <f>+[1]モンスター計算!K137</f>
        <v>5.5E-2</v>
      </c>
      <c r="L134" s="11">
        <f>+[1]モンスター計算!L137</f>
        <v>1.5</v>
      </c>
      <c r="M134" s="26">
        <f>+[1]モンスター計算!M137</f>
        <v>1.85</v>
      </c>
      <c r="N134" s="10">
        <f>+[1]モンスター計算!N137</f>
        <v>0.87</v>
      </c>
      <c r="O134" s="11">
        <f>+[1]モンスター計算!O137</f>
        <v>2.35</v>
      </c>
      <c r="P134" s="26">
        <f>+[1]モンスター計算!P137</f>
        <v>-3.5000000000000003E-2</v>
      </c>
      <c r="Q134" s="10">
        <f>+[1]モンスター計算!Q137</f>
        <v>0.26500000000000001</v>
      </c>
      <c r="R134" s="10">
        <f>+[1]モンスター計算!R137</f>
        <v>6.5000000000000002E-2</v>
      </c>
      <c r="S134" s="10">
        <f>+[1]モンスター計算!S137</f>
        <v>6.5000000000000002E-2</v>
      </c>
      <c r="T134" s="10">
        <f>+[1]モンスター計算!T137</f>
        <v>6.5000000000000002E-2</v>
      </c>
      <c r="U134" s="10">
        <f>+[1]モンスター計算!U137</f>
        <v>6.5000000000000002E-2</v>
      </c>
      <c r="V134" s="11">
        <f>+[1]モンスター計算!V137</f>
        <v>4.2</v>
      </c>
      <c r="W134" s="29">
        <v>8</v>
      </c>
      <c r="X134" s="26" t="s">
        <v>109</v>
      </c>
      <c r="Y134" s="32" t="s">
        <v>87</v>
      </c>
      <c r="Z134" s="11">
        <v>1.2</v>
      </c>
      <c r="AA134" s="29">
        <v>5</v>
      </c>
      <c r="AB134" s="29">
        <f t="shared" si="2"/>
        <v>44</v>
      </c>
      <c r="AC134" s="46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29" t="s">
        <v>1045</v>
      </c>
      <c r="AI134" s="32" t="s">
        <v>1826</v>
      </c>
    </row>
    <row r="135" spans="1:35">
      <c r="A135" s="52" t="s">
        <v>650</v>
      </c>
      <c r="B135" s="13" t="s">
        <v>326</v>
      </c>
      <c r="C135" s="27" t="s">
        <v>44</v>
      </c>
      <c r="D135" s="13" t="s">
        <v>61</v>
      </c>
      <c r="E135" s="27">
        <f>+[1]モンスター計算!E138</f>
        <v>668</v>
      </c>
      <c r="F135" s="5">
        <f>+[1]モンスター計算!F138</f>
        <v>107</v>
      </c>
      <c r="G135" s="5">
        <f>+[1]モンスター計算!G138</f>
        <v>82</v>
      </c>
      <c r="H135" s="5">
        <f>+[1]モンスター計算!H138</f>
        <v>182</v>
      </c>
      <c r="I135" s="5">
        <f>+[1]モンスター計算!I138</f>
        <v>55</v>
      </c>
      <c r="J135" s="13">
        <f>+[1]モンスター計算!J138</f>
        <v>65</v>
      </c>
      <c r="K135" s="27">
        <f>+[1]モンスター計算!K138</f>
        <v>0.05</v>
      </c>
      <c r="L135" s="13">
        <f>+[1]モンスター計算!L138</f>
        <v>1.5</v>
      </c>
      <c r="M135" s="27">
        <f>+[1]モンスター計算!M138</f>
        <v>2</v>
      </c>
      <c r="N135" s="5">
        <f>+[1]モンスター計算!N138</f>
        <v>1</v>
      </c>
      <c r="O135" s="13">
        <f>+[1]モンスター計算!O138</f>
        <v>2.5</v>
      </c>
      <c r="P135" s="27">
        <f>+[1]モンスター計算!P138</f>
        <v>0.18000000000000002</v>
      </c>
      <c r="Q135" s="5">
        <f>+[1]モンスター計算!Q138</f>
        <v>-0.12000000000000001</v>
      </c>
      <c r="R135" s="5">
        <f>+[1]モンスター計算!R138</f>
        <v>-0.02</v>
      </c>
      <c r="S135" s="5">
        <f>+[1]モンスター計算!S138</f>
        <v>-0.02</v>
      </c>
      <c r="T135" s="5">
        <f>+[1]モンスター計算!T138</f>
        <v>-0.02</v>
      </c>
      <c r="U135" s="5">
        <f>+[1]モンスター計算!U138</f>
        <v>-0.02</v>
      </c>
      <c r="V135" s="13">
        <f>+[1]モンスター計算!V138</f>
        <v>4</v>
      </c>
      <c r="W135" s="30">
        <v>8</v>
      </c>
      <c r="X135" s="27" t="s">
        <v>64</v>
      </c>
      <c r="Y135" s="33" t="s">
        <v>88</v>
      </c>
      <c r="Z135" s="13">
        <v>1.2</v>
      </c>
      <c r="AA135" s="30">
        <v>7</v>
      </c>
      <c r="AB135" s="30">
        <f t="shared" si="2"/>
        <v>50</v>
      </c>
      <c r="AC135" s="47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0" t="s">
        <v>1046</v>
      </c>
      <c r="AI135" s="33" t="s">
        <v>1826</v>
      </c>
    </row>
    <row r="136" spans="1:35">
      <c r="A136" s="52" t="s">
        <v>651</v>
      </c>
      <c r="B136" s="13" t="s">
        <v>327</v>
      </c>
      <c r="C136" s="27" t="s">
        <v>46</v>
      </c>
      <c r="D136" s="13" t="s">
        <v>61</v>
      </c>
      <c r="E136" s="27">
        <f>+[1]モンスター計算!E139</f>
        <v>895</v>
      </c>
      <c r="F136" s="5">
        <f>+[1]モンスター計算!F139</f>
        <v>125</v>
      </c>
      <c r="G136" s="5">
        <f>+[1]モンスター計算!G139</f>
        <v>57</v>
      </c>
      <c r="H136" s="5">
        <f>+[1]モンスター計算!H139</f>
        <v>126</v>
      </c>
      <c r="I136" s="5">
        <f>+[1]モンスター計算!I139</f>
        <v>72</v>
      </c>
      <c r="J136" s="13">
        <f>+[1]モンスター計算!J139</f>
        <v>72</v>
      </c>
      <c r="K136" s="27">
        <f>+[1]モンスター計算!K139</f>
        <v>7.0000000000000007E-2</v>
      </c>
      <c r="L136" s="13">
        <f>+[1]モンスター計算!L139</f>
        <v>1.55</v>
      </c>
      <c r="M136" s="27">
        <f>+[1]モンスター計算!M139</f>
        <v>2.4</v>
      </c>
      <c r="N136" s="5">
        <f>+[1]モンスター計算!N139</f>
        <v>1</v>
      </c>
      <c r="O136" s="13">
        <f>+[1]モンスター計算!O139</f>
        <v>2.5</v>
      </c>
      <c r="P136" s="27">
        <f>+[1]モンスター計算!P139</f>
        <v>0.02</v>
      </c>
      <c r="Q136" s="5">
        <f>+[1]モンスター計算!Q139</f>
        <v>0.02</v>
      </c>
      <c r="R136" s="5">
        <f>+[1]モンスター計算!R139</f>
        <v>0.22</v>
      </c>
      <c r="S136" s="5">
        <f>+[1]モンスター計算!S139</f>
        <v>-0.08</v>
      </c>
      <c r="T136" s="5">
        <f>+[1]モンスター計算!T139</f>
        <v>0.02</v>
      </c>
      <c r="U136" s="5">
        <f>+[1]モンスター計算!U139</f>
        <v>0.02</v>
      </c>
      <c r="V136" s="13">
        <f>+[1]モンスター計算!V139</f>
        <v>4</v>
      </c>
      <c r="W136" s="30">
        <v>9</v>
      </c>
      <c r="X136" s="27" t="s">
        <v>66</v>
      </c>
      <c r="Y136" s="33" t="s">
        <v>89</v>
      </c>
      <c r="Z136" s="13">
        <v>1.22</v>
      </c>
      <c r="AA136" s="30">
        <v>10</v>
      </c>
      <c r="AB136" s="30">
        <f t="shared" si="2"/>
        <v>59</v>
      </c>
      <c r="AC136" s="47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0" t="s">
        <v>1047</v>
      </c>
      <c r="AI136" s="33" t="s">
        <v>1826</v>
      </c>
    </row>
    <row r="137" spans="1:35">
      <c r="A137" s="52" t="s">
        <v>652</v>
      </c>
      <c r="B137" s="13" t="s">
        <v>328</v>
      </c>
      <c r="C137" s="27" t="s">
        <v>44</v>
      </c>
      <c r="D137" s="13" t="s">
        <v>59</v>
      </c>
      <c r="E137" s="27">
        <f>+[1]モンスター計算!E140</f>
        <v>749</v>
      </c>
      <c r="F137" s="5">
        <f>+[1]モンスター計算!F140</f>
        <v>47</v>
      </c>
      <c r="G137" s="5">
        <f>+[1]モンスター計算!G140</f>
        <v>157</v>
      </c>
      <c r="H137" s="5">
        <f>+[1]モンスター計算!H140</f>
        <v>57</v>
      </c>
      <c r="I137" s="5">
        <f>+[1]モンスター計算!I140</f>
        <v>60</v>
      </c>
      <c r="J137" s="13">
        <f>+[1]モンスター計算!J140</f>
        <v>55</v>
      </c>
      <c r="K137" s="27">
        <f>+[1]モンスター計算!K140</f>
        <v>7.0000000000000007E-2</v>
      </c>
      <c r="L137" s="13">
        <f>+[1]モンスター計算!L140</f>
        <v>1.6</v>
      </c>
      <c r="M137" s="27">
        <f>+[1]モンスター計算!M140</f>
        <v>2.4500000000000002</v>
      </c>
      <c r="N137" s="5">
        <f>+[1]モンスター計算!N140</f>
        <v>0.94</v>
      </c>
      <c r="O137" s="13">
        <f>+[1]モンスター計算!O140</f>
        <v>2.73</v>
      </c>
      <c r="P137" s="27">
        <f>+[1]モンスター計算!P140</f>
        <v>0.16500000000000001</v>
      </c>
      <c r="Q137" s="5">
        <f>+[1]モンスター計算!Q140</f>
        <v>-0.13500000000000001</v>
      </c>
      <c r="R137" s="5">
        <f>+[1]モンスター計算!R140</f>
        <v>-3.5000000000000003E-2</v>
      </c>
      <c r="S137" s="5">
        <f>+[1]モンスター計算!S140</f>
        <v>-3.5000000000000003E-2</v>
      </c>
      <c r="T137" s="5">
        <f>+[1]モンスター計算!T140</f>
        <v>-3.5000000000000003E-2</v>
      </c>
      <c r="U137" s="5">
        <f>+[1]モンスター計算!U140</f>
        <v>-3.5000000000000003E-2</v>
      </c>
      <c r="V137" s="13">
        <f>+[1]モンスター計算!V140</f>
        <v>5.6</v>
      </c>
      <c r="W137" s="30">
        <v>10</v>
      </c>
      <c r="X137" s="27" t="s">
        <v>68</v>
      </c>
      <c r="Y137" s="33" t="s">
        <v>90</v>
      </c>
      <c r="Z137" s="13">
        <v>1.25</v>
      </c>
      <c r="AA137" s="30">
        <v>15</v>
      </c>
      <c r="AB137" s="30">
        <f t="shared" ref="AB137:AB200" si="4">ROUNDUP(AB131*1.05,0)</f>
        <v>78</v>
      </c>
      <c r="AC137" s="47">
        <f t="shared" ref="AC137:AC200" si="5">+AC131+1</f>
        <v>23</v>
      </c>
      <c r="AD137" s="27" t="s">
        <v>74</v>
      </c>
      <c r="AE137" s="5">
        <v>0</v>
      </c>
      <c r="AF137" s="5">
        <v>0</v>
      </c>
      <c r="AG137" s="13" t="b">
        <v>0</v>
      </c>
      <c r="AH137" s="30" t="s">
        <v>1048</v>
      </c>
      <c r="AI137" s="33" t="s">
        <v>1826</v>
      </c>
    </row>
    <row r="138" spans="1:35">
      <c r="A138" s="52" t="s">
        <v>653</v>
      </c>
      <c r="B138" s="13" t="s">
        <v>329</v>
      </c>
      <c r="C138" s="27" t="s">
        <v>45</v>
      </c>
      <c r="D138" s="13" t="s">
        <v>59</v>
      </c>
      <c r="E138" s="27">
        <f>+[1]モンスター計算!E141</f>
        <v>977</v>
      </c>
      <c r="F138" s="5">
        <f>+[1]モンスター計算!F141</f>
        <v>59</v>
      </c>
      <c r="G138" s="5">
        <f>+[1]モンスター計算!G141</f>
        <v>108</v>
      </c>
      <c r="H138" s="5">
        <f>+[1]モンスター計算!H141</f>
        <v>40</v>
      </c>
      <c r="I138" s="5">
        <f>+[1]モンスター計算!I141</f>
        <v>49</v>
      </c>
      <c r="J138" s="13">
        <f>+[1]モンスター計算!J141</f>
        <v>137</v>
      </c>
      <c r="K138" s="27">
        <f>+[1]モンスター計算!K141</f>
        <v>0.05</v>
      </c>
      <c r="L138" s="13">
        <f>+[1]モンスター計算!L141</f>
        <v>1.47</v>
      </c>
      <c r="M138" s="27">
        <f>+[1]モンスター計算!M141</f>
        <v>2.4500000000000002</v>
      </c>
      <c r="N138" s="5">
        <f>+[1]モンスター計算!N141</f>
        <v>1</v>
      </c>
      <c r="O138" s="13">
        <f>+[1]モンスター計算!O141</f>
        <v>1.395</v>
      </c>
      <c r="P138" s="27">
        <f>+[1]モンスター計算!P141</f>
        <v>-3.5000000000000003E-2</v>
      </c>
      <c r="Q138" s="5">
        <f>+[1]モンスター計算!Q141</f>
        <v>0.26500000000000001</v>
      </c>
      <c r="R138" s="5">
        <f>+[1]モンスター計算!R141</f>
        <v>6.5000000000000002E-2</v>
      </c>
      <c r="S138" s="5">
        <f>+[1]モンスター計算!S141</f>
        <v>6.5000000000000002E-2</v>
      </c>
      <c r="T138" s="5">
        <f>+[1]モンスター計算!T141</f>
        <v>6.5000000000000002E-2</v>
      </c>
      <c r="U138" s="5">
        <f>+[1]モンスター計算!U141</f>
        <v>6.5000000000000002E-2</v>
      </c>
      <c r="V138" s="13">
        <f>+[1]モンスター計算!V141</f>
        <v>4.2</v>
      </c>
      <c r="W138" s="30">
        <v>11</v>
      </c>
      <c r="X138" s="27" t="s">
        <v>70</v>
      </c>
      <c r="Y138" s="33" t="s">
        <v>91</v>
      </c>
      <c r="Z138" s="13">
        <v>1.25</v>
      </c>
      <c r="AA138" s="30">
        <v>20</v>
      </c>
      <c r="AB138" s="30">
        <f t="shared" si="4"/>
        <v>92</v>
      </c>
      <c r="AC138" s="47">
        <f t="shared" si="5"/>
        <v>23</v>
      </c>
      <c r="AD138" s="27" t="s">
        <v>74</v>
      </c>
      <c r="AE138" s="5">
        <v>0</v>
      </c>
      <c r="AF138" s="5">
        <v>0</v>
      </c>
      <c r="AG138" s="13" t="b">
        <v>0</v>
      </c>
      <c r="AH138" s="30" t="s">
        <v>1049</v>
      </c>
      <c r="AI138" s="33" t="s">
        <v>1826</v>
      </c>
    </row>
    <row r="139" spans="1:35" ht="19.5" thickBot="1">
      <c r="A139" s="53" t="s">
        <v>654</v>
      </c>
      <c r="B139" s="16" t="s">
        <v>330</v>
      </c>
      <c r="C139" s="28" t="s">
        <v>47</v>
      </c>
      <c r="D139" s="16" t="s">
        <v>61</v>
      </c>
      <c r="E139" s="28">
        <f>+[1]モンスター計算!E142</f>
        <v>1221</v>
      </c>
      <c r="F139" s="15">
        <f>+[1]モンスター計算!F142</f>
        <v>148</v>
      </c>
      <c r="G139" s="15">
        <f>+[1]モンスター計算!G142</f>
        <v>30</v>
      </c>
      <c r="H139" s="15">
        <f>+[1]モンスター計算!H142</f>
        <v>66</v>
      </c>
      <c r="I139" s="15">
        <f>+[1]モンスター計算!I142</f>
        <v>98</v>
      </c>
      <c r="J139" s="16">
        <f>+[1]モンスター計算!J142</f>
        <v>91</v>
      </c>
      <c r="K139" s="28">
        <f>+[1]モンスター計算!K142</f>
        <v>0.1</v>
      </c>
      <c r="L139" s="16">
        <f>+[1]モンスター計算!L142</f>
        <v>1.75</v>
      </c>
      <c r="M139" s="28">
        <f>+[1]モンスター計算!M142</f>
        <v>2.4</v>
      </c>
      <c r="N139" s="15">
        <f>+[1]モンスター計算!N142</f>
        <v>1.2</v>
      </c>
      <c r="O139" s="16">
        <f>+[1]モンスター計算!O142</f>
        <v>3</v>
      </c>
      <c r="P139" s="28">
        <f>+[1]モンスター計算!P142</f>
        <v>0.08</v>
      </c>
      <c r="Q139" s="15">
        <f>+[1]モンスター計算!Q142</f>
        <v>0.08</v>
      </c>
      <c r="R139" s="15">
        <f>+[1]モンスター計算!R142</f>
        <v>0.08</v>
      </c>
      <c r="S139" s="15">
        <f>+[1]モンスター計算!S142</f>
        <v>0.08</v>
      </c>
      <c r="T139" s="15">
        <f>+[1]モンスター計算!T142</f>
        <v>0.28000000000000003</v>
      </c>
      <c r="U139" s="15">
        <f>+[1]モンスター計算!U142</f>
        <v>-2.0000000000000004E-2</v>
      </c>
      <c r="V139" s="16">
        <f>+[1]モンスター計算!V142</f>
        <v>4</v>
      </c>
      <c r="W139" s="31">
        <v>15</v>
      </c>
      <c r="X139" s="28" t="s">
        <v>72</v>
      </c>
      <c r="Y139" s="34" t="s">
        <v>92</v>
      </c>
      <c r="Z139" s="16">
        <v>1.3</v>
      </c>
      <c r="AA139" s="31">
        <v>40</v>
      </c>
      <c r="AB139" s="31">
        <f t="shared" si="4"/>
        <v>135</v>
      </c>
      <c r="AC139" s="48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1" t="s">
        <v>1050</v>
      </c>
      <c r="AI139" s="34" t="s">
        <v>1826</v>
      </c>
    </row>
    <row r="140" spans="1:35">
      <c r="A140" s="51" t="s">
        <v>655</v>
      </c>
      <c r="B140" s="11" t="s">
        <v>331</v>
      </c>
      <c r="C140" s="26" t="s">
        <v>45</v>
      </c>
      <c r="D140" s="11" t="s">
        <v>61</v>
      </c>
      <c r="E140" s="26">
        <f>+[1]モンスター計算!E143</f>
        <v>492</v>
      </c>
      <c r="F140" s="10">
        <f>+[1]モンスター計算!F143</f>
        <v>196</v>
      </c>
      <c r="G140" s="10">
        <f>+[1]モンスター計算!G143</f>
        <v>92</v>
      </c>
      <c r="H140" s="10">
        <f>+[1]モンスター計算!H143</f>
        <v>256</v>
      </c>
      <c r="I140" s="10">
        <f>+[1]モンスター計算!I143</f>
        <v>104</v>
      </c>
      <c r="J140" s="11">
        <f>+[1]モンスター計算!J143</f>
        <v>161</v>
      </c>
      <c r="K140" s="26">
        <f>+[1]モンスター計算!K143</f>
        <v>0.04</v>
      </c>
      <c r="L140" s="11">
        <f>+[1]モンスター計算!L143</f>
        <v>1.38</v>
      </c>
      <c r="M140" s="26">
        <f>+[1]モンスター計算!M143</f>
        <v>2.2000000000000002</v>
      </c>
      <c r="N140" s="10">
        <f>+[1]モンスター計算!N143</f>
        <v>0.88</v>
      </c>
      <c r="O140" s="11">
        <f>+[1]モンスター計算!O143</f>
        <v>3.15</v>
      </c>
      <c r="P140" s="26">
        <f>+[1]モンスター計算!P143</f>
        <v>0.03</v>
      </c>
      <c r="Q140" s="10">
        <f>+[1]モンスター計算!Q143</f>
        <v>0.33</v>
      </c>
      <c r="R140" s="10">
        <f>+[1]モンスター計算!R143</f>
        <v>0.13</v>
      </c>
      <c r="S140" s="10">
        <f>+[1]モンスター計算!S143</f>
        <v>0.13</v>
      </c>
      <c r="T140" s="10">
        <f>+[1]モンスター計算!T143</f>
        <v>0.13</v>
      </c>
      <c r="U140" s="10">
        <f>+[1]モンスター計算!U143</f>
        <v>0.13</v>
      </c>
      <c r="V140" s="11">
        <f>+[1]モンスター計算!V143</f>
        <v>4.4800000000000004</v>
      </c>
      <c r="W140" s="29">
        <v>8</v>
      </c>
      <c r="X140" s="26" t="s">
        <v>109</v>
      </c>
      <c r="Y140" s="32" t="s">
        <v>87</v>
      </c>
      <c r="Z140" s="11">
        <v>1.2</v>
      </c>
      <c r="AA140" s="29">
        <v>5</v>
      </c>
      <c r="AB140" s="29">
        <f t="shared" si="4"/>
        <v>47</v>
      </c>
      <c r="AC140" s="46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29" t="s">
        <v>1051</v>
      </c>
      <c r="AI140" s="32" t="s">
        <v>1826</v>
      </c>
    </row>
    <row r="141" spans="1:35">
      <c r="A141" s="52" t="s">
        <v>656</v>
      </c>
      <c r="B141" s="13" t="s">
        <v>332</v>
      </c>
      <c r="C141" s="27" t="s">
        <v>44</v>
      </c>
      <c r="D141" s="13" t="s">
        <v>61</v>
      </c>
      <c r="E141" s="27">
        <f>+[1]モンスター計算!E144</f>
        <v>895</v>
      </c>
      <c r="F141" s="5">
        <f>+[1]モンスター計算!F144</f>
        <v>189</v>
      </c>
      <c r="G141" s="5">
        <f>+[1]モンスター計算!G144</f>
        <v>72</v>
      </c>
      <c r="H141" s="5">
        <f>+[1]モンスター計算!H144</f>
        <v>160</v>
      </c>
      <c r="I141" s="5">
        <f>+[1]モンスター計算!I144</f>
        <v>72</v>
      </c>
      <c r="J141" s="13">
        <f>+[1]モンスター計算!J144</f>
        <v>86</v>
      </c>
      <c r="K141" s="27">
        <f>+[1]モンスター計算!K144</f>
        <v>0.06</v>
      </c>
      <c r="L141" s="13">
        <f>+[1]モンスター計算!L144</f>
        <v>1.4</v>
      </c>
      <c r="M141" s="27">
        <f>+[1]モンスター計算!M144</f>
        <v>2.1</v>
      </c>
      <c r="N141" s="5">
        <f>+[1]モンスター計算!N144</f>
        <v>0.95</v>
      </c>
      <c r="O141" s="13">
        <f>+[1]モンスター計算!O144</f>
        <v>2.875</v>
      </c>
      <c r="P141" s="27">
        <f>+[1]モンスター計算!P144</f>
        <v>0.23</v>
      </c>
      <c r="Q141" s="5">
        <f>+[1]モンスター計算!Q144</f>
        <v>-7.0000000000000007E-2</v>
      </c>
      <c r="R141" s="5">
        <f>+[1]モンスター計算!R144</f>
        <v>0.03</v>
      </c>
      <c r="S141" s="5">
        <f>+[1]モンスター計算!S144</f>
        <v>0.03</v>
      </c>
      <c r="T141" s="5">
        <f>+[1]モンスター計算!T144</f>
        <v>0.03</v>
      </c>
      <c r="U141" s="5">
        <f>+[1]モンスター計算!U144</f>
        <v>0.03</v>
      </c>
      <c r="V141" s="13">
        <f>+[1]モンスター計算!V144</f>
        <v>4.8</v>
      </c>
      <c r="W141" s="30">
        <v>8</v>
      </c>
      <c r="X141" s="27" t="s">
        <v>64</v>
      </c>
      <c r="Y141" s="33" t="s">
        <v>88</v>
      </c>
      <c r="Z141" s="13">
        <v>1.2</v>
      </c>
      <c r="AA141" s="30">
        <v>7</v>
      </c>
      <c r="AB141" s="30">
        <f t="shared" si="4"/>
        <v>53</v>
      </c>
      <c r="AC141" s="47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0" t="s">
        <v>1052</v>
      </c>
      <c r="AI141" s="33" t="s">
        <v>1826</v>
      </c>
    </row>
    <row r="142" spans="1:35">
      <c r="A142" s="52" t="s">
        <v>657</v>
      </c>
      <c r="B142" s="13" t="s">
        <v>333</v>
      </c>
      <c r="C142" s="27" t="s">
        <v>46</v>
      </c>
      <c r="D142" s="13" t="s">
        <v>61</v>
      </c>
      <c r="E142" s="27">
        <f>+[1]モンスター計算!E145</f>
        <v>860</v>
      </c>
      <c r="F142" s="5">
        <f>+[1]モンスター計算!F145</f>
        <v>144</v>
      </c>
      <c r="G142" s="5">
        <f>+[1]モンスター計算!G145</f>
        <v>47</v>
      </c>
      <c r="H142" s="5">
        <f>+[1]モンスター計算!H145</f>
        <v>170</v>
      </c>
      <c r="I142" s="5">
        <f>+[1]モンスター計算!I145</f>
        <v>59</v>
      </c>
      <c r="J142" s="13">
        <f>+[1]モンスター計算!J145</f>
        <v>65</v>
      </c>
      <c r="K142" s="27">
        <f>+[1]モンスター計算!K145</f>
        <v>0.06</v>
      </c>
      <c r="L142" s="13">
        <f>+[1]モンスター計算!L145</f>
        <v>1.6</v>
      </c>
      <c r="M142" s="27">
        <f>+[1]モンスター計算!M145</f>
        <v>2.25</v>
      </c>
      <c r="N142" s="5">
        <f>+[1]モンスター計算!N145</f>
        <v>0.91</v>
      </c>
      <c r="O142" s="13">
        <f>+[1]モンスター計算!O145</f>
        <v>4.75</v>
      </c>
      <c r="P142" s="27">
        <f>+[1]モンスター計算!P145</f>
        <v>-0.02</v>
      </c>
      <c r="Q142" s="5">
        <f>+[1]モンスター計算!Q145</f>
        <v>-0.02</v>
      </c>
      <c r="R142" s="5">
        <f>+[1]モンスター計算!R145</f>
        <v>0.18000000000000002</v>
      </c>
      <c r="S142" s="5">
        <f>+[1]モンスター計算!S145</f>
        <v>-0.12000000000000001</v>
      </c>
      <c r="T142" s="5">
        <f>+[1]モンスター計算!T145</f>
        <v>-0.02</v>
      </c>
      <c r="U142" s="5">
        <f>+[1]モンスター計算!U145</f>
        <v>-0.02</v>
      </c>
      <c r="V142" s="13">
        <f>+[1]モンスター計算!V145</f>
        <v>6.6</v>
      </c>
      <c r="W142" s="30">
        <v>9</v>
      </c>
      <c r="X142" s="27" t="s">
        <v>66</v>
      </c>
      <c r="Y142" s="33" t="s">
        <v>89</v>
      </c>
      <c r="Z142" s="13">
        <v>1.22</v>
      </c>
      <c r="AA142" s="30">
        <v>10</v>
      </c>
      <c r="AB142" s="30">
        <f t="shared" si="4"/>
        <v>62</v>
      </c>
      <c r="AC142" s="47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0" t="s">
        <v>1053</v>
      </c>
      <c r="AI142" s="33" t="s">
        <v>1826</v>
      </c>
    </row>
    <row r="143" spans="1:35">
      <c r="A143" s="52" t="s">
        <v>658</v>
      </c>
      <c r="B143" s="13" t="s">
        <v>334</v>
      </c>
      <c r="C143" s="27" t="s">
        <v>44</v>
      </c>
      <c r="D143" s="13" t="s">
        <v>59</v>
      </c>
      <c r="E143" s="27">
        <f>+[1]モンスター計算!E146</f>
        <v>779</v>
      </c>
      <c r="F143" s="5">
        <f>+[1]モンスター計算!F146</f>
        <v>42</v>
      </c>
      <c r="G143" s="5">
        <f>+[1]モンスター計算!G146</f>
        <v>152</v>
      </c>
      <c r="H143" s="5">
        <f>+[1]モンスター計算!H146</f>
        <v>44</v>
      </c>
      <c r="I143" s="5">
        <f>+[1]モンスター計算!I146</f>
        <v>62</v>
      </c>
      <c r="J143" s="13">
        <f>+[1]モンスター計算!J146</f>
        <v>55</v>
      </c>
      <c r="K143" s="27">
        <f>+[1]モンスター計算!K146</f>
        <v>0.27</v>
      </c>
      <c r="L143" s="13">
        <f>+[1]モンスター計算!L146</f>
        <v>2.0299999999999998</v>
      </c>
      <c r="M143" s="27">
        <f>+[1]モンスター計算!M146</f>
        <v>2.75</v>
      </c>
      <c r="N143" s="5">
        <f>+[1]モンスター計算!N146</f>
        <v>1.04</v>
      </c>
      <c r="O143" s="13">
        <f>+[1]モンスター計算!O146</f>
        <v>1.53</v>
      </c>
      <c r="P143" s="27">
        <f>+[1]モンスター計算!P146</f>
        <v>0.14000000000000001</v>
      </c>
      <c r="Q143" s="5">
        <f>+[1]モンスター計算!Q146</f>
        <v>-0.16</v>
      </c>
      <c r="R143" s="5">
        <f>+[1]モンスター計算!R146</f>
        <v>-0.06</v>
      </c>
      <c r="S143" s="5">
        <f>+[1]モンスター計算!S146</f>
        <v>-0.06</v>
      </c>
      <c r="T143" s="5">
        <f>+[1]モンスター計算!T146</f>
        <v>-0.06</v>
      </c>
      <c r="U143" s="5">
        <f>+[1]モンスター計算!U146</f>
        <v>-0.06</v>
      </c>
      <c r="V143" s="13">
        <f>+[1]モンスター計算!V146</f>
        <v>4.2</v>
      </c>
      <c r="W143" s="30">
        <v>10</v>
      </c>
      <c r="X143" s="27" t="s">
        <v>68</v>
      </c>
      <c r="Y143" s="33" t="s">
        <v>90</v>
      </c>
      <c r="Z143" s="13">
        <v>1.25</v>
      </c>
      <c r="AA143" s="30">
        <v>15</v>
      </c>
      <c r="AB143" s="30">
        <f t="shared" si="4"/>
        <v>82</v>
      </c>
      <c r="AC143" s="47">
        <f t="shared" si="5"/>
        <v>24</v>
      </c>
      <c r="AD143" s="27" t="s">
        <v>74</v>
      </c>
      <c r="AE143" s="5">
        <v>0</v>
      </c>
      <c r="AF143" s="5">
        <v>0</v>
      </c>
      <c r="AG143" s="13" t="b">
        <v>0</v>
      </c>
      <c r="AH143" s="30" t="s">
        <v>1054</v>
      </c>
      <c r="AI143" s="33" t="s">
        <v>1826</v>
      </c>
    </row>
    <row r="144" spans="1:35">
      <c r="A144" s="52" t="s">
        <v>659</v>
      </c>
      <c r="B144" s="13" t="s">
        <v>335</v>
      </c>
      <c r="C144" s="27" t="s">
        <v>45</v>
      </c>
      <c r="D144" s="13" t="s">
        <v>59</v>
      </c>
      <c r="E144" s="27">
        <f>+[1]モンスター計算!E147</f>
        <v>824</v>
      </c>
      <c r="F144" s="5">
        <f>+[1]モンスター計算!F147</f>
        <v>58</v>
      </c>
      <c r="G144" s="5">
        <f>+[1]モンスター計算!G147</f>
        <v>169</v>
      </c>
      <c r="H144" s="5">
        <f>+[1]モンスター計算!H147</f>
        <v>76</v>
      </c>
      <c r="I144" s="5">
        <f>+[1]モンスター計算!I147</f>
        <v>68</v>
      </c>
      <c r="J144" s="13">
        <f>+[1]モンスター計算!J147</f>
        <v>75</v>
      </c>
      <c r="K144" s="27">
        <f>+[1]モンスター計算!K147</f>
        <v>0.05</v>
      </c>
      <c r="L144" s="13">
        <f>+[1]モンスター計算!L147</f>
        <v>1.5</v>
      </c>
      <c r="M144" s="27">
        <f>+[1]モンスター計算!M147</f>
        <v>2</v>
      </c>
      <c r="N144" s="5">
        <f>+[1]モンスター計算!N147</f>
        <v>1.05</v>
      </c>
      <c r="O144" s="13">
        <f>+[1]モンスター計算!O147</f>
        <v>1.2</v>
      </c>
      <c r="P144" s="27">
        <f>+[1]モンスター計算!P147</f>
        <v>-9.0000000000000011E-2</v>
      </c>
      <c r="Q144" s="5">
        <f>+[1]モンスター計算!Q147</f>
        <v>0.21000000000000002</v>
      </c>
      <c r="R144" s="5">
        <f>+[1]モンスター計算!R147</f>
        <v>0.01</v>
      </c>
      <c r="S144" s="5">
        <f>+[1]モンスター計算!S147</f>
        <v>0.01</v>
      </c>
      <c r="T144" s="5">
        <f>+[1]モンスター計算!T147</f>
        <v>0.01</v>
      </c>
      <c r="U144" s="5">
        <f>+[1]モンスター計算!U147</f>
        <v>0.01</v>
      </c>
      <c r="V144" s="13">
        <f>+[1]モンスター計算!V147</f>
        <v>4</v>
      </c>
      <c r="W144" s="30">
        <v>11</v>
      </c>
      <c r="X144" s="27" t="s">
        <v>70</v>
      </c>
      <c r="Y144" s="33" t="s">
        <v>91</v>
      </c>
      <c r="Z144" s="13">
        <v>1.25</v>
      </c>
      <c r="AA144" s="30">
        <v>20</v>
      </c>
      <c r="AB144" s="30">
        <f t="shared" si="4"/>
        <v>97</v>
      </c>
      <c r="AC144" s="47">
        <f t="shared" si="5"/>
        <v>24</v>
      </c>
      <c r="AD144" s="27" t="s">
        <v>74</v>
      </c>
      <c r="AE144" s="5">
        <v>0</v>
      </c>
      <c r="AF144" s="5">
        <v>0</v>
      </c>
      <c r="AG144" s="13" t="b">
        <v>0</v>
      </c>
      <c r="AH144" s="30" t="s">
        <v>1055</v>
      </c>
      <c r="AI144" s="33" t="s">
        <v>1826</v>
      </c>
    </row>
    <row r="145" spans="1:35" ht="19.5" thickBot="1">
      <c r="A145" s="53" t="s">
        <v>660</v>
      </c>
      <c r="B145" s="16" t="s">
        <v>336</v>
      </c>
      <c r="C145" s="28" t="s">
        <v>47</v>
      </c>
      <c r="D145" s="16" t="s">
        <v>61</v>
      </c>
      <c r="E145" s="28">
        <f>+[1]モンスター計算!E148</f>
        <v>600</v>
      </c>
      <c r="F145" s="15">
        <f>+[1]モンスター計算!F148</f>
        <v>144</v>
      </c>
      <c r="G145" s="15">
        <f>+[1]モンスター計算!G148</f>
        <v>66</v>
      </c>
      <c r="H145" s="15">
        <f>+[1]モンスター計算!H148</f>
        <v>284</v>
      </c>
      <c r="I145" s="15">
        <f>+[1]モンスター計算!I148</f>
        <v>47</v>
      </c>
      <c r="J145" s="16">
        <f>+[1]モンスター計算!J148</f>
        <v>57</v>
      </c>
      <c r="K145" s="28">
        <f>+[1]モンスター計算!K148</f>
        <v>0.18</v>
      </c>
      <c r="L145" s="16">
        <f>+[1]モンスター計算!L148</f>
        <v>1.85</v>
      </c>
      <c r="M145" s="28">
        <f>+[1]モンスター計算!M148</f>
        <v>2.0499999999999998</v>
      </c>
      <c r="N145" s="15">
        <f>+[1]モンスター計算!N148</f>
        <v>0.75</v>
      </c>
      <c r="O145" s="16">
        <f>+[1]モンスター計算!O148</f>
        <v>4.45</v>
      </c>
      <c r="P145" s="28">
        <f>+[1]モンスター計算!P148</f>
        <v>-0.06</v>
      </c>
      <c r="Q145" s="15">
        <f>+[1]モンスター計算!Q148</f>
        <v>-0.06</v>
      </c>
      <c r="R145" s="15">
        <f>+[1]モンスター計算!R148</f>
        <v>-0.06</v>
      </c>
      <c r="S145" s="15">
        <f>+[1]モンスター計算!S148</f>
        <v>-0.06</v>
      </c>
      <c r="T145" s="15">
        <f>+[1]モンスター計算!T148</f>
        <v>0.14000000000000001</v>
      </c>
      <c r="U145" s="15">
        <f>+[1]モンスター計算!U148</f>
        <v>-0.16</v>
      </c>
      <c r="V145" s="16">
        <f>+[1]モンスター計算!V148</f>
        <v>5.6</v>
      </c>
      <c r="W145" s="31">
        <v>15</v>
      </c>
      <c r="X145" s="28" t="s">
        <v>72</v>
      </c>
      <c r="Y145" s="34" t="s">
        <v>92</v>
      </c>
      <c r="Z145" s="16">
        <v>1.3</v>
      </c>
      <c r="AA145" s="31">
        <v>40</v>
      </c>
      <c r="AB145" s="31">
        <f t="shared" si="4"/>
        <v>142</v>
      </c>
      <c r="AC145" s="48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1" t="s">
        <v>1056</v>
      </c>
      <c r="AI145" s="34" t="s">
        <v>1826</v>
      </c>
    </row>
    <row r="146" spans="1:35">
      <c r="A146" s="51" t="s">
        <v>661</v>
      </c>
      <c r="B146" s="11" t="s">
        <v>337</v>
      </c>
      <c r="C146" s="26" t="s">
        <v>45</v>
      </c>
      <c r="D146" s="11" t="s">
        <v>61</v>
      </c>
      <c r="E146" s="26">
        <f>+[1]モンスター計算!E149</f>
        <v>768</v>
      </c>
      <c r="F146" s="10">
        <f>+[1]モンスター計算!F149</f>
        <v>165</v>
      </c>
      <c r="G146" s="10">
        <f>+[1]モンスター計算!G149</f>
        <v>94</v>
      </c>
      <c r="H146" s="10">
        <f>+[1]モンスター計算!H149</f>
        <v>208</v>
      </c>
      <c r="I146" s="10">
        <f>+[1]モンスター計算!I149</f>
        <v>59</v>
      </c>
      <c r="J146" s="11">
        <f>+[1]モンスター計算!J149</f>
        <v>63</v>
      </c>
      <c r="K146" s="26">
        <f>+[1]モンスター計算!K149</f>
        <v>0.11</v>
      </c>
      <c r="L146" s="11">
        <f>+[1]モンスター計算!L149</f>
        <v>1.65</v>
      </c>
      <c r="M146" s="26">
        <f>+[1]モンスター計算!M149</f>
        <v>2.2000000000000002</v>
      </c>
      <c r="N146" s="10">
        <f>+[1]モンスター計算!N149</f>
        <v>1.1000000000000001</v>
      </c>
      <c r="O146" s="11">
        <f>+[1]モンスター計算!O149</f>
        <v>2.75</v>
      </c>
      <c r="P146" s="26">
        <f>+[1]モンスター計算!P149</f>
        <v>-0.14000000000000001</v>
      </c>
      <c r="Q146" s="10">
        <f>+[1]モンスター計算!Q149</f>
        <v>0.16</v>
      </c>
      <c r="R146" s="10">
        <f>+[1]モンスター計算!R149</f>
        <v>-0.04</v>
      </c>
      <c r="S146" s="10">
        <f>+[1]モンスター計算!S149</f>
        <v>-0.04</v>
      </c>
      <c r="T146" s="10">
        <f>+[1]モンスター計算!T149</f>
        <v>-0.04</v>
      </c>
      <c r="U146" s="10">
        <f>+[1]モンスター計算!U149</f>
        <v>-0.04</v>
      </c>
      <c r="V146" s="11">
        <f>+[1]モンスター計算!V149</f>
        <v>4.2</v>
      </c>
      <c r="W146" s="29">
        <v>8</v>
      </c>
      <c r="X146" s="26" t="s">
        <v>109</v>
      </c>
      <c r="Y146" s="32" t="s">
        <v>87</v>
      </c>
      <c r="Z146" s="11">
        <v>1.2</v>
      </c>
      <c r="AA146" s="29">
        <v>5</v>
      </c>
      <c r="AB146" s="29">
        <f t="shared" si="4"/>
        <v>50</v>
      </c>
      <c r="AC146" s="46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29" t="s">
        <v>1057</v>
      </c>
      <c r="AI146" s="32" t="s">
        <v>1826</v>
      </c>
    </row>
    <row r="147" spans="1:35">
      <c r="A147" s="52" t="s">
        <v>662</v>
      </c>
      <c r="B147" s="13" t="s">
        <v>338</v>
      </c>
      <c r="C147" s="27" t="s">
        <v>44</v>
      </c>
      <c r="D147" s="13" t="s">
        <v>61</v>
      </c>
      <c r="E147" s="27">
        <f>+[1]モンスター計算!E150</f>
        <v>1694</v>
      </c>
      <c r="F147" s="5">
        <f>+[1]モンスター計算!F150</f>
        <v>194</v>
      </c>
      <c r="G147" s="5">
        <f>+[1]モンスター計算!G150</f>
        <v>41</v>
      </c>
      <c r="H147" s="5">
        <f>+[1]モンスター計算!H150</f>
        <v>140</v>
      </c>
      <c r="I147" s="5">
        <f>+[1]モンスター計算!I150</f>
        <v>129</v>
      </c>
      <c r="J147" s="13">
        <f>+[1]モンスター計算!J150</f>
        <v>122</v>
      </c>
      <c r="K147" s="27">
        <f>+[1]モンスター計算!K150</f>
        <v>3.5000000000000003E-2</v>
      </c>
      <c r="L147" s="13">
        <f>+[1]モンスター計算!L150</f>
        <v>1.4</v>
      </c>
      <c r="M147" s="27">
        <f>+[1]モンスター計算!M150</f>
        <v>1.5</v>
      </c>
      <c r="N147" s="5">
        <f>+[1]モンスター計算!N150</f>
        <v>0.6</v>
      </c>
      <c r="O147" s="13">
        <f>+[1]モンスター計算!O150</f>
        <v>3.1</v>
      </c>
      <c r="P147" s="27">
        <f>+[1]モンスター計算!P150</f>
        <v>0.32</v>
      </c>
      <c r="Q147" s="5">
        <f>+[1]モンスター計算!Q150</f>
        <v>1.999999999999999E-2</v>
      </c>
      <c r="R147" s="5">
        <f>+[1]モンスター計算!R150</f>
        <v>0.12</v>
      </c>
      <c r="S147" s="5">
        <f>+[1]モンスター計算!S150</f>
        <v>0.12</v>
      </c>
      <c r="T147" s="5">
        <f>+[1]モンスター計算!T150</f>
        <v>0.12</v>
      </c>
      <c r="U147" s="5">
        <f>+[1]モンスター計算!U150</f>
        <v>0.12</v>
      </c>
      <c r="V147" s="13">
        <f>+[1]モンスター計算!V150</f>
        <v>4.12</v>
      </c>
      <c r="W147" s="30">
        <v>8</v>
      </c>
      <c r="X147" s="27" t="s">
        <v>64</v>
      </c>
      <c r="Y147" s="33" t="s">
        <v>88</v>
      </c>
      <c r="Z147" s="13">
        <v>1.2</v>
      </c>
      <c r="AA147" s="30">
        <v>7</v>
      </c>
      <c r="AB147" s="30">
        <f t="shared" si="4"/>
        <v>56</v>
      </c>
      <c r="AC147" s="47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0" t="s">
        <v>1058</v>
      </c>
      <c r="AI147" s="33" t="s">
        <v>1826</v>
      </c>
    </row>
    <row r="148" spans="1:35">
      <c r="A148" s="52" t="s">
        <v>663</v>
      </c>
      <c r="B148" s="13" t="s">
        <v>339</v>
      </c>
      <c r="C148" s="27" t="s">
        <v>46</v>
      </c>
      <c r="D148" s="13" t="s">
        <v>61</v>
      </c>
      <c r="E148" s="27">
        <f>+[1]モンスター計算!E151</f>
        <v>985</v>
      </c>
      <c r="F148" s="5">
        <f>+[1]モンスター計算!F151</f>
        <v>172</v>
      </c>
      <c r="G148" s="5">
        <f>+[1]モンスター計算!G151</f>
        <v>55</v>
      </c>
      <c r="H148" s="5">
        <f>+[1]モンスター計算!H151</f>
        <v>176</v>
      </c>
      <c r="I148" s="5">
        <f>+[1]モンスター計算!I151</f>
        <v>76</v>
      </c>
      <c r="J148" s="13">
        <f>+[1]モンスター計算!J151</f>
        <v>80</v>
      </c>
      <c r="K148" s="27">
        <f>+[1]モンスター計算!K151</f>
        <v>4.4999999999999998E-2</v>
      </c>
      <c r="L148" s="13">
        <f>+[1]モンスター計算!L151</f>
        <v>1.4</v>
      </c>
      <c r="M148" s="27">
        <f>+[1]モンスター計算!M151</f>
        <v>2.0499999999999998</v>
      </c>
      <c r="N148" s="5">
        <f>+[1]モンスター計算!N151</f>
        <v>0.92</v>
      </c>
      <c r="O148" s="13">
        <f>+[1]モンスター計算!O151</f>
        <v>2.6749999999999998</v>
      </c>
      <c r="P148" s="27">
        <f>+[1]モンスター計算!P151</f>
        <v>0.19</v>
      </c>
      <c r="Q148" s="5">
        <f>+[1]モンスター計算!Q151</f>
        <v>0.19</v>
      </c>
      <c r="R148" s="5">
        <f>+[1]モンスター計算!R151</f>
        <v>0.39</v>
      </c>
      <c r="S148" s="5">
        <f>+[1]モンスター計算!S151</f>
        <v>0.09</v>
      </c>
      <c r="T148" s="5">
        <f>+[1]モンスター計算!T151</f>
        <v>0.19</v>
      </c>
      <c r="U148" s="5">
        <f>+[1]モンスター計算!U151</f>
        <v>0.19</v>
      </c>
      <c r="V148" s="13">
        <f>+[1]モンスター計算!V151</f>
        <v>4</v>
      </c>
      <c r="W148" s="30">
        <v>9</v>
      </c>
      <c r="X148" s="27" t="s">
        <v>66</v>
      </c>
      <c r="Y148" s="33" t="s">
        <v>89</v>
      </c>
      <c r="Z148" s="13">
        <v>1.22</v>
      </c>
      <c r="AA148" s="30">
        <v>10</v>
      </c>
      <c r="AB148" s="30">
        <f t="shared" si="4"/>
        <v>66</v>
      </c>
      <c r="AC148" s="47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0" t="s">
        <v>1059</v>
      </c>
      <c r="AI148" s="33" t="s">
        <v>1826</v>
      </c>
    </row>
    <row r="149" spans="1:35">
      <c r="A149" s="52" t="s">
        <v>664</v>
      </c>
      <c r="B149" s="13" t="s">
        <v>340</v>
      </c>
      <c r="C149" s="27" t="s">
        <v>44</v>
      </c>
      <c r="D149" s="13" t="s">
        <v>59</v>
      </c>
      <c r="E149" s="27">
        <f>+[1]モンスター計算!E152</f>
        <v>1330</v>
      </c>
      <c r="F149" s="5">
        <f>+[1]モンスター計算!F152</f>
        <v>57</v>
      </c>
      <c r="G149" s="5">
        <f>+[1]モンスター計算!G152</f>
        <v>116</v>
      </c>
      <c r="H149" s="5">
        <f>+[1]モンスター計算!H152</f>
        <v>52</v>
      </c>
      <c r="I149" s="5">
        <f>+[1]モンスター計算!I152</f>
        <v>110</v>
      </c>
      <c r="J149" s="13">
        <f>+[1]モンスター計算!J152</f>
        <v>79</v>
      </c>
      <c r="K149" s="27">
        <f>+[1]モンスター計算!K152</f>
        <v>0.08</v>
      </c>
      <c r="L149" s="13">
        <f>+[1]モンスター計算!L152</f>
        <v>1.6</v>
      </c>
      <c r="M149" s="27">
        <f>+[1]モンスター計算!M152</f>
        <v>2.7</v>
      </c>
      <c r="N149" s="5">
        <f>+[1]モンスター計算!N152</f>
        <v>1.05</v>
      </c>
      <c r="O149" s="13">
        <f>+[1]モンスター計算!O152</f>
        <v>1.2</v>
      </c>
      <c r="P149" s="27">
        <f>+[1]モンスター計算!P152</f>
        <v>0.26500000000000001</v>
      </c>
      <c r="Q149" s="5">
        <f>+[1]モンスター計算!Q152</f>
        <v>-3.5000000000000003E-2</v>
      </c>
      <c r="R149" s="5">
        <f>+[1]モンスター計算!R152</f>
        <v>6.5000000000000002E-2</v>
      </c>
      <c r="S149" s="5">
        <f>+[1]モンスター計算!S152</f>
        <v>6.5000000000000002E-2</v>
      </c>
      <c r="T149" s="5">
        <f>+[1]モンスター計算!T152</f>
        <v>6.5000000000000002E-2</v>
      </c>
      <c r="U149" s="5">
        <f>+[1]モンスター計算!U152</f>
        <v>6.5000000000000002E-2</v>
      </c>
      <c r="V149" s="13">
        <f>+[1]モンスター計算!V152</f>
        <v>4</v>
      </c>
      <c r="W149" s="30">
        <v>10</v>
      </c>
      <c r="X149" s="27" t="s">
        <v>68</v>
      </c>
      <c r="Y149" s="33" t="s">
        <v>90</v>
      </c>
      <c r="Z149" s="13">
        <v>1.25</v>
      </c>
      <c r="AA149" s="30">
        <v>15</v>
      </c>
      <c r="AB149" s="30">
        <f t="shared" si="4"/>
        <v>87</v>
      </c>
      <c r="AC149" s="47">
        <f t="shared" si="5"/>
        <v>25</v>
      </c>
      <c r="AD149" s="27" t="s">
        <v>74</v>
      </c>
      <c r="AE149" s="5">
        <v>0</v>
      </c>
      <c r="AF149" s="5">
        <v>0</v>
      </c>
      <c r="AG149" s="13" t="b">
        <v>0</v>
      </c>
      <c r="AH149" s="30" t="s">
        <v>1060</v>
      </c>
      <c r="AI149" s="33" t="s">
        <v>1826</v>
      </c>
    </row>
    <row r="150" spans="1:35">
      <c r="A150" s="52" t="s">
        <v>665</v>
      </c>
      <c r="B150" s="13" t="s">
        <v>341</v>
      </c>
      <c r="C150" s="27" t="s">
        <v>45</v>
      </c>
      <c r="D150" s="13" t="s">
        <v>59</v>
      </c>
      <c r="E150" s="27">
        <f>+[1]モンスター計算!E153</f>
        <v>788</v>
      </c>
      <c r="F150" s="5">
        <f>+[1]モンスター計算!F153</f>
        <v>48</v>
      </c>
      <c r="G150" s="5">
        <f>+[1]モンスター計算!G153</f>
        <v>194</v>
      </c>
      <c r="H150" s="5">
        <f>+[1]モンスター計算!H153</f>
        <v>66</v>
      </c>
      <c r="I150" s="5">
        <f>+[1]モンスター計算!I153</f>
        <v>65</v>
      </c>
      <c r="J150" s="13">
        <f>+[1]モンスター計算!J153</f>
        <v>60</v>
      </c>
      <c r="K150" s="27">
        <f>+[1]モンスター計算!K153</f>
        <v>0.13</v>
      </c>
      <c r="L150" s="13">
        <f>+[1]モンスター計算!L153</f>
        <v>1.7</v>
      </c>
      <c r="M150" s="27">
        <f>+[1]モンスター計算!M153</f>
        <v>3</v>
      </c>
      <c r="N150" s="5">
        <f>+[1]モンスター計算!N153</f>
        <v>1.06</v>
      </c>
      <c r="O150" s="13">
        <f>+[1]モンスター計算!O153</f>
        <v>2.4300000000000002</v>
      </c>
      <c r="P150" s="27">
        <f>+[1]モンスター計算!P153</f>
        <v>-0.14500000000000002</v>
      </c>
      <c r="Q150" s="5">
        <f>+[1]モンスター計算!Q153</f>
        <v>0.15500000000000003</v>
      </c>
      <c r="R150" s="5">
        <f>+[1]モンスター計算!R153</f>
        <v>-4.4999999999999998E-2</v>
      </c>
      <c r="S150" s="5">
        <f>+[1]モンスター計算!S153</f>
        <v>-4.4999999999999998E-2</v>
      </c>
      <c r="T150" s="5">
        <f>+[1]モンスター計算!T153</f>
        <v>-4.4999999999999998E-2</v>
      </c>
      <c r="U150" s="5">
        <f>+[1]モンスター計算!U153</f>
        <v>-4.4999999999999998E-2</v>
      </c>
      <c r="V150" s="13">
        <f>+[1]モンスター計算!V153</f>
        <v>5.2</v>
      </c>
      <c r="W150" s="30">
        <v>11</v>
      </c>
      <c r="X150" s="27" t="s">
        <v>70</v>
      </c>
      <c r="Y150" s="33" t="s">
        <v>91</v>
      </c>
      <c r="Z150" s="13">
        <v>1.25</v>
      </c>
      <c r="AA150" s="30">
        <v>20</v>
      </c>
      <c r="AB150" s="30">
        <f t="shared" si="4"/>
        <v>102</v>
      </c>
      <c r="AC150" s="47">
        <f t="shared" si="5"/>
        <v>25</v>
      </c>
      <c r="AD150" s="27" t="s">
        <v>74</v>
      </c>
      <c r="AE150" s="5">
        <v>0</v>
      </c>
      <c r="AF150" s="5">
        <v>0</v>
      </c>
      <c r="AG150" s="13" t="b">
        <v>0</v>
      </c>
      <c r="AH150" s="30" t="s">
        <v>1061</v>
      </c>
      <c r="AI150" s="33" t="s">
        <v>1826</v>
      </c>
    </row>
    <row r="151" spans="1:35" ht="19.5" thickBot="1">
      <c r="A151" s="53" t="s">
        <v>666</v>
      </c>
      <c r="B151" s="16" t="s">
        <v>342</v>
      </c>
      <c r="C151" s="28" t="s">
        <v>47</v>
      </c>
      <c r="D151" s="16" t="s">
        <v>61</v>
      </c>
      <c r="E151" s="28">
        <f>+[1]モンスター計算!E154</f>
        <v>719</v>
      </c>
      <c r="F151" s="15">
        <f>+[1]モンスター計算!F154</f>
        <v>169</v>
      </c>
      <c r="G151" s="15">
        <f>+[1]モンスター計算!G154</f>
        <v>55</v>
      </c>
      <c r="H151" s="15">
        <f>+[1]モンスター計算!H154</f>
        <v>220</v>
      </c>
      <c r="I151" s="15">
        <f>+[1]モンスター計算!I154</f>
        <v>61</v>
      </c>
      <c r="J151" s="16">
        <f>+[1]モンスター計算!J154</f>
        <v>67</v>
      </c>
      <c r="K151" s="28">
        <f>+[1]モンスター計算!K154</f>
        <v>0.26</v>
      </c>
      <c r="L151" s="16">
        <f>+[1]モンスター計算!L154</f>
        <v>1.95</v>
      </c>
      <c r="M151" s="28">
        <f>+[1]モンスター計算!M154</f>
        <v>2.75</v>
      </c>
      <c r="N151" s="15">
        <f>+[1]モンスター計算!N154</f>
        <v>0.95</v>
      </c>
      <c r="O151" s="16">
        <f>+[1]モンスター計算!O154</f>
        <v>2.8</v>
      </c>
      <c r="P151" s="28">
        <f>+[1]モンスター計算!P154</f>
        <v>-0.05</v>
      </c>
      <c r="Q151" s="15">
        <f>+[1]モンスター計算!Q154</f>
        <v>-0.05</v>
      </c>
      <c r="R151" s="15">
        <f>+[1]モンスター計算!R154</f>
        <v>-0.05</v>
      </c>
      <c r="S151" s="15">
        <f>+[1]モンスター計算!S154</f>
        <v>-0.05</v>
      </c>
      <c r="T151" s="15">
        <f>+[1]モンスター計算!T154</f>
        <v>0.15000000000000002</v>
      </c>
      <c r="U151" s="15">
        <f>+[1]モンスター計算!U154</f>
        <v>-0.15000000000000002</v>
      </c>
      <c r="V151" s="16">
        <f>+[1]モンスター計算!V154</f>
        <v>4.4000000000000004</v>
      </c>
      <c r="W151" s="31">
        <v>15</v>
      </c>
      <c r="X151" s="28" t="s">
        <v>72</v>
      </c>
      <c r="Y151" s="34" t="s">
        <v>92</v>
      </c>
      <c r="Z151" s="16">
        <v>1.3</v>
      </c>
      <c r="AA151" s="31">
        <v>40</v>
      </c>
      <c r="AB151" s="31">
        <f t="shared" si="4"/>
        <v>150</v>
      </c>
      <c r="AC151" s="48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1" t="s">
        <v>1062</v>
      </c>
      <c r="AI151" s="34" t="s">
        <v>1826</v>
      </c>
    </row>
    <row r="152" spans="1:35">
      <c r="A152" s="51" t="s">
        <v>667</v>
      </c>
      <c r="B152" s="11" t="s">
        <v>343</v>
      </c>
      <c r="C152" s="26" t="s">
        <v>45</v>
      </c>
      <c r="D152" s="11" t="s">
        <v>61</v>
      </c>
      <c r="E152" s="26">
        <f>+[1]モンスター計算!E155</f>
        <v>628</v>
      </c>
      <c r="F152" s="10">
        <f>+[1]モンスター計算!F155</f>
        <v>123</v>
      </c>
      <c r="G152" s="10">
        <f>+[1]モンスター計算!G155</f>
        <v>62</v>
      </c>
      <c r="H152" s="10">
        <f>+[1]モンスター計算!H155</f>
        <v>287</v>
      </c>
      <c r="I152" s="10">
        <f>+[1]モンスター計算!I155</f>
        <v>55</v>
      </c>
      <c r="J152" s="11">
        <f>+[1]モンスター計算!J155</f>
        <v>56</v>
      </c>
      <c r="K152" s="26">
        <f>+[1]モンスター計算!K155</f>
        <v>0.08</v>
      </c>
      <c r="L152" s="11">
        <f>+[1]モンスター計算!L155</f>
        <v>1.55</v>
      </c>
      <c r="M152" s="26">
        <f>+[1]モンスター計算!M155</f>
        <v>4.2</v>
      </c>
      <c r="N152" s="10">
        <f>+[1]モンスター計算!N155</f>
        <v>1.3</v>
      </c>
      <c r="O152" s="11">
        <f>+[1]モンスター計算!O155</f>
        <v>2.5</v>
      </c>
      <c r="P152" s="26">
        <f>+[1]モンスター計算!P155</f>
        <v>-0.19</v>
      </c>
      <c r="Q152" s="10">
        <f>+[1]モンスター計算!Q155</f>
        <v>0.11000000000000001</v>
      </c>
      <c r="R152" s="10">
        <f>+[1]モンスター計算!R155</f>
        <v>-0.09</v>
      </c>
      <c r="S152" s="10">
        <f>+[1]モンスター計算!S155</f>
        <v>-0.09</v>
      </c>
      <c r="T152" s="10">
        <f>+[1]モンスター計算!T155</f>
        <v>-0.09</v>
      </c>
      <c r="U152" s="10">
        <f>+[1]モンスター計算!U155</f>
        <v>-0.09</v>
      </c>
      <c r="V152" s="11">
        <f>+[1]モンスター計算!V155</f>
        <v>4.2</v>
      </c>
      <c r="W152" s="29">
        <v>8</v>
      </c>
      <c r="X152" s="26" t="s">
        <v>109</v>
      </c>
      <c r="Y152" s="32" t="s">
        <v>87</v>
      </c>
      <c r="Z152" s="11">
        <v>1.2</v>
      </c>
      <c r="AA152" s="29">
        <v>5</v>
      </c>
      <c r="AB152" s="29">
        <f t="shared" si="4"/>
        <v>53</v>
      </c>
      <c r="AC152" s="46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29" t="s">
        <v>1063</v>
      </c>
      <c r="AI152" s="32" t="s">
        <v>1826</v>
      </c>
    </row>
    <row r="153" spans="1:35">
      <c r="A153" s="52" t="s">
        <v>668</v>
      </c>
      <c r="B153" s="13" t="s">
        <v>344</v>
      </c>
      <c r="C153" s="27" t="s">
        <v>44</v>
      </c>
      <c r="D153" s="13" t="s">
        <v>61</v>
      </c>
      <c r="E153" s="27">
        <f>+[1]モンスター計算!E156</f>
        <v>1213</v>
      </c>
      <c r="F153" s="5">
        <f>+[1]モンスター計算!F156</f>
        <v>213</v>
      </c>
      <c r="G153" s="5">
        <f>+[1]モンスター計算!G156</f>
        <v>53</v>
      </c>
      <c r="H153" s="5">
        <f>+[1]モンスター計算!H156</f>
        <v>180</v>
      </c>
      <c r="I153" s="5">
        <f>+[1]モンスター計算!I156</f>
        <v>169</v>
      </c>
      <c r="J153" s="13">
        <f>+[1]モンスター計算!J156</f>
        <v>62</v>
      </c>
      <c r="K153" s="27">
        <f>+[1]モンスター計算!K156</f>
        <v>5.5E-2</v>
      </c>
      <c r="L153" s="13">
        <f>+[1]モンスター計算!L156</f>
        <v>1.5</v>
      </c>
      <c r="M153" s="27">
        <f>+[1]モンスター計算!M156</f>
        <v>1.85</v>
      </c>
      <c r="N153" s="5">
        <f>+[1]モンスター計算!N156</f>
        <v>0.87</v>
      </c>
      <c r="O153" s="13">
        <f>+[1]モンスター計算!O156</f>
        <v>2.35</v>
      </c>
      <c r="P153" s="27">
        <f>+[1]モンスター計算!P156</f>
        <v>0.26500000000000001</v>
      </c>
      <c r="Q153" s="5">
        <f>+[1]モンスター計算!Q156</f>
        <v>-3.5000000000000003E-2</v>
      </c>
      <c r="R153" s="5">
        <f>+[1]モンスター計算!R156</f>
        <v>6.5000000000000002E-2</v>
      </c>
      <c r="S153" s="5">
        <f>+[1]モンスター計算!S156</f>
        <v>6.5000000000000002E-2</v>
      </c>
      <c r="T153" s="5">
        <f>+[1]モンスター計算!T156</f>
        <v>6.5000000000000002E-2</v>
      </c>
      <c r="U153" s="5">
        <f>+[1]モンスター計算!U156</f>
        <v>6.5000000000000002E-2</v>
      </c>
      <c r="V153" s="13">
        <f>+[1]モンスター計算!V156</f>
        <v>4.2</v>
      </c>
      <c r="W153" s="30">
        <v>8</v>
      </c>
      <c r="X153" s="27" t="s">
        <v>64</v>
      </c>
      <c r="Y153" s="33" t="s">
        <v>88</v>
      </c>
      <c r="Z153" s="13">
        <v>1.2</v>
      </c>
      <c r="AA153" s="30">
        <v>7</v>
      </c>
      <c r="AB153" s="30">
        <f t="shared" si="4"/>
        <v>59</v>
      </c>
      <c r="AC153" s="47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0" t="s">
        <v>1064</v>
      </c>
      <c r="AI153" s="33" t="s">
        <v>1826</v>
      </c>
    </row>
    <row r="154" spans="1:35">
      <c r="A154" s="52" t="s">
        <v>669</v>
      </c>
      <c r="B154" s="13" t="s">
        <v>345</v>
      </c>
      <c r="C154" s="27" t="s">
        <v>46</v>
      </c>
      <c r="D154" s="13" t="s">
        <v>61</v>
      </c>
      <c r="E154" s="27">
        <f>+[1]モンスター計算!E157</f>
        <v>888</v>
      </c>
      <c r="F154" s="5">
        <f>+[1]モンスター計算!F157</f>
        <v>142</v>
      </c>
      <c r="G154" s="5">
        <f>+[1]モンスター計算!G157</f>
        <v>109</v>
      </c>
      <c r="H154" s="5">
        <f>+[1]モンスター計算!H157</f>
        <v>242</v>
      </c>
      <c r="I154" s="5">
        <f>+[1]モンスター計算!I157</f>
        <v>74</v>
      </c>
      <c r="J154" s="13">
        <f>+[1]モンスター計算!J157</f>
        <v>87</v>
      </c>
      <c r="K154" s="27">
        <f>+[1]モンスター計算!K157</f>
        <v>0.05</v>
      </c>
      <c r="L154" s="13">
        <f>+[1]モンスター計算!L157</f>
        <v>1.5</v>
      </c>
      <c r="M154" s="27">
        <f>+[1]モンスター計算!M157</f>
        <v>2</v>
      </c>
      <c r="N154" s="5">
        <f>+[1]モンスター計算!N157</f>
        <v>1</v>
      </c>
      <c r="O154" s="13">
        <f>+[1]モンスター計算!O157</f>
        <v>2.5</v>
      </c>
      <c r="P154" s="27">
        <f>+[1]モンスター計算!P157</f>
        <v>-0.02</v>
      </c>
      <c r="Q154" s="5">
        <f>+[1]モンスター計算!Q157</f>
        <v>-0.02</v>
      </c>
      <c r="R154" s="5">
        <f>+[1]モンスター計算!R157</f>
        <v>0.18000000000000002</v>
      </c>
      <c r="S154" s="5">
        <f>+[1]モンスター計算!S157</f>
        <v>-0.12000000000000001</v>
      </c>
      <c r="T154" s="5">
        <f>+[1]モンスター計算!T157</f>
        <v>-0.02</v>
      </c>
      <c r="U154" s="5">
        <f>+[1]モンスター計算!U157</f>
        <v>-0.02</v>
      </c>
      <c r="V154" s="13">
        <f>+[1]モンスター計算!V157</f>
        <v>4</v>
      </c>
      <c r="W154" s="30">
        <v>9</v>
      </c>
      <c r="X154" s="27" t="s">
        <v>66</v>
      </c>
      <c r="Y154" s="33" t="s">
        <v>89</v>
      </c>
      <c r="Z154" s="13">
        <v>1.22</v>
      </c>
      <c r="AA154" s="30">
        <v>10</v>
      </c>
      <c r="AB154" s="30">
        <f t="shared" si="4"/>
        <v>70</v>
      </c>
      <c r="AC154" s="47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0" t="s">
        <v>1065</v>
      </c>
      <c r="AI154" s="33" t="s">
        <v>1826</v>
      </c>
    </row>
    <row r="155" spans="1:35">
      <c r="A155" s="52" t="s">
        <v>670</v>
      </c>
      <c r="B155" s="13" t="s">
        <v>346</v>
      </c>
      <c r="C155" s="27" t="s">
        <v>44</v>
      </c>
      <c r="D155" s="13" t="s">
        <v>59</v>
      </c>
      <c r="E155" s="27">
        <f>+[1]モンスター計算!E158</f>
        <v>1376</v>
      </c>
      <c r="F155" s="5">
        <f>+[1]モンスター計算!F158</f>
        <v>49</v>
      </c>
      <c r="G155" s="5">
        <f>+[1]モンスター計算!G158</f>
        <v>273</v>
      </c>
      <c r="H155" s="5">
        <f>+[1]モンスター計算!H158</f>
        <v>80</v>
      </c>
      <c r="I155" s="5">
        <f>+[1]モンスター計算!I158</f>
        <v>91</v>
      </c>
      <c r="J155" s="13">
        <f>+[1]モンスター計算!J158</f>
        <v>76</v>
      </c>
      <c r="K155" s="27">
        <f>+[1]モンスター計算!K158</f>
        <v>0.06</v>
      </c>
      <c r="L155" s="13">
        <f>+[1]モンスター計算!L158</f>
        <v>2.15</v>
      </c>
      <c r="M155" s="27">
        <f>+[1]モンスター計算!M158</f>
        <v>1.65</v>
      </c>
      <c r="N155" s="5">
        <f>+[1]モンスター計算!N158</f>
        <v>0.53</v>
      </c>
      <c r="O155" s="13">
        <f>+[1]モンスター計算!O158</f>
        <v>1.86</v>
      </c>
      <c r="P155" s="27">
        <f>+[1]モンスター計算!P158</f>
        <v>0.17500000000000002</v>
      </c>
      <c r="Q155" s="5">
        <f>+[1]モンスター計算!Q158</f>
        <v>-0.125</v>
      </c>
      <c r="R155" s="5">
        <f>+[1]モンスター計算!R158</f>
        <v>-2.5000000000000001E-2</v>
      </c>
      <c r="S155" s="5">
        <f>+[1]モンスター計算!S158</f>
        <v>-2.5000000000000001E-2</v>
      </c>
      <c r="T155" s="5">
        <f>+[1]モンスター計算!T158</f>
        <v>-2.5000000000000001E-2</v>
      </c>
      <c r="U155" s="5">
        <f>+[1]モンスター計算!U158</f>
        <v>-2.5000000000000001E-2</v>
      </c>
      <c r="V155" s="13">
        <f>+[1]モンスター計算!V158</f>
        <v>4.4000000000000004</v>
      </c>
      <c r="W155" s="30">
        <v>10</v>
      </c>
      <c r="X155" s="27" t="s">
        <v>68</v>
      </c>
      <c r="Y155" s="33" t="s">
        <v>90</v>
      </c>
      <c r="Z155" s="13">
        <v>1.25</v>
      </c>
      <c r="AA155" s="30">
        <v>15</v>
      </c>
      <c r="AB155" s="30">
        <f t="shared" si="4"/>
        <v>92</v>
      </c>
      <c r="AC155" s="47">
        <f t="shared" si="5"/>
        <v>26</v>
      </c>
      <c r="AD155" s="27" t="s">
        <v>74</v>
      </c>
      <c r="AE155" s="5">
        <v>0</v>
      </c>
      <c r="AF155" s="5">
        <v>0</v>
      </c>
      <c r="AG155" s="13" t="b">
        <v>0</v>
      </c>
      <c r="AH155" s="30" t="s">
        <v>1066</v>
      </c>
      <c r="AI155" s="33" t="s">
        <v>1826</v>
      </c>
    </row>
    <row r="156" spans="1:35">
      <c r="A156" s="52" t="s">
        <v>671</v>
      </c>
      <c r="B156" s="13" t="s">
        <v>347</v>
      </c>
      <c r="C156" s="27" t="s">
        <v>45</v>
      </c>
      <c r="D156" s="13" t="s">
        <v>59</v>
      </c>
      <c r="E156" s="27">
        <f>+[1]モンスター計算!E159</f>
        <v>997</v>
      </c>
      <c r="F156" s="5">
        <f>+[1]モンスター計算!F159</f>
        <v>63</v>
      </c>
      <c r="G156" s="5">
        <f>+[1]モンスター計算!G159</f>
        <v>209</v>
      </c>
      <c r="H156" s="5">
        <f>+[1]モンスター計算!H159</f>
        <v>75</v>
      </c>
      <c r="I156" s="5">
        <f>+[1]モンスター計算!I159</f>
        <v>80</v>
      </c>
      <c r="J156" s="13">
        <f>+[1]モンスター計算!J159</f>
        <v>74</v>
      </c>
      <c r="K156" s="27">
        <f>+[1]モンスター計算!K159</f>
        <v>7.0000000000000007E-2</v>
      </c>
      <c r="L156" s="13">
        <f>+[1]モンスター計算!L159</f>
        <v>1.6</v>
      </c>
      <c r="M156" s="27">
        <f>+[1]モンスター計算!M159</f>
        <v>2.4500000000000002</v>
      </c>
      <c r="N156" s="5">
        <f>+[1]モンスター計算!N159</f>
        <v>0.94</v>
      </c>
      <c r="O156" s="13">
        <f>+[1]モンスター計算!O159</f>
        <v>2.73</v>
      </c>
      <c r="P156" s="27">
        <f>+[1]モンスター計算!P159</f>
        <v>-0.13500000000000001</v>
      </c>
      <c r="Q156" s="5">
        <f>+[1]モンスター計算!Q159</f>
        <v>0.16500000000000001</v>
      </c>
      <c r="R156" s="5">
        <f>+[1]モンスター計算!R159</f>
        <v>-3.5000000000000003E-2</v>
      </c>
      <c r="S156" s="5">
        <f>+[1]モンスター計算!S159</f>
        <v>-3.5000000000000003E-2</v>
      </c>
      <c r="T156" s="5">
        <f>+[1]モンスター計算!T159</f>
        <v>-3.5000000000000003E-2</v>
      </c>
      <c r="U156" s="5">
        <f>+[1]モンスター計算!U159</f>
        <v>-3.5000000000000003E-2</v>
      </c>
      <c r="V156" s="13">
        <f>+[1]モンスター計算!V159</f>
        <v>5.6</v>
      </c>
      <c r="W156" s="30">
        <v>11</v>
      </c>
      <c r="X156" s="27" t="s">
        <v>70</v>
      </c>
      <c r="Y156" s="33" t="s">
        <v>91</v>
      </c>
      <c r="Z156" s="13">
        <v>1.25</v>
      </c>
      <c r="AA156" s="30">
        <v>20</v>
      </c>
      <c r="AB156" s="30">
        <f t="shared" si="4"/>
        <v>108</v>
      </c>
      <c r="AC156" s="47">
        <f t="shared" si="5"/>
        <v>26</v>
      </c>
      <c r="AD156" s="27" t="s">
        <v>74</v>
      </c>
      <c r="AE156" s="5">
        <v>0</v>
      </c>
      <c r="AF156" s="5">
        <v>0</v>
      </c>
      <c r="AG156" s="13" t="b">
        <v>0</v>
      </c>
      <c r="AH156" s="30" t="s">
        <v>1067</v>
      </c>
      <c r="AI156" s="33" t="s">
        <v>1826</v>
      </c>
    </row>
    <row r="157" spans="1:35" ht="19.5" thickBot="1">
      <c r="A157" s="53" t="s">
        <v>672</v>
      </c>
      <c r="B157" s="16" t="s">
        <v>348</v>
      </c>
      <c r="C157" s="28" t="s">
        <v>47</v>
      </c>
      <c r="D157" s="16" t="s">
        <v>61</v>
      </c>
      <c r="E157" s="28">
        <f>+[1]モンスター計算!E160</f>
        <v>964</v>
      </c>
      <c r="F157" s="15">
        <f>+[1]モンスター計算!F160</f>
        <v>150</v>
      </c>
      <c r="G157" s="15">
        <f>+[1]モンスター計算!G160</f>
        <v>50</v>
      </c>
      <c r="H157" s="15">
        <f>+[1]モンスター計算!H160</f>
        <v>186</v>
      </c>
      <c r="I157" s="15">
        <f>+[1]モンスター計算!I160</f>
        <v>80</v>
      </c>
      <c r="J157" s="16">
        <f>+[1]モンスター計算!J160</f>
        <v>79</v>
      </c>
      <c r="K157" s="28">
        <f>+[1]モンスター計算!K160</f>
        <v>7.4999999999999997E-2</v>
      </c>
      <c r="L157" s="16">
        <f>+[1]モンスター計算!L160</f>
        <v>1.5</v>
      </c>
      <c r="M157" s="28">
        <f>+[1]モンスター計算!M160</f>
        <v>3.1</v>
      </c>
      <c r="N157" s="15">
        <f>+[1]モンスター計算!N160</f>
        <v>1.1499999999999999</v>
      </c>
      <c r="O157" s="16">
        <f>+[1]モンスター計算!O160</f>
        <v>3.0750000000000002</v>
      </c>
      <c r="P157" s="28">
        <f>+[1]モンスター計算!P160</f>
        <v>-0.01</v>
      </c>
      <c r="Q157" s="15">
        <f>+[1]モンスター計算!Q160</f>
        <v>-0.01</v>
      </c>
      <c r="R157" s="15">
        <f>+[1]モンスター計算!R160</f>
        <v>-0.01</v>
      </c>
      <c r="S157" s="15">
        <f>+[1]モンスター計算!S160</f>
        <v>-0.01</v>
      </c>
      <c r="T157" s="15">
        <f>+[1]モンスター計算!T160</f>
        <v>0.19</v>
      </c>
      <c r="U157" s="15">
        <f>+[1]モンスター計算!U160</f>
        <v>-0.11</v>
      </c>
      <c r="V157" s="16">
        <f>+[1]モンスター計算!V160</f>
        <v>8.6</v>
      </c>
      <c r="W157" s="31">
        <v>15</v>
      </c>
      <c r="X157" s="28" t="s">
        <v>72</v>
      </c>
      <c r="Y157" s="34" t="s">
        <v>92</v>
      </c>
      <c r="Z157" s="16">
        <v>1.3</v>
      </c>
      <c r="AA157" s="31">
        <v>40</v>
      </c>
      <c r="AB157" s="31">
        <f t="shared" si="4"/>
        <v>158</v>
      </c>
      <c r="AC157" s="48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1" t="s">
        <v>1068</v>
      </c>
      <c r="AI157" s="34" t="s">
        <v>1826</v>
      </c>
    </row>
    <row r="158" spans="1:35">
      <c r="A158" s="51" t="s">
        <v>673</v>
      </c>
      <c r="B158" s="11" t="s">
        <v>349</v>
      </c>
      <c r="C158" s="26" t="s">
        <v>45</v>
      </c>
      <c r="D158" s="11" t="s">
        <v>61</v>
      </c>
      <c r="E158" s="26">
        <f>+[1]モンスター計算!E161</f>
        <v>1263</v>
      </c>
      <c r="F158" s="10">
        <f>+[1]モンスター計算!F161</f>
        <v>304</v>
      </c>
      <c r="G158" s="10">
        <f>+[1]モンスター計算!G161</f>
        <v>61</v>
      </c>
      <c r="H158" s="10">
        <f>+[1]モンスター計算!H161</f>
        <v>210</v>
      </c>
      <c r="I158" s="10">
        <f>+[1]モンスター計算!I161</f>
        <v>73</v>
      </c>
      <c r="J158" s="11">
        <f>+[1]モンスター計算!J161</f>
        <v>195</v>
      </c>
      <c r="K158" s="26">
        <f>+[1]モンスター計算!K161</f>
        <v>4.4999999999999998E-2</v>
      </c>
      <c r="L158" s="11">
        <f>+[1]モンスター計算!L161</f>
        <v>1.45</v>
      </c>
      <c r="M158" s="26">
        <f>+[1]モンスター計算!M161</f>
        <v>1.9</v>
      </c>
      <c r="N158" s="10">
        <f>+[1]モンスター計算!N161</f>
        <v>0.84</v>
      </c>
      <c r="O158" s="11">
        <f>+[1]モンスター計算!O161</f>
        <v>2.65</v>
      </c>
      <c r="P158" s="26">
        <f>+[1]モンスター計算!P161</f>
        <v>-1.0000000000000009E-2</v>
      </c>
      <c r="Q158" s="10">
        <f>+[1]モンスター計算!Q161</f>
        <v>0.29000000000000004</v>
      </c>
      <c r="R158" s="10">
        <f>+[1]モンスター計算!R161</f>
        <v>0.09</v>
      </c>
      <c r="S158" s="10">
        <f>+[1]モンスター計算!S161</f>
        <v>0.09</v>
      </c>
      <c r="T158" s="10">
        <f>+[1]モンスター計算!T161</f>
        <v>0.09</v>
      </c>
      <c r="U158" s="10">
        <f>+[1]モンスター計算!U161</f>
        <v>0.09</v>
      </c>
      <c r="V158" s="11">
        <f>+[1]モンスター計算!V161</f>
        <v>4.4000000000000004</v>
      </c>
      <c r="W158" s="29">
        <v>8</v>
      </c>
      <c r="X158" s="26" t="s">
        <v>109</v>
      </c>
      <c r="Y158" s="32" t="s">
        <v>87</v>
      </c>
      <c r="Z158" s="11">
        <v>1.2</v>
      </c>
      <c r="AA158" s="29">
        <v>5</v>
      </c>
      <c r="AB158" s="29">
        <f t="shared" si="4"/>
        <v>56</v>
      </c>
      <c r="AC158" s="46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29" t="s">
        <v>1069</v>
      </c>
      <c r="AI158" s="32" t="s">
        <v>1826</v>
      </c>
    </row>
    <row r="159" spans="1:35">
      <c r="A159" s="52" t="s">
        <v>674</v>
      </c>
      <c r="B159" s="13" t="s">
        <v>350</v>
      </c>
      <c r="C159" s="27" t="s">
        <v>44</v>
      </c>
      <c r="D159" s="13" t="s">
        <v>61</v>
      </c>
      <c r="E159" s="27">
        <f>+[1]モンスター計算!E162</f>
        <v>656</v>
      </c>
      <c r="F159" s="5">
        <f>+[1]モンスター計算!F162</f>
        <v>261</v>
      </c>
      <c r="G159" s="5">
        <f>+[1]モンスター計算!G162</f>
        <v>122</v>
      </c>
      <c r="H159" s="5">
        <f>+[1]モンスター計算!H162</f>
        <v>340</v>
      </c>
      <c r="I159" s="5">
        <f>+[1]モンスター計算!I162</f>
        <v>138</v>
      </c>
      <c r="J159" s="13">
        <f>+[1]モンスター計算!J162</f>
        <v>215</v>
      </c>
      <c r="K159" s="27">
        <f>+[1]モンスター計算!K162</f>
        <v>0.04</v>
      </c>
      <c r="L159" s="13">
        <f>+[1]モンスター計算!L162</f>
        <v>1.38</v>
      </c>
      <c r="M159" s="27">
        <f>+[1]モンスター計算!M162</f>
        <v>2.2000000000000002</v>
      </c>
      <c r="N159" s="5">
        <f>+[1]モンスター計算!N162</f>
        <v>0.88</v>
      </c>
      <c r="O159" s="13">
        <f>+[1]モンスター計算!O162</f>
        <v>3.15</v>
      </c>
      <c r="P159" s="27">
        <f>+[1]モンスター計算!P162</f>
        <v>0.33</v>
      </c>
      <c r="Q159" s="5">
        <f>+[1]モンスター計算!Q162</f>
        <v>0.03</v>
      </c>
      <c r="R159" s="5">
        <f>+[1]モンスター計算!R162</f>
        <v>0.13</v>
      </c>
      <c r="S159" s="5">
        <f>+[1]モンスター計算!S162</f>
        <v>0.13</v>
      </c>
      <c r="T159" s="5">
        <f>+[1]モンスター計算!T162</f>
        <v>0.13</v>
      </c>
      <c r="U159" s="5">
        <f>+[1]モンスター計算!U162</f>
        <v>0.13</v>
      </c>
      <c r="V159" s="13">
        <f>+[1]モンスター計算!V162</f>
        <v>4.4800000000000004</v>
      </c>
      <c r="W159" s="30">
        <v>8</v>
      </c>
      <c r="X159" s="27" t="s">
        <v>64</v>
      </c>
      <c r="Y159" s="33" t="s">
        <v>88</v>
      </c>
      <c r="Z159" s="13">
        <v>1.2</v>
      </c>
      <c r="AA159" s="30">
        <v>7</v>
      </c>
      <c r="AB159" s="30">
        <f t="shared" si="4"/>
        <v>62</v>
      </c>
      <c r="AC159" s="47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0" t="s">
        <v>1070</v>
      </c>
      <c r="AI159" s="33" t="s">
        <v>1826</v>
      </c>
    </row>
    <row r="160" spans="1:35">
      <c r="A160" s="52" t="s">
        <v>675</v>
      </c>
      <c r="B160" s="13" t="s">
        <v>351</v>
      </c>
      <c r="C160" s="27" t="s">
        <v>46</v>
      </c>
      <c r="D160" s="13" t="s">
        <v>61</v>
      </c>
      <c r="E160" s="27">
        <f>+[1]モンスター計算!E163</f>
        <v>1192</v>
      </c>
      <c r="F160" s="5">
        <f>+[1]モンスター計算!F163</f>
        <v>252</v>
      </c>
      <c r="G160" s="5">
        <f>+[1]モンスター計算!G163</f>
        <v>96</v>
      </c>
      <c r="H160" s="5">
        <f>+[1]モンスター計算!H163</f>
        <v>213</v>
      </c>
      <c r="I160" s="5">
        <f>+[1]モンスター計算!I163</f>
        <v>95</v>
      </c>
      <c r="J160" s="13">
        <f>+[1]モンスター計算!J163</f>
        <v>114</v>
      </c>
      <c r="K160" s="27">
        <f>+[1]モンスター計算!K163</f>
        <v>0.06</v>
      </c>
      <c r="L160" s="13">
        <f>+[1]モンスター計算!L163</f>
        <v>1.4</v>
      </c>
      <c r="M160" s="27">
        <f>+[1]モンスター計算!M163</f>
        <v>2.1</v>
      </c>
      <c r="N160" s="5">
        <f>+[1]モンスター計算!N163</f>
        <v>0.95</v>
      </c>
      <c r="O160" s="13">
        <f>+[1]モンスター計算!O163</f>
        <v>2.875</v>
      </c>
      <c r="P160" s="27">
        <f>+[1]モンスター計算!P163</f>
        <v>0.03</v>
      </c>
      <c r="Q160" s="5">
        <f>+[1]モンスター計算!Q163</f>
        <v>0.03</v>
      </c>
      <c r="R160" s="5">
        <f>+[1]モンスター計算!R163</f>
        <v>0.23</v>
      </c>
      <c r="S160" s="5">
        <f>+[1]モンスター計算!S163</f>
        <v>-7.0000000000000007E-2</v>
      </c>
      <c r="T160" s="5">
        <f>+[1]モンスター計算!T163</f>
        <v>0.03</v>
      </c>
      <c r="U160" s="5">
        <f>+[1]モンスター計算!U163</f>
        <v>0.03</v>
      </c>
      <c r="V160" s="13">
        <f>+[1]モンスター計算!V163</f>
        <v>4.8</v>
      </c>
      <c r="W160" s="30">
        <v>9</v>
      </c>
      <c r="X160" s="27" t="s">
        <v>66</v>
      </c>
      <c r="Y160" s="33" t="s">
        <v>89</v>
      </c>
      <c r="Z160" s="13">
        <v>1.22</v>
      </c>
      <c r="AA160" s="30">
        <v>10</v>
      </c>
      <c r="AB160" s="30">
        <f t="shared" si="4"/>
        <v>74</v>
      </c>
      <c r="AC160" s="47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0" t="s">
        <v>1071</v>
      </c>
      <c r="AI160" s="33" t="s">
        <v>1826</v>
      </c>
    </row>
    <row r="161" spans="1:35">
      <c r="A161" s="52" t="s">
        <v>676</v>
      </c>
      <c r="B161" s="13" t="s">
        <v>352</v>
      </c>
      <c r="C161" s="27" t="s">
        <v>44</v>
      </c>
      <c r="D161" s="13" t="s">
        <v>59</v>
      </c>
      <c r="E161" s="27">
        <f>+[1]モンスター計算!E164</f>
        <v>1406</v>
      </c>
      <c r="F161" s="5">
        <f>+[1]モンスター計算!F164</f>
        <v>81</v>
      </c>
      <c r="G161" s="5">
        <f>+[1]モンスター計算!G164</f>
        <v>186</v>
      </c>
      <c r="H161" s="5">
        <f>+[1]モンスター計算!H164</f>
        <v>59</v>
      </c>
      <c r="I161" s="5">
        <f>+[1]モンスター計算!I164</f>
        <v>109</v>
      </c>
      <c r="J161" s="13">
        <f>+[1]モンスター計算!J164</f>
        <v>109</v>
      </c>
      <c r="K161" s="27">
        <f>+[1]モンスター計算!K164</f>
        <v>0.04</v>
      </c>
      <c r="L161" s="13">
        <f>+[1]モンスター計算!L164</f>
        <v>1.43</v>
      </c>
      <c r="M161" s="27">
        <f>+[1]モンスター計算!M164</f>
        <v>2.15</v>
      </c>
      <c r="N161" s="5">
        <f>+[1]モンスター計算!N164</f>
        <v>0.88</v>
      </c>
      <c r="O161" s="13">
        <f>+[1]モンスター計算!O164</f>
        <v>1.425</v>
      </c>
      <c r="P161" s="27">
        <f>+[1]モンスター計算!P164</f>
        <v>0.39</v>
      </c>
      <c r="Q161" s="5">
        <f>+[1]モンスター計算!Q164</f>
        <v>0.09</v>
      </c>
      <c r="R161" s="5">
        <f>+[1]モンスター計算!R164</f>
        <v>0.19</v>
      </c>
      <c r="S161" s="5">
        <f>+[1]モンスター計算!S164</f>
        <v>0.19</v>
      </c>
      <c r="T161" s="5">
        <f>+[1]モンスター計算!T164</f>
        <v>0.19</v>
      </c>
      <c r="U161" s="5">
        <f>+[1]モンスター計算!U164</f>
        <v>0.19</v>
      </c>
      <c r="V161" s="13">
        <f>+[1]モンスター計算!V164</f>
        <v>3.8</v>
      </c>
      <c r="W161" s="30">
        <v>10</v>
      </c>
      <c r="X161" s="27" t="s">
        <v>68</v>
      </c>
      <c r="Y161" s="33" t="s">
        <v>90</v>
      </c>
      <c r="Z161" s="13">
        <v>1.25</v>
      </c>
      <c r="AA161" s="30">
        <v>15</v>
      </c>
      <c r="AB161" s="30">
        <f t="shared" si="4"/>
        <v>97</v>
      </c>
      <c r="AC161" s="47">
        <f t="shared" si="5"/>
        <v>27</v>
      </c>
      <c r="AD161" s="27" t="s">
        <v>74</v>
      </c>
      <c r="AE161" s="5">
        <v>0</v>
      </c>
      <c r="AF161" s="5">
        <v>0</v>
      </c>
      <c r="AG161" s="13" t="b">
        <v>0</v>
      </c>
      <c r="AH161" s="30" t="s">
        <v>1072</v>
      </c>
      <c r="AI161" s="33" t="s">
        <v>1826</v>
      </c>
    </row>
    <row r="162" spans="1:35">
      <c r="A162" s="52" t="s">
        <v>677</v>
      </c>
      <c r="B162" s="13" t="s">
        <v>353</v>
      </c>
      <c r="C162" s="27" t="s">
        <v>45</v>
      </c>
      <c r="D162" s="13" t="s">
        <v>59</v>
      </c>
      <c r="E162" s="27">
        <f>+[1]モンスター計算!E165</f>
        <v>1037</v>
      </c>
      <c r="F162" s="5">
        <f>+[1]モンスター計算!F165</f>
        <v>56</v>
      </c>
      <c r="G162" s="5">
        <f>+[1]モンスター計算!G165</f>
        <v>202</v>
      </c>
      <c r="H162" s="5">
        <f>+[1]モンスター計算!H165</f>
        <v>59</v>
      </c>
      <c r="I162" s="5">
        <f>+[1]モンスター計算!I165</f>
        <v>82</v>
      </c>
      <c r="J162" s="13">
        <f>+[1]モンスター計算!J165</f>
        <v>73</v>
      </c>
      <c r="K162" s="27">
        <f>+[1]モンスター計算!K165</f>
        <v>0.27</v>
      </c>
      <c r="L162" s="13">
        <f>+[1]モンスター計算!L165</f>
        <v>2.0299999999999998</v>
      </c>
      <c r="M162" s="27">
        <f>+[1]モンスター計算!M165</f>
        <v>2.75</v>
      </c>
      <c r="N162" s="5">
        <f>+[1]モンスター計算!N165</f>
        <v>1.04</v>
      </c>
      <c r="O162" s="13">
        <f>+[1]モンスター計算!O165</f>
        <v>1.53</v>
      </c>
      <c r="P162" s="27">
        <f>+[1]モンスター計算!P165</f>
        <v>-0.16</v>
      </c>
      <c r="Q162" s="5">
        <f>+[1]モンスター計算!Q165</f>
        <v>0.14000000000000001</v>
      </c>
      <c r="R162" s="5">
        <f>+[1]モンスター計算!R165</f>
        <v>-0.06</v>
      </c>
      <c r="S162" s="5">
        <f>+[1]モンスター計算!S165</f>
        <v>-0.06</v>
      </c>
      <c r="T162" s="5">
        <f>+[1]モンスター計算!T165</f>
        <v>-0.06</v>
      </c>
      <c r="U162" s="5">
        <f>+[1]モンスター計算!U165</f>
        <v>-0.06</v>
      </c>
      <c r="V162" s="13">
        <f>+[1]モンスター計算!V165</f>
        <v>4.2</v>
      </c>
      <c r="W162" s="30">
        <v>11</v>
      </c>
      <c r="X162" s="27" t="s">
        <v>70</v>
      </c>
      <c r="Y162" s="33" t="s">
        <v>91</v>
      </c>
      <c r="Z162" s="13">
        <v>1.25</v>
      </c>
      <c r="AA162" s="30">
        <v>20</v>
      </c>
      <c r="AB162" s="30">
        <f t="shared" si="4"/>
        <v>114</v>
      </c>
      <c r="AC162" s="47">
        <f t="shared" si="5"/>
        <v>27</v>
      </c>
      <c r="AD162" s="27" t="s">
        <v>74</v>
      </c>
      <c r="AE162" s="5">
        <v>0</v>
      </c>
      <c r="AF162" s="5">
        <v>0</v>
      </c>
      <c r="AG162" s="13" t="b">
        <v>0</v>
      </c>
      <c r="AH162" s="30" t="s">
        <v>1073</v>
      </c>
      <c r="AI162" s="33" t="s">
        <v>1826</v>
      </c>
    </row>
    <row r="163" spans="1:35" ht="19.5" thickBot="1">
      <c r="A163" s="53" t="s">
        <v>678</v>
      </c>
      <c r="B163" s="16" t="s">
        <v>354</v>
      </c>
      <c r="C163" s="28" t="s">
        <v>47</v>
      </c>
      <c r="D163" s="16" t="s">
        <v>61</v>
      </c>
      <c r="E163" s="28">
        <f>+[1]モンスター計算!E166</f>
        <v>1192</v>
      </c>
      <c r="F163" s="15">
        <f>+[1]モンスター計算!F166</f>
        <v>191</v>
      </c>
      <c r="G163" s="15">
        <f>+[1]モンスター計算!G166</f>
        <v>86</v>
      </c>
      <c r="H163" s="15">
        <f>+[1]モンスター計算!H166</f>
        <v>191</v>
      </c>
      <c r="I163" s="15">
        <f>+[1]モンスター計算!I166</f>
        <v>91</v>
      </c>
      <c r="J163" s="16">
        <f>+[1]モンスター計算!J166</f>
        <v>105</v>
      </c>
      <c r="K163" s="28">
        <f>+[1]モンスター計算!K166</f>
        <v>7.0000000000000007E-2</v>
      </c>
      <c r="L163" s="16">
        <f>+[1]モンスター計算!L166</f>
        <v>1.55</v>
      </c>
      <c r="M163" s="28">
        <f>+[1]モンスター計算!M166</f>
        <v>2.2999999999999998</v>
      </c>
      <c r="N163" s="15">
        <f>+[1]モンスター計算!N166</f>
        <v>1.1000000000000001</v>
      </c>
      <c r="O163" s="16">
        <f>+[1]モンスター計算!O166</f>
        <v>2.7</v>
      </c>
      <c r="P163" s="28">
        <f>+[1]モンスター計算!P166</f>
        <v>-0.03</v>
      </c>
      <c r="Q163" s="15">
        <f>+[1]モンスター計算!Q166</f>
        <v>-0.03</v>
      </c>
      <c r="R163" s="15">
        <f>+[1]モンスター計算!R166</f>
        <v>-0.03</v>
      </c>
      <c r="S163" s="15">
        <f>+[1]モンスター計算!S166</f>
        <v>-0.03</v>
      </c>
      <c r="T163" s="15">
        <f>+[1]モンスター計算!T166</f>
        <v>0.17</v>
      </c>
      <c r="U163" s="15">
        <f>+[1]モンスター計算!U166</f>
        <v>-0.13</v>
      </c>
      <c r="V163" s="16">
        <f>+[1]モンスター計算!V166</f>
        <v>4</v>
      </c>
      <c r="W163" s="31">
        <v>15</v>
      </c>
      <c r="X163" s="28" t="s">
        <v>72</v>
      </c>
      <c r="Y163" s="34" t="s">
        <v>92</v>
      </c>
      <c r="Z163" s="16">
        <v>1.3</v>
      </c>
      <c r="AA163" s="31">
        <v>40</v>
      </c>
      <c r="AB163" s="31">
        <f t="shared" si="4"/>
        <v>166</v>
      </c>
      <c r="AC163" s="48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1" t="s">
        <v>1074</v>
      </c>
      <c r="AI163" s="34" t="s">
        <v>1826</v>
      </c>
    </row>
    <row r="164" spans="1:35">
      <c r="A164" s="51" t="s">
        <v>679</v>
      </c>
      <c r="B164" s="11" t="s">
        <v>355</v>
      </c>
      <c r="C164" s="26" t="s">
        <v>45</v>
      </c>
      <c r="D164" s="11" t="s">
        <v>61</v>
      </c>
      <c r="E164" s="26">
        <f>+[1]モンスター計算!E167</f>
        <v>1835</v>
      </c>
      <c r="F164" s="10">
        <f>+[1]モンスター計算!F167</f>
        <v>421</v>
      </c>
      <c r="G164" s="10">
        <f>+[1]モンスター計算!G167</f>
        <v>70</v>
      </c>
      <c r="H164" s="10">
        <f>+[1]モンスター計算!H167</f>
        <v>186</v>
      </c>
      <c r="I164" s="10">
        <f>+[1]モンスター計算!I167</f>
        <v>100</v>
      </c>
      <c r="J164" s="11">
        <f>+[1]モンスター計算!J167</f>
        <v>176</v>
      </c>
      <c r="K164" s="26">
        <f>+[1]モンスター計算!K167</f>
        <v>0.115</v>
      </c>
      <c r="L164" s="11">
        <f>+[1]モンスター計算!L167</f>
        <v>1.95</v>
      </c>
      <c r="M164" s="26">
        <f>+[1]モンスター計算!M167</f>
        <v>1.2</v>
      </c>
      <c r="N164" s="10">
        <f>+[1]モンスター計算!N167</f>
        <v>0.72</v>
      </c>
      <c r="O164" s="11">
        <f>+[1]モンスター計算!O167</f>
        <v>3.3250000000000002</v>
      </c>
      <c r="P164" s="26">
        <f>+[1]モンスター計算!P167</f>
        <v>-2.0000000000000004E-2</v>
      </c>
      <c r="Q164" s="10">
        <f>+[1]モンスター計算!Q167</f>
        <v>0.28000000000000003</v>
      </c>
      <c r="R164" s="10">
        <f>+[1]モンスター計算!R167</f>
        <v>0.08</v>
      </c>
      <c r="S164" s="10">
        <f>+[1]モンスター計算!S167</f>
        <v>0.08</v>
      </c>
      <c r="T164" s="10">
        <f>+[1]モンスター計算!T167</f>
        <v>0.08</v>
      </c>
      <c r="U164" s="10">
        <f>+[1]モンスター計算!U167</f>
        <v>0.08</v>
      </c>
      <c r="V164" s="11">
        <f>+[1]モンスター計算!V167</f>
        <v>5</v>
      </c>
      <c r="W164" s="29">
        <v>8</v>
      </c>
      <c r="X164" s="26" t="s">
        <v>109</v>
      </c>
      <c r="Y164" s="32" t="s">
        <v>87</v>
      </c>
      <c r="Z164" s="11">
        <v>1.2</v>
      </c>
      <c r="AA164" s="29">
        <v>5</v>
      </c>
      <c r="AB164" s="29">
        <f t="shared" si="4"/>
        <v>59</v>
      </c>
      <c r="AC164" s="46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29" t="s">
        <v>1075</v>
      </c>
      <c r="AI164" s="32" t="s">
        <v>1826</v>
      </c>
    </row>
    <row r="165" spans="1:35">
      <c r="A165" s="52" t="s">
        <v>680</v>
      </c>
      <c r="B165" s="13" t="s">
        <v>356</v>
      </c>
      <c r="C165" s="27" t="s">
        <v>44</v>
      </c>
      <c r="D165" s="13" t="s">
        <v>61</v>
      </c>
      <c r="E165" s="27">
        <f>+[1]モンスター計算!E168</f>
        <v>1023</v>
      </c>
      <c r="F165" s="5">
        <f>+[1]モンスター計算!F168</f>
        <v>220</v>
      </c>
      <c r="G165" s="5">
        <f>+[1]モンスター計算!G168</f>
        <v>125</v>
      </c>
      <c r="H165" s="5">
        <f>+[1]モンスター計算!H168</f>
        <v>277</v>
      </c>
      <c r="I165" s="5">
        <f>+[1]モンスター計算!I168</f>
        <v>79</v>
      </c>
      <c r="J165" s="13">
        <f>+[1]モンスター計算!J168</f>
        <v>84</v>
      </c>
      <c r="K165" s="27">
        <f>+[1]モンスター計算!K168</f>
        <v>0.11</v>
      </c>
      <c r="L165" s="13">
        <f>+[1]モンスター計算!L168</f>
        <v>1.65</v>
      </c>
      <c r="M165" s="27">
        <f>+[1]モンスター計算!M168</f>
        <v>2.2000000000000002</v>
      </c>
      <c r="N165" s="5">
        <f>+[1]モンスター計算!N168</f>
        <v>1.1000000000000001</v>
      </c>
      <c r="O165" s="13">
        <f>+[1]モンスター計算!O168</f>
        <v>2.75</v>
      </c>
      <c r="P165" s="27">
        <f>+[1]モンスター計算!P168</f>
        <v>0.16</v>
      </c>
      <c r="Q165" s="5">
        <f>+[1]モンスター計算!Q168</f>
        <v>-0.14000000000000001</v>
      </c>
      <c r="R165" s="5">
        <f>+[1]モンスター計算!R168</f>
        <v>-0.04</v>
      </c>
      <c r="S165" s="5">
        <f>+[1]モンスター計算!S168</f>
        <v>-0.04</v>
      </c>
      <c r="T165" s="5">
        <f>+[1]モンスター計算!T168</f>
        <v>-0.04</v>
      </c>
      <c r="U165" s="5">
        <f>+[1]モンスター計算!U168</f>
        <v>-0.04</v>
      </c>
      <c r="V165" s="13">
        <f>+[1]モンスター計算!V168</f>
        <v>4.2</v>
      </c>
      <c r="W165" s="30">
        <v>8</v>
      </c>
      <c r="X165" s="27" t="s">
        <v>64</v>
      </c>
      <c r="Y165" s="33" t="s">
        <v>88</v>
      </c>
      <c r="Z165" s="13">
        <v>1.2</v>
      </c>
      <c r="AA165" s="30">
        <v>7</v>
      </c>
      <c r="AB165" s="30">
        <f t="shared" si="4"/>
        <v>66</v>
      </c>
      <c r="AC165" s="47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0" t="s">
        <v>1076</v>
      </c>
      <c r="AI165" s="33" t="s">
        <v>1826</v>
      </c>
    </row>
    <row r="166" spans="1:35">
      <c r="A166" s="52" t="s">
        <v>681</v>
      </c>
      <c r="B166" s="13" t="s">
        <v>357</v>
      </c>
      <c r="C166" s="27" t="s">
        <v>46</v>
      </c>
      <c r="D166" s="13" t="s">
        <v>61</v>
      </c>
      <c r="E166" s="27">
        <f>+[1]モンスター計算!E169</f>
        <v>2255</v>
      </c>
      <c r="F166" s="5">
        <f>+[1]モンスター計算!F169</f>
        <v>258</v>
      </c>
      <c r="G166" s="5">
        <f>+[1]モンスター計算!G169</f>
        <v>54</v>
      </c>
      <c r="H166" s="5">
        <f>+[1]モンスター計算!H169</f>
        <v>186</v>
      </c>
      <c r="I166" s="5">
        <f>+[1]モンスター計算!I169</f>
        <v>172</v>
      </c>
      <c r="J166" s="13">
        <f>+[1]モンスター計算!J169</f>
        <v>163</v>
      </c>
      <c r="K166" s="27">
        <f>+[1]モンスター計算!K169</f>
        <v>3.5000000000000003E-2</v>
      </c>
      <c r="L166" s="13">
        <f>+[1]モンスター計算!L169</f>
        <v>1.4</v>
      </c>
      <c r="M166" s="27">
        <f>+[1]モンスター計算!M169</f>
        <v>1.5</v>
      </c>
      <c r="N166" s="5">
        <f>+[1]モンスター計算!N169</f>
        <v>0.6</v>
      </c>
      <c r="O166" s="13">
        <f>+[1]モンスター計算!O169</f>
        <v>3.1</v>
      </c>
      <c r="P166" s="27">
        <f>+[1]モンスター計算!P169</f>
        <v>0.12</v>
      </c>
      <c r="Q166" s="5">
        <f>+[1]モンスター計算!Q169</f>
        <v>0.12</v>
      </c>
      <c r="R166" s="5">
        <f>+[1]モンスター計算!R169</f>
        <v>0.32</v>
      </c>
      <c r="S166" s="5">
        <f>+[1]モンスター計算!S169</f>
        <v>1.999999999999999E-2</v>
      </c>
      <c r="T166" s="5">
        <f>+[1]モンスター計算!T169</f>
        <v>0.12</v>
      </c>
      <c r="U166" s="5">
        <f>+[1]モンスター計算!U169</f>
        <v>0.12</v>
      </c>
      <c r="V166" s="13">
        <f>+[1]モンスター計算!V169</f>
        <v>4.12</v>
      </c>
      <c r="W166" s="30">
        <v>9</v>
      </c>
      <c r="X166" s="27" t="s">
        <v>66</v>
      </c>
      <c r="Y166" s="33" t="s">
        <v>89</v>
      </c>
      <c r="Z166" s="13">
        <v>1.22</v>
      </c>
      <c r="AA166" s="30">
        <v>10</v>
      </c>
      <c r="AB166" s="30">
        <f t="shared" si="4"/>
        <v>78</v>
      </c>
      <c r="AC166" s="47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0" t="s">
        <v>1077</v>
      </c>
      <c r="AI166" s="33" t="s">
        <v>1826</v>
      </c>
    </row>
    <row r="167" spans="1:35">
      <c r="A167" s="52" t="s">
        <v>682</v>
      </c>
      <c r="B167" s="13" t="s">
        <v>358</v>
      </c>
      <c r="C167" s="27" t="s">
        <v>44</v>
      </c>
      <c r="D167" s="13" t="s">
        <v>59</v>
      </c>
      <c r="E167" s="27">
        <f>+[1]モンスター計算!E170</f>
        <v>2688</v>
      </c>
      <c r="F167" s="5">
        <f>+[1]モンスター計算!F170</f>
        <v>51</v>
      </c>
      <c r="G167" s="5">
        <f>+[1]モンスター計算!G170</f>
        <v>207</v>
      </c>
      <c r="H167" s="5">
        <f>+[1]モンスター計算!H170</f>
        <v>84</v>
      </c>
      <c r="I167" s="5">
        <f>+[1]モンスター計算!I170</f>
        <v>159</v>
      </c>
      <c r="J167" s="13">
        <f>+[1]モンスター計算!J170</f>
        <v>136</v>
      </c>
      <c r="K167" s="27">
        <f>+[1]モンスター計算!K170</f>
        <v>2.5000000000000001E-2</v>
      </c>
      <c r="L167" s="13">
        <f>+[1]モンスター計算!L170</f>
        <v>1.35</v>
      </c>
      <c r="M167" s="27">
        <f>+[1]モンスター計算!M170</f>
        <v>1.1499999999999999</v>
      </c>
      <c r="N167" s="5">
        <f>+[1]モンスター計算!N170</f>
        <v>0.51</v>
      </c>
      <c r="O167" s="13">
        <f>+[1]モンスター計算!O170</f>
        <v>1.2749999999999999</v>
      </c>
      <c r="P167" s="27">
        <f>+[1]モンスター計算!P170</f>
        <v>0.25</v>
      </c>
      <c r="Q167" s="5">
        <f>+[1]モンスター計算!Q170</f>
        <v>-0.05</v>
      </c>
      <c r="R167" s="5">
        <f>+[1]モンスター計算!R170</f>
        <v>0.05</v>
      </c>
      <c r="S167" s="5">
        <f>+[1]モンスター計算!S170</f>
        <v>0.05</v>
      </c>
      <c r="T167" s="5">
        <f>+[1]モンスター計算!T170</f>
        <v>0.05</v>
      </c>
      <c r="U167" s="5">
        <f>+[1]モンスター計算!U170</f>
        <v>0.05</v>
      </c>
      <c r="V167" s="13">
        <f>+[1]モンスター計算!V170</f>
        <v>3.2</v>
      </c>
      <c r="W167" s="30">
        <v>10</v>
      </c>
      <c r="X167" s="27" t="s">
        <v>68</v>
      </c>
      <c r="Y167" s="33" t="s">
        <v>90</v>
      </c>
      <c r="Z167" s="13">
        <v>1.25</v>
      </c>
      <c r="AA167" s="30">
        <v>15</v>
      </c>
      <c r="AB167" s="30">
        <f t="shared" si="4"/>
        <v>102</v>
      </c>
      <c r="AC167" s="47">
        <f t="shared" si="5"/>
        <v>28</v>
      </c>
      <c r="AD167" s="27" t="s">
        <v>74</v>
      </c>
      <c r="AE167" s="5">
        <v>0</v>
      </c>
      <c r="AF167" s="5">
        <v>0</v>
      </c>
      <c r="AG167" s="13" t="b">
        <v>0</v>
      </c>
      <c r="AH167" s="30" t="s">
        <v>1078</v>
      </c>
      <c r="AI167" s="33" t="s">
        <v>1826</v>
      </c>
    </row>
    <row r="168" spans="1:35">
      <c r="A168" s="52" t="s">
        <v>683</v>
      </c>
      <c r="B168" s="13" t="s">
        <v>359</v>
      </c>
      <c r="C168" s="27" t="s">
        <v>45</v>
      </c>
      <c r="D168" s="13" t="s">
        <v>59</v>
      </c>
      <c r="E168" s="27">
        <f>+[1]モンスター計算!E171</f>
        <v>1770</v>
      </c>
      <c r="F168" s="5">
        <f>+[1]モンスター計算!F171</f>
        <v>76</v>
      </c>
      <c r="G168" s="5">
        <f>+[1]モンスター計算!G171</f>
        <v>154</v>
      </c>
      <c r="H168" s="5">
        <f>+[1]モンスター計算!H171</f>
        <v>69</v>
      </c>
      <c r="I168" s="5">
        <f>+[1]モンスター計算!I171</f>
        <v>147</v>
      </c>
      <c r="J168" s="13">
        <f>+[1]モンスター計算!J171</f>
        <v>105</v>
      </c>
      <c r="K168" s="27">
        <f>+[1]モンスター計算!K171</f>
        <v>0.08</v>
      </c>
      <c r="L168" s="13">
        <f>+[1]モンスター計算!L171</f>
        <v>1.6</v>
      </c>
      <c r="M168" s="27">
        <f>+[1]モンスター計算!M171</f>
        <v>2.7</v>
      </c>
      <c r="N168" s="5">
        <f>+[1]モンスター計算!N171</f>
        <v>1.05</v>
      </c>
      <c r="O168" s="13">
        <f>+[1]モンスター計算!O171</f>
        <v>1.2</v>
      </c>
      <c r="P168" s="27">
        <f>+[1]モンスター計算!P171</f>
        <v>-3.5000000000000003E-2</v>
      </c>
      <c r="Q168" s="5">
        <f>+[1]モンスター計算!Q171</f>
        <v>0.26500000000000001</v>
      </c>
      <c r="R168" s="5">
        <f>+[1]モンスター計算!R171</f>
        <v>6.5000000000000002E-2</v>
      </c>
      <c r="S168" s="5">
        <f>+[1]モンスター計算!S171</f>
        <v>6.5000000000000002E-2</v>
      </c>
      <c r="T168" s="5">
        <f>+[1]モンスター計算!T171</f>
        <v>6.5000000000000002E-2</v>
      </c>
      <c r="U168" s="5">
        <f>+[1]モンスター計算!U171</f>
        <v>6.5000000000000002E-2</v>
      </c>
      <c r="V168" s="13">
        <f>+[1]モンスター計算!V171</f>
        <v>4</v>
      </c>
      <c r="W168" s="30">
        <v>11</v>
      </c>
      <c r="X168" s="27" t="s">
        <v>70</v>
      </c>
      <c r="Y168" s="33" t="s">
        <v>91</v>
      </c>
      <c r="Z168" s="13">
        <v>1.25</v>
      </c>
      <c r="AA168" s="30">
        <v>20</v>
      </c>
      <c r="AB168" s="30">
        <f t="shared" si="4"/>
        <v>120</v>
      </c>
      <c r="AC168" s="47">
        <f t="shared" si="5"/>
        <v>28</v>
      </c>
      <c r="AD168" s="27" t="s">
        <v>74</v>
      </c>
      <c r="AE168" s="5">
        <v>0</v>
      </c>
      <c r="AF168" s="5">
        <v>0</v>
      </c>
      <c r="AG168" s="13" t="b">
        <v>0</v>
      </c>
      <c r="AH168" s="30" t="s">
        <v>1079</v>
      </c>
      <c r="AI168" s="33" t="s">
        <v>1826</v>
      </c>
    </row>
    <row r="169" spans="1:35" ht="19.5" thickBot="1">
      <c r="A169" s="53" t="s">
        <v>684</v>
      </c>
      <c r="B169" s="16" t="s">
        <v>360</v>
      </c>
      <c r="C169" s="28" t="s">
        <v>47</v>
      </c>
      <c r="D169" s="16" t="s">
        <v>61</v>
      </c>
      <c r="E169" s="28">
        <f>+[1]モンスター計算!E172</f>
        <v>970</v>
      </c>
      <c r="F169" s="15">
        <f>+[1]モンスター計算!F172</f>
        <v>182</v>
      </c>
      <c r="G169" s="15">
        <f>+[1]モンスター計算!G172</f>
        <v>66</v>
      </c>
      <c r="H169" s="15">
        <f>+[1]モンスター計算!H172</f>
        <v>225</v>
      </c>
      <c r="I169" s="15">
        <f>+[1]モンスター計算!I172</f>
        <v>76</v>
      </c>
      <c r="J169" s="16">
        <f>+[1]モンスター計算!J172</f>
        <v>88</v>
      </c>
      <c r="K169" s="28">
        <f>+[1]モンスター計算!K172</f>
        <v>0.05</v>
      </c>
      <c r="L169" s="16">
        <f>+[1]モンスター計算!L172</f>
        <v>1.4</v>
      </c>
      <c r="M169" s="28">
        <f>+[1]モンスター計算!M172</f>
        <v>3.35</v>
      </c>
      <c r="N169" s="15">
        <f>+[1]モンスター計算!N172</f>
        <v>1.55</v>
      </c>
      <c r="O169" s="16">
        <f>+[1]モンスター計算!O172</f>
        <v>2.2999999999999998</v>
      </c>
      <c r="P169" s="28">
        <f>+[1]モンスター計算!P172</f>
        <v>-7.0000000000000007E-2</v>
      </c>
      <c r="Q169" s="15">
        <f>+[1]モンスター計算!Q172</f>
        <v>-7.0000000000000007E-2</v>
      </c>
      <c r="R169" s="15">
        <f>+[1]モンスター計算!R172</f>
        <v>-7.0000000000000007E-2</v>
      </c>
      <c r="S169" s="15">
        <f>+[1]モンスター計算!S172</f>
        <v>-7.0000000000000007E-2</v>
      </c>
      <c r="T169" s="15">
        <f>+[1]モンスター計算!T172</f>
        <v>0.13</v>
      </c>
      <c r="U169" s="15">
        <f>+[1]モンスター計算!U172</f>
        <v>-0.17</v>
      </c>
      <c r="V169" s="16">
        <f>+[1]モンスター計算!V172</f>
        <v>4</v>
      </c>
      <c r="W169" s="31">
        <v>15</v>
      </c>
      <c r="X169" s="28" t="s">
        <v>72</v>
      </c>
      <c r="Y169" s="34" t="s">
        <v>92</v>
      </c>
      <c r="Z169" s="16">
        <v>1.3</v>
      </c>
      <c r="AA169" s="31">
        <v>40</v>
      </c>
      <c r="AB169" s="31">
        <f t="shared" si="4"/>
        <v>175</v>
      </c>
      <c r="AC169" s="48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1" t="s">
        <v>1080</v>
      </c>
      <c r="AI169" s="34" t="s">
        <v>1826</v>
      </c>
    </row>
    <row r="170" spans="1:35">
      <c r="A170" s="51" t="s">
        <v>685</v>
      </c>
      <c r="B170" s="11" t="s">
        <v>361</v>
      </c>
      <c r="C170" s="26" t="s">
        <v>45</v>
      </c>
      <c r="D170" s="11" t="s">
        <v>61</v>
      </c>
      <c r="E170" s="26">
        <f>+[1]モンスター計算!E173</f>
        <v>1731</v>
      </c>
      <c r="F170" s="10">
        <f>+[1]モンスター計算!F173</f>
        <v>210</v>
      </c>
      <c r="G170" s="10">
        <f>+[1]モンスター計算!G173</f>
        <v>92</v>
      </c>
      <c r="H170" s="10">
        <f>+[1]モンスター計算!H173</f>
        <v>205</v>
      </c>
      <c r="I170" s="10">
        <f>+[1]モンスター計算!I173</f>
        <v>150</v>
      </c>
      <c r="J170" s="11">
        <f>+[1]モンスター計算!J173</f>
        <v>98</v>
      </c>
      <c r="K170" s="26">
        <f>+[1]モンスター計算!K173</f>
        <v>0.08</v>
      </c>
      <c r="L170" s="11">
        <f>+[1]モンスター計算!L173</f>
        <v>1.6</v>
      </c>
      <c r="M170" s="26">
        <f>+[1]モンスター計算!M173</f>
        <v>2.8</v>
      </c>
      <c r="N170" s="10">
        <f>+[1]モンスター計算!N173</f>
        <v>1</v>
      </c>
      <c r="O170" s="11">
        <f>+[1]モンスター計算!O173</f>
        <v>2.5</v>
      </c>
      <c r="P170" s="26">
        <f>+[1]モンスター計算!P173</f>
        <v>-8.5000000000000006E-2</v>
      </c>
      <c r="Q170" s="10">
        <f>+[1]モンスター計算!Q173</f>
        <v>0.21500000000000002</v>
      </c>
      <c r="R170" s="10">
        <f>+[1]モンスター計算!R173</f>
        <v>1.4999999999999999E-2</v>
      </c>
      <c r="S170" s="10">
        <f>+[1]モンスター計算!S173</f>
        <v>1.4999999999999999E-2</v>
      </c>
      <c r="T170" s="10">
        <f>+[1]モンスター計算!T173</f>
        <v>1.4999999999999999E-2</v>
      </c>
      <c r="U170" s="10">
        <f>+[1]モンスター計算!U173</f>
        <v>1.4999999999999999E-2</v>
      </c>
      <c r="V170" s="11">
        <f>+[1]モンスター計算!V173</f>
        <v>4</v>
      </c>
      <c r="W170" s="29">
        <v>8</v>
      </c>
      <c r="X170" s="26" t="s">
        <v>109</v>
      </c>
      <c r="Y170" s="32" t="s">
        <v>87</v>
      </c>
      <c r="Z170" s="11">
        <v>1.2</v>
      </c>
      <c r="AA170" s="29">
        <v>5</v>
      </c>
      <c r="AB170" s="29">
        <f t="shared" si="4"/>
        <v>62</v>
      </c>
      <c r="AC170" s="46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29" t="s">
        <v>1081</v>
      </c>
      <c r="AI170" s="32" t="s">
        <v>1826</v>
      </c>
    </row>
    <row r="171" spans="1:35">
      <c r="A171" s="52" t="s">
        <v>686</v>
      </c>
      <c r="B171" s="13" t="s">
        <v>362</v>
      </c>
      <c r="C171" s="27" t="s">
        <v>44</v>
      </c>
      <c r="D171" s="13" t="s">
        <v>61</v>
      </c>
      <c r="E171" s="27">
        <f>+[1]モンスター計算!E174</f>
        <v>836</v>
      </c>
      <c r="F171" s="5">
        <f>+[1]モンスター計算!F174</f>
        <v>164</v>
      </c>
      <c r="G171" s="5">
        <f>+[1]モンスター計算!G174</f>
        <v>82</v>
      </c>
      <c r="H171" s="5">
        <f>+[1]モンスター計算!H174</f>
        <v>381</v>
      </c>
      <c r="I171" s="5">
        <f>+[1]モンスター計算!I174</f>
        <v>74</v>
      </c>
      <c r="J171" s="13">
        <f>+[1]モンスター計算!J174</f>
        <v>75</v>
      </c>
      <c r="K171" s="27">
        <f>+[1]モンスター計算!K174</f>
        <v>0.08</v>
      </c>
      <c r="L171" s="13">
        <f>+[1]モンスター計算!L174</f>
        <v>1.55</v>
      </c>
      <c r="M171" s="27">
        <f>+[1]モンスター計算!M174</f>
        <v>4.2</v>
      </c>
      <c r="N171" s="5">
        <f>+[1]モンスター計算!N174</f>
        <v>1.3</v>
      </c>
      <c r="O171" s="13">
        <f>+[1]モンスター計算!O174</f>
        <v>2.5</v>
      </c>
      <c r="P171" s="27">
        <f>+[1]モンスター計算!P174</f>
        <v>0.11000000000000001</v>
      </c>
      <c r="Q171" s="5">
        <f>+[1]モンスター計算!Q174</f>
        <v>-0.19</v>
      </c>
      <c r="R171" s="5">
        <f>+[1]モンスター計算!R174</f>
        <v>-0.09</v>
      </c>
      <c r="S171" s="5">
        <f>+[1]モンスター計算!S174</f>
        <v>-0.09</v>
      </c>
      <c r="T171" s="5">
        <f>+[1]モンスター計算!T174</f>
        <v>-0.09</v>
      </c>
      <c r="U171" s="5">
        <f>+[1]モンスター計算!U174</f>
        <v>-0.09</v>
      </c>
      <c r="V171" s="13">
        <f>+[1]モンスター計算!V174</f>
        <v>4.2</v>
      </c>
      <c r="W171" s="30">
        <v>8</v>
      </c>
      <c r="X171" s="27" t="s">
        <v>64</v>
      </c>
      <c r="Y171" s="33" t="s">
        <v>88</v>
      </c>
      <c r="Z171" s="13">
        <v>1.2</v>
      </c>
      <c r="AA171" s="30">
        <v>7</v>
      </c>
      <c r="AB171" s="30">
        <f t="shared" si="4"/>
        <v>70</v>
      </c>
      <c r="AC171" s="47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0" t="s">
        <v>1082</v>
      </c>
      <c r="AI171" s="33" t="s">
        <v>1826</v>
      </c>
    </row>
    <row r="172" spans="1:35">
      <c r="A172" s="52" t="s">
        <v>687</v>
      </c>
      <c r="B172" s="13" t="s">
        <v>363</v>
      </c>
      <c r="C172" s="27" t="s">
        <v>46</v>
      </c>
      <c r="D172" s="13" t="s">
        <v>61</v>
      </c>
      <c r="E172" s="27">
        <f>+[1]モンスター計算!E175</f>
        <v>1615</v>
      </c>
      <c r="F172" s="5">
        <f>+[1]モンスター計算!F175</f>
        <v>284</v>
      </c>
      <c r="G172" s="5">
        <f>+[1]モンスター計算!G175</f>
        <v>71</v>
      </c>
      <c r="H172" s="5">
        <f>+[1]モンスター計算!H175</f>
        <v>240</v>
      </c>
      <c r="I172" s="5">
        <f>+[1]モンスター計算!I175</f>
        <v>225</v>
      </c>
      <c r="J172" s="13">
        <f>+[1]モンスター計算!J175</f>
        <v>83</v>
      </c>
      <c r="K172" s="27">
        <f>+[1]モンスター計算!K175</f>
        <v>5.5E-2</v>
      </c>
      <c r="L172" s="13">
        <f>+[1]モンスター計算!L175</f>
        <v>1.5</v>
      </c>
      <c r="M172" s="27">
        <f>+[1]モンスター計算!M175</f>
        <v>1.85</v>
      </c>
      <c r="N172" s="5">
        <f>+[1]モンスター計算!N175</f>
        <v>0.87</v>
      </c>
      <c r="O172" s="13">
        <f>+[1]モンスター計算!O175</f>
        <v>2.35</v>
      </c>
      <c r="P172" s="27">
        <f>+[1]モンスター計算!P175</f>
        <v>6.5000000000000002E-2</v>
      </c>
      <c r="Q172" s="5">
        <f>+[1]モンスター計算!Q175</f>
        <v>6.5000000000000002E-2</v>
      </c>
      <c r="R172" s="5">
        <f>+[1]モンスター計算!R175</f>
        <v>0.26500000000000001</v>
      </c>
      <c r="S172" s="5">
        <f>+[1]モンスター計算!S175</f>
        <v>-3.5000000000000003E-2</v>
      </c>
      <c r="T172" s="5">
        <f>+[1]モンスター計算!T175</f>
        <v>6.5000000000000002E-2</v>
      </c>
      <c r="U172" s="5">
        <f>+[1]モンスター計算!U175</f>
        <v>6.5000000000000002E-2</v>
      </c>
      <c r="V172" s="13">
        <f>+[1]モンスター計算!V175</f>
        <v>4.2</v>
      </c>
      <c r="W172" s="30">
        <v>9</v>
      </c>
      <c r="X172" s="27" t="s">
        <v>66</v>
      </c>
      <c r="Y172" s="33" t="s">
        <v>89</v>
      </c>
      <c r="Z172" s="13">
        <v>1.22</v>
      </c>
      <c r="AA172" s="30">
        <v>10</v>
      </c>
      <c r="AB172" s="30">
        <f t="shared" si="4"/>
        <v>82</v>
      </c>
      <c r="AC172" s="47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0" t="s">
        <v>1083</v>
      </c>
      <c r="AI172" s="33" t="s">
        <v>1826</v>
      </c>
    </row>
    <row r="173" spans="1:35">
      <c r="A173" s="52" t="s">
        <v>688</v>
      </c>
      <c r="B173" s="13" t="s">
        <v>364</v>
      </c>
      <c r="C173" s="27" t="s">
        <v>44</v>
      </c>
      <c r="D173" s="13" t="s">
        <v>59</v>
      </c>
      <c r="E173" s="27">
        <f>+[1]モンスター計算!E176</f>
        <v>1731</v>
      </c>
      <c r="F173" s="5">
        <f>+[1]モンスター計算!F176</f>
        <v>79</v>
      </c>
      <c r="G173" s="5">
        <f>+[1]モンスター計算!G176</f>
        <v>208</v>
      </c>
      <c r="H173" s="5">
        <f>+[1]モンスター計算!H176</f>
        <v>94</v>
      </c>
      <c r="I173" s="5">
        <f>+[1]モンスター計算!I176</f>
        <v>150</v>
      </c>
      <c r="J173" s="13">
        <f>+[1]モンスター計算!J176</f>
        <v>98</v>
      </c>
      <c r="K173" s="27">
        <f>+[1]モンスター計算!K176</f>
        <v>0.08</v>
      </c>
      <c r="L173" s="13">
        <f>+[1]モンスター計算!L176</f>
        <v>1.6</v>
      </c>
      <c r="M173" s="27">
        <f>+[1]モンスター計算!M176</f>
        <v>2.8</v>
      </c>
      <c r="N173" s="5">
        <f>+[1]モンスター計算!N176</f>
        <v>1</v>
      </c>
      <c r="O173" s="13">
        <f>+[1]モンスター計算!O176</f>
        <v>1.2</v>
      </c>
      <c r="P173" s="27">
        <f>+[1]モンスター計算!P176</f>
        <v>0.23500000000000001</v>
      </c>
      <c r="Q173" s="5">
        <f>+[1]モンスター計算!Q176</f>
        <v>-6.5000000000000002E-2</v>
      </c>
      <c r="R173" s="5">
        <f>+[1]モンスター計算!R176</f>
        <v>3.5000000000000003E-2</v>
      </c>
      <c r="S173" s="5">
        <f>+[1]モンスター計算!S176</f>
        <v>3.5000000000000003E-2</v>
      </c>
      <c r="T173" s="5">
        <f>+[1]モンスター計算!T176</f>
        <v>3.5000000000000003E-2</v>
      </c>
      <c r="U173" s="5">
        <f>+[1]モンスター計算!U176</f>
        <v>3.5000000000000003E-2</v>
      </c>
      <c r="V173" s="13">
        <f>+[1]モンスター計算!V176</f>
        <v>4</v>
      </c>
      <c r="W173" s="30">
        <v>10</v>
      </c>
      <c r="X173" s="27" t="s">
        <v>68</v>
      </c>
      <c r="Y173" s="33" t="s">
        <v>90</v>
      </c>
      <c r="Z173" s="13">
        <v>1.25</v>
      </c>
      <c r="AA173" s="30">
        <v>15</v>
      </c>
      <c r="AB173" s="30">
        <f t="shared" si="4"/>
        <v>108</v>
      </c>
      <c r="AC173" s="47">
        <f t="shared" si="5"/>
        <v>29</v>
      </c>
      <c r="AD173" s="27" t="s">
        <v>74</v>
      </c>
      <c r="AE173" s="5">
        <v>0</v>
      </c>
      <c r="AF173" s="5">
        <v>0</v>
      </c>
      <c r="AG173" s="13" t="b">
        <v>0</v>
      </c>
      <c r="AH173" s="30" t="s">
        <v>1084</v>
      </c>
      <c r="AI173" s="33" t="s">
        <v>1826</v>
      </c>
    </row>
    <row r="174" spans="1:35">
      <c r="A174" s="52" t="s">
        <v>689</v>
      </c>
      <c r="B174" s="13" t="s">
        <v>365</v>
      </c>
      <c r="C174" s="27" t="s">
        <v>45</v>
      </c>
      <c r="D174" s="13" t="s">
        <v>59</v>
      </c>
      <c r="E174" s="27">
        <f>+[1]モンスター計算!E177</f>
        <v>1831</v>
      </c>
      <c r="F174" s="5">
        <f>+[1]モンスター計算!F177</f>
        <v>65</v>
      </c>
      <c r="G174" s="5">
        <f>+[1]モンスター計算!G177</f>
        <v>364</v>
      </c>
      <c r="H174" s="5">
        <f>+[1]モンスター計算!H177</f>
        <v>106</v>
      </c>
      <c r="I174" s="5">
        <f>+[1]モンスター計算!I177</f>
        <v>121</v>
      </c>
      <c r="J174" s="13">
        <f>+[1]モンスター計算!J177</f>
        <v>102</v>
      </c>
      <c r="K174" s="27">
        <f>+[1]モンスター計算!K177</f>
        <v>0.06</v>
      </c>
      <c r="L174" s="13">
        <f>+[1]モンスター計算!L177</f>
        <v>2.15</v>
      </c>
      <c r="M174" s="27">
        <f>+[1]モンスター計算!M177</f>
        <v>1.65</v>
      </c>
      <c r="N174" s="5">
        <f>+[1]モンスター計算!N177</f>
        <v>0.53</v>
      </c>
      <c r="O174" s="13">
        <f>+[1]モンスター計算!O177</f>
        <v>1.86</v>
      </c>
      <c r="P174" s="27">
        <f>+[1]モンスター計算!P177</f>
        <v>-0.125</v>
      </c>
      <c r="Q174" s="5">
        <f>+[1]モンスター計算!Q177</f>
        <v>0.17500000000000002</v>
      </c>
      <c r="R174" s="5">
        <f>+[1]モンスター計算!R177</f>
        <v>-2.5000000000000001E-2</v>
      </c>
      <c r="S174" s="5">
        <f>+[1]モンスター計算!S177</f>
        <v>-2.5000000000000001E-2</v>
      </c>
      <c r="T174" s="5">
        <f>+[1]モンスター計算!T177</f>
        <v>-2.5000000000000001E-2</v>
      </c>
      <c r="U174" s="5">
        <f>+[1]モンスター計算!U177</f>
        <v>-2.5000000000000001E-2</v>
      </c>
      <c r="V174" s="13">
        <f>+[1]モンスター計算!V177</f>
        <v>4.4000000000000004</v>
      </c>
      <c r="W174" s="30">
        <v>11</v>
      </c>
      <c r="X174" s="27" t="s">
        <v>70</v>
      </c>
      <c r="Y174" s="33" t="s">
        <v>91</v>
      </c>
      <c r="Z174" s="13">
        <v>1.25</v>
      </c>
      <c r="AA174" s="30">
        <v>20</v>
      </c>
      <c r="AB174" s="30">
        <f t="shared" si="4"/>
        <v>126</v>
      </c>
      <c r="AC174" s="47">
        <f t="shared" si="5"/>
        <v>29</v>
      </c>
      <c r="AD174" s="27" t="s">
        <v>74</v>
      </c>
      <c r="AE174" s="5">
        <v>0</v>
      </c>
      <c r="AF174" s="5">
        <v>0</v>
      </c>
      <c r="AG174" s="13" t="b">
        <v>0</v>
      </c>
      <c r="AH174" s="30" t="s">
        <v>1085</v>
      </c>
      <c r="AI174" s="33" t="s">
        <v>1826</v>
      </c>
    </row>
    <row r="175" spans="1:35" ht="19.5" thickBot="1">
      <c r="A175" s="53" t="s">
        <v>690</v>
      </c>
      <c r="B175" s="16" t="s">
        <v>366</v>
      </c>
      <c r="C175" s="28" t="s">
        <v>47</v>
      </c>
      <c r="D175" s="16" t="s">
        <v>61</v>
      </c>
      <c r="E175" s="28">
        <f>+[1]モンスター計算!E178</f>
        <v>1846</v>
      </c>
      <c r="F175" s="15">
        <f>+[1]モンスター計算!F178</f>
        <v>200</v>
      </c>
      <c r="G175" s="15">
        <f>+[1]モンスター計算!G178</f>
        <v>52</v>
      </c>
      <c r="H175" s="15">
        <f>+[1]モンスター計算!H178</f>
        <v>137</v>
      </c>
      <c r="I175" s="15">
        <f>+[1]モンスター計算!I178</f>
        <v>142</v>
      </c>
      <c r="J175" s="16">
        <f>+[1]モンスター計算!J178</f>
        <v>129</v>
      </c>
      <c r="K175" s="28">
        <f>+[1]モンスター計算!K178</f>
        <v>7.0000000000000007E-2</v>
      </c>
      <c r="L175" s="16">
        <f>+[1]モンスター計算!L178</f>
        <v>1.5</v>
      </c>
      <c r="M175" s="28">
        <f>+[1]モンスター計算!M178</f>
        <v>2.8</v>
      </c>
      <c r="N175" s="15">
        <f>+[1]モンスター計算!N178</f>
        <v>1.45</v>
      </c>
      <c r="O175" s="16">
        <f>+[1]モンスター計算!O178</f>
        <v>1.55</v>
      </c>
      <c r="P175" s="28">
        <f>+[1]モンスター計算!P178</f>
        <v>0.03</v>
      </c>
      <c r="Q175" s="15">
        <f>+[1]モンスター計算!Q178</f>
        <v>0.03</v>
      </c>
      <c r="R175" s="15">
        <f>+[1]モンスター計算!R178</f>
        <v>0.03</v>
      </c>
      <c r="S175" s="15">
        <f>+[1]モンスター計算!S178</f>
        <v>0.03</v>
      </c>
      <c r="T175" s="15">
        <f>+[1]モンスター計算!T178</f>
        <v>0.23</v>
      </c>
      <c r="U175" s="15">
        <f>+[1]モンスター計算!U178</f>
        <v>-7.0000000000000007E-2</v>
      </c>
      <c r="V175" s="16">
        <f>+[1]モンスター計算!V178</f>
        <v>3.6</v>
      </c>
      <c r="W175" s="31">
        <v>15</v>
      </c>
      <c r="X175" s="28" t="s">
        <v>72</v>
      </c>
      <c r="Y175" s="34" t="s">
        <v>92</v>
      </c>
      <c r="Z175" s="16">
        <v>1.3</v>
      </c>
      <c r="AA175" s="31">
        <v>40</v>
      </c>
      <c r="AB175" s="31">
        <f t="shared" si="4"/>
        <v>184</v>
      </c>
      <c r="AC175" s="48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1" t="s">
        <v>1086</v>
      </c>
      <c r="AI175" s="34" t="s">
        <v>1826</v>
      </c>
    </row>
    <row r="176" spans="1:35">
      <c r="A176" s="51" t="s">
        <v>691</v>
      </c>
      <c r="B176" s="11" t="s">
        <v>367</v>
      </c>
      <c r="C176" s="26" t="s">
        <v>45</v>
      </c>
      <c r="D176" s="11" t="s">
        <v>61</v>
      </c>
      <c r="E176" s="26">
        <f>+[1]モンスター計算!E179</f>
        <v>1444</v>
      </c>
      <c r="F176" s="10">
        <f>+[1]モンスター計算!F179</f>
        <v>370</v>
      </c>
      <c r="G176" s="10">
        <f>+[1]モンスター計算!G179</f>
        <v>157</v>
      </c>
      <c r="H176" s="10">
        <f>+[1]モンスター計算!H179</f>
        <v>464</v>
      </c>
      <c r="I176" s="10">
        <f>+[1]モンスター計算!I179</f>
        <v>112</v>
      </c>
      <c r="J176" s="11">
        <f>+[1]モンスター計算!J179</f>
        <v>121</v>
      </c>
      <c r="K176" s="26">
        <f>+[1]モンスター計算!K179</f>
        <v>0.04</v>
      </c>
      <c r="L176" s="11">
        <f>+[1]モンスター計算!L179</f>
        <v>2.2000000000000002</v>
      </c>
      <c r="M176" s="26">
        <f>+[1]モンスター計算!M179</f>
        <v>1.65</v>
      </c>
      <c r="N176" s="10">
        <f>+[1]モンスター計算!N179</f>
        <v>0.64</v>
      </c>
      <c r="O176" s="11">
        <f>+[1]モンスター計算!O179</f>
        <v>3.7</v>
      </c>
      <c r="P176" s="26">
        <f>+[1]モンスター計算!P179</f>
        <v>-0.125</v>
      </c>
      <c r="Q176" s="10">
        <f>+[1]モンスター計算!Q179</f>
        <v>0.17500000000000002</v>
      </c>
      <c r="R176" s="10">
        <f>+[1]モンスター計算!R179</f>
        <v>-2.5000000000000001E-2</v>
      </c>
      <c r="S176" s="10">
        <f>+[1]モンスター計算!S179</f>
        <v>-2.5000000000000001E-2</v>
      </c>
      <c r="T176" s="10">
        <f>+[1]モンスター計算!T179</f>
        <v>-2.5000000000000001E-2</v>
      </c>
      <c r="U176" s="10">
        <f>+[1]モンスター計算!U179</f>
        <v>-2.5000000000000001E-2</v>
      </c>
      <c r="V176" s="11">
        <f>+[1]モンスター計算!V179</f>
        <v>5</v>
      </c>
      <c r="W176" s="29">
        <v>8</v>
      </c>
      <c r="X176" s="26" t="s">
        <v>109</v>
      </c>
      <c r="Y176" s="32" t="s">
        <v>87</v>
      </c>
      <c r="Z176" s="11">
        <v>1.2</v>
      </c>
      <c r="AA176" s="29">
        <v>5</v>
      </c>
      <c r="AB176" s="29">
        <f t="shared" si="4"/>
        <v>66</v>
      </c>
      <c r="AC176" s="46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29" t="s">
        <v>1087</v>
      </c>
      <c r="AI176" s="32" t="s">
        <v>1826</v>
      </c>
    </row>
    <row r="177" spans="1:35">
      <c r="A177" s="52" t="s">
        <v>692</v>
      </c>
      <c r="B177" s="13" t="s">
        <v>368</v>
      </c>
      <c r="C177" s="27" t="s">
        <v>44</v>
      </c>
      <c r="D177" s="13" t="s">
        <v>61</v>
      </c>
      <c r="E177" s="27">
        <f>+[1]モンスター計算!E180</f>
        <v>1681</v>
      </c>
      <c r="F177" s="5">
        <f>+[1]モンスター計算!F180</f>
        <v>405</v>
      </c>
      <c r="G177" s="5">
        <f>+[1]モンスター計算!G180</f>
        <v>82</v>
      </c>
      <c r="H177" s="5">
        <f>+[1]モンスター計算!H180</f>
        <v>279</v>
      </c>
      <c r="I177" s="5">
        <f>+[1]モンスター計算!I180</f>
        <v>98</v>
      </c>
      <c r="J177" s="13">
        <f>+[1]モンスター計算!J180</f>
        <v>260</v>
      </c>
      <c r="K177" s="27">
        <f>+[1]モンスター計算!K180</f>
        <v>4.4999999999999998E-2</v>
      </c>
      <c r="L177" s="13">
        <f>+[1]モンスター計算!L180</f>
        <v>1.45</v>
      </c>
      <c r="M177" s="27">
        <f>+[1]モンスター計算!M180</f>
        <v>1.9</v>
      </c>
      <c r="N177" s="5">
        <f>+[1]モンスター計算!N180</f>
        <v>0.84</v>
      </c>
      <c r="O177" s="13">
        <f>+[1]モンスター計算!O180</f>
        <v>2.65</v>
      </c>
      <c r="P177" s="27">
        <f>+[1]モンスター計算!P180</f>
        <v>0.29000000000000004</v>
      </c>
      <c r="Q177" s="5">
        <f>+[1]モンスター計算!Q180</f>
        <v>-1.0000000000000009E-2</v>
      </c>
      <c r="R177" s="5">
        <f>+[1]モンスター計算!R180</f>
        <v>0.09</v>
      </c>
      <c r="S177" s="5">
        <f>+[1]モンスター計算!S180</f>
        <v>0.09</v>
      </c>
      <c r="T177" s="5">
        <f>+[1]モンスター計算!T180</f>
        <v>0.09</v>
      </c>
      <c r="U177" s="5">
        <f>+[1]モンスター計算!U180</f>
        <v>0.09</v>
      </c>
      <c r="V177" s="13">
        <f>+[1]モンスター計算!V180</f>
        <v>4.4000000000000004</v>
      </c>
      <c r="W177" s="30">
        <v>8</v>
      </c>
      <c r="X177" s="27" t="s">
        <v>64</v>
      </c>
      <c r="Y177" s="33" t="s">
        <v>88</v>
      </c>
      <c r="Z177" s="13">
        <v>1.2</v>
      </c>
      <c r="AA177" s="30">
        <v>7</v>
      </c>
      <c r="AB177" s="30">
        <f t="shared" si="4"/>
        <v>74</v>
      </c>
      <c r="AC177" s="47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0" t="s">
        <v>1088</v>
      </c>
      <c r="AI177" s="33" t="s">
        <v>1826</v>
      </c>
    </row>
    <row r="178" spans="1:35">
      <c r="A178" s="52" t="s">
        <v>693</v>
      </c>
      <c r="B178" s="13" t="s">
        <v>369</v>
      </c>
      <c r="C178" s="27" t="s">
        <v>46</v>
      </c>
      <c r="D178" s="13" t="s">
        <v>61</v>
      </c>
      <c r="E178" s="27">
        <f>+[1]モンスター計算!E181</f>
        <v>872</v>
      </c>
      <c r="F178" s="5">
        <f>+[1]モンスター計算!F181</f>
        <v>347</v>
      </c>
      <c r="G178" s="5">
        <f>+[1]モンスター計算!G181</f>
        <v>163</v>
      </c>
      <c r="H178" s="5">
        <f>+[1]モンスター計算!H181</f>
        <v>453</v>
      </c>
      <c r="I178" s="5">
        <f>+[1]モンスター計算!I181</f>
        <v>184</v>
      </c>
      <c r="J178" s="13">
        <f>+[1]モンスター計算!J181</f>
        <v>286</v>
      </c>
      <c r="K178" s="27">
        <f>+[1]モンスター計算!K181</f>
        <v>0.04</v>
      </c>
      <c r="L178" s="13">
        <f>+[1]モンスター計算!L181</f>
        <v>1.38</v>
      </c>
      <c r="M178" s="27">
        <f>+[1]モンスター計算!M181</f>
        <v>2.2000000000000002</v>
      </c>
      <c r="N178" s="5">
        <f>+[1]モンスター計算!N181</f>
        <v>0.88</v>
      </c>
      <c r="O178" s="13">
        <f>+[1]モンスター計算!O181</f>
        <v>3.15</v>
      </c>
      <c r="P178" s="27">
        <f>+[1]モンスター計算!P181</f>
        <v>0.13</v>
      </c>
      <c r="Q178" s="5">
        <f>+[1]モンスター計算!Q181</f>
        <v>0.13</v>
      </c>
      <c r="R178" s="5">
        <f>+[1]モンスター計算!R181</f>
        <v>0.33</v>
      </c>
      <c r="S178" s="5">
        <f>+[1]モンスター計算!S181</f>
        <v>0.03</v>
      </c>
      <c r="T178" s="5">
        <f>+[1]モンスター計算!T181</f>
        <v>0.13</v>
      </c>
      <c r="U178" s="5">
        <f>+[1]モンスター計算!U181</f>
        <v>0.13</v>
      </c>
      <c r="V178" s="13">
        <f>+[1]モンスター計算!V181</f>
        <v>4.4800000000000004</v>
      </c>
      <c r="W178" s="30">
        <v>9</v>
      </c>
      <c r="X178" s="27" t="s">
        <v>66</v>
      </c>
      <c r="Y178" s="33" t="s">
        <v>89</v>
      </c>
      <c r="Z178" s="13">
        <v>1.22</v>
      </c>
      <c r="AA178" s="30">
        <v>10</v>
      </c>
      <c r="AB178" s="30">
        <f t="shared" si="4"/>
        <v>87</v>
      </c>
      <c r="AC178" s="47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0" t="s">
        <v>1089</v>
      </c>
      <c r="AI178" s="33" t="s">
        <v>1826</v>
      </c>
    </row>
    <row r="179" spans="1:35">
      <c r="A179" s="52" t="s">
        <v>694</v>
      </c>
      <c r="B179" s="13" t="s">
        <v>370</v>
      </c>
      <c r="C179" s="27" t="s">
        <v>44</v>
      </c>
      <c r="D179" s="13" t="s">
        <v>59</v>
      </c>
      <c r="E179" s="27">
        <f>+[1]モンスター計算!E182</f>
        <v>1031</v>
      </c>
      <c r="F179" s="5">
        <f>+[1]モンスター計算!F182</f>
        <v>49</v>
      </c>
      <c r="G179" s="5">
        <f>+[1]モンスター計算!G182</f>
        <v>317</v>
      </c>
      <c r="H179" s="5">
        <f>+[1]モンスター計算!H182</f>
        <v>93</v>
      </c>
      <c r="I179" s="5">
        <f>+[1]モンスター計算!I182</f>
        <v>79</v>
      </c>
      <c r="J179" s="13">
        <f>+[1]モンスター計算!J182</f>
        <v>86</v>
      </c>
      <c r="K179" s="27">
        <f>+[1]モンスター計算!K182</f>
        <v>0.18</v>
      </c>
      <c r="L179" s="13">
        <f>+[1]モンスター計算!L182</f>
        <v>2.1</v>
      </c>
      <c r="M179" s="27">
        <f>+[1]モンスター計算!M182</f>
        <v>3.15</v>
      </c>
      <c r="N179" s="5">
        <f>+[1]モンスター計算!N182</f>
        <v>1.35</v>
      </c>
      <c r="O179" s="13">
        <f>+[1]モンスター計算!O182</f>
        <v>1.29</v>
      </c>
      <c r="P179" s="27">
        <f>+[1]モンスター計算!P182</f>
        <v>0.12000000000000001</v>
      </c>
      <c r="Q179" s="5">
        <f>+[1]モンスター計算!Q182</f>
        <v>-0.18</v>
      </c>
      <c r="R179" s="5">
        <f>+[1]モンスター計算!R182</f>
        <v>-0.08</v>
      </c>
      <c r="S179" s="5">
        <f>+[1]モンスター計算!S182</f>
        <v>-0.08</v>
      </c>
      <c r="T179" s="5">
        <f>+[1]モンスター計算!T182</f>
        <v>-0.08</v>
      </c>
      <c r="U179" s="5">
        <f>+[1]モンスター計算!U182</f>
        <v>-0.08</v>
      </c>
      <c r="V179" s="13">
        <f>+[1]モンスター計算!V182</f>
        <v>4.8</v>
      </c>
      <c r="W179" s="30">
        <v>10</v>
      </c>
      <c r="X179" s="27" t="s">
        <v>68</v>
      </c>
      <c r="Y179" s="33" t="s">
        <v>90</v>
      </c>
      <c r="Z179" s="13">
        <v>1.25</v>
      </c>
      <c r="AA179" s="30">
        <v>15</v>
      </c>
      <c r="AB179" s="30">
        <f t="shared" si="4"/>
        <v>114</v>
      </c>
      <c r="AC179" s="47">
        <f t="shared" si="5"/>
        <v>30</v>
      </c>
      <c r="AD179" s="27" t="s">
        <v>74</v>
      </c>
      <c r="AE179" s="5">
        <v>0</v>
      </c>
      <c r="AF179" s="5">
        <v>0</v>
      </c>
      <c r="AG179" s="13" t="b">
        <v>0</v>
      </c>
      <c r="AH179" s="30" t="s">
        <v>1090</v>
      </c>
      <c r="AI179" s="33" t="s">
        <v>1826</v>
      </c>
    </row>
    <row r="180" spans="1:35">
      <c r="A180" s="52" t="s">
        <v>695</v>
      </c>
      <c r="B180" s="13" t="s">
        <v>371</v>
      </c>
      <c r="C180" s="27" t="s">
        <v>45</v>
      </c>
      <c r="D180" s="13" t="s">
        <v>59</v>
      </c>
      <c r="E180" s="27">
        <f>+[1]モンスター計算!E183</f>
        <v>1872</v>
      </c>
      <c r="F180" s="5">
        <f>+[1]モンスター計算!F183</f>
        <v>108</v>
      </c>
      <c r="G180" s="5">
        <f>+[1]モンスター計算!G183</f>
        <v>247</v>
      </c>
      <c r="H180" s="5">
        <f>+[1]モンスター計算!H183</f>
        <v>78</v>
      </c>
      <c r="I180" s="5">
        <f>+[1]モンスター計算!I183</f>
        <v>145</v>
      </c>
      <c r="J180" s="13">
        <f>+[1]モンスター計算!J183</f>
        <v>145</v>
      </c>
      <c r="K180" s="27">
        <f>+[1]モンスター計算!K183</f>
        <v>0.04</v>
      </c>
      <c r="L180" s="13">
        <f>+[1]モンスター計算!L183</f>
        <v>1.43</v>
      </c>
      <c r="M180" s="27">
        <f>+[1]モンスター計算!M183</f>
        <v>2.15</v>
      </c>
      <c r="N180" s="5">
        <f>+[1]モンスター計算!N183</f>
        <v>0.88</v>
      </c>
      <c r="O180" s="13">
        <f>+[1]モンスター計算!O183</f>
        <v>1.425</v>
      </c>
      <c r="P180" s="27">
        <f>+[1]モンスター計算!P183</f>
        <v>0.09</v>
      </c>
      <c r="Q180" s="5">
        <f>+[1]モンスター計算!Q183</f>
        <v>0.39</v>
      </c>
      <c r="R180" s="5">
        <f>+[1]モンスター計算!R183</f>
        <v>0.19</v>
      </c>
      <c r="S180" s="5">
        <f>+[1]モンスター計算!S183</f>
        <v>0.19</v>
      </c>
      <c r="T180" s="5">
        <f>+[1]モンスター計算!T183</f>
        <v>0.19</v>
      </c>
      <c r="U180" s="5">
        <f>+[1]モンスター計算!U183</f>
        <v>0.19</v>
      </c>
      <c r="V180" s="13">
        <f>+[1]モンスター計算!V183</f>
        <v>3.8</v>
      </c>
      <c r="W180" s="30">
        <v>11</v>
      </c>
      <c r="X180" s="27" t="s">
        <v>70</v>
      </c>
      <c r="Y180" s="33" t="s">
        <v>91</v>
      </c>
      <c r="Z180" s="13">
        <v>1.25</v>
      </c>
      <c r="AA180" s="30">
        <v>20</v>
      </c>
      <c r="AB180" s="30">
        <f t="shared" si="4"/>
        <v>133</v>
      </c>
      <c r="AC180" s="47">
        <f t="shared" si="5"/>
        <v>30</v>
      </c>
      <c r="AD180" s="27" t="s">
        <v>74</v>
      </c>
      <c r="AE180" s="5">
        <v>0</v>
      </c>
      <c r="AF180" s="5">
        <v>0</v>
      </c>
      <c r="AG180" s="13" t="b">
        <v>0</v>
      </c>
      <c r="AH180" s="30" t="s">
        <v>1091</v>
      </c>
      <c r="AI180" s="33" t="s">
        <v>1826</v>
      </c>
    </row>
    <row r="181" spans="1:35" ht="19.5" thickBot="1">
      <c r="A181" s="53" t="s">
        <v>696</v>
      </c>
      <c r="B181" s="16" t="s">
        <v>372</v>
      </c>
      <c r="C181" s="28" t="s">
        <v>47</v>
      </c>
      <c r="D181" s="16" t="s">
        <v>61</v>
      </c>
      <c r="E181" s="28">
        <f>+[1]モンスター計算!E184</f>
        <v>1634</v>
      </c>
      <c r="F181" s="15">
        <f>+[1]モンスター計算!F184</f>
        <v>613</v>
      </c>
      <c r="G181" s="15">
        <f>+[1]モンスター計算!G184</f>
        <v>92</v>
      </c>
      <c r="H181" s="15">
        <f>+[1]モンスター計算!H184</f>
        <v>293</v>
      </c>
      <c r="I181" s="15">
        <f>+[1]モンスター計算!I184</f>
        <v>122</v>
      </c>
      <c r="J181" s="16">
        <f>+[1]モンスター計算!J184</f>
        <v>150</v>
      </c>
      <c r="K181" s="28">
        <f>+[1]モンスター計算!K184</f>
        <v>6.5000000000000002E-2</v>
      </c>
      <c r="L181" s="16">
        <f>+[1]モンスター計算!L184</f>
        <v>1.45</v>
      </c>
      <c r="M181" s="28">
        <f>+[1]モンスター計算!M184</f>
        <v>2.1</v>
      </c>
      <c r="N181" s="15">
        <f>+[1]モンスター計算!N184</f>
        <v>0.9</v>
      </c>
      <c r="O181" s="16">
        <f>+[1]モンスター計算!O184</f>
        <v>2.8</v>
      </c>
      <c r="P181" s="28">
        <f>+[1]モンスター計算!P184</f>
        <v>0.02</v>
      </c>
      <c r="Q181" s="15">
        <f>+[1]モンスター計算!Q184</f>
        <v>0.02</v>
      </c>
      <c r="R181" s="15">
        <f>+[1]モンスター計算!R184</f>
        <v>0.02</v>
      </c>
      <c r="S181" s="15">
        <f>+[1]モンスター計算!S184</f>
        <v>0.02</v>
      </c>
      <c r="T181" s="15">
        <f>+[1]モンスター計算!T184</f>
        <v>0.22</v>
      </c>
      <c r="U181" s="15">
        <f>+[1]モンスター計算!U184</f>
        <v>-0.08</v>
      </c>
      <c r="V181" s="16">
        <f>+[1]モンスター計算!V184</f>
        <v>4.2</v>
      </c>
      <c r="W181" s="31">
        <v>15</v>
      </c>
      <c r="X181" s="28" t="s">
        <v>72</v>
      </c>
      <c r="Y181" s="34" t="s">
        <v>92</v>
      </c>
      <c r="Z181" s="16">
        <v>1.3</v>
      </c>
      <c r="AA181" s="31">
        <v>40</v>
      </c>
      <c r="AB181" s="31">
        <f t="shared" si="4"/>
        <v>194</v>
      </c>
      <c r="AC181" s="48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1" t="s">
        <v>1092</v>
      </c>
      <c r="AI181" s="34" t="s">
        <v>1826</v>
      </c>
    </row>
    <row r="182" spans="1:35">
      <c r="A182" s="51" t="s">
        <v>697</v>
      </c>
      <c r="B182" s="11" t="s">
        <v>373</v>
      </c>
      <c r="C182" s="26" t="s">
        <v>45</v>
      </c>
      <c r="D182" s="11" t="s">
        <v>61</v>
      </c>
      <c r="E182" s="26">
        <f>+[1]モンスター計算!E185</f>
        <v>1431</v>
      </c>
      <c r="F182" s="10">
        <f>+[1]モンスター計算!F185</f>
        <v>343</v>
      </c>
      <c r="G182" s="10">
        <f>+[1]モンスター計算!G185</f>
        <v>132</v>
      </c>
      <c r="H182" s="10">
        <f>+[1]モンスター計算!H185</f>
        <v>490</v>
      </c>
      <c r="I182" s="10">
        <f>+[1]モンスター計算!I185</f>
        <v>113</v>
      </c>
      <c r="J182" s="11">
        <f>+[1]モンスター計算!J185</f>
        <v>121</v>
      </c>
      <c r="K182" s="26">
        <f>+[1]モンスター計算!K185</f>
        <v>0.12</v>
      </c>
      <c r="L182" s="11">
        <f>+[1]モンスター計算!L185</f>
        <v>2.5499999999999998</v>
      </c>
      <c r="M182" s="26">
        <f>+[1]モンスター計算!M185</f>
        <v>2.2999999999999998</v>
      </c>
      <c r="N182" s="10">
        <f>+[1]モンスター計算!N185</f>
        <v>0.68</v>
      </c>
      <c r="O182" s="11">
        <f>+[1]モンスター計算!O185</f>
        <v>3.55</v>
      </c>
      <c r="P182" s="26">
        <f>+[1]モンスター計算!P185</f>
        <v>-0.155</v>
      </c>
      <c r="Q182" s="10">
        <f>+[1]モンスター計算!Q185</f>
        <v>0.14500000000000002</v>
      </c>
      <c r="R182" s="10">
        <f>+[1]モンスター計算!R185</f>
        <v>-5.5E-2</v>
      </c>
      <c r="S182" s="10">
        <f>+[1]モンスター計算!S185</f>
        <v>-5.5E-2</v>
      </c>
      <c r="T182" s="10">
        <f>+[1]モンスター計算!T185</f>
        <v>-5.5E-2</v>
      </c>
      <c r="U182" s="10">
        <f>+[1]モンスター計算!U185</f>
        <v>-5.5E-2</v>
      </c>
      <c r="V182" s="11">
        <f>+[1]モンスター計算!V185</f>
        <v>4.8</v>
      </c>
      <c r="W182" s="29">
        <v>8</v>
      </c>
      <c r="X182" s="26" t="s">
        <v>109</v>
      </c>
      <c r="Y182" s="32" t="s">
        <v>87</v>
      </c>
      <c r="Z182" s="11">
        <v>1.2</v>
      </c>
      <c r="AA182" s="29">
        <v>5</v>
      </c>
      <c r="AB182" s="29">
        <f t="shared" si="4"/>
        <v>70</v>
      </c>
      <c r="AC182" s="46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29" t="s">
        <v>1093</v>
      </c>
      <c r="AI182" s="32" t="s">
        <v>1826</v>
      </c>
    </row>
    <row r="183" spans="1:35">
      <c r="A183" s="52" t="s">
        <v>698</v>
      </c>
      <c r="B183" s="13" t="s">
        <v>374</v>
      </c>
      <c r="C183" s="27" t="s">
        <v>44</v>
      </c>
      <c r="D183" s="13" t="s">
        <v>61</v>
      </c>
      <c r="E183" s="27">
        <f>+[1]モンスター計算!E186</f>
        <v>2443</v>
      </c>
      <c r="F183" s="5">
        <f>+[1]モンスター計算!F186</f>
        <v>560</v>
      </c>
      <c r="G183" s="5">
        <f>+[1]モンスター計算!G186</f>
        <v>93</v>
      </c>
      <c r="H183" s="5">
        <f>+[1]モンスター計算!H186</f>
        <v>247</v>
      </c>
      <c r="I183" s="5">
        <f>+[1]モンスター計算!I186</f>
        <v>133</v>
      </c>
      <c r="J183" s="13">
        <f>+[1]モンスター計算!J186</f>
        <v>235</v>
      </c>
      <c r="K183" s="27">
        <f>+[1]モンスター計算!K186</f>
        <v>0.115</v>
      </c>
      <c r="L183" s="13">
        <f>+[1]モンスター計算!L186</f>
        <v>1.95</v>
      </c>
      <c r="M183" s="27">
        <f>+[1]モンスター計算!M186</f>
        <v>1.2</v>
      </c>
      <c r="N183" s="5">
        <f>+[1]モンスター計算!N186</f>
        <v>0.72</v>
      </c>
      <c r="O183" s="13">
        <f>+[1]モンスター計算!O186</f>
        <v>3.3250000000000002</v>
      </c>
      <c r="P183" s="27">
        <f>+[1]モンスター計算!P186</f>
        <v>0.28000000000000003</v>
      </c>
      <c r="Q183" s="5">
        <f>+[1]モンスター計算!Q186</f>
        <v>-2.0000000000000004E-2</v>
      </c>
      <c r="R183" s="5">
        <f>+[1]モンスター計算!R186</f>
        <v>0.08</v>
      </c>
      <c r="S183" s="5">
        <f>+[1]モンスター計算!S186</f>
        <v>0.08</v>
      </c>
      <c r="T183" s="5">
        <f>+[1]モンスター計算!T186</f>
        <v>0.08</v>
      </c>
      <c r="U183" s="5">
        <f>+[1]モンスター計算!U186</f>
        <v>0.08</v>
      </c>
      <c r="V183" s="13">
        <f>+[1]モンスター計算!V186</f>
        <v>5</v>
      </c>
      <c r="W183" s="30">
        <v>8</v>
      </c>
      <c r="X183" s="27" t="s">
        <v>64</v>
      </c>
      <c r="Y183" s="33" t="s">
        <v>88</v>
      </c>
      <c r="Z183" s="13">
        <v>1.2</v>
      </c>
      <c r="AA183" s="30">
        <v>7</v>
      </c>
      <c r="AB183" s="30">
        <f t="shared" si="4"/>
        <v>78</v>
      </c>
      <c r="AC183" s="47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0" t="s">
        <v>1094</v>
      </c>
      <c r="AI183" s="33" t="s">
        <v>1826</v>
      </c>
    </row>
    <row r="184" spans="1:35">
      <c r="A184" s="52" t="s">
        <v>699</v>
      </c>
      <c r="B184" s="13" t="s">
        <v>375</v>
      </c>
      <c r="C184" s="27" t="s">
        <v>46</v>
      </c>
      <c r="D184" s="13" t="s">
        <v>61</v>
      </c>
      <c r="E184" s="27">
        <f>+[1]モンスター計算!E187</f>
        <v>1361</v>
      </c>
      <c r="F184" s="5">
        <f>+[1]モンスター計算!F187</f>
        <v>293</v>
      </c>
      <c r="G184" s="5">
        <f>+[1]モンスター計算!G187</f>
        <v>166</v>
      </c>
      <c r="H184" s="5">
        <f>+[1]モンスター計算!H187</f>
        <v>369</v>
      </c>
      <c r="I184" s="5">
        <f>+[1]モンスター計算!I187</f>
        <v>105</v>
      </c>
      <c r="J184" s="13">
        <f>+[1]モンスター計算!J187</f>
        <v>112</v>
      </c>
      <c r="K184" s="27">
        <f>+[1]モンスター計算!K187</f>
        <v>0.11</v>
      </c>
      <c r="L184" s="13">
        <f>+[1]モンスター計算!L187</f>
        <v>1.65</v>
      </c>
      <c r="M184" s="27">
        <f>+[1]モンスター計算!M187</f>
        <v>2.2000000000000002</v>
      </c>
      <c r="N184" s="5">
        <f>+[1]モンスター計算!N187</f>
        <v>1.1000000000000001</v>
      </c>
      <c r="O184" s="13">
        <f>+[1]モンスター計算!O187</f>
        <v>2.75</v>
      </c>
      <c r="P184" s="27">
        <f>+[1]モンスター計算!P187</f>
        <v>-0.04</v>
      </c>
      <c r="Q184" s="5">
        <f>+[1]モンスター計算!Q187</f>
        <v>-0.04</v>
      </c>
      <c r="R184" s="5">
        <f>+[1]モンスター計算!R187</f>
        <v>0.16</v>
      </c>
      <c r="S184" s="5">
        <f>+[1]モンスター計算!S187</f>
        <v>-0.14000000000000001</v>
      </c>
      <c r="T184" s="5">
        <f>+[1]モンスター計算!T187</f>
        <v>-0.04</v>
      </c>
      <c r="U184" s="5">
        <f>+[1]モンスター計算!U187</f>
        <v>-0.04</v>
      </c>
      <c r="V184" s="13">
        <f>+[1]モンスター計算!V187</f>
        <v>4.2</v>
      </c>
      <c r="W184" s="30">
        <v>9</v>
      </c>
      <c r="X184" s="27" t="s">
        <v>66</v>
      </c>
      <c r="Y184" s="33" t="s">
        <v>89</v>
      </c>
      <c r="Z184" s="13">
        <v>1.22</v>
      </c>
      <c r="AA184" s="30">
        <v>10</v>
      </c>
      <c r="AB184" s="30">
        <f t="shared" si="4"/>
        <v>92</v>
      </c>
      <c r="AC184" s="47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0" t="s">
        <v>1095</v>
      </c>
      <c r="AI184" s="33" t="s">
        <v>1826</v>
      </c>
    </row>
    <row r="185" spans="1:35">
      <c r="A185" s="52" t="s">
        <v>700</v>
      </c>
      <c r="B185" s="13" t="s">
        <v>376</v>
      </c>
      <c r="C185" s="27" t="s">
        <v>44</v>
      </c>
      <c r="D185" s="13" t="s">
        <v>59</v>
      </c>
      <c r="E185" s="27">
        <f>+[1]モンスター計算!E188</f>
        <v>2565</v>
      </c>
      <c r="F185" s="5">
        <f>+[1]モンスター計算!F188</f>
        <v>113</v>
      </c>
      <c r="G185" s="5">
        <f>+[1]モンスター計算!G188</f>
        <v>235</v>
      </c>
      <c r="H185" s="5">
        <f>+[1]モンスター計算!H188</f>
        <v>80</v>
      </c>
      <c r="I185" s="5">
        <f>+[1]モンスター計算!I188</f>
        <v>128</v>
      </c>
      <c r="J185" s="13">
        <f>+[1]モンスター計算!J188</f>
        <v>307</v>
      </c>
      <c r="K185" s="27">
        <f>+[1]モンスター計算!K188</f>
        <v>0.05</v>
      </c>
      <c r="L185" s="13">
        <f>+[1]モンスター計算!L188</f>
        <v>1.5</v>
      </c>
      <c r="M185" s="27">
        <f>+[1]モンスター計算!M188</f>
        <v>2.0499999999999998</v>
      </c>
      <c r="N185" s="5">
        <f>+[1]モンスター計算!N188</f>
        <v>0.79</v>
      </c>
      <c r="O185" s="13">
        <f>+[1]モンスター計算!O188</f>
        <v>1.26</v>
      </c>
      <c r="P185" s="27">
        <f>+[1]モンスター計算!P188</f>
        <v>0.27</v>
      </c>
      <c r="Q185" s="5">
        <f>+[1]モンスター計算!Q188</f>
        <v>-0.03</v>
      </c>
      <c r="R185" s="5">
        <f>+[1]モンスター計算!R188</f>
        <v>7.0000000000000007E-2</v>
      </c>
      <c r="S185" s="5">
        <f>+[1]モンスター計算!S188</f>
        <v>7.0000000000000007E-2</v>
      </c>
      <c r="T185" s="5">
        <f>+[1]モンスター計算!T188</f>
        <v>7.0000000000000007E-2</v>
      </c>
      <c r="U185" s="5">
        <f>+[1]モンスター計算!U188</f>
        <v>7.0000000000000007E-2</v>
      </c>
      <c r="V185" s="13">
        <f>+[1]モンスター計算!V188</f>
        <v>4</v>
      </c>
      <c r="W185" s="30">
        <v>10</v>
      </c>
      <c r="X185" s="27" t="s">
        <v>68</v>
      </c>
      <c r="Y185" s="33" t="s">
        <v>90</v>
      </c>
      <c r="Z185" s="13">
        <v>1.25</v>
      </c>
      <c r="AA185" s="30">
        <v>15</v>
      </c>
      <c r="AB185" s="30">
        <f t="shared" si="4"/>
        <v>120</v>
      </c>
      <c r="AC185" s="47">
        <f t="shared" si="5"/>
        <v>31</v>
      </c>
      <c r="AD185" s="27" t="s">
        <v>74</v>
      </c>
      <c r="AE185" s="5">
        <v>0</v>
      </c>
      <c r="AF185" s="5">
        <v>0</v>
      </c>
      <c r="AG185" s="13" t="b">
        <v>0</v>
      </c>
      <c r="AH185" s="30" t="s">
        <v>1096</v>
      </c>
      <c r="AI185" s="33" t="s">
        <v>1826</v>
      </c>
    </row>
    <row r="186" spans="1:35">
      <c r="A186" s="52" t="s">
        <v>701</v>
      </c>
      <c r="B186" s="13" t="s">
        <v>377</v>
      </c>
      <c r="C186" s="27" t="s">
        <v>45</v>
      </c>
      <c r="D186" s="13" t="s">
        <v>59</v>
      </c>
      <c r="E186" s="27">
        <f>+[1]モンスター計算!E189</f>
        <v>3577</v>
      </c>
      <c r="F186" s="5">
        <f>+[1]モンスター計算!F189</f>
        <v>68</v>
      </c>
      <c r="G186" s="5">
        <f>+[1]モンスター計算!G189</f>
        <v>276</v>
      </c>
      <c r="H186" s="5">
        <f>+[1]モンスター計算!H189</f>
        <v>112</v>
      </c>
      <c r="I186" s="5">
        <f>+[1]モンスター計算!I189</f>
        <v>212</v>
      </c>
      <c r="J186" s="13">
        <f>+[1]モンスター計算!J189</f>
        <v>181</v>
      </c>
      <c r="K186" s="27">
        <f>+[1]モンスター計算!K189</f>
        <v>2.5000000000000001E-2</v>
      </c>
      <c r="L186" s="13">
        <f>+[1]モンスター計算!L189</f>
        <v>1.35</v>
      </c>
      <c r="M186" s="27">
        <f>+[1]モンスター計算!M189</f>
        <v>1.1499999999999999</v>
      </c>
      <c r="N186" s="5">
        <f>+[1]モンスター計算!N189</f>
        <v>0.51</v>
      </c>
      <c r="O186" s="13">
        <f>+[1]モンスター計算!O189</f>
        <v>1.2749999999999999</v>
      </c>
      <c r="P186" s="27">
        <f>+[1]モンスター計算!P189</f>
        <v>-0.05</v>
      </c>
      <c r="Q186" s="5">
        <f>+[1]モンスター計算!Q189</f>
        <v>0.25</v>
      </c>
      <c r="R186" s="5">
        <f>+[1]モンスター計算!R189</f>
        <v>0.05</v>
      </c>
      <c r="S186" s="5">
        <f>+[1]モンスター計算!S189</f>
        <v>0.05</v>
      </c>
      <c r="T186" s="5">
        <f>+[1]モンスター計算!T189</f>
        <v>0.05</v>
      </c>
      <c r="U186" s="5">
        <f>+[1]モンスター計算!U189</f>
        <v>0.05</v>
      </c>
      <c r="V186" s="13">
        <f>+[1]モンスター計算!V189</f>
        <v>3.2</v>
      </c>
      <c r="W186" s="30">
        <v>11</v>
      </c>
      <c r="X186" s="27" t="s">
        <v>70</v>
      </c>
      <c r="Y186" s="33" t="s">
        <v>91</v>
      </c>
      <c r="Z186" s="13">
        <v>1.25</v>
      </c>
      <c r="AA186" s="30">
        <v>20</v>
      </c>
      <c r="AB186" s="30">
        <f t="shared" si="4"/>
        <v>140</v>
      </c>
      <c r="AC186" s="47">
        <f t="shared" si="5"/>
        <v>31</v>
      </c>
      <c r="AD186" s="27" t="s">
        <v>74</v>
      </c>
      <c r="AE186" s="5">
        <v>0</v>
      </c>
      <c r="AF186" s="5">
        <v>0</v>
      </c>
      <c r="AG186" s="13" t="b">
        <v>0</v>
      </c>
      <c r="AH186" s="30" t="s">
        <v>1097</v>
      </c>
      <c r="AI186" s="33" t="s">
        <v>1826</v>
      </c>
    </row>
    <row r="187" spans="1:35" ht="19.5" thickBot="1">
      <c r="A187" s="53" t="s">
        <v>702</v>
      </c>
      <c r="B187" s="16" t="s">
        <v>378</v>
      </c>
      <c r="C187" s="28" t="s">
        <v>47</v>
      </c>
      <c r="D187" s="16" t="s">
        <v>61</v>
      </c>
      <c r="E187" s="28">
        <f>+[1]モンスター計算!E190</f>
        <v>1605</v>
      </c>
      <c r="F187" s="15">
        <f>+[1]モンスター計算!F190</f>
        <v>254</v>
      </c>
      <c r="G187" s="15">
        <f>+[1]モンスター計算!G190</f>
        <v>145</v>
      </c>
      <c r="H187" s="15">
        <f>+[1]モンスター計算!H190</f>
        <v>323</v>
      </c>
      <c r="I187" s="15">
        <f>+[1]モンスター計算!I190</f>
        <v>133</v>
      </c>
      <c r="J187" s="16">
        <f>+[1]モンスター計算!J190</f>
        <v>147</v>
      </c>
      <c r="K187" s="28">
        <f>+[1]モンスター計算!K190</f>
        <v>0.05</v>
      </c>
      <c r="L187" s="16">
        <f>+[1]モンスター計算!L190</f>
        <v>1.5</v>
      </c>
      <c r="M187" s="28">
        <f>+[1]モンスター計算!M190</f>
        <v>2</v>
      </c>
      <c r="N187" s="15">
        <f>+[1]モンスター計算!N190</f>
        <v>1.05</v>
      </c>
      <c r="O187" s="16">
        <f>+[1]モンスター計算!O190</f>
        <v>2.5</v>
      </c>
      <c r="P187" s="28">
        <f>+[1]モンスター計算!P190</f>
        <v>0</v>
      </c>
      <c r="Q187" s="15">
        <f>+[1]モンスター計算!Q190</f>
        <v>0</v>
      </c>
      <c r="R187" s="15">
        <f>+[1]モンスター計算!R190</f>
        <v>0</v>
      </c>
      <c r="S187" s="15">
        <f>+[1]モンスター計算!S190</f>
        <v>0</v>
      </c>
      <c r="T187" s="15">
        <f>+[1]モンスター計算!T190</f>
        <v>0.2</v>
      </c>
      <c r="U187" s="15">
        <f>+[1]モンスター計算!U190</f>
        <v>-0.1</v>
      </c>
      <c r="V187" s="16">
        <f>+[1]モンスター計算!V190</f>
        <v>4</v>
      </c>
      <c r="W187" s="31">
        <v>15</v>
      </c>
      <c r="X187" s="28" t="s">
        <v>72</v>
      </c>
      <c r="Y187" s="34" t="s">
        <v>92</v>
      </c>
      <c r="Z187" s="16">
        <v>1.3</v>
      </c>
      <c r="AA187" s="31">
        <v>40</v>
      </c>
      <c r="AB187" s="31">
        <f t="shared" si="4"/>
        <v>204</v>
      </c>
      <c r="AC187" s="48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1" t="s">
        <v>1098</v>
      </c>
      <c r="AI187" s="34" t="s">
        <v>1826</v>
      </c>
    </row>
    <row r="188" spans="1:35">
      <c r="A188" s="51" t="s">
        <v>703</v>
      </c>
      <c r="B188" s="11" t="s">
        <v>379</v>
      </c>
      <c r="C188" s="26" t="s">
        <v>45</v>
      </c>
      <c r="D188" s="11" t="s">
        <v>61</v>
      </c>
      <c r="E188" s="26">
        <f>+[1]モンスター計算!E191</f>
        <v>1516</v>
      </c>
      <c r="F188" s="10">
        <f>+[1]モンスター計算!F191</f>
        <v>252</v>
      </c>
      <c r="G188" s="10">
        <f>+[1]モンスター計算!G191</f>
        <v>66</v>
      </c>
      <c r="H188" s="10">
        <f>+[1]モンスター計算!H191</f>
        <v>278</v>
      </c>
      <c r="I188" s="10">
        <f>+[1]モンスター計算!I191</f>
        <v>131</v>
      </c>
      <c r="J188" s="11">
        <f>+[1]モンスター計算!J191</f>
        <v>124</v>
      </c>
      <c r="K188" s="26">
        <f>+[1]モンスター計算!K191</f>
        <v>6.5000000000000002E-2</v>
      </c>
      <c r="L188" s="11">
        <f>+[1]モンスター計算!L191</f>
        <v>1.45</v>
      </c>
      <c r="M188" s="26">
        <f>+[1]モンスター計算!M191</f>
        <v>4</v>
      </c>
      <c r="N188" s="10">
        <f>+[1]モンスター計算!N191</f>
        <v>1.72</v>
      </c>
      <c r="O188" s="11">
        <f>+[1]モンスター計算!O191</f>
        <v>1.9</v>
      </c>
      <c r="P188" s="26">
        <f>+[1]モンスター計算!P191</f>
        <v>-0.17</v>
      </c>
      <c r="Q188" s="10">
        <f>+[1]モンスター計算!Q191</f>
        <v>0.13</v>
      </c>
      <c r="R188" s="10">
        <f>+[1]モンスター計算!R191</f>
        <v>-7.0000000000000007E-2</v>
      </c>
      <c r="S188" s="10">
        <f>+[1]モンスター計算!S191</f>
        <v>-7.0000000000000007E-2</v>
      </c>
      <c r="T188" s="10">
        <f>+[1]モンスター計算!T191</f>
        <v>-7.0000000000000007E-2</v>
      </c>
      <c r="U188" s="10">
        <f>+[1]モンスター計算!U191</f>
        <v>-7.0000000000000007E-2</v>
      </c>
      <c r="V188" s="11">
        <f>+[1]モンスター計算!V191</f>
        <v>5.4</v>
      </c>
      <c r="W188" s="29">
        <v>8</v>
      </c>
      <c r="X188" s="26" t="s">
        <v>109</v>
      </c>
      <c r="Y188" s="32" t="s">
        <v>87</v>
      </c>
      <c r="Z188" s="11">
        <v>1.2</v>
      </c>
      <c r="AA188" s="29">
        <v>5</v>
      </c>
      <c r="AB188" s="29">
        <f t="shared" si="4"/>
        <v>74</v>
      </c>
      <c r="AC188" s="46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29" t="s">
        <v>1099</v>
      </c>
      <c r="AI188" s="32" t="s">
        <v>1826</v>
      </c>
    </row>
    <row r="189" spans="1:35">
      <c r="A189" s="52" t="s">
        <v>704</v>
      </c>
      <c r="B189" s="13" t="s">
        <v>380</v>
      </c>
      <c r="C189" s="27" t="s">
        <v>44</v>
      </c>
      <c r="D189" s="13" t="s">
        <v>61</v>
      </c>
      <c r="E189" s="27">
        <f>+[1]モンスター計算!E192</f>
        <v>2303</v>
      </c>
      <c r="F189" s="5">
        <f>+[1]モンスター計算!F192</f>
        <v>280</v>
      </c>
      <c r="G189" s="5">
        <f>+[1]モンスター計算!G192</f>
        <v>123</v>
      </c>
      <c r="H189" s="5">
        <f>+[1]モンスター計算!H192</f>
        <v>273</v>
      </c>
      <c r="I189" s="5">
        <f>+[1]モンスター計算!I192</f>
        <v>200</v>
      </c>
      <c r="J189" s="13">
        <f>+[1]モンスター計算!J192</f>
        <v>131</v>
      </c>
      <c r="K189" s="27">
        <f>+[1]モンスター計算!K192</f>
        <v>0.08</v>
      </c>
      <c r="L189" s="13">
        <f>+[1]モンスター計算!L192</f>
        <v>1.6</v>
      </c>
      <c r="M189" s="27">
        <f>+[1]モンスター計算!M192</f>
        <v>2.8</v>
      </c>
      <c r="N189" s="5">
        <f>+[1]モンスター計算!N192</f>
        <v>1</v>
      </c>
      <c r="O189" s="13">
        <f>+[1]モンスター計算!O192</f>
        <v>2.5</v>
      </c>
      <c r="P189" s="27">
        <f>+[1]モンスター計算!P192</f>
        <v>0.21500000000000002</v>
      </c>
      <c r="Q189" s="5">
        <f>+[1]モンスター計算!Q192</f>
        <v>-8.5000000000000006E-2</v>
      </c>
      <c r="R189" s="5">
        <f>+[1]モンスター計算!R192</f>
        <v>1.4999999999999999E-2</v>
      </c>
      <c r="S189" s="5">
        <f>+[1]モンスター計算!S192</f>
        <v>1.4999999999999999E-2</v>
      </c>
      <c r="T189" s="5">
        <f>+[1]モンスター計算!T192</f>
        <v>1.4999999999999999E-2</v>
      </c>
      <c r="U189" s="5">
        <f>+[1]モンスター計算!U192</f>
        <v>1.4999999999999999E-2</v>
      </c>
      <c r="V189" s="13">
        <f>+[1]モンスター計算!V192</f>
        <v>4</v>
      </c>
      <c r="W189" s="30">
        <v>8</v>
      </c>
      <c r="X189" s="27" t="s">
        <v>64</v>
      </c>
      <c r="Y189" s="33" t="s">
        <v>88</v>
      </c>
      <c r="Z189" s="13">
        <v>1.2</v>
      </c>
      <c r="AA189" s="30">
        <v>7</v>
      </c>
      <c r="AB189" s="30">
        <f t="shared" si="4"/>
        <v>82</v>
      </c>
      <c r="AC189" s="47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0" t="s">
        <v>1100</v>
      </c>
      <c r="AI189" s="33" t="s">
        <v>1826</v>
      </c>
    </row>
    <row r="190" spans="1:35">
      <c r="A190" s="52" t="s">
        <v>705</v>
      </c>
      <c r="B190" s="13" t="s">
        <v>381</v>
      </c>
      <c r="C190" s="27" t="s">
        <v>46</v>
      </c>
      <c r="D190" s="13" t="s">
        <v>61</v>
      </c>
      <c r="E190" s="27">
        <f>+[1]モンスター計算!E193</f>
        <v>1113</v>
      </c>
      <c r="F190" s="5">
        <f>+[1]モンスター計算!F193</f>
        <v>218</v>
      </c>
      <c r="G190" s="5">
        <f>+[1]モンスター計算!G193</f>
        <v>110</v>
      </c>
      <c r="H190" s="5">
        <f>+[1]モンスター計算!H193</f>
        <v>507</v>
      </c>
      <c r="I190" s="5">
        <f>+[1]モンスター計算!I193</f>
        <v>98</v>
      </c>
      <c r="J190" s="13">
        <f>+[1]モンスター計算!J193</f>
        <v>100</v>
      </c>
      <c r="K190" s="27">
        <f>+[1]モンスター計算!K193</f>
        <v>0.08</v>
      </c>
      <c r="L190" s="13">
        <f>+[1]モンスター計算!L193</f>
        <v>1.55</v>
      </c>
      <c r="M190" s="27">
        <f>+[1]モンスター計算!M193</f>
        <v>4.2</v>
      </c>
      <c r="N190" s="5">
        <f>+[1]モンスター計算!N193</f>
        <v>1.3</v>
      </c>
      <c r="O190" s="13">
        <f>+[1]モンスター計算!O193</f>
        <v>2.5</v>
      </c>
      <c r="P190" s="27">
        <f>+[1]モンスター計算!P193</f>
        <v>-0.09</v>
      </c>
      <c r="Q190" s="5">
        <f>+[1]モンスター計算!Q193</f>
        <v>-0.09</v>
      </c>
      <c r="R190" s="5">
        <f>+[1]モンスター計算!R193</f>
        <v>0.11000000000000001</v>
      </c>
      <c r="S190" s="5">
        <f>+[1]モンスター計算!S193</f>
        <v>-0.19</v>
      </c>
      <c r="T190" s="5">
        <f>+[1]モンスター計算!T193</f>
        <v>-0.09</v>
      </c>
      <c r="U190" s="5">
        <f>+[1]モンスター計算!U193</f>
        <v>-0.09</v>
      </c>
      <c r="V190" s="13">
        <f>+[1]モンスター計算!V193</f>
        <v>4.2</v>
      </c>
      <c r="W190" s="30">
        <v>9</v>
      </c>
      <c r="X190" s="27" t="s">
        <v>66</v>
      </c>
      <c r="Y190" s="33" t="s">
        <v>89</v>
      </c>
      <c r="Z190" s="13">
        <v>1.22</v>
      </c>
      <c r="AA190" s="30">
        <v>10</v>
      </c>
      <c r="AB190" s="30">
        <f t="shared" si="4"/>
        <v>97</v>
      </c>
      <c r="AC190" s="47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0" t="s">
        <v>1101</v>
      </c>
      <c r="AI190" s="33" t="s">
        <v>1826</v>
      </c>
    </row>
    <row r="191" spans="1:35">
      <c r="A191" s="52" t="s">
        <v>706</v>
      </c>
      <c r="B191" s="13" t="s">
        <v>382</v>
      </c>
      <c r="C191" s="27" t="s">
        <v>44</v>
      </c>
      <c r="D191" s="13" t="s">
        <v>59</v>
      </c>
      <c r="E191" s="27">
        <f>+[1]モンスター計算!E194</f>
        <v>1516</v>
      </c>
      <c r="F191" s="5">
        <f>+[1]モンスター計算!F194</f>
        <v>106</v>
      </c>
      <c r="G191" s="5">
        <f>+[1]モンスター計算!G194</f>
        <v>308</v>
      </c>
      <c r="H191" s="5">
        <f>+[1]モンスター計算!H194</f>
        <v>97</v>
      </c>
      <c r="I191" s="5">
        <f>+[1]モンスター計算!I194</f>
        <v>121</v>
      </c>
      <c r="J191" s="13">
        <f>+[1]モンスター計算!J194</f>
        <v>112</v>
      </c>
      <c r="K191" s="27">
        <f>+[1]モンスター計算!K194</f>
        <v>0.1</v>
      </c>
      <c r="L191" s="13">
        <f>+[1]モンスター計算!L194</f>
        <v>1.85</v>
      </c>
      <c r="M191" s="27">
        <f>+[1]モンスター計算!M194</f>
        <v>4</v>
      </c>
      <c r="N191" s="5">
        <f>+[1]モンスター計算!N194</f>
        <v>1.41</v>
      </c>
      <c r="O191" s="13">
        <f>+[1]モンスター計算!O194</f>
        <v>1.8</v>
      </c>
      <c r="P191" s="27">
        <f>+[1]モンスター計算!P194</f>
        <v>0.14500000000000002</v>
      </c>
      <c r="Q191" s="5">
        <f>+[1]モンスター計算!Q194</f>
        <v>-0.155</v>
      </c>
      <c r="R191" s="5">
        <f>+[1]モンスター計算!R194</f>
        <v>-5.5E-2</v>
      </c>
      <c r="S191" s="5">
        <f>+[1]モンスター計算!S194</f>
        <v>-5.5E-2</v>
      </c>
      <c r="T191" s="5">
        <f>+[1]モンスター計算!T194</f>
        <v>-5.5E-2</v>
      </c>
      <c r="U191" s="5">
        <f>+[1]モンスター計算!U194</f>
        <v>-5.5E-2</v>
      </c>
      <c r="V191" s="13">
        <f>+[1]モンスター計算!V194</f>
        <v>6.4</v>
      </c>
      <c r="W191" s="30">
        <v>10</v>
      </c>
      <c r="X191" s="27" t="s">
        <v>68</v>
      </c>
      <c r="Y191" s="33" t="s">
        <v>90</v>
      </c>
      <c r="Z191" s="13">
        <v>1.25</v>
      </c>
      <c r="AA191" s="30">
        <v>15</v>
      </c>
      <c r="AB191" s="30">
        <f t="shared" si="4"/>
        <v>126</v>
      </c>
      <c r="AC191" s="47">
        <f t="shared" si="5"/>
        <v>32</v>
      </c>
      <c r="AD191" s="27" t="s">
        <v>74</v>
      </c>
      <c r="AE191" s="5">
        <v>0</v>
      </c>
      <c r="AF191" s="5">
        <v>0</v>
      </c>
      <c r="AG191" s="13" t="b">
        <v>0</v>
      </c>
      <c r="AH191" s="30" t="s">
        <v>1102</v>
      </c>
      <c r="AI191" s="33" t="s">
        <v>1826</v>
      </c>
    </row>
    <row r="192" spans="1:35">
      <c r="A192" s="52" t="s">
        <v>707</v>
      </c>
      <c r="B192" s="13" t="s">
        <v>383</v>
      </c>
      <c r="C192" s="27" t="s">
        <v>45</v>
      </c>
      <c r="D192" s="13" t="s">
        <v>59</v>
      </c>
      <c r="E192" s="27">
        <f>+[1]モンスター計算!E195</f>
        <v>2303</v>
      </c>
      <c r="F192" s="5">
        <f>+[1]モンスター計算!F195</f>
        <v>106</v>
      </c>
      <c r="G192" s="5">
        <f>+[1]モンスター計算!G195</f>
        <v>277</v>
      </c>
      <c r="H192" s="5">
        <f>+[1]モンスター計算!H195</f>
        <v>125</v>
      </c>
      <c r="I192" s="5">
        <f>+[1]モンスター計算!I195</f>
        <v>200</v>
      </c>
      <c r="J192" s="13">
        <f>+[1]モンスター計算!J195</f>
        <v>131</v>
      </c>
      <c r="K192" s="27">
        <f>+[1]モンスター計算!K195</f>
        <v>0.08</v>
      </c>
      <c r="L192" s="13">
        <f>+[1]モンスター計算!L195</f>
        <v>1.6</v>
      </c>
      <c r="M192" s="27">
        <f>+[1]モンスター計算!M195</f>
        <v>2.8</v>
      </c>
      <c r="N192" s="5">
        <f>+[1]モンスター計算!N195</f>
        <v>1</v>
      </c>
      <c r="O192" s="13">
        <f>+[1]モンスター計算!O195</f>
        <v>1.2</v>
      </c>
      <c r="P192" s="27">
        <f>+[1]モンスター計算!P195</f>
        <v>-6.5000000000000002E-2</v>
      </c>
      <c r="Q192" s="5">
        <f>+[1]モンスター計算!Q195</f>
        <v>0.23500000000000001</v>
      </c>
      <c r="R192" s="5">
        <f>+[1]モンスター計算!R195</f>
        <v>3.5000000000000003E-2</v>
      </c>
      <c r="S192" s="5">
        <f>+[1]モンスター計算!S195</f>
        <v>3.5000000000000003E-2</v>
      </c>
      <c r="T192" s="5">
        <f>+[1]モンスター計算!T195</f>
        <v>3.5000000000000003E-2</v>
      </c>
      <c r="U192" s="5">
        <f>+[1]モンスター計算!U195</f>
        <v>3.5000000000000003E-2</v>
      </c>
      <c r="V192" s="13">
        <f>+[1]モンスター計算!V195</f>
        <v>4</v>
      </c>
      <c r="W192" s="30">
        <v>11</v>
      </c>
      <c r="X192" s="27" t="s">
        <v>70</v>
      </c>
      <c r="Y192" s="33" t="s">
        <v>91</v>
      </c>
      <c r="Z192" s="13">
        <v>1.25</v>
      </c>
      <c r="AA192" s="30">
        <v>20</v>
      </c>
      <c r="AB192" s="30">
        <f t="shared" si="4"/>
        <v>147</v>
      </c>
      <c r="AC192" s="47">
        <f t="shared" si="5"/>
        <v>32</v>
      </c>
      <c r="AD192" s="27" t="s">
        <v>74</v>
      </c>
      <c r="AE192" s="5">
        <v>0</v>
      </c>
      <c r="AF192" s="5">
        <v>0</v>
      </c>
      <c r="AG192" s="13" t="b">
        <v>0</v>
      </c>
      <c r="AH192" s="30" t="s">
        <v>1103</v>
      </c>
      <c r="AI192" s="33" t="s">
        <v>1826</v>
      </c>
    </row>
    <row r="193" spans="1:35" ht="19.5" thickBot="1">
      <c r="A193" s="53" t="s">
        <v>708</v>
      </c>
      <c r="B193" s="16" t="s">
        <v>384</v>
      </c>
      <c r="C193" s="28" t="s">
        <v>47</v>
      </c>
      <c r="D193" s="16" t="s">
        <v>61</v>
      </c>
      <c r="E193" s="28">
        <f>+[1]モンスター計算!E196</f>
        <v>2111</v>
      </c>
      <c r="F193" s="15">
        <f>+[1]モンスター計算!F196</f>
        <v>294</v>
      </c>
      <c r="G193" s="15">
        <f>+[1]モンスター計算!G196</f>
        <v>134</v>
      </c>
      <c r="H193" s="15">
        <f>+[1]モンスター計算!H196</f>
        <v>298</v>
      </c>
      <c r="I193" s="15">
        <f>+[1]モンスター計算!I196</f>
        <v>169</v>
      </c>
      <c r="J193" s="16">
        <f>+[1]モンスター計算!J196</f>
        <v>169</v>
      </c>
      <c r="K193" s="28">
        <f>+[1]モンスター計算!K196</f>
        <v>7.0000000000000007E-2</v>
      </c>
      <c r="L193" s="16">
        <f>+[1]モンスター計算!L196</f>
        <v>1.55</v>
      </c>
      <c r="M193" s="28">
        <f>+[1]モンスター計算!M196</f>
        <v>2.4</v>
      </c>
      <c r="N193" s="15">
        <f>+[1]モンスター計算!N196</f>
        <v>1</v>
      </c>
      <c r="O193" s="16">
        <f>+[1]モンスター計算!O196</f>
        <v>2.5</v>
      </c>
      <c r="P193" s="28">
        <f>+[1]モンスター計算!P196</f>
        <v>0.02</v>
      </c>
      <c r="Q193" s="15">
        <f>+[1]モンスター計算!Q196</f>
        <v>0.02</v>
      </c>
      <c r="R193" s="15">
        <f>+[1]モンスター計算!R196</f>
        <v>0.02</v>
      </c>
      <c r="S193" s="15">
        <f>+[1]モンスター計算!S196</f>
        <v>0.02</v>
      </c>
      <c r="T193" s="15">
        <f>+[1]モンスター計算!T196</f>
        <v>0.22</v>
      </c>
      <c r="U193" s="15">
        <f>+[1]モンスター計算!U196</f>
        <v>-0.08</v>
      </c>
      <c r="V193" s="16">
        <f>+[1]モンスター計算!V196</f>
        <v>4</v>
      </c>
      <c r="W193" s="31">
        <v>15</v>
      </c>
      <c r="X193" s="28" t="s">
        <v>72</v>
      </c>
      <c r="Y193" s="34" t="s">
        <v>92</v>
      </c>
      <c r="Z193" s="16">
        <v>1.3</v>
      </c>
      <c r="AA193" s="31">
        <v>40</v>
      </c>
      <c r="AB193" s="31">
        <f t="shared" si="4"/>
        <v>215</v>
      </c>
      <c r="AC193" s="48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1" t="s">
        <v>1104</v>
      </c>
      <c r="AI193" s="34" t="s">
        <v>1826</v>
      </c>
    </row>
    <row r="194" spans="1:35">
      <c r="A194" s="51" t="s">
        <v>709</v>
      </c>
      <c r="B194" s="11" t="s">
        <v>385</v>
      </c>
      <c r="C194" s="26" t="s">
        <v>45</v>
      </c>
      <c r="D194" s="11" t="s">
        <v>61</v>
      </c>
      <c r="E194" s="26">
        <f>+[1]モンスター計算!E197</f>
        <v>3167</v>
      </c>
      <c r="F194" s="10">
        <f>+[1]モンスター計算!F197</f>
        <v>385</v>
      </c>
      <c r="G194" s="10">
        <f>+[1]モンスター計算!G197</f>
        <v>77</v>
      </c>
      <c r="H194" s="10">
        <f>+[1]モンスター計算!H197</f>
        <v>171</v>
      </c>
      <c r="I194" s="10">
        <f>+[1]モンスター計算!I197</f>
        <v>253</v>
      </c>
      <c r="J194" s="11">
        <f>+[1]モンスター計算!J197</f>
        <v>236</v>
      </c>
      <c r="K194" s="26">
        <f>+[1]モンスター計算!K197</f>
        <v>0.1</v>
      </c>
      <c r="L194" s="11">
        <f>+[1]モンスター計算!L197</f>
        <v>1.75</v>
      </c>
      <c r="M194" s="26">
        <f>+[1]モンスター計算!M197</f>
        <v>2.4</v>
      </c>
      <c r="N194" s="10">
        <f>+[1]モンスター計算!N197</f>
        <v>1.2</v>
      </c>
      <c r="O194" s="11">
        <f>+[1]モンスター計算!O197</f>
        <v>3</v>
      </c>
      <c r="P194" s="26">
        <f>+[1]モンスター計算!P197</f>
        <v>-2.0000000000000004E-2</v>
      </c>
      <c r="Q194" s="10">
        <f>+[1]モンスター計算!Q197</f>
        <v>0.28000000000000003</v>
      </c>
      <c r="R194" s="10">
        <f>+[1]モンスター計算!R197</f>
        <v>0.08</v>
      </c>
      <c r="S194" s="10">
        <f>+[1]モンスター計算!S197</f>
        <v>0.08</v>
      </c>
      <c r="T194" s="10">
        <f>+[1]モンスター計算!T197</f>
        <v>0.08</v>
      </c>
      <c r="U194" s="10">
        <f>+[1]モンスター計算!U197</f>
        <v>0.08</v>
      </c>
      <c r="V194" s="11">
        <f>+[1]モンスター計算!V197</f>
        <v>4</v>
      </c>
      <c r="W194" s="29">
        <v>8</v>
      </c>
      <c r="X194" s="26" t="s">
        <v>109</v>
      </c>
      <c r="Y194" s="32" t="s">
        <v>87</v>
      </c>
      <c r="Z194" s="11">
        <v>1.2</v>
      </c>
      <c r="AA194" s="29">
        <v>5</v>
      </c>
      <c r="AB194" s="29">
        <f t="shared" si="4"/>
        <v>78</v>
      </c>
      <c r="AC194" s="46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29" t="s">
        <v>1105</v>
      </c>
      <c r="AI194" s="32" t="s">
        <v>1826</v>
      </c>
    </row>
    <row r="195" spans="1:35">
      <c r="A195" s="52" t="s">
        <v>710</v>
      </c>
      <c r="B195" s="13" t="s">
        <v>386</v>
      </c>
      <c r="C195" s="27" t="s">
        <v>44</v>
      </c>
      <c r="D195" s="13" t="s">
        <v>61</v>
      </c>
      <c r="E195" s="27">
        <f>+[1]モンスター計算!E198</f>
        <v>1921</v>
      </c>
      <c r="F195" s="5">
        <f>+[1]モンスター計算!F198</f>
        <v>493</v>
      </c>
      <c r="G195" s="5">
        <f>+[1]モンスター計算!G198</f>
        <v>209</v>
      </c>
      <c r="H195" s="5">
        <f>+[1]モンスター計算!H198</f>
        <v>618</v>
      </c>
      <c r="I195" s="5">
        <f>+[1]モンスター計算!I198</f>
        <v>149</v>
      </c>
      <c r="J195" s="13">
        <f>+[1]モンスター計算!J198</f>
        <v>160</v>
      </c>
      <c r="K195" s="27">
        <f>+[1]モンスター計算!K198</f>
        <v>0.04</v>
      </c>
      <c r="L195" s="13">
        <f>+[1]モンスター計算!L198</f>
        <v>2.2000000000000002</v>
      </c>
      <c r="M195" s="27">
        <f>+[1]モンスター計算!M198</f>
        <v>1.65</v>
      </c>
      <c r="N195" s="5">
        <f>+[1]モンスター計算!N198</f>
        <v>0.64</v>
      </c>
      <c r="O195" s="13">
        <f>+[1]モンスター計算!O198</f>
        <v>3.7</v>
      </c>
      <c r="P195" s="27">
        <f>+[1]モンスター計算!P198</f>
        <v>0.17500000000000002</v>
      </c>
      <c r="Q195" s="5">
        <f>+[1]モンスター計算!Q198</f>
        <v>-0.125</v>
      </c>
      <c r="R195" s="5">
        <f>+[1]モンスター計算!R198</f>
        <v>-2.5000000000000001E-2</v>
      </c>
      <c r="S195" s="5">
        <f>+[1]モンスター計算!S198</f>
        <v>-2.5000000000000001E-2</v>
      </c>
      <c r="T195" s="5">
        <f>+[1]モンスター計算!T198</f>
        <v>-2.5000000000000001E-2</v>
      </c>
      <c r="U195" s="5">
        <f>+[1]モンスター計算!U198</f>
        <v>-2.5000000000000001E-2</v>
      </c>
      <c r="V195" s="13">
        <f>+[1]モンスター計算!V198</f>
        <v>5</v>
      </c>
      <c r="W195" s="30">
        <v>8</v>
      </c>
      <c r="X195" s="27" t="s">
        <v>64</v>
      </c>
      <c r="Y195" s="33" t="s">
        <v>88</v>
      </c>
      <c r="Z195" s="13">
        <v>1.2</v>
      </c>
      <c r="AA195" s="30">
        <v>7</v>
      </c>
      <c r="AB195" s="30">
        <f t="shared" si="4"/>
        <v>87</v>
      </c>
      <c r="AC195" s="47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0" t="s">
        <v>1106</v>
      </c>
      <c r="AI195" s="33" t="s">
        <v>1826</v>
      </c>
    </row>
    <row r="196" spans="1:35">
      <c r="A196" s="52" t="s">
        <v>711</v>
      </c>
      <c r="B196" s="13" t="s">
        <v>387</v>
      </c>
      <c r="C196" s="27" t="s">
        <v>46</v>
      </c>
      <c r="D196" s="13" t="s">
        <v>61</v>
      </c>
      <c r="E196" s="27">
        <f>+[1]モンスター計算!E199</f>
        <v>2238</v>
      </c>
      <c r="F196" s="5">
        <f>+[1]モンスター計算!F199</f>
        <v>539</v>
      </c>
      <c r="G196" s="5">
        <f>+[1]モンスター計算!G199</f>
        <v>109</v>
      </c>
      <c r="H196" s="5">
        <f>+[1]モンスター計算!H199</f>
        <v>371</v>
      </c>
      <c r="I196" s="5">
        <f>+[1]モンスター計算!I199</f>
        <v>130</v>
      </c>
      <c r="J196" s="13">
        <f>+[1]モンスター計算!J199</f>
        <v>346</v>
      </c>
      <c r="K196" s="27">
        <f>+[1]モンスター計算!K199</f>
        <v>4.4999999999999998E-2</v>
      </c>
      <c r="L196" s="13">
        <f>+[1]モンスター計算!L199</f>
        <v>1.45</v>
      </c>
      <c r="M196" s="27">
        <f>+[1]モンスター計算!M199</f>
        <v>1.9</v>
      </c>
      <c r="N196" s="5">
        <f>+[1]モンスター計算!N199</f>
        <v>0.84</v>
      </c>
      <c r="O196" s="13">
        <f>+[1]モンスター計算!O199</f>
        <v>2.65</v>
      </c>
      <c r="P196" s="27">
        <f>+[1]モンスター計算!P199</f>
        <v>0.09</v>
      </c>
      <c r="Q196" s="5">
        <f>+[1]モンスター計算!Q199</f>
        <v>0.09</v>
      </c>
      <c r="R196" s="5">
        <f>+[1]モンスター計算!R199</f>
        <v>0.29000000000000004</v>
      </c>
      <c r="S196" s="5">
        <f>+[1]モンスター計算!S199</f>
        <v>-1.0000000000000009E-2</v>
      </c>
      <c r="T196" s="5">
        <f>+[1]モンスター計算!T199</f>
        <v>0.09</v>
      </c>
      <c r="U196" s="5">
        <f>+[1]モンスター計算!U199</f>
        <v>0.09</v>
      </c>
      <c r="V196" s="13">
        <f>+[1]モンスター計算!V199</f>
        <v>4.4000000000000004</v>
      </c>
      <c r="W196" s="30">
        <v>9</v>
      </c>
      <c r="X196" s="27" t="s">
        <v>66</v>
      </c>
      <c r="Y196" s="33" t="s">
        <v>89</v>
      </c>
      <c r="Z196" s="13">
        <v>1.22</v>
      </c>
      <c r="AA196" s="30">
        <v>10</v>
      </c>
      <c r="AB196" s="30">
        <f t="shared" si="4"/>
        <v>102</v>
      </c>
      <c r="AC196" s="47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0" t="s">
        <v>1107</v>
      </c>
      <c r="AI196" s="33" t="s">
        <v>1826</v>
      </c>
    </row>
    <row r="197" spans="1:35">
      <c r="A197" s="52" t="s">
        <v>712</v>
      </c>
      <c r="B197" s="13" t="s">
        <v>388</v>
      </c>
      <c r="C197" s="27" t="s">
        <v>44</v>
      </c>
      <c r="D197" s="13" t="s">
        <v>59</v>
      </c>
      <c r="E197" s="27">
        <f>+[1]モンスター計算!E200</f>
        <v>1605</v>
      </c>
      <c r="F197" s="5">
        <f>+[1]モンスター計算!F200</f>
        <v>85</v>
      </c>
      <c r="G197" s="5">
        <f>+[1]モンスター計算!G200</f>
        <v>553</v>
      </c>
      <c r="H197" s="5">
        <f>+[1]モンスター計算!H200</f>
        <v>154</v>
      </c>
      <c r="I197" s="5">
        <f>+[1]モンスター計算!I200</f>
        <v>128</v>
      </c>
      <c r="J197" s="13">
        <f>+[1]モンスター計算!J200</f>
        <v>118</v>
      </c>
      <c r="K197" s="27">
        <f>+[1]モンスター計算!K200</f>
        <v>9.5000000000000001E-2</v>
      </c>
      <c r="L197" s="13">
        <f>+[1]モンスター計算!L200</f>
        <v>2.4</v>
      </c>
      <c r="M197" s="27">
        <f>+[1]モンスター計算!M200</f>
        <v>3.35</v>
      </c>
      <c r="N197" s="5">
        <f>+[1]モンスター計算!N200</f>
        <v>0.86</v>
      </c>
      <c r="O197" s="13">
        <f>+[1]モンスター計算!O200</f>
        <v>1.9950000000000001</v>
      </c>
      <c r="P197" s="27">
        <f>+[1]モンスター計算!P200</f>
        <v>0.13</v>
      </c>
      <c r="Q197" s="5">
        <f>+[1]モンスター計算!Q200</f>
        <v>-0.17</v>
      </c>
      <c r="R197" s="5">
        <f>+[1]モンスター計算!R200</f>
        <v>-7.0000000000000007E-2</v>
      </c>
      <c r="S197" s="5">
        <f>+[1]モンスター計算!S200</f>
        <v>-7.0000000000000007E-2</v>
      </c>
      <c r="T197" s="5">
        <f>+[1]モンスター計算!T200</f>
        <v>-7.0000000000000007E-2</v>
      </c>
      <c r="U197" s="5">
        <f>+[1]モンスター計算!U200</f>
        <v>-7.0000000000000007E-2</v>
      </c>
      <c r="V197" s="13">
        <f>+[1]モンスター計算!V200</f>
        <v>4.5999999999999996</v>
      </c>
      <c r="W197" s="30">
        <v>10</v>
      </c>
      <c r="X197" s="27" t="s">
        <v>68</v>
      </c>
      <c r="Y197" s="33" t="s">
        <v>90</v>
      </c>
      <c r="Z197" s="13">
        <v>1.25</v>
      </c>
      <c r="AA197" s="30">
        <v>15</v>
      </c>
      <c r="AB197" s="30">
        <f t="shared" si="4"/>
        <v>133</v>
      </c>
      <c r="AC197" s="47">
        <f t="shared" si="5"/>
        <v>33</v>
      </c>
      <c r="AD197" s="27" t="s">
        <v>74</v>
      </c>
      <c r="AE197" s="5">
        <v>0</v>
      </c>
      <c r="AF197" s="5">
        <v>0</v>
      </c>
      <c r="AG197" s="13" t="b">
        <v>0</v>
      </c>
      <c r="AH197" s="30" t="s">
        <v>1108</v>
      </c>
      <c r="AI197" s="33" t="s">
        <v>1826</v>
      </c>
    </row>
    <row r="198" spans="1:35">
      <c r="A198" s="52" t="s">
        <v>713</v>
      </c>
      <c r="B198" s="13" t="s">
        <v>389</v>
      </c>
      <c r="C198" s="27" t="s">
        <v>45</v>
      </c>
      <c r="D198" s="13" t="s">
        <v>59</v>
      </c>
      <c r="E198" s="27">
        <f>+[1]モンスター計算!E201</f>
        <v>1372</v>
      </c>
      <c r="F198" s="5">
        <f>+[1]モンスター計算!F201</f>
        <v>66</v>
      </c>
      <c r="G198" s="5">
        <f>+[1]モンスター計算!G201</f>
        <v>422</v>
      </c>
      <c r="H198" s="5">
        <f>+[1]モンスター計算!H201</f>
        <v>123</v>
      </c>
      <c r="I198" s="5">
        <f>+[1]モンスター計算!I201</f>
        <v>105</v>
      </c>
      <c r="J198" s="13">
        <f>+[1]モンスター計算!J201</f>
        <v>115</v>
      </c>
      <c r="K198" s="27">
        <f>+[1]モンスター計算!K201</f>
        <v>0.18</v>
      </c>
      <c r="L198" s="13">
        <f>+[1]モンスター計算!L201</f>
        <v>2.1</v>
      </c>
      <c r="M198" s="27">
        <f>+[1]モンスター計算!M201</f>
        <v>3.15</v>
      </c>
      <c r="N198" s="5">
        <f>+[1]モンスター計算!N201</f>
        <v>1.35</v>
      </c>
      <c r="O198" s="13">
        <f>+[1]モンスター計算!O201</f>
        <v>1.29</v>
      </c>
      <c r="P198" s="27">
        <f>+[1]モンスター計算!P201</f>
        <v>-0.18</v>
      </c>
      <c r="Q198" s="5">
        <f>+[1]モンスター計算!Q201</f>
        <v>0.12000000000000001</v>
      </c>
      <c r="R198" s="5">
        <f>+[1]モンスター計算!R201</f>
        <v>-0.08</v>
      </c>
      <c r="S198" s="5">
        <f>+[1]モンスター計算!S201</f>
        <v>-0.08</v>
      </c>
      <c r="T198" s="5">
        <f>+[1]モンスター計算!T201</f>
        <v>-0.08</v>
      </c>
      <c r="U198" s="5">
        <f>+[1]モンスター計算!U201</f>
        <v>-0.08</v>
      </c>
      <c r="V198" s="13">
        <f>+[1]モンスター計算!V201</f>
        <v>4.8</v>
      </c>
      <c r="W198" s="30">
        <v>11</v>
      </c>
      <c r="X198" s="27" t="s">
        <v>70</v>
      </c>
      <c r="Y198" s="33" t="s">
        <v>91</v>
      </c>
      <c r="Z198" s="13">
        <v>1.25</v>
      </c>
      <c r="AA198" s="30">
        <v>20</v>
      </c>
      <c r="AB198" s="30">
        <f t="shared" si="4"/>
        <v>155</v>
      </c>
      <c r="AC198" s="47">
        <f t="shared" si="5"/>
        <v>33</v>
      </c>
      <c r="AD198" s="27" t="s">
        <v>74</v>
      </c>
      <c r="AE198" s="5">
        <v>0</v>
      </c>
      <c r="AF198" s="5">
        <v>0</v>
      </c>
      <c r="AG198" s="13" t="b">
        <v>0</v>
      </c>
      <c r="AH198" s="30" t="s">
        <v>1109</v>
      </c>
      <c r="AI198" s="33" t="s">
        <v>1826</v>
      </c>
    </row>
    <row r="199" spans="1:35" ht="19.5" thickBot="1">
      <c r="A199" s="53" t="s">
        <v>714</v>
      </c>
      <c r="B199" s="16" t="s">
        <v>390</v>
      </c>
      <c r="C199" s="28" t="s">
        <v>47</v>
      </c>
      <c r="D199" s="16" t="s">
        <v>61</v>
      </c>
      <c r="E199" s="28">
        <f>+[1]モンスター計算!E202</f>
        <v>2027</v>
      </c>
      <c r="F199" s="15">
        <f>+[1]モンスター計算!F202</f>
        <v>339</v>
      </c>
      <c r="G199" s="15">
        <f>+[1]モンスター計算!G202</f>
        <v>112</v>
      </c>
      <c r="H199" s="15">
        <f>+[1]モンスター計算!H202</f>
        <v>401</v>
      </c>
      <c r="I199" s="15">
        <f>+[1]モンスター計算!I202</f>
        <v>139</v>
      </c>
      <c r="J199" s="16">
        <f>+[1]モンスター計算!J202</f>
        <v>154</v>
      </c>
      <c r="K199" s="28">
        <f>+[1]モンスター計算!K202</f>
        <v>0.06</v>
      </c>
      <c r="L199" s="16">
        <f>+[1]モンスター計算!L202</f>
        <v>1.6</v>
      </c>
      <c r="M199" s="28">
        <f>+[1]モンスター計算!M202</f>
        <v>2.25</v>
      </c>
      <c r="N199" s="15">
        <f>+[1]モンスター計算!N202</f>
        <v>0.91</v>
      </c>
      <c r="O199" s="16">
        <f>+[1]モンスター計算!O202</f>
        <v>4.75</v>
      </c>
      <c r="P199" s="28">
        <f>+[1]モンスター計算!P202</f>
        <v>-0.02</v>
      </c>
      <c r="Q199" s="15">
        <f>+[1]モンスター計算!Q202</f>
        <v>-0.02</v>
      </c>
      <c r="R199" s="15">
        <f>+[1]モンスター計算!R202</f>
        <v>-0.02</v>
      </c>
      <c r="S199" s="15">
        <f>+[1]モンスター計算!S202</f>
        <v>-0.02</v>
      </c>
      <c r="T199" s="15">
        <f>+[1]モンスター計算!T202</f>
        <v>0.18000000000000002</v>
      </c>
      <c r="U199" s="15">
        <f>+[1]モンスター計算!U202</f>
        <v>-0.12000000000000001</v>
      </c>
      <c r="V199" s="16">
        <f>+[1]モンスター計算!V202</f>
        <v>6.6</v>
      </c>
      <c r="W199" s="31">
        <v>15</v>
      </c>
      <c r="X199" s="28" t="s">
        <v>72</v>
      </c>
      <c r="Y199" s="34" t="s">
        <v>92</v>
      </c>
      <c r="Z199" s="16">
        <v>1.3</v>
      </c>
      <c r="AA199" s="31">
        <v>40</v>
      </c>
      <c r="AB199" s="31">
        <f t="shared" si="4"/>
        <v>226</v>
      </c>
      <c r="AC199" s="48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1" t="s">
        <v>1110</v>
      </c>
      <c r="AI199" s="34" t="s">
        <v>1826</v>
      </c>
    </row>
    <row r="200" spans="1:35">
      <c r="A200" s="51" t="s">
        <v>715</v>
      </c>
      <c r="B200" s="11" t="s">
        <v>391</v>
      </c>
      <c r="C200" s="26" t="s">
        <v>45</v>
      </c>
      <c r="D200" s="11" t="s">
        <v>61</v>
      </c>
      <c r="E200" s="26">
        <f>+[1]モンスター計算!E203</f>
        <v>1556</v>
      </c>
      <c r="F200" s="10">
        <f>+[1]モンスター計算!F203</f>
        <v>372</v>
      </c>
      <c r="G200" s="10">
        <f>+[1]モンスター計算!G203</f>
        <v>172</v>
      </c>
      <c r="H200" s="10">
        <f>+[1]モンスター計算!H203</f>
        <v>736</v>
      </c>
      <c r="I200" s="10">
        <f>+[1]モンスター計算!I203</f>
        <v>121</v>
      </c>
      <c r="J200" s="11">
        <f>+[1]モンスター計算!J203</f>
        <v>149</v>
      </c>
      <c r="K200" s="26">
        <f>+[1]モンスター計算!K203</f>
        <v>0.18</v>
      </c>
      <c r="L200" s="11">
        <f>+[1]モンスター計算!L203</f>
        <v>1.85</v>
      </c>
      <c r="M200" s="26">
        <f>+[1]モンスター計算!M203</f>
        <v>2.0499999999999998</v>
      </c>
      <c r="N200" s="10">
        <f>+[1]モンスター計算!N203</f>
        <v>0.75</v>
      </c>
      <c r="O200" s="11">
        <f>+[1]モンスター計算!O203</f>
        <v>4.45</v>
      </c>
      <c r="P200" s="26">
        <f>+[1]モンスター計算!P203</f>
        <v>-0.16</v>
      </c>
      <c r="Q200" s="10">
        <f>+[1]モンスター計算!Q203</f>
        <v>0.14000000000000001</v>
      </c>
      <c r="R200" s="10">
        <f>+[1]モンスター計算!R203</f>
        <v>-0.06</v>
      </c>
      <c r="S200" s="10">
        <f>+[1]モンスター計算!S203</f>
        <v>-0.06</v>
      </c>
      <c r="T200" s="10">
        <f>+[1]モンスター計算!T203</f>
        <v>-0.06</v>
      </c>
      <c r="U200" s="10">
        <f>+[1]モンスター計算!U203</f>
        <v>-0.06</v>
      </c>
      <c r="V200" s="11">
        <f>+[1]モンスター計算!V203</f>
        <v>5.6</v>
      </c>
      <c r="W200" s="29">
        <v>8</v>
      </c>
      <c r="X200" s="26" t="s">
        <v>109</v>
      </c>
      <c r="Y200" s="32" t="s">
        <v>87</v>
      </c>
      <c r="Z200" s="11">
        <v>1.2</v>
      </c>
      <c r="AA200" s="29">
        <v>5</v>
      </c>
      <c r="AB200" s="29">
        <f t="shared" si="4"/>
        <v>82</v>
      </c>
      <c r="AC200" s="46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29" t="s">
        <v>1111</v>
      </c>
      <c r="AI200" s="32" t="s">
        <v>1826</v>
      </c>
    </row>
    <row r="201" spans="1:35">
      <c r="A201" s="52" t="s">
        <v>716</v>
      </c>
      <c r="B201" s="13" t="s">
        <v>392</v>
      </c>
      <c r="C201" s="27" t="s">
        <v>44</v>
      </c>
      <c r="D201" s="13" t="s">
        <v>61</v>
      </c>
      <c r="E201" s="27">
        <f>+[1]モンスター計算!E204</f>
        <v>1904</v>
      </c>
      <c r="F201" s="5">
        <f>+[1]モンスター計算!F204</f>
        <v>457</v>
      </c>
      <c r="G201" s="5">
        <f>+[1]モンスター計算!G204</f>
        <v>176</v>
      </c>
      <c r="H201" s="5">
        <f>+[1]モンスター計算!H204</f>
        <v>652</v>
      </c>
      <c r="I201" s="5">
        <f>+[1]モンスター計算!I204</f>
        <v>150</v>
      </c>
      <c r="J201" s="13">
        <f>+[1]モンスター計算!J204</f>
        <v>162</v>
      </c>
      <c r="K201" s="27">
        <f>+[1]モンスター計算!K204</f>
        <v>0.12</v>
      </c>
      <c r="L201" s="13">
        <f>+[1]モンスター計算!L204</f>
        <v>2.5499999999999998</v>
      </c>
      <c r="M201" s="27">
        <f>+[1]モンスター計算!M204</f>
        <v>2.2999999999999998</v>
      </c>
      <c r="N201" s="5">
        <f>+[1]モンスター計算!N204</f>
        <v>0.68</v>
      </c>
      <c r="O201" s="13">
        <f>+[1]モンスター計算!O204</f>
        <v>3.55</v>
      </c>
      <c r="P201" s="27">
        <f>+[1]モンスター計算!P204</f>
        <v>0.14500000000000002</v>
      </c>
      <c r="Q201" s="5">
        <f>+[1]モンスター計算!Q204</f>
        <v>-0.155</v>
      </c>
      <c r="R201" s="5">
        <f>+[1]モンスター計算!R204</f>
        <v>-5.5E-2</v>
      </c>
      <c r="S201" s="5">
        <f>+[1]モンスター計算!S204</f>
        <v>-5.5E-2</v>
      </c>
      <c r="T201" s="5">
        <f>+[1]モンスター計算!T204</f>
        <v>-5.5E-2</v>
      </c>
      <c r="U201" s="5">
        <f>+[1]モンスター計算!U204</f>
        <v>-5.5E-2</v>
      </c>
      <c r="V201" s="13">
        <f>+[1]モンスター計算!V204</f>
        <v>4.8</v>
      </c>
      <c r="W201" s="30">
        <v>8</v>
      </c>
      <c r="X201" s="27" t="s">
        <v>64</v>
      </c>
      <c r="Y201" s="33" t="s">
        <v>88</v>
      </c>
      <c r="Z201" s="13">
        <v>1.2</v>
      </c>
      <c r="AA201" s="30">
        <v>7</v>
      </c>
      <c r="AB201" s="30">
        <f t="shared" ref="AB201:AB264" si="6">ROUNDUP(AB195*1.05,0)</f>
        <v>92</v>
      </c>
      <c r="AC201" s="47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0" t="s">
        <v>1112</v>
      </c>
      <c r="AI201" s="33" t="s">
        <v>1826</v>
      </c>
    </row>
    <row r="202" spans="1:35">
      <c r="A202" s="52" t="s">
        <v>717</v>
      </c>
      <c r="B202" s="13" t="s">
        <v>393</v>
      </c>
      <c r="C202" s="27" t="s">
        <v>46</v>
      </c>
      <c r="D202" s="13" t="s">
        <v>61</v>
      </c>
      <c r="E202" s="27">
        <f>+[1]モンスター計算!E205</f>
        <v>3252</v>
      </c>
      <c r="F202" s="5">
        <f>+[1]モンスター計算!F205</f>
        <v>745</v>
      </c>
      <c r="G202" s="5">
        <f>+[1]モンスター計算!G205</f>
        <v>124</v>
      </c>
      <c r="H202" s="5">
        <f>+[1]モンスター計算!H205</f>
        <v>329</v>
      </c>
      <c r="I202" s="5">
        <f>+[1]モンスター計算!I205</f>
        <v>177</v>
      </c>
      <c r="J202" s="13">
        <f>+[1]モンスター計算!J205</f>
        <v>312</v>
      </c>
      <c r="K202" s="27">
        <f>+[1]モンスター計算!K205</f>
        <v>0.115</v>
      </c>
      <c r="L202" s="13">
        <f>+[1]モンスター計算!L205</f>
        <v>1.95</v>
      </c>
      <c r="M202" s="27">
        <f>+[1]モンスター計算!M205</f>
        <v>1.2</v>
      </c>
      <c r="N202" s="5">
        <f>+[1]モンスター計算!N205</f>
        <v>0.72</v>
      </c>
      <c r="O202" s="13">
        <f>+[1]モンスター計算!O205</f>
        <v>3.3250000000000002</v>
      </c>
      <c r="P202" s="27">
        <f>+[1]モンスター計算!P205</f>
        <v>0.08</v>
      </c>
      <c r="Q202" s="5">
        <f>+[1]モンスター計算!Q205</f>
        <v>0.08</v>
      </c>
      <c r="R202" s="5">
        <f>+[1]モンスター計算!R205</f>
        <v>0.28000000000000003</v>
      </c>
      <c r="S202" s="5">
        <f>+[1]モンスター計算!S205</f>
        <v>-2.0000000000000004E-2</v>
      </c>
      <c r="T202" s="5">
        <f>+[1]モンスター計算!T205</f>
        <v>0.08</v>
      </c>
      <c r="U202" s="5">
        <f>+[1]モンスター計算!U205</f>
        <v>0.08</v>
      </c>
      <c r="V202" s="13">
        <f>+[1]モンスター計算!V205</f>
        <v>5</v>
      </c>
      <c r="W202" s="30">
        <v>9</v>
      </c>
      <c r="X202" s="27" t="s">
        <v>66</v>
      </c>
      <c r="Y202" s="33" t="s">
        <v>89</v>
      </c>
      <c r="Z202" s="13">
        <v>1.22</v>
      </c>
      <c r="AA202" s="30">
        <v>10</v>
      </c>
      <c r="AB202" s="30">
        <f t="shared" si="6"/>
        <v>108</v>
      </c>
      <c r="AC202" s="47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0" t="s">
        <v>1113</v>
      </c>
      <c r="AI202" s="33" t="s">
        <v>1826</v>
      </c>
    </row>
    <row r="203" spans="1:35">
      <c r="A203" s="52" t="s">
        <v>718</v>
      </c>
      <c r="B203" s="13" t="s">
        <v>394</v>
      </c>
      <c r="C203" s="27" t="s">
        <v>44</v>
      </c>
      <c r="D203" s="13" t="s">
        <v>59</v>
      </c>
      <c r="E203" s="27">
        <f>+[1]モンスター計算!E206</f>
        <v>3716</v>
      </c>
      <c r="F203" s="5">
        <f>+[1]モンスター計算!F206</f>
        <v>128</v>
      </c>
      <c r="G203" s="5">
        <f>+[1]モンスター計算!G206</f>
        <v>282</v>
      </c>
      <c r="H203" s="5">
        <f>+[1]モンスター計算!H206</f>
        <v>127</v>
      </c>
      <c r="I203" s="5">
        <f>+[1]モンスター計算!I206</f>
        <v>288</v>
      </c>
      <c r="J203" s="13">
        <f>+[1]モンスター計算!J206</f>
        <v>260</v>
      </c>
      <c r="K203" s="27">
        <f>+[1]モンスター計算!K206</f>
        <v>0.04</v>
      </c>
      <c r="L203" s="13">
        <f>+[1]モンスター計算!L206</f>
        <v>1.4</v>
      </c>
      <c r="M203" s="27">
        <f>+[1]モンスター計算!M206</f>
        <v>2.2000000000000002</v>
      </c>
      <c r="N203" s="5">
        <f>+[1]モンスター計算!N206</f>
        <v>0.82</v>
      </c>
      <c r="O203" s="13">
        <f>+[1]モンスター計算!O206</f>
        <v>1.2</v>
      </c>
      <c r="P203" s="27">
        <f>+[1]モンスター計算!P206</f>
        <v>0.30000000000000004</v>
      </c>
      <c r="Q203" s="5">
        <f>+[1]モンスター計算!Q206</f>
        <v>0</v>
      </c>
      <c r="R203" s="5">
        <f>+[1]モンスター計算!R206</f>
        <v>0.1</v>
      </c>
      <c r="S203" s="5">
        <f>+[1]モンスター計算!S206</f>
        <v>0.1</v>
      </c>
      <c r="T203" s="5">
        <f>+[1]モンスター計算!T206</f>
        <v>0.1</v>
      </c>
      <c r="U203" s="5">
        <f>+[1]モンスター計算!U206</f>
        <v>0.1</v>
      </c>
      <c r="V203" s="13">
        <f>+[1]モンスター計算!V206</f>
        <v>4</v>
      </c>
      <c r="W203" s="30">
        <v>10</v>
      </c>
      <c r="X203" s="27" t="s">
        <v>68</v>
      </c>
      <c r="Y203" s="33" t="s">
        <v>90</v>
      </c>
      <c r="Z203" s="13">
        <v>1.25</v>
      </c>
      <c r="AA203" s="30">
        <v>15</v>
      </c>
      <c r="AB203" s="30">
        <f t="shared" si="6"/>
        <v>140</v>
      </c>
      <c r="AC203" s="47">
        <f t="shared" si="7"/>
        <v>34</v>
      </c>
      <c r="AD203" s="27" t="s">
        <v>74</v>
      </c>
      <c r="AE203" s="5">
        <v>0</v>
      </c>
      <c r="AF203" s="5">
        <v>0</v>
      </c>
      <c r="AG203" s="13" t="b">
        <v>0</v>
      </c>
      <c r="AH203" s="30" t="s">
        <v>1114</v>
      </c>
      <c r="AI203" s="33" t="s">
        <v>1826</v>
      </c>
    </row>
    <row r="204" spans="1:35">
      <c r="A204" s="52" t="s">
        <v>719</v>
      </c>
      <c r="B204" s="13" t="s">
        <v>395</v>
      </c>
      <c r="C204" s="27" t="s">
        <v>45</v>
      </c>
      <c r="D204" s="13" t="s">
        <v>59</v>
      </c>
      <c r="E204" s="27">
        <f>+[1]モンスター計算!E207</f>
        <v>3414</v>
      </c>
      <c r="F204" s="5">
        <f>+[1]モンスター計算!F207</f>
        <v>150</v>
      </c>
      <c r="G204" s="5">
        <f>+[1]モンスター計算!G207</f>
        <v>313</v>
      </c>
      <c r="H204" s="5">
        <f>+[1]モンスター計算!H207</f>
        <v>107</v>
      </c>
      <c r="I204" s="5">
        <f>+[1]モンスター計算!I207</f>
        <v>171</v>
      </c>
      <c r="J204" s="13">
        <f>+[1]モンスター計算!J207</f>
        <v>409</v>
      </c>
      <c r="K204" s="27">
        <f>+[1]モンスター計算!K207</f>
        <v>0.05</v>
      </c>
      <c r="L204" s="13">
        <f>+[1]モンスター計算!L207</f>
        <v>1.5</v>
      </c>
      <c r="M204" s="27">
        <f>+[1]モンスター計算!M207</f>
        <v>2.0499999999999998</v>
      </c>
      <c r="N204" s="5">
        <f>+[1]モンスター計算!N207</f>
        <v>0.79</v>
      </c>
      <c r="O204" s="13">
        <f>+[1]モンスター計算!O207</f>
        <v>1.26</v>
      </c>
      <c r="P204" s="27">
        <f>+[1]モンスター計算!P207</f>
        <v>-0.03</v>
      </c>
      <c r="Q204" s="5">
        <f>+[1]モンスター計算!Q207</f>
        <v>0.27</v>
      </c>
      <c r="R204" s="5">
        <f>+[1]モンスター計算!R207</f>
        <v>7.0000000000000007E-2</v>
      </c>
      <c r="S204" s="5">
        <f>+[1]モンスター計算!S207</f>
        <v>7.0000000000000007E-2</v>
      </c>
      <c r="T204" s="5">
        <f>+[1]モンスター計算!T207</f>
        <v>7.0000000000000007E-2</v>
      </c>
      <c r="U204" s="5">
        <f>+[1]モンスター計算!U207</f>
        <v>7.0000000000000007E-2</v>
      </c>
      <c r="V204" s="13">
        <f>+[1]モンスター計算!V207</f>
        <v>4</v>
      </c>
      <c r="W204" s="30">
        <v>11</v>
      </c>
      <c r="X204" s="27" t="s">
        <v>70</v>
      </c>
      <c r="Y204" s="33" t="s">
        <v>91</v>
      </c>
      <c r="Z204" s="13">
        <v>1.25</v>
      </c>
      <c r="AA204" s="30">
        <v>20</v>
      </c>
      <c r="AB204" s="30">
        <f t="shared" si="6"/>
        <v>163</v>
      </c>
      <c r="AC204" s="47">
        <f t="shared" si="7"/>
        <v>34</v>
      </c>
      <c r="AD204" s="27" t="s">
        <v>74</v>
      </c>
      <c r="AE204" s="5">
        <v>0</v>
      </c>
      <c r="AF204" s="5">
        <v>0</v>
      </c>
      <c r="AG204" s="13" t="b">
        <v>0</v>
      </c>
      <c r="AH204" s="30" t="s">
        <v>1115</v>
      </c>
      <c r="AI204" s="33" t="s">
        <v>1826</v>
      </c>
    </row>
    <row r="205" spans="1:35" ht="19.5" thickBot="1">
      <c r="A205" s="53" t="s">
        <v>720</v>
      </c>
      <c r="B205" s="16" t="s">
        <v>396</v>
      </c>
      <c r="C205" s="28" t="s">
        <v>47</v>
      </c>
      <c r="D205" s="16" t="s">
        <v>61</v>
      </c>
      <c r="E205" s="28">
        <f>+[1]モンスター計算!E208</f>
        <v>2323</v>
      </c>
      <c r="F205" s="15">
        <f>+[1]モンスター計算!F208</f>
        <v>406</v>
      </c>
      <c r="G205" s="15">
        <f>+[1]モンスター計算!G208</f>
        <v>131</v>
      </c>
      <c r="H205" s="15">
        <f>+[1]モンスター計算!H208</f>
        <v>416</v>
      </c>
      <c r="I205" s="15">
        <f>+[1]モンスター計算!I208</f>
        <v>178</v>
      </c>
      <c r="J205" s="16">
        <f>+[1]モンスター計算!J208</f>
        <v>190</v>
      </c>
      <c r="K205" s="28">
        <f>+[1]モンスター計算!K208</f>
        <v>4.4999999999999998E-2</v>
      </c>
      <c r="L205" s="16">
        <f>+[1]モンスター計算!L208</f>
        <v>1.4</v>
      </c>
      <c r="M205" s="28">
        <f>+[1]モンスター計算!M208</f>
        <v>2.0499999999999998</v>
      </c>
      <c r="N205" s="15">
        <f>+[1]モンスター計算!N208</f>
        <v>0.92</v>
      </c>
      <c r="O205" s="16">
        <f>+[1]モンスター計算!O208</f>
        <v>2.6749999999999998</v>
      </c>
      <c r="P205" s="28">
        <f>+[1]モンスター計算!P208</f>
        <v>0.19</v>
      </c>
      <c r="Q205" s="15">
        <f>+[1]モンスター計算!Q208</f>
        <v>0.19</v>
      </c>
      <c r="R205" s="15">
        <f>+[1]モンスター計算!R208</f>
        <v>0.19</v>
      </c>
      <c r="S205" s="15">
        <f>+[1]モンスター計算!S208</f>
        <v>0.19</v>
      </c>
      <c r="T205" s="15">
        <f>+[1]モンスター計算!T208</f>
        <v>0.39</v>
      </c>
      <c r="U205" s="15">
        <f>+[1]モンスター計算!U208</f>
        <v>0.09</v>
      </c>
      <c r="V205" s="16">
        <f>+[1]モンスター計算!V208</f>
        <v>4</v>
      </c>
      <c r="W205" s="31">
        <v>15</v>
      </c>
      <c r="X205" s="28" t="s">
        <v>72</v>
      </c>
      <c r="Y205" s="34" t="s">
        <v>92</v>
      </c>
      <c r="Z205" s="16">
        <v>1.3</v>
      </c>
      <c r="AA205" s="31">
        <v>40</v>
      </c>
      <c r="AB205" s="31">
        <f t="shared" si="6"/>
        <v>238</v>
      </c>
      <c r="AC205" s="48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1" t="s">
        <v>1116</v>
      </c>
      <c r="AI205" s="34" t="s">
        <v>1826</v>
      </c>
    </row>
    <row r="206" spans="1:35">
      <c r="A206" s="51" t="s">
        <v>721</v>
      </c>
      <c r="B206" s="11" t="s">
        <v>397</v>
      </c>
      <c r="C206" s="26" t="s">
        <v>45</v>
      </c>
      <c r="D206" s="11" t="s">
        <v>61</v>
      </c>
      <c r="E206" s="26">
        <f>+[1]モンスター計算!E209</f>
        <v>1865</v>
      </c>
      <c r="F206" s="10">
        <f>+[1]モンスター計算!F209</f>
        <v>440</v>
      </c>
      <c r="G206" s="10">
        <f>+[1]モンスター計算!G209</f>
        <v>144</v>
      </c>
      <c r="H206" s="10">
        <f>+[1]モンスター計算!H209</f>
        <v>571</v>
      </c>
      <c r="I206" s="10">
        <f>+[1]モンスター計算!I209</f>
        <v>157</v>
      </c>
      <c r="J206" s="11">
        <f>+[1]モンスター計算!J209</f>
        <v>174</v>
      </c>
      <c r="K206" s="26">
        <f>+[1]モンスター計算!K209</f>
        <v>0.26</v>
      </c>
      <c r="L206" s="11">
        <f>+[1]モンスター計算!L209</f>
        <v>1.95</v>
      </c>
      <c r="M206" s="26">
        <f>+[1]モンスター計算!M209</f>
        <v>2.75</v>
      </c>
      <c r="N206" s="10">
        <f>+[1]モンスター計算!N209</f>
        <v>0.95</v>
      </c>
      <c r="O206" s="11">
        <f>+[1]モンスター計算!O209</f>
        <v>2.8</v>
      </c>
      <c r="P206" s="26">
        <f>+[1]モンスター計算!P209</f>
        <v>-0.15000000000000002</v>
      </c>
      <c r="Q206" s="10">
        <f>+[1]モンスター計算!Q209</f>
        <v>0.15000000000000002</v>
      </c>
      <c r="R206" s="10">
        <f>+[1]モンスター計算!R209</f>
        <v>-0.05</v>
      </c>
      <c r="S206" s="10">
        <f>+[1]モンスター計算!S209</f>
        <v>-0.05</v>
      </c>
      <c r="T206" s="10">
        <f>+[1]モンスター計算!T209</f>
        <v>-0.05</v>
      </c>
      <c r="U206" s="10">
        <f>+[1]モンスター計算!U209</f>
        <v>-0.05</v>
      </c>
      <c r="V206" s="11">
        <f>+[1]モンスター計算!V209</f>
        <v>4.4000000000000004</v>
      </c>
      <c r="W206" s="29">
        <v>8</v>
      </c>
      <c r="X206" s="26" t="s">
        <v>109</v>
      </c>
      <c r="Y206" s="32" t="s">
        <v>87</v>
      </c>
      <c r="Z206" s="11">
        <v>1.2</v>
      </c>
      <c r="AA206" s="29">
        <v>5</v>
      </c>
      <c r="AB206" s="29">
        <f t="shared" si="6"/>
        <v>87</v>
      </c>
      <c r="AC206" s="46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29" t="s">
        <v>1117</v>
      </c>
      <c r="AI206" s="32" t="s">
        <v>1826</v>
      </c>
    </row>
    <row r="207" spans="1:35">
      <c r="A207" s="52" t="s">
        <v>722</v>
      </c>
      <c r="B207" s="13" t="s">
        <v>398</v>
      </c>
      <c r="C207" s="27" t="s">
        <v>44</v>
      </c>
      <c r="D207" s="13" t="s">
        <v>61</v>
      </c>
      <c r="E207" s="27">
        <f>+[1]モンスター計算!E210</f>
        <v>2018</v>
      </c>
      <c r="F207" s="5">
        <f>+[1]モンスター計算!F210</f>
        <v>335</v>
      </c>
      <c r="G207" s="5">
        <f>+[1]モンスター計算!G210</f>
        <v>88</v>
      </c>
      <c r="H207" s="5">
        <f>+[1]モンスター計算!H210</f>
        <v>370</v>
      </c>
      <c r="I207" s="5">
        <f>+[1]モンスター計算!I210</f>
        <v>174</v>
      </c>
      <c r="J207" s="13">
        <f>+[1]モンスター計算!J210</f>
        <v>166</v>
      </c>
      <c r="K207" s="27">
        <f>+[1]モンスター計算!K210</f>
        <v>6.5000000000000002E-2</v>
      </c>
      <c r="L207" s="13">
        <f>+[1]モンスター計算!L210</f>
        <v>1.45</v>
      </c>
      <c r="M207" s="27">
        <f>+[1]モンスター計算!M210</f>
        <v>4</v>
      </c>
      <c r="N207" s="5">
        <f>+[1]モンスター計算!N210</f>
        <v>1.72</v>
      </c>
      <c r="O207" s="13">
        <f>+[1]モンスター計算!O210</f>
        <v>1.9</v>
      </c>
      <c r="P207" s="27">
        <f>+[1]モンスター計算!P210</f>
        <v>0.13</v>
      </c>
      <c r="Q207" s="5">
        <f>+[1]モンスター計算!Q210</f>
        <v>-0.17</v>
      </c>
      <c r="R207" s="5">
        <f>+[1]モンスター計算!R210</f>
        <v>-7.0000000000000007E-2</v>
      </c>
      <c r="S207" s="5">
        <f>+[1]モンスター計算!S210</f>
        <v>-7.0000000000000007E-2</v>
      </c>
      <c r="T207" s="5">
        <f>+[1]モンスター計算!T210</f>
        <v>-7.0000000000000007E-2</v>
      </c>
      <c r="U207" s="5">
        <f>+[1]モンスター計算!U210</f>
        <v>-7.0000000000000007E-2</v>
      </c>
      <c r="V207" s="13">
        <f>+[1]モンスター計算!V210</f>
        <v>5.4</v>
      </c>
      <c r="W207" s="30">
        <v>8</v>
      </c>
      <c r="X207" s="27" t="s">
        <v>64</v>
      </c>
      <c r="Y207" s="33" t="s">
        <v>88</v>
      </c>
      <c r="Z207" s="13">
        <v>1.2</v>
      </c>
      <c r="AA207" s="30">
        <v>7</v>
      </c>
      <c r="AB207" s="30">
        <f t="shared" si="6"/>
        <v>97</v>
      </c>
      <c r="AC207" s="47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0" t="s">
        <v>1118</v>
      </c>
      <c r="AI207" s="33" t="s">
        <v>1826</v>
      </c>
    </row>
    <row r="208" spans="1:35">
      <c r="A208" s="52" t="s">
        <v>723</v>
      </c>
      <c r="B208" s="13" t="s">
        <v>399</v>
      </c>
      <c r="C208" s="27" t="s">
        <v>46</v>
      </c>
      <c r="D208" s="13" t="s">
        <v>61</v>
      </c>
      <c r="E208" s="27">
        <f>+[1]モンスター計算!E211</f>
        <v>3066</v>
      </c>
      <c r="F208" s="5">
        <f>+[1]モンスター計算!F211</f>
        <v>372</v>
      </c>
      <c r="G208" s="5">
        <f>+[1]モンスター計算!G211</f>
        <v>163</v>
      </c>
      <c r="H208" s="5">
        <f>+[1]モンスター計算!H211</f>
        <v>363</v>
      </c>
      <c r="I208" s="5">
        <f>+[1]モンスター計算!I211</f>
        <v>266</v>
      </c>
      <c r="J208" s="13">
        <f>+[1]モンスター計算!J211</f>
        <v>174</v>
      </c>
      <c r="K208" s="27">
        <f>+[1]モンスター計算!K211</f>
        <v>0.08</v>
      </c>
      <c r="L208" s="13">
        <f>+[1]モンスター計算!L211</f>
        <v>1.6</v>
      </c>
      <c r="M208" s="27">
        <f>+[1]モンスター計算!M211</f>
        <v>2.8</v>
      </c>
      <c r="N208" s="5">
        <f>+[1]モンスター計算!N211</f>
        <v>1</v>
      </c>
      <c r="O208" s="13">
        <f>+[1]モンスター計算!O211</f>
        <v>2.5</v>
      </c>
      <c r="P208" s="27">
        <f>+[1]モンスター計算!P211</f>
        <v>1.4999999999999999E-2</v>
      </c>
      <c r="Q208" s="5">
        <f>+[1]モンスター計算!Q211</f>
        <v>1.4999999999999999E-2</v>
      </c>
      <c r="R208" s="5">
        <f>+[1]モンスター計算!R211</f>
        <v>0.21500000000000002</v>
      </c>
      <c r="S208" s="5">
        <f>+[1]モンスター計算!S211</f>
        <v>-8.5000000000000006E-2</v>
      </c>
      <c r="T208" s="5">
        <f>+[1]モンスター計算!T211</f>
        <v>1.4999999999999999E-2</v>
      </c>
      <c r="U208" s="5">
        <f>+[1]モンスター計算!U211</f>
        <v>1.4999999999999999E-2</v>
      </c>
      <c r="V208" s="13">
        <f>+[1]モンスター計算!V211</f>
        <v>4</v>
      </c>
      <c r="W208" s="30">
        <v>9</v>
      </c>
      <c r="X208" s="27" t="s">
        <v>66</v>
      </c>
      <c r="Y208" s="33" t="s">
        <v>89</v>
      </c>
      <c r="Z208" s="13">
        <v>1.22</v>
      </c>
      <c r="AA208" s="30">
        <v>10</v>
      </c>
      <c r="AB208" s="30">
        <f t="shared" si="6"/>
        <v>114</v>
      </c>
      <c r="AC208" s="47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0" t="s">
        <v>1119</v>
      </c>
      <c r="AI208" s="33" t="s">
        <v>1826</v>
      </c>
    </row>
    <row r="209" spans="1:35">
      <c r="A209" s="52" t="s">
        <v>724</v>
      </c>
      <c r="B209" s="13" t="s">
        <v>400</v>
      </c>
      <c r="C209" s="27" t="s">
        <v>44</v>
      </c>
      <c r="D209" s="13" t="s">
        <v>59</v>
      </c>
      <c r="E209" s="27">
        <f>+[1]モンスター計算!E212</f>
        <v>4650</v>
      </c>
      <c r="F209" s="5">
        <f>+[1]モンスター計算!F212</f>
        <v>119</v>
      </c>
      <c r="G209" s="5">
        <f>+[1]モンスター計算!G212</f>
        <v>342</v>
      </c>
      <c r="H209" s="5">
        <f>+[1]モンスター計算!H212</f>
        <v>129</v>
      </c>
      <c r="I209" s="5">
        <f>+[1]モンスター計算!I212</f>
        <v>439</v>
      </c>
      <c r="J209" s="13">
        <f>+[1]モンスター計算!J212</f>
        <v>217</v>
      </c>
      <c r="K209" s="27">
        <f>+[1]モンスター計算!K212</f>
        <v>0.03</v>
      </c>
      <c r="L209" s="13">
        <f>+[1]モンスター計算!L212</f>
        <v>1.35</v>
      </c>
      <c r="M209" s="27">
        <f>+[1]モンスター計算!M212</f>
        <v>1.5</v>
      </c>
      <c r="N209" s="5">
        <f>+[1]モンスター計算!N212</f>
        <v>0.65</v>
      </c>
      <c r="O209" s="13">
        <f>+[1]モンスター計算!O212</f>
        <v>1.02</v>
      </c>
      <c r="P209" s="27">
        <f>+[1]モンスター計算!P212</f>
        <v>0.30000000000000004</v>
      </c>
      <c r="Q209" s="5">
        <f>+[1]モンスター計算!Q212</f>
        <v>0</v>
      </c>
      <c r="R209" s="5">
        <f>+[1]モンスター計算!R212</f>
        <v>0.1</v>
      </c>
      <c r="S209" s="5">
        <f>+[1]モンスター計算!S212</f>
        <v>0.1</v>
      </c>
      <c r="T209" s="5">
        <f>+[1]モンスター計算!T212</f>
        <v>0.1</v>
      </c>
      <c r="U209" s="5">
        <f>+[1]モンスター計算!U212</f>
        <v>0.1</v>
      </c>
      <c r="V209" s="13">
        <f>+[1]モンスター計算!V212</f>
        <v>3.4</v>
      </c>
      <c r="W209" s="30">
        <v>10</v>
      </c>
      <c r="X209" s="27" t="s">
        <v>68</v>
      </c>
      <c r="Y209" s="33" t="s">
        <v>90</v>
      </c>
      <c r="Z209" s="13">
        <v>1.25</v>
      </c>
      <c r="AA209" s="30">
        <v>15</v>
      </c>
      <c r="AB209" s="30">
        <f t="shared" si="6"/>
        <v>147</v>
      </c>
      <c r="AC209" s="47">
        <f t="shared" si="7"/>
        <v>35</v>
      </c>
      <c r="AD209" s="27" t="s">
        <v>74</v>
      </c>
      <c r="AE209" s="5">
        <v>0</v>
      </c>
      <c r="AF209" s="5">
        <v>0</v>
      </c>
      <c r="AG209" s="13" t="b">
        <v>0</v>
      </c>
      <c r="AH209" s="30" t="s">
        <v>1120</v>
      </c>
      <c r="AI209" s="33" t="s">
        <v>1826</v>
      </c>
    </row>
    <row r="210" spans="1:35">
      <c r="A210" s="52" t="s">
        <v>725</v>
      </c>
      <c r="B210" s="13" t="s">
        <v>401</v>
      </c>
      <c r="C210" s="27" t="s">
        <v>45</v>
      </c>
      <c r="D210" s="13" t="s">
        <v>59</v>
      </c>
      <c r="E210" s="27">
        <f>+[1]モンスター計算!E213</f>
        <v>2018</v>
      </c>
      <c r="F210" s="5">
        <f>+[1]モンスター計算!F213</f>
        <v>141</v>
      </c>
      <c r="G210" s="5">
        <f>+[1]モンスター計算!G213</f>
        <v>410</v>
      </c>
      <c r="H210" s="5">
        <f>+[1]モンスター計算!H213</f>
        <v>129</v>
      </c>
      <c r="I210" s="5">
        <f>+[1]モンスター計算!I213</f>
        <v>161</v>
      </c>
      <c r="J210" s="13">
        <f>+[1]モンスター計算!J213</f>
        <v>149</v>
      </c>
      <c r="K210" s="27">
        <f>+[1]モンスター計算!K213</f>
        <v>0.1</v>
      </c>
      <c r="L210" s="13">
        <f>+[1]モンスター計算!L213</f>
        <v>1.85</v>
      </c>
      <c r="M210" s="27">
        <f>+[1]モンスター計算!M213</f>
        <v>4</v>
      </c>
      <c r="N210" s="5">
        <f>+[1]モンスター計算!N213</f>
        <v>1.41</v>
      </c>
      <c r="O210" s="13">
        <f>+[1]モンスター計算!O213</f>
        <v>1.8</v>
      </c>
      <c r="P210" s="27">
        <f>+[1]モンスター計算!P213</f>
        <v>-0.155</v>
      </c>
      <c r="Q210" s="5">
        <f>+[1]モンスター計算!Q213</f>
        <v>0.14500000000000002</v>
      </c>
      <c r="R210" s="5">
        <f>+[1]モンスター計算!R213</f>
        <v>-5.5E-2</v>
      </c>
      <c r="S210" s="5">
        <f>+[1]モンスター計算!S213</f>
        <v>-5.5E-2</v>
      </c>
      <c r="T210" s="5">
        <f>+[1]モンスター計算!T213</f>
        <v>-5.5E-2</v>
      </c>
      <c r="U210" s="5">
        <f>+[1]モンスター計算!U213</f>
        <v>-5.5E-2</v>
      </c>
      <c r="V210" s="13">
        <f>+[1]モンスター計算!V213</f>
        <v>6.4</v>
      </c>
      <c r="W210" s="30">
        <v>11</v>
      </c>
      <c r="X210" s="27" t="s">
        <v>70</v>
      </c>
      <c r="Y210" s="33" t="s">
        <v>91</v>
      </c>
      <c r="Z210" s="13">
        <v>1.25</v>
      </c>
      <c r="AA210" s="30">
        <v>20</v>
      </c>
      <c r="AB210" s="30">
        <f t="shared" si="6"/>
        <v>172</v>
      </c>
      <c r="AC210" s="47">
        <f t="shared" si="7"/>
        <v>35</v>
      </c>
      <c r="AD210" s="27" t="s">
        <v>1640</v>
      </c>
      <c r="AE210" s="5">
        <v>0</v>
      </c>
      <c r="AF210" s="5">
        <v>0</v>
      </c>
      <c r="AG210" s="13" t="b">
        <v>0</v>
      </c>
      <c r="AH210" s="30" t="s">
        <v>1121</v>
      </c>
      <c r="AI210" s="33" t="s">
        <v>1826</v>
      </c>
    </row>
    <row r="211" spans="1:35" ht="19.5" thickBot="1">
      <c r="A211" s="53" t="s">
        <v>726</v>
      </c>
      <c r="B211" s="16" t="s">
        <v>402</v>
      </c>
      <c r="C211" s="28" t="s">
        <v>47</v>
      </c>
      <c r="D211" s="16" t="s">
        <v>61</v>
      </c>
      <c r="E211" s="28">
        <f>+[1]モンスター計算!E214</f>
        <v>2095</v>
      </c>
      <c r="F211" s="15">
        <f>+[1]モンスター計算!F214</f>
        <v>335</v>
      </c>
      <c r="G211" s="15">
        <f>+[1]モンスター計算!G214</f>
        <v>257</v>
      </c>
      <c r="H211" s="15">
        <f>+[1]モンスター計算!H214</f>
        <v>572</v>
      </c>
      <c r="I211" s="15">
        <f>+[1]モンスター計算!I214</f>
        <v>174</v>
      </c>
      <c r="J211" s="16">
        <f>+[1]モンスター計算!J214</f>
        <v>204</v>
      </c>
      <c r="K211" s="28">
        <f>+[1]モンスター計算!K214</f>
        <v>0.05</v>
      </c>
      <c r="L211" s="16">
        <f>+[1]モンスター計算!L214</f>
        <v>1.5</v>
      </c>
      <c r="M211" s="28">
        <f>+[1]モンスター計算!M214</f>
        <v>2</v>
      </c>
      <c r="N211" s="15">
        <f>+[1]モンスター計算!N214</f>
        <v>1</v>
      </c>
      <c r="O211" s="16">
        <f>+[1]モンスター計算!O214</f>
        <v>2.5</v>
      </c>
      <c r="P211" s="28">
        <f>+[1]モンスター計算!P214</f>
        <v>-0.02</v>
      </c>
      <c r="Q211" s="15">
        <f>+[1]モンスター計算!Q214</f>
        <v>-0.02</v>
      </c>
      <c r="R211" s="15">
        <f>+[1]モンスター計算!R214</f>
        <v>-0.02</v>
      </c>
      <c r="S211" s="15">
        <f>+[1]モンスター計算!S214</f>
        <v>-0.02</v>
      </c>
      <c r="T211" s="15">
        <f>+[1]モンスター計算!T214</f>
        <v>0.18000000000000002</v>
      </c>
      <c r="U211" s="15">
        <f>+[1]モンスター計算!U214</f>
        <v>-0.12000000000000001</v>
      </c>
      <c r="V211" s="16">
        <f>+[1]モンスター計算!V214</f>
        <v>4</v>
      </c>
      <c r="W211" s="31">
        <v>15</v>
      </c>
      <c r="X211" s="28" t="s">
        <v>72</v>
      </c>
      <c r="Y211" s="34" t="s">
        <v>92</v>
      </c>
      <c r="Z211" s="16">
        <v>1.3</v>
      </c>
      <c r="AA211" s="31">
        <v>40</v>
      </c>
      <c r="AB211" s="31">
        <f t="shared" si="6"/>
        <v>250</v>
      </c>
      <c r="AC211" s="48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1" t="s">
        <v>1122</v>
      </c>
      <c r="AI211" s="34" t="s">
        <v>1826</v>
      </c>
    </row>
    <row r="212" spans="1:35">
      <c r="A212" s="51" t="s">
        <v>727</v>
      </c>
      <c r="B212" s="11" t="s">
        <v>403</v>
      </c>
      <c r="C212" s="26" t="s">
        <v>45</v>
      </c>
      <c r="D212" s="11" t="s">
        <v>61</v>
      </c>
      <c r="E212" s="26">
        <f>+[1]モンスター計算!E215</f>
        <v>2501</v>
      </c>
      <c r="F212" s="10">
        <f>+[1]モンスター計算!F215</f>
        <v>389</v>
      </c>
      <c r="G212" s="10">
        <f>+[1]モンスター計算!G215</f>
        <v>130</v>
      </c>
      <c r="H212" s="10">
        <f>+[1]モンスター計算!H215</f>
        <v>483</v>
      </c>
      <c r="I212" s="10">
        <f>+[1]モンスター計算!I215</f>
        <v>207</v>
      </c>
      <c r="J212" s="11">
        <f>+[1]モンスター計算!J215</f>
        <v>205</v>
      </c>
      <c r="K212" s="26">
        <f>+[1]モンスター計算!K215</f>
        <v>7.4999999999999997E-2</v>
      </c>
      <c r="L212" s="11">
        <f>+[1]モンスター計算!L215</f>
        <v>1.5</v>
      </c>
      <c r="M212" s="26">
        <f>+[1]モンスター計算!M215</f>
        <v>3.1</v>
      </c>
      <c r="N212" s="10">
        <f>+[1]モンスター計算!N215</f>
        <v>1.1499999999999999</v>
      </c>
      <c r="O212" s="11">
        <f>+[1]モンスター計算!O215</f>
        <v>3.0750000000000002</v>
      </c>
      <c r="P212" s="26">
        <f>+[1]モンスター計算!P215</f>
        <v>-0.11</v>
      </c>
      <c r="Q212" s="10">
        <f>+[1]モンスター計算!Q215</f>
        <v>0.19</v>
      </c>
      <c r="R212" s="10">
        <f>+[1]モンスター計算!R215</f>
        <v>-0.01</v>
      </c>
      <c r="S212" s="10">
        <f>+[1]モンスター計算!S215</f>
        <v>-0.01</v>
      </c>
      <c r="T212" s="10">
        <f>+[1]モンスター計算!T215</f>
        <v>-0.01</v>
      </c>
      <c r="U212" s="10">
        <f>+[1]モンスター計算!U215</f>
        <v>-0.01</v>
      </c>
      <c r="V212" s="11">
        <f>+[1]モンスター計算!V215</f>
        <v>8.6</v>
      </c>
      <c r="W212" s="29">
        <v>8</v>
      </c>
      <c r="X212" s="26" t="s">
        <v>109</v>
      </c>
      <c r="Y212" s="32" t="s">
        <v>87</v>
      </c>
      <c r="Z212" s="11">
        <v>1.2</v>
      </c>
      <c r="AA212" s="29">
        <v>5</v>
      </c>
      <c r="AB212" s="29">
        <f t="shared" si="6"/>
        <v>92</v>
      </c>
      <c r="AC212" s="46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29" t="s">
        <v>1123</v>
      </c>
      <c r="AI212" s="32" t="s">
        <v>1826</v>
      </c>
    </row>
    <row r="213" spans="1:35">
      <c r="A213" s="52" t="s">
        <v>728</v>
      </c>
      <c r="B213" s="13" t="s">
        <v>404</v>
      </c>
      <c r="C213" s="27" t="s">
        <v>44</v>
      </c>
      <c r="D213" s="13" t="s">
        <v>61</v>
      </c>
      <c r="E213" s="27">
        <f>+[1]モンスター計算!E216</f>
        <v>4215</v>
      </c>
      <c r="F213" s="5">
        <f>+[1]モンスター計算!F216</f>
        <v>512</v>
      </c>
      <c r="G213" s="5">
        <f>+[1]モンスター計算!G216</f>
        <v>102</v>
      </c>
      <c r="H213" s="5">
        <f>+[1]モンスター計算!H216</f>
        <v>227</v>
      </c>
      <c r="I213" s="5">
        <f>+[1]モンスター計算!I216</f>
        <v>337</v>
      </c>
      <c r="J213" s="13">
        <f>+[1]モンスター計算!J216</f>
        <v>315</v>
      </c>
      <c r="K213" s="27">
        <f>+[1]モンスター計算!K216</f>
        <v>0.1</v>
      </c>
      <c r="L213" s="13">
        <f>+[1]モンスター計算!L216</f>
        <v>1.75</v>
      </c>
      <c r="M213" s="27">
        <f>+[1]モンスター計算!M216</f>
        <v>2.4</v>
      </c>
      <c r="N213" s="5">
        <f>+[1]モンスター計算!N216</f>
        <v>1.2</v>
      </c>
      <c r="O213" s="13">
        <f>+[1]モンスター計算!O216</f>
        <v>3</v>
      </c>
      <c r="P213" s="27">
        <f>+[1]モンスター計算!P216</f>
        <v>0.28000000000000003</v>
      </c>
      <c r="Q213" s="5">
        <f>+[1]モンスター計算!Q216</f>
        <v>-2.0000000000000004E-2</v>
      </c>
      <c r="R213" s="5">
        <f>+[1]モンスター計算!R216</f>
        <v>0.08</v>
      </c>
      <c r="S213" s="5">
        <f>+[1]モンスター計算!S216</f>
        <v>0.08</v>
      </c>
      <c r="T213" s="5">
        <f>+[1]モンスター計算!T216</f>
        <v>0.08</v>
      </c>
      <c r="U213" s="5">
        <f>+[1]モンスター計算!U216</f>
        <v>0.08</v>
      </c>
      <c r="V213" s="13">
        <f>+[1]モンスター計算!V216</f>
        <v>4</v>
      </c>
      <c r="W213" s="30">
        <v>8</v>
      </c>
      <c r="X213" s="27" t="s">
        <v>64</v>
      </c>
      <c r="Y213" s="33" t="s">
        <v>88</v>
      </c>
      <c r="Z213" s="13">
        <v>1.2</v>
      </c>
      <c r="AA213" s="30">
        <v>7</v>
      </c>
      <c r="AB213" s="30">
        <f t="shared" si="6"/>
        <v>102</v>
      </c>
      <c r="AC213" s="47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0" t="s">
        <v>1124</v>
      </c>
      <c r="AI213" s="33" t="s">
        <v>1826</v>
      </c>
    </row>
    <row r="214" spans="1:35">
      <c r="A214" s="52" t="s">
        <v>729</v>
      </c>
      <c r="B214" s="13" t="s">
        <v>405</v>
      </c>
      <c r="C214" s="27" t="s">
        <v>46</v>
      </c>
      <c r="D214" s="13" t="s">
        <v>61</v>
      </c>
      <c r="E214" s="27">
        <f>+[1]モンスター計算!E217</f>
        <v>2557</v>
      </c>
      <c r="F214" s="5">
        <f>+[1]モンスター計算!F217</f>
        <v>656</v>
      </c>
      <c r="G214" s="5">
        <f>+[1]モンスター計算!G217</f>
        <v>277</v>
      </c>
      <c r="H214" s="5">
        <f>+[1]モンスター計算!H217</f>
        <v>822</v>
      </c>
      <c r="I214" s="5">
        <f>+[1]モンスター計算!I217</f>
        <v>198</v>
      </c>
      <c r="J214" s="13">
        <f>+[1]モンスター計算!J217</f>
        <v>214</v>
      </c>
      <c r="K214" s="27">
        <f>+[1]モンスター計算!K217</f>
        <v>0.04</v>
      </c>
      <c r="L214" s="13">
        <f>+[1]モンスター計算!L217</f>
        <v>2.2000000000000002</v>
      </c>
      <c r="M214" s="27">
        <f>+[1]モンスター計算!M217</f>
        <v>1.65</v>
      </c>
      <c r="N214" s="5">
        <f>+[1]モンスター計算!N217</f>
        <v>0.64</v>
      </c>
      <c r="O214" s="13">
        <f>+[1]モンスター計算!O217</f>
        <v>3.7</v>
      </c>
      <c r="P214" s="27">
        <f>+[1]モンスター計算!P217</f>
        <v>-2.5000000000000001E-2</v>
      </c>
      <c r="Q214" s="5">
        <f>+[1]モンスター計算!Q217</f>
        <v>-2.5000000000000001E-2</v>
      </c>
      <c r="R214" s="5">
        <f>+[1]モンスター計算!R217</f>
        <v>0.17500000000000002</v>
      </c>
      <c r="S214" s="5">
        <f>+[1]モンスター計算!S217</f>
        <v>-0.125</v>
      </c>
      <c r="T214" s="5">
        <f>+[1]モンスター計算!T217</f>
        <v>-2.5000000000000001E-2</v>
      </c>
      <c r="U214" s="5">
        <f>+[1]モンスター計算!U217</f>
        <v>-2.5000000000000001E-2</v>
      </c>
      <c r="V214" s="13">
        <f>+[1]モンスター計算!V217</f>
        <v>5</v>
      </c>
      <c r="W214" s="30">
        <v>9</v>
      </c>
      <c r="X214" s="27" t="s">
        <v>66</v>
      </c>
      <c r="Y214" s="33" t="s">
        <v>89</v>
      </c>
      <c r="Z214" s="13">
        <v>1.22</v>
      </c>
      <c r="AA214" s="30">
        <v>10</v>
      </c>
      <c r="AB214" s="30">
        <f t="shared" si="6"/>
        <v>120</v>
      </c>
      <c r="AC214" s="47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0" t="s">
        <v>1125</v>
      </c>
      <c r="AI214" s="33" t="s">
        <v>1826</v>
      </c>
    </row>
    <row r="215" spans="1:35">
      <c r="A215" s="52" t="s">
        <v>730</v>
      </c>
      <c r="B215" s="13" t="s">
        <v>406</v>
      </c>
      <c r="C215" s="27" t="s">
        <v>44</v>
      </c>
      <c r="D215" s="13" t="s">
        <v>59</v>
      </c>
      <c r="E215" s="27">
        <f>+[1]モンスター計算!E218</f>
        <v>3147</v>
      </c>
      <c r="F215" s="5">
        <f>+[1]モンスター計算!F218</f>
        <v>173</v>
      </c>
      <c r="G215" s="5">
        <f>+[1]モンスター計算!G218</f>
        <v>409</v>
      </c>
      <c r="H215" s="5">
        <f>+[1]モンスター計算!H218</f>
        <v>144</v>
      </c>
      <c r="I215" s="5">
        <f>+[1]モンスター計算!I218</f>
        <v>283</v>
      </c>
      <c r="J215" s="13">
        <f>+[1]モンスター計算!J218</f>
        <v>279</v>
      </c>
      <c r="K215" s="27">
        <f>+[1]モンスター計算!K218</f>
        <v>0.04</v>
      </c>
      <c r="L215" s="13">
        <f>+[1]モンスター計算!L218</f>
        <v>1.4</v>
      </c>
      <c r="M215" s="27">
        <f>+[1]モンスター計算!M218</f>
        <v>2.4500000000000002</v>
      </c>
      <c r="N215" s="5">
        <f>+[1]モンスター計算!N218</f>
        <v>1.03</v>
      </c>
      <c r="O215" s="13">
        <f>+[1]モンスター計算!O218</f>
        <v>1.47</v>
      </c>
      <c r="P215" s="27">
        <f>+[1]モンスター計算!P218</f>
        <v>0.24000000000000002</v>
      </c>
      <c r="Q215" s="5">
        <f>+[1]モンスター計算!Q218</f>
        <v>-6.0000000000000005E-2</v>
      </c>
      <c r="R215" s="5">
        <f>+[1]モンスター計算!R218</f>
        <v>0.04</v>
      </c>
      <c r="S215" s="5">
        <f>+[1]モンスター計算!S218</f>
        <v>0.04</v>
      </c>
      <c r="T215" s="5">
        <f>+[1]モンスター計算!T218</f>
        <v>0.04</v>
      </c>
      <c r="U215" s="5">
        <f>+[1]モンスター計算!U218</f>
        <v>0.04</v>
      </c>
      <c r="V215" s="13">
        <f>+[1]モンスター計算!V218</f>
        <v>4</v>
      </c>
      <c r="W215" s="30">
        <v>10</v>
      </c>
      <c r="X215" s="27" t="s">
        <v>68</v>
      </c>
      <c r="Y215" s="33" t="s">
        <v>90</v>
      </c>
      <c r="Z215" s="13">
        <v>1.25</v>
      </c>
      <c r="AA215" s="30">
        <v>15</v>
      </c>
      <c r="AB215" s="30">
        <f t="shared" si="6"/>
        <v>155</v>
      </c>
      <c r="AC215" s="47">
        <f t="shared" si="7"/>
        <v>36</v>
      </c>
      <c r="AD215" s="27" t="s">
        <v>74</v>
      </c>
      <c r="AE215" s="5">
        <v>0</v>
      </c>
      <c r="AF215" s="5">
        <v>0</v>
      </c>
      <c r="AG215" s="13" t="b">
        <v>0</v>
      </c>
      <c r="AH215" s="30" t="s">
        <v>1126</v>
      </c>
      <c r="AI215" s="33" t="s">
        <v>1826</v>
      </c>
    </row>
    <row r="216" spans="1:35">
      <c r="A216" s="52" t="s">
        <v>731</v>
      </c>
      <c r="B216" s="13" t="s">
        <v>407</v>
      </c>
      <c r="C216" s="27" t="s">
        <v>45</v>
      </c>
      <c r="D216" s="13" t="s">
        <v>59</v>
      </c>
      <c r="E216" s="27">
        <f>+[1]モンスター計算!E219</f>
        <v>2136</v>
      </c>
      <c r="F216" s="5">
        <f>+[1]モンスター計算!F219</f>
        <v>113</v>
      </c>
      <c r="G216" s="5">
        <f>+[1]モンスター計算!G219</f>
        <v>736</v>
      </c>
      <c r="H216" s="5">
        <f>+[1]モンスター計算!H219</f>
        <v>205</v>
      </c>
      <c r="I216" s="5">
        <f>+[1]モンスター計算!I219</f>
        <v>171</v>
      </c>
      <c r="J216" s="13">
        <f>+[1]モンスター計算!J219</f>
        <v>157</v>
      </c>
      <c r="K216" s="27">
        <f>+[1]モンスター計算!K219</f>
        <v>9.5000000000000001E-2</v>
      </c>
      <c r="L216" s="13">
        <f>+[1]モンスター計算!L219</f>
        <v>2.4</v>
      </c>
      <c r="M216" s="27">
        <f>+[1]モンスター計算!M219</f>
        <v>3.35</v>
      </c>
      <c r="N216" s="5">
        <f>+[1]モンスター計算!N219</f>
        <v>0.86</v>
      </c>
      <c r="O216" s="13">
        <f>+[1]モンスター計算!O219</f>
        <v>1.9950000000000001</v>
      </c>
      <c r="P216" s="27">
        <f>+[1]モンスター計算!P219</f>
        <v>-0.17</v>
      </c>
      <c r="Q216" s="5">
        <f>+[1]モンスター計算!Q219</f>
        <v>0.13</v>
      </c>
      <c r="R216" s="5">
        <f>+[1]モンスター計算!R219</f>
        <v>-7.0000000000000007E-2</v>
      </c>
      <c r="S216" s="5">
        <f>+[1]モンスター計算!S219</f>
        <v>-7.0000000000000007E-2</v>
      </c>
      <c r="T216" s="5">
        <f>+[1]モンスター計算!T219</f>
        <v>-7.0000000000000007E-2</v>
      </c>
      <c r="U216" s="5">
        <f>+[1]モンスター計算!U219</f>
        <v>-7.0000000000000007E-2</v>
      </c>
      <c r="V216" s="13">
        <f>+[1]モンスター計算!V219</f>
        <v>4.5999999999999996</v>
      </c>
      <c r="W216" s="30">
        <v>11</v>
      </c>
      <c r="X216" s="27" t="s">
        <v>70</v>
      </c>
      <c r="Y216" s="33" t="s">
        <v>91</v>
      </c>
      <c r="Z216" s="13">
        <v>1.25</v>
      </c>
      <c r="AA216" s="30">
        <v>20</v>
      </c>
      <c r="AB216" s="30">
        <f t="shared" si="6"/>
        <v>181</v>
      </c>
      <c r="AC216" s="47">
        <f t="shared" si="7"/>
        <v>36</v>
      </c>
      <c r="AD216" s="27" t="s">
        <v>74</v>
      </c>
      <c r="AE216" s="5">
        <v>0</v>
      </c>
      <c r="AF216" s="5">
        <v>0</v>
      </c>
      <c r="AG216" s="13" t="b">
        <v>0</v>
      </c>
      <c r="AH216" s="30" t="s">
        <v>1127</v>
      </c>
      <c r="AI216" s="33" t="s">
        <v>1826</v>
      </c>
    </row>
    <row r="217" spans="1:35" ht="19.5" thickBot="1">
      <c r="A217" s="53" t="s">
        <v>732</v>
      </c>
      <c r="B217" s="16" t="s">
        <v>408</v>
      </c>
      <c r="C217" s="28" t="s">
        <v>47</v>
      </c>
      <c r="D217" s="16" t="s">
        <v>61</v>
      </c>
      <c r="E217" s="28">
        <f>+[1]モンスター計算!E220</f>
        <v>2810</v>
      </c>
      <c r="F217" s="15">
        <f>+[1]モンスター計算!F220</f>
        <v>594</v>
      </c>
      <c r="G217" s="15">
        <f>+[1]モンスター計算!G220</f>
        <v>225</v>
      </c>
      <c r="H217" s="15">
        <f>+[1]モンスター計算!H220</f>
        <v>501</v>
      </c>
      <c r="I217" s="15">
        <f>+[1]モンスター計算!I220</f>
        <v>225</v>
      </c>
      <c r="J217" s="16">
        <f>+[1]モンスター計算!J220</f>
        <v>270</v>
      </c>
      <c r="K217" s="28">
        <f>+[1]モンスター計算!K220</f>
        <v>0.06</v>
      </c>
      <c r="L217" s="16">
        <f>+[1]モンスター計算!L220</f>
        <v>1.4</v>
      </c>
      <c r="M217" s="28">
        <f>+[1]モンスター計算!M220</f>
        <v>2.1</v>
      </c>
      <c r="N217" s="15">
        <f>+[1]モンスター計算!N220</f>
        <v>0.95</v>
      </c>
      <c r="O217" s="16">
        <f>+[1]モンスター計算!O220</f>
        <v>2.875</v>
      </c>
      <c r="P217" s="28">
        <f>+[1]モンスター計算!P220</f>
        <v>0.03</v>
      </c>
      <c r="Q217" s="15">
        <f>+[1]モンスター計算!Q220</f>
        <v>0.03</v>
      </c>
      <c r="R217" s="15">
        <f>+[1]モンスター計算!R220</f>
        <v>0.03</v>
      </c>
      <c r="S217" s="15">
        <f>+[1]モンスター計算!S220</f>
        <v>0.03</v>
      </c>
      <c r="T217" s="15">
        <f>+[1]モンスター計算!T220</f>
        <v>0.23</v>
      </c>
      <c r="U217" s="15">
        <f>+[1]モンスター計算!U220</f>
        <v>-7.0000000000000007E-2</v>
      </c>
      <c r="V217" s="16">
        <f>+[1]モンスター計算!V220</f>
        <v>4.8</v>
      </c>
      <c r="W217" s="31">
        <v>15</v>
      </c>
      <c r="X217" s="28" t="s">
        <v>72</v>
      </c>
      <c r="Y217" s="34" t="s">
        <v>92</v>
      </c>
      <c r="Z217" s="16">
        <v>1.3</v>
      </c>
      <c r="AA217" s="31">
        <v>40</v>
      </c>
      <c r="AB217" s="31">
        <f t="shared" si="6"/>
        <v>263</v>
      </c>
      <c r="AC217" s="48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1" t="s">
        <v>1128</v>
      </c>
      <c r="AI217" s="34" t="s">
        <v>1826</v>
      </c>
    </row>
    <row r="218" spans="1:35">
      <c r="A218" s="51" t="s">
        <v>733</v>
      </c>
      <c r="B218" s="11" t="s">
        <v>409</v>
      </c>
      <c r="C218" s="26" t="s">
        <v>45</v>
      </c>
      <c r="D218" s="11" t="s">
        <v>61</v>
      </c>
      <c r="E218" s="26">
        <f>+[1]モンスター計算!E221</f>
        <v>3091</v>
      </c>
      <c r="F218" s="10">
        <f>+[1]モンスター計算!F221</f>
        <v>496</v>
      </c>
      <c r="G218" s="10">
        <f>+[1]モンスター計算!G221</f>
        <v>223</v>
      </c>
      <c r="H218" s="10">
        <f>+[1]モンスター計算!H221</f>
        <v>495</v>
      </c>
      <c r="I218" s="10">
        <f>+[1]モンスター計算!I221</f>
        <v>235</v>
      </c>
      <c r="J218" s="11">
        <f>+[1]モンスター計算!J221</f>
        <v>272</v>
      </c>
      <c r="K218" s="26">
        <f>+[1]モンスター計算!K221</f>
        <v>7.0000000000000007E-2</v>
      </c>
      <c r="L218" s="11">
        <f>+[1]モンスター計算!L221</f>
        <v>1.55</v>
      </c>
      <c r="M218" s="26">
        <f>+[1]モンスター計算!M221</f>
        <v>2.2999999999999998</v>
      </c>
      <c r="N218" s="10">
        <f>+[1]モンスター計算!N221</f>
        <v>1.1000000000000001</v>
      </c>
      <c r="O218" s="11">
        <f>+[1]モンスター計算!O221</f>
        <v>2.7</v>
      </c>
      <c r="P218" s="26">
        <f>+[1]モンスター計算!P221</f>
        <v>-0.13</v>
      </c>
      <c r="Q218" s="10">
        <f>+[1]モンスター計算!Q221</f>
        <v>0.17</v>
      </c>
      <c r="R218" s="10">
        <f>+[1]モンスター計算!R221</f>
        <v>-0.03</v>
      </c>
      <c r="S218" s="10">
        <f>+[1]モンスター計算!S221</f>
        <v>-0.03</v>
      </c>
      <c r="T218" s="10">
        <f>+[1]モンスター計算!T221</f>
        <v>-0.03</v>
      </c>
      <c r="U218" s="10">
        <f>+[1]モンスター計算!U221</f>
        <v>-0.03</v>
      </c>
      <c r="V218" s="11">
        <f>+[1]モンスター計算!V221</f>
        <v>4</v>
      </c>
      <c r="W218" s="29">
        <v>8</v>
      </c>
      <c r="X218" s="26" t="s">
        <v>109</v>
      </c>
      <c r="Y218" s="32" t="s">
        <v>87</v>
      </c>
      <c r="Z218" s="11">
        <v>1.2</v>
      </c>
      <c r="AA218" s="29">
        <v>5</v>
      </c>
      <c r="AB218" s="29">
        <f t="shared" si="6"/>
        <v>97</v>
      </c>
      <c r="AC218" s="46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29" t="s">
        <v>1129</v>
      </c>
      <c r="AI218" s="32" t="s">
        <v>1826</v>
      </c>
    </row>
    <row r="219" spans="1:35">
      <c r="A219" s="52" t="s">
        <v>734</v>
      </c>
      <c r="B219" s="13" t="s">
        <v>410</v>
      </c>
      <c r="C219" s="27" t="s">
        <v>44</v>
      </c>
      <c r="D219" s="13" t="s">
        <v>61</v>
      </c>
      <c r="E219" s="27">
        <f>+[1]モンスター計算!E222</f>
        <v>2071</v>
      </c>
      <c r="F219" s="5">
        <f>+[1]モンスター計算!F222</f>
        <v>496</v>
      </c>
      <c r="G219" s="5">
        <f>+[1]モンスター計算!G222</f>
        <v>229</v>
      </c>
      <c r="H219" s="5">
        <f>+[1]モンスター計算!H222</f>
        <v>980</v>
      </c>
      <c r="I219" s="5">
        <f>+[1]モンスター計算!I222</f>
        <v>161</v>
      </c>
      <c r="J219" s="13">
        <f>+[1]モンスター計算!J222</f>
        <v>198</v>
      </c>
      <c r="K219" s="27">
        <f>+[1]モンスター計算!K222</f>
        <v>0.18</v>
      </c>
      <c r="L219" s="13">
        <f>+[1]モンスター計算!L222</f>
        <v>1.85</v>
      </c>
      <c r="M219" s="27">
        <f>+[1]モンスター計算!M222</f>
        <v>2.0499999999999998</v>
      </c>
      <c r="N219" s="5">
        <f>+[1]モンスター計算!N222</f>
        <v>0.75</v>
      </c>
      <c r="O219" s="13">
        <f>+[1]モンスター計算!O222</f>
        <v>4.45</v>
      </c>
      <c r="P219" s="27">
        <f>+[1]モンスター計算!P222</f>
        <v>0.14000000000000001</v>
      </c>
      <c r="Q219" s="5">
        <f>+[1]モンスター計算!Q222</f>
        <v>-0.16</v>
      </c>
      <c r="R219" s="5">
        <f>+[1]モンスター計算!R222</f>
        <v>-0.06</v>
      </c>
      <c r="S219" s="5">
        <f>+[1]モンスター計算!S222</f>
        <v>-0.06</v>
      </c>
      <c r="T219" s="5">
        <f>+[1]モンスター計算!T222</f>
        <v>-0.06</v>
      </c>
      <c r="U219" s="5">
        <f>+[1]モンスター計算!U222</f>
        <v>-0.06</v>
      </c>
      <c r="V219" s="13">
        <f>+[1]モンスター計算!V222</f>
        <v>5.6</v>
      </c>
      <c r="W219" s="30">
        <v>8</v>
      </c>
      <c r="X219" s="27" t="s">
        <v>64</v>
      </c>
      <c r="Y219" s="33" t="s">
        <v>88</v>
      </c>
      <c r="Z219" s="13">
        <v>1.2</v>
      </c>
      <c r="AA219" s="30">
        <v>7</v>
      </c>
      <c r="AB219" s="30">
        <f t="shared" si="6"/>
        <v>108</v>
      </c>
      <c r="AC219" s="47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0" t="s">
        <v>1130</v>
      </c>
      <c r="AI219" s="33" t="s">
        <v>1826</v>
      </c>
    </row>
    <row r="220" spans="1:35">
      <c r="A220" s="52" t="s">
        <v>735</v>
      </c>
      <c r="B220" s="13" t="s">
        <v>411</v>
      </c>
      <c r="C220" s="27" t="s">
        <v>46</v>
      </c>
      <c r="D220" s="13" t="s">
        <v>61</v>
      </c>
      <c r="E220" s="27">
        <f>+[1]モンスター計算!E223</f>
        <v>2535</v>
      </c>
      <c r="F220" s="5">
        <f>+[1]モンスター計算!F223</f>
        <v>608</v>
      </c>
      <c r="G220" s="5">
        <f>+[1]モンスター計算!G223</f>
        <v>234</v>
      </c>
      <c r="H220" s="5">
        <f>+[1]モンスター計算!H223</f>
        <v>868</v>
      </c>
      <c r="I220" s="5">
        <f>+[1]モンスター計算!I223</f>
        <v>200</v>
      </c>
      <c r="J220" s="13">
        <f>+[1]モンスター計算!J223</f>
        <v>215</v>
      </c>
      <c r="K220" s="27">
        <f>+[1]モンスター計算!K223</f>
        <v>0.12</v>
      </c>
      <c r="L220" s="13">
        <f>+[1]モンスター計算!L223</f>
        <v>2.5499999999999998</v>
      </c>
      <c r="M220" s="27">
        <f>+[1]モンスター計算!M223</f>
        <v>2.2999999999999998</v>
      </c>
      <c r="N220" s="5">
        <f>+[1]モンスター計算!N223</f>
        <v>0.68</v>
      </c>
      <c r="O220" s="13">
        <f>+[1]モンスター計算!O223</f>
        <v>3.55</v>
      </c>
      <c r="P220" s="27">
        <f>+[1]モンスター計算!P223</f>
        <v>-5.5E-2</v>
      </c>
      <c r="Q220" s="5">
        <f>+[1]モンスター計算!Q223</f>
        <v>-5.5E-2</v>
      </c>
      <c r="R220" s="5">
        <f>+[1]モンスター計算!R223</f>
        <v>0.14500000000000002</v>
      </c>
      <c r="S220" s="5">
        <f>+[1]モンスター計算!S223</f>
        <v>-0.155</v>
      </c>
      <c r="T220" s="5">
        <f>+[1]モンスター計算!T223</f>
        <v>-5.5E-2</v>
      </c>
      <c r="U220" s="5">
        <f>+[1]モンスター計算!U223</f>
        <v>-5.5E-2</v>
      </c>
      <c r="V220" s="13">
        <f>+[1]モンスター計算!V223</f>
        <v>4.8</v>
      </c>
      <c r="W220" s="30">
        <v>9</v>
      </c>
      <c r="X220" s="27" t="s">
        <v>66</v>
      </c>
      <c r="Y220" s="33" t="s">
        <v>89</v>
      </c>
      <c r="Z220" s="13">
        <v>1.22</v>
      </c>
      <c r="AA220" s="30">
        <v>10</v>
      </c>
      <c r="AB220" s="30">
        <f t="shared" si="6"/>
        <v>126</v>
      </c>
      <c r="AC220" s="47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0" t="s">
        <v>1131</v>
      </c>
      <c r="AI220" s="33" t="s">
        <v>1826</v>
      </c>
    </row>
    <row r="221" spans="1:35">
      <c r="A221" s="52" t="s">
        <v>736</v>
      </c>
      <c r="B221" s="13" t="s">
        <v>412</v>
      </c>
      <c r="C221" s="27" t="s">
        <v>44</v>
      </c>
      <c r="D221" s="13" t="s">
        <v>59</v>
      </c>
      <c r="E221" s="27">
        <f>+[1]モンスター計算!E224</f>
        <v>4668</v>
      </c>
      <c r="F221" s="5">
        <f>+[1]モンスター計算!F224</f>
        <v>168</v>
      </c>
      <c r="G221" s="5">
        <f>+[1]モンスター計算!G224</f>
        <v>425</v>
      </c>
      <c r="H221" s="5">
        <f>+[1]モンスター計算!H224</f>
        <v>149</v>
      </c>
      <c r="I221" s="5">
        <f>+[1]モンスター計算!I224</f>
        <v>418</v>
      </c>
      <c r="J221" s="13">
        <f>+[1]モンスター計算!J224</f>
        <v>232</v>
      </c>
      <c r="K221" s="27">
        <f>+[1]モンスター計算!K224</f>
        <v>3.5000000000000003E-2</v>
      </c>
      <c r="L221" s="13">
        <f>+[1]モンスター計算!L224</f>
        <v>1.43</v>
      </c>
      <c r="M221" s="27">
        <f>+[1]モンスター計算!M224</f>
        <v>1.75</v>
      </c>
      <c r="N221" s="5">
        <f>+[1]モンスター計算!N224</f>
        <v>0.73</v>
      </c>
      <c r="O221" s="13">
        <f>+[1]モンスター計算!O224</f>
        <v>2.3250000000000002</v>
      </c>
      <c r="P221" s="27">
        <f>+[1]モンスター計算!P224</f>
        <v>0.29000000000000004</v>
      </c>
      <c r="Q221" s="5">
        <f>+[1]モンスター計算!Q224</f>
        <v>-1.0000000000000009E-2</v>
      </c>
      <c r="R221" s="5">
        <f>+[1]モンスター計算!R224</f>
        <v>0.09</v>
      </c>
      <c r="S221" s="5">
        <f>+[1]モンスター計算!S224</f>
        <v>0.09</v>
      </c>
      <c r="T221" s="5">
        <f>+[1]モンスター計算!T224</f>
        <v>0.09</v>
      </c>
      <c r="U221" s="5">
        <f>+[1]モンスター計算!U224</f>
        <v>0.09</v>
      </c>
      <c r="V221" s="13">
        <f>+[1]モンスター計算!V224</f>
        <v>4.4000000000000004</v>
      </c>
      <c r="W221" s="30">
        <v>10</v>
      </c>
      <c r="X221" s="27" t="s">
        <v>68</v>
      </c>
      <c r="Y221" s="33" t="s">
        <v>90</v>
      </c>
      <c r="Z221" s="13">
        <v>1.25</v>
      </c>
      <c r="AA221" s="30">
        <v>15</v>
      </c>
      <c r="AB221" s="30">
        <f t="shared" si="6"/>
        <v>163</v>
      </c>
      <c r="AC221" s="47">
        <f t="shared" si="7"/>
        <v>37</v>
      </c>
      <c r="AD221" s="27" t="s">
        <v>74</v>
      </c>
      <c r="AE221" s="5">
        <v>0</v>
      </c>
      <c r="AF221" s="5">
        <v>0</v>
      </c>
      <c r="AG221" s="13" t="b">
        <v>0</v>
      </c>
      <c r="AH221" s="30" t="s">
        <v>1132</v>
      </c>
      <c r="AI221" s="33" t="s">
        <v>1826</v>
      </c>
    </row>
    <row r="222" spans="1:35">
      <c r="A222" s="52" t="s">
        <v>737</v>
      </c>
      <c r="B222" s="13" t="s">
        <v>413</v>
      </c>
      <c r="C222" s="27" t="s">
        <v>45</v>
      </c>
      <c r="D222" s="13" t="s">
        <v>59</v>
      </c>
      <c r="E222" s="27">
        <f>+[1]モンスター計算!E225</f>
        <v>4946</v>
      </c>
      <c r="F222" s="5">
        <f>+[1]モンスター計算!F225</f>
        <v>170</v>
      </c>
      <c r="G222" s="5">
        <f>+[1]モンスター計算!G225</f>
        <v>375</v>
      </c>
      <c r="H222" s="5">
        <f>+[1]モンスター計算!H225</f>
        <v>169</v>
      </c>
      <c r="I222" s="5">
        <f>+[1]モンスター計算!I225</f>
        <v>383</v>
      </c>
      <c r="J222" s="13">
        <f>+[1]モンスター計算!J225</f>
        <v>346</v>
      </c>
      <c r="K222" s="27">
        <f>+[1]モンスター計算!K225</f>
        <v>0.04</v>
      </c>
      <c r="L222" s="13">
        <f>+[1]モンスター計算!L225</f>
        <v>1.4</v>
      </c>
      <c r="M222" s="27">
        <f>+[1]モンスター計算!M225</f>
        <v>2.2000000000000002</v>
      </c>
      <c r="N222" s="5">
        <f>+[1]モンスター計算!N225</f>
        <v>0.82</v>
      </c>
      <c r="O222" s="13">
        <f>+[1]モンスター計算!O225</f>
        <v>1.2</v>
      </c>
      <c r="P222" s="27">
        <f>+[1]モンスター計算!P225</f>
        <v>0</v>
      </c>
      <c r="Q222" s="5">
        <f>+[1]モンスター計算!Q225</f>
        <v>0.30000000000000004</v>
      </c>
      <c r="R222" s="5">
        <f>+[1]モンスター計算!R225</f>
        <v>0.1</v>
      </c>
      <c r="S222" s="5">
        <f>+[1]モンスター計算!S225</f>
        <v>0.1</v>
      </c>
      <c r="T222" s="5">
        <f>+[1]モンスター計算!T225</f>
        <v>0.1</v>
      </c>
      <c r="U222" s="5">
        <f>+[1]モンスター計算!U225</f>
        <v>0.1</v>
      </c>
      <c r="V222" s="13">
        <f>+[1]モンスター計算!V225</f>
        <v>4</v>
      </c>
      <c r="W222" s="30">
        <v>11</v>
      </c>
      <c r="X222" s="27" t="s">
        <v>70</v>
      </c>
      <c r="Y222" s="33" t="s">
        <v>91</v>
      </c>
      <c r="Z222" s="13">
        <v>1.25</v>
      </c>
      <c r="AA222" s="30">
        <v>20</v>
      </c>
      <c r="AB222" s="30">
        <f t="shared" si="6"/>
        <v>191</v>
      </c>
      <c r="AC222" s="47">
        <f t="shared" si="7"/>
        <v>37</v>
      </c>
      <c r="AD222" s="27" t="s">
        <v>74</v>
      </c>
      <c r="AE222" s="5">
        <v>0</v>
      </c>
      <c r="AF222" s="5">
        <v>0</v>
      </c>
      <c r="AG222" s="13" t="b">
        <v>0</v>
      </c>
      <c r="AH222" s="30" t="s">
        <v>1133</v>
      </c>
      <c r="AI222" s="33" t="s">
        <v>1826</v>
      </c>
    </row>
    <row r="223" spans="1:35" ht="19.5" thickBot="1">
      <c r="A223" s="53" t="s">
        <v>738</v>
      </c>
      <c r="B223" s="16" t="s">
        <v>414</v>
      </c>
      <c r="C223" s="28" t="s">
        <v>47</v>
      </c>
      <c r="D223" s="16" t="s">
        <v>61</v>
      </c>
      <c r="E223" s="28">
        <f>+[1]モンスター計算!E226</f>
        <v>5317</v>
      </c>
      <c r="F223" s="15">
        <f>+[1]モンスター計算!F226</f>
        <v>608</v>
      </c>
      <c r="G223" s="15">
        <f>+[1]モンスター計算!G226</f>
        <v>128</v>
      </c>
      <c r="H223" s="15">
        <f>+[1]モンスター計算!H226</f>
        <v>439</v>
      </c>
      <c r="I223" s="15">
        <f>+[1]モンスター計算!I226</f>
        <v>406</v>
      </c>
      <c r="J223" s="16">
        <f>+[1]モンスター計算!J226</f>
        <v>383</v>
      </c>
      <c r="K223" s="28">
        <f>+[1]モンスター計算!K226</f>
        <v>3.5000000000000003E-2</v>
      </c>
      <c r="L223" s="16">
        <f>+[1]モンスター計算!L226</f>
        <v>1.4</v>
      </c>
      <c r="M223" s="28">
        <f>+[1]モンスター計算!M226</f>
        <v>1.5</v>
      </c>
      <c r="N223" s="15">
        <f>+[1]モンスター計算!N226</f>
        <v>0.6</v>
      </c>
      <c r="O223" s="16">
        <f>+[1]モンスター計算!O226</f>
        <v>3.1</v>
      </c>
      <c r="P223" s="28">
        <f>+[1]モンスター計算!P226</f>
        <v>0.12</v>
      </c>
      <c r="Q223" s="15">
        <f>+[1]モンスター計算!Q226</f>
        <v>0.12</v>
      </c>
      <c r="R223" s="15">
        <f>+[1]モンスター計算!R226</f>
        <v>0.12</v>
      </c>
      <c r="S223" s="15">
        <f>+[1]モンスター計算!S226</f>
        <v>0.12</v>
      </c>
      <c r="T223" s="15">
        <f>+[1]モンスター計算!T226</f>
        <v>0.32</v>
      </c>
      <c r="U223" s="15">
        <f>+[1]モンスター計算!U226</f>
        <v>1.999999999999999E-2</v>
      </c>
      <c r="V223" s="16">
        <f>+[1]モンスター計算!V226</f>
        <v>4.12</v>
      </c>
      <c r="W223" s="31">
        <v>15</v>
      </c>
      <c r="X223" s="28" t="s">
        <v>72</v>
      </c>
      <c r="Y223" s="34" t="s">
        <v>92</v>
      </c>
      <c r="Z223" s="16">
        <v>1.3</v>
      </c>
      <c r="AA223" s="31">
        <v>40</v>
      </c>
      <c r="AB223" s="31">
        <f t="shared" si="6"/>
        <v>277</v>
      </c>
      <c r="AC223" s="48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1" t="s">
        <v>1134</v>
      </c>
      <c r="AI223" s="34" t="s">
        <v>1826</v>
      </c>
    </row>
    <row r="224" spans="1:35">
      <c r="A224" s="51" t="s">
        <v>739</v>
      </c>
      <c r="B224" s="11" t="s">
        <v>415</v>
      </c>
      <c r="C224" s="26" t="s">
        <v>45</v>
      </c>
      <c r="D224" s="11" t="s">
        <v>61</v>
      </c>
      <c r="E224" s="26">
        <f>+[1]モンスター計算!E227</f>
        <v>2516</v>
      </c>
      <c r="F224" s="10">
        <f>+[1]モンスター計算!F227</f>
        <v>471</v>
      </c>
      <c r="G224" s="10">
        <f>+[1]モンスター計算!G227</f>
        <v>171</v>
      </c>
      <c r="H224" s="10">
        <f>+[1]モンスター計算!H227</f>
        <v>584</v>
      </c>
      <c r="I224" s="10">
        <f>+[1]モンスター計算!I227</f>
        <v>196</v>
      </c>
      <c r="J224" s="11">
        <f>+[1]モンスター計算!J227</f>
        <v>229</v>
      </c>
      <c r="K224" s="26">
        <f>+[1]モンスター計算!K227</f>
        <v>0.05</v>
      </c>
      <c r="L224" s="11">
        <f>+[1]モンスター計算!L227</f>
        <v>1.4</v>
      </c>
      <c r="M224" s="26">
        <f>+[1]モンスター計算!M227</f>
        <v>3.35</v>
      </c>
      <c r="N224" s="10">
        <f>+[1]モンスター計算!N227</f>
        <v>1.55</v>
      </c>
      <c r="O224" s="11">
        <f>+[1]モンスター計算!O227</f>
        <v>2.2999999999999998</v>
      </c>
      <c r="P224" s="26">
        <f>+[1]モンスター計算!P227</f>
        <v>-0.17</v>
      </c>
      <c r="Q224" s="10">
        <f>+[1]モンスター計算!Q227</f>
        <v>0.13</v>
      </c>
      <c r="R224" s="10">
        <f>+[1]モンスター計算!R227</f>
        <v>-7.0000000000000007E-2</v>
      </c>
      <c r="S224" s="10">
        <f>+[1]モンスター計算!S227</f>
        <v>-7.0000000000000007E-2</v>
      </c>
      <c r="T224" s="10">
        <f>+[1]モンスター計算!T227</f>
        <v>-7.0000000000000007E-2</v>
      </c>
      <c r="U224" s="10">
        <f>+[1]モンスター計算!U227</f>
        <v>-7.0000000000000007E-2</v>
      </c>
      <c r="V224" s="11">
        <f>+[1]モンスター計算!V227</f>
        <v>4</v>
      </c>
      <c r="W224" s="29">
        <v>8</v>
      </c>
      <c r="X224" s="26" t="s">
        <v>109</v>
      </c>
      <c r="Y224" s="32" t="s">
        <v>87</v>
      </c>
      <c r="Z224" s="11">
        <v>1.2</v>
      </c>
      <c r="AA224" s="29">
        <v>5</v>
      </c>
      <c r="AB224" s="29">
        <f t="shared" si="6"/>
        <v>102</v>
      </c>
      <c r="AC224" s="46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29" t="s">
        <v>1135</v>
      </c>
      <c r="AI224" s="32" t="s">
        <v>1826</v>
      </c>
    </row>
    <row r="225" spans="1:35">
      <c r="A225" s="52" t="s">
        <v>740</v>
      </c>
      <c r="B225" s="13" t="s">
        <v>416</v>
      </c>
      <c r="C225" s="27" t="s">
        <v>44</v>
      </c>
      <c r="D225" s="13" t="s">
        <v>61</v>
      </c>
      <c r="E225" s="27">
        <f>+[1]モンスター計算!E228</f>
        <v>2482</v>
      </c>
      <c r="F225" s="5">
        <f>+[1]モンスター計算!F228</f>
        <v>585</v>
      </c>
      <c r="G225" s="5">
        <f>+[1]モンスター計算!G228</f>
        <v>192</v>
      </c>
      <c r="H225" s="5">
        <f>+[1]モンスター計算!H228</f>
        <v>760</v>
      </c>
      <c r="I225" s="5">
        <f>+[1]モンスター計算!I228</f>
        <v>209</v>
      </c>
      <c r="J225" s="13">
        <f>+[1]モンスター計算!J228</f>
        <v>231</v>
      </c>
      <c r="K225" s="27">
        <f>+[1]モンスター計算!K228</f>
        <v>0.26</v>
      </c>
      <c r="L225" s="13">
        <f>+[1]モンスター計算!L228</f>
        <v>1.95</v>
      </c>
      <c r="M225" s="27">
        <f>+[1]モンスター計算!M228</f>
        <v>2.75</v>
      </c>
      <c r="N225" s="5">
        <f>+[1]モンスター計算!N228</f>
        <v>0.95</v>
      </c>
      <c r="O225" s="13">
        <f>+[1]モンスター計算!O228</f>
        <v>2.8</v>
      </c>
      <c r="P225" s="27">
        <f>+[1]モンスター計算!P228</f>
        <v>0.15000000000000002</v>
      </c>
      <c r="Q225" s="5">
        <f>+[1]モンスター計算!Q228</f>
        <v>-0.15000000000000002</v>
      </c>
      <c r="R225" s="5">
        <f>+[1]モンスター計算!R228</f>
        <v>-0.05</v>
      </c>
      <c r="S225" s="5">
        <f>+[1]モンスター計算!S228</f>
        <v>-0.05</v>
      </c>
      <c r="T225" s="5">
        <f>+[1]モンスター計算!T228</f>
        <v>-0.05</v>
      </c>
      <c r="U225" s="5">
        <f>+[1]モンスター計算!U228</f>
        <v>-0.05</v>
      </c>
      <c r="V225" s="13">
        <f>+[1]モンスター計算!V228</f>
        <v>4.4000000000000004</v>
      </c>
      <c r="W225" s="30">
        <v>8</v>
      </c>
      <c r="X225" s="27" t="s">
        <v>64</v>
      </c>
      <c r="Y225" s="33" t="s">
        <v>88</v>
      </c>
      <c r="Z225" s="13">
        <v>1.2</v>
      </c>
      <c r="AA225" s="30">
        <v>7</v>
      </c>
      <c r="AB225" s="30">
        <f t="shared" si="6"/>
        <v>114</v>
      </c>
      <c r="AC225" s="47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0" t="s">
        <v>1136</v>
      </c>
      <c r="AI225" s="33" t="s">
        <v>1826</v>
      </c>
    </row>
    <row r="226" spans="1:35">
      <c r="A226" s="52" t="s">
        <v>741</v>
      </c>
      <c r="B226" s="13" t="s">
        <v>417</v>
      </c>
      <c r="C226" s="27" t="s">
        <v>46</v>
      </c>
      <c r="D226" s="13" t="s">
        <v>61</v>
      </c>
      <c r="E226" s="27">
        <f>+[1]モンスター計算!E229</f>
        <v>2686</v>
      </c>
      <c r="F226" s="5">
        <f>+[1]モンスター計算!F229</f>
        <v>446</v>
      </c>
      <c r="G226" s="5">
        <f>+[1]モンスター計算!G229</f>
        <v>118</v>
      </c>
      <c r="H226" s="5">
        <f>+[1]モンスター計算!H229</f>
        <v>493</v>
      </c>
      <c r="I226" s="5">
        <f>+[1]モンスター計算!I229</f>
        <v>231</v>
      </c>
      <c r="J226" s="13">
        <f>+[1]モンスター計算!J229</f>
        <v>220</v>
      </c>
      <c r="K226" s="27">
        <f>+[1]モンスター計算!K229</f>
        <v>6.5000000000000002E-2</v>
      </c>
      <c r="L226" s="13">
        <f>+[1]モンスター計算!L229</f>
        <v>1.45</v>
      </c>
      <c r="M226" s="27">
        <f>+[1]モンスター計算!M229</f>
        <v>4</v>
      </c>
      <c r="N226" s="5">
        <f>+[1]モンスター計算!N229</f>
        <v>1.72</v>
      </c>
      <c r="O226" s="13">
        <f>+[1]モンスター計算!O229</f>
        <v>1.9</v>
      </c>
      <c r="P226" s="27">
        <f>+[1]モンスター計算!P229</f>
        <v>-7.0000000000000007E-2</v>
      </c>
      <c r="Q226" s="5">
        <f>+[1]モンスター計算!Q229</f>
        <v>-7.0000000000000007E-2</v>
      </c>
      <c r="R226" s="5">
        <f>+[1]モンスター計算!R229</f>
        <v>0.13</v>
      </c>
      <c r="S226" s="5">
        <f>+[1]モンスター計算!S229</f>
        <v>-0.17</v>
      </c>
      <c r="T226" s="5">
        <f>+[1]モンスター計算!T229</f>
        <v>-7.0000000000000007E-2</v>
      </c>
      <c r="U226" s="5">
        <f>+[1]モンスター計算!U229</f>
        <v>-7.0000000000000007E-2</v>
      </c>
      <c r="V226" s="13">
        <f>+[1]モンスター計算!V229</f>
        <v>5.4</v>
      </c>
      <c r="W226" s="30">
        <v>9</v>
      </c>
      <c r="X226" s="27" t="s">
        <v>66</v>
      </c>
      <c r="Y226" s="33" t="s">
        <v>89</v>
      </c>
      <c r="Z226" s="13">
        <v>1.22</v>
      </c>
      <c r="AA226" s="30">
        <v>10</v>
      </c>
      <c r="AB226" s="30">
        <f t="shared" si="6"/>
        <v>133</v>
      </c>
      <c r="AC226" s="47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0" t="s">
        <v>1137</v>
      </c>
      <c r="AI226" s="33" t="s">
        <v>1826</v>
      </c>
    </row>
    <row r="227" spans="1:35">
      <c r="A227" s="52" t="s">
        <v>742</v>
      </c>
      <c r="B227" s="13" t="s">
        <v>418</v>
      </c>
      <c r="C227" s="27" t="s">
        <v>44</v>
      </c>
      <c r="D227" s="13" t="s">
        <v>59</v>
      </c>
      <c r="E227" s="27">
        <f>+[1]モンスター計算!E230</f>
        <v>2720</v>
      </c>
      <c r="F227" s="5">
        <f>+[1]モンスター計算!F230</f>
        <v>187</v>
      </c>
      <c r="G227" s="5">
        <f>+[1]モンスター計算!G230</f>
        <v>603</v>
      </c>
      <c r="H227" s="5">
        <f>+[1]モンスター計算!H230</f>
        <v>271</v>
      </c>
      <c r="I227" s="5">
        <f>+[1]モンスター計算!I230</f>
        <v>218</v>
      </c>
      <c r="J227" s="13">
        <f>+[1]モンスター計算!J230</f>
        <v>218</v>
      </c>
      <c r="K227" s="27">
        <f>+[1]モンスター計算!K230</f>
        <v>0.08</v>
      </c>
      <c r="L227" s="13">
        <f>+[1]モンスター計算!L230</f>
        <v>1.55</v>
      </c>
      <c r="M227" s="27">
        <f>+[1]モンスター計算!M230</f>
        <v>3.3</v>
      </c>
      <c r="N227" s="5">
        <f>+[1]モンスター計算!N230</f>
        <v>1.32</v>
      </c>
      <c r="O227" s="13">
        <f>+[1]モンスター計算!O230</f>
        <v>1.5</v>
      </c>
      <c r="P227" s="27">
        <f>+[1]モンスター計算!P230</f>
        <v>0.16</v>
      </c>
      <c r="Q227" s="5">
        <f>+[1]モンスター計算!Q230</f>
        <v>-0.14000000000000001</v>
      </c>
      <c r="R227" s="5">
        <f>+[1]モンスター計算!R230</f>
        <v>-0.04</v>
      </c>
      <c r="S227" s="5">
        <f>+[1]モンスター計算!S230</f>
        <v>-0.04</v>
      </c>
      <c r="T227" s="5">
        <f>+[1]モンスター計算!T230</f>
        <v>-0.04</v>
      </c>
      <c r="U227" s="5">
        <f>+[1]モンスター計算!U230</f>
        <v>-0.04</v>
      </c>
      <c r="V227" s="13">
        <f>+[1]モンスター計算!V230</f>
        <v>4.8</v>
      </c>
      <c r="W227" s="30">
        <v>10</v>
      </c>
      <c r="X227" s="27" t="s">
        <v>68</v>
      </c>
      <c r="Y227" s="33" t="s">
        <v>90</v>
      </c>
      <c r="Z227" s="13">
        <v>1.25</v>
      </c>
      <c r="AA227" s="30">
        <v>15</v>
      </c>
      <c r="AB227" s="30">
        <f t="shared" si="6"/>
        <v>172</v>
      </c>
      <c r="AC227" s="47">
        <f t="shared" si="7"/>
        <v>38</v>
      </c>
      <c r="AD227" s="27" t="s">
        <v>74</v>
      </c>
      <c r="AE227" s="5">
        <v>0</v>
      </c>
      <c r="AF227" s="5">
        <v>0</v>
      </c>
      <c r="AG227" s="13" t="b">
        <v>0</v>
      </c>
      <c r="AH227" s="30" t="s">
        <v>1138</v>
      </c>
      <c r="AI227" s="33" t="s">
        <v>1826</v>
      </c>
    </row>
    <row r="228" spans="1:35">
      <c r="A228" s="52" t="s">
        <v>743</v>
      </c>
      <c r="B228" s="13" t="s">
        <v>419</v>
      </c>
      <c r="C228" s="27" t="s">
        <v>45</v>
      </c>
      <c r="D228" s="13" t="s">
        <v>59</v>
      </c>
      <c r="E228" s="27">
        <f>+[1]モンスター計算!E231</f>
        <v>6189</v>
      </c>
      <c r="F228" s="5">
        <f>+[1]モンスター計算!F231</f>
        <v>159</v>
      </c>
      <c r="G228" s="5">
        <f>+[1]モンスター計算!G231</f>
        <v>455</v>
      </c>
      <c r="H228" s="5">
        <f>+[1]モンスター計算!H231</f>
        <v>172</v>
      </c>
      <c r="I228" s="5">
        <f>+[1]モンスター計算!I231</f>
        <v>585</v>
      </c>
      <c r="J228" s="13">
        <f>+[1]モンスター計算!J231</f>
        <v>288</v>
      </c>
      <c r="K228" s="27">
        <f>+[1]モンスター計算!K231</f>
        <v>0.03</v>
      </c>
      <c r="L228" s="13">
        <f>+[1]モンスター計算!L231</f>
        <v>1.35</v>
      </c>
      <c r="M228" s="27">
        <f>+[1]モンスター計算!M231</f>
        <v>1.5</v>
      </c>
      <c r="N228" s="5">
        <f>+[1]モンスター計算!N231</f>
        <v>0.65</v>
      </c>
      <c r="O228" s="13">
        <f>+[1]モンスター計算!O231</f>
        <v>1.02</v>
      </c>
      <c r="P228" s="27">
        <f>+[1]モンスター計算!P231</f>
        <v>0</v>
      </c>
      <c r="Q228" s="5">
        <f>+[1]モンスター計算!Q231</f>
        <v>0.30000000000000004</v>
      </c>
      <c r="R228" s="5">
        <f>+[1]モンスター計算!R231</f>
        <v>0.1</v>
      </c>
      <c r="S228" s="5">
        <f>+[1]モンスター計算!S231</f>
        <v>0.1</v>
      </c>
      <c r="T228" s="5">
        <f>+[1]モンスター計算!T231</f>
        <v>0.1</v>
      </c>
      <c r="U228" s="5">
        <f>+[1]モンスター計算!U231</f>
        <v>0.1</v>
      </c>
      <c r="V228" s="13">
        <f>+[1]モンスター計算!V231</f>
        <v>3.4</v>
      </c>
      <c r="W228" s="30">
        <v>11</v>
      </c>
      <c r="X228" s="27" t="s">
        <v>70</v>
      </c>
      <c r="Y228" s="33" t="s">
        <v>91</v>
      </c>
      <c r="Z228" s="13">
        <v>1.25</v>
      </c>
      <c r="AA228" s="30">
        <v>20</v>
      </c>
      <c r="AB228" s="30">
        <f t="shared" si="6"/>
        <v>201</v>
      </c>
      <c r="AC228" s="47">
        <f t="shared" si="7"/>
        <v>38</v>
      </c>
      <c r="AD228" s="27" t="s">
        <v>74</v>
      </c>
      <c r="AE228" s="5">
        <v>0</v>
      </c>
      <c r="AF228" s="5">
        <v>0</v>
      </c>
      <c r="AG228" s="13" t="b">
        <v>0</v>
      </c>
      <c r="AH228" s="30" t="s">
        <v>1139</v>
      </c>
      <c r="AI228" s="33" t="s">
        <v>1826</v>
      </c>
    </row>
    <row r="229" spans="1:35" ht="19.5" thickBot="1">
      <c r="A229" s="53" t="s">
        <v>744</v>
      </c>
      <c r="B229" s="16" t="s">
        <v>420</v>
      </c>
      <c r="C229" s="28" t="s">
        <v>47</v>
      </c>
      <c r="D229" s="16" t="s">
        <v>61</v>
      </c>
      <c r="E229" s="28">
        <f>+[1]モンスター計算!E232</f>
        <v>3808</v>
      </c>
      <c r="F229" s="15">
        <f>+[1]モンスター計算!F232</f>
        <v>669</v>
      </c>
      <c r="G229" s="15">
        <f>+[1]モンスター計算!G232</f>
        <v>168</v>
      </c>
      <c r="H229" s="15">
        <f>+[1]モンスター計算!H232</f>
        <v>565</v>
      </c>
      <c r="I229" s="15">
        <f>+[1]モンスター計算!I232</f>
        <v>530</v>
      </c>
      <c r="J229" s="16">
        <f>+[1]モンスター計算!J232</f>
        <v>196</v>
      </c>
      <c r="K229" s="28">
        <f>+[1]モンスター計算!K232</f>
        <v>5.5E-2</v>
      </c>
      <c r="L229" s="16">
        <f>+[1]モンスター計算!L232</f>
        <v>1.5</v>
      </c>
      <c r="M229" s="28">
        <f>+[1]モンスター計算!M232</f>
        <v>1.85</v>
      </c>
      <c r="N229" s="15">
        <f>+[1]モンスター計算!N232</f>
        <v>0.87</v>
      </c>
      <c r="O229" s="16">
        <f>+[1]モンスター計算!O232</f>
        <v>2.35</v>
      </c>
      <c r="P229" s="28">
        <f>+[1]モンスター計算!P232</f>
        <v>6.5000000000000002E-2</v>
      </c>
      <c r="Q229" s="15">
        <f>+[1]モンスター計算!Q232</f>
        <v>6.5000000000000002E-2</v>
      </c>
      <c r="R229" s="15">
        <f>+[1]モンスター計算!R232</f>
        <v>6.5000000000000002E-2</v>
      </c>
      <c r="S229" s="15">
        <f>+[1]モンスター計算!S232</f>
        <v>6.5000000000000002E-2</v>
      </c>
      <c r="T229" s="15">
        <f>+[1]モンスター計算!T232</f>
        <v>0.26500000000000001</v>
      </c>
      <c r="U229" s="15">
        <f>+[1]モンスター計算!U232</f>
        <v>-3.5000000000000003E-2</v>
      </c>
      <c r="V229" s="16">
        <f>+[1]モンスター計算!V232</f>
        <v>4.2</v>
      </c>
      <c r="W229" s="31">
        <v>15</v>
      </c>
      <c r="X229" s="28" t="s">
        <v>72</v>
      </c>
      <c r="Y229" s="34" t="s">
        <v>92</v>
      </c>
      <c r="Z229" s="16">
        <v>1.3</v>
      </c>
      <c r="AA229" s="31">
        <v>40</v>
      </c>
      <c r="AB229" s="31">
        <f t="shared" si="6"/>
        <v>291</v>
      </c>
      <c r="AC229" s="48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1" t="s">
        <v>1140</v>
      </c>
      <c r="AI229" s="34" t="s">
        <v>1826</v>
      </c>
    </row>
    <row r="230" spans="1:35">
      <c r="A230" s="51" t="s">
        <v>745</v>
      </c>
      <c r="B230" s="11" t="s">
        <v>421</v>
      </c>
      <c r="C230" s="26" t="s">
        <v>45</v>
      </c>
      <c r="D230" s="11" t="s">
        <v>61</v>
      </c>
      <c r="E230" s="26">
        <f>+[1]モンスター計算!E233</f>
        <v>4788</v>
      </c>
      <c r="F230" s="10">
        <f>+[1]モンスター計算!F233</f>
        <v>518</v>
      </c>
      <c r="G230" s="10">
        <f>+[1]モンスター計算!G233</f>
        <v>135</v>
      </c>
      <c r="H230" s="10">
        <f>+[1]モンスター計算!H233</f>
        <v>354</v>
      </c>
      <c r="I230" s="10">
        <f>+[1]モンスター計算!I233</f>
        <v>368</v>
      </c>
      <c r="J230" s="11">
        <f>+[1]モンスター計算!J233</f>
        <v>335</v>
      </c>
      <c r="K230" s="26">
        <f>+[1]モンスター計算!K233</f>
        <v>7.0000000000000007E-2</v>
      </c>
      <c r="L230" s="11">
        <f>+[1]モンスター計算!L233</f>
        <v>1.5</v>
      </c>
      <c r="M230" s="26">
        <f>+[1]モンスター計算!M233</f>
        <v>2.8</v>
      </c>
      <c r="N230" s="10">
        <f>+[1]モンスター計算!N233</f>
        <v>1.45</v>
      </c>
      <c r="O230" s="11">
        <f>+[1]モンスター計算!O233</f>
        <v>1.55</v>
      </c>
      <c r="P230" s="26">
        <f>+[1]モンスター計算!P233</f>
        <v>-7.0000000000000007E-2</v>
      </c>
      <c r="Q230" s="10">
        <f>+[1]モンスター計算!Q233</f>
        <v>0.23</v>
      </c>
      <c r="R230" s="10">
        <f>+[1]モンスター計算!R233</f>
        <v>0.03</v>
      </c>
      <c r="S230" s="10">
        <f>+[1]モンスター計算!S233</f>
        <v>0.03</v>
      </c>
      <c r="T230" s="10">
        <f>+[1]モンスター計算!T233</f>
        <v>0.03</v>
      </c>
      <c r="U230" s="10">
        <f>+[1]モンスター計算!U233</f>
        <v>0.03</v>
      </c>
      <c r="V230" s="11">
        <f>+[1]モンスター計算!V233</f>
        <v>3.6</v>
      </c>
      <c r="W230" s="29">
        <v>8</v>
      </c>
      <c r="X230" s="26" t="s">
        <v>109</v>
      </c>
      <c r="Y230" s="32" t="s">
        <v>87</v>
      </c>
      <c r="Z230" s="11">
        <v>1.2</v>
      </c>
      <c r="AA230" s="29">
        <v>5</v>
      </c>
      <c r="AB230" s="29">
        <f t="shared" si="6"/>
        <v>108</v>
      </c>
      <c r="AC230" s="46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29" t="s">
        <v>1141</v>
      </c>
      <c r="AI230" s="32" t="s">
        <v>1826</v>
      </c>
    </row>
    <row r="231" spans="1:35">
      <c r="A231" s="52" t="s">
        <v>746</v>
      </c>
      <c r="B231" s="13" t="s">
        <v>422</v>
      </c>
      <c r="C231" s="27" t="s">
        <v>44</v>
      </c>
      <c r="D231" s="13" t="s">
        <v>61</v>
      </c>
      <c r="E231" s="27">
        <f>+[1]モンスター計算!E234</f>
        <v>3329</v>
      </c>
      <c r="F231" s="5">
        <f>+[1]モンスター計算!F234</f>
        <v>518</v>
      </c>
      <c r="G231" s="5">
        <f>+[1]モンスター計算!G234</f>
        <v>174</v>
      </c>
      <c r="H231" s="5">
        <f>+[1]モンスター計算!H234</f>
        <v>643</v>
      </c>
      <c r="I231" s="5">
        <f>+[1]モンスター計算!I234</f>
        <v>275</v>
      </c>
      <c r="J231" s="13">
        <f>+[1]モンスター計算!J234</f>
        <v>272</v>
      </c>
      <c r="K231" s="27">
        <f>+[1]モンスター計算!K234</f>
        <v>7.4999999999999997E-2</v>
      </c>
      <c r="L231" s="13">
        <f>+[1]モンスター計算!L234</f>
        <v>1.5</v>
      </c>
      <c r="M231" s="27">
        <f>+[1]モンスター計算!M234</f>
        <v>3.1</v>
      </c>
      <c r="N231" s="5">
        <f>+[1]モンスター計算!N234</f>
        <v>1.1499999999999999</v>
      </c>
      <c r="O231" s="13">
        <f>+[1]モンスター計算!O234</f>
        <v>3.0750000000000002</v>
      </c>
      <c r="P231" s="27">
        <f>+[1]モンスター計算!P234</f>
        <v>0.19</v>
      </c>
      <c r="Q231" s="5">
        <f>+[1]モンスター計算!Q234</f>
        <v>-0.11</v>
      </c>
      <c r="R231" s="5">
        <f>+[1]モンスター計算!R234</f>
        <v>-0.01</v>
      </c>
      <c r="S231" s="5">
        <f>+[1]モンスター計算!S234</f>
        <v>-0.01</v>
      </c>
      <c r="T231" s="5">
        <f>+[1]モンスター計算!T234</f>
        <v>-0.01</v>
      </c>
      <c r="U231" s="5">
        <f>+[1]モンスター計算!U234</f>
        <v>-0.01</v>
      </c>
      <c r="V231" s="13">
        <f>+[1]モンスター計算!V234</f>
        <v>8.6</v>
      </c>
      <c r="W231" s="30">
        <v>8</v>
      </c>
      <c r="X231" s="27" t="s">
        <v>64</v>
      </c>
      <c r="Y231" s="33" t="s">
        <v>88</v>
      </c>
      <c r="Z231" s="13">
        <v>1.2</v>
      </c>
      <c r="AA231" s="30">
        <v>7</v>
      </c>
      <c r="AB231" s="30">
        <f t="shared" si="6"/>
        <v>120</v>
      </c>
      <c r="AC231" s="47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0" t="s">
        <v>1142</v>
      </c>
      <c r="AI231" s="33" t="s">
        <v>1826</v>
      </c>
    </row>
    <row r="232" spans="1:35">
      <c r="A232" s="52" t="s">
        <v>747</v>
      </c>
      <c r="B232" s="13" t="s">
        <v>423</v>
      </c>
      <c r="C232" s="27" t="s">
        <v>46</v>
      </c>
      <c r="D232" s="13" t="s">
        <v>61</v>
      </c>
      <c r="E232" s="27">
        <f>+[1]モンスター計算!E235</f>
        <v>5611</v>
      </c>
      <c r="F232" s="5">
        <f>+[1]モンスター計算!F235</f>
        <v>682</v>
      </c>
      <c r="G232" s="5">
        <f>+[1]モンスター計算!G235</f>
        <v>136</v>
      </c>
      <c r="H232" s="5">
        <f>+[1]モンスター計算!H235</f>
        <v>302</v>
      </c>
      <c r="I232" s="5">
        <f>+[1]モンスター計算!I235</f>
        <v>449</v>
      </c>
      <c r="J232" s="13">
        <f>+[1]モンスター計算!J235</f>
        <v>419</v>
      </c>
      <c r="K232" s="27">
        <f>+[1]モンスター計算!K235</f>
        <v>0.1</v>
      </c>
      <c r="L232" s="13">
        <f>+[1]モンスター計算!L235</f>
        <v>1.75</v>
      </c>
      <c r="M232" s="27">
        <f>+[1]モンスター計算!M235</f>
        <v>2.4</v>
      </c>
      <c r="N232" s="5">
        <f>+[1]モンスター計算!N235</f>
        <v>1.2</v>
      </c>
      <c r="O232" s="13">
        <f>+[1]モンスター計算!O235</f>
        <v>3</v>
      </c>
      <c r="P232" s="27">
        <f>+[1]モンスター計算!P235</f>
        <v>0.08</v>
      </c>
      <c r="Q232" s="5">
        <f>+[1]モンスター計算!Q235</f>
        <v>0.08</v>
      </c>
      <c r="R232" s="5">
        <f>+[1]モンスター計算!R235</f>
        <v>0.28000000000000003</v>
      </c>
      <c r="S232" s="5">
        <f>+[1]モンスター計算!S235</f>
        <v>-2.0000000000000004E-2</v>
      </c>
      <c r="T232" s="5">
        <f>+[1]モンスター計算!T235</f>
        <v>0.08</v>
      </c>
      <c r="U232" s="5">
        <f>+[1]モンスター計算!U235</f>
        <v>0.08</v>
      </c>
      <c r="V232" s="13">
        <f>+[1]モンスター計算!V235</f>
        <v>4</v>
      </c>
      <c r="W232" s="30">
        <v>9</v>
      </c>
      <c r="X232" s="27" t="s">
        <v>66</v>
      </c>
      <c r="Y232" s="33" t="s">
        <v>89</v>
      </c>
      <c r="Z232" s="13">
        <v>1.22</v>
      </c>
      <c r="AA232" s="30">
        <v>10</v>
      </c>
      <c r="AB232" s="30">
        <f t="shared" si="6"/>
        <v>140</v>
      </c>
      <c r="AC232" s="47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0" t="s">
        <v>1143</v>
      </c>
      <c r="AI232" s="33" t="s">
        <v>1826</v>
      </c>
    </row>
    <row r="233" spans="1:35">
      <c r="A233" s="52" t="s">
        <v>748</v>
      </c>
      <c r="B233" s="13" t="s">
        <v>424</v>
      </c>
      <c r="C233" s="27" t="s">
        <v>44</v>
      </c>
      <c r="D233" s="13" t="s">
        <v>59</v>
      </c>
      <c r="E233" s="27">
        <f>+[1]モンスター計算!E236</f>
        <v>2618</v>
      </c>
      <c r="F233" s="5">
        <f>+[1]モンスター計算!F236</f>
        <v>206</v>
      </c>
      <c r="G233" s="5">
        <f>+[1]モンスター計算!G236</f>
        <v>779</v>
      </c>
      <c r="H233" s="5">
        <f>+[1]モンスター計算!H236</f>
        <v>263</v>
      </c>
      <c r="I233" s="5">
        <f>+[1]モンスター計算!I236</f>
        <v>227</v>
      </c>
      <c r="J233" s="13">
        <f>+[1]モンスター計算!J236</f>
        <v>233</v>
      </c>
      <c r="K233" s="27">
        <f>+[1]モンスター計算!K236</f>
        <v>0.11</v>
      </c>
      <c r="L233" s="13">
        <f>+[1]モンスター計算!L236</f>
        <v>1.58</v>
      </c>
      <c r="M233" s="27">
        <f>+[1]モンスター計算!M236</f>
        <v>4.45</v>
      </c>
      <c r="N233" s="5">
        <f>+[1]モンスター計算!N236</f>
        <v>1.3</v>
      </c>
      <c r="O233" s="13">
        <f>+[1]モンスター計算!O236</f>
        <v>1.32</v>
      </c>
      <c r="P233" s="27">
        <f>+[1]モンスター計算!P236</f>
        <v>0.14000000000000001</v>
      </c>
      <c r="Q233" s="5">
        <f>+[1]モンスター計算!Q236</f>
        <v>-0.16</v>
      </c>
      <c r="R233" s="5">
        <f>+[1]モンスター計算!R236</f>
        <v>-0.06</v>
      </c>
      <c r="S233" s="5">
        <f>+[1]モンスター計算!S236</f>
        <v>-0.06</v>
      </c>
      <c r="T233" s="5">
        <f>+[1]モンスター計算!T236</f>
        <v>-0.06</v>
      </c>
      <c r="U233" s="5">
        <f>+[1]モンスター計算!U236</f>
        <v>-0.06</v>
      </c>
      <c r="V233" s="13">
        <f>+[1]モンスター計算!V236</f>
        <v>5.6</v>
      </c>
      <c r="W233" s="30">
        <v>10</v>
      </c>
      <c r="X233" s="27" t="s">
        <v>68</v>
      </c>
      <c r="Y233" s="33" t="s">
        <v>90</v>
      </c>
      <c r="Z233" s="13">
        <v>1.25</v>
      </c>
      <c r="AA233" s="30">
        <v>15</v>
      </c>
      <c r="AB233" s="30">
        <f t="shared" si="6"/>
        <v>181</v>
      </c>
      <c r="AC233" s="47">
        <f t="shared" si="7"/>
        <v>39</v>
      </c>
      <c r="AD233" s="27" t="s">
        <v>74</v>
      </c>
      <c r="AE233" s="5">
        <v>0</v>
      </c>
      <c r="AF233" s="5">
        <v>0</v>
      </c>
      <c r="AG233" s="13" t="b">
        <v>0</v>
      </c>
      <c r="AH233" s="30" t="s">
        <v>1144</v>
      </c>
      <c r="AI233" s="33" t="s">
        <v>1826</v>
      </c>
    </row>
    <row r="234" spans="1:35">
      <c r="A234" s="52" t="s">
        <v>749</v>
      </c>
      <c r="B234" s="13" t="s">
        <v>425</v>
      </c>
      <c r="C234" s="27" t="s">
        <v>45</v>
      </c>
      <c r="D234" s="13" t="s">
        <v>59</v>
      </c>
      <c r="E234" s="27">
        <f>+[1]モンスター計算!E237</f>
        <v>4189</v>
      </c>
      <c r="F234" s="5">
        <f>+[1]モンスター計算!F237</f>
        <v>230</v>
      </c>
      <c r="G234" s="5">
        <f>+[1]モンスター計算!G237</f>
        <v>544</v>
      </c>
      <c r="H234" s="5">
        <f>+[1]モンスター計算!H237</f>
        <v>191</v>
      </c>
      <c r="I234" s="5">
        <f>+[1]モンスター計算!I237</f>
        <v>377</v>
      </c>
      <c r="J234" s="13">
        <f>+[1]モンスター計算!J237</f>
        <v>371</v>
      </c>
      <c r="K234" s="27">
        <f>+[1]モンスター計算!K237</f>
        <v>0.04</v>
      </c>
      <c r="L234" s="13">
        <f>+[1]モンスター計算!L237</f>
        <v>1.4</v>
      </c>
      <c r="M234" s="27">
        <f>+[1]モンスター計算!M237</f>
        <v>2.4500000000000002</v>
      </c>
      <c r="N234" s="5">
        <f>+[1]モンスター計算!N237</f>
        <v>1.03</v>
      </c>
      <c r="O234" s="13">
        <f>+[1]モンスター計算!O237</f>
        <v>1.47</v>
      </c>
      <c r="P234" s="27">
        <f>+[1]モンスター計算!P237</f>
        <v>-6.0000000000000005E-2</v>
      </c>
      <c r="Q234" s="5">
        <f>+[1]モンスター計算!Q237</f>
        <v>0.24000000000000002</v>
      </c>
      <c r="R234" s="5">
        <f>+[1]モンスター計算!R237</f>
        <v>0.04</v>
      </c>
      <c r="S234" s="5">
        <f>+[1]モンスター計算!S237</f>
        <v>0.04</v>
      </c>
      <c r="T234" s="5">
        <f>+[1]モンスター計算!T237</f>
        <v>0.04</v>
      </c>
      <c r="U234" s="5">
        <f>+[1]モンスター計算!U237</f>
        <v>0.04</v>
      </c>
      <c r="V234" s="13">
        <f>+[1]モンスター計算!V237</f>
        <v>4</v>
      </c>
      <c r="W234" s="30">
        <v>11</v>
      </c>
      <c r="X234" s="27" t="s">
        <v>70</v>
      </c>
      <c r="Y234" s="33" t="s">
        <v>91</v>
      </c>
      <c r="Z234" s="13">
        <v>1.25</v>
      </c>
      <c r="AA234" s="30">
        <v>20</v>
      </c>
      <c r="AB234" s="30">
        <f t="shared" si="6"/>
        <v>212</v>
      </c>
      <c r="AC234" s="47">
        <f t="shared" si="7"/>
        <v>39</v>
      </c>
      <c r="AD234" s="27" t="s">
        <v>74</v>
      </c>
      <c r="AE234" s="5">
        <v>0</v>
      </c>
      <c r="AF234" s="5">
        <v>0</v>
      </c>
      <c r="AG234" s="13" t="b">
        <v>0</v>
      </c>
      <c r="AH234" s="30" t="s">
        <v>1145</v>
      </c>
      <c r="AI234" s="33" t="s">
        <v>1826</v>
      </c>
    </row>
    <row r="235" spans="1:35" ht="19.5" thickBot="1">
      <c r="A235" s="53" t="s">
        <v>750</v>
      </c>
      <c r="B235" s="16" t="s">
        <v>426</v>
      </c>
      <c r="C235" s="28" t="s">
        <v>47</v>
      </c>
      <c r="D235" s="16" t="s">
        <v>61</v>
      </c>
      <c r="E235" s="28">
        <f>+[1]モンスター計算!E238</f>
        <v>2057</v>
      </c>
      <c r="F235" s="15">
        <f>+[1]モンスター計算!F238</f>
        <v>818</v>
      </c>
      <c r="G235" s="15">
        <f>+[1]モンスター計算!G238</f>
        <v>384</v>
      </c>
      <c r="H235" s="15">
        <f>+[1]モンスター計算!H238</f>
        <v>1068</v>
      </c>
      <c r="I235" s="15">
        <f>+[1]モンスター計算!I238</f>
        <v>434</v>
      </c>
      <c r="J235" s="16">
        <f>+[1]モンスター計算!J238</f>
        <v>673</v>
      </c>
      <c r="K235" s="28">
        <f>+[1]モンスター計算!K238</f>
        <v>0.04</v>
      </c>
      <c r="L235" s="16">
        <f>+[1]モンスター計算!L238</f>
        <v>1.38</v>
      </c>
      <c r="M235" s="28">
        <f>+[1]モンスター計算!M238</f>
        <v>2.2000000000000002</v>
      </c>
      <c r="N235" s="15">
        <f>+[1]モンスター計算!N238</f>
        <v>0.88</v>
      </c>
      <c r="O235" s="16">
        <f>+[1]モンスター計算!O238</f>
        <v>3.15</v>
      </c>
      <c r="P235" s="28">
        <f>+[1]モンスター計算!P238</f>
        <v>0.13</v>
      </c>
      <c r="Q235" s="15">
        <f>+[1]モンスター計算!Q238</f>
        <v>0.13</v>
      </c>
      <c r="R235" s="15">
        <f>+[1]モンスター計算!R238</f>
        <v>0.13</v>
      </c>
      <c r="S235" s="15">
        <f>+[1]モンスター計算!S238</f>
        <v>0.13</v>
      </c>
      <c r="T235" s="15">
        <f>+[1]モンスター計算!T238</f>
        <v>0.33</v>
      </c>
      <c r="U235" s="15">
        <f>+[1]モンスター計算!U238</f>
        <v>0.03</v>
      </c>
      <c r="V235" s="16">
        <f>+[1]モンスター計算!V238</f>
        <v>4.4800000000000004</v>
      </c>
      <c r="W235" s="31">
        <v>15</v>
      </c>
      <c r="X235" s="28" t="s">
        <v>72</v>
      </c>
      <c r="Y235" s="34" t="s">
        <v>92</v>
      </c>
      <c r="Z235" s="16">
        <v>1.3</v>
      </c>
      <c r="AA235" s="31">
        <v>40</v>
      </c>
      <c r="AB235" s="31">
        <f t="shared" si="6"/>
        <v>306</v>
      </c>
      <c r="AC235" s="48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1" t="s">
        <v>1146</v>
      </c>
      <c r="AI235" s="34" t="s">
        <v>1826</v>
      </c>
    </row>
    <row r="236" spans="1:35">
      <c r="A236" s="51" t="s">
        <v>751</v>
      </c>
      <c r="B236" s="11" t="s">
        <v>427</v>
      </c>
      <c r="C236" s="26" t="s">
        <v>45</v>
      </c>
      <c r="D236" s="11" t="s">
        <v>61</v>
      </c>
      <c r="E236" s="26">
        <f>+[1]モンスター計算!E239</f>
        <v>4238</v>
      </c>
      <c r="F236" s="10">
        <f>+[1]モンスター計算!F239</f>
        <v>1590</v>
      </c>
      <c r="G236" s="10">
        <f>+[1]モンスター計算!G239</f>
        <v>239</v>
      </c>
      <c r="H236" s="10">
        <f>+[1]モンスター計算!H239</f>
        <v>759</v>
      </c>
      <c r="I236" s="10">
        <f>+[1]モンスター計算!I239</f>
        <v>316</v>
      </c>
      <c r="J236" s="11">
        <f>+[1]モンスター計算!J239</f>
        <v>388</v>
      </c>
      <c r="K236" s="26">
        <f>+[1]モンスター計算!K239</f>
        <v>6.5000000000000002E-2</v>
      </c>
      <c r="L236" s="11">
        <f>+[1]モンスター計算!L239</f>
        <v>1.45</v>
      </c>
      <c r="M236" s="26">
        <f>+[1]モンスター計算!M239</f>
        <v>2.1</v>
      </c>
      <c r="N236" s="10">
        <f>+[1]モンスター計算!N239</f>
        <v>0.9</v>
      </c>
      <c r="O236" s="11">
        <f>+[1]モンスター計算!O239</f>
        <v>2.8</v>
      </c>
      <c r="P236" s="26">
        <f>+[1]モンスター計算!P239</f>
        <v>-0.08</v>
      </c>
      <c r="Q236" s="10">
        <f>+[1]モンスター計算!Q239</f>
        <v>0.22</v>
      </c>
      <c r="R236" s="10">
        <f>+[1]モンスター計算!R239</f>
        <v>0.02</v>
      </c>
      <c r="S236" s="10">
        <f>+[1]モンスター計算!S239</f>
        <v>0.02</v>
      </c>
      <c r="T236" s="10">
        <f>+[1]モンスター計算!T239</f>
        <v>0.02</v>
      </c>
      <c r="U236" s="10">
        <f>+[1]モンスター計算!U239</f>
        <v>0.02</v>
      </c>
      <c r="V236" s="11">
        <f>+[1]モンスター計算!V239</f>
        <v>4.2</v>
      </c>
      <c r="W236" s="29">
        <v>8</v>
      </c>
      <c r="X236" s="26" t="s">
        <v>109</v>
      </c>
      <c r="Y236" s="32" t="s">
        <v>87</v>
      </c>
      <c r="Z236" s="11">
        <v>1.2</v>
      </c>
      <c r="AA236" s="29">
        <v>5</v>
      </c>
      <c r="AB236" s="29">
        <f t="shared" si="6"/>
        <v>114</v>
      </c>
      <c r="AC236" s="46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29" t="s">
        <v>1147</v>
      </c>
      <c r="AI236" s="32" t="s">
        <v>1826</v>
      </c>
    </row>
    <row r="237" spans="1:35">
      <c r="A237" s="52" t="s">
        <v>752</v>
      </c>
      <c r="B237" s="13" t="s">
        <v>428</v>
      </c>
      <c r="C237" s="27" t="s">
        <v>44</v>
      </c>
      <c r="D237" s="13" t="s">
        <v>61</v>
      </c>
      <c r="E237" s="27">
        <f>+[1]モンスター計算!E240</f>
        <v>4114</v>
      </c>
      <c r="F237" s="5">
        <f>+[1]モンスター計算!F240</f>
        <v>660</v>
      </c>
      <c r="G237" s="5">
        <f>+[1]モンスター計算!G240</f>
        <v>296</v>
      </c>
      <c r="H237" s="5">
        <f>+[1]モンスター計算!H240</f>
        <v>658</v>
      </c>
      <c r="I237" s="5">
        <f>+[1]モンスター計算!I240</f>
        <v>313</v>
      </c>
      <c r="J237" s="13">
        <f>+[1]モンスター計算!J240</f>
        <v>362</v>
      </c>
      <c r="K237" s="27">
        <f>+[1]モンスター計算!K240</f>
        <v>7.0000000000000007E-2</v>
      </c>
      <c r="L237" s="13">
        <f>+[1]モンスター計算!L240</f>
        <v>1.55</v>
      </c>
      <c r="M237" s="27">
        <f>+[1]モンスター計算!M240</f>
        <v>2.2999999999999998</v>
      </c>
      <c r="N237" s="5">
        <f>+[1]モンスター計算!N240</f>
        <v>1.1000000000000001</v>
      </c>
      <c r="O237" s="13">
        <f>+[1]モンスター計算!O240</f>
        <v>2.7</v>
      </c>
      <c r="P237" s="27">
        <f>+[1]モンスター計算!P240</f>
        <v>0.17</v>
      </c>
      <c r="Q237" s="5">
        <f>+[1]モンスター計算!Q240</f>
        <v>-0.13</v>
      </c>
      <c r="R237" s="5">
        <f>+[1]モンスター計算!R240</f>
        <v>-0.03</v>
      </c>
      <c r="S237" s="5">
        <f>+[1]モンスター計算!S240</f>
        <v>-0.03</v>
      </c>
      <c r="T237" s="5">
        <f>+[1]モンスター計算!T240</f>
        <v>-0.03</v>
      </c>
      <c r="U237" s="5">
        <f>+[1]モンスター計算!U240</f>
        <v>-0.03</v>
      </c>
      <c r="V237" s="13">
        <f>+[1]モンスター計算!V240</f>
        <v>4</v>
      </c>
      <c r="W237" s="30">
        <v>8</v>
      </c>
      <c r="X237" s="27" t="s">
        <v>64</v>
      </c>
      <c r="Y237" s="33" t="s">
        <v>88</v>
      </c>
      <c r="Z237" s="13">
        <v>1.2</v>
      </c>
      <c r="AA237" s="30">
        <v>7</v>
      </c>
      <c r="AB237" s="30">
        <f t="shared" si="6"/>
        <v>126</v>
      </c>
      <c r="AC237" s="47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0" t="s">
        <v>1148</v>
      </c>
      <c r="AI237" s="33" t="s">
        <v>1826</v>
      </c>
    </row>
    <row r="238" spans="1:35">
      <c r="A238" s="52" t="s">
        <v>753</v>
      </c>
      <c r="B238" s="13" t="s">
        <v>429</v>
      </c>
      <c r="C238" s="27" t="s">
        <v>46</v>
      </c>
      <c r="D238" s="13" t="s">
        <v>61</v>
      </c>
      <c r="E238" s="27">
        <f>+[1]モンスター計算!E241</f>
        <v>2757</v>
      </c>
      <c r="F238" s="5">
        <f>+[1]モンスター計算!F241</f>
        <v>660</v>
      </c>
      <c r="G238" s="5">
        <f>+[1]モンスター計算!G241</f>
        <v>305</v>
      </c>
      <c r="H238" s="5">
        <f>+[1]モンスター計算!H241</f>
        <v>1305</v>
      </c>
      <c r="I238" s="5">
        <f>+[1]モンスター計算!I241</f>
        <v>214</v>
      </c>
      <c r="J238" s="13">
        <f>+[1]モンスター計算!J241</f>
        <v>263</v>
      </c>
      <c r="K238" s="27">
        <f>+[1]モンスター計算!K241</f>
        <v>0.18</v>
      </c>
      <c r="L238" s="13">
        <f>+[1]モンスター計算!L241</f>
        <v>1.85</v>
      </c>
      <c r="M238" s="27">
        <f>+[1]モンスター計算!M241</f>
        <v>2.0499999999999998</v>
      </c>
      <c r="N238" s="5">
        <f>+[1]モンスター計算!N241</f>
        <v>0.75</v>
      </c>
      <c r="O238" s="13">
        <f>+[1]モンスター計算!O241</f>
        <v>4.45</v>
      </c>
      <c r="P238" s="27">
        <f>+[1]モンスター計算!P241</f>
        <v>-0.06</v>
      </c>
      <c r="Q238" s="5">
        <f>+[1]モンスター計算!Q241</f>
        <v>-0.06</v>
      </c>
      <c r="R238" s="5">
        <f>+[1]モンスター計算!R241</f>
        <v>0.14000000000000001</v>
      </c>
      <c r="S238" s="5">
        <f>+[1]モンスター計算!S241</f>
        <v>-0.16</v>
      </c>
      <c r="T238" s="5">
        <f>+[1]モンスター計算!T241</f>
        <v>-0.06</v>
      </c>
      <c r="U238" s="5">
        <f>+[1]モンスター計算!U241</f>
        <v>-0.06</v>
      </c>
      <c r="V238" s="13">
        <f>+[1]モンスター計算!V241</f>
        <v>5.6</v>
      </c>
      <c r="W238" s="30">
        <v>9</v>
      </c>
      <c r="X238" s="27" t="s">
        <v>66</v>
      </c>
      <c r="Y238" s="33" t="s">
        <v>89</v>
      </c>
      <c r="Z238" s="13">
        <v>1.22</v>
      </c>
      <c r="AA238" s="30">
        <v>10</v>
      </c>
      <c r="AB238" s="30">
        <f t="shared" si="6"/>
        <v>147</v>
      </c>
      <c r="AC238" s="47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0" t="s">
        <v>1149</v>
      </c>
      <c r="AI238" s="33" t="s">
        <v>1826</v>
      </c>
    </row>
    <row r="239" spans="1:35">
      <c r="A239" s="52" t="s">
        <v>754</v>
      </c>
      <c r="B239" s="13" t="s">
        <v>430</v>
      </c>
      <c r="C239" s="27" t="s">
        <v>44</v>
      </c>
      <c r="D239" s="13" t="s">
        <v>59</v>
      </c>
      <c r="E239" s="27">
        <f>+[1]モンスター計算!E242</f>
        <v>2386</v>
      </c>
      <c r="F239" s="5">
        <f>+[1]モンスター計算!F242</f>
        <v>133</v>
      </c>
      <c r="G239" s="5">
        <f>+[1]モンスター計算!G242</f>
        <v>1308</v>
      </c>
      <c r="H239" s="5">
        <f>+[1]モンスター計算!H242</f>
        <v>294</v>
      </c>
      <c r="I239" s="5">
        <f>+[1]モンスター計算!I242</f>
        <v>181</v>
      </c>
      <c r="J239" s="13">
        <f>+[1]モンスター計算!J242</f>
        <v>184</v>
      </c>
      <c r="K239" s="27">
        <f>+[1]モンスター計算!K242</f>
        <v>0.08</v>
      </c>
      <c r="L239" s="13">
        <f>+[1]モンスター計算!L242</f>
        <v>1.95</v>
      </c>
      <c r="M239" s="27">
        <f>+[1]モンスター計算!M242</f>
        <v>2.85</v>
      </c>
      <c r="N239" s="5">
        <f>+[1]モンスター計算!N242</f>
        <v>1.0900000000000001</v>
      </c>
      <c r="O239" s="13">
        <f>+[1]モンスター計算!O242</f>
        <v>1.44</v>
      </c>
      <c r="P239" s="27">
        <f>+[1]モンスター計算!P242</f>
        <v>8.5000000000000006E-2</v>
      </c>
      <c r="Q239" s="5">
        <f>+[1]モンスター計算!Q242</f>
        <v>-0.21500000000000002</v>
      </c>
      <c r="R239" s="5">
        <f>+[1]モンスター計算!R242</f>
        <v>-0.115</v>
      </c>
      <c r="S239" s="5">
        <f>+[1]モンスター計算!S242</f>
        <v>-0.115</v>
      </c>
      <c r="T239" s="5">
        <f>+[1]モンスター計算!T242</f>
        <v>-0.115</v>
      </c>
      <c r="U239" s="5">
        <f>+[1]モンスター計算!U242</f>
        <v>-0.115</v>
      </c>
      <c r="V239" s="13">
        <f>+[1]モンスター計算!V242</f>
        <v>4.4000000000000004</v>
      </c>
      <c r="W239" s="30">
        <v>10</v>
      </c>
      <c r="X239" s="27" t="s">
        <v>68</v>
      </c>
      <c r="Y239" s="33" t="s">
        <v>90</v>
      </c>
      <c r="Z239" s="13">
        <v>1.25</v>
      </c>
      <c r="AA239" s="30">
        <v>15</v>
      </c>
      <c r="AB239" s="30">
        <f t="shared" si="6"/>
        <v>191</v>
      </c>
      <c r="AC239" s="47">
        <f t="shared" si="7"/>
        <v>40</v>
      </c>
      <c r="AD239" s="27" t="s">
        <v>74</v>
      </c>
      <c r="AE239" s="5">
        <v>0</v>
      </c>
      <c r="AF239" s="5">
        <v>0</v>
      </c>
      <c r="AG239" s="13" t="b">
        <v>0</v>
      </c>
      <c r="AH239" s="30" t="s">
        <v>1150</v>
      </c>
      <c r="AI239" s="33" t="s">
        <v>1826</v>
      </c>
    </row>
    <row r="240" spans="1:35">
      <c r="A240" s="52" t="s">
        <v>755</v>
      </c>
      <c r="B240" s="13" t="s">
        <v>431</v>
      </c>
      <c r="C240" s="27" t="s">
        <v>45</v>
      </c>
      <c r="D240" s="13" t="s">
        <v>59</v>
      </c>
      <c r="E240" s="27">
        <f>+[1]モンスター計算!E243</f>
        <v>6213</v>
      </c>
      <c r="F240" s="5">
        <f>+[1]モンスター計算!F243</f>
        <v>224</v>
      </c>
      <c r="G240" s="5">
        <f>+[1]モンスター計算!G243</f>
        <v>566</v>
      </c>
      <c r="H240" s="5">
        <f>+[1]モンスター計算!H243</f>
        <v>199</v>
      </c>
      <c r="I240" s="5">
        <f>+[1]モンスター計算!I243</f>
        <v>556</v>
      </c>
      <c r="J240" s="13">
        <f>+[1]モンスター計算!J243</f>
        <v>309</v>
      </c>
      <c r="K240" s="27">
        <f>+[1]モンスター計算!K243</f>
        <v>3.5000000000000003E-2</v>
      </c>
      <c r="L240" s="13">
        <f>+[1]モンスター計算!L243</f>
        <v>1.43</v>
      </c>
      <c r="M240" s="27">
        <f>+[1]モンスター計算!M243</f>
        <v>1.75</v>
      </c>
      <c r="N240" s="5">
        <f>+[1]モンスター計算!N243</f>
        <v>0.73</v>
      </c>
      <c r="O240" s="13">
        <f>+[1]モンスター計算!O243</f>
        <v>2.3250000000000002</v>
      </c>
      <c r="P240" s="27">
        <f>+[1]モンスター計算!P243</f>
        <v>-1.0000000000000009E-2</v>
      </c>
      <c r="Q240" s="5">
        <f>+[1]モンスター計算!Q243</f>
        <v>0.29000000000000004</v>
      </c>
      <c r="R240" s="5">
        <f>+[1]モンスター計算!R243</f>
        <v>0.09</v>
      </c>
      <c r="S240" s="5">
        <f>+[1]モンスター計算!S243</f>
        <v>0.09</v>
      </c>
      <c r="T240" s="5">
        <f>+[1]モンスター計算!T243</f>
        <v>0.09</v>
      </c>
      <c r="U240" s="5">
        <f>+[1]モンスター計算!U243</f>
        <v>0.09</v>
      </c>
      <c r="V240" s="13">
        <f>+[1]モンスター計算!V243</f>
        <v>4.4000000000000004</v>
      </c>
      <c r="W240" s="30">
        <v>11</v>
      </c>
      <c r="X240" s="27" t="s">
        <v>70</v>
      </c>
      <c r="Y240" s="33" t="s">
        <v>91</v>
      </c>
      <c r="Z240" s="13">
        <v>1.25</v>
      </c>
      <c r="AA240" s="30">
        <v>20</v>
      </c>
      <c r="AB240" s="30">
        <f t="shared" si="6"/>
        <v>223</v>
      </c>
      <c r="AC240" s="47">
        <f t="shared" si="7"/>
        <v>40</v>
      </c>
      <c r="AD240" s="27" t="s">
        <v>74</v>
      </c>
      <c r="AE240" s="5">
        <v>0</v>
      </c>
      <c r="AF240" s="5">
        <v>0</v>
      </c>
      <c r="AG240" s="13" t="b">
        <v>0</v>
      </c>
      <c r="AH240" s="30" t="s">
        <v>1151</v>
      </c>
      <c r="AI240" s="33" t="s">
        <v>1826</v>
      </c>
    </row>
    <row r="241" spans="1:35" ht="19.5" thickBot="1">
      <c r="A241" s="53" t="s">
        <v>756</v>
      </c>
      <c r="B241" s="16" t="s">
        <v>432</v>
      </c>
      <c r="C241" s="28" t="s">
        <v>47</v>
      </c>
      <c r="D241" s="16" t="s">
        <v>61</v>
      </c>
      <c r="E241" s="28">
        <f>+[1]モンスター計算!E244</f>
        <v>3209</v>
      </c>
      <c r="F241" s="15">
        <f>+[1]モンスター計算!F244</f>
        <v>690</v>
      </c>
      <c r="G241" s="15">
        <f>+[1]モンスター計算!G244</f>
        <v>392</v>
      </c>
      <c r="H241" s="15">
        <f>+[1]モンスター計算!H244</f>
        <v>870</v>
      </c>
      <c r="I241" s="15">
        <f>+[1]モンスター計算!I244</f>
        <v>247</v>
      </c>
      <c r="J241" s="16">
        <f>+[1]モンスター計算!J244</f>
        <v>263</v>
      </c>
      <c r="K241" s="28">
        <f>+[1]モンスター計算!K244</f>
        <v>0.11</v>
      </c>
      <c r="L241" s="16">
        <f>+[1]モンスター計算!L244</f>
        <v>1.65</v>
      </c>
      <c r="M241" s="28">
        <f>+[1]モンスター計算!M244</f>
        <v>2.2000000000000002</v>
      </c>
      <c r="N241" s="15">
        <f>+[1]モンスター計算!N244</f>
        <v>1.1000000000000001</v>
      </c>
      <c r="O241" s="16">
        <f>+[1]モンスター計算!O244</f>
        <v>2.75</v>
      </c>
      <c r="P241" s="28">
        <f>+[1]モンスター計算!P244</f>
        <v>-0.04</v>
      </c>
      <c r="Q241" s="15">
        <f>+[1]モンスター計算!Q244</f>
        <v>-0.04</v>
      </c>
      <c r="R241" s="15">
        <f>+[1]モンスター計算!R244</f>
        <v>-0.04</v>
      </c>
      <c r="S241" s="15">
        <f>+[1]モンスター計算!S244</f>
        <v>-0.04</v>
      </c>
      <c r="T241" s="15">
        <f>+[1]モンスター計算!T244</f>
        <v>0.16</v>
      </c>
      <c r="U241" s="15">
        <f>+[1]モンスター計算!U244</f>
        <v>-0.14000000000000001</v>
      </c>
      <c r="V241" s="16">
        <f>+[1]モンスター計算!V244</f>
        <v>4.2</v>
      </c>
      <c r="W241" s="31">
        <v>15</v>
      </c>
      <c r="X241" s="28" t="s">
        <v>72</v>
      </c>
      <c r="Y241" s="34" t="s">
        <v>92</v>
      </c>
      <c r="Z241" s="16">
        <v>1.3</v>
      </c>
      <c r="AA241" s="31">
        <v>40</v>
      </c>
      <c r="AB241" s="31">
        <f t="shared" si="6"/>
        <v>322</v>
      </c>
      <c r="AC241" s="48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1" t="s">
        <v>1152</v>
      </c>
      <c r="AI241" s="34" t="s">
        <v>1826</v>
      </c>
    </row>
    <row r="242" spans="1:35">
      <c r="A242" s="51" t="s">
        <v>757</v>
      </c>
      <c r="B242" s="11" t="s">
        <v>433</v>
      </c>
      <c r="C242" s="26" t="s">
        <v>45</v>
      </c>
      <c r="D242" s="11" t="s">
        <v>61</v>
      </c>
      <c r="E242" s="26">
        <f>+[1]モンスター計算!E245</f>
        <v>4164</v>
      </c>
      <c r="F242" s="10">
        <f>+[1]モンスター計算!F245</f>
        <v>660</v>
      </c>
      <c r="G242" s="10">
        <f>+[1]モンスター計算!G245</f>
        <v>377</v>
      </c>
      <c r="H242" s="10">
        <f>+[1]モンスター計算!H245</f>
        <v>837</v>
      </c>
      <c r="I242" s="10">
        <f>+[1]モンスター計算!I245</f>
        <v>344</v>
      </c>
      <c r="J242" s="11">
        <f>+[1]モンスター計算!J245</f>
        <v>380</v>
      </c>
      <c r="K242" s="26">
        <f>+[1]モンスター計算!K245</f>
        <v>0.05</v>
      </c>
      <c r="L242" s="11">
        <f>+[1]モンスター計算!L245</f>
        <v>1.5</v>
      </c>
      <c r="M242" s="26">
        <f>+[1]モンスター計算!M245</f>
        <v>2</v>
      </c>
      <c r="N242" s="10">
        <f>+[1]モンスター計算!N245</f>
        <v>1.05</v>
      </c>
      <c r="O242" s="11">
        <f>+[1]モンスター計算!O245</f>
        <v>2.5</v>
      </c>
      <c r="P242" s="26">
        <f>+[1]モンスター計算!P245</f>
        <v>-0.1</v>
      </c>
      <c r="Q242" s="10">
        <f>+[1]モンスター計算!Q245</f>
        <v>0.2</v>
      </c>
      <c r="R242" s="10">
        <f>+[1]モンスター計算!R245</f>
        <v>0</v>
      </c>
      <c r="S242" s="10">
        <f>+[1]モンスター計算!S245</f>
        <v>0</v>
      </c>
      <c r="T242" s="10">
        <f>+[1]モンスター計算!T245</f>
        <v>0</v>
      </c>
      <c r="U242" s="10">
        <f>+[1]モンスター計算!U245</f>
        <v>0</v>
      </c>
      <c r="V242" s="11">
        <f>+[1]モンスター計算!V245</f>
        <v>4</v>
      </c>
      <c r="W242" s="29">
        <v>8</v>
      </c>
      <c r="X242" s="26" t="s">
        <v>109</v>
      </c>
      <c r="Y242" s="32" t="s">
        <v>87</v>
      </c>
      <c r="Z242" s="11">
        <v>1.2</v>
      </c>
      <c r="AA242" s="29">
        <v>5</v>
      </c>
      <c r="AB242" s="29">
        <f t="shared" si="6"/>
        <v>120</v>
      </c>
      <c r="AC242" s="46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29" t="s">
        <v>1153</v>
      </c>
      <c r="AI242" s="32" t="s">
        <v>1826</v>
      </c>
    </row>
    <row r="243" spans="1:35">
      <c r="A243" s="52" t="s">
        <v>758</v>
      </c>
      <c r="B243" s="13" t="s">
        <v>434</v>
      </c>
      <c r="C243" s="27" t="s">
        <v>44</v>
      </c>
      <c r="D243" s="13" t="s">
        <v>61</v>
      </c>
      <c r="E243" s="27">
        <f>+[1]モンスター計算!E246</f>
        <v>3349</v>
      </c>
      <c r="F243" s="5">
        <f>+[1]モンスター計算!F246</f>
        <v>627</v>
      </c>
      <c r="G243" s="5">
        <f>+[1]モンスター計算!G246</f>
        <v>228</v>
      </c>
      <c r="H243" s="5">
        <f>+[1]モンスター計算!H246</f>
        <v>778</v>
      </c>
      <c r="I243" s="5">
        <f>+[1]モンスター計算!I246</f>
        <v>261</v>
      </c>
      <c r="J243" s="13">
        <f>+[1]モンスター計算!J246</f>
        <v>304</v>
      </c>
      <c r="K243" s="27">
        <f>+[1]モンスター計算!K246</f>
        <v>0.05</v>
      </c>
      <c r="L243" s="13">
        <f>+[1]モンスター計算!L246</f>
        <v>1.4</v>
      </c>
      <c r="M243" s="27">
        <f>+[1]モンスター計算!M246</f>
        <v>3.35</v>
      </c>
      <c r="N243" s="5">
        <f>+[1]モンスター計算!N246</f>
        <v>1.55</v>
      </c>
      <c r="O243" s="13">
        <f>+[1]モンスター計算!O246</f>
        <v>2.2999999999999998</v>
      </c>
      <c r="P243" s="27">
        <f>+[1]モンスター計算!P246</f>
        <v>0.13</v>
      </c>
      <c r="Q243" s="5">
        <f>+[1]モンスター計算!Q246</f>
        <v>-0.17</v>
      </c>
      <c r="R243" s="5">
        <f>+[1]モンスター計算!R246</f>
        <v>-7.0000000000000007E-2</v>
      </c>
      <c r="S243" s="5">
        <f>+[1]モンスター計算!S246</f>
        <v>-7.0000000000000007E-2</v>
      </c>
      <c r="T243" s="5">
        <f>+[1]モンスター計算!T246</f>
        <v>-7.0000000000000007E-2</v>
      </c>
      <c r="U243" s="5">
        <f>+[1]モンスター計算!U246</f>
        <v>-7.0000000000000007E-2</v>
      </c>
      <c r="V243" s="13">
        <f>+[1]モンスター計算!V246</f>
        <v>4</v>
      </c>
      <c r="W243" s="30">
        <v>8</v>
      </c>
      <c r="X243" s="27" t="s">
        <v>64</v>
      </c>
      <c r="Y243" s="33" t="s">
        <v>88</v>
      </c>
      <c r="Z243" s="13">
        <v>1.2</v>
      </c>
      <c r="AA243" s="30">
        <v>7</v>
      </c>
      <c r="AB243" s="30">
        <f t="shared" si="6"/>
        <v>133</v>
      </c>
      <c r="AC243" s="47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0" t="s">
        <v>1154</v>
      </c>
      <c r="AI243" s="33" t="s">
        <v>1826</v>
      </c>
    </row>
    <row r="244" spans="1:35">
      <c r="A244" s="52" t="s">
        <v>759</v>
      </c>
      <c r="B244" s="13" t="s">
        <v>435</v>
      </c>
      <c r="C244" s="27" t="s">
        <v>46</v>
      </c>
      <c r="D244" s="13" t="s">
        <v>61</v>
      </c>
      <c r="E244" s="27">
        <f>+[1]モンスター計算!E247</f>
        <v>3304</v>
      </c>
      <c r="F244" s="5">
        <f>+[1]モンスター計算!F247</f>
        <v>779</v>
      </c>
      <c r="G244" s="5">
        <f>+[1]モンスター計算!G247</f>
        <v>255</v>
      </c>
      <c r="H244" s="5">
        <f>+[1]モンスター計算!H247</f>
        <v>1011</v>
      </c>
      <c r="I244" s="5">
        <f>+[1]モンスター計算!I247</f>
        <v>279</v>
      </c>
      <c r="J244" s="13">
        <f>+[1]モンスター計算!J247</f>
        <v>308</v>
      </c>
      <c r="K244" s="27">
        <f>+[1]モンスター計算!K247</f>
        <v>0.26</v>
      </c>
      <c r="L244" s="13">
        <f>+[1]モンスター計算!L247</f>
        <v>1.95</v>
      </c>
      <c r="M244" s="27">
        <f>+[1]モンスター計算!M247</f>
        <v>2.75</v>
      </c>
      <c r="N244" s="5">
        <f>+[1]モンスター計算!N247</f>
        <v>0.95</v>
      </c>
      <c r="O244" s="13">
        <f>+[1]モンスター計算!O247</f>
        <v>2.8</v>
      </c>
      <c r="P244" s="27">
        <f>+[1]モンスター計算!P247</f>
        <v>-0.05</v>
      </c>
      <c r="Q244" s="5">
        <f>+[1]モンスター計算!Q247</f>
        <v>-0.05</v>
      </c>
      <c r="R244" s="5">
        <f>+[1]モンスター計算!R247</f>
        <v>0.15000000000000002</v>
      </c>
      <c r="S244" s="5">
        <f>+[1]モンスター計算!S247</f>
        <v>-0.15000000000000002</v>
      </c>
      <c r="T244" s="5">
        <f>+[1]モンスター計算!T247</f>
        <v>-0.05</v>
      </c>
      <c r="U244" s="5">
        <f>+[1]モンスター計算!U247</f>
        <v>-0.05</v>
      </c>
      <c r="V244" s="13">
        <f>+[1]モンスター計算!V247</f>
        <v>4.4000000000000004</v>
      </c>
      <c r="W244" s="30">
        <v>9</v>
      </c>
      <c r="X244" s="27" t="s">
        <v>66</v>
      </c>
      <c r="Y244" s="33" t="s">
        <v>89</v>
      </c>
      <c r="Z244" s="13">
        <v>1.22</v>
      </c>
      <c r="AA244" s="30">
        <v>10</v>
      </c>
      <c r="AB244" s="30">
        <f t="shared" si="6"/>
        <v>155</v>
      </c>
      <c r="AC244" s="47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0" t="s">
        <v>1155</v>
      </c>
      <c r="AI244" s="33" t="s">
        <v>1826</v>
      </c>
    </row>
    <row r="245" spans="1:35">
      <c r="A245" s="52" t="s">
        <v>760</v>
      </c>
      <c r="B245" s="13" t="s">
        <v>436</v>
      </c>
      <c r="C245" s="27" t="s">
        <v>44</v>
      </c>
      <c r="D245" s="13" t="s">
        <v>59</v>
      </c>
      <c r="E245" s="27">
        <f>+[1]モンスター計算!E248</f>
        <v>3621</v>
      </c>
      <c r="F245" s="5">
        <f>+[1]モンスター計算!F248</f>
        <v>308</v>
      </c>
      <c r="G245" s="5">
        <f>+[1]モンスター計算!G248</f>
        <v>829</v>
      </c>
      <c r="H245" s="5">
        <f>+[1]モンスター計算!H248</f>
        <v>261</v>
      </c>
      <c r="I245" s="5">
        <f>+[1]モンスター計算!I248</f>
        <v>279</v>
      </c>
      <c r="J245" s="13">
        <f>+[1]モンスター計算!J248</f>
        <v>301</v>
      </c>
      <c r="K245" s="27">
        <f>+[1]モンスター計算!K248</f>
        <v>6.5000000000000002E-2</v>
      </c>
      <c r="L245" s="13">
        <f>+[1]モンスター計算!L248</f>
        <v>1.46</v>
      </c>
      <c r="M245" s="27">
        <f>+[1]モンスター計算!M248</f>
        <v>3.88</v>
      </c>
      <c r="N245" s="5">
        <f>+[1]モンスター計算!N248</f>
        <v>1.29</v>
      </c>
      <c r="O245" s="13">
        <f>+[1]モンスター計算!O248</f>
        <v>1.5449999999999999</v>
      </c>
      <c r="P245" s="27">
        <f>+[1]モンスター計算!P248</f>
        <v>0.16</v>
      </c>
      <c r="Q245" s="5">
        <f>+[1]モンスター計算!Q248</f>
        <v>-0.14000000000000001</v>
      </c>
      <c r="R245" s="5">
        <f>+[1]モンスター計算!R248</f>
        <v>-0.04</v>
      </c>
      <c r="S245" s="5">
        <f>+[1]モンスター計算!S248</f>
        <v>-0.04</v>
      </c>
      <c r="T245" s="5">
        <f>+[1]モンスター計算!T248</f>
        <v>-0.04</v>
      </c>
      <c r="U245" s="5">
        <f>+[1]モンスター計算!U248</f>
        <v>-0.04</v>
      </c>
      <c r="V245" s="13">
        <f>+[1]モンスター計算!V248</f>
        <v>9.1999999999999993</v>
      </c>
      <c r="W245" s="30">
        <v>10</v>
      </c>
      <c r="X245" s="27" t="s">
        <v>68</v>
      </c>
      <c r="Y245" s="33" t="s">
        <v>90</v>
      </c>
      <c r="Z245" s="13">
        <v>1.25</v>
      </c>
      <c r="AA245" s="30">
        <v>15</v>
      </c>
      <c r="AB245" s="30">
        <f t="shared" si="6"/>
        <v>201</v>
      </c>
      <c r="AC245" s="47">
        <f t="shared" si="7"/>
        <v>41</v>
      </c>
      <c r="AD245" s="27" t="s">
        <v>74</v>
      </c>
      <c r="AE245" s="5">
        <v>0</v>
      </c>
      <c r="AF245" s="5">
        <v>0</v>
      </c>
      <c r="AG245" s="13" t="b">
        <v>0</v>
      </c>
      <c r="AH245" s="30" t="s">
        <v>1156</v>
      </c>
      <c r="AI245" s="33" t="s">
        <v>1826</v>
      </c>
    </row>
    <row r="246" spans="1:35">
      <c r="A246" s="52" t="s">
        <v>761</v>
      </c>
      <c r="B246" s="13" t="s">
        <v>437</v>
      </c>
      <c r="C246" s="27" t="s">
        <v>45</v>
      </c>
      <c r="D246" s="13" t="s">
        <v>59</v>
      </c>
      <c r="E246" s="27">
        <f>+[1]モンスター計算!E249</f>
        <v>3621</v>
      </c>
      <c r="F246" s="5">
        <f>+[1]モンスター計算!F249</f>
        <v>249</v>
      </c>
      <c r="G246" s="5">
        <f>+[1]モンスター計算!G249</f>
        <v>802</v>
      </c>
      <c r="H246" s="5">
        <f>+[1]モンスター計算!H249</f>
        <v>361</v>
      </c>
      <c r="I246" s="5">
        <f>+[1]モンスター計算!I249</f>
        <v>290</v>
      </c>
      <c r="J246" s="13">
        <f>+[1]モンスター計算!J249</f>
        <v>290</v>
      </c>
      <c r="K246" s="27">
        <f>+[1]モンスター計算!K249</f>
        <v>0.08</v>
      </c>
      <c r="L246" s="13">
        <f>+[1]モンスター計算!L249</f>
        <v>1.55</v>
      </c>
      <c r="M246" s="27">
        <f>+[1]モンスター計算!M249</f>
        <v>3.3</v>
      </c>
      <c r="N246" s="5">
        <f>+[1]モンスター計算!N249</f>
        <v>1.32</v>
      </c>
      <c r="O246" s="13">
        <f>+[1]モンスター計算!O249</f>
        <v>1.5</v>
      </c>
      <c r="P246" s="27">
        <f>+[1]モンスター計算!P249</f>
        <v>-0.14000000000000001</v>
      </c>
      <c r="Q246" s="5">
        <f>+[1]モンスター計算!Q249</f>
        <v>0.16</v>
      </c>
      <c r="R246" s="5">
        <f>+[1]モンスター計算!R249</f>
        <v>-0.04</v>
      </c>
      <c r="S246" s="5">
        <f>+[1]モンスター計算!S249</f>
        <v>-0.04</v>
      </c>
      <c r="T246" s="5">
        <f>+[1]モンスター計算!T249</f>
        <v>-0.04</v>
      </c>
      <c r="U246" s="5">
        <f>+[1]モンスター計算!U249</f>
        <v>-0.04</v>
      </c>
      <c r="V246" s="13">
        <f>+[1]モンスター計算!V249</f>
        <v>4.8</v>
      </c>
      <c r="W246" s="30">
        <v>11</v>
      </c>
      <c r="X246" s="27" t="s">
        <v>70</v>
      </c>
      <c r="Y246" s="33" t="s">
        <v>91</v>
      </c>
      <c r="Z246" s="13">
        <v>1.25</v>
      </c>
      <c r="AA246" s="30">
        <v>20</v>
      </c>
      <c r="AB246" s="30">
        <f t="shared" si="6"/>
        <v>235</v>
      </c>
      <c r="AC246" s="47">
        <f t="shared" si="7"/>
        <v>41</v>
      </c>
      <c r="AD246" s="27" t="s">
        <v>74</v>
      </c>
      <c r="AE246" s="5">
        <v>0</v>
      </c>
      <c r="AF246" s="5">
        <v>0</v>
      </c>
      <c r="AG246" s="13" t="b">
        <v>0</v>
      </c>
      <c r="AH246" s="30" t="s">
        <v>1157</v>
      </c>
      <c r="AI246" s="33" t="s">
        <v>1826</v>
      </c>
    </row>
    <row r="247" spans="1:35" ht="19.5" thickBot="1">
      <c r="A247" s="53" t="s">
        <v>762</v>
      </c>
      <c r="B247" s="16" t="s">
        <v>438</v>
      </c>
      <c r="C247" s="28" t="s">
        <v>47</v>
      </c>
      <c r="D247" s="16" t="s">
        <v>61</v>
      </c>
      <c r="E247" s="28">
        <f>+[1]モンスター計算!E250</f>
        <v>2625</v>
      </c>
      <c r="F247" s="15">
        <f>+[1]モンスター計算!F250</f>
        <v>515</v>
      </c>
      <c r="G247" s="15">
        <f>+[1]モンスター計算!G250</f>
        <v>258</v>
      </c>
      <c r="H247" s="15">
        <f>+[1]モンスター計算!H250</f>
        <v>1195</v>
      </c>
      <c r="I247" s="15">
        <f>+[1]モンスター計算!I250</f>
        <v>232</v>
      </c>
      <c r="J247" s="16">
        <f>+[1]モンスター計算!J250</f>
        <v>235</v>
      </c>
      <c r="K247" s="28">
        <f>+[1]モンスター計算!K250</f>
        <v>0.08</v>
      </c>
      <c r="L247" s="16">
        <f>+[1]モンスター計算!L250</f>
        <v>1.55</v>
      </c>
      <c r="M247" s="28">
        <f>+[1]モンスター計算!M250</f>
        <v>4.2</v>
      </c>
      <c r="N247" s="15">
        <f>+[1]モンスター計算!N250</f>
        <v>1.3</v>
      </c>
      <c r="O247" s="16">
        <f>+[1]モンスター計算!O250</f>
        <v>2.5</v>
      </c>
      <c r="P247" s="28">
        <f>+[1]モンスター計算!P250</f>
        <v>-0.09</v>
      </c>
      <c r="Q247" s="15">
        <f>+[1]モンスター計算!Q250</f>
        <v>-0.09</v>
      </c>
      <c r="R247" s="15">
        <f>+[1]モンスター計算!R250</f>
        <v>-0.09</v>
      </c>
      <c r="S247" s="15">
        <f>+[1]モンスター計算!S250</f>
        <v>-0.09</v>
      </c>
      <c r="T247" s="15">
        <f>+[1]モンスター計算!T250</f>
        <v>0.11000000000000001</v>
      </c>
      <c r="U247" s="15">
        <f>+[1]モンスター計算!U250</f>
        <v>-0.19</v>
      </c>
      <c r="V247" s="16">
        <f>+[1]モンスター計算!V250</f>
        <v>4.2</v>
      </c>
      <c r="W247" s="31">
        <v>15</v>
      </c>
      <c r="X247" s="28" t="s">
        <v>72</v>
      </c>
      <c r="Y247" s="34" t="s">
        <v>92</v>
      </c>
      <c r="Z247" s="16">
        <v>1.3</v>
      </c>
      <c r="AA247" s="31">
        <v>40</v>
      </c>
      <c r="AB247" s="31">
        <f t="shared" si="6"/>
        <v>339</v>
      </c>
      <c r="AC247" s="48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1" t="s">
        <v>1158</v>
      </c>
      <c r="AI247" s="34" t="s">
        <v>1826</v>
      </c>
    </row>
    <row r="248" spans="1:35">
      <c r="A248" s="51" t="s">
        <v>763</v>
      </c>
      <c r="B248" s="11" t="s">
        <v>439</v>
      </c>
      <c r="C248" s="26" t="s">
        <v>45</v>
      </c>
      <c r="D248" s="11" t="s">
        <v>61</v>
      </c>
      <c r="E248" s="26">
        <f>+[1]モンスター計算!E251</f>
        <v>5476</v>
      </c>
      <c r="F248" s="10">
        <f>+[1]モンスター計算!F251</f>
        <v>762</v>
      </c>
      <c r="G248" s="10">
        <f>+[1]モンスター計算!G251</f>
        <v>348</v>
      </c>
      <c r="H248" s="10">
        <f>+[1]モンスター計算!H251</f>
        <v>773</v>
      </c>
      <c r="I248" s="10">
        <f>+[1]モンスター計算!I251</f>
        <v>438</v>
      </c>
      <c r="J248" s="11">
        <f>+[1]モンスター計算!J251</f>
        <v>438</v>
      </c>
      <c r="K248" s="26">
        <f>+[1]モンスター計算!K251</f>
        <v>7.0000000000000007E-2</v>
      </c>
      <c r="L248" s="11">
        <f>+[1]モンスター計算!L251</f>
        <v>1.55</v>
      </c>
      <c r="M248" s="26">
        <f>+[1]モンスター計算!M251</f>
        <v>2.4</v>
      </c>
      <c r="N248" s="10">
        <f>+[1]モンスター計算!N251</f>
        <v>1</v>
      </c>
      <c r="O248" s="11">
        <f>+[1]モンスター計算!O251</f>
        <v>2.5</v>
      </c>
      <c r="P248" s="26">
        <f>+[1]モンスター計算!P251</f>
        <v>-0.08</v>
      </c>
      <c r="Q248" s="10">
        <f>+[1]モンスター計算!Q251</f>
        <v>0.22</v>
      </c>
      <c r="R248" s="10">
        <f>+[1]モンスター計算!R251</f>
        <v>0.02</v>
      </c>
      <c r="S248" s="10">
        <f>+[1]モンスター計算!S251</f>
        <v>0.02</v>
      </c>
      <c r="T248" s="10">
        <f>+[1]モンスター計算!T251</f>
        <v>0.02</v>
      </c>
      <c r="U248" s="10">
        <f>+[1]モンスター計算!U251</f>
        <v>0.02</v>
      </c>
      <c r="V248" s="11">
        <f>+[1]モンスター計算!V251</f>
        <v>4</v>
      </c>
      <c r="W248" s="29">
        <v>8</v>
      </c>
      <c r="X248" s="26" t="s">
        <v>109</v>
      </c>
      <c r="Y248" s="32" t="s">
        <v>87</v>
      </c>
      <c r="Z248" s="11">
        <v>1.2</v>
      </c>
      <c r="AA248" s="29">
        <v>5</v>
      </c>
      <c r="AB248" s="29">
        <f t="shared" si="6"/>
        <v>126</v>
      </c>
      <c r="AC248" s="46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29" t="s">
        <v>1159</v>
      </c>
      <c r="AI248" s="32" t="s">
        <v>1826</v>
      </c>
    </row>
    <row r="249" spans="1:35">
      <c r="A249" s="52" t="s">
        <v>764</v>
      </c>
      <c r="B249" s="13" t="s">
        <v>440</v>
      </c>
      <c r="C249" s="27" t="s">
        <v>44</v>
      </c>
      <c r="D249" s="13" t="s">
        <v>61</v>
      </c>
      <c r="E249" s="27">
        <f>+[1]モンスター計算!E252</f>
        <v>6373</v>
      </c>
      <c r="F249" s="5">
        <f>+[1]モンスター計算!F252</f>
        <v>690</v>
      </c>
      <c r="G249" s="5">
        <f>+[1]モンスター計算!G252</f>
        <v>181</v>
      </c>
      <c r="H249" s="5">
        <f>+[1]モンスター計算!H252</f>
        <v>472</v>
      </c>
      <c r="I249" s="5">
        <f>+[1]モンスター計算!I252</f>
        <v>490</v>
      </c>
      <c r="J249" s="13">
        <f>+[1]モンスター計算!J252</f>
        <v>446</v>
      </c>
      <c r="K249" s="27">
        <f>+[1]モンスター計算!K252</f>
        <v>7.0000000000000007E-2</v>
      </c>
      <c r="L249" s="13">
        <f>+[1]モンスター計算!L252</f>
        <v>1.5</v>
      </c>
      <c r="M249" s="27">
        <f>+[1]モンスター計算!M252</f>
        <v>2.8</v>
      </c>
      <c r="N249" s="5">
        <f>+[1]モンスター計算!N252</f>
        <v>1.45</v>
      </c>
      <c r="O249" s="13">
        <f>+[1]モンスター計算!O252</f>
        <v>1.55</v>
      </c>
      <c r="P249" s="27">
        <f>+[1]モンスター計算!P252</f>
        <v>0.23</v>
      </c>
      <c r="Q249" s="5">
        <f>+[1]モンスター計算!Q252</f>
        <v>-7.0000000000000007E-2</v>
      </c>
      <c r="R249" s="5">
        <f>+[1]モンスター計算!R252</f>
        <v>0.03</v>
      </c>
      <c r="S249" s="5">
        <f>+[1]モンスター計算!S252</f>
        <v>0.03</v>
      </c>
      <c r="T249" s="5">
        <f>+[1]モンスター計算!T252</f>
        <v>0.03</v>
      </c>
      <c r="U249" s="5">
        <f>+[1]モンスター計算!U252</f>
        <v>0.03</v>
      </c>
      <c r="V249" s="13">
        <f>+[1]モンスター計算!V252</f>
        <v>3.6</v>
      </c>
      <c r="W249" s="30">
        <v>8</v>
      </c>
      <c r="X249" s="27" t="s">
        <v>64</v>
      </c>
      <c r="Y249" s="33" t="s">
        <v>88</v>
      </c>
      <c r="Z249" s="13">
        <v>1.2</v>
      </c>
      <c r="AA249" s="30">
        <v>7</v>
      </c>
      <c r="AB249" s="30">
        <f t="shared" si="6"/>
        <v>140</v>
      </c>
      <c r="AC249" s="47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0" t="s">
        <v>1160</v>
      </c>
      <c r="AI249" s="33" t="s">
        <v>1826</v>
      </c>
    </row>
    <row r="250" spans="1:35">
      <c r="A250" s="52" t="s">
        <v>765</v>
      </c>
      <c r="B250" s="13" t="s">
        <v>441</v>
      </c>
      <c r="C250" s="27" t="s">
        <v>46</v>
      </c>
      <c r="D250" s="13" t="s">
        <v>61</v>
      </c>
      <c r="E250" s="27">
        <f>+[1]モンスター計算!E253</f>
        <v>4431</v>
      </c>
      <c r="F250" s="5">
        <f>+[1]モンスター計算!F253</f>
        <v>690</v>
      </c>
      <c r="G250" s="5">
        <f>+[1]モンスター計算!G253</f>
        <v>231</v>
      </c>
      <c r="H250" s="5">
        <f>+[1]モンスター計算!H253</f>
        <v>856</v>
      </c>
      <c r="I250" s="5">
        <f>+[1]モンスター計算!I253</f>
        <v>366</v>
      </c>
      <c r="J250" s="13">
        <f>+[1]モンスター計算!J253</f>
        <v>362</v>
      </c>
      <c r="K250" s="27">
        <f>+[1]モンスター計算!K253</f>
        <v>7.4999999999999997E-2</v>
      </c>
      <c r="L250" s="13">
        <f>+[1]モンスター計算!L253</f>
        <v>1.5</v>
      </c>
      <c r="M250" s="27">
        <f>+[1]モンスター計算!M253</f>
        <v>3.1</v>
      </c>
      <c r="N250" s="5">
        <f>+[1]モンスター計算!N253</f>
        <v>1.1499999999999999</v>
      </c>
      <c r="O250" s="13">
        <f>+[1]モンスター計算!O253</f>
        <v>3.0750000000000002</v>
      </c>
      <c r="P250" s="27">
        <f>+[1]モンスター計算!P253</f>
        <v>-0.01</v>
      </c>
      <c r="Q250" s="5">
        <f>+[1]モンスター計算!Q253</f>
        <v>-0.01</v>
      </c>
      <c r="R250" s="5">
        <f>+[1]モンスター計算!R253</f>
        <v>0.19</v>
      </c>
      <c r="S250" s="5">
        <f>+[1]モンスター計算!S253</f>
        <v>-0.11</v>
      </c>
      <c r="T250" s="5">
        <f>+[1]モンスター計算!T253</f>
        <v>-0.01</v>
      </c>
      <c r="U250" s="5">
        <f>+[1]モンスター計算!U253</f>
        <v>-0.01</v>
      </c>
      <c r="V250" s="13">
        <f>+[1]モンスター計算!V253</f>
        <v>8.6</v>
      </c>
      <c r="W250" s="30">
        <v>9</v>
      </c>
      <c r="X250" s="27" t="s">
        <v>66</v>
      </c>
      <c r="Y250" s="33" t="s">
        <v>89</v>
      </c>
      <c r="Z250" s="13">
        <v>1.22</v>
      </c>
      <c r="AA250" s="30">
        <v>10</v>
      </c>
      <c r="AB250" s="30">
        <f t="shared" si="6"/>
        <v>163</v>
      </c>
      <c r="AC250" s="47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0" t="s">
        <v>1161</v>
      </c>
      <c r="AI250" s="33" t="s">
        <v>1826</v>
      </c>
    </row>
    <row r="251" spans="1:35">
      <c r="A251" s="52" t="s">
        <v>766</v>
      </c>
      <c r="B251" s="13" t="s">
        <v>442</v>
      </c>
      <c r="C251" s="27" t="s">
        <v>44</v>
      </c>
      <c r="D251" s="13" t="s">
        <v>59</v>
      </c>
      <c r="E251" s="27">
        <f>+[1]モンスター計算!E254</f>
        <v>4481</v>
      </c>
      <c r="F251" s="5">
        <f>+[1]モンスター計算!F254</f>
        <v>258</v>
      </c>
      <c r="G251" s="5">
        <f>+[1]モンスター計算!G254</f>
        <v>833</v>
      </c>
      <c r="H251" s="5">
        <f>+[1]モンスター計算!H254</f>
        <v>375</v>
      </c>
      <c r="I251" s="5">
        <f>+[1]モンスター計算!I254</f>
        <v>358</v>
      </c>
      <c r="J251" s="13">
        <f>+[1]モンスター計算!J254</f>
        <v>358</v>
      </c>
      <c r="K251" s="27">
        <f>+[1]モンスター計算!K254</f>
        <v>0.11</v>
      </c>
      <c r="L251" s="13">
        <f>+[1]モンスター計算!L254</f>
        <v>1.75</v>
      </c>
      <c r="M251" s="27">
        <f>+[1]モンスター計算!M254</f>
        <v>3</v>
      </c>
      <c r="N251" s="5">
        <f>+[1]モンスター計算!N254</f>
        <v>1.18</v>
      </c>
      <c r="O251" s="13">
        <f>+[1]モンスター計算!O254</f>
        <v>1.35</v>
      </c>
      <c r="P251" s="27">
        <f>+[1]モンスター計算!P254</f>
        <v>0.17</v>
      </c>
      <c r="Q251" s="5">
        <f>+[1]モンスター計算!Q254</f>
        <v>-0.13</v>
      </c>
      <c r="R251" s="5">
        <f>+[1]モンスター計算!R254</f>
        <v>-0.03</v>
      </c>
      <c r="S251" s="5">
        <f>+[1]モンスター計算!S254</f>
        <v>-0.03</v>
      </c>
      <c r="T251" s="5">
        <f>+[1]モンスター計算!T254</f>
        <v>-0.03</v>
      </c>
      <c r="U251" s="5">
        <f>+[1]モンスター計算!U254</f>
        <v>-0.03</v>
      </c>
      <c r="V251" s="13">
        <f>+[1]モンスター計算!V254</f>
        <v>4.2</v>
      </c>
      <c r="W251" s="30">
        <v>10</v>
      </c>
      <c r="X251" s="27" t="s">
        <v>68</v>
      </c>
      <c r="Y251" s="33" t="s">
        <v>90</v>
      </c>
      <c r="Z251" s="13">
        <v>1.25</v>
      </c>
      <c r="AA251" s="30">
        <v>15</v>
      </c>
      <c r="AB251" s="30">
        <f t="shared" si="6"/>
        <v>212</v>
      </c>
      <c r="AC251" s="47">
        <f t="shared" si="7"/>
        <v>42</v>
      </c>
      <c r="AD251" s="27" t="s">
        <v>74</v>
      </c>
      <c r="AE251" s="5">
        <v>0</v>
      </c>
      <c r="AF251" s="5">
        <v>0</v>
      </c>
      <c r="AG251" s="13" t="b">
        <v>0</v>
      </c>
      <c r="AH251" s="30" t="s">
        <v>1162</v>
      </c>
      <c r="AI251" s="33" t="s">
        <v>1826</v>
      </c>
    </row>
    <row r="252" spans="1:35">
      <c r="A252" s="52" t="s">
        <v>767</v>
      </c>
      <c r="B252" s="13" t="s">
        <v>443</v>
      </c>
      <c r="C252" s="27" t="s">
        <v>45</v>
      </c>
      <c r="D252" s="13" t="s">
        <v>59</v>
      </c>
      <c r="E252" s="27">
        <f>+[1]モンスター計算!E255</f>
        <v>3485</v>
      </c>
      <c r="F252" s="5">
        <f>+[1]モンスター計算!F255</f>
        <v>274</v>
      </c>
      <c r="G252" s="5">
        <f>+[1]モンスター計算!G255</f>
        <v>1037</v>
      </c>
      <c r="H252" s="5">
        <f>+[1]モンスター計算!H255</f>
        <v>350</v>
      </c>
      <c r="I252" s="5">
        <f>+[1]モンスター計算!I255</f>
        <v>303</v>
      </c>
      <c r="J252" s="13">
        <f>+[1]モンスター計算!J255</f>
        <v>311</v>
      </c>
      <c r="K252" s="27">
        <f>+[1]モンスター計算!K255</f>
        <v>0.11</v>
      </c>
      <c r="L252" s="13">
        <f>+[1]モンスター計算!L255</f>
        <v>1.58</v>
      </c>
      <c r="M252" s="27">
        <f>+[1]モンスター計算!M255</f>
        <v>4.45</v>
      </c>
      <c r="N252" s="5">
        <f>+[1]モンスター計算!N255</f>
        <v>1.3</v>
      </c>
      <c r="O252" s="13">
        <f>+[1]モンスター計算!O255</f>
        <v>1.32</v>
      </c>
      <c r="P252" s="27">
        <f>+[1]モンスター計算!P255</f>
        <v>-0.16</v>
      </c>
      <c r="Q252" s="5">
        <f>+[1]モンスター計算!Q255</f>
        <v>0.14000000000000001</v>
      </c>
      <c r="R252" s="5">
        <f>+[1]モンスター計算!R255</f>
        <v>-0.06</v>
      </c>
      <c r="S252" s="5">
        <f>+[1]モンスター計算!S255</f>
        <v>-0.06</v>
      </c>
      <c r="T252" s="5">
        <f>+[1]モンスター計算!T255</f>
        <v>-0.06</v>
      </c>
      <c r="U252" s="5">
        <f>+[1]モンスター計算!U255</f>
        <v>-0.06</v>
      </c>
      <c r="V252" s="13">
        <f>+[1]モンスター計算!V255</f>
        <v>5.6</v>
      </c>
      <c r="W252" s="30">
        <v>11</v>
      </c>
      <c r="X252" s="27" t="s">
        <v>70</v>
      </c>
      <c r="Y252" s="33" t="s">
        <v>91</v>
      </c>
      <c r="Z252" s="13">
        <v>1.25</v>
      </c>
      <c r="AA252" s="30">
        <v>20</v>
      </c>
      <c r="AB252" s="30">
        <f t="shared" si="6"/>
        <v>247</v>
      </c>
      <c r="AC252" s="47">
        <f t="shared" si="7"/>
        <v>42</v>
      </c>
      <c r="AD252" s="27" t="s">
        <v>74</v>
      </c>
      <c r="AE252" s="5">
        <v>0</v>
      </c>
      <c r="AF252" s="5">
        <v>0</v>
      </c>
      <c r="AG252" s="13" t="b">
        <v>0</v>
      </c>
      <c r="AH252" s="30" t="s">
        <v>1163</v>
      </c>
      <c r="AI252" s="33" t="s">
        <v>1826</v>
      </c>
    </row>
    <row r="253" spans="1:35" ht="19.5" thickBot="1">
      <c r="A253" s="53" t="s">
        <v>768</v>
      </c>
      <c r="B253" s="16" t="s">
        <v>444</v>
      </c>
      <c r="C253" s="28" t="s">
        <v>47</v>
      </c>
      <c r="D253" s="16" t="s">
        <v>61</v>
      </c>
      <c r="E253" s="28">
        <f>+[1]モンスター計算!E256</f>
        <v>5277</v>
      </c>
      <c r="F253" s="15">
        <f>+[1]モンスター計算!F256</f>
        <v>1270</v>
      </c>
      <c r="G253" s="15">
        <f>+[1]モンスター計算!G256</f>
        <v>256</v>
      </c>
      <c r="H253" s="15">
        <f>+[1]モンスター計算!H256</f>
        <v>875</v>
      </c>
      <c r="I253" s="15">
        <f>+[1]モンスター計算!I256</f>
        <v>307</v>
      </c>
      <c r="J253" s="16">
        <f>+[1]モンスター計算!J256</f>
        <v>816</v>
      </c>
      <c r="K253" s="28">
        <f>+[1]モンスター計算!K256</f>
        <v>4.4999999999999998E-2</v>
      </c>
      <c r="L253" s="16">
        <f>+[1]モンスター計算!L256</f>
        <v>1.45</v>
      </c>
      <c r="M253" s="28">
        <f>+[1]モンスター計算!M256</f>
        <v>1.9</v>
      </c>
      <c r="N253" s="15">
        <f>+[1]モンスター計算!N256</f>
        <v>0.84</v>
      </c>
      <c r="O253" s="16">
        <f>+[1]モンスター計算!O256</f>
        <v>2.65</v>
      </c>
      <c r="P253" s="28">
        <f>+[1]モンスター計算!P256</f>
        <v>0.09</v>
      </c>
      <c r="Q253" s="15">
        <f>+[1]モンスター計算!Q256</f>
        <v>0.09</v>
      </c>
      <c r="R253" s="15">
        <f>+[1]モンスター計算!R256</f>
        <v>0.09</v>
      </c>
      <c r="S253" s="15">
        <f>+[1]モンスター計算!S256</f>
        <v>0.09</v>
      </c>
      <c r="T253" s="15">
        <f>+[1]モンスター計算!T256</f>
        <v>0.29000000000000004</v>
      </c>
      <c r="U253" s="15">
        <f>+[1]モンスター計算!U256</f>
        <v>-1.0000000000000009E-2</v>
      </c>
      <c r="V253" s="16">
        <f>+[1]モンスター計算!V256</f>
        <v>4.4000000000000004</v>
      </c>
      <c r="W253" s="31">
        <v>15</v>
      </c>
      <c r="X253" s="28" t="s">
        <v>72</v>
      </c>
      <c r="Y253" s="34" t="s">
        <v>92</v>
      </c>
      <c r="Z253" s="16">
        <v>1.3</v>
      </c>
      <c r="AA253" s="31">
        <v>40</v>
      </c>
      <c r="AB253" s="31">
        <f t="shared" si="6"/>
        <v>356</v>
      </c>
      <c r="AC253" s="48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1" t="s">
        <v>1164</v>
      </c>
      <c r="AI253" s="34" t="s">
        <v>1826</v>
      </c>
    </row>
    <row r="254" spans="1:35">
      <c r="A254" s="51" t="s">
        <v>769</v>
      </c>
      <c r="B254" s="11" t="s">
        <v>445</v>
      </c>
      <c r="C254" s="26" t="s">
        <v>45</v>
      </c>
      <c r="D254" s="11" t="s">
        <v>61</v>
      </c>
      <c r="E254" s="26">
        <f>+[1]モンスター計算!E257</f>
        <v>5257</v>
      </c>
      <c r="F254" s="10">
        <f>+[1]モンスター計算!F257</f>
        <v>878</v>
      </c>
      <c r="G254" s="10">
        <f>+[1]モンスター計算!G257</f>
        <v>291</v>
      </c>
      <c r="H254" s="10">
        <f>+[1]モンスター計算!H257</f>
        <v>1042</v>
      </c>
      <c r="I254" s="10">
        <f>+[1]モンスター計算!I257</f>
        <v>359</v>
      </c>
      <c r="J254" s="11">
        <f>+[1]モンスター計算!J257</f>
        <v>399</v>
      </c>
      <c r="K254" s="26">
        <f>+[1]モンスター計算!K257</f>
        <v>0.06</v>
      </c>
      <c r="L254" s="11">
        <f>+[1]モンスター計算!L257</f>
        <v>1.6</v>
      </c>
      <c r="M254" s="26">
        <f>+[1]モンスター計算!M257</f>
        <v>2.25</v>
      </c>
      <c r="N254" s="10">
        <f>+[1]モンスター計算!N257</f>
        <v>0.91</v>
      </c>
      <c r="O254" s="11">
        <f>+[1]モンスター計算!O257</f>
        <v>4.75</v>
      </c>
      <c r="P254" s="26">
        <f>+[1]モンスター計算!P257</f>
        <v>-0.12000000000000001</v>
      </c>
      <c r="Q254" s="10">
        <f>+[1]モンスター計算!Q257</f>
        <v>0.18000000000000002</v>
      </c>
      <c r="R254" s="10">
        <f>+[1]モンスター計算!R257</f>
        <v>-0.02</v>
      </c>
      <c r="S254" s="10">
        <f>+[1]モンスター計算!S257</f>
        <v>-0.02</v>
      </c>
      <c r="T254" s="10">
        <f>+[1]モンスター計算!T257</f>
        <v>-0.02</v>
      </c>
      <c r="U254" s="10">
        <f>+[1]モンスター計算!U257</f>
        <v>-0.02</v>
      </c>
      <c r="V254" s="11">
        <f>+[1]モンスター計算!V257</f>
        <v>6.6</v>
      </c>
      <c r="W254" s="29">
        <v>8</v>
      </c>
      <c r="X254" s="26" t="s">
        <v>109</v>
      </c>
      <c r="Y254" s="32" t="s">
        <v>87</v>
      </c>
      <c r="Z254" s="11">
        <v>1.2</v>
      </c>
      <c r="AA254" s="29">
        <v>5</v>
      </c>
      <c r="AB254" s="29">
        <f t="shared" si="6"/>
        <v>133</v>
      </c>
      <c r="AC254" s="46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29" t="s">
        <v>1165</v>
      </c>
      <c r="AI254" s="32" t="s">
        <v>1826</v>
      </c>
    </row>
    <row r="255" spans="1:35">
      <c r="A255" s="52" t="s">
        <v>770</v>
      </c>
      <c r="B255" s="13" t="s">
        <v>446</v>
      </c>
      <c r="C255" s="27" t="s">
        <v>44</v>
      </c>
      <c r="D255" s="13" t="s">
        <v>61</v>
      </c>
      <c r="E255" s="27">
        <f>+[1]モンスター計算!E258</f>
        <v>5641</v>
      </c>
      <c r="F255" s="5">
        <f>+[1]モンスター計算!F258</f>
        <v>2116</v>
      </c>
      <c r="G255" s="5">
        <f>+[1]モンスター計算!G258</f>
        <v>318</v>
      </c>
      <c r="H255" s="5">
        <f>+[1]モンスター計算!H258</f>
        <v>1010</v>
      </c>
      <c r="I255" s="5">
        <f>+[1]モンスター計算!I258</f>
        <v>421</v>
      </c>
      <c r="J255" s="13">
        <f>+[1]モンスター計算!J258</f>
        <v>517</v>
      </c>
      <c r="K255" s="27">
        <f>+[1]モンスター計算!K258</f>
        <v>6.5000000000000002E-2</v>
      </c>
      <c r="L255" s="13">
        <f>+[1]モンスター計算!L258</f>
        <v>1.45</v>
      </c>
      <c r="M255" s="27">
        <f>+[1]モンスター計算!M258</f>
        <v>2.1</v>
      </c>
      <c r="N255" s="5">
        <f>+[1]モンスター計算!N258</f>
        <v>0.9</v>
      </c>
      <c r="O255" s="13">
        <f>+[1]モンスター計算!O258</f>
        <v>2.8</v>
      </c>
      <c r="P255" s="27">
        <f>+[1]モンスター計算!P258</f>
        <v>0.22</v>
      </c>
      <c r="Q255" s="5">
        <f>+[1]モンスター計算!Q258</f>
        <v>-0.08</v>
      </c>
      <c r="R255" s="5">
        <f>+[1]モンスター計算!R258</f>
        <v>0.02</v>
      </c>
      <c r="S255" s="5">
        <f>+[1]モンスター計算!S258</f>
        <v>0.02</v>
      </c>
      <c r="T255" s="5">
        <f>+[1]モンスター計算!T258</f>
        <v>0.02</v>
      </c>
      <c r="U255" s="5">
        <f>+[1]モンスター計算!U258</f>
        <v>0.02</v>
      </c>
      <c r="V255" s="13">
        <f>+[1]モンスター計算!V258</f>
        <v>4.2</v>
      </c>
      <c r="W255" s="30">
        <v>8</v>
      </c>
      <c r="X255" s="27" t="s">
        <v>64</v>
      </c>
      <c r="Y255" s="33" t="s">
        <v>88</v>
      </c>
      <c r="Z255" s="13">
        <v>1.2</v>
      </c>
      <c r="AA255" s="30">
        <v>7</v>
      </c>
      <c r="AB255" s="30">
        <f t="shared" si="6"/>
        <v>147</v>
      </c>
      <c r="AC255" s="47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0" t="s">
        <v>1166</v>
      </c>
      <c r="AI255" s="33" t="s">
        <v>1826</v>
      </c>
    </row>
    <row r="256" spans="1:35">
      <c r="A256" s="52" t="s">
        <v>771</v>
      </c>
      <c r="B256" s="13" t="s">
        <v>447</v>
      </c>
      <c r="C256" s="27" t="s">
        <v>46</v>
      </c>
      <c r="D256" s="13" t="s">
        <v>61</v>
      </c>
      <c r="E256" s="27">
        <f>+[1]モンスター計算!E259</f>
        <v>5476</v>
      </c>
      <c r="F256" s="5">
        <f>+[1]モンスター計算!F259</f>
        <v>878</v>
      </c>
      <c r="G256" s="5">
        <f>+[1]モンスター計算!G259</f>
        <v>394</v>
      </c>
      <c r="H256" s="5">
        <f>+[1]モンスター計算!H259</f>
        <v>876</v>
      </c>
      <c r="I256" s="5">
        <f>+[1]モンスター計算!I259</f>
        <v>416</v>
      </c>
      <c r="J256" s="13">
        <f>+[1]モンスター計算!J259</f>
        <v>482</v>
      </c>
      <c r="K256" s="27">
        <f>+[1]モンスター計算!K259</f>
        <v>7.0000000000000007E-2</v>
      </c>
      <c r="L256" s="13">
        <f>+[1]モンスター計算!L259</f>
        <v>1.55</v>
      </c>
      <c r="M256" s="27">
        <f>+[1]モンスター計算!M259</f>
        <v>2.2999999999999998</v>
      </c>
      <c r="N256" s="5">
        <f>+[1]モンスター計算!N259</f>
        <v>1.1000000000000001</v>
      </c>
      <c r="O256" s="13">
        <f>+[1]モンスター計算!O259</f>
        <v>2.7</v>
      </c>
      <c r="P256" s="27">
        <f>+[1]モンスター計算!P259</f>
        <v>-0.03</v>
      </c>
      <c r="Q256" s="5">
        <f>+[1]モンスター計算!Q259</f>
        <v>-0.03</v>
      </c>
      <c r="R256" s="5">
        <f>+[1]モンスター計算!R259</f>
        <v>0.17</v>
      </c>
      <c r="S256" s="5">
        <f>+[1]モンスター計算!S259</f>
        <v>-0.13</v>
      </c>
      <c r="T256" s="5">
        <f>+[1]モンスター計算!T259</f>
        <v>-0.03</v>
      </c>
      <c r="U256" s="5">
        <f>+[1]モンスター計算!U259</f>
        <v>-0.03</v>
      </c>
      <c r="V256" s="13">
        <f>+[1]モンスター計算!V259</f>
        <v>4</v>
      </c>
      <c r="W256" s="30">
        <v>9</v>
      </c>
      <c r="X256" s="27" t="s">
        <v>66</v>
      </c>
      <c r="Y256" s="33" t="s">
        <v>89</v>
      </c>
      <c r="Z256" s="13">
        <v>1.22</v>
      </c>
      <c r="AA256" s="30">
        <v>10</v>
      </c>
      <c r="AB256" s="30">
        <f t="shared" si="6"/>
        <v>172</v>
      </c>
      <c r="AC256" s="47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0" t="s">
        <v>1167</v>
      </c>
      <c r="AI256" s="33" t="s">
        <v>1826</v>
      </c>
    </row>
    <row r="257" spans="1:35">
      <c r="A257" s="52" t="s">
        <v>772</v>
      </c>
      <c r="B257" s="13" t="s">
        <v>448</v>
      </c>
      <c r="C257" s="27" t="s">
        <v>44</v>
      </c>
      <c r="D257" s="13" t="s">
        <v>59</v>
      </c>
      <c r="E257" s="27">
        <f>+[1]モンスター計算!E260</f>
        <v>4436</v>
      </c>
      <c r="F257" s="5">
        <f>+[1]モンスター計算!F260</f>
        <v>277</v>
      </c>
      <c r="G257" s="5">
        <f>+[1]モンスター計算!G260</f>
        <v>759</v>
      </c>
      <c r="H257" s="5">
        <f>+[1]モンスター計算!H260</f>
        <v>239</v>
      </c>
      <c r="I257" s="5">
        <f>+[1]モンスター計算!I260</f>
        <v>329</v>
      </c>
      <c r="J257" s="13">
        <f>+[1]モンスター計算!J260</f>
        <v>346</v>
      </c>
      <c r="K257" s="27">
        <f>+[1]モンスター計算!K260</f>
        <v>7.0000000000000007E-2</v>
      </c>
      <c r="L257" s="13">
        <f>+[1]モンスター計算!L260</f>
        <v>1.45</v>
      </c>
      <c r="M257" s="27">
        <f>+[1]モンスター計算!M260</f>
        <v>3.35</v>
      </c>
      <c r="N257" s="5">
        <f>+[1]モンスター計算!N260</f>
        <v>1.77</v>
      </c>
      <c r="O257" s="13">
        <f>+[1]モンスター計算!O260</f>
        <v>1.1399999999999999</v>
      </c>
      <c r="P257" s="27">
        <f>+[1]モンスター計算!P260</f>
        <v>0.13500000000000001</v>
      </c>
      <c r="Q257" s="5">
        <f>+[1]モンスター計算!Q260</f>
        <v>-0.16500000000000001</v>
      </c>
      <c r="R257" s="5">
        <f>+[1]モンスター計算!R260</f>
        <v>-6.5000000000000002E-2</v>
      </c>
      <c r="S257" s="5">
        <f>+[1]モンスター計算!S260</f>
        <v>-6.5000000000000002E-2</v>
      </c>
      <c r="T257" s="5">
        <f>+[1]モンスター計算!T260</f>
        <v>-6.5000000000000002E-2</v>
      </c>
      <c r="U257" s="5">
        <f>+[1]モンスター計算!U260</f>
        <v>-6.5000000000000002E-2</v>
      </c>
      <c r="V257" s="13">
        <f>+[1]モンスター計算!V260</f>
        <v>5</v>
      </c>
      <c r="W257" s="30">
        <v>10</v>
      </c>
      <c r="X257" s="27" t="s">
        <v>68</v>
      </c>
      <c r="Y257" s="33" t="s">
        <v>90</v>
      </c>
      <c r="Z257" s="13">
        <v>1.25</v>
      </c>
      <c r="AA257" s="30">
        <v>15</v>
      </c>
      <c r="AB257" s="30">
        <f t="shared" si="6"/>
        <v>223</v>
      </c>
      <c r="AC257" s="47">
        <f t="shared" si="7"/>
        <v>43</v>
      </c>
      <c r="AD257" s="27" t="s">
        <v>74</v>
      </c>
      <c r="AE257" s="5">
        <v>0</v>
      </c>
      <c r="AF257" s="5">
        <v>0</v>
      </c>
      <c r="AG257" s="13" t="b">
        <v>0</v>
      </c>
      <c r="AH257" s="30" t="s">
        <v>1168</v>
      </c>
      <c r="AI257" s="33" t="s">
        <v>1826</v>
      </c>
    </row>
    <row r="258" spans="1:35">
      <c r="A258" s="52" t="s">
        <v>773</v>
      </c>
      <c r="B258" s="13" t="s">
        <v>449</v>
      </c>
      <c r="C258" s="27" t="s">
        <v>45</v>
      </c>
      <c r="D258" s="13" t="s">
        <v>59</v>
      </c>
      <c r="E258" s="27">
        <f>+[1]モンスター計算!E261</f>
        <v>3176</v>
      </c>
      <c r="F258" s="5">
        <f>+[1]モンスター計算!F261</f>
        <v>177</v>
      </c>
      <c r="G258" s="5">
        <f>+[1]モンスター計算!G261</f>
        <v>1741</v>
      </c>
      <c r="H258" s="5">
        <f>+[1]モンスター計算!H261</f>
        <v>392</v>
      </c>
      <c r="I258" s="5">
        <f>+[1]モンスター計算!I261</f>
        <v>241</v>
      </c>
      <c r="J258" s="13">
        <f>+[1]モンスター計算!J261</f>
        <v>245</v>
      </c>
      <c r="K258" s="27">
        <f>+[1]モンスター計算!K261</f>
        <v>0.08</v>
      </c>
      <c r="L258" s="13">
        <f>+[1]モンスター計算!L261</f>
        <v>1.95</v>
      </c>
      <c r="M258" s="27">
        <f>+[1]モンスター計算!M261</f>
        <v>2.85</v>
      </c>
      <c r="N258" s="5">
        <f>+[1]モンスター計算!N261</f>
        <v>1.0900000000000001</v>
      </c>
      <c r="O258" s="13">
        <f>+[1]モンスター計算!O261</f>
        <v>1.44</v>
      </c>
      <c r="P258" s="27">
        <f>+[1]モンスター計算!P261</f>
        <v>-0.21500000000000002</v>
      </c>
      <c r="Q258" s="5">
        <f>+[1]モンスター計算!Q261</f>
        <v>8.5000000000000006E-2</v>
      </c>
      <c r="R258" s="5">
        <f>+[1]モンスター計算!R261</f>
        <v>-0.115</v>
      </c>
      <c r="S258" s="5">
        <f>+[1]モンスター計算!S261</f>
        <v>-0.115</v>
      </c>
      <c r="T258" s="5">
        <f>+[1]モンスター計算!T261</f>
        <v>-0.115</v>
      </c>
      <c r="U258" s="5">
        <f>+[1]モンスター計算!U261</f>
        <v>-0.115</v>
      </c>
      <c r="V258" s="13">
        <f>+[1]モンスター計算!V261</f>
        <v>4.4000000000000004</v>
      </c>
      <c r="W258" s="30">
        <v>11</v>
      </c>
      <c r="X258" s="27" t="s">
        <v>70</v>
      </c>
      <c r="Y258" s="33" t="s">
        <v>91</v>
      </c>
      <c r="Z258" s="13">
        <v>1.25</v>
      </c>
      <c r="AA258" s="30">
        <v>20</v>
      </c>
      <c r="AB258" s="30">
        <f t="shared" si="6"/>
        <v>260</v>
      </c>
      <c r="AC258" s="47">
        <f t="shared" si="7"/>
        <v>43</v>
      </c>
      <c r="AD258" s="27" t="s">
        <v>74</v>
      </c>
      <c r="AE258" s="5">
        <v>0</v>
      </c>
      <c r="AF258" s="5">
        <v>0</v>
      </c>
      <c r="AG258" s="13" t="b">
        <v>0</v>
      </c>
      <c r="AH258" s="30" t="s">
        <v>1169</v>
      </c>
      <c r="AI258" s="33" t="s">
        <v>1826</v>
      </c>
    </row>
    <row r="259" spans="1:35" ht="19.5" thickBot="1">
      <c r="A259" s="53" t="s">
        <v>774</v>
      </c>
      <c r="B259" s="16" t="s">
        <v>450</v>
      </c>
      <c r="C259" s="28" t="s">
        <v>47</v>
      </c>
      <c r="D259" s="16" t="s">
        <v>61</v>
      </c>
      <c r="E259" s="28">
        <f>+[1]モンスター計算!E262</f>
        <v>7667</v>
      </c>
      <c r="F259" s="15">
        <f>+[1]モンスター計算!F262</f>
        <v>1757</v>
      </c>
      <c r="G259" s="15">
        <f>+[1]モンスター計算!G262</f>
        <v>294</v>
      </c>
      <c r="H259" s="15">
        <f>+[1]モンスター計算!H262</f>
        <v>777</v>
      </c>
      <c r="I259" s="15">
        <f>+[1]モンスター計算!I262</f>
        <v>416</v>
      </c>
      <c r="J259" s="16">
        <f>+[1]モンスター計算!J262</f>
        <v>736</v>
      </c>
      <c r="K259" s="28">
        <f>+[1]モンスター計算!K262</f>
        <v>0.115</v>
      </c>
      <c r="L259" s="16">
        <f>+[1]モンスター計算!L262</f>
        <v>1.95</v>
      </c>
      <c r="M259" s="28">
        <f>+[1]モンスター計算!M262</f>
        <v>1.2</v>
      </c>
      <c r="N259" s="15">
        <f>+[1]モンスター計算!N262</f>
        <v>0.72</v>
      </c>
      <c r="O259" s="16">
        <f>+[1]モンスター計算!O262</f>
        <v>3.3250000000000002</v>
      </c>
      <c r="P259" s="28">
        <f>+[1]モンスター計算!P262</f>
        <v>0.08</v>
      </c>
      <c r="Q259" s="15">
        <f>+[1]モンスター計算!Q262</f>
        <v>0.08</v>
      </c>
      <c r="R259" s="15">
        <f>+[1]モンスター計算!R262</f>
        <v>0.08</v>
      </c>
      <c r="S259" s="15">
        <f>+[1]モンスター計算!S262</f>
        <v>0.08</v>
      </c>
      <c r="T259" s="15">
        <f>+[1]モンスター計算!T262</f>
        <v>0.28000000000000003</v>
      </c>
      <c r="U259" s="15">
        <f>+[1]モンスター計算!U262</f>
        <v>-2.0000000000000004E-2</v>
      </c>
      <c r="V259" s="16">
        <f>+[1]モンスター計算!V262</f>
        <v>5</v>
      </c>
      <c r="W259" s="31">
        <v>15</v>
      </c>
      <c r="X259" s="28" t="s">
        <v>72</v>
      </c>
      <c r="Y259" s="34" t="s">
        <v>92</v>
      </c>
      <c r="Z259" s="16">
        <v>1.3</v>
      </c>
      <c r="AA259" s="31">
        <v>40</v>
      </c>
      <c r="AB259" s="31">
        <f t="shared" si="6"/>
        <v>374</v>
      </c>
      <c r="AC259" s="48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1" t="s">
        <v>1170</v>
      </c>
      <c r="AI259" s="34" t="s">
        <v>1826</v>
      </c>
    </row>
    <row r="260" spans="1:35">
      <c r="A260" s="51" t="s">
        <v>775</v>
      </c>
      <c r="B260" s="11" t="s">
        <v>451</v>
      </c>
      <c r="C260" s="26" t="s">
        <v>45</v>
      </c>
      <c r="D260" s="11" t="s">
        <v>61</v>
      </c>
      <c r="E260" s="26">
        <f>+[1]モンスター計算!E263</f>
        <v>6024</v>
      </c>
      <c r="F260" s="10">
        <f>+[1]モンスター計算!F263</f>
        <v>1054</v>
      </c>
      <c r="G260" s="10">
        <f>+[1]モンスター計算!G263</f>
        <v>340</v>
      </c>
      <c r="H260" s="10">
        <f>+[1]モンスター計算!H263</f>
        <v>1079</v>
      </c>
      <c r="I260" s="10">
        <f>+[1]モンスター計算!I263</f>
        <v>463</v>
      </c>
      <c r="J260" s="11">
        <f>+[1]モンスター計算!J263</f>
        <v>492</v>
      </c>
      <c r="K260" s="26">
        <f>+[1]モンスター計算!K263</f>
        <v>4.4999999999999998E-2</v>
      </c>
      <c r="L260" s="11">
        <f>+[1]モンスター計算!L263</f>
        <v>1.4</v>
      </c>
      <c r="M260" s="26">
        <f>+[1]モンスター計算!M263</f>
        <v>2.0499999999999998</v>
      </c>
      <c r="N260" s="10">
        <f>+[1]モンスター計算!N263</f>
        <v>0.92</v>
      </c>
      <c r="O260" s="11">
        <f>+[1]モンスター計算!O263</f>
        <v>2.6749999999999998</v>
      </c>
      <c r="P260" s="26">
        <f>+[1]モンスター計算!P263</f>
        <v>0.09</v>
      </c>
      <c r="Q260" s="10">
        <f>+[1]モンスター計算!Q263</f>
        <v>0.39</v>
      </c>
      <c r="R260" s="10">
        <f>+[1]モンスター計算!R263</f>
        <v>0.19</v>
      </c>
      <c r="S260" s="10">
        <f>+[1]モンスター計算!S263</f>
        <v>0.19</v>
      </c>
      <c r="T260" s="10">
        <f>+[1]モンスター計算!T263</f>
        <v>0.19</v>
      </c>
      <c r="U260" s="10">
        <f>+[1]モンスター計算!U263</f>
        <v>0.19</v>
      </c>
      <c r="V260" s="11">
        <f>+[1]モンスター計算!V263</f>
        <v>4</v>
      </c>
      <c r="W260" s="29">
        <v>8</v>
      </c>
      <c r="X260" s="26" t="s">
        <v>109</v>
      </c>
      <c r="Y260" s="32" t="s">
        <v>87</v>
      </c>
      <c r="Z260" s="11">
        <v>1.2</v>
      </c>
      <c r="AA260" s="29">
        <v>5</v>
      </c>
      <c r="AB260" s="29">
        <f t="shared" si="6"/>
        <v>140</v>
      </c>
      <c r="AC260" s="46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29" t="s">
        <v>1171</v>
      </c>
      <c r="AI260" s="32" t="s">
        <v>1826</v>
      </c>
    </row>
    <row r="261" spans="1:35">
      <c r="A261" s="52" t="s">
        <v>776</v>
      </c>
      <c r="B261" s="13" t="s">
        <v>452</v>
      </c>
      <c r="C261" s="27" t="s">
        <v>44</v>
      </c>
      <c r="D261" s="13" t="s">
        <v>61</v>
      </c>
      <c r="E261" s="27">
        <f>+[1]モンスター計算!E264</f>
        <v>5542</v>
      </c>
      <c r="F261" s="5">
        <f>+[1]モンスター計算!F264</f>
        <v>878</v>
      </c>
      <c r="G261" s="5">
        <f>+[1]モンスター計算!G264</f>
        <v>501</v>
      </c>
      <c r="H261" s="5">
        <f>+[1]モンスター計算!H264</f>
        <v>1114</v>
      </c>
      <c r="I261" s="5">
        <f>+[1]モンスター計算!I264</f>
        <v>458</v>
      </c>
      <c r="J261" s="13">
        <f>+[1]モンスター計算!J264</f>
        <v>506</v>
      </c>
      <c r="K261" s="27">
        <f>+[1]モンスター計算!K264</f>
        <v>0.05</v>
      </c>
      <c r="L261" s="13">
        <f>+[1]モンスター計算!L264</f>
        <v>1.5</v>
      </c>
      <c r="M261" s="27">
        <f>+[1]モンスター計算!M264</f>
        <v>2</v>
      </c>
      <c r="N261" s="5">
        <f>+[1]モンスター計算!N264</f>
        <v>1.05</v>
      </c>
      <c r="O261" s="13">
        <f>+[1]モンスター計算!O264</f>
        <v>2.5</v>
      </c>
      <c r="P261" s="27">
        <f>+[1]モンスター計算!P264</f>
        <v>0.2</v>
      </c>
      <c r="Q261" s="5">
        <f>+[1]モンスター計算!Q264</f>
        <v>-0.1</v>
      </c>
      <c r="R261" s="5">
        <f>+[1]モンスター計算!R264</f>
        <v>0</v>
      </c>
      <c r="S261" s="5">
        <f>+[1]モンスター計算!S264</f>
        <v>0</v>
      </c>
      <c r="T261" s="5">
        <f>+[1]モンスター計算!T264</f>
        <v>0</v>
      </c>
      <c r="U261" s="5">
        <f>+[1]モンスター計算!U264</f>
        <v>0</v>
      </c>
      <c r="V261" s="13">
        <f>+[1]モンスター計算!V264</f>
        <v>4</v>
      </c>
      <c r="W261" s="30">
        <v>8</v>
      </c>
      <c r="X261" s="27" t="s">
        <v>64</v>
      </c>
      <c r="Y261" s="33" t="s">
        <v>88</v>
      </c>
      <c r="Z261" s="13">
        <v>1.2</v>
      </c>
      <c r="AA261" s="30">
        <v>7</v>
      </c>
      <c r="AB261" s="30">
        <f t="shared" si="6"/>
        <v>155</v>
      </c>
      <c r="AC261" s="47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0" t="s">
        <v>1172</v>
      </c>
      <c r="AI261" s="33" t="s">
        <v>1826</v>
      </c>
    </row>
    <row r="262" spans="1:35">
      <c r="A262" s="52" t="s">
        <v>777</v>
      </c>
      <c r="B262" s="13" t="s">
        <v>453</v>
      </c>
      <c r="C262" s="27" t="s">
        <v>46</v>
      </c>
      <c r="D262" s="13" t="s">
        <v>61</v>
      </c>
      <c r="E262" s="27">
        <f>+[1]モンスター計算!E265</f>
        <v>4458</v>
      </c>
      <c r="F262" s="5">
        <f>+[1]モンスター計算!F265</f>
        <v>834</v>
      </c>
      <c r="G262" s="5">
        <f>+[1]モンスター計算!G265</f>
        <v>303</v>
      </c>
      <c r="H262" s="5">
        <f>+[1]モンスター計算!H265</f>
        <v>1035</v>
      </c>
      <c r="I262" s="5">
        <f>+[1]モンスター計算!I265</f>
        <v>347</v>
      </c>
      <c r="J262" s="13">
        <f>+[1]モンスター計算!J265</f>
        <v>405</v>
      </c>
      <c r="K262" s="27">
        <f>+[1]モンスター計算!K265</f>
        <v>0.05</v>
      </c>
      <c r="L262" s="13">
        <f>+[1]モンスター計算!L265</f>
        <v>1.4</v>
      </c>
      <c r="M262" s="27">
        <f>+[1]モンスター計算!M265</f>
        <v>3.35</v>
      </c>
      <c r="N262" s="5">
        <f>+[1]モンスター計算!N265</f>
        <v>1.55</v>
      </c>
      <c r="O262" s="13">
        <f>+[1]モンスター計算!O265</f>
        <v>2.2999999999999998</v>
      </c>
      <c r="P262" s="27">
        <f>+[1]モンスター計算!P265</f>
        <v>-7.0000000000000007E-2</v>
      </c>
      <c r="Q262" s="5">
        <f>+[1]モンスター計算!Q265</f>
        <v>-7.0000000000000007E-2</v>
      </c>
      <c r="R262" s="5">
        <f>+[1]モンスター計算!R265</f>
        <v>0.13</v>
      </c>
      <c r="S262" s="5">
        <f>+[1]モンスター計算!S265</f>
        <v>-0.17</v>
      </c>
      <c r="T262" s="5">
        <f>+[1]モンスター計算!T265</f>
        <v>-7.0000000000000007E-2</v>
      </c>
      <c r="U262" s="5">
        <f>+[1]モンスター計算!U265</f>
        <v>-7.0000000000000007E-2</v>
      </c>
      <c r="V262" s="13">
        <f>+[1]モンスター計算!V265</f>
        <v>4</v>
      </c>
      <c r="W262" s="30">
        <v>9</v>
      </c>
      <c r="X262" s="27" t="s">
        <v>66</v>
      </c>
      <c r="Y262" s="33" t="s">
        <v>89</v>
      </c>
      <c r="Z262" s="13">
        <v>1.22</v>
      </c>
      <c r="AA262" s="30">
        <v>10</v>
      </c>
      <c r="AB262" s="30">
        <f t="shared" si="6"/>
        <v>181</v>
      </c>
      <c r="AC262" s="47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0" t="s">
        <v>1173</v>
      </c>
      <c r="AI262" s="33" t="s">
        <v>1826</v>
      </c>
    </row>
    <row r="263" spans="1:35">
      <c r="A263" s="52" t="s">
        <v>778</v>
      </c>
      <c r="B263" s="13" t="s">
        <v>454</v>
      </c>
      <c r="C263" s="27" t="s">
        <v>44</v>
      </c>
      <c r="D263" s="13" t="s">
        <v>59</v>
      </c>
      <c r="E263" s="27">
        <f>+[1]モンスター計算!E266</f>
        <v>3976</v>
      </c>
      <c r="F263" s="5">
        <f>+[1]モンスター計算!F266</f>
        <v>234</v>
      </c>
      <c r="G263" s="5">
        <f>+[1]モンスター計算!G266</f>
        <v>1076</v>
      </c>
      <c r="H263" s="5">
        <f>+[1]モンスター計算!H266</f>
        <v>266</v>
      </c>
      <c r="I263" s="5">
        <f>+[1]モンスター計算!I266</f>
        <v>337</v>
      </c>
      <c r="J263" s="13">
        <f>+[1]モンスター計算!J266</f>
        <v>342</v>
      </c>
      <c r="K263" s="27">
        <f>+[1]モンスター計算!K266</f>
        <v>0.21</v>
      </c>
      <c r="L263" s="13">
        <f>+[1]モンスター計算!L266</f>
        <v>1.78</v>
      </c>
      <c r="M263" s="27">
        <f>+[1]モンスター計算!M266</f>
        <v>4.05</v>
      </c>
      <c r="N263" s="5">
        <f>+[1]モンスター計算!N266</f>
        <v>1.56</v>
      </c>
      <c r="O263" s="13">
        <f>+[1]モンスター計算!O266</f>
        <v>0.9</v>
      </c>
      <c r="P263" s="27">
        <f>+[1]モンスター計算!P266</f>
        <v>0.12000000000000001</v>
      </c>
      <c r="Q263" s="5">
        <f>+[1]モンスター計算!Q266</f>
        <v>-0.18</v>
      </c>
      <c r="R263" s="5">
        <f>+[1]モンスター計算!R266</f>
        <v>-0.08</v>
      </c>
      <c r="S263" s="5">
        <f>+[1]モンスター計算!S266</f>
        <v>-0.08</v>
      </c>
      <c r="T263" s="5">
        <f>+[1]モンスター計算!T266</f>
        <v>-0.08</v>
      </c>
      <c r="U263" s="5">
        <f>+[1]モンスター計算!U266</f>
        <v>-0.08</v>
      </c>
      <c r="V263" s="13">
        <f>+[1]モンスター計算!V266</f>
        <v>5</v>
      </c>
      <c r="W263" s="30">
        <v>10</v>
      </c>
      <c r="X263" s="27" t="s">
        <v>68</v>
      </c>
      <c r="Y263" s="33" t="s">
        <v>90</v>
      </c>
      <c r="Z263" s="13">
        <v>1.25</v>
      </c>
      <c r="AA263" s="30">
        <v>15</v>
      </c>
      <c r="AB263" s="30">
        <f t="shared" si="6"/>
        <v>235</v>
      </c>
      <c r="AC263" s="47">
        <f t="shared" si="7"/>
        <v>44</v>
      </c>
      <c r="AD263" s="27" t="s">
        <v>74</v>
      </c>
      <c r="AE263" s="5">
        <v>0</v>
      </c>
      <c r="AF263" s="5">
        <v>0</v>
      </c>
      <c r="AG263" s="13" t="b">
        <v>0</v>
      </c>
      <c r="AH263" s="30" t="s">
        <v>1174</v>
      </c>
      <c r="AI263" s="33" t="s">
        <v>1826</v>
      </c>
    </row>
    <row r="264" spans="1:35">
      <c r="A264" s="52" t="s">
        <v>779</v>
      </c>
      <c r="B264" s="13" t="s">
        <v>455</v>
      </c>
      <c r="C264" s="27" t="s">
        <v>45</v>
      </c>
      <c r="D264" s="13" t="s">
        <v>59</v>
      </c>
      <c r="E264" s="27">
        <f>+[1]モンスター計算!E267</f>
        <v>4819</v>
      </c>
      <c r="F264" s="5">
        <f>+[1]モンスター計算!F267</f>
        <v>410</v>
      </c>
      <c r="G264" s="5">
        <f>+[1]モンスター計算!G267</f>
        <v>1104</v>
      </c>
      <c r="H264" s="5">
        <f>+[1]モンスター計算!H267</f>
        <v>348</v>
      </c>
      <c r="I264" s="5">
        <f>+[1]モンスター計算!I267</f>
        <v>371</v>
      </c>
      <c r="J264" s="13">
        <f>+[1]モンスター計算!J267</f>
        <v>400</v>
      </c>
      <c r="K264" s="27">
        <f>+[1]モンスター計算!K267</f>
        <v>6.5000000000000002E-2</v>
      </c>
      <c r="L264" s="13">
        <f>+[1]モンスター計算!L267</f>
        <v>1.46</v>
      </c>
      <c r="M264" s="27">
        <f>+[1]モンスター計算!M267</f>
        <v>3.88</v>
      </c>
      <c r="N264" s="5">
        <f>+[1]モンスター計算!N267</f>
        <v>1.29</v>
      </c>
      <c r="O264" s="13">
        <f>+[1]モンスター計算!O267</f>
        <v>1.5449999999999999</v>
      </c>
      <c r="P264" s="27">
        <f>+[1]モンスター計算!P267</f>
        <v>-0.14000000000000001</v>
      </c>
      <c r="Q264" s="5">
        <f>+[1]モンスター計算!Q267</f>
        <v>0.16</v>
      </c>
      <c r="R264" s="5">
        <f>+[1]モンスター計算!R267</f>
        <v>-0.04</v>
      </c>
      <c r="S264" s="5">
        <f>+[1]モンスター計算!S267</f>
        <v>-0.04</v>
      </c>
      <c r="T264" s="5">
        <f>+[1]モンスター計算!T267</f>
        <v>-0.04</v>
      </c>
      <c r="U264" s="5">
        <f>+[1]モンスター計算!U267</f>
        <v>-0.04</v>
      </c>
      <c r="V264" s="13">
        <f>+[1]モンスター計算!V267</f>
        <v>9.1999999999999993</v>
      </c>
      <c r="W264" s="30">
        <v>11</v>
      </c>
      <c r="X264" s="27" t="s">
        <v>70</v>
      </c>
      <c r="Y264" s="33" t="s">
        <v>91</v>
      </c>
      <c r="Z264" s="13">
        <v>1.25</v>
      </c>
      <c r="AA264" s="30">
        <v>20</v>
      </c>
      <c r="AB264" s="30">
        <f t="shared" si="6"/>
        <v>273</v>
      </c>
      <c r="AC264" s="47">
        <f t="shared" si="7"/>
        <v>44</v>
      </c>
      <c r="AD264" s="27" t="s">
        <v>74</v>
      </c>
      <c r="AE264" s="5">
        <v>0</v>
      </c>
      <c r="AF264" s="5">
        <v>0</v>
      </c>
      <c r="AG264" s="13" t="b">
        <v>0</v>
      </c>
      <c r="AH264" s="30" t="s">
        <v>1175</v>
      </c>
      <c r="AI264" s="33" t="s">
        <v>1826</v>
      </c>
    </row>
    <row r="265" spans="1:35" ht="19.5" thickBot="1">
      <c r="A265" s="53" t="s">
        <v>780</v>
      </c>
      <c r="B265" s="16" t="s">
        <v>456</v>
      </c>
      <c r="C265" s="28" t="s">
        <v>47</v>
      </c>
      <c r="D265" s="16" t="s">
        <v>61</v>
      </c>
      <c r="E265" s="28">
        <f>+[1]モンスター計算!E268</f>
        <v>7229</v>
      </c>
      <c r="F265" s="15">
        <f>+[1]モンスター計算!F268</f>
        <v>878</v>
      </c>
      <c r="G265" s="15">
        <f>+[1]モンスター計算!G268</f>
        <v>386</v>
      </c>
      <c r="H265" s="15">
        <f>+[1]モンスター計算!H268</f>
        <v>857</v>
      </c>
      <c r="I265" s="15">
        <f>+[1]モンスター計算!I268</f>
        <v>626</v>
      </c>
      <c r="J265" s="16">
        <f>+[1]モンスター計算!J268</f>
        <v>410</v>
      </c>
      <c r="K265" s="28">
        <f>+[1]モンスター計算!K268</f>
        <v>0.08</v>
      </c>
      <c r="L265" s="16">
        <f>+[1]モンスター計算!L268</f>
        <v>1.6</v>
      </c>
      <c r="M265" s="28">
        <f>+[1]モンスター計算!M268</f>
        <v>2.8</v>
      </c>
      <c r="N265" s="15">
        <f>+[1]モンスター計算!N268</f>
        <v>1</v>
      </c>
      <c r="O265" s="16">
        <f>+[1]モンスター計算!O268</f>
        <v>2.5</v>
      </c>
      <c r="P265" s="28">
        <f>+[1]モンスター計算!P268</f>
        <v>1.4999999999999999E-2</v>
      </c>
      <c r="Q265" s="15">
        <f>+[1]モンスター計算!Q268</f>
        <v>1.4999999999999999E-2</v>
      </c>
      <c r="R265" s="15">
        <f>+[1]モンスター計算!R268</f>
        <v>1.4999999999999999E-2</v>
      </c>
      <c r="S265" s="15">
        <f>+[1]モンスター計算!S268</f>
        <v>1.4999999999999999E-2</v>
      </c>
      <c r="T265" s="15">
        <f>+[1]モンスター計算!T268</f>
        <v>0.21500000000000002</v>
      </c>
      <c r="U265" s="15">
        <f>+[1]モンスター計算!U268</f>
        <v>-8.5000000000000006E-2</v>
      </c>
      <c r="V265" s="16">
        <f>+[1]モンスター計算!V268</f>
        <v>4</v>
      </c>
      <c r="W265" s="31">
        <v>15</v>
      </c>
      <c r="X265" s="28" t="s">
        <v>72</v>
      </c>
      <c r="Y265" s="34" t="s">
        <v>92</v>
      </c>
      <c r="Z265" s="16">
        <v>1.3</v>
      </c>
      <c r="AA265" s="31">
        <v>40</v>
      </c>
      <c r="AB265" s="31">
        <f t="shared" ref="AB265:AB328" si="8">ROUNDUP(AB259*1.05,0)</f>
        <v>393</v>
      </c>
      <c r="AC265" s="48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1" t="s">
        <v>1176</v>
      </c>
      <c r="AI265" s="34" t="s">
        <v>1826</v>
      </c>
    </row>
    <row r="266" spans="1:35">
      <c r="A266" s="51" t="s">
        <v>781</v>
      </c>
      <c r="B266" s="11" t="s">
        <v>457</v>
      </c>
      <c r="C266" s="26" t="s">
        <v>45</v>
      </c>
      <c r="D266" s="11" t="s">
        <v>61</v>
      </c>
      <c r="E266" s="26">
        <f>+[1]モンスター計算!E269</f>
        <v>5434</v>
      </c>
      <c r="F266" s="10">
        <f>+[1]モンスター計算!F269</f>
        <v>870</v>
      </c>
      <c r="G266" s="10">
        <f>+[1]モンスター計算!G269</f>
        <v>667</v>
      </c>
      <c r="H266" s="10">
        <f>+[1]モンスター計算!H269</f>
        <v>1482</v>
      </c>
      <c r="I266" s="10">
        <f>+[1]モンスター計算!I269</f>
        <v>451</v>
      </c>
      <c r="J266" s="11">
        <f>+[1]モンスター計算!J269</f>
        <v>530</v>
      </c>
      <c r="K266" s="26">
        <f>+[1]モンスター計算!K269</f>
        <v>0.05</v>
      </c>
      <c r="L266" s="11">
        <f>+[1]モンスター計算!L269</f>
        <v>1.5</v>
      </c>
      <c r="M266" s="26">
        <f>+[1]モンスター計算!M269</f>
        <v>2</v>
      </c>
      <c r="N266" s="10">
        <f>+[1]モンスター計算!N269</f>
        <v>1</v>
      </c>
      <c r="O266" s="11">
        <f>+[1]モンスター計算!O269</f>
        <v>2.5</v>
      </c>
      <c r="P266" s="26">
        <f>+[1]モンスター計算!P269</f>
        <v>-0.12000000000000001</v>
      </c>
      <c r="Q266" s="10">
        <f>+[1]モンスター計算!Q269</f>
        <v>0.18000000000000002</v>
      </c>
      <c r="R266" s="10">
        <f>+[1]モンスター計算!R269</f>
        <v>-0.02</v>
      </c>
      <c r="S266" s="10">
        <f>+[1]モンスター計算!S269</f>
        <v>-0.02</v>
      </c>
      <c r="T266" s="10">
        <f>+[1]モンスター計算!T269</f>
        <v>-0.02</v>
      </c>
      <c r="U266" s="10">
        <f>+[1]モンスター計算!U269</f>
        <v>-0.02</v>
      </c>
      <c r="V266" s="11">
        <f>+[1]モンスター計算!V269</f>
        <v>4</v>
      </c>
      <c r="W266" s="29">
        <v>8</v>
      </c>
      <c r="X266" s="26" t="s">
        <v>109</v>
      </c>
      <c r="Y266" s="32" t="s">
        <v>87</v>
      </c>
      <c r="Z266" s="11">
        <v>1.2</v>
      </c>
      <c r="AA266" s="29">
        <v>5</v>
      </c>
      <c r="AB266" s="29">
        <f t="shared" si="8"/>
        <v>147</v>
      </c>
      <c r="AC266" s="46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29" t="s">
        <v>1177</v>
      </c>
      <c r="AI266" s="32" t="s">
        <v>1826</v>
      </c>
    </row>
    <row r="267" spans="1:35">
      <c r="A267" s="52" t="s">
        <v>782</v>
      </c>
      <c r="B267" s="13" t="s">
        <v>458</v>
      </c>
      <c r="C267" s="27" t="s">
        <v>44</v>
      </c>
      <c r="D267" s="13" t="s">
        <v>61</v>
      </c>
      <c r="E267" s="27">
        <f>+[1]モンスター計算!E270</f>
        <v>7289</v>
      </c>
      <c r="F267" s="5">
        <f>+[1]モンスター計算!F270</f>
        <v>1014</v>
      </c>
      <c r="G267" s="5">
        <f>+[1]モンスター計算!G270</f>
        <v>463</v>
      </c>
      <c r="H267" s="5">
        <f>+[1]モンスター計算!H270</f>
        <v>1029</v>
      </c>
      <c r="I267" s="5">
        <f>+[1]モンスター計算!I270</f>
        <v>583</v>
      </c>
      <c r="J267" s="13">
        <f>+[1]モンスター計算!J270</f>
        <v>583</v>
      </c>
      <c r="K267" s="27">
        <f>+[1]モンスター計算!K270</f>
        <v>7.0000000000000007E-2</v>
      </c>
      <c r="L267" s="13">
        <f>+[1]モンスター計算!L270</f>
        <v>1.55</v>
      </c>
      <c r="M267" s="27">
        <f>+[1]モンスター計算!M270</f>
        <v>2.4</v>
      </c>
      <c r="N267" s="5">
        <f>+[1]モンスター計算!N270</f>
        <v>1</v>
      </c>
      <c r="O267" s="13">
        <f>+[1]モンスター計算!O270</f>
        <v>2.5</v>
      </c>
      <c r="P267" s="27">
        <f>+[1]モンスター計算!P270</f>
        <v>0.22</v>
      </c>
      <c r="Q267" s="5">
        <f>+[1]モンスター計算!Q270</f>
        <v>-0.08</v>
      </c>
      <c r="R267" s="5">
        <f>+[1]モンスター計算!R270</f>
        <v>0.02</v>
      </c>
      <c r="S267" s="5">
        <f>+[1]モンスター計算!S270</f>
        <v>0.02</v>
      </c>
      <c r="T267" s="5">
        <f>+[1]モンスター計算!T270</f>
        <v>0.02</v>
      </c>
      <c r="U267" s="5">
        <f>+[1]モンスター計算!U270</f>
        <v>0.02</v>
      </c>
      <c r="V267" s="13">
        <f>+[1]モンスター計算!V270</f>
        <v>4</v>
      </c>
      <c r="W267" s="30">
        <v>8</v>
      </c>
      <c r="X267" s="27" t="s">
        <v>64</v>
      </c>
      <c r="Y267" s="33" t="s">
        <v>88</v>
      </c>
      <c r="Z267" s="13">
        <v>1.2</v>
      </c>
      <c r="AA267" s="30">
        <v>7</v>
      </c>
      <c r="AB267" s="30">
        <f t="shared" si="8"/>
        <v>163</v>
      </c>
      <c r="AC267" s="47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0" t="s">
        <v>1178</v>
      </c>
      <c r="AI267" s="33" t="s">
        <v>1826</v>
      </c>
    </row>
    <row r="268" spans="1:35">
      <c r="A268" s="52" t="s">
        <v>783</v>
      </c>
      <c r="B268" s="13" t="s">
        <v>459</v>
      </c>
      <c r="C268" s="27" t="s">
        <v>46</v>
      </c>
      <c r="D268" s="13" t="s">
        <v>61</v>
      </c>
      <c r="E268" s="27">
        <f>+[1]モンスター計算!E271</f>
        <v>8482</v>
      </c>
      <c r="F268" s="5">
        <f>+[1]モンスター計算!F271</f>
        <v>918</v>
      </c>
      <c r="G268" s="5">
        <f>+[1]モンスター計算!G271</f>
        <v>240</v>
      </c>
      <c r="H268" s="5">
        <f>+[1]モンスター計算!H271</f>
        <v>628</v>
      </c>
      <c r="I268" s="5">
        <f>+[1]モンスター計算!I271</f>
        <v>652</v>
      </c>
      <c r="J268" s="13">
        <f>+[1]モンスター計算!J271</f>
        <v>594</v>
      </c>
      <c r="K268" s="27">
        <f>+[1]モンスター計算!K271</f>
        <v>7.0000000000000007E-2</v>
      </c>
      <c r="L268" s="13">
        <f>+[1]モンスター計算!L271</f>
        <v>1.5</v>
      </c>
      <c r="M268" s="27">
        <f>+[1]モンスター計算!M271</f>
        <v>2.8</v>
      </c>
      <c r="N268" s="5">
        <f>+[1]モンスター計算!N271</f>
        <v>1.45</v>
      </c>
      <c r="O268" s="13">
        <f>+[1]モンスター計算!O271</f>
        <v>1.55</v>
      </c>
      <c r="P268" s="27">
        <f>+[1]モンスター計算!P271</f>
        <v>0.03</v>
      </c>
      <c r="Q268" s="5">
        <f>+[1]モンスター計算!Q271</f>
        <v>0.03</v>
      </c>
      <c r="R268" s="5">
        <f>+[1]モンスター計算!R271</f>
        <v>0.23</v>
      </c>
      <c r="S268" s="5">
        <f>+[1]モンスター計算!S271</f>
        <v>-7.0000000000000007E-2</v>
      </c>
      <c r="T268" s="5">
        <f>+[1]モンスター計算!T271</f>
        <v>0.03</v>
      </c>
      <c r="U268" s="5">
        <f>+[1]モンスター計算!U271</f>
        <v>0.03</v>
      </c>
      <c r="V268" s="13">
        <f>+[1]モンスター計算!V271</f>
        <v>3.6</v>
      </c>
      <c r="W268" s="30">
        <v>9</v>
      </c>
      <c r="X268" s="27" t="s">
        <v>66</v>
      </c>
      <c r="Y268" s="33" t="s">
        <v>89</v>
      </c>
      <c r="Z268" s="13">
        <v>1.22</v>
      </c>
      <c r="AA268" s="30">
        <v>10</v>
      </c>
      <c r="AB268" s="30">
        <f t="shared" si="8"/>
        <v>191</v>
      </c>
      <c r="AC268" s="47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0" t="s">
        <v>1179</v>
      </c>
      <c r="AI268" s="33" t="s">
        <v>1826</v>
      </c>
    </row>
    <row r="269" spans="1:35">
      <c r="A269" s="52" t="s">
        <v>784</v>
      </c>
      <c r="B269" s="13" t="s">
        <v>460</v>
      </c>
      <c r="C269" s="27" t="s">
        <v>44</v>
      </c>
      <c r="D269" s="13" t="s">
        <v>59</v>
      </c>
      <c r="E269" s="27">
        <f>+[1]モンスター計算!E272</f>
        <v>7952</v>
      </c>
      <c r="F269" s="5">
        <f>+[1]モンスター計算!F272</f>
        <v>481</v>
      </c>
      <c r="G269" s="5">
        <f>+[1]モンスター計算!G272</f>
        <v>881</v>
      </c>
      <c r="H269" s="5">
        <f>+[1]モンスター計算!H272</f>
        <v>329</v>
      </c>
      <c r="I269" s="5">
        <f>+[1]モンスター計算!I272</f>
        <v>403</v>
      </c>
      <c r="J269" s="13">
        <f>+[1]モンスター計算!J272</f>
        <v>1113</v>
      </c>
      <c r="K269" s="27">
        <f>+[1]モンスター計算!K272</f>
        <v>0.05</v>
      </c>
      <c r="L269" s="13">
        <f>+[1]モンスター計算!L272</f>
        <v>1.47</v>
      </c>
      <c r="M269" s="27">
        <f>+[1]モンスター計算!M272</f>
        <v>2.4500000000000002</v>
      </c>
      <c r="N269" s="5">
        <f>+[1]モンスター計算!N272</f>
        <v>1</v>
      </c>
      <c r="O269" s="13">
        <f>+[1]モンスター計算!O272</f>
        <v>1.395</v>
      </c>
      <c r="P269" s="27">
        <f>+[1]モンスター計算!P272</f>
        <v>0.26500000000000001</v>
      </c>
      <c r="Q269" s="5">
        <f>+[1]モンスター計算!Q272</f>
        <v>-3.5000000000000003E-2</v>
      </c>
      <c r="R269" s="5">
        <f>+[1]モンスター計算!R272</f>
        <v>6.5000000000000002E-2</v>
      </c>
      <c r="S269" s="5">
        <f>+[1]モンスター計算!S272</f>
        <v>6.5000000000000002E-2</v>
      </c>
      <c r="T269" s="5">
        <f>+[1]モンスター計算!T272</f>
        <v>6.5000000000000002E-2</v>
      </c>
      <c r="U269" s="5">
        <f>+[1]モンスター計算!U272</f>
        <v>6.5000000000000002E-2</v>
      </c>
      <c r="V269" s="13">
        <f>+[1]モンスター計算!V272</f>
        <v>4.2</v>
      </c>
      <c r="W269" s="30">
        <v>10</v>
      </c>
      <c r="X269" s="27" t="s">
        <v>68</v>
      </c>
      <c r="Y269" s="33" t="s">
        <v>90</v>
      </c>
      <c r="Z269" s="13">
        <v>1.25</v>
      </c>
      <c r="AA269" s="30">
        <v>15</v>
      </c>
      <c r="AB269" s="30">
        <f t="shared" si="8"/>
        <v>247</v>
      </c>
      <c r="AC269" s="47">
        <f t="shared" si="9"/>
        <v>45</v>
      </c>
      <c r="AD269" s="27" t="s">
        <v>74</v>
      </c>
      <c r="AE269" s="5">
        <v>0</v>
      </c>
      <c r="AF269" s="5">
        <v>0</v>
      </c>
      <c r="AG269" s="13" t="b">
        <v>0</v>
      </c>
      <c r="AH269" s="30" t="s">
        <v>1180</v>
      </c>
      <c r="AI269" s="33" t="s">
        <v>1826</v>
      </c>
    </row>
    <row r="270" spans="1:35">
      <c r="A270" s="52" t="s">
        <v>785</v>
      </c>
      <c r="B270" s="13" t="s">
        <v>461</v>
      </c>
      <c r="C270" s="27" t="s">
        <v>45</v>
      </c>
      <c r="D270" s="13" t="s">
        <v>59</v>
      </c>
      <c r="E270" s="27">
        <f>+[1]モンスター計算!E273</f>
        <v>5964</v>
      </c>
      <c r="F270" s="5">
        <f>+[1]モンスター計算!F273</f>
        <v>344</v>
      </c>
      <c r="G270" s="5">
        <f>+[1]モンスター計算!G273</f>
        <v>1108</v>
      </c>
      <c r="H270" s="5">
        <f>+[1]モンスター計算!H273</f>
        <v>499</v>
      </c>
      <c r="I270" s="5">
        <f>+[1]モンスター計算!I273</f>
        <v>477</v>
      </c>
      <c r="J270" s="13">
        <f>+[1]モンスター計算!J273</f>
        <v>477</v>
      </c>
      <c r="K270" s="27">
        <f>+[1]モンスター計算!K273</f>
        <v>0.11</v>
      </c>
      <c r="L270" s="13">
        <f>+[1]モンスター計算!L273</f>
        <v>1.75</v>
      </c>
      <c r="M270" s="27">
        <f>+[1]モンスター計算!M273</f>
        <v>3</v>
      </c>
      <c r="N270" s="5">
        <f>+[1]モンスター計算!N273</f>
        <v>1.18</v>
      </c>
      <c r="O270" s="13">
        <f>+[1]モンスター計算!O273</f>
        <v>1.35</v>
      </c>
      <c r="P270" s="27">
        <f>+[1]モンスター計算!P273</f>
        <v>-0.13</v>
      </c>
      <c r="Q270" s="5">
        <f>+[1]モンスター計算!Q273</f>
        <v>0.17</v>
      </c>
      <c r="R270" s="5">
        <f>+[1]モンスター計算!R273</f>
        <v>-0.03</v>
      </c>
      <c r="S270" s="5">
        <f>+[1]モンスター計算!S273</f>
        <v>-0.03</v>
      </c>
      <c r="T270" s="5">
        <f>+[1]モンスター計算!T273</f>
        <v>-0.03</v>
      </c>
      <c r="U270" s="5">
        <f>+[1]モンスター計算!U273</f>
        <v>-0.03</v>
      </c>
      <c r="V270" s="13">
        <f>+[1]モンスター計算!V273</f>
        <v>4.2</v>
      </c>
      <c r="W270" s="30">
        <v>11</v>
      </c>
      <c r="X270" s="27" t="s">
        <v>70</v>
      </c>
      <c r="Y270" s="33" t="s">
        <v>91</v>
      </c>
      <c r="Z270" s="13">
        <v>1.25</v>
      </c>
      <c r="AA270" s="30">
        <v>20</v>
      </c>
      <c r="AB270" s="30">
        <f t="shared" si="8"/>
        <v>287</v>
      </c>
      <c r="AC270" s="47">
        <f t="shared" si="9"/>
        <v>45</v>
      </c>
      <c r="AD270" s="27" t="s">
        <v>74</v>
      </c>
      <c r="AE270" s="5">
        <v>0</v>
      </c>
      <c r="AF270" s="5">
        <v>0</v>
      </c>
      <c r="AG270" s="13" t="b">
        <v>0</v>
      </c>
      <c r="AH270" s="30" t="s">
        <v>1181</v>
      </c>
      <c r="AI270" s="33" t="s">
        <v>1826</v>
      </c>
    </row>
    <row r="271" spans="1:35" ht="19.5" thickBot="1">
      <c r="A271" s="53" t="s">
        <v>786</v>
      </c>
      <c r="B271" s="16" t="s">
        <v>462</v>
      </c>
      <c r="C271" s="28" t="s">
        <v>47</v>
      </c>
      <c r="D271" s="16" t="s">
        <v>61</v>
      </c>
      <c r="E271" s="28">
        <f>+[1]モンスター計算!E274</f>
        <v>6030</v>
      </c>
      <c r="F271" s="15">
        <f>+[1]モンスター計算!F274</f>
        <v>1546</v>
      </c>
      <c r="G271" s="15">
        <f>+[1]モンスター計算!G274</f>
        <v>654</v>
      </c>
      <c r="H271" s="15">
        <f>+[1]モンスター計算!H274</f>
        <v>1939</v>
      </c>
      <c r="I271" s="15">
        <f>+[1]モンスター計算!I274</f>
        <v>466</v>
      </c>
      <c r="J271" s="16">
        <f>+[1]モンスター計算!J274</f>
        <v>504</v>
      </c>
      <c r="K271" s="28">
        <f>+[1]モンスター計算!K274</f>
        <v>0.04</v>
      </c>
      <c r="L271" s="16">
        <f>+[1]モンスター計算!L274</f>
        <v>2.2000000000000002</v>
      </c>
      <c r="M271" s="28">
        <f>+[1]モンスター計算!M274</f>
        <v>1.65</v>
      </c>
      <c r="N271" s="15">
        <f>+[1]モンスター計算!N274</f>
        <v>0.64</v>
      </c>
      <c r="O271" s="16">
        <f>+[1]モンスター計算!O274</f>
        <v>3.7</v>
      </c>
      <c r="P271" s="28">
        <f>+[1]モンスター計算!P274</f>
        <v>-2.5000000000000001E-2</v>
      </c>
      <c r="Q271" s="15">
        <f>+[1]モンスター計算!Q274</f>
        <v>-2.5000000000000001E-2</v>
      </c>
      <c r="R271" s="15">
        <f>+[1]モンスター計算!R274</f>
        <v>-2.5000000000000001E-2</v>
      </c>
      <c r="S271" s="15">
        <f>+[1]モンスター計算!S274</f>
        <v>-2.5000000000000001E-2</v>
      </c>
      <c r="T271" s="15">
        <f>+[1]モンスター計算!T274</f>
        <v>0.17500000000000002</v>
      </c>
      <c r="U271" s="15">
        <f>+[1]モンスター計算!U274</f>
        <v>-0.125</v>
      </c>
      <c r="V271" s="16">
        <f>+[1]モンスター計算!V274</f>
        <v>5</v>
      </c>
      <c r="W271" s="31">
        <v>15</v>
      </c>
      <c r="X271" s="28" t="s">
        <v>72</v>
      </c>
      <c r="Y271" s="34" t="s">
        <v>92</v>
      </c>
      <c r="Z271" s="16">
        <v>1.3</v>
      </c>
      <c r="AA271" s="31">
        <v>40</v>
      </c>
      <c r="AB271" s="31">
        <f t="shared" si="8"/>
        <v>413</v>
      </c>
      <c r="AC271" s="48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1" t="s">
        <v>1182</v>
      </c>
      <c r="AI271" s="34" t="s">
        <v>1826</v>
      </c>
    </row>
    <row r="272" spans="1:35">
      <c r="A272" s="51" t="s">
        <v>787</v>
      </c>
      <c r="B272" s="11" t="s">
        <v>463</v>
      </c>
      <c r="C272" s="26" t="s">
        <v>45</v>
      </c>
      <c r="D272" s="11" t="s">
        <v>61</v>
      </c>
      <c r="E272" s="26">
        <f>+[1]モンスター計算!E275</f>
        <v>7289</v>
      </c>
      <c r="F272" s="10">
        <f>+[1]モンスター計算!F275</f>
        <v>1541</v>
      </c>
      <c r="G272" s="10">
        <f>+[1]モンスター計算!G275</f>
        <v>585</v>
      </c>
      <c r="H272" s="10">
        <f>+[1]モンスター計算!H275</f>
        <v>1300</v>
      </c>
      <c r="I272" s="10">
        <f>+[1]モンスター計算!I275</f>
        <v>583</v>
      </c>
      <c r="J272" s="11">
        <f>+[1]モンスター計算!J275</f>
        <v>700</v>
      </c>
      <c r="K272" s="26">
        <f>+[1]モンスター計算!K275</f>
        <v>0.06</v>
      </c>
      <c r="L272" s="11">
        <f>+[1]モンスター計算!L275</f>
        <v>1.4</v>
      </c>
      <c r="M272" s="26">
        <f>+[1]モンスター計算!M275</f>
        <v>2.1</v>
      </c>
      <c r="N272" s="10">
        <f>+[1]モンスター計算!N275</f>
        <v>0.95</v>
      </c>
      <c r="O272" s="11">
        <f>+[1]モンスター計算!O275</f>
        <v>2.875</v>
      </c>
      <c r="P272" s="26">
        <f>+[1]モンスター計算!P275</f>
        <v>-7.0000000000000007E-2</v>
      </c>
      <c r="Q272" s="10">
        <f>+[1]モンスター計算!Q275</f>
        <v>0.23</v>
      </c>
      <c r="R272" s="10">
        <f>+[1]モンスター計算!R275</f>
        <v>0.03</v>
      </c>
      <c r="S272" s="10">
        <f>+[1]モンスター計算!S275</f>
        <v>0.03</v>
      </c>
      <c r="T272" s="10">
        <f>+[1]モンスター計算!T275</f>
        <v>0.03</v>
      </c>
      <c r="U272" s="10">
        <f>+[1]モンスター計算!U275</f>
        <v>0.03</v>
      </c>
      <c r="V272" s="11">
        <f>+[1]モンスター計算!V275</f>
        <v>4.8</v>
      </c>
      <c r="W272" s="29">
        <v>8</v>
      </c>
      <c r="X272" s="26" t="s">
        <v>109</v>
      </c>
      <c r="Y272" s="32" t="s">
        <v>87</v>
      </c>
      <c r="Z272" s="11">
        <v>1.2</v>
      </c>
      <c r="AA272" s="29">
        <v>5</v>
      </c>
      <c r="AB272" s="29">
        <f t="shared" si="8"/>
        <v>155</v>
      </c>
      <c r="AC272" s="46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29" t="s">
        <v>1183</v>
      </c>
      <c r="AI272" s="32" t="s">
        <v>1826</v>
      </c>
    </row>
    <row r="273" spans="1:35">
      <c r="A273" s="52" t="s">
        <v>788</v>
      </c>
      <c r="B273" s="13" t="s">
        <v>464</v>
      </c>
      <c r="C273" s="27" t="s">
        <v>44</v>
      </c>
      <c r="D273" s="13" t="s">
        <v>61</v>
      </c>
      <c r="E273" s="27">
        <f>+[1]モンスター計算!E276</f>
        <v>6997</v>
      </c>
      <c r="F273" s="5">
        <f>+[1]モンスター計算!F276</f>
        <v>1169</v>
      </c>
      <c r="G273" s="5">
        <f>+[1]モンスター計算!G276</f>
        <v>387</v>
      </c>
      <c r="H273" s="5">
        <f>+[1]モンスター計算!H276</f>
        <v>1386</v>
      </c>
      <c r="I273" s="5">
        <f>+[1]モンスター計算!I276</f>
        <v>478</v>
      </c>
      <c r="J273" s="13">
        <f>+[1]モンスター計算!J276</f>
        <v>531</v>
      </c>
      <c r="K273" s="27">
        <f>+[1]モンスター計算!K276</f>
        <v>0.06</v>
      </c>
      <c r="L273" s="13">
        <f>+[1]モンスター計算!L276</f>
        <v>1.6</v>
      </c>
      <c r="M273" s="27">
        <f>+[1]モンスター計算!M276</f>
        <v>2.25</v>
      </c>
      <c r="N273" s="5">
        <f>+[1]モンスター計算!N276</f>
        <v>0.91</v>
      </c>
      <c r="O273" s="13">
        <f>+[1]モンスター計算!O276</f>
        <v>4.75</v>
      </c>
      <c r="P273" s="27">
        <f>+[1]モンスター計算!P276</f>
        <v>0.18000000000000002</v>
      </c>
      <c r="Q273" s="5">
        <f>+[1]モンスター計算!Q276</f>
        <v>-0.12000000000000001</v>
      </c>
      <c r="R273" s="5">
        <f>+[1]モンスター計算!R276</f>
        <v>-0.02</v>
      </c>
      <c r="S273" s="5">
        <f>+[1]モンスター計算!S276</f>
        <v>-0.02</v>
      </c>
      <c r="T273" s="5">
        <f>+[1]モンスター計算!T276</f>
        <v>-0.02</v>
      </c>
      <c r="U273" s="5">
        <f>+[1]モンスター計算!U276</f>
        <v>-0.02</v>
      </c>
      <c r="V273" s="13">
        <f>+[1]モンスター計算!V276</f>
        <v>6.6</v>
      </c>
      <c r="W273" s="30">
        <v>8</v>
      </c>
      <c r="X273" s="27" t="s">
        <v>64</v>
      </c>
      <c r="Y273" s="33" t="s">
        <v>88</v>
      </c>
      <c r="Z273" s="13">
        <v>1.2</v>
      </c>
      <c r="AA273" s="30">
        <v>7</v>
      </c>
      <c r="AB273" s="30">
        <f t="shared" si="8"/>
        <v>172</v>
      </c>
      <c r="AC273" s="47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0" t="s">
        <v>1184</v>
      </c>
      <c r="AI273" s="33" t="s">
        <v>1826</v>
      </c>
    </row>
    <row r="274" spans="1:35">
      <c r="A274" s="52" t="s">
        <v>789</v>
      </c>
      <c r="B274" s="13" t="s">
        <v>465</v>
      </c>
      <c r="C274" s="27" t="s">
        <v>46</v>
      </c>
      <c r="D274" s="13" t="s">
        <v>61</v>
      </c>
      <c r="E274" s="27">
        <f>+[1]モンスター計算!E277</f>
        <v>7508</v>
      </c>
      <c r="F274" s="5">
        <f>+[1]モンスター計算!F277</f>
        <v>2816</v>
      </c>
      <c r="G274" s="5">
        <f>+[1]モンスター計算!G277</f>
        <v>424</v>
      </c>
      <c r="H274" s="5">
        <f>+[1]モンスター計算!H277</f>
        <v>1345</v>
      </c>
      <c r="I274" s="5">
        <f>+[1]モンスター計算!I277</f>
        <v>560</v>
      </c>
      <c r="J274" s="13">
        <f>+[1]モンスター計算!J277</f>
        <v>688</v>
      </c>
      <c r="K274" s="27">
        <f>+[1]モンスター計算!K277</f>
        <v>6.5000000000000002E-2</v>
      </c>
      <c r="L274" s="13">
        <f>+[1]モンスター計算!L277</f>
        <v>1.45</v>
      </c>
      <c r="M274" s="27">
        <f>+[1]モンスター計算!M277</f>
        <v>2.1</v>
      </c>
      <c r="N274" s="5">
        <f>+[1]モンスター計算!N277</f>
        <v>0.9</v>
      </c>
      <c r="O274" s="13">
        <f>+[1]モンスター計算!O277</f>
        <v>2.8</v>
      </c>
      <c r="P274" s="27">
        <f>+[1]モンスター計算!P277</f>
        <v>0.02</v>
      </c>
      <c r="Q274" s="5">
        <f>+[1]モンスター計算!Q277</f>
        <v>0.02</v>
      </c>
      <c r="R274" s="5">
        <f>+[1]モンスター計算!R277</f>
        <v>0.22</v>
      </c>
      <c r="S274" s="5">
        <f>+[1]モンスター計算!S277</f>
        <v>-0.08</v>
      </c>
      <c r="T274" s="5">
        <f>+[1]モンスター計算!T277</f>
        <v>0.02</v>
      </c>
      <c r="U274" s="5">
        <f>+[1]モンスター計算!U277</f>
        <v>0.02</v>
      </c>
      <c r="V274" s="13">
        <f>+[1]モンスター計算!V277</f>
        <v>4.2</v>
      </c>
      <c r="W274" s="30">
        <v>9</v>
      </c>
      <c r="X274" s="27" t="s">
        <v>66</v>
      </c>
      <c r="Y274" s="33" t="s">
        <v>89</v>
      </c>
      <c r="Z274" s="13">
        <v>1.22</v>
      </c>
      <c r="AA274" s="30">
        <v>10</v>
      </c>
      <c r="AB274" s="30">
        <f t="shared" si="8"/>
        <v>201</v>
      </c>
      <c r="AC274" s="47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0" t="s">
        <v>1185</v>
      </c>
      <c r="AI274" s="33" t="s">
        <v>1826</v>
      </c>
    </row>
    <row r="275" spans="1:35">
      <c r="A275" s="52" t="s">
        <v>790</v>
      </c>
      <c r="B275" s="13" t="s">
        <v>466</v>
      </c>
      <c r="C275" s="27" t="s">
        <v>44</v>
      </c>
      <c r="D275" s="13" t="s">
        <v>59</v>
      </c>
      <c r="E275" s="27">
        <f>+[1]モンスター計算!E278</f>
        <v>6706</v>
      </c>
      <c r="F275" s="5">
        <f>+[1]モンスター計算!F278</f>
        <v>472</v>
      </c>
      <c r="G275" s="5">
        <f>+[1]モンスター計算!G278</f>
        <v>1375</v>
      </c>
      <c r="H275" s="5">
        <f>+[1]モンスター計算!H278</f>
        <v>619</v>
      </c>
      <c r="I275" s="5">
        <f>+[1]モンスター計算!I278</f>
        <v>554</v>
      </c>
      <c r="J275" s="13">
        <f>+[1]モンスター計算!J278</f>
        <v>612</v>
      </c>
      <c r="K275" s="27">
        <f>+[1]モンスター計算!K278</f>
        <v>0.05</v>
      </c>
      <c r="L275" s="13">
        <f>+[1]モンスター計算!L278</f>
        <v>1.5</v>
      </c>
      <c r="M275" s="27">
        <f>+[1]モンスター計算!M278</f>
        <v>2</v>
      </c>
      <c r="N275" s="5">
        <f>+[1]モンスター計算!N278</f>
        <v>1.05</v>
      </c>
      <c r="O275" s="13">
        <f>+[1]モンスター計算!O278</f>
        <v>1.2</v>
      </c>
      <c r="P275" s="27">
        <f>+[1]モンスター計算!P278</f>
        <v>0.21000000000000002</v>
      </c>
      <c r="Q275" s="5">
        <f>+[1]モンスター計算!Q278</f>
        <v>-9.0000000000000011E-2</v>
      </c>
      <c r="R275" s="5">
        <f>+[1]モンスター計算!R278</f>
        <v>0.01</v>
      </c>
      <c r="S275" s="5">
        <f>+[1]モンスター計算!S278</f>
        <v>0.01</v>
      </c>
      <c r="T275" s="5">
        <f>+[1]モンスター計算!T278</f>
        <v>0.01</v>
      </c>
      <c r="U275" s="5">
        <f>+[1]モンスター計算!U278</f>
        <v>0.01</v>
      </c>
      <c r="V275" s="13">
        <f>+[1]モンスター計算!V278</f>
        <v>4</v>
      </c>
      <c r="W275" s="30">
        <v>10</v>
      </c>
      <c r="X275" s="27" t="s">
        <v>68</v>
      </c>
      <c r="Y275" s="33" t="s">
        <v>90</v>
      </c>
      <c r="Z275" s="13">
        <v>1.25</v>
      </c>
      <c r="AA275" s="30">
        <v>15</v>
      </c>
      <c r="AB275" s="30">
        <f t="shared" si="8"/>
        <v>260</v>
      </c>
      <c r="AC275" s="47">
        <f t="shared" si="9"/>
        <v>46</v>
      </c>
      <c r="AD275" s="27" t="s">
        <v>74</v>
      </c>
      <c r="AE275" s="5">
        <v>0</v>
      </c>
      <c r="AF275" s="5">
        <v>0</v>
      </c>
      <c r="AG275" s="13" t="b">
        <v>0</v>
      </c>
      <c r="AH275" s="30" t="s">
        <v>1186</v>
      </c>
      <c r="AI275" s="33" t="s">
        <v>1826</v>
      </c>
    </row>
    <row r="276" spans="1:35">
      <c r="A276" s="52" t="s">
        <v>791</v>
      </c>
      <c r="B276" s="13" t="s">
        <v>467</v>
      </c>
      <c r="C276" s="27" t="s">
        <v>45</v>
      </c>
      <c r="D276" s="13" t="s">
        <v>59</v>
      </c>
      <c r="E276" s="27">
        <f>+[1]モンスター計算!E279</f>
        <v>5904</v>
      </c>
      <c r="F276" s="5">
        <f>+[1]モンスター計算!F279</f>
        <v>368</v>
      </c>
      <c r="G276" s="5">
        <f>+[1]モンスター計算!G279</f>
        <v>1011</v>
      </c>
      <c r="H276" s="5">
        <f>+[1]モンスター計算!H279</f>
        <v>318</v>
      </c>
      <c r="I276" s="5">
        <f>+[1]モンスター計算!I279</f>
        <v>437</v>
      </c>
      <c r="J276" s="13">
        <f>+[1]モンスター計算!J279</f>
        <v>461</v>
      </c>
      <c r="K276" s="27">
        <f>+[1]モンスター計算!K279</f>
        <v>7.0000000000000007E-2</v>
      </c>
      <c r="L276" s="13">
        <f>+[1]モンスター計算!L279</f>
        <v>1.45</v>
      </c>
      <c r="M276" s="27">
        <f>+[1]モンスター計算!M279</f>
        <v>3.35</v>
      </c>
      <c r="N276" s="5">
        <f>+[1]モンスター計算!N279</f>
        <v>1.77</v>
      </c>
      <c r="O276" s="13">
        <f>+[1]モンスター計算!O279</f>
        <v>1.1399999999999999</v>
      </c>
      <c r="P276" s="27">
        <f>+[1]モンスター計算!P279</f>
        <v>-0.16500000000000001</v>
      </c>
      <c r="Q276" s="5">
        <f>+[1]モンスター計算!Q279</f>
        <v>0.13500000000000001</v>
      </c>
      <c r="R276" s="5">
        <f>+[1]モンスター計算!R279</f>
        <v>-6.5000000000000002E-2</v>
      </c>
      <c r="S276" s="5">
        <f>+[1]モンスター計算!S279</f>
        <v>-6.5000000000000002E-2</v>
      </c>
      <c r="T276" s="5">
        <f>+[1]モンスター計算!T279</f>
        <v>-6.5000000000000002E-2</v>
      </c>
      <c r="U276" s="5">
        <f>+[1]モンスター計算!U279</f>
        <v>-6.5000000000000002E-2</v>
      </c>
      <c r="V276" s="13">
        <f>+[1]モンスター計算!V279</f>
        <v>5</v>
      </c>
      <c r="W276" s="30">
        <v>11</v>
      </c>
      <c r="X276" s="27" t="s">
        <v>70</v>
      </c>
      <c r="Y276" s="33" t="s">
        <v>91</v>
      </c>
      <c r="Z276" s="13">
        <v>1.25</v>
      </c>
      <c r="AA276" s="30">
        <v>20</v>
      </c>
      <c r="AB276" s="30">
        <f t="shared" si="8"/>
        <v>302</v>
      </c>
      <c r="AC276" s="47">
        <f t="shared" si="9"/>
        <v>46</v>
      </c>
      <c r="AD276" s="27" t="s">
        <v>74</v>
      </c>
      <c r="AE276" s="5">
        <v>0</v>
      </c>
      <c r="AF276" s="5">
        <v>0</v>
      </c>
      <c r="AG276" s="13" t="b">
        <v>0</v>
      </c>
      <c r="AH276" s="30" t="s">
        <v>1187</v>
      </c>
      <c r="AI276" s="33" t="s">
        <v>1826</v>
      </c>
    </row>
    <row r="277" spans="1:35" ht="19.5" thickBot="1">
      <c r="A277" s="53" t="s">
        <v>792</v>
      </c>
      <c r="B277" s="16" t="s">
        <v>468</v>
      </c>
      <c r="C277" s="28" t="s">
        <v>47</v>
      </c>
      <c r="D277" s="16" t="s">
        <v>61</v>
      </c>
      <c r="E277" s="28">
        <f>+[1]モンスター計算!E280</f>
        <v>5977</v>
      </c>
      <c r="F277" s="15">
        <f>+[1]モンスター計算!F280</f>
        <v>1435</v>
      </c>
      <c r="G277" s="15">
        <f>+[1]モンスター計算!G280</f>
        <v>552</v>
      </c>
      <c r="H277" s="15">
        <f>+[1]モンスター計算!H280</f>
        <v>2046</v>
      </c>
      <c r="I277" s="15">
        <f>+[1]モンスター計算!I280</f>
        <v>472</v>
      </c>
      <c r="J277" s="16">
        <f>+[1]モンスター計算!J280</f>
        <v>507</v>
      </c>
      <c r="K277" s="28">
        <f>+[1]モンスター計算!K280</f>
        <v>0.12</v>
      </c>
      <c r="L277" s="16">
        <f>+[1]モンスター計算!L280</f>
        <v>2.5499999999999998</v>
      </c>
      <c r="M277" s="28">
        <f>+[1]モンスター計算!M280</f>
        <v>2.2999999999999998</v>
      </c>
      <c r="N277" s="15">
        <f>+[1]モンスター計算!N280</f>
        <v>0.68</v>
      </c>
      <c r="O277" s="16">
        <f>+[1]モンスター計算!O280</f>
        <v>3.55</v>
      </c>
      <c r="P277" s="28">
        <f>+[1]モンスター計算!P280</f>
        <v>-5.5E-2</v>
      </c>
      <c r="Q277" s="15">
        <f>+[1]モンスター計算!Q280</f>
        <v>-5.5E-2</v>
      </c>
      <c r="R277" s="15">
        <f>+[1]モンスター計算!R280</f>
        <v>-5.5E-2</v>
      </c>
      <c r="S277" s="15">
        <f>+[1]モンスター計算!S280</f>
        <v>-5.5E-2</v>
      </c>
      <c r="T277" s="15">
        <f>+[1]モンスター計算!T280</f>
        <v>0.14500000000000002</v>
      </c>
      <c r="U277" s="15">
        <f>+[1]モンスター計算!U280</f>
        <v>-0.155</v>
      </c>
      <c r="V277" s="16">
        <f>+[1]モンスター計算!V280</f>
        <v>4.8</v>
      </c>
      <c r="W277" s="31">
        <v>15</v>
      </c>
      <c r="X277" s="28" t="s">
        <v>72</v>
      </c>
      <c r="Y277" s="34" t="s">
        <v>92</v>
      </c>
      <c r="Z277" s="16">
        <v>1.3</v>
      </c>
      <c r="AA277" s="31">
        <v>40</v>
      </c>
      <c r="AB277" s="31">
        <f t="shared" si="8"/>
        <v>434</v>
      </c>
      <c r="AC277" s="48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1" t="s">
        <v>1188</v>
      </c>
      <c r="AI277" s="34" t="s">
        <v>1826</v>
      </c>
    </row>
    <row r="278" spans="1:35">
      <c r="A278" s="51" t="s">
        <v>793</v>
      </c>
      <c r="B278" s="11" t="s">
        <v>469</v>
      </c>
      <c r="C278" s="26" t="s">
        <v>45</v>
      </c>
      <c r="D278" s="11" t="s">
        <v>61</v>
      </c>
      <c r="E278" s="26">
        <f>+[1]モンスター計算!E281</f>
        <v>13791</v>
      </c>
      <c r="F278" s="10">
        <f>+[1]モンスター計算!F281</f>
        <v>1578</v>
      </c>
      <c r="G278" s="10">
        <f>+[1]モンスター計算!G281</f>
        <v>333</v>
      </c>
      <c r="H278" s="10">
        <f>+[1]モンスター計算!H281</f>
        <v>1138</v>
      </c>
      <c r="I278" s="10">
        <f>+[1]モンスター計算!I281</f>
        <v>1052</v>
      </c>
      <c r="J278" s="11">
        <f>+[1]モンスター計算!J281</f>
        <v>994</v>
      </c>
      <c r="K278" s="26">
        <f>+[1]モンスター計算!K281</f>
        <v>3.5000000000000003E-2</v>
      </c>
      <c r="L278" s="11">
        <f>+[1]モンスター計算!L281</f>
        <v>1.4</v>
      </c>
      <c r="M278" s="26">
        <f>+[1]モンスター計算!M281</f>
        <v>1.5</v>
      </c>
      <c r="N278" s="10">
        <f>+[1]モンスター計算!N281</f>
        <v>0.6</v>
      </c>
      <c r="O278" s="11">
        <f>+[1]モンスター計算!O281</f>
        <v>3.1</v>
      </c>
      <c r="P278" s="26">
        <f>+[1]モンスター計算!P281</f>
        <v>1.999999999999999E-2</v>
      </c>
      <c r="Q278" s="10">
        <f>+[1]モンスター計算!Q281</f>
        <v>0.32</v>
      </c>
      <c r="R278" s="10">
        <f>+[1]モンスター計算!R281</f>
        <v>0.12</v>
      </c>
      <c r="S278" s="10">
        <f>+[1]モンスター計算!S281</f>
        <v>0.12</v>
      </c>
      <c r="T278" s="10">
        <f>+[1]モンスター計算!T281</f>
        <v>0.12</v>
      </c>
      <c r="U278" s="10">
        <f>+[1]モンスター計算!U281</f>
        <v>0.12</v>
      </c>
      <c r="V278" s="11">
        <f>+[1]モンスター計算!V281</f>
        <v>4.12</v>
      </c>
      <c r="W278" s="29">
        <v>8</v>
      </c>
      <c r="X278" s="26" t="s">
        <v>109</v>
      </c>
      <c r="Y278" s="32" t="s">
        <v>87</v>
      </c>
      <c r="Z278" s="11">
        <v>1.2</v>
      </c>
      <c r="AA278" s="29">
        <v>5</v>
      </c>
      <c r="AB278" s="29">
        <f t="shared" si="8"/>
        <v>163</v>
      </c>
      <c r="AC278" s="46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29" t="s">
        <v>1189</v>
      </c>
      <c r="AI278" s="32" t="s">
        <v>1826</v>
      </c>
    </row>
    <row r="279" spans="1:35">
      <c r="A279" s="52" t="s">
        <v>794</v>
      </c>
      <c r="B279" s="13" t="s">
        <v>470</v>
      </c>
      <c r="C279" s="27" t="s">
        <v>44</v>
      </c>
      <c r="D279" s="13" t="s">
        <v>61</v>
      </c>
      <c r="E279" s="27">
        <f>+[1]モンスター計算!E282</f>
        <v>8018</v>
      </c>
      <c r="F279" s="5">
        <f>+[1]モンスター計算!F282</f>
        <v>1403</v>
      </c>
      <c r="G279" s="5">
        <f>+[1]モンスター計算!G282</f>
        <v>452</v>
      </c>
      <c r="H279" s="5">
        <f>+[1]モンスター計算!H282</f>
        <v>1436</v>
      </c>
      <c r="I279" s="5">
        <f>+[1]モンスター計算!I282</f>
        <v>616</v>
      </c>
      <c r="J279" s="13">
        <f>+[1]モンスター計算!J282</f>
        <v>654</v>
      </c>
      <c r="K279" s="27">
        <f>+[1]モンスター計算!K282</f>
        <v>4.4999999999999998E-2</v>
      </c>
      <c r="L279" s="13">
        <f>+[1]モンスター計算!L282</f>
        <v>1.4</v>
      </c>
      <c r="M279" s="27">
        <f>+[1]モンスター計算!M282</f>
        <v>2.0499999999999998</v>
      </c>
      <c r="N279" s="5">
        <f>+[1]モンスター計算!N282</f>
        <v>0.92</v>
      </c>
      <c r="O279" s="13">
        <f>+[1]モンスター計算!O282</f>
        <v>2.6749999999999998</v>
      </c>
      <c r="P279" s="27">
        <f>+[1]モンスター計算!P282</f>
        <v>0.39</v>
      </c>
      <c r="Q279" s="5">
        <f>+[1]モンスター計算!Q282</f>
        <v>0.09</v>
      </c>
      <c r="R279" s="5">
        <f>+[1]モンスター計算!R282</f>
        <v>0.19</v>
      </c>
      <c r="S279" s="5">
        <f>+[1]モンスター計算!S282</f>
        <v>0.19</v>
      </c>
      <c r="T279" s="5">
        <f>+[1]モンスター計算!T282</f>
        <v>0.19</v>
      </c>
      <c r="U279" s="5">
        <f>+[1]モンスター計算!U282</f>
        <v>0.19</v>
      </c>
      <c r="V279" s="13">
        <f>+[1]モンスター計算!V282</f>
        <v>4</v>
      </c>
      <c r="W279" s="30">
        <v>8</v>
      </c>
      <c r="X279" s="27" t="s">
        <v>64</v>
      </c>
      <c r="Y279" s="33" t="s">
        <v>88</v>
      </c>
      <c r="Z279" s="13">
        <v>1.2</v>
      </c>
      <c r="AA279" s="30">
        <v>7</v>
      </c>
      <c r="AB279" s="30">
        <f t="shared" si="8"/>
        <v>181</v>
      </c>
      <c r="AC279" s="47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0" t="s">
        <v>1190</v>
      </c>
      <c r="AI279" s="33" t="s">
        <v>1826</v>
      </c>
    </row>
    <row r="280" spans="1:35">
      <c r="A280" s="52" t="s">
        <v>795</v>
      </c>
      <c r="B280" s="13" t="s">
        <v>471</v>
      </c>
      <c r="C280" s="27" t="s">
        <v>46</v>
      </c>
      <c r="D280" s="13" t="s">
        <v>61</v>
      </c>
      <c r="E280" s="27">
        <f>+[1]モンスター計算!E283</f>
        <v>7377</v>
      </c>
      <c r="F280" s="5">
        <f>+[1]モンスター計算!F283</f>
        <v>1169</v>
      </c>
      <c r="G280" s="5">
        <f>+[1]モンスター計算!G283</f>
        <v>667</v>
      </c>
      <c r="H280" s="5">
        <f>+[1]モンスター計算!H283</f>
        <v>1483</v>
      </c>
      <c r="I280" s="5">
        <f>+[1]モンスター計算!I283</f>
        <v>609</v>
      </c>
      <c r="J280" s="13">
        <f>+[1]モンスター計算!J283</f>
        <v>674</v>
      </c>
      <c r="K280" s="27">
        <f>+[1]モンスター計算!K283</f>
        <v>0.05</v>
      </c>
      <c r="L280" s="13">
        <f>+[1]モンスター計算!L283</f>
        <v>1.5</v>
      </c>
      <c r="M280" s="27">
        <f>+[1]モンスター計算!M283</f>
        <v>2</v>
      </c>
      <c r="N280" s="5">
        <f>+[1]モンスター計算!N283</f>
        <v>1.05</v>
      </c>
      <c r="O280" s="13">
        <f>+[1]モンスター計算!O283</f>
        <v>2.5</v>
      </c>
      <c r="P280" s="27">
        <f>+[1]モンスター計算!P283</f>
        <v>0</v>
      </c>
      <c r="Q280" s="5">
        <f>+[1]モンスター計算!Q283</f>
        <v>0</v>
      </c>
      <c r="R280" s="5">
        <f>+[1]モンスター計算!R283</f>
        <v>0.2</v>
      </c>
      <c r="S280" s="5">
        <f>+[1]モンスター計算!S283</f>
        <v>-0.1</v>
      </c>
      <c r="T280" s="5">
        <f>+[1]モンスター計算!T283</f>
        <v>0</v>
      </c>
      <c r="U280" s="5">
        <f>+[1]モンスター計算!U283</f>
        <v>0</v>
      </c>
      <c r="V280" s="13">
        <f>+[1]モンスター計算!V283</f>
        <v>4</v>
      </c>
      <c r="W280" s="30">
        <v>9</v>
      </c>
      <c r="X280" s="27" t="s">
        <v>66</v>
      </c>
      <c r="Y280" s="33" t="s">
        <v>89</v>
      </c>
      <c r="Z280" s="13">
        <v>1.22</v>
      </c>
      <c r="AA280" s="30">
        <v>10</v>
      </c>
      <c r="AB280" s="30">
        <f t="shared" si="8"/>
        <v>212</v>
      </c>
      <c r="AC280" s="47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0" t="s">
        <v>1191</v>
      </c>
      <c r="AI280" s="33" t="s">
        <v>1826</v>
      </c>
    </row>
    <row r="281" spans="1:35">
      <c r="A281" s="52" t="s">
        <v>796</v>
      </c>
      <c r="B281" s="13" t="s">
        <v>472</v>
      </c>
      <c r="C281" s="27" t="s">
        <v>44</v>
      </c>
      <c r="D281" s="13" t="s">
        <v>59</v>
      </c>
      <c r="E281" s="27">
        <f>+[1]モンスター計算!E284</f>
        <v>6414</v>
      </c>
      <c r="F281" s="5">
        <f>+[1]モンスター計算!F284</f>
        <v>390</v>
      </c>
      <c r="G281" s="5">
        <f>+[1]モンスター計算!G284</f>
        <v>1584</v>
      </c>
      <c r="H281" s="5">
        <f>+[1]モンスター計算!H284</f>
        <v>542</v>
      </c>
      <c r="I281" s="5">
        <f>+[1]モンスター計算!I284</f>
        <v>526</v>
      </c>
      <c r="J281" s="13">
        <f>+[1]モンスター計算!J284</f>
        <v>487</v>
      </c>
      <c r="K281" s="27">
        <f>+[1]モンスター計算!K284</f>
        <v>0.13</v>
      </c>
      <c r="L281" s="13">
        <f>+[1]モンスター計算!L284</f>
        <v>1.7</v>
      </c>
      <c r="M281" s="27">
        <f>+[1]モンスター計算!M284</f>
        <v>3</v>
      </c>
      <c r="N281" s="5">
        <f>+[1]モンスター計算!N284</f>
        <v>1.06</v>
      </c>
      <c r="O281" s="13">
        <f>+[1]モンスター計算!O284</f>
        <v>2.4300000000000002</v>
      </c>
      <c r="P281" s="27">
        <f>+[1]モンスター計算!P284</f>
        <v>0.15500000000000003</v>
      </c>
      <c r="Q281" s="5">
        <f>+[1]モンスター計算!Q284</f>
        <v>-0.14500000000000002</v>
      </c>
      <c r="R281" s="5">
        <f>+[1]モンスター計算!R284</f>
        <v>-4.4999999999999998E-2</v>
      </c>
      <c r="S281" s="5">
        <f>+[1]モンスター計算!S284</f>
        <v>-4.4999999999999998E-2</v>
      </c>
      <c r="T281" s="5">
        <f>+[1]モンスター計算!T284</f>
        <v>-4.4999999999999998E-2</v>
      </c>
      <c r="U281" s="5">
        <f>+[1]モンスター計算!U284</f>
        <v>-4.4999999999999998E-2</v>
      </c>
      <c r="V281" s="13">
        <f>+[1]モンスター計算!V284</f>
        <v>5.2</v>
      </c>
      <c r="W281" s="30">
        <v>10</v>
      </c>
      <c r="X281" s="27" t="s">
        <v>68</v>
      </c>
      <c r="Y281" s="33" t="s">
        <v>90</v>
      </c>
      <c r="Z281" s="13">
        <v>1.25</v>
      </c>
      <c r="AA281" s="30">
        <v>15</v>
      </c>
      <c r="AB281" s="30">
        <f t="shared" si="8"/>
        <v>273</v>
      </c>
      <c r="AC281" s="47">
        <f t="shared" si="9"/>
        <v>47</v>
      </c>
      <c r="AD281" s="27" t="s">
        <v>74</v>
      </c>
      <c r="AE281" s="5">
        <v>0</v>
      </c>
      <c r="AF281" s="5">
        <v>0</v>
      </c>
      <c r="AG281" s="13" t="b">
        <v>0</v>
      </c>
      <c r="AH281" s="30" t="s">
        <v>1192</v>
      </c>
      <c r="AI281" s="33" t="s">
        <v>1826</v>
      </c>
    </row>
    <row r="282" spans="1:35">
      <c r="A282" s="52" t="s">
        <v>797</v>
      </c>
      <c r="B282" s="13" t="s">
        <v>473</v>
      </c>
      <c r="C282" s="27" t="s">
        <v>45</v>
      </c>
      <c r="D282" s="13" t="s">
        <v>59</v>
      </c>
      <c r="E282" s="27">
        <f>+[1]モンスター計算!E285</f>
        <v>5292</v>
      </c>
      <c r="F282" s="5">
        <f>+[1]モンスター計算!F285</f>
        <v>312</v>
      </c>
      <c r="G282" s="5">
        <f>+[1]モンスター計算!G285</f>
        <v>1432</v>
      </c>
      <c r="H282" s="5">
        <f>+[1]モンスター計算!H285</f>
        <v>354</v>
      </c>
      <c r="I282" s="5">
        <f>+[1]モンスター計算!I285</f>
        <v>449</v>
      </c>
      <c r="J282" s="13">
        <f>+[1]モンスター計算!J285</f>
        <v>455</v>
      </c>
      <c r="K282" s="27">
        <f>+[1]モンスター計算!K285</f>
        <v>0.21</v>
      </c>
      <c r="L282" s="13">
        <f>+[1]モンスター計算!L285</f>
        <v>1.78</v>
      </c>
      <c r="M282" s="27">
        <f>+[1]モンスター計算!M285</f>
        <v>4.05</v>
      </c>
      <c r="N282" s="5">
        <f>+[1]モンスター計算!N285</f>
        <v>1.56</v>
      </c>
      <c r="O282" s="13">
        <f>+[1]モンスター計算!O285</f>
        <v>0.9</v>
      </c>
      <c r="P282" s="27">
        <f>+[1]モンスター計算!P285</f>
        <v>-0.18</v>
      </c>
      <c r="Q282" s="5">
        <f>+[1]モンスター計算!Q285</f>
        <v>0.12000000000000001</v>
      </c>
      <c r="R282" s="5">
        <f>+[1]モンスター計算!R285</f>
        <v>-0.08</v>
      </c>
      <c r="S282" s="5">
        <f>+[1]モンスター計算!S285</f>
        <v>-0.08</v>
      </c>
      <c r="T282" s="5">
        <f>+[1]モンスター計算!T285</f>
        <v>-0.08</v>
      </c>
      <c r="U282" s="5">
        <f>+[1]モンスター計算!U285</f>
        <v>-0.08</v>
      </c>
      <c r="V282" s="13">
        <f>+[1]モンスター計算!V285</f>
        <v>5</v>
      </c>
      <c r="W282" s="30">
        <v>11</v>
      </c>
      <c r="X282" s="27" t="s">
        <v>70</v>
      </c>
      <c r="Y282" s="33" t="s">
        <v>91</v>
      </c>
      <c r="Z282" s="13">
        <v>1.25</v>
      </c>
      <c r="AA282" s="30">
        <v>20</v>
      </c>
      <c r="AB282" s="30">
        <f t="shared" si="8"/>
        <v>318</v>
      </c>
      <c r="AC282" s="47">
        <f t="shared" si="9"/>
        <v>47</v>
      </c>
      <c r="AD282" s="27" t="s">
        <v>74</v>
      </c>
      <c r="AE282" s="5">
        <v>0</v>
      </c>
      <c r="AF282" s="5">
        <v>0</v>
      </c>
      <c r="AG282" s="13" t="b">
        <v>0</v>
      </c>
      <c r="AH282" s="30" t="s">
        <v>1193</v>
      </c>
      <c r="AI282" s="33" t="s">
        <v>1826</v>
      </c>
    </row>
    <row r="283" spans="1:35" ht="19.5" thickBot="1">
      <c r="A283" s="53" t="s">
        <v>798</v>
      </c>
      <c r="B283" s="16" t="s">
        <v>474</v>
      </c>
      <c r="C283" s="28" t="s">
        <v>47</v>
      </c>
      <c r="D283" s="16" t="s">
        <v>61</v>
      </c>
      <c r="E283" s="28">
        <f>+[1]モンスター計算!E286</f>
        <v>6334</v>
      </c>
      <c r="F283" s="15">
        <f>+[1]モンスター計算!F286</f>
        <v>1052</v>
      </c>
      <c r="G283" s="15">
        <f>+[1]モンスター計算!G286</f>
        <v>277</v>
      </c>
      <c r="H283" s="15">
        <f>+[1]モンスター計算!H286</f>
        <v>1161</v>
      </c>
      <c r="I283" s="15">
        <f>+[1]モンスター計算!I286</f>
        <v>545</v>
      </c>
      <c r="J283" s="16">
        <f>+[1]モンスター計算!J286</f>
        <v>520</v>
      </c>
      <c r="K283" s="28">
        <f>+[1]モンスター計算!K286</f>
        <v>6.5000000000000002E-2</v>
      </c>
      <c r="L283" s="16">
        <f>+[1]モンスター計算!L286</f>
        <v>1.45</v>
      </c>
      <c r="M283" s="28">
        <f>+[1]モンスター計算!M286</f>
        <v>4</v>
      </c>
      <c r="N283" s="15">
        <f>+[1]モンスター計算!N286</f>
        <v>1.72</v>
      </c>
      <c r="O283" s="16">
        <f>+[1]モンスター計算!O286</f>
        <v>1.9</v>
      </c>
      <c r="P283" s="28">
        <f>+[1]モンスター計算!P286</f>
        <v>-7.0000000000000007E-2</v>
      </c>
      <c r="Q283" s="15">
        <f>+[1]モンスター計算!Q286</f>
        <v>-7.0000000000000007E-2</v>
      </c>
      <c r="R283" s="15">
        <f>+[1]モンスター計算!R286</f>
        <v>-7.0000000000000007E-2</v>
      </c>
      <c r="S283" s="15">
        <f>+[1]モンスター計算!S286</f>
        <v>-7.0000000000000007E-2</v>
      </c>
      <c r="T283" s="15">
        <f>+[1]モンスター計算!T286</f>
        <v>0.13</v>
      </c>
      <c r="U283" s="15">
        <f>+[1]モンスター計算!U286</f>
        <v>-0.17</v>
      </c>
      <c r="V283" s="16">
        <f>+[1]モンスター計算!V286</f>
        <v>5.4</v>
      </c>
      <c r="W283" s="31">
        <v>15</v>
      </c>
      <c r="X283" s="28" t="s">
        <v>72</v>
      </c>
      <c r="Y283" s="34" t="s">
        <v>92</v>
      </c>
      <c r="Z283" s="16">
        <v>1.3</v>
      </c>
      <c r="AA283" s="31">
        <v>40</v>
      </c>
      <c r="AB283" s="31">
        <f t="shared" si="8"/>
        <v>456</v>
      </c>
      <c r="AC283" s="48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1" t="s">
        <v>1194</v>
      </c>
      <c r="AI283" s="34" t="s">
        <v>1826</v>
      </c>
    </row>
    <row r="284" spans="1:35">
      <c r="A284" s="51" t="s">
        <v>799</v>
      </c>
      <c r="B284" s="11" t="s">
        <v>475</v>
      </c>
      <c r="C284" s="26" t="s">
        <v>45</v>
      </c>
      <c r="D284" s="11" t="s">
        <v>61</v>
      </c>
      <c r="E284" s="26">
        <f>+[1]モンスター計算!E287</f>
        <v>9878</v>
      </c>
      <c r="F284" s="10">
        <f>+[1]モンスター計算!F287</f>
        <v>1736</v>
      </c>
      <c r="G284" s="10">
        <f>+[1]モンスター計算!G287</f>
        <v>435</v>
      </c>
      <c r="H284" s="10">
        <f>+[1]モンスター計算!H287</f>
        <v>1466</v>
      </c>
      <c r="I284" s="10">
        <f>+[1]モンスター計算!I287</f>
        <v>1376</v>
      </c>
      <c r="J284" s="11">
        <f>+[1]モンスター計算!J287</f>
        <v>508</v>
      </c>
      <c r="K284" s="26">
        <f>+[1]モンスター計算!K287</f>
        <v>5.5E-2</v>
      </c>
      <c r="L284" s="11">
        <f>+[1]モンスター計算!L287</f>
        <v>1.5</v>
      </c>
      <c r="M284" s="26">
        <f>+[1]モンスター計算!M287</f>
        <v>1.85</v>
      </c>
      <c r="N284" s="10">
        <f>+[1]モンスター計算!N287</f>
        <v>0.87</v>
      </c>
      <c r="O284" s="11">
        <f>+[1]モンスター計算!O287</f>
        <v>2.35</v>
      </c>
      <c r="P284" s="26">
        <f>+[1]モンスター計算!P287</f>
        <v>-3.5000000000000003E-2</v>
      </c>
      <c r="Q284" s="10">
        <f>+[1]モンスター計算!Q287</f>
        <v>0.26500000000000001</v>
      </c>
      <c r="R284" s="10">
        <f>+[1]モンスター計算!R287</f>
        <v>6.5000000000000002E-2</v>
      </c>
      <c r="S284" s="10">
        <f>+[1]モンスター計算!S287</f>
        <v>6.5000000000000002E-2</v>
      </c>
      <c r="T284" s="10">
        <f>+[1]モンスター計算!T287</f>
        <v>6.5000000000000002E-2</v>
      </c>
      <c r="U284" s="10">
        <f>+[1]モンスター計算!U287</f>
        <v>6.5000000000000002E-2</v>
      </c>
      <c r="V284" s="11">
        <f>+[1]モンスター計算!V287</f>
        <v>4.2</v>
      </c>
      <c r="W284" s="29">
        <v>8</v>
      </c>
      <c r="X284" s="26" t="s">
        <v>109</v>
      </c>
      <c r="Y284" s="32" t="s">
        <v>87</v>
      </c>
      <c r="Z284" s="11">
        <v>1.2</v>
      </c>
      <c r="AA284" s="29">
        <v>5</v>
      </c>
      <c r="AB284" s="29">
        <f t="shared" si="8"/>
        <v>172</v>
      </c>
      <c r="AC284" s="46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29" t="s">
        <v>1195</v>
      </c>
      <c r="AI284" s="32" t="s">
        <v>1826</v>
      </c>
    </row>
    <row r="285" spans="1:35">
      <c r="A285" s="52" t="s">
        <v>800</v>
      </c>
      <c r="B285" s="13" t="s">
        <v>476</v>
      </c>
      <c r="C285" s="27" t="s">
        <v>44</v>
      </c>
      <c r="D285" s="13" t="s">
        <v>61</v>
      </c>
      <c r="E285" s="27">
        <f>+[1]モンスター計算!E288</f>
        <v>7232</v>
      </c>
      <c r="F285" s="5">
        <f>+[1]モンスター計算!F288</f>
        <v>1157</v>
      </c>
      <c r="G285" s="5">
        <f>+[1]モンスター計算!G288</f>
        <v>888</v>
      </c>
      <c r="H285" s="5">
        <f>+[1]モンスター計算!H288</f>
        <v>1973</v>
      </c>
      <c r="I285" s="5">
        <f>+[1]モンスター計算!I288</f>
        <v>600</v>
      </c>
      <c r="J285" s="13">
        <f>+[1]モンスター計算!J288</f>
        <v>706</v>
      </c>
      <c r="K285" s="27">
        <f>+[1]モンスター計算!K288</f>
        <v>0.05</v>
      </c>
      <c r="L285" s="13">
        <f>+[1]モンスター計算!L288</f>
        <v>1.5</v>
      </c>
      <c r="M285" s="27">
        <f>+[1]モンスター計算!M288</f>
        <v>2</v>
      </c>
      <c r="N285" s="5">
        <f>+[1]モンスター計算!N288</f>
        <v>1</v>
      </c>
      <c r="O285" s="13">
        <f>+[1]モンスター計算!O288</f>
        <v>2.5</v>
      </c>
      <c r="P285" s="27">
        <f>+[1]モンスター計算!P288</f>
        <v>0.18000000000000002</v>
      </c>
      <c r="Q285" s="5">
        <f>+[1]モンスター計算!Q288</f>
        <v>-0.12000000000000001</v>
      </c>
      <c r="R285" s="5">
        <f>+[1]モンスター計算!R288</f>
        <v>-0.02</v>
      </c>
      <c r="S285" s="5">
        <f>+[1]モンスター計算!S288</f>
        <v>-0.02</v>
      </c>
      <c r="T285" s="5">
        <f>+[1]モンスター計算!T288</f>
        <v>-0.02</v>
      </c>
      <c r="U285" s="5">
        <f>+[1]モンスター計算!U288</f>
        <v>-0.02</v>
      </c>
      <c r="V285" s="13">
        <f>+[1]モンスター計算!V288</f>
        <v>4</v>
      </c>
      <c r="W285" s="30">
        <v>8</v>
      </c>
      <c r="X285" s="27" t="s">
        <v>64</v>
      </c>
      <c r="Y285" s="33" t="s">
        <v>88</v>
      </c>
      <c r="Z285" s="13">
        <v>1.2</v>
      </c>
      <c r="AA285" s="30">
        <v>7</v>
      </c>
      <c r="AB285" s="30">
        <f t="shared" si="8"/>
        <v>191</v>
      </c>
      <c r="AC285" s="47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0" t="s">
        <v>1196</v>
      </c>
      <c r="AI285" s="33" t="s">
        <v>1826</v>
      </c>
    </row>
    <row r="286" spans="1:35">
      <c r="A286" s="52" t="s">
        <v>801</v>
      </c>
      <c r="B286" s="13" t="s">
        <v>477</v>
      </c>
      <c r="C286" s="27" t="s">
        <v>46</v>
      </c>
      <c r="D286" s="13" t="s">
        <v>61</v>
      </c>
      <c r="E286" s="27">
        <f>+[1]モンスター計算!E289</f>
        <v>9702</v>
      </c>
      <c r="F286" s="5">
        <f>+[1]モンスター計算!F289</f>
        <v>1350</v>
      </c>
      <c r="G286" s="5">
        <f>+[1]モンスター計算!G289</f>
        <v>617</v>
      </c>
      <c r="H286" s="5">
        <f>+[1]モンスター計算!H289</f>
        <v>1370</v>
      </c>
      <c r="I286" s="5">
        <f>+[1]モンスター計算!I289</f>
        <v>776</v>
      </c>
      <c r="J286" s="13">
        <f>+[1]モンスター計算!J289</f>
        <v>776</v>
      </c>
      <c r="K286" s="27">
        <f>+[1]モンスター計算!K289</f>
        <v>7.0000000000000007E-2</v>
      </c>
      <c r="L286" s="13">
        <f>+[1]モンスター計算!L289</f>
        <v>1.55</v>
      </c>
      <c r="M286" s="27">
        <f>+[1]モンスター計算!M289</f>
        <v>2.4</v>
      </c>
      <c r="N286" s="5">
        <f>+[1]モンスター計算!N289</f>
        <v>1</v>
      </c>
      <c r="O286" s="13">
        <f>+[1]モンスター計算!O289</f>
        <v>2.5</v>
      </c>
      <c r="P286" s="27">
        <f>+[1]モンスター計算!P289</f>
        <v>0.02</v>
      </c>
      <c r="Q286" s="5">
        <f>+[1]モンスター計算!Q289</f>
        <v>0.02</v>
      </c>
      <c r="R286" s="5">
        <f>+[1]モンスター計算!R289</f>
        <v>0.22</v>
      </c>
      <c r="S286" s="5">
        <f>+[1]モンスター計算!S289</f>
        <v>-0.08</v>
      </c>
      <c r="T286" s="5">
        <f>+[1]モンスター計算!T289</f>
        <v>0.02</v>
      </c>
      <c r="U286" s="5">
        <f>+[1]モンスター計算!U289</f>
        <v>0.02</v>
      </c>
      <c r="V286" s="13">
        <f>+[1]モンスター計算!V289</f>
        <v>4</v>
      </c>
      <c r="W286" s="30">
        <v>9</v>
      </c>
      <c r="X286" s="27" t="s">
        <v>66</v>
      </c>
      <c r="Y286" s="33" t="s">
        <v>89</v>
      </c>
      <c r="Z286" s="13">
        <v>1.22</v>
      </c>
      <c r="AA286" s="30">
        <v>10</v>
      </c>
      <c r="AB286" s="30">
        <f t="shared" si="8"/>
        <v>223</v>
      </c>
      <c r="AC286" s="47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0" t="s">
        <v>1197</v>
      </c>
      <c r="AI286" s="33" t="s">
        <v>1826</v>
      </c>
    </row>
    <row r="287" spans="1:35">
      <c r="A287" s="52" t="s">
        <v>802</v>
      </c>
      <c r="B287" s="13" t="s">
        <v>478</v>
      </c>
      <c r="C287" s="27" t="s">
        <v>44</v>
      </c>
      <c r="D287" s="13" t="s">
        <v>59</v>
      </c>
      <c r="E287" s="27">
        <f>+[1]モンスター計算!E290</f>
        <v>8114</v>
      </c>
      <c r="F287" s="5">
        <f>+[1]モンスター計算!F290</f>
        <v>514</v>
      </c>
      <c r="G287" s="5">
        <f>+[1]モンスター計算!G290</f>
        <v>1703</v>
      </c>
      <c r="H287" s="5">
        <f>+[1]モンスター計算!H290</f>
        <v>613</v>
      </c>
      <c r="I287" s="5">
        <f>+[1]モンスター計算!I290</f>
        <v>649</v>
      </c>
      <c r="J287" s="13">
        <f>+[1]モンスター計算!J290</f>
        <v>600</v>
      </c>
      <c r="K287" s="27">
        <f>+[1]モンスター計算!K290</f>
        <v>7.0000000000000007E-2</v>
      </c>
      <c r="L287" s="13">
        <f>+[1]モンスター計算!L290</f>
        <v>1.6</v>
      </c>
      <c r="M287" s="27">
        <f>+[1]モンスター計算!M290</f>
        <v>2.4500000000000002</v>
      </c>
      <c r="N287" s="5">
        <f>+[1]モンスター計算!N290</f>
        <v>0.94</v>
      </c>
      <c r="O287" s="13">
        <f>+[1]モンスター計算!O290</f>
        <v>2.73</v>
      </c>
      <c r="P287" s="27">
        <f>+[1]モンスター計算!P290</f>
        <v>0.16500000000000001</v>
      </c>
      <c r="Q287" s="5">
        <f>+[1]モンスター計算!Q290</f>
        <v>-0.13500000000000001</v>
      </c>
      <c r="R287" s="5">
        <f>+[1]モンスター計算!R290</f>
        <v>-3.5000000000000003E-2</v>
      </c>
      <c r="S287" s="5">
        <f>+[1]モンスター計算!S290</f>
        <v>-3.5000000000000003E-2</v>
      </c>
      <c r="T287" s="5">
        <f>+[1]モンスター計算!T290</f>
        <v>-3.5000000000000003E-2</v>
      </c>
      <c r="U287" s="5">
        <f>+[1]モンスター計算!U290</f>
        <v>-3.5000000000000003E-2</v>
      </c>
      <c r="V287" s="13">
        <f>+[1]モンスター計算!V290</f>
        <v>5.6</v>
      </c>
      <c r="W287" s="30">
        <v>10</v>
      </c>
      <c r="X287" s="27" t="s">
        <v>68</v>
      </c>
      <c r="Y287" s="33" t="s">
        <v>90</v>
      </c>
      <c r="Z287" s="13">
        <v>1.25</v>
      </c>
      <c r="AA287" s="30">
        <v>15</v>
      </c>
      <c r="AB287" s="30">
        <f t="shared" si="8"/>
        <v>287</v>
      </c>
      <c r="AC287" s="47">
        <f t="shared" si="9"/>
        <v>48</v>
      </c>
      <c r="AD287" s="27" t="s">
        <v>74</v>
      </c>
      <c r="AE287" s="5">
        <v>0</v>
      </c>
      <c r="AF287" s="5">
        <v>0</v>
      </c>
      <c r="AG287" s="13" t="b">
        <v>0</v>
      </c>
      <c r="AH287" s="30" t="s">
        <v>1198</v>
      </c>
      <c r="AI287" s="33" t="s">
        <v>1826</v>
      </c>
    </row>
    <row r="288" spans="1:35">
      <c r="A288" s="52" t="s">
        <v>803</v>
      </c>
      <c r="B288" s="13" t="s">
        <v>479</v>
      </c>
      <c r="C288" s="27" t="s">
        <v>45</v>
      </c>
      <c r="D288" s="13" t="s">
        <v>59</v>
      </c>
      <c r="E288" s="27">
        <f>+[1]モンスター計算!E291</f>
        <v>10584</v>
      </c>
      <c r="F288" s="5">
        <f>+[1]モンスター計算!F291</f>
        <v>640</v>
      </c>
      <c r="G288" s="5">
        <f>+[1]モンスター計算!G291</f>
        <v>1172</v>
      </c>
      <c r="H288" s="5">
        <f>+[1]モンスター計算!H291</f>
        <v>438</v>
      </c>
      <c r="I288" s="5">
        <f>+[1]モンスター計算!I291</f>
        <v>536</v>
      </c>
      <c r="J288" s="13">
        <f>+[1]モンスター計算!J291</f>
        <v>1482</v>
      </c>
      <c r="K288" s="27">
        <f>+[1]モンスター計算!K291</f>
        <v>0.05</v>
      </c>
      <c r="L288" s="13">
        <f>+[1]モンスター計算!L291</f>
        <v>1.47</v>
      </c>
      <c r="M288" s="27">
        <f>+[1]モンスター計算!M291</f>
        <v>2.4500000000000002</v>
      </c>
      <c r="N288" s="5">
        <f>+[1]モンスター計算!N291</f>
        <v>1</v>
      </c>
      <c r="O288" s="13">
        <f>+[1]モンスター計算!O291</f>
        <v>1.395</v>
      </c>
      <c r="P288" s="27">
        <f>+[1]モンスター計算!P291</f>
        <v>-3.5000000000000003E-2</v>
      </c>
      <c r="Q288" s="5">
        <f>+[1]モンスター計算!Q291</f>
        <v>0.26500000000000001</v>
      </c>
      <c r="R288" s="5">
        <f>+[1]モンスター計算!R291</f>
        <v>6.5000000000000002E-2</v>
      </c>
      <c r="S288" s="5">
        <f>+[1]モンスター計算!S291</f>
        <v>6.5000000000000002E-2</v>
      </c>
      <c r="T288" s="5">
        <f>+[1]モンスター計算!T291</f>
        <v>6.5000000000000002E-2</v>
      </c>
      <c r="U288" s="5">
        <f>+[1]モンスター計算!U291</f>
        <v>6.5000000000000002E-2</v>
      </c>
      <c r="V288" s="13">
        <f>+[1]モンスター計算!V291</f>
        <v>4.2</v>
      </c>
      <c r="W288" s="30">
        <v>11</v>
      </c>
      <c r="X288" s="27" t="s">
        <v>70</v>
      </c>
      <c r="Y288" s="33" t="s">
        <v>91</v>
      </c>
      <c r="Z288" s="13">
        <v>1.25</v>
      </c>
      <c r="AA288" s="30">
        <v>20</v>
      </c>
      <c r="AB288" s="30">
        <f t="shared" si="8"/>
        <v>334</v>
      </c>
      <c r="AC288" s="47">
        <f t="shared" si="9"/>
        <v>48</v>
      </c>
      <c r="AD288" s="27" t="s">
        <v>74</v>
      </c>
      <c r="AE288" s="5">
        <v>0</v>
      </c>
      <c r="AF288" s="5">
        <v>0</v>
      </c>
      <c r="AG288" s="13" t="b">
        <v>0</v>
      </c>
      <c r="AH288" s="30" t="s">
        <v>1199</v>
      </c>
      <c r="AI288" s="33" t="s">
        <v>1826</v>
      </c>
    </row>
    <row r="289" spans="1:35" ht="19.5" thickBot="1">
      <c r="A289" s="53" t="s">
        <v>804</v>
      </c>
      <c r="B289" s="16" t="s">
        <v>480</v>
      </c>
      <c r="C289" s="28" t="s">
        <v>47</v>
      </c>
      <c r="D289" s="16" t="s">
        <v>61</v>
      </c>
      <c r="E289" s="28">
        <f>+[1]モンスター計算!E292</f>
        <v>13230</v>
      </c>
      <c r="F289" s="15">
        <f>+[1]モンスター計算!F292</f>
        <v>1607</v>
      </c>
      <c r="G289" s="15">
        <f>+[1]モンスター計算!G292</f>
        <v>321</v>
      </c>
      <c r="H289" s="15">
        <f>+[1]モンスター計算!H292</f>
        <v>713</v>
      </c>
      <c r="I289" s="15">
        <f>+[1]モンスター計算!I292</f>
        <v>1058</v>
      </c>
      <c r="J289" s="16">
        <f>+[1]モンスター計算!J292</f>
        <v>988</v>
      </c>
      <c r="K289" s="28">
        <f>+[1]モンスター計算!K292</f>
        <v>0.1</v>
      </c>
      <c r="L289" s="16">
        <f>+[1]モンスター計算!L292</f>
        <v>1.75</v>
      </c>
      <c r="M289" s="28">
        <f>+[1]モンスター計算!M292</f>
        <v>2.4</v>
      </c>
      <c r="N289" s="15">
        <f>+[1]モンスター計算!N292</f>
        <v>1.2</v>
      </c>
      <c r="O289" s="16">
        <f>+[1]モンスター計算!O292</f>
        <v>3</v>
      </c>
      <c r="P289" s="28">
        <f>+[1]モンスター計算!P292</f>
        <v>0.08</v>
      </c>
      <c r="Q289" s="15">
        <f>+[1]モンスター計算!Q292</f>
        <v>0.08</v>
      </c>
      <c r="R289" s="15">
        <f>+[1]モンスター計算!R292</f>
        <v>0.08</v>
      </c>
      <c r="S289" s="15">
        <f>+[1]モンスター計算!S292</f>
        <v>0.08</v>
      </c>
      <c r="T289" s="15">
        <f>+[1]モンスター計算!T292</f>
        <v>0.28000000000000003</v>
      </c>
      <c r="U289" s="15">
        <f>+[1]モンスター計算!U292</f>
        <v>-2.0000000000000004E-2</v>
      </c>
      <c r="V289" s="16">
        <f>+[1]モンスター計算!V292</f>
        <v>4</v>
      </c>
      <c r="W289" s="31">
        <v>15</v>
      </c>
      <c r="X289" s="28" t="s">
        <v>72</v>
      </c>
      <c r="Y289" s="34" t="s">
        <v>92</v>
      </c>
      <c r="Z289" s="16">
        <v>1.3</v>
      </c>
      <c r="AA289" s="31">
        <v>40</v>
      </c>
      <c r="AB289" s="31">
        <f t="shared" si="8"/>
        <v>479</v>
      </c>
      <c r="AC289" s="48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1" t="s">
        <v>1200</v>
      </c>
      <c r="AI289" s="34" t="s">
        <v>1826</v>
      </c>
    </row>
    <row r="290" spans="1:35">
      <c r="A290" s="51" t="s">
        <v>805</v>
      </c>
      <c r="B290" s="11" t="s">
        <v>481</v>
      </c>
      <c r="C290" s="26" t="s">
        <v>45</v>
      </c>
      <c r="D290" s="11" t="s">
        <v>61</v>
      </c>
      <c r="E290" s="26">
        <f>+[1]モンスター計算!E293</f>
        <v>5336</v>
      </c>
      <c r="F290" s="10">
        <f>+[1]モンスター計算!F293</f>
        <v>2122</v>
      </c>
      <c r="G290" s="10">
        <f>+[1]モンスター計算!G293</f>
        <v>998</v>
      </c>
      <c r="H290" s="10">
        <f>+[1]モンスター計算!H293</f>
        <v>2771</v>
      </c>
      <c r="I290" s="10">
        <f>+[1]モンスター計算!I293</f>
        <v>1125</v>
      </c>
      <c r="J290" s="11">
        <f>+[1]モンスター計算!J293</f>
        <v>1746</v>
      </c>
      <c r="K290" s="26">
        <f>+[1]モンスター計算!K293</f>
        <v>0.04</v>
      </c>
      <c r="L290" s="11">
        <f>+[1]モンスター計算!L293</f>
        <v>1.38</v>
      </c>
      <c r="M290" s="26">
        <f>+[1]モンスター計算!M293</f>
        <v>2.2000000000000002</v>
      </c>
      <c r="N290" s="10">
        <f>+[1]モンスター計算!N293</f>
        <v>0.88</v>
      </c>
      <c r="O290" s="11">
        <f>+[1]モンスター計算!O293</f>
        <v>3.15</v>
      </c>
      <c r="P290" s="26">
        <f>+[1]モンスター計算!P293</f>
        <v>0.03</v>
      </c>
      <c r="Q290" s="10">
        <f>+[1]モンスター計算!Q293</f>
        <v>0.33</v>
      </c>
      <c r="R290" s="10">
        <f>+[1]モンスター計算!R293</f>
        <v>0.13</v>
      </c>
      <c r="S290" s="10">
        <f>+[1]モンスター計算!S293</f>
        <v>0.13</v>
      </c>
      <c r="T290" s="10">
        <f>+[1]モンスター計算!T293</f>
        <v>0.13</v>
      </c>
      <c r="U290" s="10">
        <f>+[1]モンスター計算!U293</f>
        <v>0.13</v>
      </c>
      <c r="V290" s="11">
        <f>+[1]モンスター計算!V293</f>
        <v>4.4800000000000004</v>
      </c>
      <c r="W290" s="29">
        <v>8</v>
      </c>
      <c r="X290" s="26" t="s">
        <v>109</v>
      </c>
      <c r="Y290" s="32" t="s">
        <v>87</v>
      </c>
      <c r="Z290" s="11">
        <v>1.2</v>
      </c>
      <c r="AA290" s="29">
        <v>5</v>
      </c>
      <c r="AB290" s="29">
        <f t="shared" si="8"/>
        <v>181</v>
      </c>
      <c r="AC290" s="46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29" t="s">
        <v>1201</v>
      </c>
      <c r="AI290" s="32" t="s">
        <v>1826</v>
      </c>
    </row>
    <row r="291" spans="1:35">
      <c r="A291" s="52" t="s">
        <v>806</v>
      </c>
      <c r="B291" s="13" t="s">
        <v>482</v>
      </c>
      <c r="C291" s="27" t="s">
        <v>44</v>
      </c>
      <c r="D291" s="13" t="s">
        <v>61</v>
      </c>
      <c r="E291" s="27">
        <f>+[1]モンスター計算!E294</f>
        <v>9702</v>
      </c>
      <c r="F291" s="5">
        <f>+[1]モンスター計算!F294</f>
        <v>2051</v>
      </c>
      <c r="G291" s="5">
        <f>+[1]モンスター計算!G294</f>
        <v>779</v>
      </c>
      <c r="H291" s="5">
        <f>+[1]モンスター計算!H294</f>
        <v>1730</v>
      </c>
      <c r="I291" s="5">
        <f>+[1]モンスター計算!I294</f>
        <v>776</v>
      </c>
      <c r="J291" s="13">
        <f>+[1]モンスター計算!J294</f>
        <v>931</v>
      </c>
      <c r="K291" s="27">
        <f>+[1]モンスター計算!K294</f>
        <v>0.06</v>
      </c>
      <c r="L291" s="13">
        <f>+[1]モンスター計算!L294</f>
        <v>1.4</v>
      </c>
      <c r="M291" s="27">
        <f>+[1]モンスター計算!M294</f>
        <v>2.1</v>
      </c>
      <c r="N291" s="5">
        <f>+[1]モンスター計算!N294</f>
        <v>0.95</v>
      </c>
      <c r="O291" s="13">
        <f>+[1]モンスター計算!O294</f>
        <v>2.875</v>
      </c>
      <c r="P291" s="27">
        <f>+[1]モンスター計算!P294</f>
        <v>0.23</v>
      </c>
      <c r="Q291" s="5">
        <f>+[1]モンスター計算!Q294</f>
        <v>-7.0000000000000007E-2</v>
      </c>
      <c r="R291" s="5">
        <f>+[1]モンスター計算!R294</f>
        <v>0.03</v>
      </c>
      <c r="S291" s="5">
        <f>+[1]モンスター計算!S294</f>
        <v>0.03</v>
      </c>
      <c r="T291" s="5">
        <f>+[1]モンスター計算!T294</f>
        <v>0.03</v>
      </c>
      <c r="U291" s="5">
        <f>+[1]モンスター計算!U294</f>
        <v>0.03</v>
      </c>
      <c r="V291" s="13">
        <f>+[1]モンスター計算!V294</f>
        <v>4.8</v>
      </c>
      <c r="W291" s="30">
        <v>8</v>
      </c>
      <c r="X291" s="27" t="s">
        <v>64</v>
      </c>
      <c r="Y291" s="33" t="s">
        <v>88</v>
      </c>
      <c r="Z291" s="13">
        <v>1.2</v>
      </c>
      <c r="AA291" s="30">
        <v>7</v>
      </c>
      <c r="AB291" s="30">
        <f t="shared" si="8"/>
        <v>201</v>
      </c>
      <c r="AC291" s="47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0" t="s">
        <v>1202</v>
      </c>
      <c r="AI291" s="33" t="s">
        <v>1826</v>
      </c>
    </row>
    <row r="292" spans="1:35">
      <c r="A292" s="52" t="s">
        <v>807</v>
      </c>
      <c r="B292" s="13" t="s">
        <v>483</v>
      </c>
      <c r="C292" s="27" t="s">
        <v>46</v>
      </c>
      <c r="D292" s="13" t="s">
        <v>61</v>
      </c>
      <c r="E292" s="27">
        <f>+[1]モンスター計算!E295</f>
        <v>9314</v>
      </c>
      <c r="F292" s="5">
        <f>+[1]モンスター計算!F295</f>
        <v>1556</v>
      </c>
      <c r="G292" s="5">
        <f>+[1]モンスター計算!G295</f>
        <v>515</v>
      </c>
      <c r="H292" s="5">
        <f>+[1]モンスター計算!H295</f>
        <v>1845</v>
      </c>
      <c r="I292" s="5">
        <f>+[1]モンスター計算!I295</f>
        <v>636</v>
      </c>
      <c r="J292" s="13">
        <f>+[1]モンスター計算!J295</f>
        <v>706</v>
      </c>
      <c r="K292" s="27">
        <f>+[1]モンスター計算!K295</f>
        <v>0.06</v>
      </c>
      <c r="L292" s="13">
        <f>+[1]モンスター計算!L295</f>
        <v>1.6</v>
      </c>
      <c r="M292" s="27">
        <f>+[1]モンスター計算!M295</f>
        <v>2.25</v>
      </c>
      <c r="N292" s="5">
        <f>+[1]モンスター計算!N295</f>
        <v>0.91</v>
      </c>
      <c r="O292" s="13">
        <f>+[1]モンスター計算!O295</f>
        <v>4.75</v>
      </c>
      <c r="P292" s="27">
        <f>+[1]モンスター計算!P295</f>
        <v>-0.02</v>
      </c>
      <c r="Q292" s="5">
        <f>+[1]モンスター計算!Q295</f>
        <v>-0.02</v>
      </c>
      <c r="R292" s="5">
        <f>+[1]モンスター計算!R295</f>
        <v>0.18000000000000002</v>
      </c>
      <c r="S292" s="5">
        <f>+[1]モンスター計算!S295</f>
        <v>-0.12000000000000001</v>
      </c>
      <c r="T292" s="5">
        <f>+[1]モンスター計算!T295</f>
        <v>-0.02</v>
      </c>
      <c r="U292" s="5">
        <f>+[1]モンスター計算!U295</f>
        <v>-0.02</v>
      </c>
      <c r="V292" s="13">
        <f>+[1]モンスター計算!V295</f>
        <v>6.6</v>
      </c>
      <c r="W292" s="30">
        <v>9</v>
      </c>
      <c r="X292" s="27" t="s">
        <v>66</v>
      </c>
      <c r="Y292" s="33" t="s">
        <v>89</v>
      </c>
      <c r="Z292" s="13">
        <v>1.22</v>
      </c>
      <c r="AA292" s="30">
        <v>10</v>
      </c>
      <c r="AB292" s="30">
        <f t="shared" si="8"/>
        <v>235</v>
      </c>
      <c r="AC292" s="47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0" t="s">
        <v>1203</v>
      </c>
      <c r="AI292" s="33" t="s">
        <v>1826</v>
      </c>
    </row>
    <row r="293" spans="1:35">
      <c r="A293" s="52" t="s">
        <v>808</v>
      </c>
      <c r="B293" s="13" t="s">
        <v>484</v>
      </c>
      <c r="C293" s="27" t="s">
        <v>44</v>
      </c>
      <c r="D293" s="13" t="s">
        <v>59</v>
      </c>
      <c r="E293" s="27">
        <f>+[1]モンスター計算!E296</f>
        <v>8440</v>
      </c>
      <c r="F293" s="5">
        <f>+[1]モンスター計算!F296</f>
        <v>453</v>
      </c>
      <c r="G293" s="5">
        <f>+[1]モンスター計算!G296</f>
        <v>1645</v>
      </c>
      <c r="H293" s="5">
        <f>+[1]モンスター計算!H296</f>
        <v>481</v>
      </c>
      <c r="I293" s="5">
        <f>+[1]モンスター計算!I296</f>
        <v>667</v>
      </c>
      <c r="J293" s="13">
        <f>+[1]モンスター計算!J296</f>
        <v>598</v>
      </c>
      <c r="K293" s="27">
        <f>+[1]モンスター計算!K296</f>
        <v>0.27</v>
      </c>
      <c r="L293" s="13">
        <f>+[1]モンスター計算!L296</f>
        <v>2.0299999999999998</v>
      </c>
      <c r="M293" s="27">
        <f>+[1]モンスター計算!M296</f>
        <v>2.75</v>
      </c>
      <c r="N293" s="5">
        <f>+[1]モンスター計算!N296</f>
        <v>1.04</v>
      </c>
      <c r="O293" s="13">
        <f>+[1]モンスター計算!O296</f>
        <v>1.53</v>
      </c>
      <c r="P293" s="27">
        <f>+[1]モンスター計算!P296</f>
        <v>0.14000000000000001</v>
      </c>
      <c r="Q293" s="5">
        <f>+[1]モンスター計算!Q296</f>
        <v>-0.16</v>
      </c>
      <c r="R293" s="5">
        <f>+[1]モンスター計算!R296</f>
        <v>-0.06</v>
      </c>
      <c r="S293" s="5">
        <f>+[1]モンスター計算!S296</f>
        <v>-0.06</v>
      </c>
      <c r="T293" s="5">
        <f>+[1]モンスター計算!T296</f>
        <v>-0.06</v>
      </c>
      <c r="U293" s="5">
        <f>+[1]モンスター計算!U296</f>
        <v>-0.06</v>
      </c>
      <c r="V293" s="13">
        <f>+[1]モンスター計算!V296</f>
        <v>4.2</v>
      </c>
      <c r="W293" s="30">
        <v>10</v>
      </c>
      <c r="X293" s="27" t="s">
        <v>68</v>
      </c>
      <c r="Y293" s="33" t="s">
        <v>90</v>
      </c>
      <c r="Z293" s="13">
        <v>1.25</v>
      </c>
      <c r="AA293" s="30">
        <v>15</v>
      </c>
      <c r="AB293" s="30">
        <f t="shared" si="8"/>
        <v>302</v>
      </c>
      <c r="AC293" s="47">
        <f t="shared" si="9"/>
        <v>49</v>
      </c>
      <c r="AD293" s="27" t="s">
        <v>74</v>
      </c>
      <c r="AE293" s="5">
        <v>0</v>
      </c>
      <c r="AF293" s="5">
        <v>0</v>
      </c>
      <c r="AG293" s="13" t="b">
        <v>0</v>
      </c>
      <c r="AH293" s="30" t="s">
        <v>1204</v>
      </c>
      <c r="AI293" s="33" t="s">
        <v>1826</v>
      </c>
    </row>
    <row r="294" spans="1:35">
      <c r="A294" s="52" t="s">
        <v>809</v>
      </c>
      <c r="B294" s="13" t="s">
        <v>485</v>
      </c>
      <c r="C294" s="27" t="s">
        <v>45</v>
      </c>
      <c r="D294" s="13" t="s">
        <v>59</v>
      </c>
      <c r="E294" s="27">
        <f>+[1]モンスター計算!E297</f>
        <v>8926</v>
      </c>
      <c r="F294" s="5">
        <f>+[1]モンスター計算!F297</f>
        <v>629</v>
      </c>
      <c r="G294" s="5">
        <f>+[1]モンスター計算!G297</f>
        <v>1830</v>
      </c>
      <c r="H294" s="5">
        <f>+[1]モンスター計算!H297</f>
        <v>824</v>
      </c>
      <c r="I294" s="5">
        <f>+[1]モンスター計算!I297</f>
        <v>737</v>
      </c>
      <c r="J294" s="13">
        <f>+[1]モンスター計算!J297</f>
        <v>815</v>
      </c>
      <c r="K294" s="27">
        <f>+[1]モンスター計算!K297</f>
        <v>0.05</v>
      </c>
      <c r="L294" s="13">
        <f>+[1]モンスター計算!L297</f>
        <v>1.5</v>
      </c>
      <c r="M294" s="27">
        <f>+[1]モンスター計算!M297</f>
        <v>2</v>
      </c>
      <c r="N294" s="5">
        <f>+[1]モンスター計算!N297</f>
        <v>1.05</v>
      </c>
      <c r="O294" s="13">
        <f>+[1]モンスター計算!O297</f>
        <v>1.2</v>
      </c>
      <c r="P294" s="27">
        <f>+[1]モンスター計算!P297</f>
        <v>-9.0000000000000011E-2</v>
      </c>
      <c r="Q294" s="5">
        <f>+[1]モンスター計算!Q297</f>
        <v>0.21000000000000002</v>
      </c>
      <c r="R294" s="5">
        <f>+[1]モンスター計算!R297</f>
        <v>0.01</v>
      </c>
      <c r="S294" s="5">
        <f>+[1]モンスター計算!S297</f>
        <v>0.01</v>
      </c>
      <c r="T294" s="5">
        <f>+[1]モンスター計算!T297</f>
        <v>0.01</v>
      </c>
      <c r="U294" s="5">
        <f>+[1]モンスター計算!U297</f>
        <v>0.01</v>
      </c>
      <c r="V294" s="13">
        <f>+[1]モンスター計算!V297</f>
        <v>4</v>
      </c>
      <c r="W294" s="30">
        <v>11</v>
      </c>
      <c r="X294" s="27" t="s">
        <v>70</v>
      </c>
      <c r="Y294" s="33" t="s">
        <v>91</v>
      </c>
      <c r="Z294" s="13">
        <v>1.25</v>
      </c>
      <c r="AA294" s="30">
        <v>20</v>
      </c>
      <c r="AB294" s="30">
        <f t="shared" si="8"/>
        <v>351</v>
      </c>
      <c r="AC294" s="47">
        <f t="shared" si="9"/>
        <v>49</v>
      </c>
      <c r="AD294" s="27" t="s">
        <v>74</v>
      </c>
      <c r="AE294" s="5">
        <v>0</v>
      </c>
      <c r="AF294" s="5">
        <v>0</v>
      </c>
      <c r="AG294" s="13" t="b">
        <v>0</v>
      </c>
      <c r="AH294" s="30" t="s">
        <v>1205</v>
      </c>
      <c r="AI294" s="33" t="s">
        <v>1826</v>
      </c>
    </row>
    <row r="295" spans="1:35" ht="19.5" thickBot="1">
      <c r="A295" s="53" t="s">
        <v>810</v>
      </c>
      <c r="B295" s="16" t="s">
        <v>486</v>
      </c>
      <c r="C295" s="28" t="s">
        <v>47</v>
      </c>
      <c r="D295" s="16" t="s">
        <v>61</v>
      </c>
      <c r="E295" s="28">
        <f>+[1]モンスター計算!E298</f>
        <v>6500</v>
      </c>
      <c r="F295" s="15">
        <f>+[1]モンスター計算!F298</f>
        <v>1556</v>
      </c>
      <c r="G295" s="15">
        <f>+[1]モンスター計算!G298</f>
        <v>720</v>
      </c>
      <c r="H295" s="15">
        <f>+[1]モンスター計算!H298</f>
        <v>3077</v>
      </c>
      <c r="I295" s="15">
        <f>+[1]モンスター計算!I298</f>
        <v>504</v>
      </c>
      <c r="J295" s="16">
        <f>+[1]モンスター計算!J298</f>
        <v>621</v>
      </c>
      <c r="K295" s="28">
        <f>+[1]モンスター計算!K298</f>
        <v>0.18</v>
      </c>
      <c r="L295" s="16">
        <f>+[1]モンスター計算!L298</f>
        <v>1.85</v>
      </c>
      <c r="M295" s="28">
        <f>+[1]モンスター計算!M298</f>
        <v>2.0499999999999998</v>
      </c>
      <c r="N295" s="15">
        <f>+[1]モンスター計算!N298</f>
        <v>0.75</v>
      </c>
      <c r="O295" s="16">
        <f>+[1]モンスター計算!O298</f>
        <v>4.45</v>
      </c>
      <c r="P295" s="28">
        <f>+[1]モンスター計算!P298</f>
        <v>-0.06</v>
      </c>
      <c r="Q295" s="15">
        <f>+[1]モンスター計算!Q298</f>
        <v>-0.06</v>
      </c>
      <c r="R295" s="15">
        <f>+[1]モンスター計算!R298</f>
        <v>-0.06</v>
      </c>
      <c r="S295" s="15">
        <f>+[1]モンスター計算!S298</f>
        <v>-0.06</v>
      </c>
      <c r="T295" s="15">
        <f>+[1]モンスター計算!T298</f>
        <v>0.14000000000000001</v>
      </c>
      <c r="U295" s="15">
        <f>+[1]モンスター計算!U298</f>
        <v>-0.16</v>
      </c>
      <c r="V295" s="16">
        <f>+[1]モンスター計算!V298</f>
        <v>5.6</v>
      </c>
      <c r="W295" s="31">
        <v>15</v>
      </c>
      <c r="X295" s="28" t="s">
        <v>72</v>
      </c>
      <c r="Y295" s="34" t="s">
        <v>92</v>
      </c>
      <c r="Z295" s="16">
        <v>1.3</v>
      </c>
      <c r="AA295" s="31">
        <v>40</v>
      </c>
      <c r="AB295" s="31">
        <f t="shared" si="8"/>
        <v>503</v>
      </c>
      <c r="AC295" s="48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1" t="s">
        <v>1206</v>
      </c>
      <c r="AI295" s="34" t="s">
        <v>1826</v>
      </c>
    </row>
    <row r="296" spans="1:35">
      <c r="A296" s="51" t="s">
        <v>811</v>
      </c>
      <c r="B296" s="11" t="s">
        <v>487</v>
      </c>
      <c r="C296" s="26" t="s">
        <v>45</v>
      </c>
      <c r="D296" s="11" t="s">
        <v>61</v>
      </c>
      <c r="E296" s="26">
        <f>+[1]モンスター計算!E299</f>
        <v>8324</v>
      </c>
      <c r="F296" s="10">
        <f>+[1]モンスター計算!F299</f>
        <v>1789</v>
      </c>
      <c r="G296" s="10">
        <f>+[1]モンスター計算!G299</f>
        <v>1015</v>
      </c>
      <c r="H296" s="10">
        <f>+[1]モンスター計算!H299</f>
        <v>2256</v>
      </c>
      <c r="I296" s="10">
        <f>+[1]モンスター計算!I299</f>
        <v>640</v>
      </c>
      <c r="J296" s="11">
        <f>+[1]モンスター計算!J299</f>
        <v>683</v>
      </c>
      <c r="K296" s="26">
        <f>+[1]モンスター計算!K299</f>
        <v>0.11</v>
      </c>
      <c r="L296" s="11">
        <f>+[1]モンスター計算!L299</f>
        <v>1.65</v>
      </c>
      <c r="M296" s="26">
        <f>+[1]モンスター計算!M299</f>
        <v>2.2000000000000002</v>
      </c>
      <c r="N296" s="10">
        <f>+[1]モンスター計算!N299</f>
        <v>1.1000000000000001</v>
      </c>
      <c r="O296" s="11">
        <f>+[1]モンスター計算!O299</f>
        <v>2.75</v>
      </c>
      <c r="P296" s="26">
        <f>+[1]モンスター計算!P299</f>
        <v>-0.14000000000000001</v>
      </c>
      <c r="Q296" s="10">
        <f>+[1]モンスター計算!Q299</f>
        <v>0.16</v>
      </c>
      <c r="R296" s="10">
        <f>+[1]モンスター計算!R299</f>
        <v>-0.04</v>
      </c>
      <c r="S296" s="10">
        <f>+[1]モンスター計算!S299</f>
        <v>-0.04</v>
      </c>
      <c r="T296" s="10">
        <f>+[1]モンスター計算!T299</f>
        <v>-0.04</v>
      </c>
      <c r="U296" s="10">
        <f>+[1]モンスター計算!U299</f>
        <v>-0.04</v>
      </c>
      <c r="V296" s="11">
        <f>+[1]モンスター計算!V299</f>
        <v>4.2</v>
      </c>
      <c r="W296" s="29">
        <v>8</v>
      </c>
      <c r="X296" s="26" t="s">
        <v>109</v>
      </c>
      <c r="Y296" s="32" t="s">
        <v>87</v>
      </c>
      <c r="Z296" s="11">
        <v>1.2</v>
      </c>
      <c r="AA296" s="29">
        <v>5</v>
      </c>
      <c r="AB296" s="29">
        <f t="shared" si="8"/>
        <v>191</v>
      </c>
      <c r="AC296" s="46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29" t="s">
        <v>1207</v>
      </c>
      <c r="AI296" s="32" t="s">
        <v>1826</v>
      </c>
    </row>
    <row r="297" spans="1:35">
      <c r="A297" s="52" t="s">
        <v>812</v>
      </c>
      <c r="B297" s="13" t="s">
        <v>488</v>
      </c>
      <c r="C297" s="27" t="s">
        <v>44</v>
      </c>
      <c r="D297" s="13" t="s">
        <v>61</v>
      </c>
      <c r="E297" s="27">
        <f>+[1]モンスター計算!E300</f>
        <v>18356</v>
      </c>
      <c r="F297" s="5">
        <f>+[1]モンスター計算!F300</f>
        <v>2101</v>
      </c>
      <c r="G297" s="5">
        <f>+[1]モンスター計算!G300</f>
        <v>443</v>
      </c>
      <c r="H297" s="5">
        <f>+[1]モンスター計算!H300</f>
        <v>1515</v>
      </c>
      <c r="I297" s="5">
        <f>+[1]モンスター計算!I300</f>
        <v>1400</v>
      </c>
      <c r="J297" s="13">
        <f>+[1]モンスター計算!J300</f>
        <v>1323</v>
      </c>
      <c r="K297" s="27">
        <f>+[1]モンスター計算!K300</f>
        <v>3.5000000000000003E-2</v>
      </c>
      <c r="L297" s="13">
        <f>+[1]モンスター計算!L300</f>
        <v>1.4</v>
      </c>
      <c r="M297" s="27">
        <f>+[1]モンスター計算!M300</f>
        <v>1.5</v>
      </c>
      <c r="N297" s="5">
        <f>+[1]モンスター計算!N300</f>
        <v>0.6</v>
      </c>
      <c r="O297" s="13">
        <f>+[1]モンスター計算!O300</f>
        <v>3.1</v>
      </c>
      <c r="P297" s="27">
        <f>+[1]モンスター計算!P300</f>
        <v>0.32</v>
      </c>
      <c r="Q297" s="5">
        <f>+[1]モンスター計算!Q300</f>
        <v>1.999999999999999E-2</v>
      </c>
      <c r="R297" s="5">
        <f>+[1]モンスター計算!R300</f>
        <v>0.12</v>
      </c>
      <c r="S297" s="5">
        <f>+[1]モンスター計算!S300</f>
        <v>0.12</v>
      </c>
      <c r="T297" s="5">
        <f>+[1]モンスター計算!T300</f>
        <v>0.12</v>
      </c>
      <c r="U297" s="5">
        <f>+[1]モンスター計算!U300</f>
        <v>0.12</v>
      </c>
      <c r="V297" s="13">
        <f>+[1]モンスター計算!V300</f>
        <v>4.12</v>
      </c>
      <c r="W297" s="30">
        <v>8</v>
      </c>
      <c r="X297" s="27" t="s">
        <v>64</v>
      </c>
      <c r="Y297" s="33" t="s">
        <v>88</v>
      </c>
      <c r="Z297" s="13">
        <v>1.2</v>
      </c>
      <c r="AA297" s="30">
        <v>7</v>
      </c>
      <c r="AB297" s="30">
        <f t="shared" si="8"/>
        <v>212</v>
      </c>
      <c r="AC297" s="47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0" t="s">
        <v>1208</v>
      </c>
      <c r="AI297" s="33" t="s">
        <v>1826</v>
      </c>
    </row>
    <row r="298" spans="1:35">
      <c r="A298" s="52" t="s">
        <v>813</v>
      </c>
      <c r="B298" s="13" t="s">
        <v>489</v>
      </c>
      <c r="C298" s="27" t="s">
        <v>46</v>
      </c>
      <c r="D298" s="13" t="s">
        <v>61</v>
      </c>
      <c r="E298" s="27">
        <f>+[1]モンスター計算!E301</f>
        <v>10672</v>
      </c>
      <c r="F298" s="5">
        <f>+[1]モンスター計算!F301</f>
        <v>1867</v>
      </c>
      <c r="G298" s="5">
        <f>+[1]モンスター計算!G301</f>
        <v>602</v>
      </c>
      <c r="H298" s="5">
        <f>+[1]モンスター計算!H301</f>
        <v>1912</v>
      </c>
      <c r="I298" s="5">
        <f>+[1]モンスター計算!I301</f>
        <v>820</v>
      </c>
      <c r="J298" s="13">
        <f>+[1]モンスター計算!J301</f>
        <v>871</v>
      </c>
      <c r="K298" s="27">
        <f>+[1]モンスター計算!K301</f>
        <v>4.4999999999999998E-2</v>
      </c>
      <c r="L298" s="13">
        <f>+[1]モンスター計算!L301</f>
        <v>1.4</v>
      </c>
      <c r="M298" s="27">
        <f>+[1]モンスター計算!M301</f>
        <v>2.0499999999999998</v>
      </c>
      <c r="N298" s="5">
        <f>+[1]モンスター計算!N301</f>
        <v>0.92</v>
      </c>
      <c r="O298" s="13">
        <f>+[1]モンスター計算!O301</f>
        <v>2.6749999999999998</v>
      </c>
      <c r="P298" s="27">
        <f>+[1]モンスター計算!P301</f>
        <v>0.19</v>
      </c>
      <c r="Q298" s="5">
        <f>+[1]モンスター計算!Q301</f>
        <v>0.19</v>
      </c>
      <c r="R298" s="5">
        <f>+[1]モンスター計算!R301</f>
        <v>0.39</v>
      </c>
      <c r="S298" s="5">
        <f>+[1]モンスター計算!S301</f>
        <v>0.09</v>
      </c>
      <c r="T298" s="5">
        <f>+[1]モンスター計算!T301</f>
        <v>0.19</v>
      </c>
      <c r="U298" s="5">
        <f>+[1]モンスター計算!U301</f>
        <v>0.19</v>
      </c>
      <c r="V298" s="13">
        <f>+[1]モンスター計算!V301</f>
        <v>4</v>
      </c>
      <c r="W298" s="30">
        <v>9</v>
      </c>
      <c r="X298" s="27" t="s">
        <v>66</v>
      </c>
      <c r="Y298" s="33" t="s">
        <v>89</v>
      </c>
      <c r="Z298" s="13">
        <v>1.22</v>
      </c>
      <c r="AA298" s="30">
        <v>10</v>
      </c>
      <c r="AB298" s="30">
        <f t="shared" si="8"/>
        <v>247</v>
      </c>
      <c r="AC298" s="47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0" t="s">
        <v>1209</v>
      </c>
      <c r="AI298" s="33" t="s">
        <v>1826</v>
      </c>
    </row>
    <row r="299" spans="1:35">
      <c r="A299" s="52" t="s">
        <v>814</v>
      </c>
      <c r="B299" s="13" t="s">
        <v>490</v>
      </c>
      <c r="C299" s="27" t="s">
        <v>44</v>
      </c>
      <c r="D299" s="13" t="s">
        <v>59</v>
      </c>
      <c r="E299" s="27">
        <f>+[1]モンスター計算!E302</f>
        <v>14407</v>
      </c>
      <c r="F299" s="5">
        <f>+[1]モンスター計算!F302</f>
        <v>622</v>
      </c>
      <c r="G299" s="5">
        <f>+[1]モンスター計算!G302</f>
        <v>1252</v>
      </c>
      <c r="H299" s="5">
        <f>+[1]モンスター計算!H302</f>
        <v>563</v>
      </c>
      <c r="I299" s="5">
        <f>+[1]モンスター計算!I302</f>
        <v>1195</v>
      </c>
      <c r="J299" s="13">
        <f>+[1]モンスター計算!J302</f>
        <v>854</v>
      </c>
      <c r="K299" s="27">
        <f>+[1]モンスター計算!K302</f>
        <v>0.08</v>
      </c>
      <c r="L299" s="13">
        <f>+[1]モンスター計算!L302</f>
        <v>1.6</v>
      </c>
      <c r="M299" s="27">
        <f>+[1]モンスター計算!M302</f>
        <v>2.7</v>
      </c>
      <c r="N299" s="5">
        <f>+[1]モンスター計算!N302</f>
        <v>1.05</v>
      </c>
      <c r="O299" s="13">
        <f>+[1]モンスター計算!O302</f>
        <v>1.2</v>
      </c>
      <c r="P299" s="27">
        <f>+[1]モンスター計算!P302</f>
        <v>0.26500000000000001</v>
      </c>
      <c r="Q299" s="5">
        <f>+[1]モンスター計算!Q302</f>
        <v>-3.5000000000000003E-2</v>
      </c>
      <c r="R299" s="5">
        <f>+[1]モンスター計算!R302</f>
        <v>6.5000000000000002E-2</v>
      </c>
      <c r="S299" s="5">
        <f>+[1]モンスター計算!S302</f>
        <v>6.5000000000000002E-2</v>
      </c>
      <c r="T299" s="5">
        <f>+[1]モンスター計算!T302</f>
        <v>6.5000000000000002E-2</v>
      </c>
      <c r="U299" s="5">
        <f>+[1]モンスター計算!U302</f>
        <v>6.5000000000000002E-2</v>
      </c>
      <c r="V299" s="13">
        <f>+[1]モンスター計算!V302</f>
        <v>4</v>
      </c>
      <c r="W299" s="30">
        <v>10</v>
      </c>
      <c r="X299" s="27" t="s">
        <v>68</v>
      </c>
      <c r="Y299" s="33" t="s">
        <v>90</v>
      </c>
      <c r="Z299" s="13">
        <v>1.25</v>
      </c>
      <c r="AA299" s="30">
        <v>15</v>
      </c>
      <c r="AB299" s="30">
        <f t="shared" si="8"/>
        <v>318</v>
      </c>
      <c r="AC299" s="47">
        <f t="shared" si="9"/>
        <v>50</v>
      </c>
      <c r="AD299" s="27" t="s">
        <v>74</v>
      </c>
      <c r="AE299" s="5">
        <v>0</v>
      </c>
      <c r="AF299" s="5">
        <v>0</v>
      </c>
      <c r="AG299" s="13" t="b">
        <v>0</v>
      </c>
      <c r="AH299" s="30" t="s">
        <v>1210</v>
      </c>
      <c r="AI299" s="33" t="s">
        <v>1826</v>
      </c>
    </row>
    <row r="300" spans="1:35">
      <c r="A300" s="52" t="s">
        <v>815</v>
      </c>
      <c r="B300" s="13" t="s">
        <v>491</v>
      </c>
      <c r="C300" s="27" t="s">
        <v>45</v>
      </c>
      <c r="D300" s="13" t="s">
        <v>59</v>
      </c>
      <c r="E300" s="27">
        <f>+[1]モンスター計算!E303</f>
        <v>8538</v>
      </c>
      <c r="F300" s="5">
        <f>+[1]モンスター計算!F303</f>
        <v>519</v>
      </c>
      <c r="G300" s="5">
        <f>+[1]モンスター計算!G303</f>
        <v>2108</v>
      </c>
      <c r="H300" s="5">
        <f>+[1]モンスター計算!H303</f>
        <v>721</v>
      </c>
      <c r="I300" s="5">
        <f>+[1]モンスター計算!I303</f>
        <v>700</v>
      </c>
      <c r="J300" s="13">
        <f>+[1]モンスター計算!J303</f>
        <v>649</v>
      </c>
      <c r="K300" s="27">
        <f>+[1]モンスター計算!K303</f>
        <v>0.13</v>
      </c>
      <c r="L300" s="13">
        <f>+[1]モンスター計算!L303</f>
        <v>1.7</v>
      </c>
      <c r="M300" s="27">
        <f>+[1]モンスター計算!M303</f>
        <v>3</v>
      </c>
      <c r="N300" s="5">
        <f>+[1]モンスター計算!N303</f>
        <v>1.06</v>
      </c>
      <c r="O300" s="13">
        <f>+[1]モンスター計算!O303</f>
        <v>2.4300000000000002</v>
      </c>
      <c r="P300" s="27">
        <f>+[1]モンスター計算!P303</f>
        <v>-0.14500000000000002</v>
      </c>
      <c r="Q300" s="5">
        <f>+[1]モンスター計算!Q303</f>
        <v>0.15500000000000003</v>
      </c>
      <c r="R300" s="5">
        <f>+[1]モンスター計算!R303</f>
        <v>-4.4999999999999998E-2</v>
      </c>
      <c r="S300" s="5">
        <f>+[1]モンスター計算!S303</f>
        <v>-4.4999999999999998E-2</v>
      </c>
      <c r="T300" s="5">
        <f>+[1]モンスター計算!T303</f>
        <v>-4.4999999999999998E-2</v>
      </c>
      <c r="U300" s="5">
        <f>+[1]モンスター計算!U303</f>
        <v>-4.4999999999999998E-2</v>
      </c>
      <c r="V300" s="13">
        <f>+[1]モンスター計算!V303</f>
        <v>5.2</v>
      </c>
      <c r="W300" s="30">
        <v>11</v>
      </c>
      <c r="X300" s="27" t="s">
        <v>70</v>
      </c>
      <c r="Y300" s="33" t="s">
        <v>91</v>
      </c>
      <c r="Z300" s="13">
        <v>1.25</v>
      </c>
      <c r="AA300" s="30">
        <v>20</v>
      </c>
      <c r="AB300" s="30">
        <f t="shared" si="8"/>
        <v>369</v>
      </c>
      <c r="AC300" s="47">
        <f t="shared" si="9"/>
        <v>50</v>
      </c>
      <c r="AD300" s="27" t="s">
        <v>74</v>
      </c>
      <c r="AE300" s="5">
        <v>0</v>
      </c>
      <c r="AF300" s="5">
        <v>0</v>
      </c>
      <c r="AG300" s="13" t="b">
        <v>0</v>
      </c>
      <c r="AH300" s="30" t="s">
        <v>1211</v>
      </c>
      <c r="AI300" s="33" t="s">
        <v>1826</v>
      </c>
    </row>
    <row r="301" spans="1:35" ht="19.5" thickBot="1">
      <c r="A301" s="53" t="s">
        <v>816</v>
      </c>
      <c r="B301" s="16" t="s">
        <v>492</v>
      </c>
      <c r="C301" s="28" t="s">
        <v>47</v>
      </c>
      <c r="D301" s="16" t="s">
        <v>61</v>
      </c>
      <c r="E301" s="28">
        <f>+[1]モンスター計算!E304</f>
        <v>7790</v>
      </c>
      <c r="F301" s="15">
        <f>+[1]モンスター計算!F304</f>
        <v>1836</v>
      </c>
      <c r="G301" s="15">
        <f>+[1]モンスター計算!G304</f>
        <v>601</v>
      </c>
      <c r="H301" s="15">
        <f>+[1]モンスター計算!H304</f>
        <v>2383</v>
      </c>
      <c r="I301" s="15">
        <f>+[1]モンスター計算!I304</f>
        <v>657</v>
      </c>
      <c r="J301" s="16">
        <f>+[1]モンスター計算!J304</f>
        <v>726</v>
      </c>
      <c r="K301" s="28">
        <f>+[1]モンスター計算!K304</f>
        <v>0.26</v>
      </c>
      <c r="L301" s="16">
        <f>+[1]モンスター計算!L304</f>
        <v>1.95</v>
      </c>
      <c r="M301" s="28">
        <f>+[1]モンスター計算!M304</f>
        <v>2.75</v>
      </c>
      <c r="N301" s="15">
        <f>+[1]モンスター計算!N304</f>
        <v>0.95</v>
      </c>
      <c r="O301" s="16">
        <f>+[1]モンスター計算!O304</f>
        <v>2.8</v>
      </c>
      <c r="P301" s="28">
        <f>+[1]モンスター計算!P304</f>
        <v>-0.05</v>
      </c>
      <c r="Q301" s="15">
        <f>+[1]モンスター計算!Q304</f>
        <v>-0.05</v>
      </c>
      <c r="R301" s="15">
        <f>+[1]モンスター計算!R304</f>
        <v>-0.05</v>
      </c>
      <c r="S301" s="15">
        <f>+[1]モンスター計算!S304</f>
        <v>-0.05</v>
      </c>
      <c r="T301" s="15">
        <f>+[1]モンスター計算!T304</f>
        <v>0.15000000000000002</v>
      </c>
      <c r="U301" s="15">
        <f>+[1]モンスター計算!U304</f>
        <v>-0.15000000000000002</v>
      </c>
      <c r="V301" s="16">
        <f>+[1]モンスター計算!V304</f>
        <v>4.4000000000000004</v>
      </c>
      <c r="W301" s="31">
        <v>15</v>
      </c>
      <c r="X301" s="28" t="s">
        <v>72</v>
      </c>
      <c r="Y301" s="34" t="s">
        <v>92</v>
      </c>
      <c r="Z301" s="16">
        <v>1.3</v>
      </c>
      <c r="AA301" s="31">
        <v>40</v>
      </c>
      <c r="AB301" s="31">
        <f t="shared" si="8"/>
        <v>529</v>
      </c>
      <c r="AC301" s="48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1" t="s">
        <v>1212</v>
      </c>
      <c r="AI301" s="34" t="s">
        <v>1826</v>
      </c>
    </row>
    <row r="302" spans="1:35">
      <c r="A302" s="51" t="s">
        <v>817</v>
      </c>
      <c r="B302" s="11" t="s">
        <v>493</v>
      </c>
      <c r="C302" s="26" t="s">
        <v>45</v>
      </c>
      <c r="D302" s="11" t="s">
        <v>61</v>
      </c>
      <c r="E302" s="26">
        <f>+[1]モンスター計算!E305</f>
        <v>6809</v>
      </c>
      <c r="F302" s="10">
        <f>+[1]モンスター計算!F305</f>
        <v>1335</v>
      </c>
      <c r="G302" s="10">
        <f>+[1]モンスター計算!G305</f>
        <v>669</v>
      </c>
      <c r="H302" s="10">
        <f>+[1]モンスター計算!H305</f>
        <v>3099</v>
      </c>
      <c r="I302" s="10">
        <f>+[1]モンスター計算!I305</f>
        <v>601</v>
      </c>
      <c r="J302" s="11">
        <f>+[1]モンスター計算!J305</f>
        <v>610</v>
      </c>
      <c r="K302" s="26">
        <f>+[1]モンスター計算!K305</f>
        <v>0.08</v>
      </c>
      <c r="L302" s="11">
        <f>+[1]モンスター計算!L305</f>
        <v>1.55</v>
      </c>
      <c r="M302" s="26">
        <f>+[1]モンスター計算!M305</f>
        <v>4.2</v>
      </c>
      <c r="N302" s="10">
        <f>+[1]モンスター計算!N305</f>
        <v>1.3</v>
      </c>
      <c r="O302" s="11">
        <f>+[1]モンスター計算!O305</f>
        <v>2.5</v>
      </c>
      <c r="P302" s="26">
        <f>+[1]モンスター計算!P305</f>
        <v>-0.19</v>
      </c>
      <c r="Q302" s="10">
        <f>+[1]モンスター計算!Q305</f>
        <v>0.11000000000000001</v>
      </c>
      <c r="R302" s="10">
        <f>+[1]モンスター計算!R305</f>
        <v>-0.09</v>
      </c>
      <c r="S302" s="10">
        <f>+[1]モンスター計算!S305</f>
        <v>-0.09</v>
      </c>
      <c r="T302" s="10">
        <f>+[1]モンスター計算!T305</f>
        <v>-0.09</v>
      </c>
      <c r="U302" s="10">
        <f>+[1]モンスター計算!U305</f>
        <v>-0.09</v>
      </c>
      <c r="V302" s="11">
        <f>+[1]モンスター計算!V305</f>
        <v>4.2</v>
      </c>
      <c r="W302" s="29">
        <v>8</v>
      </c>
      <c r="X302" s="26" t="s">
        <v>109</v>
      </c>
      <c r="Y302" s="32" t="s">
        <v>87</v>
      </c>
      <c r="Z302" s="11">
        <v>1.2</v>
      </c>
      <c r="AA302" s="29">
        <v>5</v>
      </c>
      <c r="AB302" s="29">
        <f t="shared" si="8"/>
        <v>201</v>
      </c>
      <c r="AC302" s="46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29" t="s">
        <v>1213</v>
      </c>
      <c r="AI302" s="32" t="s">
        <v>1826</v>
      </c>
    </row>
    <row r="303" spans="1:35">
      <c r="A303" s="52" t="s">
        <v>818</v>
      </c>
      <c r="B303" s="13" t="s">
        <v>494</v>
      </c>
      <c r="C303" s="27" t="s">
        <v>44</v>
      </c>
      <c r="D303" s="13" t="s">
        <v>61</v>
      </c>
      <c r="E303" s="27">
        <f>+[1]モンスター計算!E306</f>
        <v>13148</v>
      </c>
      <c r="F303" s="5">
        <f>+[1]モンスター計算!F306</f>
        <v>2311</v>
      </c>
      <c r="G303" s="5">
        <f>+[1]モンスター計算!G306</f>
        <v>579</v>
      </c>
      <c r="H303" s="5">
        <f>+[1]モンスター計算!H306</f>
        <v>1951</v>
      </c>
      <c r="I303" s="5">
        <f>+[1]モンスター計算!I306</f>
        <v>1831</v>
      </c>
      <c r="J303" s="13">
        <f>+[1]モンスター計算!J306</f>
        <v>676</v>
      </c>
      <c r="K303" s="27">
        <f>+[1]モンスター計算!K306</f>
        <v>5.5E-2</v>
      </c>
      <c r="L303" s="13">
        <f>+[1]モンスター計算!L306</f>
        <v>1.5</v>
      </c>
      <c r="M303" s="27">
        <f>+[1]モンスター計算!M306</f>
        <v>1.85</v>
      </c>
      <c r="N303" s="5">
        <f>+[1]モンスター計算!N306</f>
        <v>0.87</v>
      </c>
      <c r="O303" s="13">
        <f>+[1]モンスター計算!O306</f>
        <v>2.35</v>
      </c>
      <c r="P303" s="27">
        <f>+[1]モンスター計算!P306</f>
        <v>0.26500000000000001</v>
      </c>
      <c r="Q303" s="5">
        <f>+[1]モンスター計算!Q306</f>
        <v>-3.5000000000000003E-2</v>
      </c>
      <c r="R303" s="5">
        <f>+[1]モンスター計算!R306</f>
        <v>6.5000000000000002E-2</v>
      </c>
      <c r="S303" s="5">
        <f>+[1]モンスター計算!S306</f>
        <v>6.5000000000000002E-2</v>
      </c>
      <c r="T303" s="5">
        <f>+[1]モンスター計算!T306</f>
        <v>6.5000000000000002E-2</v>
      </c>
      <c r="U303" s="5">
        <f>+[1]モンスター計算!U306</f>
        <v>6.5000000000000002E-2</v>
      </c>
      <c r="V303" s="13">
        <f>+[1]モンスター計算!V306</f>
        <v>4.2</v>
      </c>
      <c r="W303" s="30">
        <v>8</v>
      </c>
      <c r="X303" s="27" t="s">
        <v>64</v>
      </c>
      <c r="Y303" s="33" t="s">
        <v>88</v>
      </c>
      <c r="Z303" s="13">
        <v>1.2</v>
      </c>
      <c r="AA303" s="30">
        <v>7</v>
      </c>
      <c r="AB303" s="30">
        <f t="shared" si="8"/>
        <v>223</v>
      </c>
      <c r="AC303" s="47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0" t="s">
        <v>1214</v>
      </c>
      <c r="AI303" s="33" t="s">
        <v>1826</v>
      </c>
    </row>
    <row r="304" spans="1:35">
      <c r="A304" s="52" t="s">
        <v>819</v>
      </c>
      <c r="B304" s="13" t="s">
        <v>495</v>
      </c>
      <c r="C304" s="27" t="s">
        <v>46</v>
      </c>
      <c r="D304" s="13" t="s">
        <v>61</v>
      </c>
      <c r="E304" s="27">
        <f>+[1]モンスター計算!E307</f>
        <v>9626</v>
      </c>
      <c r="F304" s="5">
        <f>+[1]モンスター計算!F307</f>
        <v>1540</v>
      </c>
      <c r="G304" s="5">
        <f>+[1]モンスター計算!G307</f>
        <v>1182</v>
      </c>
      <c r="H304" s="5">
        <f>+[1]モンスター計算!H307</f>
        <v>2626</v>
      </c>
      <c r="I304" s="5">
        <f>+[1]モンスター計算!I307</f>
        <v>798</v>
      </c>
      <c r="J304" s="13">
        <f>+[1]モンスター計算!J307</f>
        <v>939</v>
      </c>
      <c r="K304" s="27">
        <f>+[1]モンスター計算!K307</f>
        <v>0.05</v>
      </c>
      <c r="L304" s="13">
        <f>+[1]モンスター計算!L307</f>
        <v>1.5</v>
      </c>
      <c r="M304" s="27">
        <f>+[1]モンスター計算!M307</f>
        <v>2</v>
      </c>
      <c r="N304" s="5">
        <f>+[1]モンスター計算!N307</f>
        <v>1</v>
      </c>
      <c r="O304" s="13">
        <f>+[1]モンスター計算!O307</f>
        <v>2.5</v>
      </c>
      <c r="P304" s="27">
        <f>+[1]モンスター計算!P307</f>
        <v>-0.02</v>
      </c>
      <c r="Q304" s="5">
        <f>+[1]モンスター計算!Q307</f>
        <v>-0.02</v>
      </c>
      <c r="R304" s="5">
        <f>+[1]モンスター計算!R307</f>
        <v>0.18000000000000002</v>
      </c>
      <c r="S304" s="5">
        <f>+[1]モンスター計算!S307</f>
        <v>-0.12000000000000001</v>
      </c>
      <c r="T304" s="5">
        <f>+[1]モンスター計算!T307</f>
        <v>-0.02</v>
      </c>
      <c r="U304" s="5">
        <f>+[1]モンスター計算!U307</f>
        <v>-0.02</v>
      </c>
      <c r="V304" s="13">
        <f>+[1]モンスター計算!V307</f>
        <v>4</v>
      </c>
      <c r="W304" s="30">
        <v>9</v>
      </c>
      <c r="X304" s="27" t="s">
        <v>66</v>
      </c>
      <c r="Y304" s="33" t="s">
        <v>89</v>
      </c>
      <c r="Z304" s="13">
        <v>1.22</v>
      </c>
      <c r="AA304" s="30">
        <v>10</v>
      </c>
      <c r="AB304" s="30">
        <f t="shared" si="8"/>
        <v>260</v>
      </c>
      <c r="AC304" s="47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0" t="s">
        <v>1215</v>
      </c>
      <c r="AI304" s="33" t="s">
        <v>1826</v>
      </c>
    </row>
    <row r="305" spans="1:35">
      <c r="A305" s="52" t="s">
        <v>820</v>
      </c>
      <c r="B305" s="13" t="s">
        <v>496</v>
      </c>
      <c r="C305" s="27" t="s">
        <v>44</v>
      </c>
      <c r="D305" s="13" t="s">
        <v>59</v>
      </c>
      <c r="E305" s="27">
        <f>+[1]モンスター計算!E308</f>
        <v>14909</v>
      </c>
      <c r="F305" s="5">
        <f>+[1]モンスター計算!F308</f>
        <v>532</v>
      </c>
      <c r="G305" s="5">
        <f>+[1]モンスター計算!G308</f>
        <v>2961</v>
      </c>
      <c r="H305" s="5">
        <f>+[1]モンスター計算!H308</f>
        <v>866</v>
      </c>
      <c r="I305" s="5">
        <f>+[1]モンスター計算!I308</f>
        <v>986</v>
      </c>
      <c r="J305" s="13">
        <f>+[1]モンスター計算!J308</f>
        <v>826</v>
      </c>
      <c r="K305" s="27">
        <f>+[1]モンスター計算!K308</f>
        <v>0.06</v>
      </c>
      <c r="L305" s="13">
        <f>+[1]モンスター計算!L308</f>
        <v>2.15</v>
      </c>
      <c r="M305" s="27">
        <f>+[1]モンスター計算!M308</f>
        <v>1.65</v>
      </c>
      <c r="N305" s="5">
        <f>+[1]モンスター計算!N308</f>
        <v>0.53</v>
      </c>
      <c r="O305" s="13">
        <f>+[1]モンスター計算!O308</f>
        <v>1.86</v>
      </c>
      <c r="P305" s="27">
        <f>+[1]モンスター計算!P308</f>
        <v>0.17500000000000002</v>
      </c>
      <c r="Q305" s="5">
        <f>+[1]モンスター計算!Q308</f>
        <v>-0.125</v>
      </c>
      <c r="R305" s="5">
        <f>+[1]モンスター計算!R308</f>
        <v>-2.5000000000000001E-2</v>
      </c>
      <c r="S305" s="5">
        <f>+[1]モンスター計算!S308</f>
        <v>-2.5000000000000001E-2</v>
      </c>
      <c r="T305" s="5">
        <f>+[1]モンスター計算!T308</f>
        <v>-2.5000000000000001E-2</v>
      </c>
      <c r="U305" s="5">
        <f>+[1]モンスター計算!U308</f>
        <v>-2.5000000000000001E-2</v>
      </c>
      <c r="V305" s="13">
        <f>+[1]モンスター計算!V308</f>
        <v>4.4000000000000004</v>
      </c>
      <c r="W305" s="30">
        <v>10</v>
      </c>
      <c r="X305" s="27" t="s">
        <v>68</v>
      </c>
      <c r="Y305" s="33" t="s">
        <v>90</v>
      </c>
      <c r="Z305" s="13">
        <v>1.25</v>
      </c>
      <c r="AA305" s="30">
        <v>15</v>
      </c>
      <c r="AB305" s="30">
        <f t="shared" si="8"/>
        <v>334</v>
      </c>
      <c r="AC305" s="47">
        <f t="shared" si="9"/>
        <v>51</v>
      </c>
      <c r="AD305" s="27" t="s">
        <v>74</v>
      </c>
      <c r="AE305" s="5">
        <v>0</v>
      </c>
      <c r="AF305" s="5">
        <v>0</v>
      </c>
      <c r="AG305" s="13" t="b">
        <v>0</v>
      </c>
      <c r="AH305" s="30" t="s">
        <v>1216</v>
      </c>
      <c r="AI305" s="33" t="s">
        <v>1826</v>
      </c>
    </row>
    <row r="306" spans="1:35">
      <c r="A306" s="52" t="s">
        <v>821</v>
      </c>
      <c r="B306" s="13" t="s">
        <v>497</v>
      </c>
      <c r="C306" s="27" t="s">
        <v>45</v>
      </c>
      <c r="D306" s="13" t="s">
        <v>59</v>
      </c>
      <c r="E306" s="27">
        <f>+[1]モンスター計算!E309</f>
        <v>10800</v>
      </c>
      <c r="F306" s="5">
        <f>+[1]モンスター計算!F309</f>
        <v>685</v>
      </c>
      <c r="G306" s="5">
        <f>+[1]モンスター計算!G309</f>
        <v>2267</v>
      </c>
      <c r="H306" s="5">
        <f>+[1]モンスター計算!H309</f>
        <v>816</v>
      </c>
      <c r="I306" s="5">
        <f>+[1]モンスター計算!I309</f>
        <v>864</v>
      </c>
      <c r="J306" s="13">
        <f>+[1]モンスター計算!J309</f>
        <v>798</v>
      </c>
      <c r="K306" s="27">
        <f>+[1]モンスター計算!K309</f>
        <v>7.0000000000000007E-2</v>
      </c>
      <c r="L306" s="13">
        <f>+[1]モンスター計算!L309</f>
        <v>1.6</v>
      </c>
      <c r="M306" s="27">
        <f>+[1]モンスター計算!M309</f>
        <v>2.4500000000000002</v>
      </c>
      <c r="N306" s="5">
        <f>+[1]モンスター計算!N309</f>
        <v>0.94</v>
      </c>
      <c r="O306" s="13">
        <f>+[1]モンスター計算!O309</f>
        <v>2.73</v>
      </c>
      <c r="P306" s="27">
        <f>+[1]モンスター計算!P309</f>
        <v>-0.13500000000000001</v>
      </c>
      <c r="Q306" s="5">
        <f>+[1]モンスター計算!Q309</f>
        <v>0.16500000000000001</v>
      </c>
      <c r="R306" s="5">
        <f>+[1]モンスター計算!R309</f>
        <v>-3.5000000000000003E-2</v>
      </c>
      <c r="S306" s="5">
        <f>+[1]モンスター計算!S309</f>
        <v>-3.5000000000000003E-2</v>
      </c>
      <c r="T306" s="5">
        <f>+[1]モンスター計算!T309</f>
        <v>-3.5000000000000003E-2</v>
      </c>
      <c r="U306" s="5">
        <f>+[1]モンスター計算!U309</f>
        <v>-3.5000000000000003E-2</v>
      </c>
      <c r="V306" s="13">
        <f>+[1]モンスター計算!V309</f>
        <v>5.6</v>
      </c>
      <c r="W306" s="30">
        <v>11</v>
      </c>
      <c r="X306" s="27" t="s">
        <v>70</v>
      </c>
      <c r="Y306" s="33" t="s">
        <v>91</v>
      </c>
      <c r="Z306" s="13">
        <v>1.25</v>
      </c>
      <c r="AA306" s="30">
        <v>20</v>
      </c>
      <c r="AB306" s="30">
        <f t="shared" si="8"/>
        <v>388</v>
      </c>
      <c r="AC306" s="47">
        <f t="shared" si="9"/>
        <v>51</v>
      </c>
      <c r="AD306" s="27" t="s">
        <v>74</v>
      </c>
      <c r="AE306" s="5">
        <v>0</v>
      </c>
      <c r="AF306" s="5">
        <v>0</v>
      </c>
      <c r="AG306" s="13" t="b">
        <v>0</v>
      </c>
      <c r="AH306" s="30" t="s">
        <v>1217</v>
      </c>
      <c r="AI306" s="33" t="s">
        <v>1826</v>
      </c>
    </row>
    <row r="307" spans="1:35" ht="19.5" thickBot="1">
      <c r="A307" s="53" t="s">
        <v>822</v>
      </c>
      <c r="B307" s="16" t="s">
        <v>498</v>
      </c>
      <c r="C307" s="28" t="s">
        <v>47</v>
      </c>
      <c r="D307" s="16" t="s">
        <v>61</v>
      </c>
      <c r="E307" s="28">
        <f>+[1]モンスター計算!E310</f>
        <v>10448</v>
      </c>
      <c r="F307" s="15">
        <f>+[1]モンスター計算!F310</f>
        <v>1626</v>
      </c>
      <c r="G307" s="15">
        <f>+[1]モンスター計算!G310</f>
        <v>545</v>
      </c>
      <c r="H307" s="15">
        <f>+[1]モンスター計算!H310</f>
        <v>2018</v>
      </c>
      <c r="I307" s="15">
        <f>+[1]モンスター計算!I310</f>
        <v>864</v>
      </c>
      <c r="J307" s="16">
        <f>+[1]モンスター計算!J310</f>
        <v>855</v>
      </c>
      <c r="K307" s="28">
        <f>+[1]モンスター計算!K310</f>
        <v>7.4999999999999997E-2</v>
      </c>
      <c r="L307" s="16">
        <f>+[1]モンスター計算!L310</f>
        <v>1.5</v>
      </c>
      <c r="M307" s="28">
        <f>+[1]モンスター計算!M310</f>
        <v>3.1</v>
      </c>
      <c r="N307" s="15">
        <f>+[1]モンスター計算!N310</f>
        <v>1.1499999999999999</v>
      </c>
      <c r="O307" s="16">
        <f>+[1]モンスター計算!O310</f>
        <v>3.0750000000000002</v>
      </c>
      <c r="P307" s="28">
        <f>+[1]モンスター計算!P310</f>
        <v>-0.01</v>
      </c>
      <c r="Q307" s="15">
        <f>+[1]モンスター計算!Q310</f>
        <v>-0.01</v>
      </c>
      <c r="R307" s="15">
        <f>+[1]モンスター計算!R310</f>
        <v>-0.01</v>
      </c>
      <c r="S307" s="15">
        <f>+[1]モンスター計算!S310</f>
        <v>-0.01</v>
      </c>
      <c r="T307" s="15">
        <f>+[1]モンスター計算!T310</f>
        <v>0.19</v>
      </c>
      <c r="U307" s="15">
        <f>+[1]モンスター計算!U310</f>
        <v>-0.11</v>
      </c>
      <c r="V307" s="16">
        <f>+[1]モンスター計算!V310</f>
        <v>8.6</v>
      </c>
      <c r="W307" s="31">
        <v>15</v>
      </c>
      <c r="X307" s="28" t="s">
        <v>72</v>
      </c>
      <c r="Y307" s="34" t="s">
        <v>92</v>
      </c>
      <c r="Z307" s="16">
        <v>1.3</v>
      </c>
      <c r="AA307" s="31">
        <v>40</v>
      </c>
      <c r="AB307" s="31">
        <f t="shared" si="8"/>
        <v>556</v>
      </c>
      <c r="AC307" s="48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1" t="s">
        <v>1218</v>
      </c>
      <c r="AI307" s="34" t="s">
        <v>1826</v>
      </c>
    </row>
    <row r="308" spans="1:35">
      <c r="A308" s="51" t="s">
        <v>823</v>
      </c>
      <c r="B308" s="11" t="s">
        <v>499</v>
      </c>
      <c r="C308" s="26" t="s">
        <v>45</v>
      </c>
      <c r="D308" s="11" t="s">
        <v>61</v>
      </c>
      <c r="E308" s="26">
        <f>+[1]モンスター計算!E311</f>
        <v>13688</v>
      </c>
      <c r="F308" s="10">
        <f>+[1]モンスター計算!F311</f>
        <v>3295</v>
      </c>
      <c r="G308" s="10">
        <f>+[1]モンスター計算!G311</f>
        <v>664</v>
      </c>
      <c r="H308" s="10">
        <f>+[1]モンスター計算!H311</f>
        <v>2270</v>
      </c>
      <c r="I308" s="10">
        <f>+[1]モンスター計算!I311</f>
        <v>795</v>
      </c>
      <c r="J308" s="11">
        <f>+[1]モンスター計算!J311</f>
        <v>2118</v>
      </c>
      <c r="K308" s="26">
        <f>+[1]モンスター計算!K311</f>
        <v>4.4999999999999998E-2</v>
      </c>
      <c r="L308" s="11">
        <f>+[1]モンスター計算!L311</f>
        <v>1.45</v>
      </c>
      <c r="M308" s="26">
        <f>+[1]モンスター計算!M311</f>
        <v>1.9</v>
      </c>
      <c r="N308" s="10">
        <f>+[1]モンスター計算!N311</f>
        <v>0.84</v>
      </c>
      <c r="O308" s="11">
        <f>+[1]モンスター計算!O311</f>
        <v>2.65</v>
      </c>
      <c r="P308" s="26">
        <f>+[1]モンスター計算!P311</f>
        <v>-1.0000000000000009E-2</v>
      </c>
      <c r="Q308" s="10">
        <f>+[1]モンスター計算!Q311</f>
        <v>0.29000000000000004</v>
      </c>
      <c r="R308" s="10">
        <f>+[1]モンスター計算!R311</f>
        <v>0.09</v>
      </c>
      <c r="S308" s="10">
        <f>+[1]モンスター計算!S311</f>
        <v>0.09</v>
      </c>
      <c r="T308" s="10">
        <f>+[1]モンスター計算!T311</f>
        <v>0.09</v>
      </c>
      <c r="U308" s="10">
        <f>+[1]モンスター計算!U311</f>
        <v>0.09</v>
      </c>
      <c r="V308" s="11">
        <f>+[1]モンスター計算!V311</f>
        <v>4.4000000000000004</v>
      </c>
      <c r="W308" s="29">
        <v>8</v>
      </c>
      <c r="X308" s="26" t="s">
        <v>109</v>
      </c>
      <c r="Y308" s="32" t="s">
        <v>87</v>
      </c>
      <c r="Z308" s="11">
        <v>1.2</v>
      </c>
      <c r="AA308" s="29">
        <v>5</v>
      </c>
      <c r="AB308" s="29">
        <f t="shared" si="8"/>
        <v>212</v>
      </c>
      <c r="AC308" s="46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29" t="s">
        <v>1219</v>
      </c>
      <c r="AI308" s="32" t="s">
        <v>1826</v>
      </c>
    </row>
    <row r="309" spans="1:35">
      <c r="A309" s="52" t="s">
        <v>824</v>
      </c>
      <c r="B309" s="13" t="s">
        <v>500</v>
      </c>
      <c r="C309" s="27" t="s">
        <v>44</v>
      </c>
      <c r="D309" s="13" t="s">
        <v>61</v>
      </c>
      <c r="E309" s="27">
        <f>+[1]モンスター計算!E312</f>
        <v>7102</v>
      </c>
      <c r="F309" s="5">
        <f>+[1]モンスター計算!F312</f>
        <v>2824</v>
      </c>
      <c r="G309" s="5">
        <f>+[1]モンスター計算!G312</f>
        <v>1328</v>
      </c>
      <c r="H309" s="5">
        <f>+[1]モンスター計算!H312</f>
        <v>3688</v>
      </c>
      <c r="I309" s="5">
        <f>+[1]モンスター計算!I312</f>
        <v>1498</v>
      </c>
      <c r="J309" s="13">
        <f>+[1]モンスター計算!J312</f>
        <v>2324</v>
      </c>
      <c r="K309" s="27">
        <f>+[1]モンスター計算!K312</f>
        <v>0.04</v>
      </c>
      <c r="L309" s="13">
        <f>+[1]モンスター計算!L312</f>
        <v>1.38</v>
      </c>
      <c r="M309" s="27">
        <f>+[1]モンスター計算!M312</f>
        <v>2.2000000000000002</v>
      </c>
      <c r="N309" s="5">
        <f>+[1]モンスター計算!N312</f>
        <v>0.88</v>
      </c>
      <c r="O309" s="13">
        <f>+[1]モンスター計算!O312</f>
        <v>3.15</v>
      </c>
      <c r="P309" s="27">
        <f>+[1]モンスター計算!P312</f>
        <v>0.33</v>
      </c>
      <c r="Q309" s="5">
        <f>+[1]モンスター計算!Q312</f>
        <v>0.03</v>
      </c>
      <c r="R309" s="5">
        <f>+[1]モンスター計算!R312</f>
        <v>0.13</v>
      </c>
      <c r="S309" s="5">
        <f>+[1]モンスター計算!S312</f>
        <v>0.13</v>
      </c>
      <c r="T309" s="5">
        <f>+[1]モンスター計算!T312</f>
        <v>0.13</v>
      </c>
      <c r="U309" s="5">
        <f>+[1]モンスター計算!U312</f>
        <v>0.13</v>
      </c>
      <c r="V309" s="13">
        <f>+[1]モンスター計算!V312</f>
        <v>4.4800000000000004</v>
      </c>
      <c r="W309" s="30">
        <v>8</v>
      </c>
      <c r="X309" s="27" t="s">
        <v>64</v>
      </c>
      <c r="Y309" s="33" t="s">
        <v>88</v>
      </c>
      <c r="Z309" s="13">
        <v>1.2</v>
      </c>
      <c r="AA309" s="30">
        <v>7</v>
      </c>
      <c r="AB309" s="30">
        <f t="shared" si="8"/>
        <v>235</v>
      </c>
      <c r="AC309" s="47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0" t="s">
        <v>1220</v>
      </c>
      <c r="AI309" s="33" t="s">
        <v>1826</v>
      </c>
    </row>
    <row r="310" spans="1:35">
      <c r="A310" s="52" t="s">
        <v>825</v>
      </c>
      <c r="B310" s="13" t="s">
        <v>501</v>
      </c>
      <c r="C310" s="27" t="s">
        <v>46</v>
      </c>
      <c r="D310" s="13" t="s">
        <v>61</v>
      </c>
      <c r="E310" s="27">
        <f>+[1]モンスター計算!E313</f>
        <v>12913</v>
      </c>
      <c r="F310" s="5">
        <f>+[1]モンスター計算!F313</f>
        <v>2730</v>
      </c>
      <c r="G310" s="5">
        <f>+[1]モンスター計算!G313</f>
        <v>1036</v>
      </c>
      <c r="H310" s="5">
        <f>+[1]モンスター計算!H313</f>
        <v>2303</v>
      </c>
      <c r="I310" s="5">
        <f>+[1]モンスター計算!I313</f>
        <v>1033</v>
      </c>
      <c r="J310" s="13">
        <f>+[1]モンスター計算!J313</f>
        <v>1240</v>
      </c>
      <c r="K310" s="27">
        <f>+[1]モンスター計算!K313</f>
        <v>0.06</v>
      </c>
      <c r="L310" s="13">
        <f>+[1]モンスター計算!L313</f>
        <v>1.4</v>
      </c>
      <c r="M310" s="27">
        <f>+[1]モンスター計算!M313</f>
        <v>2.1</v>
      </c>
      <c r="N310" s="5">
        <f>+[1]モンスター計算!N313</f>
        <v>0.95</v>
      </c>
      <c r="O310" s="13">
        <f>+[1]モンスター計算!O313</f>
        <v>2.875</v>
      </c>
      <c r="P310" s="27">
        <f>+[1]モンスター計算!P313</f>
        <v>0.03</v>
      </c>
      <c r="Q310" s="5">
        <f>+[1]モンスター計算!Q313</f>
        <v>0.03</v>
      </c>
      <c r="R310" s="5">
        <f>+[1]モンスター計算!R313</f>
        <v>0.23</v>
      </c>
      <c r="S310" s="5">
        <f>+[1]モンスター計算!S313</f>
        <v>-7.0000000000000007E-2</v>
      </c>
      <c r="T310" s="5">
        <f>+[1]モンスター計算!T313</f>
        <v>0.03</v>
      </c>
      <c r="U310" s="5">
        <f>+[1]モンスター計算!U313</f>
        <v>0.03</v>
      </c>
      <c r="V310" s="13">
        <f>+[1]モンスター計算!V313</f>
        <v>4.8</v>
      </c>
      <c r="W310" s="30">
        <v>9</v>
      </c>
      <c r="X310" s="27" t="s">
        <v>66</v>
      </c>
      <c r="Y310" s="33" t="s">
        <v>89</v>
      </c>
      <c r="Z310" s="13">
        <v>1.22</v>
      </c>
      <c r="AA310" s="30">
        <v>10</v>
      </c>
      <c r="AB310" s="30">
        <f t="shared" si="8"/>
        <v>273</v>
      </c>
      <c r="AC310" s="47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0" t="s">
        <v>1221</v>
      </c>
      <c r="AI310" s="33" t="s">
        <v>1826</v>
      </c>
    </row>
    <row r="311" spans="1:35">
      <c r="A311" s="52" t="s">
        <v>826</v>
      </c>
      <c r="B311" s="13" t="s">
        <v>502</v>
      </c>
      <c r="C311" s="27" t="s">
        <v>44</v>
      </c>
      <c r="D311" s="13" t="s">
        <v>59</v>
      </c>
      <c r="E311" s="27">
        <f>+[1]モンスター計算!E314</f>
        <v>15237</v>
      </c>
      <c r="F311" s="5">
        <f>+[1]モンスター計算!F314</f>
        <v>879</v>
      </c>
      <c r="G311" s="5">
        <f>+[1]モンスター計算!G314</f>
        <v>2011</v>
      </c>
      <c r="H311" s="5">
        <f>+[1]モンスター計算!H314</f>
        <v>633</v>
      </c>
      <c r="I311" s="5">
        <f>+[1]モンスター計算!I314</f>
        <v>1178</v>
      </c>
      <c r="J311" s="13">
        <f>+[1]モンスター計算!J314</f>
        <v>1178</v>
      </c>
      <c r="K311" s="27">
        <f>+[1]モンスター計算!K314</f>
        <v>0.04</v>
      </c>
      <c r="L311" s="13">
        <f>+[1]モンスター計算!L314</f>
        <v>1.43</v>
      </c>
      <c r="M311" s="27">
        <f>+[1]モンスター計算!M314</f>
        <v>2.15</v>
      </c>
      <c r="N311" s="5">
        <f>+[1]モンスター計算!N314</f>
        <v>0.88</v>
      </c>
      <c r="O311" s="13">
        <f>+[1]モンスター計算!O314</f>
        <v>1.425</v>
      </c>
      <c r="P311" s="27">
        <f>+[1]モンスター計算!P314</f>
        <v>0.39</v>
      </c>
      <c r="Q311" s="5">
        <f>+[1]モンスター計算!Q314</f>
        <v>0.09</v>
      </c>
      <c r="R311" s="5">
        <f>+[1]モンスター計算!R314</f>
        <v>0.19</v>
      </c>
      <c r="S311" s="5">
        <f>+[1]モンスター計算!S314</f>
        <v>0.19</v>
      </c>
      <c r="T311" s="5">
        <f>+[1]モンスター計算!T314</f>
        <v>0.19</v>
      </c>
      <c r="U311" s="5">
        <f>+[1]モンスター計算!U314</f>
        <v>0.19</v>
      </c>
      <c r="V311" s="13">
        <f>+[1]モンスター計算!V314</f>
        <v>3.8</v>
      </c>
      <c r="W311" s="30">
        <v>10</v>
      </c>
      <c r="X311" s="27" t="s">
        <v>68</v>
      </c>
      <c r="Y311" s="33" t="s">
        <v>90</v>
      </c>
      <c r="Z311" s="13">
        <v>1.25</v>
      </c>
      <c r="AA311" s="30">
        <v>15</v>
      </c>
      <c r="AB311" s="30">
        <f t="shared" si="8"/>
        <v>351</v>
      </c>
      <c r="AC311" s="47">
        <f t="shared" si="9"/>
        <v>52</v>
      </c>
      <c r="AD311" s="27" t="s">
        <v>74</v>
      </c>
      <c r="AE311" s="5">
        <v>0</v>
      </c>
      <c r="AF311" s="5">
        <v>0</v>
      </c>
      <c r="AG311" s="13" t="b">
        <v>0</v>
      </c>
      <c r="AH311" s="30" t="s">
        <v>1222</v>
      </c>
      <c r="AI311" s="33" t="s">
        <v>1826</v>
      </c>
    </row>
    <row r="312" spans="1:35">
      <c r="A312" s="52" t="s">
        <v>827</v>
      </c>
      <c r="B312" s="13" t="s">
        <v>503</v>
      </c>
      <c r="C312" s="27" t="s">
        <v>45</v>
      </c>
      <c r="D312" s="13" t="s">
        <v>59</v>
      </c>
      <c r="E312" s="27">
        <f>+[1]モンスター計算!E315</f>
        <v>11234</v>
      </c>
      <c r="F312" s="5">
        <f>+[1]モンスター計算!F315</f>
        <v>602</v>
      </c>
      <c r="G312" s="5">
        <f>+[1]モンスター計算!G315</f>
        <v>2190</v>
      </c>
      <c r="H312" s="5">
        <f>+[1]モンスター計算!H315</f>
        <v>641</v>
      </c>
      <c r="I312" s="5">
        <f>+[1]モンスター計算!I315</f>
        <v>888</v>
      </c>
      <c r="J312" s="13">
        <f>+[1]モンスター計算!J315</f>
        <v>795</v>
      </c>
      <c r="K312" s="27">
        <f>+[1]モンスター計算!K315</f>
        <v>0.27</v>
      </c>
      <c r="L312" s="13">
        <f>+[1]モンスター計算!L315</f>
        <v>2.0299999999999998</v>
      </c>
      <c r="M312" s="27">
        <f>+[1]モンスター計算!M315</f>
        <v>2.75</v>
      </c>
      <c r="N312" s="5">
        <f>+[1]モンスター計算!N315</f>
        <v>1.04</v>
      </c>
      <c r="O312" s="13">
        <f>+[1]モンスター計算!O315</f>
        <v>1.53</v>
      </c>
      <c r="P312" s="27">
        <f>+[1]モンスター計算!P315</f>
        <v>-0.16</v>
      </c>
      <c r="Q312" s="5">
        <f>+[1]モンスター計算!Q315</f>
        <v>0.14000000000000001</v>
      </c>
      <c r="R312" s="5">
        <f>+[1]モンスター計算!R315</f>
        <v>-0.06</v>
      </c>
      <c r="S312" s="5">
        <f>+[1]モンスター計算!S315</f>
        <v>-0.06</v>
      </c>
      <c r="T312" s="5">
        <f>+[1]モンスター計算!T315</f>
        <v>-0.06</v>
      </c>
      <c r="U312" s="5">
        <f>+[1]モンスター計算!U315</f>
        <v>-0.06</v>
      </c>
      <c r="V312" s="13">
        <f>+[1]モンスター計算!V315</f>
        <v>4.2</v>
      </c>
      <c r="W312" s="30">
        <v>11</v>
      </c>
      <c r="X312" s="27" t="s">
        <v>70</v>
      </c>
      <c r="Y312" s="33" t="s">
        <v>91</v>
      </c>
      <c r="Z312" s="13">
        <v>1.25</v>
      </c>
      <c r="AA312" s="30">
        <v>20</v>
      </c>
      <c r="AB312" s="30">
        <f t="shared" si="8"/>
        <v>408</v>
      </c>
      <c r="AC312" s="47">
        <f t="shared" si="9"/>
        <v>52</v>
      </c>
      <c r="AD312" s="27" t="s">
        <v>74</v>
      </c>
      <c r="AE312" s="5">
        <v>0</v>
      </c>
      <c r="AF312" s="5">
        <v>0</v>
      </c>
      <c r="AG312" s="13" t="b">
        <v>0</v>
      </c>
      <c r="AH312" s="30" t="s">
        <v>1223</v>
      </c>
      <c r="AI312" s="33" t="s">
        <v>1826</v>
      </c>
    </row>
    <row r="313" spans="1:35" ht="19.5" thickBot="1">
      <c r="A313" s="53" t="s">
        <v>828</v>
      </c>
      <c r="B313" s="16" t="s">
        <v>504</v>
      </c>
      <c r="C313" s="28" t="s">
        <v>47</v>
      </c>
      <c r="D313" s="16" t="s">
        <v>61</v>
      </c>
      <c r="E313" s="28">
        <f>+[1]モンスター計算!E316</f>
        <v>12913</v>
      </c>
      <c r="F313" s="15">
        <f>+[1]モンスター計算!F316</f>
        <v>2071</v>
      </c>
      <c r="G313" s="15">
        <f>+[1]モンスター計算!G316</f>
        <v>930</v>
      </c>
      <c r="H313" s="15">
        <f>+[1]モンスター計算!H316</f>
        <v>2066</v>
      </c>
      <c r="I313" s="15">
        <f>+[1]モンスター計算!I316</f>
        <v>981</v>
      </c>
      <c r="J313" s="16">
        <f>+[1]モンスター計算!J316</f>
        <v>1136</v>
      </c>
      <c r="K313" s="28">
        <f>+[1]モンスター計算!K316</f>
        <v>7.0000000000000007E-2</v>
      </c>
      <c r="L313" s="16">
        <f>+[1]モンスター計算!L316</f>
        <v>1.55</v>
      </c>
      <c r="M313" s="28">
        <f>+[1]モンスター計算!M316</f>
        <v>2.2999999999999998</v>
      </c>
      <c r="N313" s="15">
        <f>+[1]モンスター計算!N316</f>
        <v>1.1000000000000001</v>
      </c>
      <c r="O313" s="16">
        <f>+[1]モンスター計算!O316</f>
        <v>2.7</v>
      </c>
      <c r="P313" s="28">
        <f>+[1]モンスター計算!P316</f>
        <v>-0.03</v>
      </c>
      <c r="Q313" s="15">
        <f>+[1]モンスター計算!Q316</f>
        <v>-0.03</v>
      </c>
      <c r="R313" s="15">
        <f>+[1]モンスター計算!R316</f>
        <v>-0.03</v>
      </c>
      <c r="S313" s="15">
        <f>+[1]モンスター計算!S316</f>
        <v>-0.03</v>
      </c>
      <c r="T313" s="15">
        <f>+[1]モンスター計算!T316</f>
        <v>0.17</v>
      </c>
      <c r="U313" s="15">
        <f>+[1]モンスター計算!U316</f>
        <v>-0.13</v>
      </c>
      <c r="V313" s="16">
        <f>+[1]モンスター計算!V316</f>
        <v>4</v>
      </c>
      <c r="W313" s="31">
        <v>15</v>
      </c>
      <c r="X313" s="28" t="s">
        <v>72</v>
      </c>
      <c r="Y313" s="34" t="s">
        <v>92</v>
      </c>
      <c r="Z313" s="16">
        <v>1.3</v>
      </c>
      <c r="AA313" s="31">
        <v>40</v>
      </c>
      <c r="AB313" s="31">
        <f t="shared" si="8"/>
        <v>584</v>
      </c>
      <c r="AC313" s="48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1" t="s">
        <v>1224</v>
      </c>
      <c r="AI313" s="34" t="s">
        <v>1826</v>
      </c>
    </row>
    <row r="314" spans="1:35">
      <c r="A314" s="51" t="s">
        <v>829</v>
      </c>
      <c r="B314" s="11" t="s">
        <v>505</v>
      </c>
      <c r="C314" s="26" t="s">
        <v>45</v>
      </c>
      <c r="D314" s="11" t="s">
        <v>61</v>
      </c>
      <c r="E314" s="26">
        <f>+[1]モンスター計算!E317</f>
        <v>19886</v>
      </c>
      <c r="F314" s="10">
        <f>+[1]モンスター計算!F317</f>
        <v>4556</v>
      </c>
      <c r="G314" s="10">
        <f>+[1]モンスター計算!G317</f>
        <v>761</v>
      </c>
      <c r="H314" s="10">
        <f>+[1]モンスター計算!H317</f>
        <v>2014</v>
      </c>
      <c r="I314" s="10">
        <f>+[1]モンスター計算!I317</f>
        <v>1080</v>
      </c>
      <c r="J314" s="11">
        <f>+[1]モンスター計算!J317</f>
        <v>1909</v>
      </c>
      <c r="K314" s="26">
        <f>+[1]モンスター計算!K317</f>
        <v>0.115</v>
      </c>
      <c r="L314" s="11">
        <f>+[1]モンスター計算!L317</f>
        <v>1.95</v>
      </c>
      <c r="M314" s="26">
        <f>+[1]モンスター計算!M317</f>
        <v>1.2</v>
      </c>
      <c r="N314" s="10">
        <f>+[1]モンスター計算!N317</f>
        <v>0.72</v>
      </c>
      <c r="O314" s="11">
        <f>+[1]モンスター計算!O317</f>
        <v>3.3250000000000002</v>
      </c>
      <c r="P314" s="26">
        <f>+[1]モンスター計算!P317</f>
        <v>-2.0000000000000004E-2</v>
      </c>
      <c r="Q314" s="10">
        <f>+[1]モンスター計算!Q317</f>
        <v>0.28000000000000003</v>
      </c>
      <c r="R314" s="10">
        <f>+[1]モンスター計算!R317</f>
        <v>0.08</v>
      </c>
      <c r="S314" s="10">
        <f>+[1]モンスター計算!S317</f>
        <v>0.08</v>
      </c>
      <c r="T314" s="10">
        <f>+[1]モンスター計算!T317</f>
        <v>0.08</v>
      </c>
      <c r="U314" s="10">
        <f>+[1]モンスター計算!U317</f>
        <v>0.08</v>
      </c>
      <c r="V314" s="11">
        <f>+[1]モンスター計算!V317</f>
        <v>5</v>
      </c>
      <c r="W314" s="29">
        <v>8</v>
      </c>
      <c r="X314" s="26" t="s">
        <v>109</v>
      </c>
      <c r="Y314" s="32" t="s">
        <v>87</v>
      </c>
      <c r="Z314" s="11">
        <v>1.2</v>
      </c>
      <c r="AA314" s="29">
        <v>5</v>
      </c>
      <c r="AB314" s="29">
        <f t="shared" si="8"/>
        <v>223</v>
      </c>
      <c r="AC314" s="46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29" t="s">
        <v>1225</v>
      </c>
      <c r="AI314" s="32" t="s">
        <v>1826</v>
      </c>
    </row>
    <row r="315" spans="1:35">
      <c r="A315" s="52" t="s">
        <v>830</v>
      </c>
      <c r="B315" s="13" t="s">
        <v>506</v>
      </c>
      <c r="C315" s="27" t="s">
        <v>44</v>
      </c>
      <c r="D315" s="13" t="s">
        <v>61</v>
      </c>
      <c r="E315" s="27">
        <f>+[1]モンスター計算!E318</f>
        <v>11079</v>
      </c>
      <c r="F315" s="5">
        <f>+[1]モンスター計算!F318</f>
        <v>2382</v>
      </c>
      <c r="G315" s="5">
        <f>+[1]モンスター計算!G318</f>
        <v>1351</v>
      </c>
      <c r="H315" s="5">
        <f>+[1]モンスター計算!H318</f>
        <v>3003</v>
      </c>
      <c r="I315" s="5">
        <f>+[1]モンスター計算!I318</f>
        <v>852</v>
      </c>
      <c r="J315" s="13">
        <f>+[1]モンスター計算!J318</f>
        <v>909</v>
      </c>
      <c r="K315" s="27">
        <f>+[1]モンスター計算!K318</f>
        <v>0.11</v>
      </c>
      <c r="L315" s="13">
        <f>+[1]モンスター計算!L318</f>
        <v>1.65</v>
      </c>
      <c r="M315" s="27">
        <f>+[1]モンスター計算!M318</f>
        <v>2.2000000000000002</v>
      </c>
      <c r="N315" s="5">
        <f>+[1]モンスター計算!N318</f>
        <v>1.1000000000000001</v>
      </c>
      <c r="O315" s="13">
        <f>+[1]モンスター計算!O318</f>
        <v>2.75</v>
      </c>
      <c r="P315" s="27">
        <f>+[1]モンスター計算!P318</f>
        <v>0.16</v>
      </c>
      <c r="Q315" s="5">
        <f>+[1]モンスター計算!Q318</f>
        <v>-0.14000000000000001</v>
      </c>
      <c r="R315" s="5">
        <f>+[1]モンスター計算!R318</f>
        <v>-0.04</v>
      </c>
      <c r="S315" s="5">
        <f>+[1]モンスター計算!S318</f>
        <v>-0.04</v>
      </c>
      <c r="T315" s="5">
        <f>+[1]モンスター計算!T318</f>
        <v>-0.04</v>
      </c>
      <c r="U315" s="5">
        <f>+[1]モンスター計算!U318</f>
        <v>-0.04</v>
      </c>
      <c r="V315" s="13">
        <f>+[1]モンスター計算!V318</f>
        <v>4.2</v>
      </c>
      <c r="W315" s="30">
        <v>8</v>
      </c>
      <c r="X315" s="27" t="s">
        <v>64</v>
      </c>
      <c r="Y315" s="33" t="s">
        <v>88</v>
      </c>
      <c r="Z315" s="13">
        <v>1.2</v>
      </c>
      <c r="AA315" s="30">
        <v>7</v>
      </c>
      <c r="AB315" s="30">
        <f t="shared" si="8"/>
        <v>247</v>
      </c>
      <c r="AC315" s="47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0" t="s">
        <v>1226</v>
      </c>
      <c r="AI315" s="33" t="s">
        <v>1826</v>
      </c>
    </row>
    <row r="316" spans="1:35">
      <c r="A316" s="52" t="s">
        <v>831</v>
      </c>
      <c r="B316" s="13" t="s">
        <v>507</v>
      </c>
      <c r="C316" s="27" t="s">
        <v>46</v>
      </c>
      <c r="D316" s="13" t="s">
        <v>61</v>
      </c>
      <c r="E316" s="27">
        <f>+[1]モンスター計算!E319</f>
        <v>24431</v>
      </c>
      <c r="F316" s="5">
        <f>+[1]モンスター計算!F319</f>
        <v>2796</v>
      </c>
      <c r="G316" s="5">
        <f>+[1]モンスター計算!G319</f>
        <v>590</v>
      </c>
      <c r="H316" s="5">
        <f>+[1]モンスター計算!H319</f>
        <v>2016</v>
      </c>
      <c r="I316" s="5">
        <f>+[1]モンスター計算!I319</f>
        <v>1864</v>
      </c>
      <c r="J316" s="13">
        <f>+[1]モンスター計算!J319</f>
        <v>1761</v>
      </c>
      <c r="K316" s="27">
        <f>+[1]モンスター計算!K319</f>
        <v>3.5000000000000003E-2</v>
      </c>
      <c r="L316" s="13">
        <f>+[1]モンスター計算!L319</f>
        <v>1.4</v>
      </c>
      <c r="M316" s="27">
        <f>+[1]モンスター計算!M319</f>
        <v>1.5</v>
      </c>
      <c r="N316" s="5">
        <f>+[1]モンスター計算!N319</f>
        <v>0.6</v>
      </c>
      <c r="O316" s="13">
        <f>+[1]モンスター計算!O319</f>
        <v>3.1</v>
      </c>
      <c r="P316" s="27">
        <f>+[1]モンスター計算!P319</f>
        <v>0.12</v>
      </c>
      <c r="Q316" s="5">
        <f>+[1]モンスター計算!Q319</f>
        <v>0.12</v>
      </c>
      <c r="R316" s="5">
        <f>+[1]モンスター計算!R319</f>
        <v>0.32</v>
      </c>
      <c r="S316" s="5">
        <f>+[1]モンスター計算!S319</f>
        <v>1.999999999999999E-2</v>
      </c>
      <c r="T316" s="5">
        <f>+[1]モンスター計算!T319</f>
        <v>0.12</v>
      </c>
      <c r="U316" s="5">
        <f>+[1]モンスター計算!U319</f>
        <v>0.12</v>
      </c>
      <c r="V316" s="13">
        <f>+[1]モンスター計算!V319</f>
        <v>4.12</v>
      </c>
      <c r="W316" s="30">
        <v>9</v>
      </c>
      <c r="X316" s="27" t="s">
        <v>66</v>
      </c>
      <c r="Y316" s="33" t="s">
        <v>89</v>
      </c>
      <c r="Z316" s="13">
        <v>1.22</v>
      </c>
      <c r="AA316" s="30">
        <v>10</v>
      </c>
      <c r="AB316" s="30">
        <f t="shared" si="8"/>
        <v>287</v>
      </c>
      <c r="AC316" s="47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0" t="s">
        <v>1227</v>
      </c>
      <c r="AI316" s="33" t="s">
        <v>1826</v>
      </c>
    </row>
    <row r="317" spans="1:35">
      <c r="A317" s="52" t="s">
        <v>832</v>
      </c>
      <c r="B317" s="13" t="s">
        <v>508</v>
      </c>
      <c r="C317" s="27" t="s">
        <v>44</v>
      </c>
      <c r="D317" s="13" t="s">
        <v>59</v>
      </c>
      <c r="E317" s="27">
        <f>+[1]モンスター計算!E320</f>
        <v>29119</v>
      </c>
      <c r="F317" s="5">
        <f>+[1]モンスター計算!F320</f>
        <v>552</v>
      </c>
      <c r="G317" s="5">
        <f>+[1]モンスター計算!G320</f>
        <v>2244</v>
      </c>
      <c r="H317" s="5">
        <f>+[1]モンスター計算!H320</f>
        <v>909</v>
      </c>
      <c r="I317" s="5">
        <f>+[1]モンスター計算!I320</f>
        <v>1727</v>
      </c>
      <c r="J317" s="13">
        <f>+[1]モンスター計算!J320</f>
        <v>1477</v>
      </c>
      <c r="K317" s="27">
        <f>+[1]モンスター計算!K320</f>
        <v>2.5000000000000001E-2</v>
      </c>
      <c r="L317" s="13">
        <f>+[1]モンスター計算!L320</f>
        <v>1.35</v>
      </c>
      <c r="M317" s="27">
        <f>+[1]モンスター計算!M320</f>
        <v>1.1499999999999999</v>
      </c>
      <c r="N317" s="5">
        <f>+[1]モンスター計算!N320</f>
        <v>0.51</v>
      </c>
      <c r="O317" s="13">
        <f>+[1]モンスター計算!O320</f>
        <v>1.2749999999999999</v>
      </c>
      <c r="P317" s="27">
        <f>+[1]モンスター計算!P320</f>
        <v>0.25</v>
      </c>
      <c r="Q317" s="5">
        <f>+[1]モンスター計算!Q320</f>
        <v>-0.05</v>
      </c>
      <c r="R317" s="5">
        <f>+[1]モンスター計算!R320</f>
        <v>0.05</v>
      </c>
      <c r="S317" s="5">
        <f>+[1]モンスター計算!S320</f>
        <v>0.05</v>
      </c>
      <c r="T317" s="5">
        <f>+[1]モンスター計算!T320</f>
        <v>0.05</v>
      </c>
      <c r="U317" s="5">
        <f>+[1]モンスター計算!U320</f>
        <v>0.05</v>
      </c>
      <c r="V317" s="13">
        <f>+[1]モンスター計算!V320</f>
        <v>3.2</v>
      </c>
      <c r="W317" s="30">
        <v>10</v>
      </c>
      <c r="X317" s="27" t="s">
        <v>68</v>
      </c>
      <c r="Y317" s="33" t="s">
        <v>90</v>
      </c>
      <c r="Z317" s="13">
        <v>1.25</v>
      </c>
      <c r="AA317" s="30">
        <v>15</v>
      </c>
      <c r="AB317" s="30">
        <f t="shared" si="8"/>
        <v>369</v>
      </c>
      <c r="AC317" s="47">
        <f t="shared" si="9"/>
        <v>53</v>
      </c>
      <c r="AD317" s="27" t="s">
        <v>74</v>
      </c>
      <c r="AE317" s="5">
        <v>0</v>
      </c>
      <c r="AF317" s="5">
        <v>0</v>
      </c>
      <c r="AG317" s="13" t="b">
        <v>0</v>
      </c>
      <c r="AH317" s="30" t="s">
        <v>1228</v>
      </c>
      <c r="AI317" s="33" t="s">
        <v>1826</v>
      </c>
    </row>
    <row r="318" spans="1:35">
      <c r="A318" s="52" t="s">
        <v>833</v>
      </c>
      <c r="B318" s="13" t="s">
        <v>509</v>
      </c>
      <c r="C318" s="27" t="s">
        <v>45</v>
      </c>
      <c r="D318" s="13" t="s">
        <v>59</v>
      </c>
      <c r="E318" s="27">
        <f>+[1]モンスター計算!E321</f>
        <v>19176</v>
      </c>
      <c r="F318" s="5">
        <f>+[1]モンスター計算!F321</f>
        <v>828</v>
      </c>
      <c r="G318" s="5">
        <f>+[1]モンスター計算!G321</f>
        <v>1667</v>
      </c>
      <c r="H318" s="5">
        <f>+[1]モンスター計算!H321</f>
        <v>750</v>
      </c>
      <c r="I318" s="5">
        <f>+[1]モンスター計算!I321</f>
        <v>1591</v>
      </c>
      <c r="J318" s="13">
        <f>+[1]モンスター計算!J321</f>
        <v>1136</v>
      </c>
      <c r="K318" s="27">
        <f>+[1]モンスター計算!K321</f>
        <v>0.08</v>
      </c>
      <c r="L318" s="13">
        <f>+[1]モンスター計算!L321</f>
        <v>1.6</v>
      </c>
      <c r="M318" s="27">
        <f>+[1]モンスター計算!M321</f>
        <v>2.7</v>
      </c>
      <c r="N318" s="5">
        <f>+[1]モンスター計算!N321</f>
        <v>1.05</v>
      </c>
      <c r="O318" s="13">
        <f>+[1]モンスター計算!O321</f>
        <v>1.2</v>
      </c>
      <c r="P318" s="27">
        <f>+[1]モンスター計算!P321</f>
        <v>-3.5000000000000003E-2</v>
      </c>
      <c r="Q318" s="5">
        <f>+[1]モンスター計算!Q321</f>
        <v>0.26500000000000001</v>
      </c>
      <c r="R318" s="5">
        <f>+[1]モンスター計算!R321</f>
        <v>6.5000000000000002E-2</v>
      </c>
      <c r="S318" s="5">
        <f>+[1]モンスター計算!S321</f>
        <v>6.5000000000000002E-2</v>
      </c>
      <c r="T318" s="5">
        <f>+[1]モンスター計算!T321</f>
        <v>6.5000000000000002E-2</v>
      </c>
      <c r="U318" s="5">
        <f>+[1]モンスター計算!U321</f>
        <v>6.5000000000000002E-2</v>
      </c>
      <c r="V318" s="13">
        <f>+[1]モンスター計算!V321</f>
        <v>4</v>
      </c>
      <c r="W318" s="30">
        <v>11</v>
      </c>
      <c r="X318" s="27" t="s">
        <v>70</v>
      </c>
      <c r="Y318" s="33" t="s">
        <v>91</v>
      </c>
      <c r="Z318" s="13">
        <v>1.25</v>
      </c>
      <c r="AA318" s="30">
        <v>20</v>
      </c>
      <c r="AB318" s="30">
        <f t="shared" si="8"/>
        <v>429</v>
      </c>
      <c r="AC318" s="47">
        <f t="shared" si="9"/>
        <v>53</v>
      </c>
      <c r="AD318" s="27" t="s">
        <v>74</v>
      </c>
      <c r="AE318" s="5">
        <v>0</v>
      </c>
      <c r="AF318" s="5">
        <v>0</v>
      </c>
      <c r="AG318" s="13" t="b">
        <v>0</v>
      </c>
      <c r="AH318" s="30" t="s">
        <v>1229</v>
      </c>
      <c r="AI318" s="33" t="s">
        <v>1826</v>
      </c>
    </row>
    <row r="319" spans="1:35" ht="19.5" thickBot="1">
      <c r="A319" s="53" t="s">
        <v>834</v>
      </c>
      <c r="B319" s="16" t="s">
        <v>510</v>
      </c>
      <c r="C319" s="28" t="s">
        <v>47</v>
      </c>
      <c r="D319" s="16" t="s">
        <v>61</v>
      </c>
      <c r="E319" s="28">
        <f>+[1]モンスター計算!E322</f>
        <v>10511</v>
      </c>
      <c r="F319" s="15">
        <f>+[1]モンスター計算!F322</f>
        <v>1967</v>
      </c>
      <c r="G319" s="15">
        <f>+[1]モンスター計算!G322</f>
        <v>714</v>
      </c>
      <c r="H319" s="15">
        <f>+[1]モンスター計算!H322</f>
        <v>2441</v>
      </c>
      <c r="I319" s="15">
        <f>+[1]モンスター計算!I322</f>
        <v>818</v>
      </c>
      <c r="J319" s="16">
        <f>+[1]モンスター計算!J322</f>
        <v>955</v>
      </c>
      <c r="K319" s="28">
        <f>+[1]モンスター計算!K322</f>
        <v>0.05</v>
      </c>
      <c r="L319" s="16">
        <f>+[1]モンスター計算!L322</f>
        <v>1.4</v>
      </c>
      <c r="M319" s="28">
        <f>+[1]モンスター計算!M322</f>
        <v>3.35</v>
      </c>
      <c r="N319" s="15">
        <f>+[1]モンスター計算!N322</f>
        <v>1.55</v>
      </c>
      <c r="O319" s="16">
        <f>+[1]モンスター計算!O322</f>
        <v>2.2999999999999998</v>
      </c>
      <c r="P319" s="28">
        <f>+[1]モンスター計算!P322</f>
        <v>-7.0000000000000007E-2</v>
      </c>
      <c r="Q319" s="15">
        <f>+[1]モンスター計算!Q322</f>
        <v>-7.0000000000000007E-2</v>
      </c>
      <c r="R319" s="15">
        <f>+[1]モンスター計算!R322</f>
        <v>-7.0000000000000007E-2</v>
      </c>
      <c r="S319" s="15">
        <f>+[1]モンスター計算!S322</f>
        <v>-7.0000000000000007E-2</v>
      </c>
      <c r="T319" s="15">
        <f>+[1]モンスター計算!T322</f>
        <v>0.13</v>
      </c>
      <c r="U319" s="15">
        <f>+[1]モンスター計算!U322</f>
        <v>-0.17</v>
      </c>
      <c r="V319" s="16">
        <f>+[1]モンスター計算!V322</f>
        <v>4</v>
      </c>
      <c r="W319" s="31">
        <v>15</v>
      </c>
      <c r="X319" s="28" t="s">
        <v>72</v>
      </c>
      <c r="Y319" s="34" t="s">
        <v>92</v>
      </c>
      <c r="Z319" s="16">
        <v>1.3</v>
      </c>
      <c r="AA319" s="31">
        <v>40</v>
      </c>
      <c r="AB319" s="31">
        <f t="shared" si="8"/>
        <v>614</v>
      </c>
      <c r="AC319" s="48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1" t="s">
        <v>1230</v>
      </c>
      <c r="AI319" s="34" t="s">
        <v>1826</v>
      </c>
    </row>
    <row r="320" spans="1:35">
      <c r="A320" s="51" t="s">
        <v>835</v>
      </c>
      <c r="B320" s="11" t="s">
        <v>511</v>
      </c>
      <c r="C320" s="26" t="s">
        <v>45</v>
      </c>
      <c r="D320" s="11" t="s">
        <v>61</v>
      </c>
      <c r="E320" s="26">
        <f>+[1]モンスター計算!E323</f>
        <v>18750</v>
      </c>
      <c r="F320" s="10">
        <f>+[1]モンスター計算!F323</f>
        <v>2278</v>
      </c>
      <c r="G320" s="10">
        <f>+[1]モンスター計算!G323</f>
        <v>1000</v>
      </c>
      <c r="H320" s="10">
        <f>+[1]モンスター計算!H323</f>
        <v>2222</v>
      </c>
      <c r="I320" s="10">
        <f>+[1]モンスター計算!I323</f>
        <v>1625</v>
      </c>
      <c r="J320" s="11">
        <f>+[1]モンスター計算!J323</f>
        <v>1062</v>
      </c>
      <c r="K320" s="26">
        <f>+[1]モンスター計算!K323</f>
        <v>0.08</v>
      </c>
      <c r="L320" s="11">
        <f>+[1]モンスター計算!L323</f>
        <v>1.6</v>
      </c>
      <c r="M320" s="26">
        <f>+[1]モンスター計算!M323</f>
        <v>2.8</v>
      </c>
      <c r="N320" s="10">
        <f>+[1]モンスター計算!N323</f>
        <v>1</v>
      </c>
      <c r="O320" s="11">
        <f>+[1]モンスター計算!O323</f>
        <v>2.5</v>
      </c>
      <c r="P320" s="26">
        <f>+[1]モンスター計算!P323</f>
        <v>-8.5000000000000006E-2</v>
      </c>
      <c r="Q320" s="10">
        <f>+[1]モンスター計算!Q323</f>
        <v>0.21500000000000002</v>
      </c>
      <c r="R320" s="10">
        <f>+[1]モンスター計算!R323</f>
        <v>1.4999999999999999E-2</v>
      </c>
      <c r="S320" s="10">
        <f>+[1]モンスター計算!S323</f>
        <v>1.4999999999999999E-2</v>
      </c>
      <c r="T320" s="10">
        <f>+[1]モンスター計算!T323</f>
        <v>1.4999999999999999E-2</v>
      </c>
      <c r="U320" s="10">
        <f>+[1]モンスター計算!U323</f>
        <v>1.4999999999999999E-2</v>
      </c>
      <c r="V320" s="11">
        <f>+[1]モンスター計算!V323</f>
        <v>4</v>
      </c>
      <c r="W320" s="29">
        <v>8</v>
      </c>
      <c r="X320" s="26" t="s">
        <v>109</v>
      </c>
      <c r="Y320" s="32" t="s">
        <v>87</v>
      </c>
      <c r="Z320" s="11">
        <v>1.2</v>
      </c>
      <c r="AA320" s="29">
        <v>5</v>
      </c>
      <c r="AB320" s="29">
        <f t="shared" si="8"/>
        <v>235</v>
      </c>
      <c r="AC320" s="46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29" t="s">
        <v>1231</v>
      </c>
      <c r="AI320" s="32" t="s">
        <v>1826</v>
      </c>
    </row>
    <row r="321" spans="1:35">
      <c r="A321" s="52" t="s">
        <v>836</v>
      </c>
      <c r="B321" s="13" t="s">
        <v>512</v>
      </c>
      <c r="C321" s="27" t="s">
        <v>44</v>
      </c>
      <c r="D321" s="13" t="s">
        <v>61</v>
      </c>
      <c r="E321" s="27">
        <f>+[1]モンスター計算!E324</f>
        <v>9062</v>
      </c>
      <c r="F321" s="5">
        <f>+[1]モンスター計算!F324</f>
        <v>1777</v>
      </c>
      <c r="G321" s="5">
        <f>+[1]モンスター計算!G324</f>
        <v>891</v>
      </c>
      <c r="H321" s="5">
        <f>+[1]モンスター計算!H324</f>
        <v>4125</v>
      </c>
      <c r="I321" s="5">
        <f>+[1]モンスター計算!I324</f>
        <v>800</v>
      </c>
      <c r="J321" s="13">
        <f>+[1]モンスター計算!J324</f>
        <v>812</v>
      </c>
      <c r="K321" s="27">
        <f>+[1]モンスター計算!K324</f>
        <v>0.08</v>
      </c>
      <c r="L321" s="13">
        <f>+[1]モンスター計算!L324</f>
        <v>1.55</v>
      </c>
      <c r="M321" s="27">
        <f>+[1]モンスター計算!M324</f>
        <v>4.2</v>
      </c>
      <c r="N321" s="5">
        <f>+[1]モンスター計算!N324</f>
        <v>1.3</v>
      </c>
      <c r="O321" s="13">
        <f>+[1]モンスター計算!O324</f>
        <v>2.5</v>
      </c>
      <c r="P321" s="27">
        <f>+[1]モンスター計算!P324</f>
        <v>0.11000000000000001</v>
      </c>
      <c r="Q321" s="5">
        <f>+[1]モンスター計算!Q324</f>
        <v>-0.19</v>
      </c>
      <c r="R321" s="5">
        <f>+[1]モンスター計算!R324</f>
        <v>-0.09</v>
      </c>
      <c r="S321" s="5">
        <f>+[1]モンスター計算!S324</f>
        <v>-0.09</v>
      </c>
      <c r="T321" s="5">
        <f>+[1]モンスター計算!T324</f>
        <v>-0.09</v>
      </c>
      <c r="U321" s="5">
        <f>+[1]モンスター計算!U324</f>
        <v>-0.09</v>
      </c>
      <c r="V321" s="13">
        <f>+[1]モンスター計算!V324</f>
        <v>4.2</v>
      </c>
      <c r="W321" s="30">
        <v>8</v>
      </c>
      <c r="X321" s="27" t="s">
        <v>64</v>
      </c>
      <c r="Y321" s="33" t="s">
        <v>88</v>
      </c>
      <c r="Z321" s="13">
        <v>1.2</v>
      </c>
      <c r="AA321" s="30">
        <v>7</v>
      </c>
      <c r="AB321" s="30">
        <f t="shared" si="8"/>
        <v>260</v>
      </c>
      <c r="AC321" s="47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0" t="s">
        <v>1232</v>
      </c>
      <c r="AI321" s="33" t="s">
        <v>1826</v>
      </c>
    </row>
    <row r="322" spans="1:35">
      <c r="A322" s="52" t="s">
        <v>837</v>
      </c>
      <c r="B322" s="13" t="s">
        <v>513</v>
      </c>
      <c r="C322" s="27" t="s">
        <v>46</v>
      </c>
      <c r="D322" s="13" t="s">
        <v>61</v>
      </c>
      <c r="E322" s="27">
        <f>+[1]モンスター計算!E325</f>
        <v>17500</v>
      </c>
      <c r="F322" s="5">
        <f>+[1]モンスター計算!F325</f>
        <v>3075</v>
      </c>
      <c r="G322" s="5">
        <f>+[1]モンスター計算!G325</f>
        <v>771</v>
      </c>
      <c r="H322" s="5">
        <f>+[1]モンスター計算!H325</f>
        <v>2597</v>
      </c>
      <c r="I322" s="5">
        <f>+[1]モンスター計算!I325</f>
        <v>2437</v>
      </c>
      <c r="J322" s="13">
        <f>+[1]モンスター計算!J325</f>
        <v>900</v>
      </c>
      <c r="K322" s="27">
        <f>+[1]モンスター計算!K325</f>
        <v>5.5E-2</v>
      </c>
      <c r="L322" s="13">
        <f>+[1]モンスター計算!L325</f>
        <v>1.5</v>
      </c>
      <c r="M322" s="27">
        <f>+[1]モンスター計算!M325</f>
        <v>1.85</v>
      </c>
      <c r="N322" s="5">
        <f>+[1]モンスター計算!N325</f>
        <v>0.87</v>
      </c>
      <c r="O322" s="13">
        <f>+[1]モンスター計算!O325</f>
        <v>2.35</v>
      </c>
      <c r="P322" s="27">
        <f>+[1]モンスター計算!P325</f>
        <v>6.5000000000000002E-2</v>
      </c>
      <c r="Q322" s="5">
        <f>+[1]モンスター計算!Q325</f>
        <v>6.5000000000000002E-2</v>
      </c>
      <c r="R322" s="5">
        <f>+[1]モンスター計算!R325</f>
        <v>0.26500000000000001</v>
      </c>
      <c r="S322" s="5">
        <f>+[1]モンスター計算!S325</f>
        <v>-3.5000000000000003E-2</v>
      </c>
      <c r="T322" s="5">
        <f>+[1]モンスター計算!T325</f>
        <v>6.5000000000000002E-2</v>
      </c>
      <c r="U322" s="5">
        <f>+[1]モンスター計算!U325</f>
        <v>6.5000000000000002E-2</v>
      </c>
      <c r="V322" s="13">
        <f>+[1]モンスター計算!V325</f>
        <v>4.2</v>
      </c>
      <c r="W322" s="30">
        <v>9</v>
      </c>
      <c r="X322" s="27" t="s">
        <v>66</v>
      </c>
      <c r="Y322" s="33" t="s">
        <v>89</v>
      </c>
      <c r="Z322" s="13">
        <v>1.22</v>
      </c>
      <c r="AA322" s="30">
        <v>10</v>
      </c>
      <c r="AB322" s="30">
        <f t="shared" si="8"/>
        <v>302</v>
      </c>
      <c r="AC322" s="47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0" t="s">
        <v>1233</v>
      </c>
      <c r="AI322" s="33" t="s">
        <v>1826</v>
      </c>
    </row>
    <row r="323" spans="1:35">
      <c r="A323" s="52" t="s">
        <v>838</v>
      </c>
      <c r="B323" s="13" t="s">
        <v>514</v>
      </c>
      <c r="C323" s="27" t="s">
        <v>44</v>
      </c>
      <c r="D323" s="13" t="s">
        <v>59</v>
      </c>
      <c r="E323" s="27">
        <f>+[1]モンスター計算!E326</f>
        <v>18750</v>
      </c>
      <c r="F323" s="5">
        <f>+[1]モンスター計算!F326</f>
        <v>861</v>
      </c>
      <c r="G323" s="5">
        <f>+[1]モンスター計算!G326</f>
        <v>2256</v>
      </c>
      <c r="H323" s="5">
        <f>+[1]モンスター計算!H326</f>
        <v>1015</v>
      </c>
      <c r="I323" s="5">
        <f>+[1]モンスター計算!I326</f>
        <v>1625</v>
      </c>
      <c r="J323" s="13">
        <f>+[1]モンスター計算!J326</f>
        <v>1062</v>
      </c>
      <c r="K323" s="27">
        <f>+[1]モンスター計算!K326</f>
        <v>0.08</v>
      </c>
      <c r="L323" s="13">
        <f>+[1]モンスター計算!L326</f>
        <v>1.6</v>
      </c>
      <c r="M323" s="27">
        <f>+[1]モンスター計算!M326</f>
        <v>2.8</v>
      </c>
      <c r="N323" s="5">
        <f>+[1]モンスター計算!N326</f>
        <v>1</v>
      </c>
      <c r="O323" s="13">
        <f>+[1]モンスター計算!O326</f>
        <v>1.2</v>
      </c>
      <c r="P323" s="27">
        <f>+[1]モンスター計算!P326</f>
        <v>0.23500000000000001</v>
      </c>
      <c r="Q323" s="5">
        <f>+[1]モンスター計算!Q326</f>
        <v>-6.5000000000000002E-2</v>
      </c>
      <c r="R323" s="5">
        <f>+[1]モンスター計算!R326</f>
        <v>3.5000000000000003E-2</v>
      </c>
      <c r="S323" s="5">
        <f>+[1]モンスター計算!S326</f>
        <v>3.5000000000000003E-2</v>
      </c>
      <c r="T323" s="5">
        <f>+[1]モンスター計算!T326</f>
        <v>3.5000000000000003E-2</v>
      </c>
      <c r="U323" s="5">
        <f>+[1]モンスター計算!U326</f>
        <v>3.5000000000000003E-2</v>
      </c>
      <c r="V323" s="13">
        <f>+[1]モンスター計算!V326</f>
        <v>4</v>
      </c>
      <c r="W323" s="30">
        <v>10</v>
      </c>
      <c r="X323" s="27" t="s">
        <v>68</v>
      </c>
      <c r="Y323" s="33" t="s">
        <v>90</v>
      </c>
      <c r="Z323" s="13">
        <v>1.25</v>
      </c>
      <c r="AA323" s="30">
        <v>15</v>
      </c>
      <c r="AB323" s="30">
        <f t="shared" si="8"/>
        <v>388</v>
      </c>
      <c r="AC323" s="47">
        <f t="shared" si="9"/>
        <v>54</v>
      </c>
      <c r="AD323" s="27" t="s">
        <v>74</v>
      </c>
      <c r="AE323" s="5">
        <v>0</v>
      </c>
      <c r="AF323" s="5">
        <v>0</v>
      </c>
      <c r="AG323" s="13" t="b">
        <v>0</v>
      </c>
      <c r="AH323" s="30" t="s">
        <v>1234</v>
      </c>
      <c r="AI323" s="33" t="s">
        <v>1826</v>
      </c>
    </row>
    <row r="324" spans="1:35">
      <c r="A324" s="52" t="s">
        <v>839</v>
      </c>
      <c r="B324" s="13" t="s">
        <v>515</v>
      </c>
      <c r="C324" s="27" t="s">
        <v>45</v>
      </c>
      <c r="D324" s="13" t="s">
        <v>59</v>
      </c>
      <c r="E324" s="27">
        <f>+[1]モンスター計算!E327</f>
        <v>19843</v>
      </c>
      <c r="F324" s="5">
        <f>+[1]モンスター計算!F327</f>
        <v>709</v>
      </c>
      <c r="G324" s="5">
        <f>+[1]モンスター計算!G327</f>
        <v>3941</v>
      </c>
      <c r="H324" s="5">
        <f>+[1]モンスター計算!H327</f>
        <v>1153</v>
      </c>
      <c r="I324" s="5">
        <f>+[1]モンスター計算!I327</f>
        <v>1312</v>
      </c>
      <c r="J324" s="13">
        <f>+[1]モンスター計算!J327</f>
        <v>1100</v>
      </c>
      <c r="K324" s="27">
        <f>+[1]モンスター計算!K327</f>
        <v>0.06</v>
      </c>
      <c r="L324" s="13">
        <f>+[1]モンスター計算!L327</f>
        <v>2.15</v>
      </c>
      <c r="M324" s="27">
        <f>+[1]モンスター計算!M327</f>
        <v>1.65</v>
      </c>
      <c r="N324" s="5">
        <f>+[1]モンスター計算!N327</f>
        <v>0.53</v>
      </c>
      <c r="O324" s="13">
        <f>+[1]モンスター計算!O327</f>
        <v>1.86</v>
      </c>
      <c r="P324" s="27">
        <f>+[1]モンスター計算!P327</f>
        <v>-0.125</v>
      </c>
      <c r="Q324" s="5">
        <f>+[1]モンスター計算!Q327</f>
        <v>0.17500000000000002</v>
      </c>
      <c r="R324" s="5">
        <f>+[1]モンスター計算!R327</f>
        <v>-2.5000000000000001E-2</v>
      </c>
      <c r="S324" s="5">
        <f>+[1]モンスター計算!S327</f>
        <v>-2.5000000000000001E-2</v>
      </c>
      <c r="T324" s="5">
        <f>+[1]モンスター計算!T327</f>
        <v>-2.5000000000000001E-2</v>
      </c>
      <c r="U324" s="5">
        <f>+[1]モンスター計算!U327</f>
        <v>-2.5000000000000001E-2</v>
      </c>
      <c r="V324" s="13">
        <f>+[1]モンスター計算!V327</f>
        <v>4.4000000000000004</v>
      </c>
      <c r="W324" s="30">
        <v>11</v>
      </c>
      <c r="X324" s="27" t="s">
        <v>70</v>
      </c>
      <c r="Y324" s="33" t="s">
        <v>91</v>
      </c>
      <c r="Z324" s="13">
        <v>1.25</v>
      </c>
      <c r="AA324" s="30">
        <v>20</v>
      </c>
      <c r="AB324" s="30">
        <f t="shared" si="8"/>
        <v>451</v>
      </c>
      <c r="AC324" s="47">
        <f t="shared" si="9"/>
        <v>54</v>
      </c>
      <c r="AD324" s="27" t="s">
        <v>74</v>
      </c>
      <c r="AE324" s="5">
        <v>0</v>
      </c>
      <c r="AF324" s="5">
        <v>0</v>
      </c>
      <c r="AG324" s="13" t="b">
        <v>0</v>
      </c>
      <c r="AH324" s="30" t="s">
        <v>1235</v>
      </c>
      <c r="AI324" s="33" t="s">
        <v>1826</v>
      </c>
    </row>
    <row r="325" spans="1:35" ht="19.5" thickBot="1">
      <c r="A325" s="53" t="s">
        <v>840</v>
      </c>
      <c r="B325" s="16" t="s">
        <v>516</v>
      </c>
      <c r="C325" s="28" t="s">
        <v>47</v>
      </c>
      <c r="D325" s="16" t="s">
        <v>61</v>
      </c>
      <c r="E325" s="28">
        <f>+[1]モンスター計算!E328</f>
        <v>20000</v>
      </c>
      <c r="F325" s="15">
        <f>+[1]モンスター計算!F328</f>
        <v>2164</v>
      </c>
      <c r="G325" s="15">
        <f>+[1]モンスター計算!G328</f>
        <v>566</v>
      </c>
      <c r="H325" s="15">
        <f>+[1]モンスター計算!H328</f>
        <v>1480</v>
      </c>
      <c r="I325" s="15">
        <f>+[1]モンスター計算!I328</f>
        <v>1537</v>
      </c>
      <c r="J325" s="16">
        <f>+[1]モンスター計算!J328</f>
        <v>1400</v>
      </c>
      <c r="K325" s="28">
        <f>+[1]モンスター計算!K328</f>
        <v>7.0000000000000007E-2</v>
      </c>
      <c r="L325" s="16">
        <f>+[1]モンスター計算!L328</f>
        <v>1.5</v>
      </c>
      <c r="M325" s="28">
        <f>+[1]モンスター計算!M328</f>
        <v>2.8</v>
      </c>
      <c r="N325" s="15">
        <f>+[1]モンスター計算!N328</f>
        <v>1.45</v>
      </c>
      <c r="O325" s="16">
        <f>+[1]モンスター計算!O328</f>
        <v>1.55</v>
      </c>
      <c r="P325" s="28">
        <f>+[1]モンスター計算!P328</f>
        <v>0.03</v>
      </c>
      <c r="Q325" s="15">
        <f>+[1]モンスター計算!Q328</f>
        <v>0.03</v>
      </c>
      <c r="R325" s="15">
        <f>+[1]モンスター計算!R328</f>
        <v>0.03</v>
      </c>
      <c r="S325" s="15">
        <f>+[1]モンスター計算!S328</f>
        <v>0.03</v>
      </c>
      <c r="T325" s="15">
        <f>+[1]モンスター計算!T328</f>
        <v>0.23</v>
      </c>
      <c r="U325" s="15">
        <f>+[1]モンスター計算!U328</f>
        <v>-7.0000000000000007E-2</v>
      </c>
      <c r="V325" s="16">
        <f>+[1]モンスター計算!V328</f>
        <v>3.6</v>
      </c>
      <c r="W325" s="31">
        <v>15</v>
      </c>
      <c r="X325" s="28" t="s">
        <v>72</v>
      </c>
      <c r="Y325" s="34" t="s">
        <v>92</v>
      </c>
      <c r="Z325" s="16">
        <v>1.3</v>
      </c>
      <c r="AA325" s="31">
        <v>40</v>
      </c>
      <c r="AB325" s="31">
        <f t="shared" si="8"/>
        <v>645</v>
      </c>
      <c r="AC325" s="48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1" t="s">
        <v>1236</v>
      </c>
      <c r="AI325" s="34" t="s">
        <v>1826</v>
      </c>
    </row>
    <row r="326" spans="1:35">
      <c r="A326" s="51" t="s">
        <v>841</v>
      </c>
      <c r="B326" s="11" t="s">
        <v>517</v>
      </c>
      <c r="C326" s="26" t="s">
        <v>45</v>
      </c>
      <c r="D326" s="11" t="s">
        <v>61</v>
      </c>
      <c r="E326" s="26">
        <f>+[1]モンスター計算!E329</f>
        <v>15640</v>
      </c>
      <c r="F326" s="10">
        <f>+[1]モンスター計算!F329</f>
        <v>4009</v>
      </c>
      <c r="G326" s="10">
        <f>+[1]モンスター計算!G329</f>
        <v>1698</v>
      </c>
      <c r="H326" s="10">
        <f>+[1]モンスター計算!H329</f>
        <v>5030</v>
      </c>
      <c r="I326" s="10">
        <f>+[1]モンスター計算!I329</f>
        <v>1210</v>
      </c>
      <c r="J326" s="11">
        <f>+[1]モンスター計算!J329</f>
        <v>1306</v>
      </c>
      <c r="K326" s="26">
        <f>+[1]モンスター計算!K329</f>
        <v>0.04</v>
      </c>
      <c r="L326" s="11">
        <f>+[1]モンスター計算!L329</f>
        <v>2.2000000000000002</v>
      </c>
      <c r="M326" s="26">
        <f>+[1]モンスター計算!M329</f>
        <v>1.65</v>
      </c>
      <c r="N326" s="10">
        <f>+[1]モンスター計算!N329</f>
        <v>0.64</v>
      </c>
      <c r="O326" s="11">
        <f>+[1]モンスター計算!O329</f>
        <v>3.7</v>
      </c>
      <c r="P326" s="26">
        <f>+[1]モンスター計算!P329</f>
        <v>-0.125</v>
      </c>
      <c r="Q326" s="10">
        <f>+[1]モンスター計算!Q329</f>
        <v>0.17500000000000002</v>
      </c>
      <c r="R326" s="10">
        <f>+[1]モンスター計算!R329</f>
        <v>-2.5000000000000001E-2</v>
      </c>
      <c r="S326" s="10">
        <f>+[1]モンスター計算!S329</f>
        <v>-2.5000000000000001E-2</v>
      </c>
      <c r="T326" s="10">
        <f>+[1]モンスター計算!T329</f>
        <v>-2.5000000000000001E-2</v>
      </c>
      <c r="U326" s="10">
        <f>+[1]モンスター計算!U329</f>
        <v>-2.5000000000000001E-2</v>
      </c>
      <c r="V326" s="11">
        <f>+[1]モンスター計算!V329</f>
        <v>5</v>
      </c>
      <c r="W326" s="29">
        <v>8</v>
      </c>
      <c r="X326" s="26" t="s">
        <v>109</v>
      </c>
      <c r="Y326" s="32" t="s">
        <v>87</v>
      </c>
      <c r="Z326" s="11">
        <v>1.2</v>
      </c>
      <c r="AA326" s="29">
        <v>5</v>
      </c>
      <c r="AB326" s="29">
        <f t="shared" si="8"/>
        <v>247</v>
      </c>
      <c r="AC326" s="46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29" t="s">
        <v>1237</v>
      </c>
      <c r="AI326" s="32" t="s">
        <v>1826</v>
      </c>
    </row>
    <row r="327" spans="1:35">
      <c r="A327" s="52" t="s">
        <v>842</v>
      </c>
      <c r="B327" s="13" t="s">
        <v>518</v>
      </c>
      <c r="C327" s="27" t="s">
        <v>44</v>
      </c>
      <c r="D327" s="13" t="s">
        <v>61</v>
      </c>
      <c r="E327" s="27">
        <f>+[1]モンスター計算!E330</f>
        <v>18218</v>
      </c>
      <c r="F327" s="5">
        <f>+[1]モンスター計算!F330</f>
        <v>4385</v>
      </c>
      <c r="G327" s="5">
        <f>+[1]モンスター計算!G330</f>
        <v>884</v>
      </c>
      <c r="H327" s="5">
        <f>+[1]モンスター計算!H330</f>
        <v>3021</v>
      </c>
      <c r="I327" s="5">
        <f>+[1]モンスター計算!I330</f>
        <v>1059</v>
      </c>
      <c r="J327" s="13">
        <f>+[1]モンスター計算!J330</f>
        <v>2819</v>
      </c>
      <c r="K327" s="27">
        <f>+[1]モンスター計算!K330</f>
        <v>4.4999999999999998E-2</v>
      </c>
      <c r="L327" s="13">
        <f>+[1]モンスター計算!L330</f>
        <v>1.45</v>
      </c>
      <c r="M327" s="27">
        <f>+[1]モンスター計算!M330</f>
        <v>1.9</v>
      </c>
      <c r="N327" s="5">
        <f>+[1]モンスター計算!N330</f>
        <v>0.84</v>
      </c>
      <c r="O327" s="13">
        <f>+[1]モンスター計算!O330</f>
        <v>2.65</v>
      </c>
      <c r="P327" s="27">
        <f>+[1]モンスター計算!P330</f>
        <v>0.29000000000000004</v>
      </c>
      <c r="Q327" s="5">
        <f>+[1]モンスター計算!Q330</f>
        <v>-1.0000000000000009E-2</v>
      </c>
      <c r="R327" s="5">
        <f>+[1]モンスター計算!R330</f>
        <v>0.09</v>
      </c>
      <c r="S327" s="5">
        <f>+[1]モンスター計算!S330</f>
        <v>0.09</v>
      </c>
      <c r="T327" s="5">
        <f>+[1]モンスター計算!T330</f>
        <v>0.09</v>
      </c>
      <c r="U327" s="5">
        <f>+[1]モンスター計算!U330</f>
        <v>0.09</v>
      </c>
      <c r="V327" s="13">
        <f>+[1]モンスター計算!V330</f>
        <v>4.4000000000000004</v>
      </c>
      <c r="W327" s="30">
        <v>8</v>
      </c>
      <c r="X327" s="27" t="s">
        <v>64</v>
      </c>
      <c r="Y327" s="33" t="s">
        <v>88</v>
      </c>
      <c r="Z327" s="13">
        <v>1.2</v>
      </c>
      <c r="AA327" s="30">
        <v>7</v>
      </c>
      <c r="AB327" s="30">
        <f t="shared" si="8"/>
        <v>273</v>
      </c>
      <c r="AC327" s="47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0" t="s">
        <v>1238</v>
      </c>
      <c r="AI327" s="33" t="s">
        <v>1826</v>
      </c>
    </row>
    <row r="328" spans="1:35">
      <c r="A328" s="52" t="s">
        <v>843</v>
      </c>
      <c r="B328" s="13" t="s">
        <v>519</v>
      </c>
      <c r="C328" s="27" t="s">
        <v>46</v>
      </c>
      <c r="D328" s="13" t="s">
        <v>61</v>
      </c>
      <c r="E328" s="27">
        <f>+[1]モンスター計算!E331</f>
        <v>9453</v>
      </c>
      <c r="F328" s="5">
        <f>+[1]モンスター計算!F331</f>
        <v>3759</v>
      </c>
      <c r="G328" s="5">
        <f>+[1]モンスター計算!G331</f>
        <v>1767</v>
      </c>
      <c r="H328" s="5">
        <f>+[1]モンスター計算!H331</f>
        <v>4908</v>
      </c>
      <c r="I328" s="5">
        <f>+[1]モンスター計算!I331</f>
        <v>1994</v>
      </c>
      <c r="J328" s="13">
        <f>+[1]モンスター計算!J331</f>
        <v>3094</v>
      </c>
      <c r="K328" s="27">
        <f>+[1]モンスター計算!K331</f>
        <v>0.04</v>
      </c>
      <c r="L328" s="13">
        <f>+[1]モンスター計算!L331</f>
        <v>1.38</v>
      </c>
      <c r="M328" s="27">
        <f>+[1]モンスター計算!M331</f>
        <v>2.2000000000000002</v>
      </c>
      <c r="N328" s="5">
        <f>+[1]モンスター計算!N331</f>
        <v>0.88</v>
      </c>
      <c r="O328" s="13">
        <f>+[1]モンスター計算!O331</f>
        <v>3.15</v>
      </c>
      <c r="P328" s="27">
        <f>+[1]モンスター計算!P331</f>
        <v>0.13</v>
      </c>
      <c r="Q328" s="5">
        <f>+[1]モンスター計算!Q331</f>
        <v>0.13</v>
      </c>
      <c r="R328" s="5">
        <f>+[1]モンスター計算!R331</f>
        <v>0.33</v>
      </c>
      <c r="S328" s="5">
        <f>+[1]モンスター計算!S331</f>
        <v>0.03</v>
      </c>
      <c r="T328" s="5">
        <f>+[1]モンスター計算!T331</f>
        <v>0.13</v>
      </c>
      <c r="U328" s="5">
        <f>+[1]モンスター計算!U331</f>
        <v>0.13</v>
      </c>
      <c r="V328" s="13">
        <f>+[1]モンスター計算!V331</f>
        <v>4.4800000000000004</v>
      </c>
      <c r="W328" s="30">
        <v>9</v>
      </c>
      <c r="X328" s="27" t="s">
        <v>66</v>
      </c>
      <c r="Y328" s="33" t="s">
        <v>89</v>
      </c>
      <c r="Z328" s="13">
        <v>1.22</v>
      </c>
      <c r="AA328" s="30">
        <v>10</v>
      </c>
      <c r="AB328" s="30">
        <f t="shared" si="8"/>
        <v>318</v>
      </c>
      <c r="AC328" s="47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0" t="s">
        <v>1239</v>
      </c>
      <c r="AI328" s="33" t="s">
        <v>1826</v>
      </c>
    </row>
    <row r="329" spans="1:35">
      <c r="A329" s="52" t="s">
        <v>844</v>
      </c>
      <c r="B329" s="13" t="s">
        <v>520</v>
      </c>
      <c r="C329" s="27" t="s">
        <v>44</v>
      </c>
      <c r="D329" s="13" t="s">
        <v>59</v>
      </c>
      <c r="E329" s="27">
        <f>+[1]モンスター計算!E332</f>
        <v>11172</v>
      </c>
      <c r="F329" s="5">
        <f>+[1]モンスター計算!F332</f>
        <v>535</v>
      </c>
      <c r="G329" s="5">
        <f>+[1]モンスター計算!G332</f>
        <v>3436</v>
      </c>
      <c r="H329" s="5">
        <f>+[1]モンスター計算!H332</f>
        <v>1005</v>
      </c>
      <c r="I329" s="5">
        <f>+[1]モンスター計算!I332</f>
        <v>852</v>
      </c>
      <c r="J329" s="13">
        <f>+[1]モンスター計算!J332</f>
        <v>935</v>
      </c>
      <c r="K329" s="27">
        <f>+[1]モンスター計算!K332</f>
        <v>0.18</v>
      </c>
      <c r="L329" s="13">
        <f>+[1]モンスター計算!L332</f>
        <v>2.1</v>
      </c>
      <c r="M329" s="27">
        <f>+[1]モンスター計算!M332</f>
        <v>3.15</v>
      </c>
      <c r="N329" s="5">
        <f>+[1]モンスター計算!N332</f>
        <v>1.35</v>
      </c>
      <c r="O329" s="13">
        <f>+[1]モンスター計算!O332</f>
        <v>1.29</v>
      </c>
      <c r="P329" s="27">
        <f>+[1]モンスター計算!P332</f>
        <v>0.12000000000000001</v>
      </c>
      <c r="Q329" s="5">
        <f>+[1]モンスター計算!Q332</f>
        <v>-0.18</v>
      </c>
      <c r="R329" s="5">
        <f>+[1]モンスター計算!R332</f>
        <v>-0.08</v>
      </c>
      <c r="S329" s="5">
        <f>+[1]モンスター計算!S332</f>
        <v>-0.08</v>
      </c>
      <c r="T329" s="5">
        <f>+[1]モンスター計算!T332</f>
        <v>-0.08</v>
      </c>
      <c r="U329" s="5">
        <f>+[1]モンスター計算!U332</f>
        <v>-0.08</v>
      </c>
      <c r="V329" s="13">
        <f>+[1]モンスター計算!V332</f>
        <v>4.8</v>
      </c>
      <c r="W329" s="30">
        <v>10</v>
      </c>
      <c r="X329" s="27" t="s">
        <v>68</v>
      </c>
      <c r="Y329" s="33" t="s">
        <v>90</v>
      </c>
      <c r="Z329" s="13">
        <v>1.25</v>
      </c>
      <c r="AA329" s="30">
        <v>15</v>
      </c>
      <c r="AB329" s="30">
        <f t="shared" ref="AB329:AB367" si="10">ROUNDUP(AB323*1.05,0)</f>
        <v>408</v>
      </c>
      <c r="AC329" s="47">
        <f t="shared" ref="AC329:AC367" si="11">+AC323+1</f>
        <v>55</v>
      </c>
      <c r="AD329" s="27" t="s">
        <v>74</v>
      </c>
      <c r="AE329" s="5">
        <v>0</v>
      </c>
      <c r="AF329" s="5">
        <v>0</v>
      </c>
      <c r="AG329" s="13" t="b">
        <v>0</v>
      </c>
      <c r="AH329" s="30" t="s">
        <v>1240</v>
      </c>
      <c r="AI329" s="33" t="s">
        <v>1826</v>
      </c>
    </row>
    <row r="330" spans="1:35">
      <c r="A330" s="52" t="s">
        <v>845</v>
      </c>
      <c r="B330" s="13" t="s">
        <v>521</v>
      </c>
      <c r="C330" s="27" t="s">
        <v>45</v>
      </c>
      <c r="D330" s="13" t="s">
        <v>59</v>
      </c>
      <c r="E330" s="27">
        <f>+[1]モンスター計算!E333</f>
        <v>20281</v>
      </c>
      <c r="F330" s="5">
        <f>+[1]モンスター計算!F333</f>
        <v>1169</v>
      </c>
      <c r="G330" s="5">
        <f>+[1]モンスター計算!G333</f>
        <v>2677</v>
      </c>
      <c r="H330" s="5">
        <f>+[1]モンスター計算!H333</f>
        <v>843</v>
      </c>
      <c r="I330" s="5">
        <f>+[1]モンスター計算!I333</f>
        <v>1567</v>
      </c>
      <c r="J330" s="13">
        <f>+[1]モンスター計算!J333</f>
        <v>1567</v>
      </c>
      <c r="K330" s="27">
        <f>+[1]モンスター計算!K333</f>
        <v>0.04</v>
      </c>
      <c r="L330" s="13">
        <f>+[1]モンスター計算!L333</f>
        <v>1.43</v>
      </c>
      <c r="M330" s="27">
        <f>+[1]モンスター計算!M333</f>
        <v>2.15</v>
      </c>
      <c r="N330" s="5">
        <f>+[1]モンスター計算!N333</f>
        <v>0.88</v>
      </c>
      <c r="O330" s="13">
        <f>+[1]モンスター計算!O333</f>
        <v>1.425</v>
      </c>
      <c r="P330" s="27">
        <f>+[1]モンスター計算!P333</f>
        <v>0.09</v>
      </c>
      <c r="Q330" s="5">
        <f>+[1]モンスター計算!Q333</f>
        <v>0.39</v>
      </c>
      <c r="R330" s="5">
        <f>+[1]モンスター計算!R333</f>
        <v>0.19</v>
      </c>
      <c r="S330" s="5">
        <f>+[1]モンスター計算!S333</f>
        <v>0.19</v>
      </c>
      <c r="T330" s="5">
        <f>+[1]モンスター計算!T333</f>
        <v>0.19</v>
      </c>
      <c r="U330" s="5">
        <f>+[1]モンスター計算!U333</f>
        <v>0.19</v>
      </c>
      <c r="V330" s="13">
        <f>+[1]モンスター計算!V333</f>
        <v>3.8</v>
      </c>
      <c r="W330" s="30">
        <v>11</v>
      </c>
      <c r="X330" s="27" t="s">
        <v>70</v>
      </c>
      <c r="Y330" s="33" t="s">
        <v>91</v>
      </c>
      <c r="Z330" s="13">
        <v>1.25</v>
      </c>
      <c r="AA330" s="30">
        <v>20</v>
      </c>
      <c r="AB330" s="30">
        <f t="shared" si="10"/>
        <v>474</v>
      </c>
      <c r="AC330" s="47">
        <f t="shared" si="11"/>
        <v>55</v>
      </c>
      <c r="AD330" s="27" t="s">
        <v>74</v>
      </c>
      <c r="AE330" s="5">
        <v>0</v>
      </c>
      <c r="AF330" s="5">
        <v>0</v>
      </c>
      <c r="AG330" s="13" t="b">
        <v>0</v>
      </c>
      <c r="AH330" s="30" t="s">
        <v>1241</v>
      </c>
      <c r="AI330" s="33" t="s">
        <v>1826</v>
      </c>
    </row>
    <row r="331" spans="1:35" ht="19.5" thickBot="1">
      <c r="A331" s="53" t="s">
        <v>846</v>
      </c>
      <c r="B331" s="16" t="s">
        <v>522</v>
      </c>
      <c r="C331" s="28" t="s">
        <v>47</v>
      </c>
      <c r="D331" s="16" t="s">
        <v>61</v>
      </c>
      <c r="E331" s="28">
        <f>+[1]モンスター計算!E334</f>
        <v>17703</v>
      </c>
      <c r="F331" s="15">
        <f>+[1]モンスター計算!F334</f>
        <v>6641</v>
      </c>
      <c r="G331" s="15">
        <f>+[1]モンスター計算!G334</f>
        <v>999</v>
      </c>
      <c r="H331" s="15">
        <f>+[1]モンスター計算!H334</f>
        <v>3172</v>
      </c>
      <c r="I331" s="15">
        <f>+[1]モンスター計算!I334</f>
        <v>1320</v>
      </c>
      <c r="J331" s="16">
        <f>+[1]モンスター計算!J334</f>
        <v>1622</v>
      </c>
      <c r="K331" s="28">
        <f>+[1]モンスター計算!K334</f>
        <v>6.5000000000000002E-2</v>
      </c>
      <c r="L331" s="16">
        <f>+[1]モンスター計算!L334</f>
        <v>1.45</v>
      </c>
      <c r="M331" s="28">
        <f>+[1]モンスター計算!M334</f>
        <v>2.1</v>
      </c>
      <c r="N331" s="15">
        <f>+[1]モンスター計算!N334</f>
        <v>0.9</v>
      </c>
      <c r="O331" s="16">
        <f>+[1]モンスター計算!O334</f>
        <v>2.8</v>
      </c>
      <c r="P331" s="28">
        <f>+[1]モンスター計算!P334</f>
        <v>0.02</v>
      </c>
      <c r="Q331" s="15">
        <f>+[1]モンスター計算!Q334</f>
        <v>0.02</v>
      </c>
      <c r="R331" s="15">
        <f>+[1]モンスター計算!R334</f>
        <v>0.02</v>
      </c>
      <c r="S331" s="15">
        <f>+[1]モンスター計算!S334</f>
        <v>0.02</v>
      </c>
      <c r="T331" s="15">
        <f>+[1]モンスター計算!T334</f>
        <v>0.22</v>
      </c>
      <c r="U331" s="15">
        <f>+[1]モンスター計算!U334</f>
        <v>-0.08</v>
      </c>
      <c r="V331" s="16">
        <f>+[1]モンスター計算!V334</f>
        <v>4.2</v>
      </c>
      <c r="W331" s="31">
        <v>15</v>
      </c>
      <c r="X331" s="28" t="s">
        <v>72</v>
      </c>
      <c r="Y331" s="34" t="s">
        <v>92</v>
      </c>
      <c r="Z331" s="16">
        <v>1.3</v>
      </c>
      <c r="AA331" s="31">
        <v>40</v>
      </c>
      <c r="AB331" s="31">
        <f t="shared" si="10"/>
        <v>678</v>
      </c>
      <c r="AC331" s="48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1" t="s">
        <v>1242</v>
      </c>
      <c r="AI331" s="34" t="s">
        <v>1826</v>
      </c>
    </row>
    <row r="332" spans="1:35">
      <c r="A332" s="51" t="s">
        <v>883</v>
      </c>
      <c r="B332" s="11" t="s">
        <v>847</v>
      </c>
      <c r="C332" s="26" t="s">
        <v>44</v>
      </c>
      <c r="D332" s="11" t="s">
        <v>59</v>
      </c>
      <c r="E332" s="26">
        <f>+[1]モンスター計算!E335</f>
        <v>15503</v>
      </c>
      <c r="F332" s="10">
        <f>+[1]モンスター計算!F335</f>
        <v>3721</v>
      </c>
      <c r="G332" s="10">
        <f>+[1]モンスター計算!G335</f>
        <v>1432</v>
      </c>
      <c r="H332" s="10">
        <f>+[1]モンスター計算!H335</f>
        <v>5305</v>
      </c>
      <c r="I332" s="10">
        <f>+[1]モンスター計算!I335</f>
        <v>1225</v>
      </c>
      <c r="J332" s="11">
        <f>+[1]モンスター計算!J335</f>
        <v>1316</v>
      </c>
      <c r="K332" s="26">
        <f>+[1]モンスター計算!K335</f>
        <v>0.12</v>
      </c>
      <c r="L332" s="11">
        <f>+[1]モンスター計算!L335</f>
        <v>2.5499999999999998</v>
      </c>
      <c r="M332" s="26">
        <f>+[1]モンスター計算!M335</f>
        <v>2.2999999999999998</v>
      </c>
      <c r="N332" s="10">
        <f>+[1]モンスター計算!N335</f>
        <v>0.68</v>
      </c>
      <c r="O332" s="11">
        <f>+[1]モンスター計算!O335</f>
        <v>3.55</v>
      </c>
      <c r="P332" s="26">
        <f>+[1]モンスター計算!P335</f>
        <v>0.14500000000000002</v>
      </c>
      <c r="Q332" s="10">
        <f>+[1]モンスター計算!Q335</f>
        <v>-0.155</v>
      </c>
      <c r="R332" s="10">
        <f>+[1]モンスター計算!R335</f>
        <v>-5.5E-2</v>
      </c>
      <c r="S332" s="10">
        <f>+[1]モンスター計算!S335</f>
        <v>-5.5E-2</v>
      </c>
      <c r="T332" s="10">
        <f>+[1]モンスター計算!T335</f>
        <v>-5.5E-2</v>
      </c>
      <c r="U332" s="10">
        <f>+[1]モンスター計算!U335</f>
        <v>-5.5E-2</v>
      </c>
      <c r="V332" s="11">
        <f>+[1]モンスター計算!V335</f>
        <v>4.8</v>
      </c>
      <c r="W332" s="29">
        <v>10</v>
      </c>
      <c r="X332" s="26" t="s">
        <v>1639</v>
      </c>
      <c r="Y332" s="32" t="s">
        <v>90</v>
      </c>
      <c r="Z332" s="11">
        <v>1.25</v>
      </c>
      <c r="AA332" s="29">
        <v>15</v>
      </c>
      <c r="AB332" s="29">
        <f t="shared" si="10"/>
        <v>260</v>
      </c>
      <c r="AC332" s="46">
        <f t="shared" si="11"/>
        <v>56</v>
      </c>
      <c r="AD332" s="26" t="s">
        <v>74</v>
      </c>
      <c r="AE332" s="10">
        <v>0</v>
      </c>
      <c r="AF332" s="10">
        <v>0</v>
      </c>
      <c r="AG332" s="11" t="b">
        <v>0</v>
      </c>
      <c r="AH332" s="29" t="s">
        <v>1243</v>
      </c>
      <c r="AI332" s="32" t="s">
        <v>1826</v>
      </c>
    </row>
    <row r="333" spans="1:35">
      <c r="A333" s="52" t="s">
        <v>884</v>
      </c>
      <c r="B333" s="13" t="s">
        <v>848</v>
      </c>
      <c r="C333" s="27" t="s">
        <v>45</v>
      </c>
      <c r="D333" s="13" t="s">
        <v>59</v>
      </c>
      <c r="E333" s="27">
        <f>+[1]モンスター計算!E336</f>
        <v>26468</v>
      </c>
      <c r="F333" s="5">
        <f>+[1]モンスター計算!F336</f>
        <v>6064</v>
      </c>
      <c r="G333" s="5">
        <f>+[1]モンスター計算!G336</f>
        <v>1013</v>
      </c>
      <c r="H333" s="5">
        <f>+[1]モンスター計算!H336</f>
        <v>2681</v>
      </c>
      <c r="I333" s="5">
        <f>+[1]モンスター計算!I336</f>
        <v>1437</v>
      </c>
      <c r="J333" s="13">
        <f>+[1]モンスター計算!J336</f>
        <v>2541</v>
      </c>
      <c r="K333" s="27">
        <f>+[1]モンスター計算!K336</f>
        <v>0.115</v>
      </c>
      <c r="L333" s="13">
        <f>+[1]モンスター計算!L336</f>
        <v>1.95</v>
      </c>
      <c r="M333" s="27">
        <f>+[1]モンスター計算!M336</f>
        <v>1.2</v>
      </c>
      <c r="N333" s="5">
        <f>+[1]モンスター計算!N336</f>
        <v>0.72</v>
      </c>
      <c r="O333" s="13">
        <f>+[1]モンスター計算!O336</f>
        <v>3.3250000000000002</v>
      </c>
      <c r="P333" s="27">
        <f>+[1]モンスター計算!P336</f>
        <v>-2.0000000000000004E-2</v>
      </c>
      <c r="Q333" s="5">
        <f>+[1]モンスター計算!Q336</f>
        <v>0.28000000000000003</v>
      </c>
      <c r="R333" s="5">
        <f>+[1]モンスター計算!R336</f>
        <v>0.08</v>
      </c>
      <c r="S333" s="5">
        <f>+[1]モンスター計算!S336</f>
        <v>0.08</v>
      </c>
      <c r="T333" s="5">
        <f>+[1]モンスター計算!T336</f>
        <v>0.08</v>
      </c>
      <c r="U333" s="5">
        <f>+[1]モンスター計算!U336</f>
        <v>0.08</v>
      </c>
      <c r="V333" s="13">
        <f>+[1]モンスター計算!V336</f>
        <v>5</v>
      </c>
      <c r="W333" s="30">
        <v>11</v>
      </c>
      <c r="X333" s="27" t="s">
        <v>70</v>
      </c>
      <c r="Y333" s="33" t="s">
        <v>91</v>
      </c>
      <c r="Z333" s="13">
        <v>1.25</v>
      </c>
      <c r="AA333" s="30">
        <v>20</v>
      </c>
      <c r="AB333" s="30">
        <f t="shared" si="10"/>
        <v>287</v>
      </c>
      <c r="AC333" s="47">
        <f t="shared" si="11"/>
        <v>56</v>
      </c>
      <c r="AD333" s="27" t="s">
        <v>74</v>
      </c>
      <c r="AE333" s="5">
        <v>0</v>
      </c>
      <c r="AF333" s="5">
        <v>0</v>
      </c>
      <c r="AG333" s="13" t="b">
        <v>0</v>
      </c>
      <c r="AH333" s="30" t="s">
        <v>1244</v>
      </c>
      <c r="AI333" s="33" t="s">
        <v>1826</v>
      </c>
    </row>
    <row r="334" spans="1:35">
      <c r="A334" s="52" t="s">
        <v>885</v>
      </c>
      <c r="B334" s="13" t="s">
        <v>849</v>
      </c>
      <c r="C334" s="27" t="s">
        <v>47</v>
      </c>
      <c r="D334" s="13" t="s">
        <v>61</v>
      </c>
      <c r="E334" s="27">
        <f>+[1]モンスター計算!E337</f>
        <v>14747</v>
      </c>
      <c r="F334" s="5">
        <f>+[1]モンスター計算!F337</f>
        <v>3170</v>
      </c>
      <c r="G334" s="5">
        <f>+[1]モンスター計算!G337</f>
        <v>1798</v>
      </c>
      <c r="H334" s="5">
        <f>+[1]モンスター計算!H337</f>
        <v>3996</v>
      </c>
      <c r="I334" s="5">
        <f>+[1]モンスター計算!I337</f>
        <v>1134</v>
      </c>
      <c r="J334" s="13">
        <f>+[1]モンスター計算!J337</f>
        <v>1210</v>
      </c>
      <c r="K334" s="27">
        <f>+[1]モンスター計算!K337</f>
        <v>0.11</v>
      </c>
      <c r="L334" s="13">
        <f>+[1]モンスター計算!L337</f>
        <v>1.65</v>
      </c>
      <c r="M334" s="27">
        <f>+[1]モンスター計算!M337</f>
        <v>2.2000000000000002</v>
      </c>
      <c r="N334" s="5">
        <f>+[1]モンスター計算!N337</f>
        <v>1.1000000000000001</v>
      </c>
      <c r="O334" s="13">
        <f>+[1]モンスター計算!O337</f>
        <v>2.75</v>
      </c>
      <c r="P334" s="27">
        <f>+[1]モンスター計算!P337</f>
        <v>-0.04</v>
      </c>
      <c r="Q334" s="5">
        <f>+[1]モンスター計算!Q337</f>
        <v>-0.04</v>
      </c>
      <c r="R334" s="5">
        <f>+[1]モンスター計算!R337</f>
        <v>-0.04</v>
      </c>
      <c r="S334" s="5">
        <f>+[1]モンスター計算!S337</f>
        <v>-0.04</v>
      </c>
      <c r="T334" s="5">
        <f>+[1]モンスター計算!T337</f>
        <v>0.16</v>
      </c>
      <c r="U334" s="5">
        <f>+[1]モンスター計算!U337</f>
        <v>-0.14000000000000001</v>
      </c>
      <c r="V334" s="13">
        <f>+[1]モンスター計算!V337</f>
        <v>4.2</v>
      </c>
      <c r="W334" s="30">
        <v>15</v>
      </c>
      <c r="X334" s="27" t="s">
        <v>72</v>
      </c>
      <c r="Y334" s="33" t="s">
        <v>92</v>
      </c>
      <c r="Z334" s="13">
        <v>1.3</v>
      </c>
      <c r="AA334" s="30">
        <v>40</v>
      </c>
      <c r="AB334" s="30">
        <f t="shared" si="10"/>
        <v>334</v>
      </c>
      <c r="AC334" s="47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0" t="s">
        <v>1245</v>
      </c>
      <c r="AI334" s="33" t="s">
        <v>1826</v>
      </c>
    </row>
    <row r="335" spans="1:35">
      <c r="A335" s="52" t="s">
        <v>886</v>
      </c>
      <c r="B335" s="13" t="s">
        <v>850</v>
      </c>
      <c r="C335" s="27" t="s">
        <v>45</v>
      </c>
      <c r="D335" s="13" t="s">
        <v>61</v>
      </c>
      <c r="E335" s="27">
        <f>+[1]モンスター計算!E338</f>
        <v>27792</v>
      </c>
      <c r="F335" s="5">
        <f>+[1]モンスター計算!F338</f>
        <v>1225</v>
      </c>
      <c r="G335" s="5">
        <f>+[1]モンスター計算!G338</f>
        <v>2547</v>
      </c>
      <c r="H335" s="5">
        <f>+[1]モンスター計算!H338</f>
        <v>871</v>
      </c>
      <c r="I335" s="5">
        <f>+[1]モンスター計算!I338</f>
        <v>1391</v>
      </c>
      <c r="J335" s="13">
        <f>+[1]モンスター計算!J338</f>
        <v>3327</v>
      </c>
      <c r="K335" s="27">
        <f>+[1]モンスター計算!K338</f>
        <v>0.05</v>
      </c>
      <c r="L335" s="13">
        <f>+[1]モンスター計算!L338</f>
        <v>1.5</v>
      </c>
      <c r="M335" s="27">
        <f>+[1]モンスター計算!M338</f>
        <v>2.0499999999999998</v>
      </c>
      <c r="N335" s="5">
        <f>+[1]モンスター計算!N338</f>
        <v>0.79</v>
      </c>
      <c r="O335" s="13">
        <f>+[1]モンスター計算!O338</f>
        <v>1.26</v>
      </c>
      <c r="P335" s="27">
        <f>+[1]モンスター計算!P338</f>
        <v>-0.03</v>
      </c>
      <c r="Q335" s="5">
        <f>+[1]モンスター計算!Q338</f>
        <v>0.27</v>
      </c>
      <c r="R335" s="5">
        <f>+[1]モンスター計算!R338</f>
        <v>7.0000000000000007E-2</v>
      </c>
      <c r="S335" s="5">
        <f>+[1]モンスター計算!S338</f>
        <v>7.0000000000000007E-2</v>
      </c>
      <c r="T335" s="5">
        <f>+[1]モンスター計算!T338</f>
        <v>7.0000000000000007E-2</v>
      </c>
      <c r="U335" s="5">
        <f>+[1]モンスター計算!U338</f>
        <v>7.0000000000000007E-2</v>
      </c>
      <c r="V335" s="13">
        <f>+[1]モンスター計算!V338</f>
        <v>4</v>
      </c>
      <c r="W335" s="30">
        <v>8</v>
      </c>
      <c r="X335" s="27" t="s">
        <v>109</v>
      </c>
      <c r="Y335" s="33" t="s">
        <v>87</v>
      </c>
      <c r="Z335" s="13">
        <v>1.2</v>
      </c>
      <c r="AA335" s="30">
        <v>5</v>
      </c>
      <c r="AB335" s="30">
        <f t="shared" si="10"/>
        <v>429</v>
      </c>
      <c r="AC335" s="47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0" t="s">
        <v>1246</v>
      </c>
      <c r="AI335" s="33" t="s">
        <v>1826</v>
      </c>
    </row>
    <row r="336" spans="1:35">
      <c r="A336" s="52" t="s">
        <v>887</v>
      </c>
      <c r="B336" s="13" t="s">
        <v>851</v>
      </c>
      <c r="C336" s="27" t="s">
        <v>44</v>
      </c>
      <c r="D336" s="13" t="s">
        <v>61</v>
      </c>
      <c r="E336" s="27">
        <f>+[1]モンスター計算!E339</f>
        <v>38757</v>
      </c>
      <c r="F336" s="5">
        <f>+[1]モンスター計算!F339</f>
        <v>735</v>
      </c>
      <c r="G336" s="5">
        <f>+[1]モンスター計算!G339</f>
        <v>2987</v>
      </c>
      <c r="H336" s="5">
        <f>+[1]モンスター計算!H339</f>
        <v>1210</v>
      </c>
      <c r="I336" s="5">
        <f>+[1]モンスター計算!I339</f>
        <v>2299</v>
      </c>
      <c r="J336" s="13">
        <f>+[1]モンスター計算!J339</f>
        <v>1966</v>
      </c>
      <c r="K336" s="27">
        <f>+[1]モンスター計算!K339</f>
        <v>2.5000000000000001E-2</v>
      </c>
      <c r="L336" s="13">
        <f>+[1]モンスター計算!L339</f>
        <v>1.35</v>
      </c>
      <c r="M336" s="27">
        <f>+[1]モンスター計算!M339</f>
        <v>1.1499999999999999</v>
      </c>
      <c r="N336" s="5">
        <f>+[1]モンスター計算!N339</f>
        <v>0.51</v>
      </c>
      <c r="O336" s="13">
        <f>+[1]モンスター計算!O339</f>
        <v>1.2749999999999999</v>
      </c>
      <c r="P336" s="27">
        <f>+[1]モンスター計算!P339</f>
        <v>0.25</v>
      </c>
      <c r="Q336" s="5">
        <f>+[1]モンスター計算!Q339</f>
        <v>-0.05</v>
      </c>
      <c r="R336" s="5">
        <f>+[1]モンスター計算!R339</f>
        <v>0.05</v>
      </c>
      <c r="S336" s="5">
        <f>+[1]モンスター計算!S339</f>
        <v>0.05</v>
      </c>
      <c r="T336" s="5">
        <f>+[1]モンスター計算!T339</f>
        <v>0.05</v>
      </c>
      <c r="U336" s="5">
        <f>+[1]モンスター計算!U339</f>
        <v>0.05</v>
      </c>
      <c r="V336" s="13">
        <f>+[1]モンスター計算!V339</f>
        <v>3.2</v>
      </c>
      <c r="W336" s="30">
        <v>8</v>
      </c>
      <c r="X336" s="27" t="s">
        <v>64</v>
      </c>
      <c r="Y336" s="33" t="s">
        <v>88</v>
      </c>
      <c r="Z336" s="13">
        <v>1.2</v>
      </c>
      <c r="AA336" s="30">
        <v>7</v>
      </c>
      <c r="AB336" s="30">
        <f t="shared" si="10"/>
        <v>498</v>
      </c>
      <c r="AC336" s="47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0" t="s">
        <v>1247</v>
      </c>
      <c r="AI336" s="33" t="s">
        <v>1826</v>
      </c>
    </row>
    <row r="337" spans="1:35" ht="19.5" thickBot="1">
      <c r="A337" s="53" t="s">
        <v>888</v>
      </c>
      <c r="B337" s="16" t="s">
        <v>852</v>
      </c>
      <c r="C337" s="28" t="s">
        <v>46</v>
      </c>
      <c r="D337" s="16" t="s">
        <v>61</v>
      </c>
      <c r="E337" s="28">
        <f>+[1]モンスター計算!E340</f>
        <v>17393</v>
      </c>
      <c r="F337" s="15">
        <f>+[1]モンスター計算!F340</f>
        <v>2756</v>
      </c>
      <c r="G337" s="15">
        <f>+[1]モンスター計算!G340</f>
        <v>1574</v>
      </c>
      <c r="H337" s="15">
        <f>+[1]モンスター計算!H340</f>
        <v>3497</v>
      </c>
      <c r="I337" s="15">
        <f>+[1]モンスター計算!I340</f>
        <v>1437</v>
      </c>
      <c r="J337" s="16">
        <f>+[1]モンスター計算!J340</f>
        <v>1588</v>
      </c>
      <c r="K337" s="28">
        <f>+[1]モンスター計算!K340</f>
        <v>0.05</v>
      </c>
      <c r="L337" s="16">
        <f>+[1]モンスター計算!L340</f>
        <v>1.5</v>
      </c>
      <c r="M337" s="28">
        <f>+[1]モンスター計算!M340</f>
        <v>2</v>
      </c>
      <c r="N337" s="15">
        <f>+[1]モンスター計算!N340</f>
        <v>1.05</v>
      </c>
      <c r="O337" s="16">
        <f>+[1]モンスター計算!O340</f>
        <v>2.5</v>
      </c>
      <c r="P337" s="28">
        <f>+[1]モンスター計算!P340</f>
        <v>0</v>
      </c>
      <c r="Q337" s="15">
        <f>+[1]モンスター計算!Q340</f>
        <v>0</v>
      </c>
      <c r="R337" s="15">
        <f>+[1]モンスター計算!R340</f>
        <v>0.2</v>
      </c>
      <c r="S337" s="15">
        <f>+[1]モンスター計算!S340</f>
        <v>-0.1</v>
      </c>
      <c r="T337" s="15">
        <f>+[1]モンスター計算!T340</f>
        <v>0</v>
      </c>
      <c r="U337" s="15">
        <f>+[1]モンスター計算!U340</f>
        <v>0</v>
      </c>
      <c r="V337" s="16">
        <f>+[1]モンスター計算!V340</f>
        <v>4</v>
      </c>
      <c r="W337" s="31">
        <v>9</v>
      </c>
      <c r="X337" s="28" t="s">
        <v>66</v>
      </c>
      <c r="Y337" s="34" t="s">
        <v>89</v>
      </c>
      <c r="Z337" s="16">
        <v>1.22</v>
      </c>
      <c r="AA337" s="31">
        <v>10</v>
      </c>
      <c r="AB337" s="31">
        <f t="shared" si="10"/>
        <v>712</v>
      </c>
      <c r="AC337" s="48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1" t="s">
        <v>1248</v>
      </c>
      <c r="AI337" s="34" t="s">
        <v>1826</v>
      </c>
    </row>
    <row r="338" spans="1:35">
      <c r="A338" s="51" t="s">
        <v>889</v>
      </c>
      <c r="B338" s="11" t="s">
        <v>853</v>
      </c>
      <c r="C338" s="26" t="s">
        <v>44</v>
      </c>
      <c r="D338" s="11" t="s">
        <v>59</v>
      </c>
      <c r="E338" s="26">
        <f>+[1]モンスター計算!E341</f>
        <v>16429</v>
      </c>
      <c r="F338" s="10">
        <f>+[1]モンスター計算!F341</f>
        <v>2729</v>
      </c>
      <c r="G338" s="10">
        <f>+[1]モンスター計算!G341</f>
        <v>719</v>
      </c>
      <c r="H338" s="10">
        <f>+[1]モンスター計算!H341</f>
        <v>3013</v>
      </c>
      <c r="I338" s="10">
        <f>+[1]モンスター計算!I341</f>
        <v>1414</v>
      </c>
      <c r="J338" s="11">
        <f>+[1]モンスター計算!J341</f>
        <v>1348</v>
      </c>
      <c r="K338" s="26">
        <f>+[1]モンスター計算!K341</f>
        <v>6.5000000000000002E-2</v>
      </c>
      <c r="L338" s="11">
        <f>+[1]モンスター計算!L341</f>
        <v>1.45</v>
      </c>
      <c r="M338" s="26">
        <f>+[1]モンスター計算!M341</f>
        <v>4</v>
      </c>
      <c r="N338" s="10">
        <f>+[1]モンスター計算!N341</f>
        <v>1.72</v>
      </c>
      <c r="O338" s="11">
        <f>+[1]モンスター計算!O341</f>
        <v>1.9</v>
      </c>
      <c r="P338" s="26">
        <f>+[1]モンスター計算!P341</f>
        <v>0.13</v>
      </c>
      <c r="Q338" s="10">
        <f>+[1]モンスター計算!Q341</f>
        <v>-0.17</v>
      </c>
      <c r="R338" s="10">
        <f>+[1]モンスター計算!R341</f>
        <v>-7.0000000000000007E-2</v>
      </c>
      <c r="S338" s="10">
        <f>+[1]モンスター計算!S341</f>
        <v>-7.0000000000000007E-2</v>
      </c>
      <c r="T338" s="10">
        <f>+[1]モンスター計算!T341</f>
        <v>-7.0000000000000007E-2</v>
      </c>
      <c r="U338" s="10">
        <f>+[1]モンスター計算!U341</f>
        <v>-7.0000000000000007E-2</v>
      </c>
      <c r="V338" s="11">
        <f>+[1]モンスター計算!V341</f>
        <v>5.4</v>
      </c>
      <c r="W338" s="29">
        <v>10</v>
      </c>
      <c r="X338" s="26" t="s">
        <v>1639</v>
      </c>
      <c r="Y338" s="32" t="s">
        <v>90</v>
      </c>
      <c r="Z338" s="11">
        <v>1.25</v>
      </c>
      <c r="AA338" s="29">
        <v>15</v>
      </c>
      <c r="AB338" s="29">
        <f t="shared" si="10"/>
        <v>273</v>
      </c>
      <c r="AC338" s="46">
        <f t="shared" si="11"/>
        <v>57</v>
      </c>
      <c r="AD338" s="26" t="s">
        <v>74</v>
      </c>
      <c r="AE338" s="10">
        <v>0</v>
      </c>
      <c r="AF338" s="10">
        <v>0</v>
      </c>
      <c r="AG338" s="11" t="b">
        <v>0</v>
      </c>
      <c r="AH338" s="29" t="s">
        <v>1249</v>
      </c>
      <c r="AI338" s="32" t="s">
        <v>1826</v>
      </c>
    </row>
    <row r="339" spans="1:35">
      <c r="A339" s="52" t="s">
        <v>890</v>
      </c>
      <c r="B339" s="13" t="s">
        <v>854</v>
      </c>
      <c r="C339" s="27" t="s">
        <v>45</v>
      </c>
      <c r="D339" s="13" t="s">
        <v>59</v>
      </c>
      <c r="E339" s="27">
        <f>+[1]モンスター計算!E342</f>
        <v>24956</v>
      </c>
      <c r="F339" s="5">
        <f>+[1]モンスター計算!F342</f>
        <v>3032</v>
      </c>
      <c r="G339" s="5">
        <f>+[1]モンスター計算!G342</f>
        <v>1331</v>
      </c>
      <c r="H339" s="5">
        <f>+[1]モンスター計算!H342</f>
        <v>2957</v>
      </c>
      <c r="I339" s="5">
        <f>+[1]モンスター計算!I342</f>
        <v>2163</v>
      </c>
      <c r="J339" s="13">
        <f>+[1]モンスター計算!J342</f>
        <v>1414</v>
      </c>
      <c r="K339" s="27">
        <f>+[1]モンスター計算!K342</f>
        <v>0.08</v>
      </c>
      <c r="L339" s="13">
        <f>+[1]モンスター計算!L342</f>
        <v>1.6</v>
      </c>
      <c r="M339" s="27">
        <f>+[1]モンスター計算!M342</f>
        <v>2.8</v>
      </c>
      <c r="N339" s="5">
        <f>+[1]モンスター計算!N342</f>
        <v>1</v>
      </c>
      <c r="O339" s="13">
        <f>+[1]モンスター計算!O342</f>
        <v>2.5</v>
      </c>
      <c r="P339" s="27">
        <f>+[1]モンスター計算!P342</f>
        <v>-8.5000000000000006E-2</v>
      </c>
      <c r="Q339" s="5">
        <f>+[1]モンスター計算!Q342</f>
        <v>0.21500000000000002</v>
      </c>
      <c r="R339" s="5">
        <f>+[1]モンスター計算!R342</f>
        <v>1.4999999999999999E-2</v>
      </c>
      <c r="S339" s="5">
        <f>+[1]モンスター計算!S342</f>
        <v>1.4999999999999999E-2</v>
      </c>
      <c r="T339" s="5">
        <f>+[1]モンスター計算!T342</f>
        <v>1.4999999999999999E-2</v>
      </c>
      <c r="U339" s="5">
        <f>+[1]モンスター計算!U342</f>
        <v>1.4999999999999999E-2</v>
      </c>
      <c r="V339" s="13">
        <f>+[1]モンスター計算!V342</f>
        <v>4</v>
      </c>
      <c r="W339" s="30">
        <v>11</v>
      </c>
      <c r="X339" s="27" t="s">
        <v>70</v>
      </c>
      <c r="Y339" s="33" t="s">
        <v>91</v>
      </c>
      <c r="Z339" s="13">
        <v>1.25</v>
      </c>
      <c r="AA339" s="30">
        <v>20</v>
      </c>
      <c r="AB339" s="30">
        <f t="shared" si="10"/>
        <v>302</v>
      </c>
      <c r="AC339" s="47">
        <f t="shared" si="11"/>
        <v>57</v>
      </c>
      <c r="AD339" s="27" t="s">
        <v>74</v>
      </c>
      <c r="AE339" s="5">
        <v>0</v>
      </c>
      <c r="AF339" s="5">
        <v>0</v>
      </c>
      <c r="AG339" s="13" t="b">
        <v>0</v>
      </c>
      <c r="AH339" s="30" t="s">
        <v>1250</v>
      </c>
      <c r="AI339" s="33" t="s">
        <v>1826</v>
      </c>
    </row>
    <row r="340" spans="1:35">
      <c r="A340" s="52" t="s">
        <v>891</v>
      </c>
      <c r="B340" s="13" t="s">
        <v>855</v>
      </c>
      <c r="C340" s="27" t="s">
        <v>47</v>
      </c>
      <c r="D340" s="13" t="s">
        <v>61</v>
      </c>
      <c r="E340" s="27">
        <f>+[1]モンスター計算!E343</f>
        <v>12062</v>
      </c>
      <c r="F340" s="5">
        <f>+[1]モンスター計算!F343</f>
        <v>2365</v>
      </c>
      <c r="G340" s="5">
        <f>+[1]モンスター計算!G343</f>
        <v>1186</v>
      </c>
      <c r="H340" s="5">
        <f>+[1]モンスター計算!H343</f>
        <v>5491</v>
      </c>
      <c r="I340" s="5">
        <f>+[1]モンスター計算!I343</f>
        <v>1065</v>
      </c>
      <c r="J340" s="13">
        <f>+[1]モンスター計算!J343</f>
        <v>1081</v>
      </c>
      <c r="K340" s="27">
        <f>+[1]モンスター計算!K343</f>
        <v>0.08</v>
      </c>
      <c r="L340" s="13">
        <f>+[1]モンスター計算!L343</f>
        <v>1.55</v>
      </c>
      <c r="M340" s="27">
        <f>+[1]モンスター計算!M343</f>
        <v>4.2</v>
      </c>
      <c r="N340" s="5">
        <f>+[1]モンスター計算!N343</f>
        <v>1.3</v>
      </c>
      <c r="O340" s="13">
        <f>+[1]モンスター計算!O343</f>
        <v>2.5</v>
      </c>
      <c r="P340" s="27">
        <f>+[1]モンスター計算!P343</f>
        <v>-0.09</v>
      </c>
      <c r="Q340" s="5">
        <f>+[1]モンスター計算!Q343</f>
        <v>-0.09</v>
      </c>
      <c r="R340" s="5">
        <f>+[1]モンスター計算!R343</f>
        <v>-0.09</v>
      </c>
      <c r="S340" s="5">
        <f>+[1]モンスター計算!S343</f>
        <v>-0.09</v>
      </c>
      <c r="T340" s="5">
        <f>+[1]モンスター計算!T343</f>
        <v>0.11000000000000001</v>
      </c>
      <c r="U340" s="5">
        <f>+[1]モンスター計算!U343</f>
        <v>-0.19</v>
      </c>
      <c r="V340" s="13">
        <f>+[1]モンスター計算!V343</f>
        <v>4.2</v>
      </c>
      <c r="W340" s="30">
        <v>15</v>
      </c>
      <c r="X340" s="27" t="s">
        <v>72</v>
      </c>
      <c r="Y340" s="33" t="s">
        <v>92</v>
      </c>
      <c r="Z340" s="13">
        <v>1.3</v>
      </c>
      <c r="AA340" s="30">
        <v>40</v>
      </c>
      <c r="AB340" s="30">
        <f t="shared" si="10"/>
        <v>351</v>
      </c>
      <c r="AC340" s="47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0" t="s">
        <v>1251</v>
      </c>
      <c r="AI340" s="33" t="s">
        <v>1826</v>
      </c>
    </row>
    <row r="341" spans="1:35">
      <c r="A341" s="52" t="s">
        <v>892</v>
      </c>
      <c r="B341" s="13" t="s">
        <v>856</v>
      </c>
      <c r="C341" s="27" t="s">
        <v>45</v>
      </c>
      <c r="D341" s="13" t="s">
        <v>61</v>
      </c>
      <c r="E341" s="27">
        <f>+[1]モンスター計算!E344</f>
        <v>16429</v>
      </c>
      <c r="F341" s="5">
        <f>+[1]モンスター計算!F344</f>
        <v>1145</v>
      </c>
      <c r="G341" s="5">
        <f>+[1]モンスター計算!G344</f>
        <v>3340</v>
      </c>
      <c r="H341" s="5">
        <f>+[1]モンスター計算!H344</f>
        <v>1052</v>
      </c>
      <c r="I341" s="5">
        <f>+[1]モンスター計算!I344</f>
        <v>1314</v>
      </c>
      <c r="J341" s="13">
        <f>+[1]モンスター計算!J344</f>
        <v>1215</v>
      </c>
      <c r="K341" s="27">
        <f>+[1]モンスター計算!K344</f>
        <v>0.1</v>
      </c>
      <c r="L341" s="13">
        <f>+[1]モンスター計算!L344</f>
        <v>1.85</v>
      </c>
      <c r="M341" s="27">
        <f>+[1]モンスター計算!M344</f>
        <v>4</v>
      </c>
      <c r="N341" s="5">
        <f>+[1]モンスター計算!N344</f>
        <v>1.41</v>
      </c>
      <c r="O341" s="13">
        <f>+[1]モンスター計算!O344</f>
        <v>1.8</v>
      </c>
      <c r="P341" s="27">
        <f>+[1]モンスター計算!P344</f>
        <v>-0.155</v>
      </c>
      <c r="Q341" s="5">
        <f>+[1]モンスター計算!Q344</f>
        <v>0.14500000000000002</v>
      </c>
      <c r="R341" s="5">
        <f>+[1]モンスター計算!R344</f>
        <v>-5.5E-2</v>
      </c>
      <c r="S341" s="5">
        <f>+[1]モンスター計算!S344</f>
        <v>-5.5E-2</v>
      </c>
      <c r="T341" s="5">
        <f>+[1]モンスター計算!T344</f>
        <v>-5.5E-2</v>
      </c>
      <c r="U341" s="5">
        <f>+[1]モンスター計算!U344</f>
        <v>-5.5E-2</v>
      </c>
      <c r="V341" s="13">
        <f>+[1]モンスター計算!V344</f>
        <v>6.4</v>
      </c>
      <c r="W341" s="30">
        <v>8</v>
      </c>
      <c r="X341" s="27" t="s">
        <v>109</v>
      </c>
      <c r="Y341" s="33" t="s">
        <v>87</v>
      </c>
      <c r="Z341" s="13">
        <v>1.2</v>
      </c>
      <c r="AA341" s="30">
        <v>5</v>
      </c>
      <c r="AB341" s="30">
        <f t="shared" si="10"/>
        <v>451</v>
      </c>
      <c r="AC341" s="47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0" t="s">
        <v>1252</v>
      </c>
      <c r="AI341" s="33" t="s">
        <v>1826</v>
      </c>
    </row>
    <row r="342" spans="1:35">
      <c r="A342" s="52" t="s">
        <v>893</v>
      </c>
      <c r="B342" s="13" t="s">
        <v>857</v>
      </c>
      <c r="C342" s="27" t="s">
        <v>44</v>
      </c>
      <c r="D342" s="13" t="s">
        <v>61</v>
      </c>
      <c r="E342" s="27">
        <f>+[1]モンスター計算!E345</f>
        <v>24956</v>
      </c>
      <c r="F342" s="5">
        <f>+[1]モンスター計算!F345</f>
        <v>1145</v>
      </c>
      <c r="G342" s="5">
        <f>+[1]モンスター計算!G345</f>
        <v>3003</v>
      </c>
      <c r="H342" s="5">
        <f>+[1]モンスター計算!H345</f>
        <v>1351</v>
      </c>
      <c r="I342" s="5">
        <f>+[1]モンスター計算!I345</f>
        <v>2163</v>
      </c>
      <c r="J342" s="13">
        <f>+[1]モンスター計算!J345</f>
        <v>1414</v>
      </c>
      <c r="K342" s="27">
        <f>+[1]モンスター計算!K345</f>
        <v>0.08</v>
      </c>
      <c r="L342" s="13">
        <f>+[1]モンスター計算!L345</f>
        <v>1.6</v>
      </c>
      <c r="M342" s="27">
        <f>+[1]モンスター計算!M345</f>
        <v>2.8</v>
      </c>
      <c r="N342" s="5">
        <f>+[1]モンスター計算!N345</f>
        <v>1</v>
      </c>
      <c r="O342" s="13">
        <f>+[1]モンスター計算!O345</f>
        <v>1.2</v>
      </c>
      <c r="P342" s="27">
        <f>+[1]モンスター計算!P345</f>
        <v>0.23500000000000001</v>
      </c>
      <c r="Q342" s="5">
        <f>+[1]モンスター計算!Q345</f>
        <v>-6.5000000000000002E-2</v>
      </c>
      <c r="R342" s="5">
        <f>+[1]モンスター計算!R345</f>
        <v>3.5000000000000003E-2</v>
      </c>
      <c r="S342" s="5">
        <f>+[1]モンスター計算!S345</f>
        <v>3.5000000000000003E-2</v>
      </c>
      <c r="T342" s="5">
        <f>+[1]モンスター計算!T345</f>
        <v>3.5000000000000003E-2</v>
      </c>
      <c r="U342" s="5">
        <f>+[1]モンスター計算!U345</f>
        <v>3.5000000000000003E-2</v>
      </c>
      <c r="V342" s="13">
        <f>+[1]モンスター計算!V345</f>
        <v>4</v>
      </c>
      <c r="W342" s="30">
        <v>8</v>
      </c>
      <c r="X342" s="27" t="s">
        <v>64</v>
      </c>
      <c r="Y342" s="33" t="s">
        <v>88</v>
      </c>
      <c r="Z342" s="13">
        <v>1.2</v>
      </c>
      <c r="AA342" s="30">
        <v>7</v>
      </c>
      <c r="AB342" s="30">
        <f t="shared" si="10"/>
        <v>523</v>
      </c>
      <c r="AC342" s="47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0" t="s">
        <v>1253</v>
      </c>
      <c r="AI342" s="33" t="s">
        <v>1826</v>
      </c>
    </row>
    <row r="343" spans="1:35" ht="19.5" thickBot="1">
      <c r="A343" s="53" t="s">
        <v>894</v>
      </c>
      <c r="B343" s="16" t="s">
        <v>858</v>
      </c>
      <c r="C343" s="28" t="s">
        <v>46</v>
      </c>
      <c r="D343" s="16" t="s">
        <v>61</v>
      </c>
      <c r="E343" s="28">
        <f>+[1]モンスター計算!E346</f>
        <v>22876</v>
      </c>
      <c r="F343" s="15">
        <f>+[1]モンスター計算!F346</f>
        <v>3184</v>
      </c>
      <c r="G343" s="15">
        <f>+[1]モンスター計算!G346</f>
        <v>1454</v>
      </c>
      <c r="H343" s="15">
        <f>+[1]モンスター計算!H346</f>
        <v>3230</v>
      </c>
      <c r="I343" s="15">
        <f>+[1]モンスター計算!I346</f>
        <v>1830</v>
      </c>
      <c r="J343" s="16">
        <f>+[1]モンスター計算!J346</f>
        <v>1830</v>
      </c>
      <c r="K343" s="28">
        <f>+[1]モンスター計算!K346</f>
        <v>7.0000000000000007E-2</v>
      </c>
      <c r="L343" s="16">
        <f>+[1]モンスター計算!L346</f>
        <v>1.55</v>
      </c>
      <c r="M343" s="28">
        <f>+[1]モンスター計算!M346</f>
        <v>2.4</v>
      </c>
      <c r="N343" s="15">
        <f>+[1]モンスター計算!N346</f>
        <v>1</v>
      </c>
      <c r="O343" s="16">
        <f>+[1]モンスター計算!O346</f>
        <v>2.5</v>
      </c>
      <c r="P343" s="28">
        <f>+[1]モンスター計算!P346</f>
        <v>0.02</v>
      </c>
      <c r="Q343" s="15">
        <f>+[1]モンスター計算!Q346</f>
        <v>0.02</v>
      </c>
      <c r="R343" s="15">
        <f>+[1]モンスター計算!R346</f>
        <v>0.22</v>
      </c>
      <c r="S343" s="15">
        <f>+[1]モンスター計算!S346</f>
        <v>-0.08</v>
      </c>
      <c r="T343" s="15">
        <f>+[1]モンスター計算!T346</f>
        <v>0.02</v>
      </c>
      <c r="U343" s="15">
        <f>+[1]モンスター計算!U346</f>
        <v>0.02</v>
      </c>
      <c r="V343" s="16">
        <f>+[1]モンスター計算!V346</f>
        <v>4</v>
      </c>
      <c r="W343" s="31">
        <v>9</v>
      </c>
      <c r="X343" s="28" t="s">
        <v>66</v>
      </c>
      <c r="Y343" s="34" t="s">
        <v>89</v>
      </c>
      <c r="Z343" s="16">
        <v>1.22</v>
      </c>
      <c r="AA343" s="31">
        <v>10</v>
      </c>
      <c r="AB343" s="31">
        <f t="shared" si="10"/>
        <v>748</v>
      </c>
      <c r="AC343" s="48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1" t="s">
        <v>1254</v>
      </c>
      <c r="AI343" s="34" t="s">
        <v>1826</v>
      </c>
    </row>
    <row r="344" spans="1:35">
      <c r="A344" s="51" t="s">
        <v>895</v>
      </c>
      <c r="B344" s="11" t="s">
        <v>859</v>
      </c>
      <c r="C344" s="26" t="s">
        <v>44</v>
      </c>
      <c r="D344" s="11" t="s">
        <v>59</v>
      </c>
      <c r="E344" s="26">
        <f>+[1]モンスター計算!E347</f>
        <v>34314</v>
      </c>
      <c r="F344" s="10">
        <f>+[1]モンスター計算!F347</f>
        <v>4169</v>
      </c>
      <c r="G344" s="10">
        <f>+[1]モンスター計算!G347</f>
        <v>832</v>
      </c>
      <c r="H344" s="10">
        <f>+[1]モンスター計算!H347</f>
        <v>1849</v>
      </c>
      <c r="I344" s="10">
        <f>+[1]モンスター計算!I347</f>
        <v>2745</v>
      </c>
      <c r="J344" s="11">
        <f>+[1]モンスター計算!J347</f>
        <v>2562</v>
      </c>
      <c r="K344" s="26">
        <f>+[1]モンスター計算!K347</f>
        <v>0.1</v>
      </c>
      <c r="L344" s="11">
        <f>+[1]モンスター計算!L347</f>
        <v>1.75</v>
      </c>
      <c r="M344" s="26">
        <f>+[1]モンスター計算!M347</f>
        <v>2.4</v>
      </c>
      <c r="N344" s="10">
        <f>+[1]モンスター計算!N347</f>
        <v>1.2</v>
      </c>
      <c r="O344" s="11">
        <f>+[1]モンスター計算!O347</f>
        <v>3</v>
      </c>
      <c r="P344" s="26">
        <f>+[1]モンスター計算!P347</f>
        <v>0.28000000000000003</v>
      </c>
      <c r="Q344" s="10">
        <f>+[1]モンスター計算!Q347</f>
        <v>-2.0000000000000004E-2</v>
      </c>
      <c r="R344" s="10">
        <f>+[1]モンスター計算!R347</f>
        <v>0.08</v>
      </c>
      <c r="S344" s="10">
        <f>+[1]モンスター計算!S347</f>
        <v>0.08</v>
      </c>
      <c r="T344" s="10">
        <f>+[1]モンスター計算!T347</f>
        <v>0.08</v>
      </c>
      <c r="U344" s="10">
        <f>+[1]モンスター計算!U347</f>
        <v>0.08</v>
      </c>
      <c r="V344" s="11">
        <f>+[1]モンスター計算!V347</f>
        <v>4</v>
      </c>
      <c r="W344" s="29">
        <v>10</v>
      </c>
      <c r="X344" s="26" t="s">
        <v>1639</v>
      </c>
      <c r="Y344" s="32" t="s">
        <v>90</v>
      </c>
      <c r="Z344" s="11">
        <v>1.25</v>
      </c>
      <c r="AA344" s="29">
        <v>15</v>
      </c>
      <c r="AB344" s="29">
        <f t="shared" si="10"/>
        <v>287</v>
      </c>
      <c r="AC344" s="46">
        <f t="shared" si="11"/>
        <v>58</v>
      </c>
      <c r="AD344" s="26" t="s">
        <v>74</v>
      </c>
      <c r="AE344" s="10">
        <v>0</v>
      </c>
      <c r="AF344" s="10">
        <v>0</v>
      </c>
      <c r="AG344" s="11" t="b">
        <v>0</v>
      </c>
      <c r="AH344" s="29" t="s">
        <v>1255</v>
      </c>
      <c r="AI344" s="32" t="s">
        <v>1826</v>
      </c>
    </row>
    <row r="345" spans="1:35">
      <c r="A345" s="52" t="s">
        <v>896</v>
      </c>
      <c r="B345" s="13" t="s">
        <v>860</v>
      </c>
      <c r="C345" s="27" t="s">
        <v>45</v>
      </c>
      <c r="D345" s="13" t="s">
        <v>59</v>
      </c>
      <c r="E345" s="27">
        <f>+[1]モンスター計算!E348</f>
        <v>20817</v>
      </c>
      <c r="F345" s="5">
        <f>+[1]モンスター計算!F348</f>
        <v>5337</v>
      </c>
      <c r="G345" s="5">
        <f>+[1]モンスター計算!G348</f>
        <v>2260</v>
      </c>
      <c r="H345" s="5">
        <f>+[1]モンスター計算!H348</f>
        <v>6695</v>
      </c>
      <c r="I345" s="5">
        <f>+[1]モンスター計算!I348</f>
        <v>1610</v>
      </c>
      <c r="J345" s="13">
        <f>+[1]モンスター計算!J348</f>
        <v>1739</v>
      </c>
      <c r="K345" s="27">
        <f>+[1]モンスター計算!K348</f>
        <v>0.04</v>
      </c>
      <c r="L345" s="13">
        <f>+[1]モンスター計算!L348</f>
        <v>2.2000000000000002</v>
      </c>
      <c r="M345" s="27">
        <f>+[1]モンスター計算!M348</f>
        <v>1.65</v>
      </c>
      <c r="N345" s="5">
        <f>+[1]モンスター計算!N348</f>
        <v>0.64</v>
      </c>
      <c r="O345" s="13">
        <f>+[1]モンスター計算!O348</f>
        <v>3.7</v>
      </c>
      <c r="P345" s="27">
        <f>+[1]モンスター計算!P348</f>
        <v>-0.125</v>
      </c>
      <c r="Q345" s="5">
        <f>+[1]モンスター計算!Q348</f>
        <v>0.17500000000000002</v>
      </c>
      <c r="R345" s="5">
        <f>+[1]モンスター計算!R348</f>
        <v>-2.5000000000000001E-2</v>
      </c>
      <c r="S345" s="5">
        <f>+[1]モンスター計算!S348</f>
        <v>-2.5000000000000001E-2</v>
      </c>
      <c r="T345" s="5">
        <f>+[1]モンスター計算!T348</f>
        <v>-2.5000000000000001E-2</v>
      </c>
      <c r="U345" s="5">
        <f>+[1]モンスター計算!U348</f>
        <v>-2.5000000000000001E-2</v>
      </c>
      <c r="V345" s="13">
        <f>+[1]モンスター計算!V348</f>
        <v>5</v>
      </c>
      <c r="W345" s="30">
        <v>11</v>
      </c>
      <c r="X345" s="27" t="s">
        <v>70</v>
      </c>
      <c r="Y345" s="33" t="s">
        <v>91</v>
      </c>
      <c r="Z345" s="13">
        <v>1.25</v>
      </c>
      <c r="AA345" s="30">
        <v>20</v>
      </c>
      <c r="AB345" s="30">
        <f t="shared" si="10"/>
        <v>318</v>
      </c>
      <c r="AC345" s="47">
        <f t="shared" si="11"/>
        <v>58</v>
      </c>
      <c r="AD345" s="27" t="s">
        <v>74</v>
      </c>
      <c r="AE345" s="5">
        <v>0</v>
      </c>
      <c r="AF345" s="5">
        <v>0</v>
      </c>
      <c r="AG345" s="13" t="b">
        <v>0</v>
      </c>
      <c r="AH345" s="30" t="s">
        <v>1256</v>
      </c>
      <c r="AI345" s="33" t="s">
        <v>1826</v>
      </c>
    </row>
    <row r="346" spans="1:35">
      <c r="A346" s="52" t="s">
        <v>897</v>
      </c>
      <c r="B346" s="13" t="s">
        <v>861</v>
      </c>
      <c r="C346" s="27" t="s">
        <v>47</v>
      </c>
      <c r="D346" s="13" t="s">
        <v>61</v>
      </c>
      <c r="E346" s="27">
        <f>+[1]モンスター計算!E349</f>
        <v>24249</v>
      </c>
      <c r="F346" s="5">
        <f>+[1]モンスター計算!F349</f>
        <v>5837</v>
      </c>
      <c r="G346" s="5">
        <f>+[1]モンスター計算!G349</f>
        <v>1176</v>
      </c>
      <c r="H346" s="5">
        <f>+[1]モンスター計算!H349</f>
        <v>4021</v>
      </c>
      <c r="I346" s="5">
        <f>+[1]モンスター計算!I349</f>
        <v>1409</v>
      </c>
      <c r="J346" s="13">
        <f>+[1]モンスター計算!J349</f>
        <v>3752</v>
      </c>
      <c r="K346" s="27">
        <f>+[1]モンスター計算!K349</f>
        <v>4.4999999999999998E-2</v>
      </c>
      <c r="L346" s="13">
        <f>+[1]モンスター計算!L349</f>
        <v>1.45</v>
      </c>
      <c r="M346" s="27">
        <f>+[1]モンスター計算!M349</f>
        <v>1.9</v>
      </c>
      <c r="N346" s="5">
        <f>+[1]モンスター計算!N349</f>
        <v>0.84</v>
      </c>
      <c r="O346" s="13">
        <f>+[1]モンスター計算!O349</f>
        <v>2.65</v>
      </c>
      <c r="P346" s="27">
        <f>+[1]モンスター計算!P349</f>
        <v>0.09</v>
      </c>
      <c r="Q346" s="5">
        <f>+[1]モンスター計算!Q349</f>
        <v>0.09</v>
      </c>
      <c r="R346" s="5">
        <f>+[1]モンスター計算!R349</f>
        <v>0.09</v>
      </c>
      <c r="S346" s="5">
        <f>+[1]モンスター計算!S349</f>
        <v>0.09</v>
      </c>
      <c r="T346" s="5">
        <f>+[1]モンスター計算!T349</f>
        <v>0.29000000000000004</v>
      </c>
      <c r="U346" s="5">
        <f>+[1]モンスター計算!U349</f>
        <v>-1.0000000000000009E-2</v>
      </c>
      <c r="V346" s="13">
        <f>+[1]モンスター計算!V349</f>
        <v>4.4000000000000004</v>
      </c>
      <c r="W346" s="30">
        <v>15</v>
      </c>
      <c r="X346" s="27" t="s">
        <v>72</v>
      </c>
      <c r="Y346" s="33" t="s">
        <v>92</v>
      </c>
      <c r="Z346" s="13">
        <v>1.3</v>
      </c>
      <c r="AA346" s="30">
        <v>40</v>
      </c>
      <c r="AB346" s="30">
        <f t="shared" si="10"/>
        <v>369</v>
      </c>
      <c r="AC346" s="47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0" t="s">
        <v>1257</v>
      </c>
      <c r="AI346" s="33" t="s">
        <v>1826</v>
      </c>
    </row>
    <row r="347" spans="1:35">
      <c r="A347" s="52" t="s">
        <v>898</v>
      </c>
      <c r="B347" s="13" t="s">
        <v>862</v>
      </c>
      <c r="C347" s="27" t="s">
        <v>45</v>
      </c>
      <c r="D347" s="13" t="s">
        <v>61</v>
      </c>
      <c r="E347" s="27">
        <f>+[1]モンスター計算!E350</f>
        <v>17386</v>
      </c>
      <c r="F347" s="5">
        <f>+[1]モンスター計算!F350</f>
        <v>919</v>
      </c>
      <c r="G347" s="5">
        <f>+[1]モンスター計算!G350</f>
        <v>5990</v>
      </c>
      <c r="H347" s="5">
        <f>+[1]モンスター計算!H350</f>
        <v>1671</v>
      </c>
      <c r="I347" s="5">
        <f>+[1]モンスター計算!I350</f>
        <v>1391</v>
      </c>
      <c r="J347" s="13">
        <f>+[1]モンスター計算!J350</f>
        <v>1281</v>
      </c>
      <c r="K347" s="27">
        <f>+[1]モンスター計算!K350</f>
        <v>9.5000000000000001E-2</v>
      </c>
      <c r="L347" s="13">
        <f>+[1]モンスター計算!L350</f>
        <v>2.4</v>
      </c>
      <c r="M347" s="27">
        <f>+[1]モンスター計算!M350</f>
        <v>3.35</v>
      </c>
      <c r="N347" s="5">
        <f>+[1]モンスター計算!N350</f>
        <v>0.86</v>
      </c>
      <c r="O347" s="13">
        <f>+[1]モンスター計算!O350</f>
        <v>1.9950000000000001</v>
      </c>
      <c r="P347" s="27">
        <f>+[1]モンスター計算!P350</f>
        <v>-0.17</v>
      </c>
      <c r="Q347" s="5">
        <f>+[1]モンスター計算!Q350</f>
        <v>0.13</v>
      </c>
      <c r="R347" s="5">
        <f>+[1]モンスター計算!R350</f>
        <v>-7.0000000000000007E-2</v>
      </c>
      <c r="S347" s="5">
        <f>+[1]モンスター計算!S350</f>
        <v>-7.0000000000000007E-2</v>
      </c>
      <c r="T347" s="5">
        <f>+[1]モンスター計算!T350</f>
        <v>-7.0000000000000007E-2</v>
      </c>
      <c r="U347" s="5">
        <f>+[1]モンスター計算!U350</f>
        <v>-7.0000000000000007E-2</v>
      </c>
      <c r="V347" s="13">
        <f>+[1]モンスター計算!V350</f>
        <v>4.5999999999999996</v>
      </c>
      <c r="W347" s="30">
        <v>8</v>
      </c>
      <c r="X347" s="27" t="s">
        <v>109</v>
      </c>
      <c r="Y347" s="33" t="s">
        <v>87</v>
      </c>
      <c r="Z347" s="13">
        <v>1.2</v>
      </c>
      <c r="AA347" s="30">
        <v>5</v>
      </c>
      <c r="AB347" s="30">
        <f t="shared" si="10"/>
        <v>474</v>
      </c>
      <c r="AC347" s="47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0" t="s">
        <v>1258</v>
      </c>
      <c r="AI347" s="33" t="s">
        <v>1826</v>
      </c>
    </row>
    <row r="348" spans="1:35">
      <c r="A348" s="52" t="s">
        <v>899</v>
      </c>
      <c r="B348" s="13" t="s">
        <v>863</v>
      </c>
      <c r="C348" s="27" t="s">
        <v>44</v>
      </c>
      <c r="D348" s="13" t="s">
        <v>61</v>
      </c>
      <c r="E348" s="27">
        <f>+[1]モンスター計算!E351</f>
        <v>14870</v>
      </c>
      <c r="F348" s="5">
        <f>+[1]モンスター計算!F351</f>
        <v>712</v>
      </c>
      <c r="G348" s="5">
        <f>+[1]モンスター計算!G351</f>
        <v>4573</v>
      </c>
      <c r="H348" s="5">
        <f>+[1]モンスター計算!H351</f>
        <v>1338</v>
      </c>
      <c r="I348" s="5">
        <f>+[1]モンスター計算!I351</f>
        <v>1135</v>
      </c>
      <c r="J348" s="13">
        <f>+[1]モンスター計算!J351</f>
        <v>1244</v>
      </c>
      <c r="K348" s="27">
        <f>+[1]モンスター計算!K351</f>
        <v>0.18</v>
      </c>
      <c r="L348" s="13">
        <f>+[1]モンスター計算!L351</f>
        <v>2.1</v>
      </c>
      <c r="M348" s="27">
        <f>+[1]モンスター計算!M351</f>
        <v>3.15</v>
      </c>
      <c r="N348" s="5">
        <f>+[1]モンスター計算!N351</f>
        <v>1.35</v>
      </c>
      <c r="O348" s="13">
        <f>+[1]モンスター計算!O351</f>
        <v>1.29</v>
      </c>
      <c r="P348" s="27">
        <f>+[1]モンスター計算!P351</f>
        <v>0.12000000000000001</v>
      </c>
      <c r="Q348" s="5">
        <f>+[1]モンスター計算!Q351</f>
        <v>-0.18</v>
      </c>
      <c r="R348" s="5">
        <f>+[1]モンスター計算!R351</f>
        <v>-0.08</v>
      </c>
      <c r="S348" s="5">
        <f>+[1]モンスター計算!S351</f>
        <v>-0.08</v>
      </c>
      <c r="T348" s="5">
        <f>+[1]モンスター計算!T351</f>
        <v>-0.08</v>
      </c>
      <c r="U348" s="5">
        <f>+[1]モンスター計算!U351</f>
        <v>-0.08</v>
      </c>
      <c r="V348" s="13">
        <f>+[1]モンスター計算!V351</f>
        <v>4.8</v>
      </c>
      <c r="W348" s="30">
        <v>8</v>
      </c>
      <c r="X348" s="27" t="s">
        <v>64</v>
      </c>
      <c r="Y348" s="33" t="s">
        <v>88</v>
      </c>
      <c r="Z348" s="13">
        <v>1.2</v>
      </c>
      <c r="AA348" s="30">
        <v>7</v>
      </c>
      <c r="AB348" s="30">
        <f t="shared" si="10"/>
        <v>550</v>
      </c>
      <c r="AC348" s="47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0" t="s">
        <v>1259</v>
      </c>
      <c r="AI348" s="33" t="s">
        <v>1826</v>
      </c>
    </row>
    <row r="349" spans="1:35" ht="19.5" thickBot="1">
      <c r="A349" s="53" t="s">
        <v>900</v>
      </c>
      <c r="B349" s="16" t="s">
        <v>864</v>
      </c>
      <c r="C349" s="28" t="s">
        <v>46</v>
      </c>
      <c r="D349" s="16" t="s">
        <v>61</v>
      </c>
      <c r="E349" s="28">
        <f>+[1]モンスター計算!E352</f>
        <v>21961</v>
      </c>
      <c r="F349" s="15">
        <f>+[1]モンスター計算!F352</f>
        <v>3669</v>
      </c>
      <c r="G349" s="15">
        <f>+[1]モンスター計算!G352</f>
        <v>1214</v>
      </c>
      <c r="H349" s="15">
        <f>+[1]モンスター計算!H352</f>
        <v>4351</v>
      </c>
      <c r="I349" s="15">
        <f>+[1]モンスター計算!I352</f>
        <v>1501</v>
      </c>
      <c r="J349" s="16">
        <f>+[1]モンスター計算!J352</f>
        <v>1665</v>
      </c>
      <c r="K349" s="28">
        <f>+[1]モンスター計算!K352</f>
        <v>0.06</v>
      </c>
      <c r="L349" s="16">
        <f>+[1]モンスター計算!L352</f>
        <v>1.6</v>
      </c>
      <c r="M349" s="28">
        <f>+[1]モンスター計算!M352</f>
        <v>2.25</v>
      </c>
      <c r="N349" s="15">
        <f>+[1]モンスター計算!N352</f>
        <v>0.91</v>
      </c>
      <c r="O349" s="16">
        <f>+[1]モンスター計算!O352</f>
        <v>4.75</v>
      </c>
      <c r="P349" s="28">
        <f>+[1]モンスター計算!P352</f>
        <v>-0.02</v>
      </c>
      <c r="Q349" s="15">
        <f>+[1]モンスター計算!Q352</f>
        <v>-0.02</v>
      </c>
      <c r="R349" s="15">
        <f>+[1]モンスター計算!R352</f>
        <v>0.18000000000000002</v>
      </c>
      <c r="S349" s="15">
        <f>+[1]モンスター計算!S352</f>
        <v>-0.12000000000000001</v>
      </c>
      <c r="T349" s="15">
        <f>+[1]モンスター計算!T352</f>
        <v>-0.02</v>
      </c>
      <c r="U349" s="15">
        <f>+[1]モンスター計算!U352</f>
        <v>-0.02</v>
      </c>
      <c r="V349" s="16">
        <f>+[1]モンスター計算!V352</f>
        <v>6.6</v>
      </c>
      <c r="W349" s="31">
        <v>9</v>
      </c>
      <c r="X349" s="28" t="s">
        <v>66</v>
      </c>
      <c r="Y349" s="34" t="s">
        <v>89</v>
      </c>
      <c r="Z349" s="16">
        <v>1.22</v>
      </c>
      <c r="AA349" s="31">
        <v>10</v>
      </c>
      <c r="AB349" s="31">
        <f t="shared" si="10"/>
        <v>786</v>
      </c>
      <c r="AC349" s="48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1" t="s">
        <v>1260</v>
      </c>
      <c r="AI349" s="34" t="s">
        <v>1826</v>
      </c>
    </row>
    <row r="350" spans="1:35">
      <c r="A350" s="51" t="s">
        <v>901</v>
      </c>
      <c r="B350" s="11" t="s">
        <v>865</v>
      </c>
      <c r="C350" s="26" t="s">
        <v>44</v>
      </c>
      <c r="D350" s="11" t="s">
        <v>59</v>
      </c>
      <c r="E350" s="26">
        <f>+[1]モンスター計算!E353</f>
        <v>16860</v>
      </c>
      <c r="F350" s="10">
        <f>+[1]モンスター計算!F353</f>
        <v>4036</v>
      </c>
      <c r="G350" s="10">
        <f>+[1]モンスター計算!G353</f>
        <v>1867</v>
      </c>
      <c r="H350" s="10">
        <f>+[1]モンスター計算!H353</f>
        <v>7979</v>
      </c>
      <c r="I350" s="10">
        <f>+[1]モンスター計算!I353</f>
        <v>1309</v>
      </c>
      <c r="J350" s="11">
        <f>+[1]モンスター計算!J353</f>
        <v>1610</v>
      </c>
      <c r="K350" s="26">
        <f>+[1]モンスター計算!K353</f>
        <v>0.18</v>
      </c>
      <c r="L350" s="11">
        <f>+[1]モンスター計算!L353</f>
        <v>1.85</v>
      </c>
      <c r="M350" s="26">
        <f>+[1]モンスター計算!M353</f>
        <v>2.0499999999999998</v>
      </c>
      <c r="N350" s="10">
        <f>+[1]モンスター計算!N353</f>
        <v>0.75</v>
      </c>
      <c r="O350" s="11">
        <f>+[1]モンスター計算!O353</f>
        <v>4.45</v>
      </c>
      <c r="P350" s="26">
        <f>+[1]モンスター計算!P353</f>
        <v>0.14000000000000001</v>
      </c>
      <c r="Q350" s="10">
        <f>+[1]モンスター計算!Q353</f>
        <v>-0.16</v>
      </c>
      <c r="R350" s="10">
        <f>+[1]モンスター計算!R353</f>
        <v>-0.06</v>
      </c>
      <c r="S350" s="10">
        <f>+[1]モンスター計算!S353</f>
        <v>-0.06</v>
      </c>
      <c r="T350" s="10">
        <f>+[1]モンスター計算!T353</f>
        <v>-0.06</v>
      </c>
      <c r="U350" s="10">
        <f>+[1]モンスター計算!U353</f>
        <v>-0.06</v>
      </c>
      <c r="V350" s="11">
        <f>+[1]モンスター計算!V353</f>
        <v>5.6</v>
      </c>
      <c r="W350" s="29">
        <v>10</v>
      </c>
      <c r="X350" s="26" t="s">
        <v>1639</v>
      </c>
      <c r="Y350" s="32" t="s">
        <v>90</v>
      </c>
      <c r="Z350" s="11">
        <v>1.25</v>
      </c>
      <c r="AA350" s="29">
        <v>15</v>
      </c>
      <c r="AB350" s="29">
        <f t="shared" si="10"/>
        <v>302</v>
      </c>
      <c r="AC350" s="46">
        <f t="shared" si="11"/>
        <v>59</v>
      </c>
      <c r="AD350" s="26" t="s">
        <v>74</v>
      </c>
      <c r="AE350" s="10">
        <v>0</v>
      </c>
      <c r="AF350" s="10">
        <v>0</v>
      </c>
      <c r="AG350" s="11" t="b">
        <v>0</v>
      </c>
      <c r="AH350" s="29" t="s">
        <v>1261</v>
      </c>
      <c r="AI350" s="32" t="s">
        <v>1826</v>
      </c>
    </row>
    <row r="351" spans="1:35">
      <c r="A351" s="52" t="s">
        <v>902</v>
      </c>
      <c r="B351" s="13" t="s">
        <v>866</v>
      </c>
      <c r="C351" s="27" t="s">
        <v>45</v>
      </c>
      <c r="D351" s="13" t="s">
        <v>59</v>
      </c>
      <c r="E351" s="27">
        <f>+[1]モンスター計算!E354</f>
        <v>20634</v>
      </c>
      <c r="F351" s="5">
        <f>+[1]モンスター計算!F354</f>
        <v>4953</v>
      </c>
      <c r="G351" s="5">
        <f>+[1]モンスター計算!G354</f>
        <v>1907</v>
      </c>
      <c r="H351" s="5">
        <f>+[1]モンスター計算!H354</f>
        <v>7062</v>
      </c>
      <c r="I351" s="5">
        <f>+[1]モンスター計算!I354</f>
        <v>1631</v>
      </c>
      <c r="J351" s="13">
        <f>+[1]モンスター計算!J354</f>
        <v>1751</v>
      </c>
      <c r="K351" s="27">
        <f>+[1]モンスター計算!K354</f>
        <v>0.12</v>
      </c>
      <c r="L351" s="13">
        <f>+[1]モンスター計算!L354</f>
        <v>2.5499999999999998</v>
      </c>
      <c r="M351" s="27">
        <f>+[1]モンスター計算!M354</f>
        <v>2.2999999999999998</v>
      </c>
      <c r="N351" s="5">
        <f>+[1]モンスター計算!N354</f>
        <v>0.68</v>
      </c>
      <c r="O351" s="13">
        <f>+[1]モンスター計算!O354</f>
        <v>3.55</v>
      </c>
      <c r="P351" s="27">
        <f>+[1]モンスター計算!P354</f>
        <v>-0.155</v>
      </c>
      <c r="Q351" s="5">
        <f>+[1]モンスター計算!Q354</f>
        <v>0.14500000000000002</v>
      </c>
      <c r="R351" s="5">
        <f>+[1]モンスター計算!R354</f>
        <v>-5.5E-2</v>
      </c>
      <c r="S351" s="5">
        <f>+[1]モンスター計算!S354</f>
        <v>-5.5E-2</v>
      </c>
      <c r="T351" s="5">
        <f>+[1]モンスター計算!T354</f>
        <v>-5.5E-2</v>
      </c>
      <c r="U351" s="5">
        <f>+[1]モンスター計算!U354</f>
        <v>-5.5E-2</v>
      </c>
      <c r="V351" s="13">
        <f>+[1]モンスター計算!V354</f>
        <v>4.8</v>
      </c>
      <c r="W351" s="30">
        <v>11</v>
      </c>
      <c r="X351" s="27" t="s">
        <v>70</v>
      </c>
      <c r="Y351" s="33" t="s">
        <v>91</v>
      </c>
      <c r="Z351" s="13">
        <v>1.25</v>
      </c>
      <c r="AA351" s="30">
        <v>20</v>
      </c>
      <c r="AB351" s="30">
        <f t="shared" si="10"/>
        <v>334</v>
      </c>
      <c r="AC351" s="47">
        <f t="shared" si="11"/>
        <v>59</v>
      </c>
      <c r="AD351" s="27" t="s">
        <v>74</v>
      </c>
      <c r="AE351" s="5">
        <v>0</v>
      </c>
      <c r="AF351" s="5">
        <v>0</v>
      </c>
      <c r="AG351" s="13" t="b">
        <v>0</v>
      </c>
      <c r="AH351" s="30" t="s">
        <v>1262</v>
      </c>
      <c r="AI351" s="33" t="s">
        <v>1826</v>
      </c>
    </row>
    <row r="352" spans="1:35">
      <c r="A352" s="52" t="s">
        <v>903</v>
      </c>
      <c r="B352" s="13" t="s">
        <v>867</v>
      </c>
      <c r="C352" s="27" t="s">
        <v>47</v>
      </c>
      <c r="D352" s="13" t="s">
        <v>61</v>
      </c>
      <c r="E352" s="27">
        <f>+[1]モンスター計算!E355</f>
        <v>35229</v>
      </c>
      <c r="F352" s="5">
        <f>+[1]モンスター計算!F355</f>
        <v>8072</v>
      </c>
      <c r="G352" s="5">
        <f>+[1]モンスター計算!G355</f>
        <v>1349</v>
      </c>
      <c r="H352" s="5">
        <f>+[1]モンスター計算!H355</f>
        <v>3568</v>
      </c>
      <c r="I352" s="5">
        <f>+[1]モンスター計算!I355</f>
        <v>1912</v>
      </c>
      <c r="J352" s="13">
        <f>+[1]モンスター計算!J355</f>
        <v>3382</v>
      </c>
      <c r="K352" s="27">
        <f>+[1]モンスター計算!K355</f>
        <v>0.115</v>
      </c>
      <c r="L352" s="13">
        <f>+[1]モンスター計算!L355</f>
        <v>1.95</v>
      </c>
      <c r="M352" s="27">
        <f>+[1]モンスター計算!M355</f>
        <v>1.2</v>
      </c>
      <c r="N352" s="5">
        <f>+[1]モンスター計算!N355</f>
        <v>0.72</v>
      </c>
      <c r="O352" s="13">
        <f>+[1]モンスター計算!O355</f>
        <v>3.3250000000000002</v>
      </c>
      <c r="P352" s="27">
        <f>+[1]モンスター計算!P355</f>
        <v>0.08</v>
      </c>
      <c r="Q352" s="5">
        <f>+[1]モンスター計算!Q355</f>
        <v>0.08</v>
      </c>
      <c r="R352" s="5">
        <f>+[1]モンスター計算!R355</f>
        <v>0.08</v>
      </c>
      <c r="S352" s="5">
        <f>+[1]モンスター計算!S355</f>
        <v>0.08</v>
      </c>
      <c r="T352" s="5">
        <f>+[1]モンスター計算!T355</f>
        <v>0.28000000000000003</v>
      </c>
      <c r="U352" s="5">
        <f>+[1]モンスター計算!U355</f>
        <v>-2.0000000000000004E-2</v>
      </c>
      <c r="V352" s="13">
        <f>+[1]モンスター計算!V355</f>
        <v>5</v>
      </c>
      <c r="W352" s="30">
        <v>15</v>
      </c>
      <c r="X352" s="27" t="s">
        <v>72</v>
      </c>
      <c r="Y352" s="33" t="s">
        <v>92</v>
      </c>
      <c r="Z352" s="13">
        <v>1.3</v>
      </c>
      <c r="AA352" s="30">
        <v>40</v>
      </c>
      <c r="AB352" s="30">
        <f t="shared" si="10"/>
        <v>388</v>
      </c>
      <c r="AC352" s="47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0" t="s">
        <v>1263</v>
      </c>
      <c r="AI352" s="33" t="s">
        <v>1826</v>
      </c>
    </row>
    <row r="353" spans="1:35">
      <c r="A353" s="52" t="s">
        <v>904</v>
      </c>
      <c r="B353" s="13" t="s">
        <v>868</v>
      </c>
      <c r="C353" s="27" t="s">
        <v>45</v>
      </c>
      <c r="D353" s="13" t="s">
        <v>61</v>
      </c>
      <c r="E353" s="27">
        <f>+[1]モンスター計算!E356</f>
        <v>40262</v>
      </c>
      <c r="F353" s="5">
        <f>+[1]モンスター計算!F356</f>
        <v>1386</v>
      </c>
      <c r="G353" s="5">
        <f>+[1]モンスター計算!G356</f>
        <v>3056</v>
      </c>
      <c r="H353" s="5">
        <f>+[1]モンスター計算!H356</f>
        <v>1375</v>
      </c>
      <c r="I353" s="5">
        <f>+[1]モンスター計算!I356</f>
        <v>3120</v>
      </c>
      <c r="J353" s="13">
        <f>+[1]モンスター計算!J356</f>
        <v>2818</v>
      </c>
      <c r="K353" s="27">
        <f>+[1]モンスター計算!K356</f>
        <v>0.04</v>
      </c>
      <c r="L353" s="13">
        <f>+[1]モンスター計算!L356</f>
        <v>1.4</v>
      </c>
      <c r="M353" s="27">
        <f>+[1]モンスター計算!M356</f>
        <v>2.2000000000000002</v>
      </c>
      <c r="N353" s="5">
        <f>+[1]モンスター計算!N356</f>
        <v>0.82</v>
      </c>
      <c r="O353" s="13">
        <f>+[1]モンスター計算!O356</f>
        <v>1.2</v>
      </c>
      <c r="P353" s="27">
        <f>+[1]モンスター計算!P356</f>
        <v>0</v>
      </c>
      <c r="Q353" s="5">
        <f>+[1]モンスター計算!Q356</f>
        <v>0.30000000000000004</v>
      </c>
      <c r="R353" s="5">
        <f>+[1]モンスター計算!R356</f>
        <v>0.1</v>
      </c>
      <c r="S353" s="5">
        <f>+[1]モンスター計算!S356</f>
        <v>0.1</v>
      </c>
      <c r="T353" s="5">
        <f>+[1]モンスター計算!T356</f>
        <v>0.1</v>
      </c>
      <c r="U353" s="5">
        <f>+[1]モンスター計算!U356</f>
        <v>0.1</v>
      </c>
      <c r="V353" s="13">
        <f>+[1]モンスター計算!V356</f>
        <v>4</v>
      </c>
      <c r="W353" s="30">
        <v>8</v>
      </c>
      <c r="X353" s="27" t="s">
        <v>109</v>
      </c>
      <c r="Y353" s="33" t="s">
        <v>87</v>
      </c>
      <c r="Z353" s="13">
        <v>1.2</v>
      </c>
      <c r="AA353" s="30">
        <v>5</v>
      </c>
      <c r="AB353" s="30">
        <f t="shared" si="10"/>
        <v>498</v>
      </c>
      <c r="AC353" s="47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0" t="s">
        <v>1264</v>
      </c>
      <c r="AI353" s="33" t="s">
        <v>1826</v>
      </c>
    </row>
    <row r="354" spans="1:35">
      <c r="A354" s="52" t="s">
        <v>905</v>
      </c>
      <c r="B354" s="13" t="s">
        <v>869</v>
      </c>
      <c r="C354" s="27" t="s">
        <v>44</v>
      </c>
      <c r="D354" s="13" t="s">
        <v>61</v>
      </c>
      <c r="E354" s="27">
        <f>+[1]モンスター計算!E357</f>
        <v>36991</v>
      </c>
      <c r="F354" s="5">
        <f>+[1]モンスター計算!F357</f>
        <v>1631</v>
      </c>
      <c r="G354" s="5">
        <f>+[1]モンスター計算!G357</f>
        <v>3389</v>
      </c>
      <c r="H354" s="5">
        <f>+[1]モンスター計算!H357</f>
        <v>1159</v>
      </c>
      <c r="I354" s="5">
        <f>+[1]モンスター計算!I357</f>
        <v>1852</v>
      </c>
      <c r="J354" s="13">
        <f>+[1]モンスター計算!J357</f>
        <v>4429</v>
      </c>
      <c r="K354" s="27">
        <f>+[1]モンスター計算!K357</f>
        <v>0.05</v>
      </c>
      <c r="L354" s="13">
        <f>+[1]モンスター計算!L357</f>
        <v>1.5</v>
      </c>
      <c r="M354" s="27">
        <f>+[1]モンスター計算!M357</f>
        <v>2.0499999999999998</v>
      </c>
      <c r="N354" s="5">
        <f>+[1]モンスター計算!N357</f>
        <v>0.79</v>
      </c>
      <c r="O354" s="13">
        <f>+[1]モンスター計算!O357</f>
        <v>1.26</v>
      </c>
      <c r="P354" s="27">
        <f>+[1]モンスター計算!P357</f>
        <v>0.27</v>
      </c>
      <c r="Q354" s="5">
        <f>+[1]モンスター計算!Q357</f>
        <v>-0.03</v>
      </c>
      <c r="R354" s="5">
        <f>+[1]モンスター計算!R357</f>
        <v>7.0000000000000007E-2</v>
      </c>
      <c r="S354" s="5">
        <f>+[1]モンスター計算!S357</f>
        <v>7.0000000000000007E-2</v>
      </c>
      <c r="T354" s="5">
        <f>+[1]モンスター計算!T357</f>
        <v>7.0000000000000007E-2</v>
      </c>
      <c r="U354" s="5">
        <f>+[1]モンスター計算!U357</f>
        <v>7.0000000000000007E-2</v>
      </c>
      <c r="V354" s="13">
        <f>+[1]モンスター計算!V357</f>
        <v>4</v>
      </c>
      <c r="W354" s="30">
        <v>8</v>
      </c>
      <c r="X354" s="27" t="s">
        <v>64</v>
      </c>
      <c r="Y354" s="33" t="s">
        <v>88</v>
      </c>
      <c r="Z354" s="13">
        <v>1.2</v>
      </c>
      <c r="AA354" s="30">
        <v>7</v>
      </c>
      <c r="AB354" s="30">
        <f t="shared" si="10"/>
        <v>578</v>
      </c>
      <c r="AC354" s="47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0" t="s">
        <v>1265</v>
      </c>
      <c r="AI354" s="33" t="s">
        <v>1826</v>
      </c>
    </row>
    <row r="355" spans="1:35" ht="19.5" thickBot="1">
      <c r="A355" s="53" t="s">
        <v>906</v>
      </c>
      <c r="B355" s="16" t="s">
        <v>870</v>
      </c>
      <c r="C355" s="28" t="s">
        <v>46</v>
      </c>
      <c r="D355" s="16" t="s">
        <v>61</v>
      </c>
      <c r="E355" s="28">
        <f>+[1]モンスター計算!E358</f>
        <v>25164</v>
      </c>
      <c r="F355" s="15">
        <f>+[1]モンスター計算!F358</f>
        <v>4403</v>
      </c>
      <c r="G355" s="15">
        <f>+[1]モンスター計算!G358</f>
        <v>1420</v>
      </c>
      <c r="H355" s="15">
        <f>+[1]モンスター計算!H358</f>
        <v>4508</v>
      </c>
      <c r="I355" s="15">
        <f>+[1]モンスター計算!I358</f>
        <v>1933</v>
      </c>
      <c r="J355" s="16">
        <f>+[1]モンスター計算!J358</f>
        <v>2053</v>
      </c>
      <c r="K355" s="28">
        <f>+[1]モンスター計算!K358</f>
        <v>4.4999999999999998E-2</v>
      </c>
      <c r="L355" s="16">
        <f>+[1]モンスター計算!L358</f>
        <v>1.4</v>
      </c>
      <c r="M355" s="28">
        <f>+[1]モンスター計算!M358</f>
        <v>2.0499999999999998</v>
      </c>
      <c r="N355" s="15">
        <f>+[1]モンスター計算!N358</f>
        <v>0.92</v>
      </c>
      <c r="O355" s="16">
        <f>+[1]モンスター計算!O358</f>
        <v>2.6749999999999998</v>
      </c>
      <c r="P355" s="28">
        <f>+[1]モンスター計算!P358</f>
        <v>0.19</v>
      </c>
      <c r="Q355" s="15">
        <f>+[1]モンスター計算!Q358</f>
        <v>0.19</v>
      </c>
      <c r="R355" s="15">
        <f>+[1]モンスター計算!R358</f>
        <v>0.39</v>
      </c>
      <c r="S355" s="15">
        <f>+[1]モンスター計算!S358</f>
        <v>0.09</v>
      </c>
      <c r="T355" s="15">
        <f>+[1]モンスター計算!T358</f>
        <v>0.19</v>
      </c>
      <c r="U355" s="15">
        <f>+[1]モンスター計算!U358</f>
        <v>0.19</v>
      </c>
      <c r="V355" s="16">
        <f>+[1]モンスター計算!V358</f>
        <v>4</v>
      </c>
      <c r="W355" s="31">
        <v>9</v>
      </c>
      <c r="X355" s="28" t="s">
        <v>66</v>
      </c>
      <c r="Y355" s="34" t="s">
        <v>89</v>
      </c>
      <c r="Z355" s="16">
        <v>1.22</v>
      </c>
      <c r="AA355" s="31">
        <v>10</v>
      </c>
      <c r="AB355" s="31">
        <f t="shared" si="10"/>
        <v>826</v>
      </c>
      <c r="AC355" s="48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1" t="s">
        <v>1266</v>
      </c>
      <c r="AI355" s="34" t="s">
        <v>1826</v>
      </c>
    </row>
    <row r="356" spans="1:35">
      <c r="A356" s="51" t="s">
        <v>907</v>
      </c>
      <c r="B356" s="11" t="s">
        <v>871</v>
      </c>
      <c r="C356" s="26" t="s">
        <v>44</v>
      </c>
      <c r="D356" s="11" t="s">
        <v>59</v>
      </c>
      <c r="E356" s="26">
        <f>+[1]モンスター計算!E359</f>
        <v>20207</v>
      </c>
      <c r="F356" s="10">
        <f>+[1]モンスター計算!F359</f>
        <v>4762</v>
      </c>
      <c r="G356" s="10">
        <f>+[1]モンスター計算!G359</f>
        <v>1558</v>
      </c>
      <c r="H356" s="10">
        <f>+[1]モンスター計算!H359</f>
        <v>6181</v>
      </c>
      <c r="I356" s="10">
        <f>+[1]モンスター計算!I359</f>
        <v>1705</v>
      </c>
      <c r="J356" s="11">
        <f>+[1]モンスター計算!J359</f>
        <v>1882</v>
      </c>
      <c r="K356" s="26">
        <f>+[1]モンスター計算!K359</f>
        <v>0.26</v>
      </c>
      <c r="L356" s="11">
        <f>+[1]モンスター計算!L359</f>
        <v>1.95</v>
      </c>
      <c r="M356" s="26">
        <f>+[1]モンスター計算!M359</f>
        <v>2.75</v>
      </c>
      <c r="N356" s="10">
        <f>+[1]モンスター計算!N359</f>
        <v>0.95</v>
      </c>
      <c r="O356" s="11">
        <f>+[1]モンスター計算!O359</f>
        <v>2.8</v>
      </c>
      <c r="P356" s="26">
        <f>+[1]モンスター計算!P359</f>
        <v>0.15000000000000002</v>
      </c>
      <c r="Q356" s="10">
        <f>+[1]モンスター計算!Q359</f>
        <v>-0.15000000000000002</v>
      </c>
      <c r="R356" s="10">
        <f>+[1]モンスター計算!R359</f>
        <v>-0.05</v>
      </c>
      <c r="S356" s="10">
        <f>+[1]モンスター計算!S359</f>
        <v>-0.05</v>
      </c>
      <c r="T356" s="10">
        <f>+[1]モンスター計算!T359</f>
        <v>-0.05</v>
      </c>
      <c r="U356" s="10">
        <f>+[1]モンスター計算!U359</f>
        <v>-0.05</v>
      </c>
      <c r="V356" s="11">
        <f>+[1]モンスター計算!V359</f>
        <v>4.4000000000000004</v>
      </c>
      <c r="W356" s="29">
        <v>10</v>
      </c>
      <c r="X356" s="26" t="s">
        <v>1639</v>
      </c>
      <c r="Y356" s="32" t="s">
        <v>90</v>
      </c>
      <c r="Z356" s="11">
        <v>1.25</v>
      </c>
      <c r="AA356" s="29">
        <v>15</v>
      </c>
      <c r="AB356" s="29">
        <f t="shared" si="10"/>
        <v>318</v>
      </c>
      <c r="AC356" s="46">
        <f t="shared" si="11"/>
        <v>60</v>
      </c>
      <c r="AD356" s="26" t="s">
        <v>74</v>
      </c>
      <c r="AE356" s="10">
        <v>0</v>
      </c>
      <c r="AF356" s="10">
        <v>0</v>
      </c>
      <c r="AG356" s="11" t="b">
        <v>0</v>
      </c>
      <c r="AH356" s="29" t="s">
        <v>1267</v>
      </c>
      <c r="AI356" s="32" t="s">
        <v>1826</v>
      </c>
    </row>
    <row r="357" spans="1:35">
      <c r="A357" s="52" t="s">
        <v>908</v>
      </c>
      <c r="B357" s="13" t="s">
        <v>872</v>
      </c>
      <c r="C357" s="27" t="s">
        <v>45</v>
      </c>
      <c r="D357" s="13" t="s">
        <v>59</v>
      </c>
      <c r="E357" s="27">
        <f>+[1]モンスター計算!E360</f>
        <v>21867</v>
      </c>
      <c r="F357" s="5">
        <f>+[1]モンスター計算!F360</f>
        <v>3632</v>
      </c>
      <c r="G357" s="5">
        <f>+[1]モンスター計算!G360</f>
        <v>956</v>
      </c>
      <c r="H357" s="5">
        <f>+[1]モンスター計算!H360</f>
        <v>4010</v>
      </c>
      <c r="I357" s="5">
        <f>+[1]モンスター計算!I360</f>
        <v>1882</v>
      </c>
      <c r="J357" s="13">
        <f>+[1]モンスター計算!J360</f>
        <v>1794</v>
      </c>
      <c r="K357" s="27">
        <f>+[1]モンスター計算!K360</f>
        <v>6.5000000000000002E-2</v>
      </c>
      <c r="L357" s="13">
        <f>+[1]モンスター計算!L360</f>
        <v>1.45</v>
      </c>
      <c r="M357" s="27">
        <f>+[1]モンスター計算!M360</f>
        <v>4</v>
      </c>
      <c r="N357" s="5">
        <f>+[1]モンスター計算!N360</f>
        <v>1.72</v>
      </c>
      <c r="O357" s="13">
        <f>+[1]モンスター計算!O360</f>
        <v>1.9</v>
      </c>
      <c r="P357" s="27">
        <f>+[1]モンスター計算!P360</f>
        <v>-0.17</v>
      </c>
      <c r="Q357" s="5">
        <f>+[1]モンスター計算!Q360</f>
        <v>0.13</v>
      </c>
      <c r="R357" s="5">
        <f>+[1]モンスター計算!R360</f>
        <v>-7.0000000000000007E-2</v>
      </c>
      <c r="S357" s="5">
        <f>+[1]モンスター計算!S360</f>
        <v>-7.0000000000000007E-2</v>
      </c>
      <c r="T357" s="5">
        <f>+[1]モンスター計算!T360</f>
        <v>-7.0000000000000007E-2</v>
      </c>
      <c r="U357" s="5">
        <f>+[1]モンスター計算!U360</f>
        <v>-7.0000000000000007E-2</v>
      </c>
      <c r="V357" s="13">
        <f>+[1]モンスター計算!V360</f>
        <v>5.4</v>
      </c>
      <c r="W357" s="30">
        <v>11</v>
      </c>
      <c r="X357" s="27" t="s">
        <v>70</v>
      </c>
      <c r="Y357" s="33" t="s">
        <v>91</v>
      </c>
      <c r="Z357" s="13">
        <v>1.25</v>
      </c>
      <c r="AA357" s="30">
        <v>20</v>
      </c>
      <c r="AB357" s="30">
        <f t="shared" si="10"/>
        <v>351</v>
      </c>
      <c r="AC357" s="47">
        <f t="shared" si="11"/>
        <v>60</v>
      </c>
      <c r="AD357" s="27" t="s">
        <v>74</v>
      </c>
      <c r="AE357" s="5">
        <v>0</v>
      </c>
      <c r="AF357" s="5">
        <v>0</v>
      </c>
      <c r="AG357" s="13" t="b">
        <v>0</v>
      </c>
      <c r="AH357" s="30" t="s">
        <v>1268</v>
      </c>
      <c r="AI357" s="33" t="s">
        <v>1826</v>
      </c>
    </row>
    <row r="358" spans="1:35">
      <c r="A358" s="52" t="s">
        <v>909</v>
      </c>
      <c r="B358" s="13" t="s">
        <v>873</v>
      </c>
      <c r="C358" s="27" t="s">
        <v>47</v>
      </c>
      <c r="D358" s="13" t="s">
        <v>61</v>
      </c>
      <c r="E358" s="27">
        <f>+[1]モンスター計算!E361</f>
        <v>33216</v>
      </c>
      <c r="F358" s="5">
        <f>+[1]モンスター計算!F361</f>
        <v>4036</v>
      </c>
      <c r="G358" s="5">
        <f>+[1]モンスター計算!G361</f>
        <v>1771</v>
      </c>
      <c r="H358" s="5">
        <f>+[1]モンスター計算!H361</f>
        <v>3936</v>
      </c>
      <c r="I358" s="5">
        <f>+[1]モンスター計算!I361</f>
        <v>2879</v>
      </c>
      <c r="J358" s="13">
        <f>+[1]モンスター計算!J361</f>
        <v>1882</v>
      </c>
      <c r="K358" s="27">
        <f>+[1]モンスター計算!K361</f>
        <v>0.08</v>
      </c>
      <c r="L358" s="13">
        <f>+[1]モンスター計算!L361</f>
        <v>1.6</v>
      </c>
      <c r="M358" s="27">
        <f>+[1]モンスター計算!M361</f>
        <v>2.8</v>
      </c>
      <c r="N358" s="5">
        <f>+[1]モンスター計算!N361</f>
        <v>1</v>
      </c>
      <c r="O358" s="13">
        <f>+[1]モンスター計算!O361</f>
        <v>2.5</v>
      </c>
      <c r="P358" s="27">
        <f>+[1]モンスター計算!P361</f>
        <v>1.4999999999999999E-2</v>
      </c>
      <c r="Q358" s="5">
        <f>+[1]モンスター計算!Q361</f>
        <v>1.4999999999999999E-2</v>
      </c>
      <c r="R358" s="5">
        <f>+[1]モンスター計算!R361</f>
        <v>1.4999999999999999E-2</v>
      </c>
      <c r="S358" s="5">
        <f>+[1]モンスター計算!S361</f>
        <v>1.4999999999999999E-2</v>
      </c>
      <c r="T358" s="5">
        <f>+[1]モンスター計算!T361</f>
        <v>0.21500000000000002</v>
      </c>
      <c r="U358" s="5">
        <f>+[1]モンスター計算!U361</f>
        <v>-8.5000000000000006E-2</v>
      </c>
      <c r="V358" s="13">
        <f>+[1]モンスター計算!V361</f>
        <v>4</v>
      </c>
      <c r="W358" s="30">
        <v>15</v>
      </c>
      <c r="X358" s="27" t="s">
        <v>72</v>
      </c>
      <c r="Y358" s="33" t="s">
        <v>92</v>
      </c>
      <c r="Z358" s="13">
        <v>1.3</v>
      </c>
      <c r="AA358" s="30">
        <v>40</v>
      </c>
      <c r="AB358" s="30">
        <f t="shared" si="10"/>
        <v>408</v>
      </c>
      <c r="AC358" s="47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0" t="s">
        <v>1269</v>
      </c>
      <c r="AI358" s="33" t="s">
        <v>1826</v>
      </c>
    </row>
    <row r="359" spans="1:35">
      <c r="A359" s="52" t="s">
        <v>910</v>
      </c>
      <c r="B359" s="13" t="s">
        <v>874</v>
      </c>
      <c r="C359" s="27" t="s">
        <v>45</v>
      </c>
      <c r="D359" s="13" t="s">
        <v>61</v>
      </c>
      <c r="E359" s="27">
        <f>+[1]モンスター計算!E362</f>
        <v>50378</v>
      </c>
      <c r="F359" s="5">
        <f>+[1]モンスター計算!F362</f>
        <v>1291</v>
      </c>
      <c r="G359" s="5">
        <f>+[1]モンスター計算!G362</f>
        <v>3704</v>
      </c>
      <c r="H359" s="5">
        <f>+[1]モンスター計算!H362</f>
        <v>1400</v>
      </c>
      <c r="I359" s="5">
        <f>+[1]モンスター計算!I362</f>
        <v>4761</v>
      </c>
      <c r="J359" s="13">
        <f>+[1]モンスター計算!J362</f>
        <v>2347</v>
      </c>
      <c r="K359" s="27">
        <f>+[1]モンスター計算!K362</f>
        <v>0.03</v>
      </c>
      <c r="L359" s="13">
        <f>+[1]モンスター計算!L362</f>
        <v>1.35</v>
      </c>
      <c r="M359" s="27">
        <f>+[1]モンスター計算!M362</f>
        <v>1.5</v>
      </c>
      <c r="N359" s="5">
        <f>+[1]モンスター計算!N362</f>
        <v>0.65</v>
      </c>
      <c r="O359" s="13">
        <f>+[1]モンスター計算!O362</f>
        <v>1.02</v>
      </c>
      <c r="P359" s="27">
        <f>+[1]モンスター計算!P362</f>
        <v>0</v>
      </c>
      <c r="Q359" s="5">
        <f>+[1]モンスター計算!Q362</f>
        <v>0.30000000000000004</v>
      </c>
      <c r="R359" s="5">
        <f>+[1]モンスター計算!R362</f>
        <v>0.1</v>
      </c>
      <c r="S359" s="5">
        <f>+[1]モンスター計算!S362</f>
        <v>0.1</v>
      </c>
      <c r="T359" s="5">
        <f>+[1]モンスター計算!T362</f>
        <v>0.1</v>
      </c>
      <c r="U359" s="5">
        <f>+[1]モンスター計算!U362</f>
        <v>0.1</v>
      </c>
      <c r="V359" s="13">
        <f>+[1]モンスター計算!V362</f>
        <v>3.4</v>
      </c>
      <c r="W359" s="30">
        <v>8</v>
      </c>
      <c r="X359" s="27" t="s">
        <v>109</v>
      </c>
      <c r="Y359" s="33" t="s">
        <v>87</v>
      </c>
      <c r="Z359" s="13">
        <v>1.2</v>
      </c>
      <c r="AA359" s="30">
        <v>5</v>
      </c>
      <c r="AB359" s="30">
        <f t="shared" si="10"/>
        <v>523</v>
      </c>
      <c r="AC359" s="47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0" t="s">
        <v>1270</v>
      </c>
      <c r="AI359" s="33" t="s">
        <v>1826</v>
      </c>
    </row>
    <row r="360" spans="1:35">
      <c r="A360" s="52" t="s">
        <v>911</v>
      </c>
      <c r="B360" s="13" t="s">
        <v>875</v>
      </c>
      <c r="C360" s="27" t="s">
        <v>44</v>
      </c>
      <c r="D360" s="13" t="s">
        <v>61</v>
      </c>
      <c r="E360" s="27">
        <f>+[1]モンスター計算!E363</f>
        <v>21867</v>
      </c>
      <c r="F360" s="5">
        <f>+[1]モンスター計算!F363</f>
        <v>1525</v>
      </c>
      <c r="G360" s="5">
        <f>+[1]モンスター計算!G363</f>
        <v>4445</v>
      </c>
      <c r="H360" s="5">
        <f>+[1]モンスター計算!H363</f>
        <v>1400</v>
      </c>
      <c r="I360" s="5">
        <f>+[1]モンスター計算!I363</f>
        <v>1749</v>
      </c>
      <c r="J360" s="13">
        <f>+[1]モンスター計算!J363</f>
        <v>1617</v>
      </c>
      <c r="K360" s="27">
        <f>+[1]モンスター計算!K363</f>
        <v>0.1</v>
      </c>
      <c r="L360" s="13">
        <f>+[1]モンスター計算!L363</f>
        <v>1.85</v>
      </c>
      <c r="M360" s="27">
        <f>+[1]モンスター計算!M363</f>
        <v>4</v>
      </c>
      <c r="N360" s="5">
        <f>+[1]モンスター計算!N363</f>
        <v>1.41</v>
      </c>
      <c r="O360" s="13">
        <f>+[1]モンスター計算!O363</f>
        <v>1.8</v>
      </c>
      <c r="P360" s="27">
        <f>+[1]モンスター計算!P363</f>
        <v>0.14500000000000002</v>
      </c>
      <c r="Q360" s="5">
        <f>+[1]モンスター計算!Q363</f>
        <v>-0.155</v>
      </c>
      <c r="R360" s="5">
        <f>+[1]モンスター計算!R363</f>
        <v>-5.5E-2</v>
      </c>
      <c r="S360" s="5">
        <f>+[1]モンスター計算!S363</f>
        <v>-5.5E-2</v>
      </c>
      <c r="T360" s="5">
        <f>+[1]モンスター計算!T363</f>
        <v>-5.5E-2</v>
      </c>
      <c r="U360" s="5">
        <f>+[1]モンスター計算!U363</f>
        <v>-5.5E-2</v>
      </c>
      <c r="V360" s="13">
        <f>+[1]モンスター計算!V363</f>
        <v>6.4</v>
      </c>
      <c r="W360" s="30">
        <v>8</v>
      </c>
      <c r="X360" s="27" t="s">
        <v>64</v>
      </c>
      <c r="Y360" s="33" t="s">
        <v>88</v>
      </c>
      <c r="Z360" s="13">
        <v>1.2</v>
      </c>
      <c r="AA360" s="30">
        <v>7</v>
      </c>
      <c r="AB360" s="30">
        <f t="shared" si="10"/>
        <v>607</v>
      </c>
      <c r="AC360" s="47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0" t="s">
        <v>1271</v>
      </c>
      <c r="AI360" s="33" t="s">
        <v>1826</v>
      </c>
    </row>
    <row r="361" spans="1:35" ht="19.5" thickBot="1">
      <c r="A361" s="53" t="s">
        <v>912</v>
      </c>
      <c r="B361" s="16" t="s">
        <v>876</v>
      </c>
      <c r="C361" s="28" t="s">
        <v>46</v>
      </c>
      <c r="D361" s="16" t="s">
        <v>61</v>
      </c>
      <c r="E361" s="28">
        <f>+[1]モンスター計算!E364</f>
        <v>22698</v>
      </c>
      <c r="F361" s="15">
        <f>+[1]モンスター計算!F364</f>
        <v>3632</v>
      </c>
      <c r="G361" s="15">
        <f>+[1]モンスター計算!G364</f>
        <v>2787</v>
      </c>
      <c r="H361" s="15">
        <f>+[1]モンスター計算!H364</f>
        <v>6193</v>
      </c>
      <c r="I361" s="15">
        <f>+[1]モンスター計算!I364</f>
        <v>1882</v>
      </c>
      <c r="J361" s="16">
        <f>+[1]モンスター計算!J364</f>
        <v>2214</v>
      </c>
      <c r="K361" s="28">
        <f>+[1]モンスター計算!K364</f>
        <v>0.05</v>
      </c>
      <c r="L361" s="16">
        <f>+[1]モンスター計算!L364</f>
        <v>1.5</v>
      </c>
      <c r="M361" s="28">
        <f>+[1]モンスター計算!M364</f>
        <v>2</v>
      </c>
      <c r="N361" s="15">
        <f>+[1]モンスター計算!N364</f>
        <v>1</v>
      </c>
      <c r="O361" s="16">
        <f>+[1]モンスター計算!O364</f>
        <v>2.5</v>
      </c>
      <c r="P361" s="28">
        <f>+[1]モンスター計算!P364</f>
        <v>-0.02</v>
      </c>
      <c r="Q361" s="15">
        <f>+[1]モンスター計算!Q364</f>
        <v>-0.02</v>
      </c>
      <c r="R361" s="15">
        <f>+[1]モンスター計算!R364</f>
        <v>0.18000000000000002</v>
      </c>
      <c r="S361" s="15">
        <f>+[1]モンスター計算!S364</f>
        <v>-0.12000000000000001</v>
      </c>
      <c r="T361" s="15">
        <f>+[1]モンスター計算!T364</f>
        <v>-0.02</v>
      </c>
      <c r="U361" s="15">
        <f>+[1]モンスター計算!U364</f>
        <v>-0.02</v>
      </c>
      <c r="V361" s="16">
        <f>+[1]モンスター計算!V364</f>
        <v>4</v>
      </c>
      <c r="W361" s="31">
        <v>9</v>
      </c>
      <c r="X361" s="28" t="s">
        <v>66</v>
      </c>
      <c r="Y361" s="34" t="s">
        <v>89</v>
      </c>
      <c r="Z361" s="16">
        <v>1.22</v>
      </c>
      <c r="AA361" s="31">
        <v>10</v>
      </c>
      <c r="AB361" s="31">
        <f t="shared" si="10"/>
        <v>868</v>
      </c>
      <c r="AC361" s="48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1" t="s">
        <v>1272</v>
      </c>
      <c r="AI361" s="34" t="s">
        <v>1826</v>
      </c>
    </row>
    <row r="362" spans="1:35">
      <c r="A362" s="51" t="s">
        <v>913</v>
      </c>
      <c r="B362" s="11" t="s">
        <v>877</v>
      </c>
      <c r="C362" s="26" t="s">
        <v>44</v>
      </c>
      <c r="D362" s="11" t="s">
        <v>59</v>
      </c>
      <c r="E362" s="26">
        <f>+[1]モンスター計算!E365</f>
        <v>36538</v>
      </c>
      <c r="F362" s="10">
        <f>+[1]モンスター計算!F365</f>
        <v>2210</v>
      </c>
      <c r="G362" s="10">
        <f>+[1]モンスター計算!G365</f>
        <v>4048</v>
      </c>
      <c r="H362" s="10">
        <f>+[1]モンスター計算!H365</f>
        <v>1512</v>
      </c>
      <c r="I362" s="10">
        <f>+[1]モンスター計算!I365</f>
        <v>1851</v>
      </c>
      <c r="J362" s="11">
        <f>+[1]モンスター計算!J365</f>
        <v>5115</v>
      </c>
      <c r="K362" s="26">
        <f>+[1]モンスター計算!K365</f>
        <v>0.05</v>
      </c>
      <c r="L362" s="11">
        <f>+[1]モンスター計算!L365</f>
        <v>1.47</v>
      </c>
      <c r="M362" s="26">
        <f>+[1]モンスター計算!M365</f>
        <v>2.4500000000000002</v>
      </c>
      <c r="N362" s="10">
        <f>+[1]モンスター計算!N365</f>
        <v>1</v>
      </c>
      <c r="O362" s="11">
        <f>+[1]モンスター計算!O365</f>
        <v>1.395</v>
      </c>
      <c r="P362" s="26">
        <f>+[1]モンスター計算!P365</f>
        <v>0.26500000000000001</v>
      </c>
      <c r="Q362" s="10">
        <f>+[1]モンスター計算!Q365</f>
        <v>-3.5000000000000003E-2</v>
      </c>
      <c r="R362" s="10">
        <f>+[1]モンスター計算!R365</f>
        <v>6.5000000000000002E-2</v>
      </c>
      <c r="S362" s="10">
        <f>+[1]モンスター計算!S365</f>
        <v>6.5000000000000002E-2</v>
      </c>
      <c r="T362" s="10">
        <f>+[1]モンスター計算!T365</f>
        <v>6.5000000000000002E-2</v>
      </c>
      <c r="U362" s="10">
        <f>+[1]モンスター計算!U365</f>
        <v>6.5000000000000002E-2</v>
      </c>
      <c r="V362" s="11">
        <f>+[1]モンスター計算!V365</f>
        <v>4.2</v>
      </c>
      <c r="W362" s="29">
        <v>10</v>
      </c>
      <c r="X362" s="26" t="s">
        <v>1639</v>
      </c>
      <c r="Y362" s="32" t="s">
        <v>90</v>
      </c>
      <c r="Z362" s="11">
        <v>1.25</v>
      </c>
      <c r="AA362" s="29">
        <v>15</v>
      </c>
      <c r="AB362" s="29">
        <f t="shared" si="10"/>
        <v>334</v>
      </c>
      <c r="AC362" s="46">
        <f t="shared" si="11"/>
        <v>61</v>
      </c>
      <c r="AD362" s="26" t="s">
        <v>74</v>
      </c>
      <c r="AE362" s="10">
        <v>0</v>
      </c>
      <c r="AF362" s="10">
        <v>0</v>
      </c>
      <c r="AG362" s="11" t="b">
        <v>0</v>
      </c>
      <c r="AH362" s="29" t="s">
        <v>1273</v>
      </c>
      <c r="AI362" s="32" t="s">
        <v>1826</v>
      </c>
    </row>
    <row r="363" spans="1:35">
      <c r="A363" s="52" t="s">
        <v>914</v>
      </c>
      <c r="B363" s="13" t="s">
        <v>878</v>
      </c>
      <c r="C363" s="27" t="s">
        <v>45</v>
      </c>
      <c r="D363" s="13" t="s">
        <v>59</v>
      </c>
      <c r="E363" s="27">
        <f>+[1]モンスター計算!E366</f>
        <v>27403</v>
      </c>
      <c r="F363" s="5">
        <f>+[1]モンスター計算!F366</f>
        <v>1578</v>
      </c>
      <c r="G363" s="5">
        <f>+[1]モンスター計算!G366</f>
        <v>5094</v>
      </c>
      <c r="H363" s="5">
        <f>+[1]モンスター計算!H366</f>
        <v>2292</v>
      </c>
      <c r="I363" s="5">
        <f>+[1]モンスター計算!I366</f>
        <v>2192</v>
      </c>
      <c r="J363" s="13">
        <f>+[1]モンスター計算!J366</f>
        <v>2192</v>
      </c>
      <c r="K363" s="27">
        <f>+[1]モンスター計算!K366</f>
        <v>0.11</v>
      </c>
      <c r="L363" s="13">
        <f>+[1]モンスター計算!L366</f>
        <v>1.75</v>
      </c>
      <c r="M363" s="27">
        <f>+[1]モンスター計算!M366</f>
        <v>3</v>
      </c>
      <c r="N363" s="5">
        <f>+[1]モンスター計算!N366</f>
        <v>1.18</v>
      </c>
      <c r="O363" s="13">
        <f>+[1]モンスター計算!O366</f>
        <v>1.35</v>
      </c>
      <c r="P363" s="27">
        <f>+[1]モンスター計算!P366</f>
        <v>-0.13</v>
      </c>
      <c r="Q363" s="5">
        <f>+[1]モンスター計算!Q366</f>
        <v>0.17</v>
      </c>
      <c r="R363" s="5">
        <f>+[1]モンスター計算!R366</f>
        <v>-0.03</v>
      </c>
      <c r="S363" s="5">
        <f>+[1]モンスター計算!S366</f>
        <v>-0.03</v>
      </c>
      <c r="T363" s="5">
        <f>+[1]モンスター計算!T366</f>
        <v>-0.03</v>
      </c>
      <c r="U363" s="5">
        <f>+[1]モンスター計算!U366</f>
        <v>-0.03</v>
      </c>
      <c r="V363" s="13">
        <f>+[1]モンスター計算!V366</f>
        <v>4.2</v>
      </c>
      <c r="W363" s="30">
        <v>11</v>
      </c>
      <c r="X363" s="27" t="s">
        <v>70</v>
      </c>
      <c r="Y363" s="33" t="s">
        <v>91</v>
      </c>
      <c r="Z363" s="13">
        <v>1.25</v>
      </c>
      <c r="AA363" s="30">
        <v>20</v>
      </c>
      <c r="AB363" s="30">
        <f t="shared" si="10"/>
        <v>369</v>
      </c>
      <c r="AC363" s="47">
        <f t="shared" si="11"/>
        <v>61</v>
      </c>
      <c r="AD363" s="27" t="s">
        <v>74</v>
      </c>
      <c r="AE363" s="5">
        <v>0</v>
      </c>
      <c r="AF363" s="5">
        <v>0</v>
      </c>
      <c r="AG363" s="13" t="b">
        <v>0</v>
      </c>
      <c r="AH363" s="30" t="s">
        <v>1274</v>
      </c>
      <c r="AI363" s="33" t="s">
        <v>1826</v>
      </c>
    </row>
    <row r="364" spans="1:35">
      <c r="A364" s="52" t="s">
        <v>915</v>
      </c>
      <c r="B364" s="13" t="s">
        <v>879</v>
      </c>
      <c r="C364" s="27" t="s">
        <v>47</v>
      </c>
      <c r="D364" s="13" t="s">
        <v>61</v>
      </c>
      <c r="E364" s="27">
        <f>+[1]モンスター計算!E367</f>
        <v>21314</v>
      </c>
      <c r="F364" s="5">
        <f>+[1]モンスター計算!F367</f>
        <v>1677</v>
      </c>
      <c r="G364" s="5">
        <f>+[1]モンスター計算!G367</f>
        <v>6341</v>
      </c>
      <c r="H364" s="5">
        <f>+[1]モンスター計算!H367</f>
        <v>2140</v>
      </c>
      <c r="I364" s="5">
        <f>+[1]モンスター計算!I367</f>
        <v>1851</v>
      </c>
      <c r="J364" s="13">
        <f>+[1]モンスター計算!J367</f>
        <v>1900</v>
      </c>
      <c r="K364" s="27">
        <f>+[1]モンスター計算!K367</f>
        <v>0.11</v>
      </c>
      <c r="L364" s="13">
        <f>+[1]モンスター計算!L367</f>
        <v>1.58</v>
      </c>
      <c r="M364" s="27">
        <f>+[1]モンスター計算!M367</f>
        <v>4.45</v>
      </c>
      <c r="N364" s="5">
        <f>+[1]モンスター計算!N367</f>
        <v>1.3</v>
      </c>
      <c r="O364" s="13">
        <f>+[1]モンスター計算!O367</f>
        <v>1.32</v>
      </c>
      <c r="P364" s="27">
        <f>+[1]モンスター計算!P367</f>
        <v>-0.06</v>
      </c>
      <c r="Q364" s="5">
        <f>+[1]モンスター計算!Q367</f>
        <v>-0.06</v>
      </c>
      <c r="R364" s="5">
        <f>+[1]モンスター計算!R367</f>
        <v>-0.06</v>
      </c>
      <c r="S364" s="5">
        <f>+[1]モンスター計算!S367</f>
        <v>-0.06</v>
      </c>
      <c r="T364" s="5">
        <f>+[1]モンスター計算!T367</f>
        <v>0.14000000000000001</v>
      </c>
      <c r="U364" s="5">
        <f>+[1]モンスター計算!U367</f>
        <v>-0.16</v>
      </c>
      <c r="V364" s="13">
        <f>+[1]モンスター計算!V367</f>
        <v>5.6</v>
      </c>
      <c r="W364" s="30">
        <v>15</v>
      </c>
      <c r="X364" s="27" t="s">
        <v>72</v>
      </c>
      <c r="Y364" s="33" t="s">
        <v>92</v>
      </c>
      <c r="Z364" s="13">
        <v>1.3</v>
      </c>
      <c r="AA364" s="30">
        <v>40</v>
      </c>
      <c r="AB364" s="30">
        <f t="shared" si="10"/>
        <v>429</v>
      </c>
      <c r="AC364" s="47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0" t="s">
        <v>1275</v>
      </c>
      <c r="AI364" s="33" t="s">
        <v>1826</v>
      </c>
    </row>
    <row r="365" spans="1:35">
      <c r="A365" s="52" t="s">
        <v>916</v>
      </c>
      <c r="B365" s="13" t="s">
        <v>880</v>
      </c>
      <c r="C365" s="27" t="s">
        <v>45</v>
      </c>
      <c r="D365" s="13" t="s">
        <v>61</v>
      </c>
      <c r="E365" s="27">
        <f>+[1]モンスター計算!E368</f>
        <v>32275</v>
      </c>
      <c r="F365" s="5">
        <f>+[1]モンスター計算!F368</f>
        <v>7769</v>
      </c>
      <c r="G365" s="5">
        <f>+[1]モンスター計算!G368</f>
        <v>1565</v>
      </c>
      <c r="H365" s="5">
        <f>+[1]モンスター計算!H368</f>
        <v>5352</v>
      </c>
      <c r="I365" s="5">
        <f>+[1]モンスター計算!I368</f>
        <v>1876</v>
      </c>
      <c r="J365" s="13">
        <f>+[1]モンスター計算!J368</f>
        <v>4993</v>
      </c>
      <c r="K365" s="27">
        <f>+[1]モンスター計算!K368</f>
        <v>4.4999999999999998E-2</v>
      </c>
      <c r="L365" s="13">
        <f>+[1]モンスター計算!L368</f>
        <v>1.45</v>
      </c>
      <c r="M365" s="27">
        <f>+[1]モンスター計算!M368</f>
        <v>1.9</v>
      </c>
      <c r="N365" s="5">
        <f>+[1]モンスター計算!N368</f>
        <v>0.84</v>
      </c>
      <c r="O365" s="13">
        <f>+[1]モンスター計算!O368</f>
        <v>2.65</v>
      </c>
      <c r="P365" s="27">
        <f>+[1]モンスター計算!P368</f>
        <v>-1.0000000000000009E-2</v>
      </c>
      <c r="Q365" s="5">
        <f>+[1]モンスター計算!Q368</f>
        <v>0.29000000000000004</v>
      </c>
      <c r="R365" s="5">
        <f>+[1]モンスター計算!R368</f>
        <v>0.09</v>
      </c>
      <c r="S365" s="5">
        <f>+[1]モンスター計算!S368</f>
        <v>0.09</v>
      </c>
      <c r="T365" s="5">
        <f>+[1]モンスター計算!T368</f>
        <v>0.09</v>
      </c>
      <c r="U365" s="5">
        <f>+[1]モンスター計算!U368</f>
        <v>0.09</v>
      </c>
      <c r="V365" s="13">
        <f>+[1]モンスター計算!V368</f>
        <v>4.4000000000000004</v>
      </c>
      <c r="W365" s="30">
        <v>8</v>
      </c>
      <c r="X365" s="27" t="s">
        <v>109</v>
      </c>
      <c r="Y365" s="33" t="s">
        <v>87</v>
      </c>
      <c r="Z365" s="13">
        <v>1.2</v>
      </c>
      <c r="AA365" s="30">
        <v>5</v>
      </c>
      <c r="AB365" s="30">
        <f t="shared" si="10"/>
        <v>550</v>
      </c>
      <c r="AC365" s="47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0" t="s">
        <v>1276</v>
      </c>
      <c r="AI365" s="33" t="s">
        <v>1826</v>
      </c>
    </row>
    <row r="366" spans="1:35">
      <c r="A366" s="52" t="s">
        <v>917</v>
      </c>
      <c r="B366" s="13" t="s">
        <v>881</v>
      </c>
      <c r="C366" s="27" t="s">
        <v>44</v>
      </c>
      <c r="D366" s="13" t="s">
        <v>61</v>
      </c>
      <c r="E366" s="27">
        <f>+[1]モンスター計算!E369</f>
        <v>23141</v>
      </c>
      <c r="F366" s="5">
        <f>+[1]モンスター計算!F369</f>
        <v>1223</v>
      </c>
      <c r="G366" s="5">
        <f>+[1]モンスター計算!G369</f>
        <v>7973</v>
      </c>
      <c r="H366" s="5">
        <f>+[1]モンスター計算!H369</f>
        <v>2224</v>
      </c>
      <c r="I366" s="5">
        <f>+[1]モンスター計算!I369</f>
        <v>1851</v>
      </c>
      <c r="J366" s="13">
        <f>+[1]モンスター計算!J369</f>
        <v>1705</v>
      </c>
      <c r="K366" s="27">
        <f>+[1]モンスター計算!K369</f>
        <v>9.5000000000000001E-2</v>
      </c>
      <c r="L366" s="13">
        <f>+[1]モンスター計算!L369</f>
        <v>2.4</v>
      </c>
      <c r="M366" s="27">
        <f>+[1]モンスター計算!M369</f>
        <v>3.35</v>
      </c>
      <c r="N366" s="5">
        <f>+[1]モンスター計算!N369</f>
        <v>0.86</v>
      </c>
      <c r="O366" s="13">
        <f>+[1]モンスター計算!O369</f>
        <v>1.9950000000000001</v>
      </c>
      <c r="P366" s="27">
        <f>+[1]モンスター計算!P369</f>
        <v>0.13</v>
      </c>
      <c r="Q366" s="5">
        <f>+[1]モンスター計算!Q369</f>
        <v>-0.17</v>
      </c>
      <c r="R366" s="5">
        <f>+[1]モンスター計算!R369</f>
        <v>-7.0000000000000007E-2</v>
      </c>
      <c r="S366" s="5">
        <f>+[1]モンスター計算!S369</f>
        <v>-7.0000000000000007E-2</v>
      </c>
      <c r="T366" s="5">
        <f>+[1]モンスター計算!T369</f>
        <v>-7.0000000000000007E-2</v>
      </c>
      <c r="U366" s="5">
        <f>+[1]モンスター計算!U369</f>
        <v>-7.0000000000000007E-2</v>
      </c>
      <c r="V366" s="13">
        <f>+[1]モンスター計算!V369</f>
        <v>4.5999999999999996</v>
      </c>
      <c r="W366" s="30">
        <v>8</v>
      </c>
      <c r="X366" s="27" t="s">
        <v>64</v>
      </c>
      <c r="Y366" s="33" t="s">
        <v>88</v>
      </c>
      <c r="Z366" s="13">
        <v>1.2</v>
      </c>
      <c r="AA366" s="30">
        <v>7</v>
      </c>
      <c r="AB366" s="30">
        <f t="shared" si="10"/>
        <v>638</v>
      </c>
      <c r="AC366" s="47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0" t="s">
        <v>1277</v>
      </c>
      <c r="AI366" s="33" t="s">
        <v>1826</v>
      </c>
    </row>
    <row r="367" spans="1:35" ht="19.5" thickBot="1">
      <c r="A367" s="61" t="s">
        <v>918</v>
      </c>
      <c r="B367" s="62" t="s">
        <v>882</v>
      </c>
      <c r="C367" s="63" t="s">
        <v>46</v>
      </c>
      <c r="D367" s="62" t="s">
        <v>61</v>
      </c>
      <c r="E367" s="63">
        <f>+[1]モンスター計算!E370</f>
        <v>30448</v>
      </c>
      <c r="F367" s="64">
        <f>+[1]モンスター計算!F370</f>
        <v>6437</v>
      </c>
      <c r="G367" s="64">
        <f>+[1]モンスター計算!G370</f>
        <v>2444</v>
      </c>
      <c r="H367" s="64">
        <f>+[1]モンスター計算!H370</f>
        <v>5431</v>
      </c>
      <c r="I367" s="64">
        <f>+[1]モンスター計算!I370</f>
        <v>2436</v>
      </c>
      <c r="J367" s="62">
        <f>+[1]モンスター計算!J370</f>
        <v>2923</v>
      </c>
      <c r="K367" s="63">
        <f>+[1]モンスター計算!K370</f>
        <v>0.06</v>
      </c>
      <c r="L367" s="62">
        <f>+[1]モンスター計算!L370</f>
        <v>1.4</v>
      </c>
      <c r="M367" s="63">
        <f>+[1]モンスター計算!M370</f>
        <v>2.1</v>
      </c>
      <c r="N367" s="64">
        <f>+[1]モンスター計算!N370</f>
        <v>0.95</v>
      </c>
      <c r="O367" s="62">
        <f>+[1]モンスター計算!O370</f>
        <v>2.875</v>
      </c>
      <c r="P367" s="63">
        <f>+[1]モンスター計算!P370</f>
        <v>0.03</v>
      </c>
      <c r="Q367" s="64">
        <f>+[1]モンスター計算!Q370</f>
        <v>0.03</v>
      </c>
      <c r="R367" s="64">
        <f>+[1]モンスター計算!R370</f>
        <v>0.23</v>
      </c>
      <c r="S367" s="64">
        <f>+[1]モンスター計算!S370</f>
        <v>-7.0000000000000007E-2</v>
      </c>
      <c r="T367" s="64">
        <f>+[1]モンスター計算!T370</f>
        <v>0.03</v>
      </c>
      <c r="U367" s="64">
        <f>+[1]モンスター計算!U370</f>
        <v>0.03</v>
      </c>
      <c r="V367" s="62">
        <f>+[1]モンスター計算!V370</f>
        <v>4.8</v>
      </c>
      <c r="W367" s="65">
        <v>9</v>
      </c>
      <c r="X367" s="63" t="s">
        <v>66</v>
      </c>
      <c r="Y367" s="66" t="s">
        <v>89</v>
      </c>
      <c r="Z367" s="62">
        <v>1.22</v>
      </c>
      <c r="AA367" s="65">
        <v>10</v>
      </c>
      <c r="AB367" s="65">
        <f t="shared" si="10"/>
        <v>912</v>
      </c>
      <c r="AC367" s="67">
        <f t="shared" si="11"/>
        <v>61</v>
      </c>
      <c r="AD367" s="63" t="s">
        <v>53</v>
      </c>
      <c r="AE367" s="64">
        <v>8.5</v>
      </c>
      <c r="AF367" s="64">
        <v>3</v>
      </c>
      <c r="AG367" s="62" t="b">
        <v>1</v>
      </c>
      <c r="AH367" s="65" t="s">
        <v>1278</v>
      </c>
      <c r="AI367" s="34" t="s">
        <v>1826</v>
      </c>
    </row>
  </sheetData>
  <phoneticPr fontId="1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1642</v>
      </c>
      <c r="B1" t="s">
        <v>1643</v>
      </c>
      <c r="C1" t="s">
        <v>1644</v>
      </c>
    </row>
    <row r="2" spans="1:3">
      <c r="A2" t="s">
        <v>9</v>
      </c>
      <c r="B2" t="s">
        <v>524</v>
      </c>
      <c r="C2" t="s">
        <v>531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85</v>
      </c>
      <c r="R1" s="7" t="s">
        <v>30</v>
      </c>
      <c r="S1" s="8" t="s">
        <v>31</v>
      </c>
      <c r="T1" s="17" t="s">
        <v>35</v>
      </c>
      <c r="U1" s="8" t="s">
        <v>78</v>
      </c>
    </row>
    <row r="2" spans="1:21">
      <c r="A2" s="9" t="s">
        <v>63</v>
      </c>
      <c r="B2" s="22" t="s">
        <v>79</v>
      </c>
      <c r="C2" s="50">
        <f>+[2]称号計算!I7</f>
        <v>0.1416</v>
      </c>
      <c r="D2" s="10">
        <f>+[2]称号計算!J7</f>
        <v>0.15540000000000001</v>
      </c>
      <c r="E2" s="10">
        <f>+[2]称号計算!K7</f>
        <v>3.9199999999999999E-2</v>
      </c>
      <c r="F2" s="10">
        <f>+[2]称号計算!L7</f>
        <v>0.39250000000000002</v>
      </c>
      <c r="G2" s="10">
        <f>+[2]称号計算!M7</f>
        <v>0.1134</v>
      </c>
      <c r="H2" s="11">
        <f>+[2]称号計算!N7</f>
        <v>0.13339999999999999</v>
      </c>
      <c r="I2" s="26">
        <f>+[2]称号計算!O7</f>
        <v>8.6300000000000002E-2</v>
      </c>
      <c r="J2" s="11">
        <f>+[2]称号計算!P7</f>
        <v>0.10199999999999999</v>
      </c>
      <c r="K2" s="26">
        <f>+[2]称号計算!Q7</f>
        <v>6.9099999999999995E-2</v>
      </c>
      <c r="L2" s="10">
        <f>+[2]称号計算!R7</f>
        <v>0.157</v>
      </c>
      <c r="M2" s="11">
        <f>+[2]称号計算!S7</f>
        <v>0.1099</v>
      </c>
      <c r="N2" s="26">
        <f>+[2]称号計算!T7</f>
        <v>1.0999999999999999E-2</v>
      </c>
      <c r="O2" s="10">
        <f>+[2]称号計算!U7</f>
        <v>5.5199999999999999E-2</v>
      </c>
      <c r="P2" s="10">
        <f>+[2]称号計算!V7</f>
        <v>3.7000000000000002E-3</v>
      </c>
      <c r="Q2" s="10">
        <f>+[2]称号計算!W7</f>
        <v>3.7000000000000002E-3</v>
      </c>
      <c r="R2" s="10">
        <f>+[2]称号計算!X7</f>
        <v>2.8E-3</v>
      </c>
      <c r="S2" s="11">
        <f>+[2]称号計算!Y7</f>
        <v>2.8E-3</v>
      </c>
      <c r="T2" s="18">
        <f>+[2]称号計算!Z7</f>
        <v>0.4667</v>
      </c>
      <c r="U2" s="11">
        <v>1</v>
      </c>
    </row>
    <row r="3" spans="1:21">
      <c r="A3" s="12" t="s">
        <v>65</v>
      </c>
      <c r="B3" s="23" t="s">
        <v>80</v>
      </c>
      <c r="C3" s="27">
        <f>+[2]称号計算!I8</f>
        <v>0.17899999999999999</v>
      </c>
      <c r="D3" s="5">
        <f>+[2]称号計算!J8</f>
        <v>0.2157</v>
      </c>
      <c r="E3" s="5">
        <f>+[2]称号計算!K8</f>
        <v>2.4E-2</v>
      </c>
      <c r="F3" s="5">
        <f>+[2]称号計算!L8</f>
        <v>0.36320000000000002</v>
      </c>
      <c r="G3" s="5">
        <f>+[2]称号計算!M8</f>
        <v>0.24079999999999999</v>
      </c>
      <c r="H3" s="13">
        <f>+[2]称号計算!N8</f>
        <v>8.8900000000000007E-2</v>
      </c>
      <c r="I3" s="27">
        <f>+[2]称号計算!O8</f>
        <v>8.7900000000000006E-2</v>
      </c>
      <c r="J3" s="13">
        <f>+[2]称号計算!P8</f>
        <v>9.4399999999999998E-2</v>
      </c>
      <c r="K3" s="27">
        <f>+[2]称号計算!Q8</f>
        <v>5.91E-2</v>
      </c>
      <c r="L3" s="5">
        <f>+[2]称号計算!R8</f>
        <v>0.12640000000000001</v>
      </c>
      <c r="M3" s="13">
        <f>+[2]称号計算!S8</f>
        <v>9.5600000000000004E-2</v>
      </c>
      <c r="N3" s="27">
        <f>+[2]称号計算!T8</f>
        <v>7.9399999999999998E-2</v>
      </c>
      <c r="O3" s="5">
        <f>+[2]称号計算!U8</f>
        <v>1.5900000000000001E-2</v>
      </c>
      <c r="P3" s="5">
        <f>+[2]称号計算!V8</f>
        <v>5.3E-3</v>
      </c>
      <c r="Q3" s="5">
        <f>+[2]称号計算!W8</f>
        <v>5.3E-3</v>
      </c>
      <c r="R3" s="5">
        <f>+[2]称号計算!X8</f>
        <v>4.0000000000000001E-3</v>
      </c>
      <c r="S3" s="13">
        <f>+[2]称号計算!Y8</f>
        <v>4.0000000000000001E-3</v>
      </c>
      <c r="T3" s="19">
        <f>+[2]称号計算!Z8</f>
        <v>0.47689999999999999</v>
      </c>
      <c r="U3" s="13">
        <v>1</v>
      </c>
    </row>
    <row r="4" spans="1:21">
      <c r="A4" s="12" t="s">
        <v>67</v>
      </c>
      <c r="B4" s="23" t="s">
        <v>81</v>
      </c>
      <c r="C4" s="27">
        <f>+[2]称号計算!I9</f>
        <v>0.1678</v>
      </c>
      <c r="D4" s="5">
        <f>+[2]称号計算!J9</f>
        <v>0.18240000000000001</v>
      </c>
      <c r="E4" s="5">
        <f>+[2]称号計算!K9</f>
        <v>4.1399999999999999E-2</v>
      </c>
      <c r="F4" s="5">
        <f>+[2]称号計算!L9</f>
        <v>0.41449999999999998</v>
      </c>
      <c r="G4" s="5">
        <f>+[2]称号計算!M9</f>
        <v>0.13389999999999999</v>
      </c>
      <c r="H4" s="13">
        <f>+[2]称号計算!N9</f>
        <v>0.14799999999999999</v>
      </c>
      <c r="I4" s="27">
        <f>+[2]称号計算!O9</f>
        <v>9.1200000000000003E-2</v>
      </c>
      <c r="J4" s="13">
        <f>+[2]称号計算!P9</f>
        <v>0.10780000000000001</v>
      </c>
      <c r="K4" s="27">
        <f>+[2]称号計算!Q9</f>
        <v>7.2999999999999995E-2</v>
      </c>
      <c r="L4" s="5">
        <f>+[2]称号計算!R9</f>
        <v>0.1741</v>
      </c>
      <c r="M4" s="13">
        <f>+[2]称号計算!S9</f>
        <v>0.11609999999999999</v>
      </c>
      <c r="N4" s="27">
        <f>+[2]称号計算!T9</f>
        <v>4.4000000000000003E-3</v>
      </c>
      <c r="O4" s="5">
        <f>+[2]称号計算!U9</f>
        <v>4.4000000000000003E-3</v>
      </c>
      <c r="P4" s="5">
        <f>+[2]称号計算!V9</f>
        <v>6.6000000000000003E-2</v>
      </c>
      <c r="Q4" s="5">
        <f>+[2]称号計算!W9</f>
        <v>1.6500000000000001E-2</v>
      </c>
      <c r="R4" s="5">
        <f>+[2]称号計算!X9</f>
        <v>3.3E-3</v>
      </c>
      <c r="S4" s="13">
        <f>+[2]称号計算!Y9</f>
        <v>3.3E-3</v>
      </c>
      <c r="T4" s="19">
        <f>+[2]称号計算!Z9</f>
        <v>0.51329999999999998</v>
      </c>
      <c r="U4" s="13">
        <v>0.9</v>
      </c>
    </row>
    <row r="5" spans="1:21">
      <c r="A5" s="12" t="s">
        <v>69</v>
      </c>
      <c r="B5" s="23" t="s">
        <v>82</v>
      </c>
      <c r="C5" s="27">
        <f>+[2]称号計算!I10</f>
        <v>0.25530000000000003</v>
      </c>
      <c r="D5" s="5">
        <f>+[2]称号計算!J10</f>
        <v>7.0400000000000004E-2</v>
      </c>
      <c r="E5" s="5">
        <f>+[2]称号計算!K10</f>
        <v>0.45689999999999997</v>
      </c>
      <c r="F5" s="5">
        <f>+[2]称号計算!L10</f>
        <v>2.9700000000000001E-2</v>
      </c>
      <c r="G5" s="5">
        <f>+[2]称号計算!M10</f>
        <v>0.16309999999999999</v>
      </c>
      <c r="H5" s="13">
        <f>+[2]称号計算!N10</f>
        <v>0.13669999999999999</v>
      </c>
      <c r="I5" s="27">
        <f>+[2]称号計算!O10</f>
        <v>0.1206</v>
      </c>
      <c r="J5" s="13">
        <f>+[2]称号計算!P10</f>
        <v>0.17030000000000001</v>
      </c>
      <c r="K5" s="27">
        <f>+[2]称号計算!Q10</f>
        <v>6.6299999999999998E-2</v>
      </c>
      <c r="L5" s="5">
        <f>+[2]称号計算!R10</f>
        <v>9.69E-2</v>
      </c>
      <c r="M5" s="13">
        <f>+[2]称号計算!S10</f>
        <v>0.15870000000000001</v>
      </c>
      <c r="N5" s="27">
        <f>+[2]称号計算!T10</f>
        <v>6.2100000000000002E-2</v>
      </c>
      <c r="O5" s="5">
        <f>+[2]称号計算!U10</f>
        <v>1.24E-2</v>
      </c>
      <c r="P5" s="5">
        <f>+[2]称号計算!V10</f>
        <v>4.1000000000000003E-3</v>
      </c>
      <c r="Q5" s="5">
        <f>+[2]称号計算!W10</f>
        <v>4.1000000000000003E-3</v>
      </c>
      <c r="R5" s="5">
        <f>+[2]称号計算!X10</f>
        <v>3.0999999999999999E-3</v>
      </c>
      <c r="S5" s="13">
        <f>+[2]称号計算!Y10</f>
        <v>3.0999999999999999E-3</v>
      </c>
      <c r="T5" s="19">
        <f>+[2]称号計算!Z10</f>
        <v>0.50309999999999999</v>
      </c>
      <c r="U5" s="13">
        <v>0.55000000000000004</v>
      </c>
    </row>
    <row r="6" spans="1:21">
      <c r="A6" s="12" t="s">
        <v>71</v>
      </c>
      <c r="B6" s="23" t="s">
        <v>83</v>
      </c>
      <c r="C6" s="27">
        <f>+[2]称号計算!I11</f>
        <v>0.1835</v>
      </c>
      <c r="D6" s="5">
        <f>+[2]称号計算!J11</f>
        <v>8.9700000000000002E-2</v>
      </c>
      <c r="E6" s="5">
        <f>+[2]称号計算!K11</f>
        <v>0.45329999999999998</v>
      </c>
      <c r="F6" s="5">
        <f>+[2]称号計算!L11</f>
        <v>3.6299999999999999E-2</v>
      </c>
      <c r="G6" s="5">
        <f>+[2]称号計算!M11</f>
        <v>0.14180000000000001</v>
      </c>
      <c r="H6" s="13">
        <f>+[2]称号計算!N11</f>
        <v>0.13100000000000001</v>
      </c>
      <c r="I6" s="27">
        <f>+[2]称号計算!O11</f>
        <v>0.1396</v>
      </c>
      <c r="J6" s="13">
        <f>+[2]称号計算!P11</f>
        <v>0.12570000000000001</v>
      </c>
      <c r="K6" s="27">
        <f>+[2]称号計算!Q11</f>
        <v>9.7699999999999995E-2</v>
      </c>
      <c r="L6" s="5">
        <f>+[2]称号計算!R11</f>
        <v>0.1704</v>
      </c>
      <c r="M6" s="13">
        <f>+[2]称号計算!S11</f>
        <v>0.23100000000000001</v>
      </c>
      <c r="N6" s="27">
        <f>+[2]称号計算!T11</f>
        <v>1.24E-2</v>
      </c>
      <c r="O6" s="5">
        <f>+[2]称号計算!U11</f>
        <v>6.1899999999999997E-2</v>
      </c>
      <c r="P6" s="5">
        <f>+[2]称号計算!V11</f>
        <v>4.1000000000000003E-3</v>
      </c>
      <c r="Q6" s="5">
        <f>+[2]称号計算!W11</f>
        <v>4.1000000000000003E-3</v>
      </c>
      <c r="R6" s="5">
        <f>+[2]称号計算!X11</f>
        <v>3.0999999999999999E-3</v>
      </c>
      <c r="S6" s="13">
        <f>+[2]称号計算!Y11</f>
        <v>3.0999999999999999E-3</v>
      </c>
      <c r="T6" s="19">
        <f>+[2]称号計算!Z11</f>
        <v>0.60499999999999998</v>
      </c>
      <c r="U6" s="13">
        <v>0.5</v>
      </c>
    </row>
    <row r="7" spans="1:21" ht="19.5" thickBot="1">
      <c r="A7" s="14" t="s">
        <v>73</v>
      </c>
      <c r="B7" s="24" t="s">
        <v>84</v>
      </c>
      <c r="C7" s="28">
        <f>+[2]称号計算!I12</f>
        <v>0.30740000000000001</v>
      </c>
      <c r="D7" s="15">
        <f>+[2]称号計算!J12</f>
        <v>0.24129999999999999</v>
      </c>
      <c r="E7" s="15">
        <f>+[2]称号計算!K12</f>
        <v>2.64E-2</v>
      </c>
      <c r="F7" s="15">
        <f>+[2]称号計算!L12</f>
        <v>0.40620000000000001</v>
      </c>
      <c r="G7" s="15">
        <f>+[2]称号計算!M12</f>
        <v>0.22650000000000001</v>
      </c>
      <c r="H7" s="16">
        <f>+[2]称号計算!N12</f>
        <v>0.21410000000000001</v>
      </c>
      <c r="I7" s="28">
        <f>+[2]称号計算!O12</f>
        <v>6.2600000000000003E-2</v>
      </c>
      <c r="J7" s="16">
        <f>+[2]称号計算!P12</f>
        <v>9.8599999999999993E-2</v>
      </c>
      <c r="K7" s="28">
        <f>+[2]称号計算!Q12</f>
        <v>5.3600000000000002E-2</v>
      </c>
      <c r="L7" s="15">
        <f>+[2]称号計算!R12</f>
        <v>9.7500000000000003E-2</v>
      </c>
      <c r="M7" s="16">
        <f>+[2]称号計算!S12</f>
        <v>0.14099999999999999</v>
      </c>
      <c r="N7" s="28">
        <f>+[2]称号計算!T12</f>
        <v>5.5999999999999999E-3</v>
      </c>
      <c r="O7" s="15">
        <f>+[2]称号計算!U12</f>
        <v>5.5999999999999999E-3</v>
      </c>
      <c r="P7" s="15">
        <f>+[2]称号計算!V12</f>
        <v>5.5999999999999999E-3</v>
      </c>
      <c r="Q7" s="15">
        <f>+[2]称号計算!W12</f>
        <v>5.5999999999999999E-3</v>
      </c>
      <c r="R7" s="15">
        <f>+[2]称号計算!X12</f>
        <v>0.111</v>
      </c>
      <c r="S7" s="16">
        <f>+[2]称号計算!Y12</f>
        <v>1.4800000000000001E-2</v>
      </c>
      <c r="T7" s="20">
        <f>+[2]称号計算!Z12</f>
        <v>0.53129999999999999</v>
      </c>
      <c r="U7" s="16">
        <v>0.25</v>
      </c>
    </row>
    <row r="8" spans="1:21">
      <c r="A8" s="9" t="s">
        <v>919</v>
      </c>
      <c r="B8" s="22" t="s">
        <v>1279</v>
      </c>
      <c r="C8" s="26">
        <f>+[2]称号計算!I13</f>
        <v>0.1613</v>
      </c>
      <c r="D8" s="10">
        <f>+[2]称号計算!J13</f>
        <v>0.26640000000000003</v>
      </c>
      <c r="E8" s="10">
        <f>+[2]称号計算!K13</f>
        <v>2.2499999999999999E-2</v>
      </c>
      <c r="F8" s="10">
        <f>+[2]称号計算!L13</f>
        <v>0.34589999999999999</v>
      </c>
      <c r="G8" s="10">
        <f>+[2]称号計算!M13</f>
        <v>9.06E-2</v>
      </c>
      <c r="H8" s="11">
        <f>+[2]称号計算!N13</f>
        <v>0.24110000000000001</v>
      </c>
      <c r="I8" s="26">
        <f>+[2]称号計算!O13</f>
        <v>6.8500000000000005E-2</v>
      </c>
      <c r="J8" s="11">
        <f>+[2]称号計算!P13</f>
        <v>8.6900000000000005E-2</v>
      </c>
      <c r="K8" s="26">
        <f>+[2]称号計算!Q13</f>
        <v>5.7799999999999997E-2</v>
      </c>
      <c r="L8" s="10">
        <f>+[2]称号計算!R13</f>
        <v>0.1162</v>
      </c>
      <c r="M8" s="11">
        <f>+[2]称号計算!S13</f>
        <v>0.1027</v>
      </c>
      <c r="N8" s="26">
        <f>+[2]称号計算!T13</f>
        <v>5.7000000000000002E-3</v>
      </c>
      <c r="O8" s="10">
        <f>+[2]称号計算!U13</f>
        <v>5.7000000000000002E-3</v>
      </c>
      <c r="P8" s="10">
        <f>+[2]称号計算!V13</f>
        <v>8.4900000000000003E-2</v>
      </c>
      <c r="Q8" s="10">
        <f>+[2]称号計算!W13</f>
        <v>2.12E-2</v>
      </c>
      <c r="R8" s="10">
        <f>+[2]称号計算!X13</f>
        <v>4.1999999999999997E-3</v>
      </c>
      <c r="S8" s="11">
        <f>+[2]称号計算!Y13</f>
        <v>4.1999999999999997E-3</v>
      </c>
      <c r="T8" s="18">
        <f>+[2]称号計算!Z13</f>
        <v>0.47670000000000001</v>
      </c>
      <c r="U8" s="11">
        <v>1</v>
      </c>
    </row>
    <row r="9" spans="1:21">
      <c r="A9" s="12" t="s">
        <v>920</v>
      </c>
      <c r="B9" s="23" t="s">
        <v>1280</v>
      </c>
      <c r="C9" s="27">
        <f>+[2]称号計算!I14</f>
        <v>8.7099999999999997E-2</v>
      </c>
      <c r="D9" s="5">
        <f>+[2]称号計算!J14</f>
        <v>0.2374</v>
      </c>
      <c r="E9" s="5">
        <f>+[2]称号計算!K14</f>
        <v>2.8799999999999999E-2</v>
      </c>
      <c r="F9" s="5">
        <f>+[2]称号計算!L14</f>
        <v>0.35970000000000002</v>
      </c>
      <c r="G9" s="5">
        <f>+[2]称号計算!M14</f>
        <v>0.17730000000000001</v>
      </c>
      <c r="H9" s="13">
        <f>+[2]称号計算!N14</f>
        <v>0.2752</v>
      </c>
      <c r="I9" s="27">
        <f>+[2]称号計算!O14</f>
        <v>6.3299999999999995E-2</v>
      </c>
      <c r="J9" s="13">
        <f>+[2]称号計算!P14</f>
        <v>8.5999999999999993E-2</v>
      </c>
      <c r="K9" s="27">
        <f>+[2]称号計算!Q14</f>
        <v>6.9599999999999995E-2</v>
      </c>
      <c r="L9" s="5">
        <f>+[2]称号計算!R14</f>
        <v>0.12659999999999999</v>
      </c>
      <c r="M9" s="13">
        <f>+[2]称号計算!S14</f>
        <v>0.12690000000000001</v>
      </c>
      <c r="N9" s="27">
        <f>+[2]称号計算!T14</f>
        <v>9.8299999999999998E-2</v>
      </c>
      <c r="O9" s="5">
        <f>+[2]称号計算!U14</f>
        <v>1.9699999999999999E-2</v>
      </c>
      <c r="P9" s="5">
        <f>+[2]称号計算!V14</f>
        <v>6.6E-3</v>
      </c>
      <c r="Q9" s="5">
        <f>+[2]称号計算!W14</f>
        <v>6.6E-3</v>
      </c>
      <c r="R9" s="5">
        <f>+[2]称号計算!X14</f>
        <v>4.8999999999999998E-3</v>
      </c>
      <c r="S9" s="13">
        <f>+[2]称号計算!Y14</f>
        <v>4.8999999999999998E-3</v>
      </c>
      <c r="T9" s="19">
        <f>+[2]称号計算!Z14</f>
        <v>0.52780000000000005</v>
      </c>
      <c r="U9" s="13">
        <v>1</v>
      </c>
    </row>
    <row r="10" spans="1:21">
      <c r="A10" s="12" t="s">
        <v>921</v>
      </c>
      <c r="B10" s="23" t="s">
        <v>1281</v>
      </c>
      <c r="C10" s="27">
        <f>+[2]称号計算!I15</f>
        <v>0.17480000000000001</v>
      </c>
      <c r="D10" s="5">
        <f>+[2]称号計算!J15</f>
        <v>0.2535</v>
      </c>
      <c r="E10" s="5">
        <f>+[2]称号計算!K15</f>
        <v>3.9699999999999999E-2</v>
      </c>
      <c r="F10" s="5">
        <f>+[2]称号計算!L15</f>
        <v>0.39729999999999999</v>
      </c>
      <c r="G10" s="5">
        <f>+[2]称号計算!M15</f>
        <v>0.1351</v>
      </c>
      <c r="H10" s="13">
        <f>+[2]称号計算!N15</f>
        <v>0.16209999999999999</v>
      </c>
      <c r="I10" s="27">
        <f>+[2]称号計算!O15</f>
        <v>0.10489999999999999</v>
      </c>
      <c r="J10" s="13">
        <f>+[2]称号計算!P15</f>
        <v>9.64E-2</v>
      </c>
      <c r="K10" s="27">
        <f>+[2]称号計算!Q15</f>
        <v>7.3400000000000007E-2</v>
      </c>
      <c r="L10" s="5">
        <f>+[2]称号計算!R15</f>
        <v>0.151</v>
      </c>
      <c r="M10" s="13">
        <f>+[2]称号計算!S15</f>
        <v>0.12790000000000001</v>
      </c>
      <c r="N10" s="27">
        <f>+[2]称号計算!T15</f>
        <v>5.1000000000000004E-3</v>
      </c>
      <c r="O10" s="5">
        <f>+[2]称号計算!U15</f>
        <v>5.1000000000000004E-3</v>
      </c>
      <c r="P10" s="5">
        <f>+[2]称号計算!V15</f>
        <v>1.9199999999999998E-2</v>
      </c>
      <c r="Q10" s="5">
        <f>+[2]称号計算!W15</f>
        <v>7.6899999999999996E-2</v>
      </c>
      <c r="R10" s="5">
        <f>+[2]称号計算!X15</f>
        <v>3.8E-3</v>
      </c>
      <c r="S10" s="13">
        <f>+[2]称号計算!Y15</f>
        <v>3.8E-3</v>
      </c>
      <c r="T10" s="19">
        <f>+[2]称号計算!Z15</f>
        <v>0.54339999999999999</v>
      </c>
      <c r="U10" s="13">
        <v>0.9</v>
      </c>
    </row>
    <row r="11" spans="1:21">
      <c r="A11" s="12" t="s">
        <v>922</v>
      </c>
      <c r="B11" s="23" t="s">
        <v>1282</v>
      </c>
      <c r="C11" s="27">
        <f>+[2]称号計算!I16</f>
        <v>0.24340000000000001</v>
      </c>
      <c r="D11" s="5">
        <f>+[2]称号計算!J16</f>
        <v>0.10829999999999999</v>
      </c>
      <c r="E11" s="5">
        <f>+[2]称号計算!K16</f>
        <v>0.46879999999999999</v>
      </c>
      <c r="F11" s="5">
        <f>+[2]称号計算!L16</f>
        <v>3.2800000000000003E-2</v>
      </c>
      <c r="G11" s="5">
        <f>+[2]称号計算!M16</f>
        <v>0.1817</v>
      </c>
      <c r="H11" s="13">
        <f>+[2]称号計算!N16</f>
        <v>0.1817</v>
      </c>
      <c r="I11" s="27">
        <f>+[2]称号計算!O16</f>
        <v>8.2500000000000004E-2</v>
      </c>
      <c r="J11" s="13">
        <f>+[2]称号計算!P16</f>
        <v>0.1162</v>
      </c>
      <c r="K11" s="27">
        <f>+[2]称号計算!Q16</f>
        <v>8.8700000000000001E-2</v>
      </c>
      <c r="L11" s="5">
        <f>+[2]称号計算!R16</f>
        <v>0.16500000000000001</v>
      </c>
      <c r="M11" s="13">
        <f>+[2]称号計算!S16</f>
        <v>0.12470000000000001</v>
      </c>
      <c r="N11" s="27">
        <f>+[2]称号計算!T16</f>
        <v>7.1999999999999998E-3</v>
      </c>
      <c r="O11" s="5">
        <f>+[2]称号計算!U16</f>
        <v>7.1999999999999998E-3</v>
      </c>
      <c r="P11" s="5">
        <f>+[2]称号計算!V16</f>
        <v>2.69E-2</v>
      </c>
      <c r="Q11" s="5">
        <f>+[2]称号計算!W16</f>
        <v>0.1076</v>
      </c>
      <c r="R11" s="5">
        <f>+[2]称号計算!X16</f>
        <v>5.4000000000000003E-3</v>
      </c>
      <c r="S11" s="13">
        <f>+[2]称号計算!Y16</f>
        <v>5.4000000000000003E-3</v>
      </c>
      <c r="T11" s="19">
        <f>+[2]称号計算!Z16</f>
        <v>0.57310000000000005</v>
      </c>
      <c r="U11" s="13">
        <v>0.55000000000000004</v>
      </c>
    </row>
    <row r="12" spans="1:21">
      <c r="A12" s="12" t="s">
        <v>923</v>
      </c>
      <c r="B12" s="23" t="s">
        <v>1283</v>
      </c>
      <c r="C12" s="27">
        <f>+[2]称号計算!I17</f>
        <v>0.15429999999999999</v>
      </c>
      <c r="D12" s="5">
        <f>+[2]称号計算!J17</f>
        <v>6.3899999999999998E-2</v>
      </c>
      <c r="E12" s="5">
        <f>+[2]称号計算!K17</f>
        <v>0.40310000000000001</v>
      </c>
      <c r="F12" s="5">
        <f>+[2]称号計算!L17</f>
        <v>2.6200000000000001E-2</v>
      </c>
      <c r="G12" s="5">
        <f>+[2]称号計算!M17</f>
        <v>0.1179</v>
      </c>
      <c r="H12" s="13">
        <f>+[2]称号計算!N17</f>
        <v>0.1055</v>
      </c>
      <c r="I12" s="27">
        <f>+[2]称号計算!O17</f>
        <v>0.47889999999999999</v>
      </c>
      <c r="J12" s="13">
        <f>+[2]称号計算!P17</f>
        <v>0.14180000000000001</v>
      </c>
      <c r="K12" s="27">
        <f>+[2]称号計算!Q17</f>
        <v>9.7600000000000006E-2</v>
      </c>
      <c r="L12" s="5">
        <f>+[2]称号計算!R17</f>
        <v>0.16769999999999999</v>
      </c>
      <c r="M12" s="13">
        <f>+[2]称号計算!S17</f>
        <v>0.11509999999999999</v>
      </c>
      <c r="N12" s="27">
        <f>+[2]称号計算!T17</f>
        <v>3.8E-3</v>
      </c>
      <c r="O12" s="5">
        <f>+[2]称号計算!U17</f>
        <v>3.8E-3</v>
      </c>
      <c r="P12" s="5">
        <f>+[2]称号計算!V17</f>
        <v>1.4200000000000001E-2</v>
      </c>
      <c r="Q12" s="5">
        <f>+[2]称号計算!W17</f>
        <v>5.6899999999999999E-2</v>
      </c>
      <c r="R12" s="5">
        <f>+[2]称号計算!X17</f>
        <v>2.8E-3</v>
      </c>
      <c r="S12" s="13">
        <f>+[2]称号計算!Y17</f>
        <v>2.8E-3</v>
      </c>
      <c r="T12" s="19">
        <f>+[2]称号計算!Z17</f>
        <v>0.66039999999999999</v>
      </c>
      <c r="U12" s="13">
        <v>0.5</v>
      </c>
    </row>
    <row r="13" spans="1:21" ht="19.5" thickBot="1">
      <c r="A13" s="14" t="s">
        <v>924</v>
      </c>
      <c r="B13" s="24" t="s">
        <v>1284</v>
      </c>
      <c r="C13" s="28">
        <f>+[2]称号計算!I18</f>
        <v>0.20219999999999999</v>
      </c>
      <c r="D13" s="15">
        <f>+[2]称号計算!J18</f>
        <v>0.2225</v>
      </c>
      <c r="E13" s="15">
        <f>+[2]称号計算!K18</f>
        <v>4.5999999999999999E-2</v>
      </c>
      <c r="F13" s="15">
        <f>+[2]称号計算!L18</f>
        <v>0.45960000000000001</v>
      </c>
      <c r="G13" s="15">
        <f>+[2]称号計算!M18</f>
        <v>0.14849999999999999</v>
      </c>
      <c r="H13" s="16">
        <f>+[2]称号計算!N18</f>
        <v>0.1719</v>
      </c>
      <c r="I13" s="28">
        <f>+[2]称号計算!O18</f>
        <v>0.1416</v>
      </c>
      <c r="J13" s="16">
        <f>+[2]称号計算!P18</f>
        <v>0.1235</v>
      </c>
      <c r="K13" s="28">
        <f>+[2]称号計算!Q18</f>
        <v>9.2999999999999999E-2</v>
      </c>
      <c r="L13" s="15">
        <f>+[2]称号計算!R18</f>
        <v>0.20219999999999999</v>
      </c>
      <c r="M13" s="16">
        <f>+[2]称号計算!S18</f>
        <v>0.13900000000000001</v>
      </c>
      <c r="N13" s="28">
        <f>+[2]称号計算!T18</f>
        <v>3.3999999999999998E-3</v>
      </c>
      <c r="O13" s="15">
        <f>+[2]称号計算!U18</f>
        <v>3.3999999999999998E-3</v>
      </c>
      <c r="P13" s="15">
        <f>+[2]称号計算!V18</f>
        <v>3.3999999999999998E-3</v>
      </c>
      <c r="Q13" s="15">
        <f>+[2]称号計算!W18</f>
        <v>3.3999999999999998E-3</v>
      </c>
      <c r="R13" s="15">
        <f>+[2]称号計算!X18</f>
        <v>9.1999999999999998E-3</v>
      </c>
      <c r="S13" s="16">
        <f>+[2]称号計算!Y18</f>
        <v>6.8599999999999994E-2</v>
      </c>
      <c r="T13" s="20">
        <f>+[2]称号計算!Z18</f>
        <v>0.63919999999999999</v>
      </c>
      <c r="U13" s="16">
        <v>0.25</v>
      </c>
    </row>
    <row r="14" spans="1:21">
      <c r="A14" s="9" t="s">
        <v>925</v>
      </c>
      <c r="B14" s="22" t="s">
        <v>1285</v>
      </c>
      <c r="C14" s="26">
        <f>+[2]称号計算!I19</f>
        <v>0.19320000000000001</v>
      </c>
      <c r="D14" s="10">
        <f>+[2]称号計算!J19</f>
        <v>0.30359999999999998</v>
      </c>
      <c r="E14" s="10">
        <f>+[2]称号計算!K19</f>
        <v>2.63E-2</v>
      </c>
      <c r="F14" s="10">
        <f>+[2]称号計算!L19</f>
        <v>0.31369999999999998</v>
      </c>
      <c r="G14" s="10">
        <f>+[2]称号計算!M19</f>
        <v>0.1013</v>
      </c>
      <c r="H14" s="11">
        <f>+[2]称号計算!N19</f>
        <v>0.1792</v>
      </c>
      <c r="I14" s="26">
        <f>+[2]称号計算!O19</f>
        <v>0.15870000000000001</v>
      </c>
      <c r="J14" s="11">
        <f>+[2]称号計算!P19</f>
        <v>0.106</v>
      </c>
      <c r="K14" s="26">
        <f>+[2]称号計算!Q19</f>
        <v>3.3099999999999997E-2</v>
      </c>
      <c r="L14" s="10">
        <f>+[2]称号計算!R19</f>
        <v>9.0300000000000005E-2</v>
      </c>
      <c r="M14" s="11">
        <f>+[2]称号計算!S19</f>
        <v>0.1168</v>
      </c>
      <c r="N14" s="26">
        <f>+[2]称号計算!T19</f>
        <v>4.3E-3</v>
      </c>
      <c r="O14" s="10">
        <f>+[2]称号計算!U19</f>
        <v>4.3E-3</v>
      </c>
      <c r="P14" s="10">
        <f>+[2]称号計算!V19</f>
        <v>4.3E-3</v>
      </c>
      <c r="Q14" s="10">
        <f>+[2]称号計算!W19</f>
        <v>4.3E-3</v>
      </c>
      <c r="R14" s="10">
        <f>+[2]称号計算!X19</f>
        <v>1.14E-2</v>
      </c>
      <c r="S14" s="11">
        <f>+[2]称号計算!Y19</f>
        <v>8.5699999999999998E-2</v>
      </c>
      <c r="T14" s="18">
        <f>+[2]称号計算!Z19</f>
        <v>0.43259999999999998</v>
      </c>
      <c r="U14" s="11">
        <v>1</v>
      </c>
    </row>
    <row r="15" spans="1:21">
      <c r="A15" s="12" t="s">
        <v>926</v>
      </c>
      <c r="B15" s="23" t="s">
        <v>1286</v>
      </c>
      <c r="C15" s="27">
        <f>+[2]称号計算!I20</f>
        <v>0.1396</v>
      </c>
      <c r="D15" s="5">
        <f>+[2]称号計算!J20</f>
        <v>0.20580000000000001</v>
      </c>
      <c r="E15" s="5">
        <f>+[2]称号計算!K20</f>
        <v>4.07E-2</v>
      </c>
      <c r="F15" s="5">
        <f>+[2]称号計算!L20</f>
        <v>0.40679999999999999</v>
      </c>
      <c r="G15" s="5">
        <f>+[2]称号計算!M20</f>
        <v>0.1037</v>
      </c>
      <c r="H15" s="13">
        <f>+[2]称号計算!N20</f>
        <v>0.1106</v>
      </c>
      <c r="I15" s="27">
        <f>+[2]称号計算!O20</f>
        <v>0.19689999999999999</v>
      </c>
      <c r="J15" s="13">
        <f>+[2]称号計算!P20</f>
        <v>0.1163</v>
      </c>
      <c r="K15" s="27">
        <f>+[2]称号計算!Q20</f>
        <v>7.8799999999999995E-2</v>
      </c>
      <c r="L15" s="5">
        <f>+[2]称号計算!R20</f>
        <v>0.17899999999999999</v>
      </c>
      <c r="M15" s="13">
        <f>+[2]称号計算!S20</f>
        <v>0.12529999999999999</v>
      </c>
      <c r="N15" s="27">
        <f>+[2]称号計算!T20</f>
        <v>3.8E-3</v>
      </c>
      <c r="O15" s="5">
        <f>+[2]称号計算!U20</f>
        <v>3.8E-3</v>
      </c>
      <c r="P15" s="5">
        <f>+[2]称号計算!V20</f>
        <v>1.43E-2</v>
      </c>
      <c r="Q15" s="5">
        <f>+[2]称号計算!W20</f>
        <v>5.7200000000000001E-2</v>
      </c>
      <c r="R15" s="5">
        <f>+[2]称号計算!X20</f>
        <v>2.8999999999999998E-3</v>
      </c>
      <c r="S15" s="13">
        <f>+[2]称号計算!Y20</f>
        <v>2.8999999999999998E-3</v>
      </c>
      <c r="T15" s="19">
        <f>+[2]称号計算!Z20</f>
        <v>0.54890000000000005</v>
      </c>
      <c r="U15" s="13">
        <v>1</v>
      </c>
    </row>
    <row r="16" spans="1:21">
      <c r="A16" s="12" t="s">
        <v>927</v>
      </c>
      <c r="B16" s="23" t="s">
        <v>1287</v>
      </c>
      <c r="C16" s="27">
        <f>+[2]称号計算!I21</f>
        <v>0.29260000000000003</v>
      </c>
      <c r="D16" s="5">
        <f>+[2]称号計算!J21</f>
        <v>0.2296</v>
      </c>
      <c r="E16" s="5">
        <f>+[2]称号計算!K21</f>
        <v>2.5100000000000001E-2</v>
      </c>
      <c r="F16" s="5">
        <f>+[2]称号計算!L21</f>
        <v>0.3866</v>
      </c>
      <c r="G16" s="5">
        <f>+[2]称号計算!M21</f>
        <v>0.21560000000000001</v>
      </c>
      <c r="H16" s="13">
        <f>+[2]称号計算!N21</f>
        <v>0.20369999999999999</v>
      </c>
      <c r="I16" s="27">
        <f>+[2]称号計算!O21</f>
        <v>5.9499999999999997E-2</v>
      </c>
      <c r="J16" s="13">
        <f>+[2]称号計算!P21</f>
        <v>9.3799999999999994E-2</v>
      </c>
      <c r="K16" s="27">
        <f>+[2]称号計算!Q21</f>
        <v>5.0999999999999997E-2</v>
      </c>
      <c r="L16" s="5">
        <f>+[2]称号計算!R21</f>
        <v>9.2799999999999994E-2</v>
      </c>
      <c r="M16" s="13">
        <f>+[2]称号計算!S21</f>
        <v>0.13420000000000001</v>
      </c>
      <c r="N16" s="27">
        <f>+[2]称号計算!T21</f>
        <v>5.3E-3</v>
      </c>
      <c r="O16" s="5">
        <f>+[2]称号計算!U21</f>
        <v>5.3E-3</v>
      </c>
      <c r="P16" s="5">
        <f>+[2]称号計算!V21</f>
        <v>5.3E-3</v>
      </c>
      <c r="Q16" s="5">
        <f>+[2]称号計算!W21</f>
        <v>5.3E-3</v>
      </c>
      <c r="R16" s="5">
        <f>+[2]称号計算!X21</f>
        <v>1.41E-2</v>
      </c>
      <c r="S16" s="13">
        <f>+[2]称号計算!Y21</f>
        <v>0.1057</v>
      </c>
      <c r="T16" s="19">
        <f>+[2]称号計算!Z21</f>
        <v>0.50560000000000005</v>
      </c>
      <c r="U16" s="13">
        <v>0.9</v>
      </c>
    </row>
    <row r="17" spans="1:21">
      <c r="A17" s="12" t="s">
        <v>928</v>
      </c>
      <c r="B17" s="23" t="s">
        <v>1288</v>
      </c>
      <c r="C17" s="27">
        <f>+[2]称号計算!I22</f>
        <v>0.4239</v>
      </c>
      <c r="D17" s="5">
        <f>+[2]称号計算!J22</f>
        <v>6.2E-2</v>
      </c>
      <c r="E17" s="5">
        <f>+[2]称号計算!K22</f>
        <v>0.47</v>
      </c>
      <c r="F17" s="5">
        <f>+[2]称号計算!L22</f>
        <v>4.2299999999999997E-2</v>
      </c>
      <c r="G17" s="5">
        <f>+[2]称号計算!M22</f>
        <v>0.2429</v>
      </c>
      <c r="H17" s="13">
        <f>+[2]称号計算!N22</f>
        <v>0.2077</v>
      </c>
      <c r="I17" s="27">
        <f>+[2]称号計算!O22</f>
        <v>5.1700000000000003E-2</v>
      </c>
      <c r="J17" s="13">
        <f>+[2]称号計算!P22</f>
        <v>0.11</v>
      </c>
      <c r="K17" s="27">
        <f>+[2]称号計算!Q22</f>
        <v>4.7600000000000003E-2</v>
      </c>
      <c r="L17" s="5">
        <f>+[2]称号計算!R22</f>
        <v>9.5899999999999999E-2</v>
      </c>
      <c r="M17" s="13">
        <f>+[2]称号計算!S22</f>
        <v>0.1119</v>
      </c>
      <c r="N17" s="27">
        <f>+[2]称号計算!T22</f>
        <v>4.4999999999999997E-3</v>
      </c>
      <c r="O17" s="5">
        <f>+[2]称号計算!U22</f>
        <v>4.4999999999999997E-3</v>
      </c>
      <c r="P17" s="5">
        <f>+[2]称号計算!V22</f>
        <v>4.4999999999999997E-3</v>
      </c>
      <c r="Q17" s="5">
        <f>+[2]称号計算!W22</f>
        <v>4.4999999999999997E-3</v>
      </c>
      <c r="R17" s="5">
        <f>+[2]称号計算!X22</f>
        <v>1.1900000000000001E-2</v>
      </c>
      <c r="S17" s="13">
        <f>+[2]称号計算!Y22</f>
        <v>8.9599999999999999E-2</v>
      </c>
      <c r="T17" s="19">
        <f>+[2]称号計算!Z22</f>
        <v>0.4924</v>
      </c>
      <c r="U17" s="13">
        <v>0.55000000000000004</v>
      </c>
    </row>
    <row r="18" spans="1:21">
      <c r="A18" s="12" t="s">
        <v>929</v>
      </c>
      <c r="B18" s="23" t="s">
        <v>1289</v>
      </c>
      <c r="C18" s="27">
        <f>+[2]称号計算!I23</f>
        <v>0.27410000000000001</v>
      </c>
      <c r="D18" s="5">
        <f>+[2]称号計算!J23</f>
        <v>9.1399999999999995E-2</v>
      </c>
      <c r="E18" s="5">
        <f>+[2]称号計算!K23</f>
        <v>0.46150000000000002</v>
      </c>
      <c r="F18" s="5">
        <f>+[2]称号計算!L23</f>
        <v>4.6100000000000002E-2</v>
      </c>
      <c r="G18" s="5">
        <f>+[2]称号計算!M23</f>
        <v>0.21970000000000001</v>
      </c>
      <c r="H18" s="13">
        <f>+[2]称号計算!N23</f>
        <v>0.15690000000000001</v>
      </c>
      <c r="I18" s="27">
        <f>+[2]称号計算!O23</f>
        <v>0.16239999999999999</v>
      </c>
      <c r="J18" s="13">
        <f>+[2]称号計算!P23</f>
        <v>0.128</v>
      </c>
      <c r="K18" s="27">
        <f>+[2]称号計算!Q23</f>
        <v>0.1096</v>
      </c>
      <c r="L18" s="5">
        <f>+[2]称号計算!R23</f>
        <v>0.1938</v>
      </c>
      <c r="M18" s="13">
        <f>+[2]称号計算!S23</f>
        <v>0.10340000000000001</v>
      </c>
      <c r="N18" s="27">
        <f>+[2]称号計算!T23</f>
        <v>4.8999999999999998E-3</v>
      </c>
      <c r="O18" s="5">
        <f>+[2]称号計算!U23</f>
        <v>4.8999999999999998E-3</v>
      </c>
      <c r="P18" s="5">
        <f>+[2]称号計算!V23</f>
        <v>4.8999999999999998E-3</v>
      </c>
      <c r="Q18" s="5">
        <f>+[2]称号計算!W23</f>
        <v>4.8999999999999998E-3</v>
      </c>
      <c r="R18" s="5">
        <f>+[2]称号計算!X23</f>
        <v>1.3100000000000001E-2</v>
      </c>
      <c r="S18" s="13">
        <f>+[2]称号計算!Y23</f>
        <v>9.8100000000000007E-2</v>
      </c>
      <c r="T18" s="19">
        <f>+[2]称号計算!Z23</f>
        <v>0.68140000000000001</v>
      </c>
      <c r="U18" s="13">
        <v>0.5</v>
      </c>
    </row>
    <row r="19" spans="1:21" ht="19.5" thickBot="1">
      <c r="A19" s="14" t="s">
        <v>930</v>
      </c>
      <c r="B19" s="24" t="s">
        <v>1290</v>
      </c>
      <c r="C19" s="28">
        <f>+[2]称号計算!I24</f>
        <v>0.16619999999999999</v>
      </c>
      <c r="D19" s="15">
        <f>+[2]称号計算!J24</f>
        <v>0.21329999999999999</v>
      </c>
      <c r="E19" s="15">
        <f>+[2]称号計算!K24</f>
        <v>3.32E-2</v>
      </c>
      <c r="F19" s="15">
        <f>+[2]称号計算!L24</f>
        <v>0.51029999999999998</v>
      </c>
      <c r="G19" s="15">
        <f>+[2]称号計算!M24</f>
        <v>0.1249</v>
      </c>
      <c r="H19" s="16">
        <f>+[2]称号計算!N24</f>
        <v>0.1457</v>
      </c>
      <c r="I19" s="28">
        <f>+[2]称号計算!O24</f>
        <v>0.1123</v>
      </c>
      <c r="J19" s="16">
        <f>+[2]称号計算!P24</f>
        <v>0.12379999999999999</v>
      </c>
      <c r="K19" s="28">
        <f>+[2]称号計算!Q24</f>
        <v>0.15040000000000001</v>
      </c>
      <c r="L19" s="15">
        <f>+[2]称号計算!R24</f>
        <v>0.31640000000000001</v>
      </c>
      <c r="M19" s="16">
        <f>+[2]称号計算!S24</f>
        <v>0.13150000000000001</v>
      </c>
      <c r="N19" s="28">
        <f>+[2]称号計算!T24</f>
        <v>2.8999999999999998E-3</v>
      </c>
      <c r="O19" s="15">
        <f>+[2]称号計算!U24</f>
        <v>2.8999999999999998E-3</v>
      </c>
      <c r="P19" s="15">
        <f>+[2]称号計算!V24</f>
        <v>2.8999999999999998E-3</v>
      </c>
      <c r="Q19" s="15">
        <f>+[2]称号計算!W24</f>
        <v>2.8999999999999998E-3</v>
      </c>
      <c r="R19" s="15">
        <f>+[2]称号計算!X24</f>
        <v>7.7999999999999996E-3</v>
      </c>
      <c r="S19" s="16">
        <f>+[2]称号計算!Y24</f>
        <v>5.8400000000000001E-2</v>
      </c>
      <c r="T19" s="20">
        <f>+[2]称号計算!Z24</f>
        <v>0.78300000000000003</v>
      </c>
      <c r="U19" s="16">
        <v>0.25</v>
      </c>
    </row>
    <row r="20" spans="1:21">
      <c r="A20" s="9" t="s">
        <v>931</v>
      </c>
      <c r="B20" s="22" t="s">
        <v>1291</v>
      </c>
      <c r="C20" s="26">
        <f>+[2]称号計算!I25</f>
        <v>0.2046</v>
      </c>
      <c r="D20" s="10">
        <f>+[2]称号計算!J25</f>
        <v>0.17050000000000001</v>
      </c>
      <c r="E20" s="10">
        <f>+[2]称号計算!K25</f>
        <v>3.8699999999999998E-2</v>
      </c>
      <c r="F20" s="10">
        <f>+[2]称号計算!L25</f>
        <v>0.38750000000000001</v>
      </c>
      <c r="G20" s="10">
        <f>+[2]称号計算!M25</f>
        <v>0.17130000000000001</v>
      </c>
      <c r="H20" s="11">
        <f>+[2]称号計算!N25</f>
        <v>0.112</v>
      </c>
      <c r="I20" s="26">
        <f>+[2]称号計算!O25</f>
        <v>0.13639999999999999</v>
      </c>
      <c r="J20" s="11">
        <f>+[2]称号計算!P25</f>
        <v>0.1075</v>
      </c>
      <c r="K20" s="26">
        <f>+[2]称号計算!Q25</f>
        <v>9.5500000000000002E-2</v>
      </c>
      <c r="L20" s="10">
        <f>+[2]称号計算!R25</f>
        <v>0.155</v>
      </c>
      <c r="M20" s="11">
        <f>+[2]称号計算!S25</f>
        <v>0.1085</v>
      </c>
      <c r="N20" s="26">
        <f>+[2]称号計算!T25</f>
        <v>4.7999999999999996E-3</v>
      </c>
      <c r="O20" s="10">
        <f>+[2]称号計算!U25</f>
        <v>4.7999999999999996E-3</v>
      </c>
      <c r="P20" s="10">
        <f>+[2]称号計算!V25</f>
        <v>7.1499999999999994E-2</v>
      </c>
      <c r="Q20" s="10">
        <f>+[2]称号計算!W25</f>
        <v>1.7899999999999999E-2</v>
      </c>
      <c r="R20" s="10">
        <f>+[2]称号計算!X25</f>
        <v>3.5999999999999999E-3</v>
      </c>
      <c r="S20" s="11">
        <f>+[2]称号計算!Y25</f>
        <v>3.5999999999999999E-3</v>
      </c>
      <c r="T20" s="18">
        <f>+[2]称号計算!Z25</f>
        <v>0.59989999999999999</v>
      </c>
      <c r="U20" s="11">
        <v>1</v>
      </c>
    </row>
    <row r="21" spans="1:21">
      <c r="A21" s="12" t="s">
        <v>932</v>
      </c>
      <c r="B21" s="23" t="s">
        <v>1292</v>
      </c>
      <c r="C21" s="27">
        <f>+[2]称号計算!I26</f>
        <v>0.1166</v>
      </c>
      <c r="D21" s="5">
        <f>+[2]称号計算!J26</f>
        <v>0.15679999999999999</v>
      </c>
      <c r="E21" s="5">
        <f>+[2]称号計算!K26</f>
        <v>2.2800000000000001E-2</v>
      </c>
      <c r="F21" s="5">
        <f>+[2]称号計算!L26</f>
        <v>0.45689999999999997</v>
      </c>
      <c r="G21" s="5">
        <f>+[2]称号計算!M26</f>
        <v>9.9400000000000002E-2</v>
      </c>
      <c r="H21" s="13">
        <f>+[2]称号計算!N26</f>
        <v>0.10100000000000001</v>
      </c>
      <c r="I21" s="27">
        <f>+[2]称号計算!O26</f>
        <v>0.1608</v>
      </c>
      <c r="J21" s="13">
        <f>+[2]称号計算!P26</f>
        <v>0.12280000000000001</v>
      </c>
      <c r="K21" s="27">
        <f>+[2]称号計算!Q26</f>
        <v>0.16889999999999999</v>
      </c>
      <c r="L21" s="5">
        <f>+[2]称号計算!R26</f>
        <v>0.23760000000000001</v>
      </c>
      <c r="M21" s="13">
        <f>+[2]称号計算!S26</f>
        <v>0.12790000000000001</v>
      </c>
      <c r="N21" s="27">
        <f>+[2]称号計算!T26</f>
        <v>3.0000000000000001E-3</v>
      </c>
      <c r="O21" s="5">
        <f>+[2]称号計算!U26</f>
        <v>3.0000000000000001E-3</v>
      </c>
      <c r="P21" s="5">
        <f>+[2]称号計算!V26</f>
        <v>4.5400000000000003E-2</v>
      </c>
      <c r="Q21" s="5">
        <f>+[2]称号計算!W26</f>
        <v>1.1299999999999999E-2</v>
      </c>
      <c r="R21" s="5">
        <f>+[2]称号計算!X26</f>
        <v>2.3E-3</v>
      </c>
      <c r="S21" s="13">
        <f>+[2]称号計算!Y26</f>
        <v>2.3E-3</v>
      </c>
      <c r="T21" s="19">
        <f>+[2]称号計算!Z26</f>
        <v>0.76770000000000005</v>
      </c>
      <c r="U21" s="13">
        <v>1</v>
      </c>
    </row>
    <row r="22" spans="1:21">
      <c r="A22" s="12" t="s">
        <v>933</v>
      </c>
      <c r="B22" s="23" t="s">
        <v>1293</v>
      </c>
      <c r="C22" s="27">
        <f>+[2]称号計算!I27</f>
        <v>0.2109</v>
      </c>
      <c r="D22" s="5">
        <f>+[2]称号計算!J27</f>
        <v>0.25419999999999998</v>
      </c>
      <c r="E22" s="5">
        <f>+[2]称号計算!K27</f>
        <v>2.8199999999999999E-2</v>
      </c>
      <c r="F22" s="5">
        <f>+[2]称号計算!L27</f>
        <v>0.42799999999999999</v>
      </c>
      <c r="G22" s="5">
        <f>+[2]称号計算!M27</f>
        <v>0.2838</v>
      </c>
      <c r="H22" s="13">
        <f>+[2]称号計算!N27</f>
        <v>0.1048</v>
      </c>
      <c r="I22" s="27">
        <f>+[2]称号計算!O27</f>
        <v>0.1036</v>
      </c>
      <c r="J22" s="13">
        <f>+[2]称号計算!P27</f>
        <v>0.1113</v>
      </c>
      <c r="K22" s="27">
        <f>+[2]称号計算!Q27</f>
        <v>6.9699999999999998E-2</v>
      </c>
      <c r="L22" s="5">
        <f>+[2]称号計算!R27</f>
        <v>0.1489</v>
      </c>
      <c r="M22" s="13">
        <f>+[2]称号計算!S27</f>
        <v>0.11260000000000001</v>
      </c>
      <c r="N22" s="27">
        <f>+[2]称号計算!T27</f>
        <v>4.7000000000000002E-3</v>
      </c>
      <c r="O22" s="5">
        <f>+[2]称号計算!U27</f>
        <v>4.7000000000000002E-3</v>
      </c>
      <c r="P22" s="5">
        <f>+[2]称号計算!V27</f>
        <v>4.7000000000000002E-3</v>
      </c>
      <c r="Q22" s="5">
        <f>+[2]称号計算!W27</f>
        <v>4.7000000000000002E-3</v>
      </c>
      <c r="R22" s="5">
        <f>+[2]称号計算!X27</f>
        <v>1.2500000000000001E-2</v>
      </c>
      <c r="S22" s="13">
        <f>+[2]称号計算!Y27</f>
        <v>9.35E-2</v>
      </c>
      <c r="T22" s="19">
        <f>+[2]称号計算!Z27</f>
        <v>0.56200000000000006</v>
      </c>
      <c r="U22" s="13">
        <v>0.9</v>
      </c>
    </row>
    <row r="23" spans="1:21">
      <c r="A23" s="12" t="s">
        <v>934</v>
      </c>
      <c r="B23" s="23" t="s">
        <v>1294</v>
      </c>
      <c r="C23" s="27">
        <f>+[2]称号計算!I28</f>
        <v>0.25319999999999998</v>
      </c>
      <c r="D23" s="5">
        <f>+[2]称号計算!J28</f>
        <v>8.9700000000000002E-2</v>
      </c>
      <c r="E23" s="5">
        <f>+[2]称号計算!K28</f>
        <v>0.47960000000000003</v>
      </c>
      <c r="F23" s="5">
        <f>+[2]称号計算!L28</f>
        <v>4.8000000000000001E-2</v>
      </c>
      <c r="G23" s="5">
        <f>+[2]称号計算!M28</f>
        <v>0.21199999999999999</v>
      </c>
      <c r="H23" s="13">
        <f>+[2]称号計算!N28</f>
        <v>0.1386</v>
      </c>
      <c r="I23" s="27">
        <f>+[2]称号計算!O28</f>
        <v>0.16880000000000001</v>
      </c>
      <c r="J23" s="13">
        <f>+[2]称号計算!P28</f>
        <v>0.13300000000000001</v>
      </c>
      <c r="K23" s="27">
        <f>+[2]称号計算!Q28</f>
        <v>0.1182</v>
      </c>
      <c r="L23" s="5">
        <f>+[2]称号計算!R28</f>
        <v>0.1918</v>
      </c>
      <c r="M23" s="13">
        <f>+[2]称号計算!S28</f>
        <v>0.1074</v>
      </c>
      <c r="N23" s="27">
        <f>+[2]称号計算!T28</f>
        <v>4.4000000000000003E-3</v>
      </c>
      <c r="O23" s="5">
        <f>+[2]称号計算!U28</f>
        <v>4.4000000000000003E-3</v>
      </c>
      <c r="P23" s="5">
        <f>+[2]称号計算!V28</f>
        <v>4.4000000000000003E-3</v>
      </c>
      <c r="Q23" s="5">
        <f>+[2]称号計算!W28</f>
        <v>4.4000000000000003E-3</v>
      </c>
      <c r="R23" s="5">
        <f>+[2]称号計算!X28</f>
        <v>1.18E-2</v>
      </c>
      <c r="S23" s="13">
        <f>+[2]称号計算!Y28</f>
        <v>8.8499999999999995E-2</v>
      </c>
      <c r="T23" s="19">
        <f>+[2]称号計算!Z28</f>
        <v>0.68989999999999996</v>
      </c>
      <c r="U23" s="13">
        <v>0.55000000000000004</v>
      </c>
    </row>
    <row r="24" spans="1:21">
      <c r="A24" s="12" t="s">
        <v>935</v>
      </c>
      <c r="B24" s="23" t="s">
        <v>1295</v>
      </c>
      <c r="C24" s="27">
        <f>+[2]称号計算!I29</f>
        <v>0.29970000000000002</v>
      </c>
      <c r="D24" s="5">
        <f>+[2]称号計算!J29</f>
        <v>8.2600000000000007E-2</v>
      </c>
      <c r="E24" s="5">
        <f>+[2]称号計算!K29</f>
        <v>0.5363</v>
      </c>
      <c r="F24" s="5">
        <f>+[2]称号計算!L29</f>
        <v>3.49E-2</v>
      </c>
      <c r="G24" s="5">
        <f>+[2]称号計算!M29</f>
        <v>0.1915</v>
      </c>
      <c r="H24" s="13">
        <f>+[2]称号計算!N29</f>
        <v>0.1605</v>
      </c>
      <c r="I24" s="27">
        <f>+[2]称号計算!O29</f>
        <v>0.1416</v>
      </c>
      <c r="J24" s="13">
        <f>+[2]称号計算!P29</f>
        <v>0.19989999999999999</v>
      </c>
      <c r="K24" s="27">
        <f>+[2]称号計算!Q29</f>
        <v>7.7899999999999997E-2</v>
      </c>
      <c r="L24" s="5">
        <f>+[2]称号計算!R29</f>
        <v>0.1137</v>
      </c>
      <c r="M24" s="13">
        <f>+[2]称号計算!S29</f>
        <v>0.1862</v>
      </c>
      <c r="N24" s="27">
        <f>+[2]称号計算!T29</f>
        <v>7.2900000000000006E-2</v>
      </c>
      <c r="O24" s="5">
        <f>+[2]称号計算!U29</f>
        <v>1.46E-2</v>
      </c>
      <c r="P24" s="5">
        <f>+[2]称号計算!V29</f>
        <v>4.8999999999999998E-3</v>
      </c>
      <c r="Q24" s="5">
        <f>+[2]称号計算!W29</f>
        <v>4.8999999999999998E-3</v>
      </c>
      <c r="R24" s="5">
        <f>+[2]称号計算!X29</f>
        <v>3.5999999999999999E-3</v>
      </c>
      <c r="S24" s="13">
        <f>+[2]称号計算!Y29</f>
        <v>3.5999999999999999E-3</v>
      </c>
      <c r="T24" s="19">
        <f>+[2]称号計算!Z29</f>
        <v>0.59060000000000001</v>
      </c>
      <c r="U24" s="13">
        <v>0.5</v>
      </c>
    </row>
    <row r="25" spans="1:21" ht="19.5" thickBot="1">
      <c r="A25" s="14" t="s">
        <v>936</v>
      </c>
      <c r="B25" s="24" t="s">
        <v>1296</v>
      </c>
      <c r="C25" s="28">
        <f>+[2]称号計算!I30</f>
        <v>0.26790000000000003</v>
      </c>
      <c r="D25" s="15">
        <f>+[2]称号計算!J30</f>
        <v>0.19889999999999999</v>
      </c>
      <c r="E25" s="15">
        <f>+[2]称号計算!K30</f>
        <v>4.0399999999999998E-2</v>
      </c>
      <c r="F25" s="15">
        <f>+[2]称号計算!L30</f>
        <v>0.4758</v>
      </c>
      <c r="G25" s="15">
        <f>+[2]称号計算!M30</f>
        <v>0.19900000000000001</v>
      </c>
      <c r="H25" s="16">
        <f>+[2]称号計算!N30</f>
        <v>0.1812</v>
      </c>
      <c r="I25" s="28">
        <f>+[2]称号計算!O30</f>
        <v>0.14649999999999999</v>
      </c>
      <c r="J25" s="16">
        <f>+[2]称号計算!P30</f>
        <v>0.1237</v>
      </c>
      <c r="K25" s="28">
        <f>+[2]称号計算!Q30</f>
        <v>0.1172</v>
      </c>
      <c r="L25" s="15">
        <f>+[2]称号計算!R30</f>
        <v>0.27589999999999998</v>
      </c>
      <c r="M25" s="16">
        <f>+[2]称号計算!S30</f>
        <v>8.2600000000000007E-2</v>
      </c>
      <c r="N25" s="28">
        <f>+[2]称号計算!T30</f>
        <v>4.7000000000000002E-3</v>
      </c>
      <c r="O25" s="15">
        <f>+[2]称号計算!U30</f>
        <v>4.7000000000000002E-3</v>
      </c>
      <c r="P25" s="15">
        <f>+[2]称号計算!V30</f>
        <v>4.7000000000000002E-3</v>
      </c>
      <c r="Q25" s="15">
        <f>+[2]称号計算!W30</f>
        <v>4.7000000000000002E-3</v>
      </c>
      <c r="R25" s="15">
        <f>+[2]称号計算!X30</f>
        <v>1.26E-2</v>
      </c>
      <c r="S25" s="16">
        <f>+[2]称号計算!Y30</f>
        <v>9.4500000000000001E-2</v>
      </c>
      <c r="T25" s="20">
        <f>+[2]称号計算!Z30</f>
        <v>0.74990000000000001</v>
      </c>
      <c r="U25" s="16">
        <v>0.25</v>
      </c>
    </row>
    <row r="26" spans="1:21">
      <c r="A26" s="9" t="s">
        <v>937</v>
      </c>
      <c r="B26" s="22" t="s">
        <v>1297</v>
      </c>
      <c r="C26" s="26">
        <f>+[2]称号計算!I31</f>
        <v>0.16830000000000001</v>
      </c>
      <c r="D26" s="10">
        <f>+[2]称号計算!J31</f>
        <v>0.2959</v>
      </c>
      <c r="E26" s="10">
        <f>+[2]称号計算!K31</f>
        <v>3.15E-2</v>
      </c>
      <c r="F26" s="10">
        <f>+[2]称号計算!L31</f>
        <v>0.4204</v>
      </c>
      <c r="G26" s="10">
        <f>+[2]称号計算!M31</f>
        <v>0.1258</v>
      </c>
      <c r="H26" s="11">
        <f>+[2]称号計算!N31</f>
        <v>0.1358</v>
      </c>
      <c r="I26" s="26">
        <f>+[2]称号計算!O31</f>
        <v>7.3999999999999996E-2</v>
      </c>
      <c r="J26" s="11">
        <f>+[2]称号計算!P31</f>
        <v>0.1603</v>
      </c>
      <c r="K26" s="26">
        <f>+[2]称号計算!Q31</f>
        <v>6.0999999999999999E-2</v>
      </c>
      <c r="L26" s="10">
        <f>+[2]称号計算!R31</f>
        <v>0.1076</v>
      </c>
      <c r="M26" s="11">
        <f>+[2]称号計算!S31</f>
        <v>0.17419999999999999</v>
      </c>
      <c r="N26" s="26">
        <f>+[2]称号計算!T31</f>
        <v>3.2000000000000002E-3</v>
      </c>
      <c r="O26" s="10">
        <f>+[2]称号計算!U31</f>
        <v>3.2000000000000002E-3</v>
      </c>
      <c r="P26" s="10">
        <f>+[2]称号計算!V31</f>
        <v>3.2000000000000002E-3</v>
      </c>
      <c r="Q26" s="10">
        <f>+[2]称号計算!W31</f>
        <v>3.2000000000000002E-3</v>
      </c>
      <c r="R26" s="10">
        <f>+[2]称号計算!X31</f>
        <v>8.3999999999999995E-3</v>
      </c>
      <c r="S26" s="11">
        <f>+[2]称号計算!Y31</f>
        <v>6.3200000000000006E-2</v>
      </c>
      <c r="T26" s="18">
        <f>+[2]称号計算!Z31</f>
        <v>0.51180000000000003</v>
      </c>
      <c r="U26" s="11">
        <v>1</v>
      </c>
    </row>
    <row r="27" spans="1:21">
      <c r="A27" s="12" t="s">
        <v>938</v>
      </c>
      <c r="B27" s="23" t="s">
        <v>1298</v>
      </c>
      <c r="C27" s="27">
        <f>+[2]称号計算!I32</f>
        <v>0.19059999999999999</v>
      </c>
      <c r="D27" s="5">
        <f>+[2]称号計算!J32</f>
        <v>0.31459999999999999</v>
      </c>
      <c r="E27" s="5">
        <f>+[2]称号計算!K32</f>
        <v>2.6599999999999999E-2</v>
      </c>
      <c r="F27" s="5">
        <f>+[2]称号計算!L32</f>
        <v>0.40860000000000002</v>
      </c>
      <c r="G27" s="5">
        <f>+[2]称号計算!M32</f>
        <v>0.107</v>
      </c>
      <c r="H27" s="13">
        <f>+[2]称号計算!N32</f>
        <v>0.2848</v>
      </c>
      <c r="I27" s="27">
        <f>+[2]称号計算!O32</f>
        <v>8.09E-2</v>
      </c>
      <c r="J27" s="13">
        <f>+[2]称号計算!P32</f>
        <v>0.1027</v>
      </c>
      <c r="K27" s="27">
        <f>+[2]称号計算!Q32</f>
        <v>6.83E-2</v>
      </c>
      <c r="L27" s="5">
        <f>+[2]称号計算!R32</f>
        <v>0.13730000000000001</v>
      </c>
      <c r="M27" s="13">
        <f>+[2]称号計算!S32</f>
        <v>0.12130000000000001</v>
      </c>
      <c r="N27" s="27">
        <f>+[2]称号計算!T32</f>
        <v>0.02</v>
      </c>
      <c r="O27" s="5">
        <f>+[2]称号計算!U32</f>
        <v>0.1002</v>
      </c>
      <c r="P27" s="5">
        <f>+[2]称号計算!V32</f>
        <v>6.7000000000000002E-3</v>
      </c>
      <c r="Q27" s="5">
        <f>+[2]称号計算!W32</f>
        <v>6.7000000000000002E-3</v>
      </c>
      <c r="R27" s="5">
        <f>+[2]称号計算!X32</f>
        <v>5.0000000000000001E-3</v>
      </c>
      <c r="S27" s="13">
        <f>+[2]称号計算!Y32</f>
        <v>5.0000000000000001E-3</v>
      </c>
      <c r="T27" s="19">
        <f>+[2]称号計算!Z32</f>
        <v>0.56299999999999994</v>
      </c>
      <c r="U27" s="13">
        <v>1</v>
      </c>
    </row>
    <row r="28" spans="1:21">
      <c r="A28" s="12" t="s">
        <v>939</v>
      </c>
      <c r="B28" s="23" t="s">
        <v>1299</v>
      </c>
      <c r="C28" s="27">
        <f>+[2]称号計算!I33</f>
        <v>0.1026</v>
      </c>
      <c r="D28" s="5">
        <f>+[2]称号計算!J33</f>
        <v>0.27979999999999999</v>
      </c>
      <c r="E28" s="5">
        <f>+[2]称号計算!K33</f>
        <v>3.39E-2</v>
      </c>
      <c r="F28" s="5">
        <f>+[2]称号計算!L33</f>
        <v>0.4239</v>
      </c>
      <c r="G28" s="5">
        <f>+[2]称号計算!M33</f>
        <v>0.20899999999999999</v>
      </c>
      <c r="H28" s="13">
        <f>+[2]称号計算!N33</f>
        <v>0.32429999999999998</v>
      </c>
      <c r="I28" s="27">
        <f>+[2]称号計算!O33</f>
        <v>7.46E-2</v>
      </c>
      <c r="J28" s="13">
        <f>+[2]称号計算!P33</f>
        <v>0.1014</v>
      </c>
      <c r="K28" s="27">
        <f>+[2]称号計算!Q33</f>
        <v>8.2100000000000006E-2</v>
      </c>
      <c r="L28" s="5">
        <f>+[2]称号計算!R33</f>
        <v>0.1492</v>
      </c>
      <c r="M28" s="13">
        <f>+[2]称号計算!S33</f>
        <v>0.14960000000000001</v>
      </c>
      <c r="N28" s="27">
        <f>+[2]称号計算!T33</f>
        <v>7.7000000000000002E-3</v>
      </c>
      <c r="O28" s="5">
        <f>+[2]称号計算!U33</f>
        <v>7.7000000000000002E-3</v>
      </c>
      <c r="P28" s="5">
        <f>+[2]称号計算!V33</f>
        <v>2.9000000000000001E-2</v>
      </c>
      <c r="Q28" s="5">
        <f>+[2]称号計算!W33</f>
        <v>0.1158</v>
      </c>
      <c r="R28" s="5">
        <f>+[2]称号計算!X33</f>
        <v>5.7999999999999996E-3</v>
      </c>
      <c r="S28" s="13">
        <f>+[2]称号計算!Y33</f>
        <v>5.7999999999999996E-3</v>
      </c>
      <c r="T28" s="19">
        <f>+[2]称号計算!Z33</f>
        <v>0.622</v>
      </c>
      <c r="U28" s="13">
        <v>0.9</v>
      </c>
    </row>
    <row r="29" spans="1:21">
      <c r="A29" s="12" t="s">
        <v>940</v>
      </c>
      <c r="B29" s="23" t="s">
        <v>1300</v>
      </c>
      <c r="C29" s="27">
        <f>+[2]称号計算!I34</f>
        <v>0.14030000000000001</v>
      </c>
      <c r="D29" s="5">
        <f>+[2]称号計算!J34</f>
        <v>5.1799999999999999E-2</v>
      </c>
      <c r="E29" s="5">
        <f>+[2]称号計算!K34</f>
        <v>0.49070000000000003</v>
      </c>
      <c r="F29" s="5">
        <f>+[2]称号計算!L34</f>
        <v>3.1899999999999998E-2</v>
      </c>
      <c r="G29" s="5">
        <f>+[2]称号計算!M34</f>
        <v>0.10340000000000001</v>
      </c>
      <c r="H29" s="13">
        <f>+[2]称号計算!N34</f>
        <v>0.1134</v>
      </c>
      <c r="I29" s="27">
        <f>+[2]称号計算!O34</f>
        <v>0.3886</v>
      </c>
      <c r="J29" s="13">
        <f>+[2]称号計算!P34</f>
        <v>0.17860000000000001</v>
      </c>
      <c r="K29" s="27">
        <f>+[2]称号計算!Q34</f>
        <v>0.13600000000000001</v>
      </c>
      <c r="L29" s="5">
        <f>+[2]称号計算!R34</f>
        <v>0.26500000000000001</v>
      </c>
      <c r="M29" s="13">
        <f>+[2]称号計算!S34</f>
        <v>0.1182</v>
      </c>
      <c r="N29" s="27">
        <f>+[2]称号計算!T34</f>
        <v>2.7000000000000001E-3</v>
      </c>
      <c r="O29" s="5">
        <f>+[2]称号計算!U34</f>
        <v>2.7000000000000001E-3</v>
      </c>
      <c r="P29" s="5">
        <f>+[2]称号計算!V34</f>
        <v>2.7000000000000001E-3</v>
      </c>
      <c r="Q29" s="5">
        <f>+[2]称号計算!W34</f>
        <v>2.7000000000000001E-3</v>
      </c>
      <c r="R29" s="5">
        <f>+[2]称号計算!X34</f>
        <v>7.3000000000000001E-3</v>
      </c>
      <c r="S29" s="13">
        <f>+[2]称号計算!Y34</f>
        <v>5.4899999999999997E-2</v>
      </c>
      <c r="T29" s="19">
        <f>+[2]称号計算!Z34</f>
        <v>0.75680000000000003</v>
      </c>
      <c r="U29" s="13">
        <v>0.55000000000000004</v>
      </c>
    </row>
    <row r="30" spans="1:21">
      <c r="A30" s="12" t="s">
        <v>941</v>
      </c>
      <c r="B30" s="23" t="s">
        <v>1301</v>
      </c>
      <c r="C30" s="27">
        <f>+[2]称号計算!I35</f>
        <v>0.28570000000000001</v>
      </c>
      <c r="D30" s="5">
        <f>+[2]称号計算!J35</f>
        <v>0.12709999999999999</v>
      </c>
      <c r="E30" s="5">
        <f>+[2]称号計算!K35</f>
        <v>0.55030000000000001</v>
      </c>
      <c r="F30" s="5">
        <f>+[2]称号計算!L35</f>
        <v>3.85E-2</v>
      </c>
      <c r="G30" s="5">
        <f>+[2]称号計算!M35</f>
        <v>0.21329999999999999</v>
      </c>
      <c r="H30" s="13">
        <f>+[2]称号計算!N35</f>
        <v>0.21329999999999999</v>
      </c>
      <c r="I30" s="27">
        <f>+[2]称号計算!O35</f>
        <v>9.69E-2</v>
      </c>
      <c r="J30" s="13">
        <f>+[2]称号計算!P35</f>
        <v>0.13639999999999999</v>
      </c>
      <c r="K30" s="27">
        <f>+[2]称号計算!Q35</f>
        <v>0.1041</v>
      </c>
      <c r="L30" s="5">
        <f>+[2]称号計算!R35</f>
        <v>0.19370000000000001</v>
      </c>
      <c r="M30" s="13">
        <f>+[2]称号計算!S35</f>
        <v>0.1464</v>
      </c>
      <c r="N30" s="27">
        <f>+[2]称号計算!T35</f>
        <v>6.3E-3</v>
      </c>
      <c r="O30" s="5">
        <f>+[2]称号計算!U35</f>
        <v>6.3E-3</v>
      </c>
      <c r="P30" s="5">
        <f>+[2]称号計算!V35</f>
        <v>6.3E-3</v>
      </c>
      <c r="Q30" s="5">
        <f>+[2]称号計算!W35</f>
        <v>6.3E-3</v>
      </c>
      <c r="R30" s="5">
        <f>+[2]称号計算!X35</f>
        <v>1.6799999999999999E-2</v>
      </c>
      <c r="S30" s="13">
        <f>+[2]称号計算!Y35</f>
        <v>0.1263</v>
      </c>
      <c r="T30" s="19">
        <f>+[2]称号計算!Z35</f>
        <v>0.67269999999999996</v>
      </c>
      <c r="U30" s="13">
        <v>0.5</v>
      </c>
    </row>
    <row r="31" spans="1:21" ht="19.5" thickBot="1">
      <c r="A31" s="14" t="s">
        <v>942</v>
      </c>
      <c r="B31" s="24" t="s">
        <v>1302</v>
      </c>
      <c r="C31" s="28">
        <f>+[2]称号計算!I36</f>
        <v>0.20660000000000001</v>
      </c>
      <c r="D31" s="15">
        <f>+[2]称号計算!J36</f>
        <v>0.53139999999999998</v>
      </c>
      <c r="E31" s="15">
        <f>+[2]称号計算!K36</f>
        <v>3.1899999999999998E-2</v>
      </c>
      <c r="F31" s="15">
        <f>+[2]称号計算!L36</f>
        <v>0.45579999999999998</v>
      </c>
      <c r="G31" s="15">
        <f>+[2]称号計算!M36</f>
        <v>0.14879999999999999</v>
      </c>
      <c r="H31" s="16">
        <f>+[2]称号計算!N36</f>
        <v>0.18290000000000001</v>
      </c>
      <c r="I31" s="28">
        <f>+[2]称号計算!O36</f>
        <v>0.13039999999999999</v>
      </c>
      <c r="J31" s="16">
        <f>+[2]称号計算!P36</f>
        <v>0.11459999999999999</v>
      </c>
      <c r="K31" s="28">
        <f>+[2]称号計算!Q36</f>
        <v>8.4199999999999997E-2</v>
      </c>
      <c r="L31" s="15">
        <f>+[2]称号計算!R36</f>
        <v>0.1641</v>
      </c>
      <c r="M31" s="16">
        <f>+[2]称号計算!S36</f>
        <v>0.1429</v>
      </c>
      <c r="N31" s="28">
        <f>+[2]称号計算!T36</f>
        <v>4.7000000000000002E-3</v>
      </c>
      <c r="O31" s="15">
        <f>+[2]称号計算!U36</f>
        <v>4.7000000000000002E-3</v>
      </c>
      <c r="P31" s="15">
        <f>+[2]称号計算!V36</f>
        <v>4.7000000000000002E-3</v>
      </c>
      <c r="Q31" s="15">
        <f>+[2]称号計算!W36</f>
        <v>4.7000000000000002E-3</v>
      </c>
      <c r="R31" s="15">
        <f>+[2]称号計算!X36</f>
        <v>1.26E-2</v>
      </c>
      <c r="S31" s="16">
        <f>+[2]称号計算!Y36</f>
        <v>9.4799999999999995E-2</v>
      </c>
      <c r="T31" s="20">
        <f>+[2]称号計算!Z36</f>
        <v>0.6946</v>
      </c>
      <c r="U31" s="16">
        <v>0.25</v>
      </c>
    </row>
    <row r="32" spans="1:21">
      <c r="A32" s="9" t="s">
        <v>943</v>
      </c>
      <c r="B32" s="22" t="s">
        <v>1303</v>
      </c>
      <c r="C32" s="26">
        <f>+[2]称号計算!I37</f>
        <v>0.1487</v>
      </c>
      <c r="D32" s="10">
        <f>+[2]称号計算!J37</f>
        <v>0.24479999999999999</v>
      </c>
      <c r="E32" s="10">
        <f>+[2]称号計算!K37</f>
        <v>2.47E-2</v>
      </c>
      <c r="F32" s="10">
        <f>+[2]称号計算!L37</f>
        <v>0.41210000000000002</v>
      </c>
      <c r="G32" s="10">
        <f>+[2]称号計算!M37</f>
        <v>0.1135</v>
      </c>
      <c r="H32" s="11">
        <f>+[2]称号計算!N37</f>
        <v>0.12189999999999999</v>
      </c>
      <c r="I32" s="26">
        <f>+[2]称号計算!O37</f>
        <v>0.21759999999999999</v>
      </c>
      <c r="J32" s="11">
        <f>+[2]称号計算!P37</f>
        <v>0.1822</v>
      </c>
      <c r="K32" s="26">
        <f>+[2]称号計算!Q37</f>
        <v>8.3400000000000002E-2</v>
      </c>
      <c r="L32" s="10">
        <f>+[2]称号計算!R37</f>
        <v>0.11210000000000001</v>
      </c>
      <c r="M32" s="11">
        <f>+[2]称号計算!S37</f>
        <v>0.16389999999999999</v>
      </c>
      <c r="N32" s="26">
        <f>+[2]称号計算!T37</f>
        <v>2.8E-3</v>
      </c>
      <c r="O32" s="10">
        <f>+[2]称号計算!U37</f>
        <v>2.8E-3</v>
      </c>
      <c r="P32" s="10">
        <f>+[2]称号計算!V37</f>
        <v>2.8E-3</v>
      </c>
      <c r="Q32" s="10">
        <f>+[2]称号計算!W37</f>
        <v>2.8E-3</v>
      </c>
      <c r="R32" s="10">
        <f>+[2]称号計算!X37</f>
        <v>7.6E-3</v>
      </c>
      <c r="S32" s="11">
        <f>+[2]称号計算!Y37</f>
        <v>5.6899999999999999E-2</v>
      </c>
      <c r="T32" s="18">
        <f>+[2]称号計算!Z37</f>
        <v>0.59819999999999995</v>
      </c>
      <c r="U32" s="11">
        <v>1</v>
      </c>
    </row>
    <row r="33" spans="1:21">
      <c r="A33" s="12" t="s">
        <v>944</v>
      </c>
      <c r="B33" s="23" t="s">
        <v>1304</v>
      </c>
      <c r="C33" s="27">
        <f>+[2]称号計算!I38</f>
        <v>0.22819999999999999</v>
      </c>
      <c r="D33" s="5">
        <f>+[2]称号計算!J38</f>
        <v>0.35859999999999997</v>
      </c>
      <c r="E33" s="5">
        <f>+[2]称号計算!K38</f>
        <v>3.1099999999999999E-2</v>
      </c>
      <c r="F33" s="5">
        <f>+[2]称号計算!L38</f>
        <v>0.3705</v>
      </c>
      <c r="G33" s="5">
        <f>+[2]称号計算!M38</f>
        <v>0.1197</v>
      </c>
      <c r="H33" s="13">
        <f>+[2]称号計算!N38</f>
        <v>0.21160000000000001</v>
      </c>
      <c r="I33" s="27">
        <f>+[2]称号計算!O38</f>
        <v>0.1875</v>
      </c>
      <c r="J33" s="13">
        <f>+[2]称号計算!P38</f>
        <v>0.12520000000000001</v>
      </c>
      <c r="K33" s="27">
        <f>+[2]称号計算!Q38</f>
        <v>3.9100000000000003E-2</v>
      </c>
      <c r="L33" s="5">
        <f>+[2]称号計算!R38</f>
        <v>0.1067</v>
      </c>
      <c r="M33" s="13">
        <f>+[2]称号計算!S38</f>
        <v>0.13800000000000001</v>
      </c>
      <c r="N33" s="27">
        <f>+[2]称号計算!T38</f>
        <v>6.7000000000000002E-3</v>
      </c>
      <c r="O33" s="5">
        <f>+[2]称号計算!U38</f>
        <v>6.7000000000000002E-3</v>
      </c>
      <c r="P33" s="5">
        <f>+[2]称号計算!V38</f>
        <v>0.1012</v>
      </c>
      <c r="Q33" s="5">
        <f>+[2]称号計算!W38</f>
        <v>2.53E-2</v>
      </c>
      <c r="R33" s="5">
        <f>+[2]称号計算!X38</f>
        <v>5.1000000000000004E-3</v>
      </c>
      <c r="S33" s="13">
        <f>+[2]称号計算!Y38</f>
        <v>5.1000000000000004E-3</v>
      </c>
      <c r="T33" s="19">
        <f>+[2]称号計算!Z38</f>
        <v>0.51100000000000001</v>
      </c>
      <c r="U33" s="13">
        <v>1</v>
      </c>
    </row>
    <row r="34" spans="1:21">
      <c r="A34" s="12" t="s">
        <v>945</v>
      </c>
      <c r="B34" s="23" t="s">
        <v>1305</v>
      </c>
      <c r="C34" s="27">
        <f>+[2]称号計算!I39</f>
        <v>0.16450000000000001</v>
      </c>
      <c r="D34" s="5">
        <f>+[2]称号計算!J39</f>
        <v>0.24260000000000001</v>
      </c>
      <c r="E34" s="5">
        <f>+[2]称号計算!K39</f>
        <v>4.7899999999999998E-2</v>
      </c>
      <c r="F34" s="5">
        <f>+[2]称号計算!L39</f>
        <v>0.47939999999999999</v>
      </c>
      <c r="G34" s="5">
        <f>+[2]称号計算!M39</f>
        <v>0.1222</v>
      </c>
      <c r="H34" s="13">
        <f>+[2]称号計算!N39</f>
        <v>0.13039999999999999</v>
      </c>
      <c r="I34" s="27">
        <f>+[2]称号計算!O39</f>
        <v>0.23200000000000001</v>
      </c>
      <c r="J34" s="13">
        <f>+[2]称号計算!P39</f>
        <v>0.1371</v>
      </c>
      <c r="K34" s="27">
        <f>+[2]称号計算!Q39</f>
        <v>9.2799999999999994E-2</v>
      </c>
      <c r="L34" s="5">
        <f>+[2]称号計算!R39</f>
        <v>0.2109</v>
      </c>
      <c r="M34" s="13">
        <f>+[2]称号計算!S39</f>
        <v>0.14760000000000001</v>
      </c>
      <c r="N34" s="27">
        <f>+[2]称号計算!T39</f>
        <v>3.3999999999999998E-3</v>
      </c>
      <c r="O34" s="5">
        <f>+[2]称号計算!U39</f>
        <v>3.3999999999999998E-3</v>
      </c>
      <c r="P34" s="5">
        <f>+[2]称号計算!V39</f>
        <v>3.3999999999999998E-3</v>
      </c>
      <c r="Q34" s="5">
        <f>+[2]称号計算!W39</f>
        <v>3.3999999999999998E-3</v>
      </c>
      <c r="R34" s="5">
        <f>+[2]称号計算!X39</f>
        <v>8.9999999999999993E-3</v>
      </c>
      <c r="S34" s="13">
        <f>+[2]称号計算!Y39</f>
        <v>6.7500000000000004E-2</v>
      </c>
      <c r="T34" s="19">
        <f>+[2]称号計算!Z39</f>
        <v>0.64690000000000003</v>
      </c>
      <c r="U34" s="13">
        <v>0.9</v>
      </c>
    </row>
    <row r="35" spans="1:21">
      <c r="A35" s="12" t="s">
        <v>946</v>
      </c>
      <c r="B35" s="23" t="s">
        <v>1306</v>
      </c>
      <c r="C35" s="27">
        <f>+[2]称号計算!I40</f>
        <v>0.32200000000000001</v>
      </c>
      <c r="D35" s="5">
        <f>+[2]称号計算!J40</f>
        <v>0.1095</v>
      </c>
      <c r="E35" s="5">
        <f>+[2]称号計算!K40</f>
        <v>0.49790000000000001</v>
      </c>
      <c r="F35" s="5">
        <f>+[2]称号計算!L40</f>
        <v>3.78E-2</v>
      </c>
      <c r="G35" s="5">
        <f>+[2]称号計算!M40</f>
        <v>0.15570000000000001</v>
      </c>
      <c r="H35" s="13">
        <f>+[2]称号計算!N40</f>
        <v>0.37240000000000001</v>
      </c>
      <c r="I35" s="27">
        <f>+[2]称号計算!O40</f>
        <v>0.1095</v>
      </c>
      <c r="J35" s="13">
        <f>+[2]称号計算!P40</f>
        <v>0.1295</v>
      </c>
      <c r="K35" s="27">
        <f>+[2]称号計算!Q40</f>
        <v>8.9800000000000005E-2</v>
      </c>
      <c r="L35" s="5">
        <f>+[2]称号計算!R40</f>
        <v>0.1573</v>
      </c>
      <c r="M35" s="13">
        <f>+[2]称号計算!S40</f>
        <v>0.1171</v>
      </c>
      <c r="N35" s="27">
        <f>+[2]称号計算!T40</f>
        <v>5.4000000000000003E-3</v>
      </c>
      <c r="O35" s="5">
        <f>+[2]称号計算!U40</f>
        <v>5.4000000000000003E-3</v>
      </c>
      <c r="P35" s="5">
        <f>+[2]称号計算!V40</f>
        <v>5.4000000000000003E-3</v>
      </c>
      <c r="Q35" s="5">
        <f>+[2]称号計算!W40</f>
        <v>5.4000000000000003E-3</v>
      </c>
      <c r="R35" s="5">
        <f>+[2]称号計算!X40</f>
        <v>1.43E-2</v>
      </c>
      <c r="S35" s="13">
        <f>+[2]称号計算!Y40</f>
        <v>0.1075</v>
      </c>
      <c r="T35" s="19">
        <f>+[2]称号計算!Z40</f>
        <v>0.65880000000000005</v>
      </c>
      <c r="U35" s="13">
        <v>0.55000000000000004</v>
      </c>
    </row>
    <row r="36" spans="1:21">
      <c r="A36" s="12" t="s">
        <v>947</v>
      </c>
      <c r="B36" s="23" t="s">
        <v>1307</v>
      </c>
      <c r="C36" s="27">
        <f>+[2]称号計算!I41</f>
        <v>0.49759999999999999</v>
      </c>
      <c r="D36" s="5">
        <f>+[2]称号計算!J41</f>
        <v>7.2800000000000004E-2</v>
      </c>
      <c r="E36" s="5">
        <f>+[2]称号計算!K41</f>
        <v>0.55159999999999998</v>
      </c>
      <c r="F36" s="5">
        <f>+[2]称号計算!L41</f>
        <v>4.9599999999999998E-2</v>
      </c>
      <c r="G36" s="5">
        <f>+[2]称号計算!M41</f>
        <v>0.28510000000000002</v>
      </c>
      <c r="H36" s="13">
        <f>+[2]称号計算!N41</f>
        <v>0.24379999999999999</v>
      </c>
      <c r="I36" s="27">
        <f>+[2]称号計算!O41</f>
        <v>6.0699999999999997E-2</v>
      </c>
      <c r="J36" s="13">
        <f>+[2]称号計算!P41</f>
        <v>0.12909999999999999</v>
      </c>
      <c r="K36" s="27">
        <f>+[2]称号計算!Q41</f>
        <v>5.5800000000000002E-2</v>
      </c>
      <c r="L36" s="5">
        <f>+[2]称号計算!R41</f>
        <v>0.1125</v>
      </c>
      <c r="M36" s="13">
        <f>+[2]称号計算!S41</f>
        <v>0.1313</v>
      </c>
      <c r="N36" s="27">
        <f>+[2]称号計算!T41</f>
        <v>7.0000000000000001E-3</v>
      </c>
      <c r="O36" s="5">
        <f>+[2]称号計算!U41</f>
        <v>7.0000000000000001E-3</v>
      </c>
      <c r="P36" s="5">
        <f>+[2]称号計算!V41</f>
        <v>2.63E-2</v>
      </c>
      <c r="Q36" s="5">
        <f>+[2]称号計算!W41</f>
        <v>0.1051</v>
      </c>
      <c r="R36" s="5">
        <f>+[2]称号計算!X41</f>
        <v>5.3E-3</v>
      </c>
      <c r="S36" s="13">
        <f>+[2]称号計算!Y41</f>
        <v>5.3E-3</v>
      </c>
      <c r="T36" s="19">
        <f>+[2]称号計算!Z41</f>
        <v>0.57789999999999997</v>
      </c>
      <c r="U36" s="13">
        <v>0.5</v>
      </c>
    </row>
    <row r="37" spans="1:21" ht="19.5" thickBot="1">
      <c r="A37" s="14" t="s">
        <v>948</v>
      </c>
      <c r="B37" s="24" t="s">
        <v>1308</v>
      </c>
      <c r="C37" s="28">
        <f>+[2]称号計算!I42</f>
        <v>0.23200000000000001</v>
      </c>
      <c r="D37" s="15">
        <f>+[2]称号計算!J42</f>
        <v>0.25209999999999999</v>
      </c>
      <c r="E37" s="15">
        <f>+[2]称号計算!K42</f>
        <v>5.7299999999999997E-2</v>
      </c>
      <c r="F37" s="15">
        <f>+[2]称号計算!L42</f>
        <v>0.57310000000000005</v>
      </c>
      <c r="G37" s="15">
        <f>+[2]称号計算!M42</f>
        <v>0.18509999999999999</v>
      </c>
      <c r="H37" s="16">
        <f>+[2]称号計算!N42</f>
        <v>0.2046</v>
      </c>
      <c r="I37" s="28">
        <f>+[2]称号計算!O42</f>
        <v>0.12609999999999999</v>
      </c>
      <c r="J37" s="16">
        <f>+[2]称号計算!P42</f>
        <v>0.14899999999999999</v>
      </c>
      <c r="K37" s="28">
        <f>+[2]称号計算!Q42</f>
        <v>0.1009</v>
      </c>
      <c r="L37" s="15">
        <f>+[2]称号計算!R42</f>
        <v>0.2407</v>
      </c>
      <c r="M37" s="16">
        <f>+[2]称号計算!S42</f>
        <v>0.1605</v>
      </c>
      <c r="N37" s="28">
        <f>+[2]称号計算!T42</f>
        <v>9.1200000000000003E-2</v>
      </c>
      <c r="O37" s="15">
        <f>+[2]称号計算!U42</f>
        <v>1.8200000000000001E-2</v>
      </c>
      <c r="P37" s="15">
        <f>+[2]称号計算!V42</f>
        <v>6.1000000000000004E-3</v>
      </c>
      <c r="Q37" s="15">
        <f>+[2]称号計算!W42</f>
        <v>6.1000000000000004E-3</v>
      </c>
      <c r="R37" s="15">
        <f>+[2]称号計算!X42</f>
        <v>4.5999999999999999E-3</v>
      </c>
      <c r="S37" s="16">
        <f>+[2]称号計算!Y42</f>
        <v>4.5999999999999999E-3</v>
      </c>
      <c r="T37" s="20">
        <f>+[2]称号計算!Z42</f>
        <v>0.7097</v>
      </c>
      <c r="U37" s="16">
        <v>0.25</v>
      </c>
    </row>
    <row r="38" spans="1:21">
      <c r="A38" s="9" t="s">
        <v>949</v>
      </c>
      <c r="B38" s="22" t="s">
        <v>1309</v>
      </c>
      <c r="C38" s="26">
        <f>+[2]称号計算!I43</f>
        <v>0.15890000000000001</v>
      </c>
      <c r="D38" s="10">
        <f>+[2]称号計算!J43</f>
        <v>0.18110000000000001</v>
      </c>
      <c r="E38" s="10">
        <f>+[2]称号計算!K43</f>
        <v>2.4199999999999999E-2</v>
      </c>
      <c r="F38" s="10">
        <f>+[2]称号計算!L43</f>
        <v>0.4572</v>
      </c>
      <c r="G38" s="10">
        <f>+[2]称号計算!M43</f>
        <v>0.1321</v>
      </c>
      <c r="H38" s="11">
        <f>+[2]称号計算!N43</f>
        <v>0.12590000000000001</v>
      </c>
      <c r="I38" s="26">
        <f>+[2]称号計算!O43</f>
        <v>0.1308</v>
      </c>
      <c r="J38" s="11">
        <f>+[2]称号計算!P43</f>
        <v>0.1149</v>
      </c>
      <c r="K38" s="26">
        <f>+[2]称号計算!Q43</f>
        <v>0.16089999999999999</v>
      </c>
      <c r="L38" s="10">
        <f>+[2]称号計算!R43</f>
        <v>0.31459999999999999</v>
      </c>
      <c r="M38" s="11">
        <f>+[2]称号計算!S43</f>
        <v>9.7299999999999998E-2</v>
      </c>
      <c r="N38" s="26">
        <f>+[2]称号計算!T43</f>
        <v>3.5999999999999999E-3</v>
      </c>
      <c r="O38" s="10">
        <f>+[2]称号計算!U43</f>
        <v>3.5999999999999999E-3</v>
      </c>
      <c r="P38" s="10">
        <f>+[2]称号計算!V43</f>
        <v>1.37E-2</v>
      </c>
      <c r="Q38" s="10">
        <f>+[2]称号計算!W43</f>
        <v>5.4699999999999999E-2</v>
      </c>
      <c r="R38" s="10">
        <f>+[2]称号計算!X43</f>
        <v>2.7000000000000001E-3</v>
      </c>
      <c r="S38" s="11">
        <f>+[2]称号計算!Y43</f>
        <v>2.7000000000000001E-3</v>
      </c>
      <c r="T38" s="18">
        <f>+[2]称号計算!Z43</f>
        <v>0.8014</v>
      </c>
      <c r="U38" s="11">
        <v>1</v>
      </c>
    </row>
    <row r="39" spans="1:21">
      <c r="A39" s="12" t="s">
        <v>950</v>
      </c>
      <c r="B39" s="23" t="s">
        <v>1310</v>
      </c>
      <c r="C39" s="27">
        <f>+[2]称号計算!I44</f>
        <v>0.24160000000000001</v>
      </c>
      <c r="D39" s="5">
        <f>+[2]称号計算!J44</f>
        <v>0.2014</v>
      </c>
      <c r="E39" s="5">
        <f>+[2]称号計算!K44</f>
        <v>4.58E-2</v>
      </c>
      <c r="F39" s="5">
        <f>+[2]称号計算!L44</f>
        <v>0.45760000000000001</v>
      </c>
      <c r="G39" s="5">
        <f>+[2]称号計算!M44</f>
        <v>0.20230000000000001</v>
      </c>
      <c r="H39" s="13">
        <f>+[2]称号計算!N44</f>
        <v>0.1323</v>
      </c>
      <c r="I39" s="27">
        <f>+[2]称号計算!O44</f>
        <v>0.16109999999999999</v>
      </c>
      <c r="J39" s="13">
        <f>+[2]称号計算!P44</f>
        <v>0.12690000000000001</v>
      </c>
      <c r="K39" s="27">
        <f>+[2]称号計算!Q44</f>
        <v>0.1128</v>
      </c>
      <c r="L39" s="5">
        <f>+[2]称号計算!R44</f>
        <v>0.18310000000000001</v>
      </c>
      <c r="M39" s="13">
        <f>+[2]称号計算!S44</f>
        <v>0.12809999999999999</v>
      </c>
      <c r="N39" s="27">
        <f>+[2]称号計算!T44</f>
        <v>4.1999999999999997E-3</v>
      </c>
      <c r="O39" s="5">
        <f>+[2]称号計算!U44</f>
        <v>4.1999999999999997E-3</v>
      </c>
      <c r="P39" s="5">
        <f>+[2]称号計算!V44</f>
        <v>4.1999999999999997E-3</v>
      </c>
      <c r="Q39" s="5">
        <f>+[2]称号計算!W44</f>
        <v>4.1999999999999997E-3</v>
      </c>
      <c r="R39" s="5">
        <f>+[2]称号計算!X44</f>
        <v>1.1299999999999999E-2</v>
      </c>
      <c r="S39" s="13">
        <f>+[2]称号計算!Y44</f>
        <v>8.4500000000000006E-2</v>
      </c>
      <c r="T39" s="19">
        <f>+[2]称号計算!Z44</f>
        <v>0.70860000000000001</v>
      </c>
      <c r="U39" s="13">
        <v>1</v>
      </c>
    </row>
    <row r="40" spans="1:21">
      <c r="A40" s="12" t="s">
        <v>951</v>
      </c>
      <c r="B40" s="23" t="s">
        <v>1311</v>
      </c>
      <c r="C40" s="27">
        <f>+[2]称号計算!I45</f>
        <v>0.13739999999999999</v>
      </c>
      <c r="D40" s="5">
        <f>+[2]称号計算!J45</f>
        <v>0.18479999999999999</v>
      </c>
      <c r="E40" s="5">
        <f>+[2]称号計算!K45</f>
        <v>2.69E-2</v>
      </c>
      <c r="F40" s="5">
        <f>+[2]称号計算!L45</f>
        <v>0.53849999999999998</v>
      </c>
      <c r="G40" s="5">
        <f>+[2]称号計算!M45</f>
        <v>0.1172</v>
      </c>
      <c r="H40" s="13">
        <f>+[2]称号計算!N45</f>
        <v>0.11899999999999999</v>
      </c>
      <c r="I40" s="27">
        <f>+[2]称号計算!O45</f>
        <v>0.1895</v>
      </c>
      <c r="J40" s="13">
        <f>+[2]称号計算!P45</f>
        <v>0.1447</v>
      </c>
      <c r="K40" s="27">
        <f>+[2]称号計算!Q45</f>
        <v>0.19900000000000001</v>
      </c>
      <c r="L40" s="5">
        <f>+[2]称号計算!R45</f>
        <v>0.28000000000000003</v>
      </c>
      <c r="M40" s="13">
        <f>+[2]称号計算!S45</f>
        <v>0.15079999999999999</v>
      </c>
      <c r="N40" s="27">
        <f>+[2]称号計算!T45</f>
        <v>2.7000000000000001E-3</v>
      </c>
      <c r="O40" s="5">
        <f>+[2]称号計算!U45</f>
        <v>2.7000000000000001E-3</v>
      </c>
      <c r="P40" s="5">
        <f>+[2]称号計算!V45</f>
        <v>2.7000000000000001E-3</v>
      </c>
      <c r="Q40" s="5">
        <f>+[2]称号計算!W45</f>
        <v>2.7000000000000001E-3</v>
      </c>
      <c r="R40" s="5">
        <f>+[2]称号計算!X45</f>
        <v>5.3400000000000003E-2</v>
      </c>
      <c r="S40" s="13">
        <f>+[2]称号計算!Y45</f>
        <v>7.1000000000000004E-3</v>
      </c>
      <c r="T40" s="19">
        <f>+[2]称号計算!Z45</f>
        <v>0.90469999999999995</v>
      </c>
      <c r="U40" s="13">
        <v>0.9</v>
      </c>
    </row>
    <row r="41" spans="1:21">
      <c r="A41" s="12" t="s">
        <v>952</v>
      </c>
      <c r="B41" s="23" t="s">
        <v>1312</v>
      </c>
      <c r="C41" s="27">
        <f>+[2]称号計算!I46</f>
        <v>0.1835</v>
      </c>
      <c r="D41" s="5">
        <f>+[2]称号計算!J46</f>
        <v>9.8699999999999996E-2</v>
      </c>
      <c r="E41" s="5">
        <f>+[2]称号計算!K46</f>
        <v>0.52800000000000002</v>
      </c>
      <c r="F41" s="5">
        <f>+[2]称号計算!L46</f>
        <v>3.6999999999999998E-2</v>
      </c>
      <c r="G41" s="5">
        <f>+[2]称号計算!M46</f>
        <v>0.14180000000000001</v>
      </c>
      <c r="H41" s="13">
        <f>+[2]称号計算!N46</f>
        <v>0.13100000000000001</v>
      </c>
      <c r="I41" s="27">
        <f>+[2]称号計算!O46</f>
        <v>0.23230000000000001</v>
      </c>
      <c r="J41" s="13">
        <f>+[2]称号計算!P46</f>
        <v>0.16930000000000001</v>
      </c>
      <c r="K41" s="27">
        <f>+[2]称号計算!Q46</f>
        <v>0.18579999999999999</v>
      </c>
      <c r="L41" s="5">
        <f>+[2]称号計算!R46</f>
        <v>0.29780000000000001</v>
      </c>
      <c r="M41" s="13">
        <f>+[2]称号計算!S46</f>
        <v>0.1774</v>
      </c>
      <c r="N41" s="27">
        <f>+[2]称号計算!T46</f>
        <v>3.3999999999999998E-3</v>
      </c>
      <c r="O41" s="5">
        <f>+[2]称号計算!U46</f>
        <v>3.3999999999999998E-3</v>
      </c>
      <c r="P41" s="5">
        <f>+[2]称号計算!V46</f>
        <v>3.3999999999999998E-3</v>
      </c>
      <c r="Q41" s="5">
        <f>+[2]称号計算!W46</f>
        <v>3.3999999999999998E-3</v>
      </c>
      <c r="R41" s="5">
        <f>+[2]称号計算!X46</f>
        <v>6.8099999999999994E-2</v>
      </c>
      <c r="S41" s="13">
        <f>+[2]称号計算!Y46</f>
        <v>9.1000000000000004E-3</v>
      </c>
      <c r="T41" s="19">
        <f>+[2]称号計算!Z46</f>
        <v>0.92159999999999997</v>
      </c>
      <c r="U41" s="13">
        <v>0.55000000000000004</v>
      </c>
    </row>
    <row r="42" spans="1:21">
      <c r="A42" s="12" t="s">
        <v>953</v>
      </c>
      <c r="B42" s="23" t="s">
        <v>1313</v>
      </c>
      <c r="C42" s="27">
        <f>+[2]称号計算!I47</f>
        <v>0.29720000000000002</v>
      </c>
      <c r="D42" s="5">
        <f>+[2]称号計算!J47</f>
        <v>0.1053</v>
      </c>
      <c r="E42" s="5">
        <f>+[2]称号計算!K47</f>
        <v>0.56299999999999994</v>
      </c>
      <c r="F42" s="5">
        <f>+[2]称号計算!L47</f>
        <v>5.6300000000000003E-2</v>
      </c>
      <c r="G42" s="5">
        <f>+[2]称号計算!M47</f>
        <v>0.24879999999999999</v>
      </c>
      <c r="H42" s="13">
        <f>+[2]称号計算!N47</f>
        <v>0.16270000000000001</v>
      </c>
      <c r="I42" s="27">
        <f>+[2]称号計算!O47</f>
        <v>0.19819999999999999</v>
      </c>
      <c r="J42" s="13">
        <f>+[2]称号計算!P47</f>
        <v>0.15609999999999999</v>
      </c>
      <c r="K42" s="27">
        <f>+[2]称号計算!Q47</f>
        <v>0.13869999999999999</v>
      </c>
      <c r="L42" s="5">
        <f>+[2]称号計算!R47</f>
        <v>0.22520000000000001</v>
      </c>
      <c r="M42" s="13">
        <f>+[2]称号計算!S47</f>
        <v>0.12609999999999999</v>
      </c>
      <c r="N42" s="27">
        <f>+[2]称号計算!T47</f>
        <v>0.10390000000000001</v>
      </c>
      <c r="O42" s="5">
        <f>+[2]称号計算!U47</f>
        <v>2.0799999999999999E-2</v>
      </c>
      <c r="P42" s="5">
        <f>+[2]称号計算!V47</f>
        <v>6.8999999999999999E-3</v>
      </c>
      <c r="Q42" s="5">
        <f>+[2]称号計算!W47</f>
        <v>6.8999999999999999E-3</v>
      </c>
      <c r="R42" s="5">
        <f>+[2]称号計算!X47</f>
        <v>5.1999999999999998E-3</v>
      </c>
      <c r="S42" s="13">
        <f>+[2]称号計算!Y47</f>
        <v>5.1999999999999998E-3</v>
      </c>
      <c r="T42" s="19">
        <f>+[2]称号計算!Z47</f>
        <v>0.80979999999999996</v>
      </c>
      <c r="U42" s="13">
        <v>0.5</v>
      </c>
    </row>
    <row r="43" spans="1:21" ht="19.5" thickBot="1">
      <c r="A43" s="14" t="s">
        <v>954</v>
      </c>
      <c r="B43" s="24" t="s">
        <v>1314</v>
      </c>
      <c r="C43" s="28">
        <f>+[2]称号計算!I48</f>
        <v>0.26939999999999997</v>
      </c>
      <c r="D43" s="15">
        <f>+[2]称号計算!J48</f>
        <v>0.25719999999999998</v>
      </c>
      <c r="E43" s="15">
        <f>+[2]称号計算!K48</f>
        <v>5.57E-2</v>
      </c>
      <c r="F43" s="15">
        <f>+[2]称号計算!L48</f>
        <v>0.55669999999999997</v>
      </c>
      <c r="G43" s="15">
        <f>+[2]称号計算!M48</f>
        <v>0.2082</v>
      </c>
      <c r="H43" s="16">
        <f>+[2]称号計算!N48</f>
        <v>0.2082</v>
      </c>
      <c r="I43" s="28">
        <f>+[2]称号計算!O48</f>
        <v>0.17150000000000001</v>
      </c>
      <c r="J43" s="16">
        <f>+[2]称号計算!P48</f>
        <v>0.14960000000000001</v>
      </c>
      <c r="K43" s="28">
        <f>+[2]称号計算!Q48</f>
        <v>0.1176</v>
      </c>
      <c r="L43" s="15">
        <f>+[2]称号計算!R48</f>
        <v>0.22270000000000001</v>
      </c>
      <c r="M43" s="16">
        <f>+[2]称号計算!S48</f>
        <v>0.15590000000000001</v>
      </c>
      <c r="N43" s="28">
        <f>+[2]称号計算!T48</f>
        <v>5.1000000000000004E-3</v>
      </c>
      <c r="O43" s="15">
        <f>+[2]称号計算!U48</f>
        <v>5.1000000000000004E-3</v>
      </c>
      <c r="P43" s="15">
        <f>+[2]称号計算!V48</f>
        <v>5.1000000000000004E-3</v>
      </c>
      <c r="Q43" s="15">
        <f>+[2]称号計算!W48</f>
        <v>5.1000000000000004E-3</v>
      </c>
      <c r="R43" s="15">
        <f>+[2]称号計算!X48</f>
        <v>0.10249999999999999</v>
      </c>
      <c r="S43" s="16">
        <f>+[2]称号計算!Y48</f>
        <v>1.37E-2</v>
      </c>
      <c r="T43" s="20">
        <f>+[2]称号計算!Z48</f>
        <v>0.79079999999999995</v>
      </c>
      <c r="U43" s="16">
        <v>0.25</v>
      </c>
    </row>
    <row r="44" spans="1:21">
      <c r="A44" s="9" t="s">
        <v>955</v>
      </c>
      <c r="B44" s="22" t="s">
        <v>1315</v>
      </c>
      <c r="C44" s="26">
        <f>+[2]称号計算!I49</f>
        <v>0.2571</v>
      </c>
      <c r="D44" s="10">
        <f>+[2]称号計算!J49</f>
        <v>0.21429999999999999</v>
      </c>
      <c r="E44" s="10">
        <f>+[2]称号計算!K49</f>
        <v>3.9E-2</v>
      </c>
      <c r="F44" s="10">
        <f>+[2]称号計算!L49</f>
        <v>0.3896</v>
      </c>
      <c r="G44" s="10">
        <f>+[2]称号計算!M49</f>
        <v>0.19869999999999999</v>
      </c>
      <c r="H44" s="11">
        <f>+[2]称号計算!N49</f>
        <v>0.18540000000000001</v>
      </c>
      <c r="I44" s="26">
        <f>+[2]称号計算!O49</f>
        <v>0.1714</v>
      </c>
      <c r="J44" s="11">
        <f>+[2]称号計算!P49</f>
        <v>0.1182</v>
      </c>
      <c r="K44" s="26">
        <f>+[2]称号計算!Q49</f>
        <v>8.2299999999999998E-2</v>
      </c>
      <c r="L44" s="10">
        <f>+[2]称号計算!R49</f>
        <v>0.187</v>
      </c>
      <c r="M44" s="11">
        <f>+[2]称号計算!S49</f>
        <v>0.13089999999999999</v>
      </c>
      <c r="N44" s="26">
        <f>+[2]称号計算!T49</f>
        <v>6.8999999999999999E-3</v>
      </c>
      <c r="O44" s="10">
        <f>+[2]称号計算!U49</f>
        <v>6.8999999999999999E-3</v>
      </c>
      <c r="P44" s="10">
        <f>+[2]称号計算!V49</f>
        <v>2.6100000000000002E-2</v>
      </c>
      <c r="Q44" s="10">
        <f>+[2]称号計算!W49</f>
        <v>0.1042</v>
      </c>
      <c r="R44" s="10">
        <f>+[2]称号計算!X49</f>
        <v>5.1999999999999998E-3</v>
      </c>
      <c r="S44" s="11">
        <f>+[2]称号計算!Y49</f>
        <v>5.1999999999999998E-3</v>
      </c>
      <c r="T44" s="18">
        <f>+[2]称号計算!Z49</f>
        <v>0.65800000000000003</v>
      </c>
      <c r="U44" s="11">
        <v>1</v>
      </c>
    </row>
    <row r="45" spans="1:21">
      <c r="A45" s="12" t="s">
        <v>956</v>
      </c>
      <c r="B45" s="23" t="s">
        <v>1316</v>
      </c>
      <c r="C45" s="27">
        <f>+[2]称号計算!I50</f>
        <v>0.1988</v>
      </c>
      <c r="D45" s="5">
        <f>+[2]称号計算!J50</f>
        <v>0.34949999999999998</v>
      </c>
      <c r="E45" s="5">
        <f>+[2]称号計算!K50</f>
        <v>3.7199999999999997E-2</v>
      </c>
      <c r="F45" s="5">
        <f>+[2]称号計算!L50</f>
        <v>0.4965</v>
      </c>
      <c r="G45" s="5">
        <f>+[2]称号計算!M50</f>
        <v>0.14849999999999999</v>
      </c>
      <c r="H45" s="13">
        <f>+[2]称号計算!N50</f>
        <v>0.16039999999999999</v>
      </c>
      <c r="I45" s="27">
        <f>+[2]称号計算!O50</f>
        <v>8.7400000000000005E-2</v>
      </c>
      <c r="J45" s="13">
        <f>+[2]称号計算!P50</f>
        <v>0.1893</v>
      </c>
      <c r="K45" s="27">
        <f>+[2]称号計算!Q50</f>
        <v>7.2099999999999997E-2</v>
      </c>
      <c r="L45" s="5">
        <f>+[2]称号計算!R50</f>
        <v>0.12709999999999999</v>
      </c>
      <c r="M45" s="13">
        <f>+[2]称号計算!S50</f>
        <v>0.20569999999999999</v>
      </c>
      <c r="N45" s="27">
        <f>+[2]称号計算!T50</f>
        <v>7.46E-2</v>
      </c>
      <c r="O45" s="5">
        <f>+[2]称号計算!U50</f>
        <v>1.49E-2</v>
      </c>
      <c r="P45" s="5">
        <f>+[2]称号計算!V50</f>
        <v>5.0000000000000001E-3</v>
      </c>
      <c r="Q45" s="5">
        <f>+[2]称号計算!W50</f>
        <v>5.0000000000000001E-3</v>
      </c>
      <c r="R45" s="5">
        <f>+[2]称号計算!X50</f>
        <v>3.7000000000000002E-3</v>
      </c>
      <c r="S45" s="13">
        <f>+[2]称号計算!Y50</f>
        <v>3.7000000000000002E-3</v>
      </c>
      <c r="T45" s="19">
        <f>+[2]称号計算!Z50</f>
        <v>0.60450000000000004</v>
      </c>
      <c r="U45" s="13">
        <v>1</v>
      </c>
    </row>
    <row r="46" spans="1:21">
      <c r="A46" s="12" t="s">
        <v>957</v>
      </c>
      <c r="B46" s="23" t="s">
        <v>1317</v>
      </c>
      <c r="C46" s="27">
        <f>+[2]称号計算!I51</f>
        <v>0.22459999999999999</v>
      </c>
      <c r="D46" s="5">
        <f>+[2]称号計算!J51</f>
        <v>0.37069999999999997</v>
      </c>
      <c r="E46" s="5">
        <f>+[2]称号計算!K51</f>
        <v>3.1300000000000001E-2</v>
      </c>
      <c r="F46" s="5">
        <f>+[2]称号計算!L51</f>
        <v>0.48149999999999998</v>
      </c>
      <c r="G46" s="5">
        <f>+[2]称号計算!M51</f>
        <v>0.12609999999999999</v>
      </c>
      <c r="H46" s="13">
        <f>+[2]称号計算!N51</f>
        <v>0.33560000000000001</v>
      </c>
      <c r="I46" s="27">
        <f>+[2]称号計算!O51</f>
        <v>9.5299999999999996E-2</v>
      </c>
      <c r="J46" s="13">
        <f>+[2]称号計算!P51</f>
        <v>0.121</v>
      </c>
      <c r="K46" s="27">
        <f>+[2]称号計算!Q51</f>
        <v>8.0500000000000002E-2</v>
      </c>
      <c r="L46" s="5">
        <f>+[2]称号計算!R51</f>
        <v>0.1618</v>
      </c>
      <c r="M46" s="13">
        <f>+[2]称号計算!S51</f>
        <v>0.1429</v>
      </c>
      <c r="N46" s="27">
        <f>+[2]称号計算!T51</f>
        <v>0.1181</v>
      </c>
      <c r="O46" s="5">
        <f>+[2]称号計算!U51</f>
        <v>2.3599999999999999E-2</v>
      </c>
      <c r="P46" s="5">
        <f>+[2]称号計算!V51</f>
        <v>7.9000000000000008E-3</v>
      </c>
      <c r="Q46" s="5">
        <f>+[2]称号計算!W51</f>
        <v>7.9000000000000008E-3</v>
      </c>
      <c r="R46" s="5">
        <f>+[2]称号計算!X51</f>
        <v>5.8999999999999999E-3</v>
      </c>
      <c r="S46" s="13">
        <f>+[2]称号計算!Y51</f>
        <v>5.8999999999999999E-3</v>
      </c>
      <c r="T46" s="19">
        <f>+[2]称号計算!Z51</f>
        <v>0.66339999999999999</v>
      </c>
      <c r="U46" s="13">
        <v>0.9</v>
      </c>
    </row>
    <row r="47" spans="1:21">
      <c r="A47" s="12" t="s">
        <v>958</v>
      </c>
      <c r="B47" s="23" t="s">
        <v>1318</v>
      </c>
      <c r="C47" s="27">
        <f>+[2]称号計算!I52</f>
        <v>0.19589999999999999</v>
      </c>
      <c r="D47" s="5">
        <f>+[2]称号計算!J52</f>
        <v>7.9899999999999999E-2</v>
      </c>
      <c r="E47" s="5">
        <f>+[2]称号計算!K52</f>
        <v>0.58589999999999998</v>
      </c>
      <c r="F47" s="5">
        <f>+[2]称号計算!L52</f>
        <v>3.6299999999999999E-2</v>
      </c>
      <c r="G47" s="5">
        <f>+[2]称号計算!M52</f>
        <v>0.15140000000000001</v>
      </c>
      <c r="H47" s="13">
        <f>+[2]称号計算!N52</f>
        <v>0.1394</v>
      </c>
      <c r="I47" s="27">
        <f>+[2]称号計算!O52</f>
        <v>0.24490000000000001</v>
      </c>
      <c r="J47" s="13">
        <f>+[2]称号計算!P52</f>
        <v>0.2437</v>
      </c>
      <c r="K47" s="27">
        <f>+[2]称号計算!Q52</f>
        <v>0.17269999999999999</v>
      </c>
      <c r="L47" s="5">
        <f>+[2]称号計算!R52</f>
        <v>0.20150000000000001</v>
      </c>
      <c r="M47" s="13">
        <f>+[2]称号計算!S52</f>
        <v>0.21820000000000001</v>
      </c>
      <c r="N47" s="27">
        <f>+[2]称号計算!T52</f>
        <v>4.4000000000000003E-3</v>
      </c>
      <c r="O47" s="5">
        <f>+[2]称号計算!U52</f>
        <v>4.4000000000000003E-3</v>
      </c>
      <c r="P47" s="5">
        <f>+[2]称号計算!V52</f>
        <v>1.6299999999999999E-2</v>
      </c>
      <c r="Q47" s="5">
        <f>+[2]称号計算!W52</f>
        <v>6.54E-2</v>
      </c>
      <c r="R47" s="5">
        <f>+[2]称号計算!X52</f>
        <v>3.3E-3</v>
      </c>
      <c r="S47" s="13">
        <f>+[2]称号計算!Y52</f>
        <v>3.3E-3</v>
      </c>
      <c r="T47" s="19">
        <f>+[2]称号計算!Z52</f>
        <v>0.87649999999999995</v>
      </c>
      <c r="U47" s="13">
        <v>0.55000000000000004</v>
      </c>
    </row>
    <row r="48" spans="1:21">
      <c r="A48" s="12" t="s">
        <v>959</v>
      </c>
      <c r="B48" s="23" t="s">
        <v>1319</v>
      </c>
      <c r="C48" s="27">
        <f>+[2]称号計算!I53</f>
        <v>0.16470000000000001</v>
      </c>
      <c r="D48" s="5">
        <f>+[2]称号計算!J53</f>
        <v>6.08E-2</v>
      </c>
      <c r="E48" s="5">
        <f>+[2]称号計算!K53</f>
        <v>0.57599999999999996</v>
      </c>
      <c r="F48" s="5">
        <f>+[2]称号計算!L53</f>
        <v>3.7400000000000003E-2</v>
      </c>
      <c r="G48" s="5">
        <f>+[2]称号計算!M53</f>
        <v>0.12139999999999999</v>
      </c>
      <c r="H48" s="13">
        <f>+[2]称号計算!N53</f>
        <v>0.13320000000000001</v>
      </c>
      <c r="I48" s="27">
        <f>+[2]称号計算!O53</f>
        <v>0.45619999999999999</v>
      </c>
      <c r="J48" s="13">
        <f>+[2]称号計算!P53</f>
        <v>0.20960000000000001</v>
      </c>
      <c r="K48" s="27">
        <f>+[2]称号計算!Q53</f>
        <v>0.15970000000000001</v>
      </c>
      <c r="L48" s="5">
        <f>+[2]称号計算!R53</f>
        <v>0.311</v>
      </c>
      <c r="M48" s="13">
        <f>+[2]称号計算!S53</f>
        <v>0.13869999999999999</v>
      </c>
      <c r="N48" s="27">
        <f>+[2]称号計算!T53</f>
        <v>1.29E-2</v>
      </c>
      <c r="O48" s="5">
        <f>+[2]称号計算!U53</f>
        <v>6.4399999999999999E-2</v>
      </c>
      <c r="P48" s="5">
        <f>+[2]称号計算!V53</f>
        <v>4.3E-3</v>
      </c>
      <c r="Q48" s="5">
        <f>+[2]称号計算!W53</f>
        <v>4.3E-3</v>
      </c>
      <c r="R48" s="5">
        <f>+[2]称号計算!X53</f>
        <v>3.2000000000000002E-3</v>
      </c>
      <c r="S48" s="13">
        <f>+[2]称号計算!Y53</f>
        <v>3.2000000000000002E-3</v>
      </c>
      <c r="T48" s="19">
        <f>+[2]称号計算!Z53</f>
        <v>0.88829999999999998</v>
      </c>
      <c r="U48" s="13">
        <v>0.5</v>
      </c>
    </row>
    <row r="49" spans="1:21" ht="19.5" thickBot="1">
      <c r="A49" s="14" t="s">
        <v>960</v>
      </c>
      <c r="B49" s="24" t="s">
        <v>1320</v>
      </c>
      <c r="C49" s="28">
        <f>+[2]称号計算!I54</f>
        <v>0.24859999999999999</v>
      </c>
      <c r="D49" s="15">
        <f>+[2]称号計算!J54</f>
        <v>0.28489999999999999</v>
      </c>
      <c r="E49" s="15">
        <f>+[2]称号計算!K54</f>
        <v>3.6499999999999998E-2</v>
      </c>
      <c r="F49" s="15">
        <f>+[2]称号計算!L54</f>
        <v>0.58860000000000001</v>
      </c>
      <c r="G49" s="15">
        <f>+[2]称号計算!M54</f>
        <v>0.1641</v>
      </c>
      <c r="H49" s="16">
        <f>+[2]称号計算!N54</f>
        <v>0.18210000000000001</v>
      </c>
      <c r="I49" s="28">
        <f>+[2]称号計算!O54</f>
        <v>0.15540000000000001</v>
      </c>
      <c r="J49" s="16">
        <f>+[2]称号計算!P54</f>
        <v>0.16320000000000001</v>
      </c>
      <c r="K49" s="28">
        <f>+[2]称号計算!Q54</f>
        <v>0.11650000000000001</v>
      </c>
      <c r="L49" s="15">
        <f>+[2]称号計算!R54</f>
        <v>0.21429999999999999</v>
      </c>
      <c r="M49" s="16">
        <f>+[2]称号計算!S54</f>
        <v>0.31309999999999999</v>
      </c>
      <c r="N49" s="28">
        <f>+[2]称号計算!T54</f>
        <v>9.0800000000000006E-2</v>
      </c>
      <c r="O49" s="15">
        <f>+[2]称号計算!U54</f>
        <v>1.8200000000000001E-2</v>
      </c>
      <c r="P49" s="15">
        <f>+[2]称号計算!V54</f>
        <v>6.1000000000000004E-3</v>
      </c>
      <c r="Q49" s="15">
        <f>+[2]称号計算!W54</f>
        <v>6.1000000000000004E-3</v>
      </c>
      <c r="R49" s="15">
        <f>+[2]称号計算!X54</f>
        <v>4.4999999999999997E-3</v>
      </c>
      <c r="S49" s="16">
        <f>+[2]称号計算!Y54</f>
        <v>4.4999999999999997E-3</v>
      </c>
      <c r="T49" s="20">
        <f>+[2]称号計算!Z54</f>
        <v>0.80189999999999995</v>
      </c>
      <c r="U49" s="16">
        <v>0.25</v>
      </c>
    </row>
    <row r="50" spans="1:21">
      <c r="A50" s="9" t="s">
        <v>961</v>
      </c>
      <c r="B50" s="22" t="s">
        <v>1321</v>
      </c>
      <c r="C50" s="26">
        <f>+[2]称号計算!I55</f>
        <v>0.1371</v>
      </c>
      <c r="D50" s="10">
        <f>+[2]称号計算!J55</f>
        <v>0.22500000000000001</v>
      </c>
      <c r="E50" s="10">
        <f>+[2]称号計算!K55</f>
        <v>2.4199999999999999E-2</v>
      </c>
      <c r="F50" s="10">
        <f>+[2]称号計算!L55</f>
        <v>0.46489999999999998</v>
      </c>
      <c r="G50" s="10">
        <f>+[2]称号計算!M55</f>
        <v>0.1028</v>
      </c>
      <c r="H50" s="11">
        <f>+[2]称号計算!N55</f>
        <v>0.1265</v>
      </c>
      <c r="I50" s="26">
        <f>+[2]称号計算!O55</f>
        <v>0.36820000000000003</v>
      </c>
      <c r="J50" s="11">
        <f>+[2]称号計算!P55</f>
        <v>0.14910000000000001</v>
      </c>
      <c r="K50" s="26">
        <f>+[2]称号計算!Q55</f>
        <v>8.3900000000000002E-2</v>
      </c>
      <c r="L50" s="10">
        <f>+[2]称号計算!R55</f>
        <v>0.13950000000000001</v>
      </c>
      <c r="M50" s="11">
        <f>+[2]称号計算!S55</f>
        <v>0.23169999999999999</v>
      </c>
      <c r="N50" s="26">
        <f>+[2]称号計算!T55</f>
        <v>4.1999999999999997E-3</v>
      </c>
      <c r="O50" s="10">
        <f>+[2]称号計算!U55</f>
        <v>4.1999999999999997E-3</v>
      </c>
      <c r="P50" s="10">
        <f>+[2]称号計算!V55</f>
        <v>1.5599999999999999E-2</v>
      </c>
      <c r="Q50" s="10">
        <f>+[2]称号計算!W55</f>
        <v>6.2399999999999997E-2</v>
      </c>
      <c r="R50" s="10">
        <f>+[2]称号計算!X55</f>
        <v>3.0999999999999999E-3</v>
      </c>
      <c r="S50" s="11">
        <f>+[2]称号計算!Y55</f>
        <v>3.0999999999999999E-3</v>
      </c>
      <c r="T50" s="18">
        <f>+[2]称号計算!Z55</f>
        <v>0.64439999999999997</v>
      </c>
      <c r="U50" s="11">
        <v>1</v>
      </c>
    </row>
    <row r="51" spans="1:21">
      <c r="A51" s="12" t="s">
        <v>962</v>
      </c>
      <c r="B51" s="23" t="s">
        <v>1322</v>
      </c>
      <c r="C51" s="27">
        <f>+[2]称号計算!I56</f>
        <v>0.17560000000000001</v>
      </c>
      <c r="D51" s="5">
        <f>+[2]称号計算!J56</f>
        <v>0.28920000000000001</v>
      </c>
      <c r="E51" s="5">
        <f>+[2]称号計算!K56</f>
        <v>2.92E-2</v>
      </c>
      <c r="F51" s="5">
        <f>+[2]称号計算!L56</f>
        <v>0.48680000000000001</v>
      </c>
      <c r="G51" s="5">
        <f>+[2]称号計算!M56</f>
        <v>0.1341</v>
      </c>
      <c r="H51" s="13">
        <f>+[2]称号計算!N56</f>
        <v>0.14399999999999999</v>
      </c>
      <c r="I51" s="27">
        <f>+[2]称号計算!O56</f>
        <v>0.25700000000000001</v>
      </c>
      <c r="J51" s="13">
        <f>+[2]称号計算!P56</f>
        <v>0.2152</v>
      </c>
      <c r="K51" s="27">
        <f>+[2]称号計算!Q56</f>
        <v>9.8500000000000004E-2</v>
      </c>
      <c r="L51" s="5">
        <f>+[2]称号計算!R56</f>
        <v>0.13239999999999999</v>
      </c>
      <c r="M51" s="13">
        <f>+[2]称号計算!S56</f>
        <v>0.19350000000000001</v>
      </c>
      <c r="N51" s="27">
        <f>+[2]称号計算!T56</f>
        <v>4.4999999999999997E-3</v>
      </c>
      <c r="O51" s="5">
        <f>+[2]称号計算!U56</f>
        <v>4.4999999999999997E-3</v>
      </c>
      <c r="P51" s="5">
        <f>+[2]称号計算!V56</f>
        <v>1.6799999999999999E-2</v>
      </c>
      <c r="Q51" s="5">
        <f>+[2]称号計算!W56</f>
        <v>6.7299999999999999E-2</v>
      </c>
      <c r="R51" s="5">
        <f>+[2]称号計算!X56</f>
        <v>3.3999999999999998E-3</v>
      </c>
      <c r="S51" s="13">
        <f>+[2]称号計算!Y56</f>
        <v>3.3999999999999998E-3</v>
      </c>
      <c r="T51" s="19">
        <f>+[2]称号計算!Z56</f>
        <v>0.70650000000000002</v>
      </c>
      <c r="U51" s="13">
        <v>1</v>
      </c>
    </row>
    <row r="52" spans="1:21">
      <c r="A52" s="12" t="s">
        <v>963</v>
      </c>
      <c r="B52" s="23" t="s">
        <v>1323</v>
      </c>
      <c r="C52" s="27">
        <f>+[2]称号計算!I57</f>
        <v>0.26889999999999997</v>
      </c>
      <c r="D52" s="5">
        <f>+[2]称号計算!J57</f>
        <v>0.42259999999999998</v>
      </c>
      <c r="E52" s="5">
        <f>+[2]称号計算!K57</f>
        <v>3.6700000000000003E-2</v>
      </c>
      <c r="F52" s="5">
        <f>+[2]称号計算!L57</f>
        <v>0.43659999999999999</v>
      </c>
      <c r="G52" s="5">
        <f>+[2]称号計算!M57</f>
        <v>0.14099999999999999</v>
      </c>
      <c r="H52" s="13">
        <f>+[2]称号計算!N57</f>
        <v>0.24940000000000001</v>
      </c>
      <c r="I52" s="27">
        <f>+[2]称号計算!O57</f>
        <v>0.22090000000000001</v>
      </c>
      <c r="J52" s="13">
        <f>+[2]称号計算!P57</f>
        <v>0.14760000000000001</v>
      </c>
      <c r="K52" s="27">
        <f>+[2]称号計算!Q57</f>
        <v>4.6100000000000002E-2</v>
      </c>
      <c r="L52" s="5">
        <f>+[2]称号計算!R57</f>
        <v>0.12570000000000001</v>
      </c>
      <c r="M52" s="13">
        <f>+[2]称号計算!S57</f>
        <v>0.16259999999999999</v>
      </c>
      <c r="N52" s="27">
        <f>+[2]称号計算!T57</f>
        <v>6.0000000000000001E-3</v>
      </c>
      <c r="O52" s="5">
        <f>+[2]称号計算!U57</f>
        <v>6.0000000000000001E-3</v>
      </c>
      <c r="P52" s="5">
        <f>+[2]称号計算!V57</f>
        <v>6.0000000000000001E-3</v>
      </c>
      <c r="Q52" s="5">
        <f>+[2]称号計算!W57</f>
        <v>6.0000000000000001E-3</v>
      </c>
      <c r="R52" s="5">
        <f>+[2]称号計算!X57</f>
        <v>0.1192</v>
      </c>
      <c r="S52" s="13">
        <f>+[2]称号計算!Y57</f>
        <v>1.5900000000000001E-2</v>
      </c>
      <c r="T52" s="19">
        <f>+[2]称号計算!Z57</f>
        <v>0.60219999999999996</v>
      </c>
      <c r="U52" s="13">
        <v>0.9</v>
      </c>
    </row>
    <row r="53" spans="1:21">
      <c r="A53" s="12" t="s">
        <v>964</v>
      </c>
      <c r="B53" s="23" t="s">
        <v>1324</v>
      </c>
      <c r="C53" s="27">
        <f>+[2]称号計算!I58</f>
        <v>0.3997</v>
      </c>
      <c r="D53" s="5">
        <f>+[2]称号計算!J58</f>
        <v>0.1062</v>
      </c>
      <c r="E53" s="5">
        <f>+[2]称号計算!K58</f>
        <v>0.56769999999999998</v>
      </c>
      <c r="F53" s="5">
        <f>+[2]称号計算!L58</f>
        <v>5.6800000000000003E-2</v>
      </c>
      <c r="G53" s="5">
        <f>+[2]称号計算!M58</f>
        <v>0.29920000000000002</v>
      </c>
      <c r="H53" s="13">
        <f>+[2]称号計算!N58</f>
        <v>0.2702</v>
      </c>
      <c r="I53" s="27">
        <f>+[2]称号計算!O58</f>
        <v>9.9900000000000003E-2</v>
      </c>
      <c r="J53" s="13">
        <f>+[2]称号計算!P58</f>
        <v>0.13780000000000001</v>
      </c>
      <c r="K53" s="27">
        <f>+[2]称号計算!Q58</f>
        <v>0.1099</v>
      </c>
      <c r="L53" s="5">
        <f>+[2]称号計算!R58</f>
        <v>0.1862</v>
      </c>
      <c r="M53" s="13">
        <f>+[2]称号計算!S58</f>
        <v>0.12720000000000001</v>
      </c>
      <c r="N53" s="27">
        <f>+[2]称号計算!T58</f>
        <v>6.6E-3</v>
      </c>
      <c r="O53" s="5">
        <f>+[2]称号計算!U58</f>
        <v>6.6E-3</v>
      </c>
      <c r="P53" s="5">
        <f>+[2]称号計算!V58</f>
        <v>6.6E-3</v>
      </c>
      <c r="Q53" s="5">
        <f>+[2]称号計算!W58</f>
        <v>6.6E-3</v>
      </c>
      <c r="R53" s="5">
        <f>+[2]称号計算!X58</f>
        <v>0.13220000000000001</v>
      </c>
      <c r="S53" s="13">
        <f>+[2]称号計算!Y58</f>
        <v>1.7600000000000001E-2</v>
      </c>
      <c r="T53" s="19">
        <f>+[2]称号計算!Z58</f>
        <v>0.76070000000000004</v>
      </c>
      <c r="U53" s="13">
        <v>0.55000000000000004</v>
      </c>
    </row>
    <row r="54" spans="1:21">
      <c r="A54" s="12" t="s">
        <v>965</v>
      </c>
      <c r="B54" s="23" t="s">
        <v>1325</v>
      </c>
      <c r="C54" s="27">
        <f>+[2]称号計算!I59</f>
        <v>0.378</v>
      </c>
      <c r="D54" s="5">
        <f>+[2]称号計算!J59</f>
        <v>0.12859999999999999</v>
      </c>
      <c r="E54" s="5">
        <f>+[2]称号計算!K59</f>
        <v>0.58440000000000003</v>
      </c>
      <c r="F54" s="5">
        <f>+[2]称号計算!L59</f>
        <v>4.4400000000000002E-2</v>
      </c>
      <c r="G54" s="5">
        <f>+[2]称号計算!M59</f>
        <v>0.18279999999999999</v>
      </c>
      <c r="H54" s="13">
        <f>+[2]称号計算!N59</f>
        <v>0.43709999999999999</v>
      </c>
      <c r="I54" s="27">
        <f>+[2]称号計算!O59</f>
        <v>0.12859999999999999</v>
      </c>
      <c r="J54" s="13">
        <f>+[2]称号計算!P59</f>
        <v>0.15190000000000001</v>
      </c>
      <c r="K54" s="27">
        <f>+[2]称号計算!Q59</f>
        <v>0.10539999999999999</v>
      </c>
      <c r="L54" s="5">
        <f>+[2]称号計算!R59</f>
        <v>0.1847</v>
      </c>
      <c r="M54" s="13">
        <f>+[2]称号計算!S59</f>
        <v>0.13750000000000001</v>
      </c>
      <c r="N54" s="27">
        <f>+[2]称号計算!T59</f>
        <v>6.3E-3</v>
      </c>
      <c r="O54" s="5">
        <f>+[2]称号計算!U59</f>
        <v>6.3E-3</v>
      </c>
      <c r="P54" s="5">
        <f>+[2]称号計算!V59</f>
        <v>6.3E-3</v>
      </c>
      <c r="Q54" s="5">
        <f>+[2]称号計算!W59</f>
        <v>6.3E-3</v>
      </c>
      <c r="R54" s="5">
        <f>+[2]称号計算!X59</f>
        <v>0.12609999999999999</v>
      </c>
      <c r="S54" s="13">
        <f>+[2]称号計算!Y59</f>
        <v>1.6799999999999999E-2</v>
      </c>
      <c r="T54" s="19">
        <f>+[2]称号計算!Z59</f>
        <v>0.7732</v>
      </c>
      <c r="U54" s="13">
        <v>0.5</v>
      </c>
    </row>
    <row r="55" spans="1:21" ht="19.5" thickBot="1">
      <c r="A55" s="14" t="s">
        <v>966</v>
      </c>
      <c r="B55" s="24" t="s">
        <v>1326</v>
      </c>
      <c r="C55" s="28">
        <f>+[2]称号計算!I60</f>
        <v>0.2823</v>
      </c>
      <c r="D55" s="15">
        <f>+[2]称号計算!J60</f>
        <v>0.3387</v>
      </c>
      <c r="E55" s="15">
        <f>+[2]称号計算!K60</f>
        <v>4.4900000000000002E-2</v>
      </c>
      <c r="F55" s="15">
        <f>+[2]称号計算!L60</f>
        <v>0.64149999999999996</v>
      </c>
      <c r="G55" s="15">
        <f>+[2]称号計算!M60</f>
        <v>0.2094</v>
      </c>
      <c r="H55" s="16">
        <f>+[2]称号計算!N60</f>
        <v>0.2225</v>
      </c>
      <c r="I55" s="28">
        <f>+[2]称号計算!O60</f>
        <v>0.127</v>
      </c>
      <c r="J55" s="16">
        <f>+[2]称号計算!P60</f>
        <v>0.15570000000000001</v>
      </c>
      <c r="K55" s="28">
        <f>+[2]称号計算!Q60</f>
        <v>0.1157</v>
      </c>
      <c r="L55" s="15">
        <f>+[2]称号計算!R60</f>
        <v>0.2361</v>
      </c>
      <c r="M55" s="16">
        <f>+[2]称号計算!S60</f>
        <v>0.19220000000000001</v>
      </c>
      <c r="N55" s="28">
        <f>+[2]称号計算!T60</f>
        <v>1.03E-2</v>
      </c>
      <c r="O55" s="15">
        <f>+[2]称号計算!U60</f>
        <v>1.03E-2</v>
      </c>
      <c r="P55" s="15">
        <f>+[2]称号計算!V60</f>
        <v>3.85E-2</v>
      </c>
      <c r="Q55" s="15">
        <f>+[2]称号計算!W60</f>
        <v>0.154</v>
      </c>
      <c r="R55" s="15">
        <f>+[2]称号計算!X60</f>
        <v>7.7000000000000002E-3</v>
      </c>
      <c r="S55" s="16">
        <f>+[2]称号計算!Y60</f>
        <v>7.7000000000000002E-3</v>
      </c>
      <c r="T55" s="20">
        <f>+[2]称号計算!Z60</f>
        <v>0.80549999999999999</v>
      </c>
      <c r="U55" s="16">
        <v>0.25</v>
      </c>
    </row>
    <row r="56" spans="1:21">
      <c r="A56" s="9" t="s">
        <v>967</v>
      </c>
      <c r="B56" s="22" t="s">
        <v>1327</v>
      </c>
      <c r="C56" s="26">
        <f>+[2]称号計算!I61</f>
        <v>0.14099999999999999</v>
      </c>
      <c r="D56" s="10">
        <f>+[2]称号計算!J61</f>
        <v>0.22789999999999999</v>
      </c>
      <c r="E56" s="10">
        <f>+[2]称号計算!K61</f>
        <v>2.46E-2</v>
      </c>
      <c r="F56" s="10">
        <f>+[2]称号計算!L61</f>
        <v>0.43890000000000001</v>
      </c>
      <c r="G56" s="10">
        <f>+[2]称号計算!M61</f>
        <v>0.1149</v>
      </c>
      <c r="H56" s="11">
        <f>+[2]称号計算!N61</f>
        <v>0.1268</v>
      </c>
      <c r="I56" s="26">
        <f>+[2]称号計算!O61</f>
        <v>0.50209999999999999</v>
      </c>
      <c r="J56" s="11">
        <f>+[2]称号計算!P61</f>
        <v>0.14829999999999999</v>
      </c>
      <c r="K56" s="26">
        <f>+[2]称号計算!Q61</f>
        <v>0.1062</v>
      </c>
      <c r="L56" s="10">
        <f>+[2]称号計算!R61</f>
        <v>0.1668</v>
      </c>
      <c r="M56" s="11">
        <f>+[2]称号計算!S61</f>
        <v>0.1376</v>
      </c>
      <c r="N56" s="26">
        <f>+[2]称号計算!T61</f>
        <v>6.83E-2</v>
      </c>
      <c r="O56" s="10">
        <f>+[2]称号計算!U61</f>
        <v>1.37E-2</v>
      </c>
      <c r="P56" s="10">
        <f>+[2]称号計算!V61</f>
        <v>4.5999999999999999E-3</v>
      </c>
      <c r="Q56" s="10">
        <f>+[2]称号計算!W61</f>
        <v>4.5999999999999999E-3</v>
      </c>
      <c r="R56" s="10">
        <f>+[2]称号計算!X61</f>
        <v>3.3999999999999998E-3</v>
      </c>
      <c r="S56" s="11">
        <f>+[2]称号計算!Y61</f>
        <v>3.3999999999999998E-3</v>
      </c>
      <c r="T56" s="18">
        <f>+[2]称号計算!Z61</f>
        <v>0.75319999999999998</v>
      </c>
      <c r="U56" s="11">
        <v>1</v>
      </c>
    </row>
    <row r="57" spans="1:21">
      <c r="A57" s="12" t="s">
        <v>968</v>
      </c>
      <c r="B57" s="23" t="s">
        <v>1328</v>
      </c>
      <c r="C57" s="27">
        <f>+[2]称号計算!I62</f>
        <v>0.18770000000000001</v>
      </c>
      <c r="D57" s="5">
        <f>+[2]称号計算!J62</f>
        <v>0.21379999999999999</v>
      </c>
      <c r="E57" s="5">
        <f>+[2]称号計算!K62</f>
        <v>2.86E-2</v>
      </c>
      <c r="F57" s="5">
        <f>+[2]称号計算!L62</f>
        <v>0.54</v>
      </c>
      <c r="G57" s="5">
        <f>+[2]称号計算!M62</f>
        <v>0.15609999999999999</v>
      </c>
      <c r="H57" s="13">
        <f>+[2]称号計算!N62</f>
        <v>0.1487</v>
      </c>
      <c r="I57" s="27">
        <f>+[2]称号計算!O62</f>
        <v>0.15440000000000001</v>
      </c>
      <c r="J57" s="13">
        <f>+[2]称号計算!P62</f>
        <v>0.13569999999999999</v>
      </c>
      <c r="K57" s="27">
        <f>+[2]称号計算!Q62</f>
        <v>0.19009999999999999</v>
      </c>
      <c r="L57" s="5">
        <f>+[2]称号計算!R62</f>
        <v>0.3715</v>
      </c>
      <c r="M57" s="13">
        <f>+[2]称号計算!S62</f>
        <v>0.1149</v>
      </c>
      <c r="N57" s="27">
        <f>+[2]称号計算!T62</f>
        <v>4.3E-3</v>
      </c>
      <c r="O57" s="5">
        <f>+[2]称号計算!U62</f>
        <v>4.3E-3</v>
      </c>
      <c r="P57" s="5">
        <f>+[2]称号計算!V62</f>
        <v>1.61E-2</v>
      </c>
      <c r="Q57" s="5">
        <f>+[2]称号計算!W62</f>
        <v>6.4600000000000005E-2</v>
      </c>
      <c r="R57" s="5">
        <f>+[2]称号計算!X62</f>
        <v>3.2000000000000002E-3</v>
      </c>
      <c r="S57" s="13">
        <f>+[2]称号計算!Y62</f>
        <v>3.2000000000000002E-3</v>
      </c>
      <c r="T57" s="19">
        <f>+[2]称号計算!Z62</f>
        <v>0.94650000000000001</v>
      </c>
      <c r="U57" s="13">
        <v>1</v>
      </c>
    </row>
    <row r="58" spans="1:21">
      <c r="A58" s="12" t="s">
        <v>969</v>
      </c>
      <c r="B58" s="23" t="s">
        <v>1329</v>
      </c>
      <c r="C58" s="27">
        <f>+[2]称号計算!I63</f>
        <v>0.28470000000000001</v>
      </c>
      <c r="D58" s="5">
        <f>+[2]称号計算!J63</f>
        <v>0.23730000000000001</v>
      </c>
      <c r="E58" s="5">
        <f>+[2]称号計算!K63</f>
        <v>5.3900000000000003E-2</v>
      </c>
      <c r="F58" s="5">
        <f>+[2]称号計算!L63</f>
        <v>0.5393</v>
      </c>
      <c r="G58" s="5">
        <f>+[2]称号計算!M63</f>
        <v>0.2384</v>
      </c>
      <c r="H58" s="13">
        <f>+[2]称号計算!N63</f>
        <v>0.15590000000000001</v>
      </c>
      <c r="I58" s="27">
        <f>+[2]称号計算!O63</f>
        <v>0.1898</v>
      </c>
      <c r="J58" s="13">
        <f>+[2]称号計算!P63</f>
        <v>0.14960000000000001</v>
      </c>
      <c r="K58" s="27">
        <f>+[2]称号計算!Q63</f>
        <v>0.13289999999999999</v>
      </c>
      <c r="L58" s="5">
        <f>+[2]称号計算!R63</f>
        <v>0.2157</v>
      </c>
      <c r="M58" s="13">
        <f>+[2]称号計算!S63</f>
        <v>0.151</v>
      </c>
      <c r="N58" s="27">
        <f>+[2]称号計算!T63</f>
        <v>6.6E-3</v>
      </c>
      <c r="O58" s="5">
        <f>+[2]称号計算!U63</f>
        <v>6.6E-3</v>
      </c>
      <c r="P58" s="5">
        <f>+[2]称号計算!V63</f>
        <v>2.4899999999999999E-2</v>
      </c>
      <c r="Q58" s="5">
        <f>+[2]称号計算!W63</f>
        <v>9.9599999999999994E-2</v>
      </c>
      <c r="R58" s="5">
        <f>+[2]称号計算!X63</f>
        <v>5.0000000000000001E-3</v>
      </c>
      <c r="S58" s="13">
        <f>+[2]称号計算!Y63</f>
        <v>5.0000000000000001E-3</v>
      </c>
      <c r="T58" s="19">
        <f>+[2]称号計算!Z63</f>
        <v>0.83499999999999996</v>
      </c>
      <c r="U58" s="13">
        <v>0.9</v>
      </c>
    </row>
    <row r="59" spans="1:21">
      <c r="A59" s="12" t="s">
        <v>970</v>
      </c>
      <c r="B59" s="23" t="s">
        <v>1330</v>
      </c>
      <c r="C59" s="27">
        <f>+[2]称号計算!I64</f>
        <v>0.48149999999999998</v>
      </c>
      <c r="D59" s="5">
        <f>+[2]称号計算!J64</f>
        <v>9.5200000000000007E-2</v>
      </c>
      <c r="E59" s="5">
        <f>+[2]称号計算!K64</f>
        <v>0.60129999999999995</v>
      </c>
      <c r="F59" s="5">
        <f>+[2]称号計算!L64</f>
        <v>5.0500000000000003E-2</v>
      </c>
      <c r="G59" s="5">
        <f>+[2]称号計算!M64</f>
        <v>0.43959999999999999</v>
      </c>
      <c r="H59" s="13">
        <f>+[2]称号計算!N64</f>
        <v>0.2167</v>
      </c>
      <c r="I59" s="27">
        <f>+[2]称号計算!O64</f>
        <v>7.9399999999999998E-2</v>
      </c>
      <c r="J59" s="13">
        <f>+[2]称号計算!P64</f>
        <v>0.14069999999999999</v>
      </c>
      <c r="K59" s="27">
        <f>+[2]称号計算!Q64</f>
        <v>7.9399999999999998E-2</v>
      </c>
      <c r="L59" s="5">
        <f>+[2]称号計算!R64</f>
        <v>0.15629999999999999</v>
      </c>
      <c r="M59" s="13">
        <f>+[2]称号計算!S64</f>
        <v>0.1145</v>
      </c>
      <c r="N59" s="27">
        <f>+[2]称号計算!T64</f>
        <v>0.13750000000000001</v>
      </c>
      <c r="O59" s="5">
        <f>+[2]称号計算!U64</f>
        <v>2.75E-2</v>
      </c>
      <c r="P59" s="5">
        <f>+[2]称号計算!V64</f>
        <v>9.1999999999999998E-3</v>
      </c>
      <c r="Q59" s="5">
        <f>+[2]称号計算!W64</f>
        <v>9.1999999999999998E-3</v>
      </c>
      <c r="R59" s="5">
        <f>+[2]称号計算!X64</f>
        <v>6.8999999999999999E-3</v>
      </c>
      <c r="S59" s="13">
        <f>+[2]称号計算!Y64</f>
        <v>6.8999999999999999E-3</v>
      </c>
      <c r="T59" s="19">
        <f>+[2]称号計算!Z64</f>
        <v>0.6956</v>
      </c>
      <c r="U59" s="13">
        <v>0.55000000000000004</v>
      </c>
    </row>
    <row r="60" spans="1:21">
      <c r="A60" s="12" t="s">
        <v>971</v>
      </c>
      <c r="B60" s="23" t="s">
        <v>1331</v>
      </c>
      <c r="C60" s="27">
        <f>+[2]称号計算!I65</f>
        <v>0.21540000000000001</v>
      </c>
      <c r="D60" s="5">
        <f>+[2]称号計算!J65</f>
        <v>0.1159</v>
      </c>
      <c r="E60" s="5">
        <f>+[2]称号計算!K65</f>
        <v>0.61970000000000003</v>
      </c>
      <c r="F60" s="5">
        <f>+[2]称号計算!L65</f>
        <v>4.3400000000000001E-2</v>
      </c>
      <c r="G60" s="5">
        <f>+[2]称号計算!M65</f>
        <v>0.16650000000000001</v>
      </c>
      <c r="H60" s="13">
        <f>+[2]称号計算!N65</f>
        <v>0.15379999999999999</v>
      </c>
      <c r="I60" s="27">
        <f>+[2]称号計算!O65</f>
        <v>0.2727</v>
      </c>
      <c r="J60" s="13">
        <f>+[2]称号計算!P65</f>
        <v>0.19869999999999999</v>
      </c>
      <c r="K60" s="27">
        <f>+[2]称号計算!Q65</f>
        <v>0.21809999999999999</v>
      </c>
      <c r="L60" s="5">
        <f>+[2]称号計算!R65</f>
        <v>0.34949999999999998</v>
      </c>
      <c r="M60" s="13">
        <f>+[2]称号計算!S65</f>
        <v>0.2082</v>
      </c>
      <c r="N60" s="27">
        <f>+[2]称号計算!T65</f>
        <v>5.3E-3</v>
      </c>
      <c r="O60" s="5">
        <f>+[2]称号計算!U65</f>
        <v>5.3E-3</v>
      </c>
      <c r="P60" s="5">
        <f>+[2]称号計算!V65</f>
        <v>0.02</v>
      </c>
      <c r="Q60" s="5">
        <f>+[2]称号計算!W65</f>
        <v>7.9899999999999999E-2</v>
      </c>
      <c r="R60" s="5">
        <f>+[2]称号計算!X65</f>
        <v>4.0000000000000001E-3</v>
      </c>
      <c r="S60" s="13">
        <f>+[2]称号計算!Y65</f>
        <v>4.0000000000000001E-3</v>
      </c>
      <c r="T60" s="19">
        <f>+[2]称号計算!Z65</f>
        <v>1.0817000000000001</v>
      </c>
      <c r="U60" s="13">
        <v>0.5</v>
      </c>
    </row>
    <row r="61" spans="1:21" ht="19.5" thickBot="1">
      <c r="A61" s="14" t="s">
        <v>972</v>
      </c>
      <c r="B61" s="24" t="s">
        <v>1332</v>
      </c>
      <c r="C61" s="28">
        <f>+[2]称号計算!I66</f>
        <v>0.25190000000000001</v>
      </c>
      <c r="D61" s="15">
        <f>+[2]称号計算!J66</f>
        <v>0.27650000000000002</v>
      </c>
      <c r="E61" s="15">
        <f>+[2]称号計算!K66</f>
        <v>6.9800000000000001E-2</v>
      </c>
      <c r="F61" s="15">
        <f>+[2]称号計算!L66</f>
        <v>0.69830000000000003</v>
      </c>
      <c r="G61" s="15">
        <f>+[2]称号計算!M66</f>
        <v>0.20180000000000001</v>
      </c>
      <c r="H61" s="16">
        <f>+[2]称号計算!N66</f>
        <v>0.2374</v>
      </c>
      <c r="I61" s="28">
        <f>+[2]称号計算!O66</f>
        <v>0.15359999999999999</v>
      </c>
      <c r="J61" s="16">
        <f>+[2]称号計算!P66</f>
        <v>0.18160000000000001</v>
      </c>
      <c r="K61" s="28">
        <f>+[2]称号計算!Q66</f>
        <v>0.1229</v>
      </c>
      <c r="L61" s="15">
        <f>+[2]称号計算!R66</f>
        <v>0.27929999999999999</v>
      </c>
      <c r="M61" s="16">
        <f>+[2]称号計算!S66</f>
        <v>0.19550000000000001</v>
      </c>
      <c r="N61" s="28">
        <f>+[2]称号計算!T66</f>
        <v>9.8199999999999996E-2</v>
      </c>
      <c r="O61" s="15">
        <f>+[2]称号計算!U66</f>
        <v>1.9599999999999999E-2</v>
      </c>
      <c r="P61" s="15">
        <f>+[2]称号計算!V66</f>
        <v>6.4999999999999997E-3</v>
      </c>
      <c r="Q61" s="15">
        <f>+[2]称号計算!W66</f>
        <v>6.4999999999999997E-3</v>
      </c>
      <c r="R61" s="15">
        <f>+[2]称号計算!X66</f>
        <v>4.8999999999999998E-3</v>
      </c>
      <c r="S61" s="16">
        <f>+[2]称号計算!Y66</f>
        <v>4.8999999999999998E-3</v>
      </c>
      <c r="T61" s="20">
        <f>+[2]称号計算!Z66</f>
        <v>0.83030000000000004</v>
      </c>
      <c r="U61" s="16">
        <v>0.25</v>
      </c>
    </row>
    <row r="62" spans="1:21">
      <c r="A62" s="9" t="s">
        <v>973</v>
      </c>
      <c r="B62" s="22" t="s">
        <v>1333</v>
      </c>
      <c r="C62" s="26">
        <f>+[2]称号計算!I67</f>
        <v>0.20910000000000001</v>
      </c>
      <c r="D62" s="10">
        <f>+[2]称号計算!J67</f>
        <v>0.22320000000000001</v>
      </c>
      <c r="E62" s="10">
        <f>+[2]称号計算!K67</f>
        <v>3.2000000000000001E-2</v>
      </c>
      <c r="F62" s="10">
        <f>+[2]称号計算!L67</f>
        <v>0.53390000000000004</v>
      </c>
      <c r="G62" s="10">
        <f>+[2]称号計算!M67</f>
        <v>0.16700000000000001</v>
      </c>
      <c r="H62" s="11">
        <f>+[2]称号計算!N67</f>
        <v>0.16520000000000001</v>
      </c>
      <c r="I62" s="26">
        <f>+[2]称号計算!O67</f>
        <v>0.1762</v>
      </c>
      <c r="J62" s="11">
        <f>+[2]称号計算!P67</f>
        <v>0.13880000000000001</v>
      </c>
      <c r="K62" s="26">
        <f>+[2]称号計算!Q67</f>
        <v>0.14560000000000001</v>
      </c>
      <c r="L62" s="10">
        <f>+[2]称号計算!R67</f>
        <v>0.24560000000000001</v>
      </c>
      <c r="M62" s="11">
        <f>+[2]称号計算!S67</f>
        <v>0.18390000000000001</v>
      </c>
      <c r="N62" s="26">
        <f>+[2]称号計算!T67</f>
        <v>5.7000000000000002E-3</v>
      </c>
      <c r="O62" s="10">
        <f>+[2]称号計算!U67</f>
        <v>5.7000000000000002E-3</v>
      </c>
      <c r="P62" s="10">
        <f>+[2]称号計算!V67</f>
        <v>2.1299999999999999E-2</v>
      </c>
      <c r="Q62" s="10">
        <f>+[2]称号計算!W67</f>
        <v>8.5300000000000001E-2</v>
      </c>
      <c r="R62" s="10">
        <f>+[2]称号計算!X67</f>
        <v>4.3E-3</v>
      </c>
      <c r="S62" s="11">
        <f>+[2]称号計算!Y67</f>
        <v>4.3E-3</v>
      </c>
      <c r="T62" s="18">
        <f>+[2]称号計算!Z67</f>
        <v>1.3815999999999999</v>
      </c>
      <c r="U62" s="11">
        <v>1</v>
      </c>
    </row>
    <row r="63" spans="1:21">
      <c r="A63" s="12" t="s">
        <v>974</v>
      </c>
      <c r="B63" s="23" t="s">
        <v>1334</v>
      </c>
      <c r="C63" s="27">
        <f>+[2]称号計算!I68</f>
        <v>0.30370000000000003</v>
      </c>
      <c r="D63" s="5">
        <f>+[2]称号計算!J68</f>
        <v>0.25309999999999999</v>
      </c>
      <c r="E63" s="5">
        <f>+[2]称号計算!K68</f>
        <v>4.5999999999999999E-2</v>
      </c>
      <c r="F63" s="5">
        <f>+[2]称号計算!L68</f>
        <v>0.4602</v>
      </c>
      <c r="G63" s="5">
        <f>+[2]称号計算!M68</f>
        <v>0.23469999999999999</v>
      </c>
      <c r="H63" s="13">
        <f>+[2]称号計算!N68</f>
        <v>0.219</v>
      </c>
      <c r="I63" s="27">
        <f>+[2]称号計算!O68</f>
        <v>0.20250000000000001</v>
      </c>
      <c r="J63" s="13">
        <f>+[2]称号計算!P68</f>
        <v>0.1396</v>
      </c>
      <c r="K63" s="27">
        <f>+[2]称号計算!Q68</f>
        <v>9.7199999999999995E-2</v>
      </c>
      <c r="L63" s="5">
        <f>+[2]称号計算!R68</f>
        <v>0.22090000000000001</v>
      </c>
      <c r="M63" s="13">
        <f>+[2]称号計算!S68</f>
        <v>0.15459999999999999</v>
      </c>
      <c r="N63" s="27">
        <f>+[2]称号計算!T68</f>
        <v>6.1999999999999998E-3</v>
      </c>
      <c r="O63" s="5">
        <f>+[2]称号計算!U68</f>
        <v>6.1999999999999998E-3</v>
      </c>
      <c r="P63" s="5">
        <f>+[2]称号計算!V68</f>
        <v>6.1999999999999998E-3</v>
      </c>
      <c r="Q63" s="5">
        <f>+[2]称号計算!W68</f>
        <v>6.1999999999999998E-3</v>
      </c>
      <c r="R63" s="5">
        <f>+[2]称号計算!X68</f>
        <v>0.1231</v>
      </c>
      <c r="S63" s="13">
        <f>+[2]称号計算!Y68</f>
        <v>1.6400000000000001E-2</v>
      </c>
      <c r="T63" s="19">
        <f>+[2]称号計算!Z68</f>
        <v>0.77710000000000001</v>
      </c>
      <c r="U63" s="13">
        <v>1</v>
      </c>
    </row>
    <row r="64" spans="1:21">
      <c r="A64" s="12" t="s">
        <v>975</v>
      </c>
      <c r="B64" s="23" t="s">
        <v>1335</v>
      </c>
      <c r="C64" s="27">
        <f>+[2]称号計算!I69</f>
        <v>0.23430000000000001</v>
      </c>
      <c r="D64" s="5">
        <f>+[2]称号計算!J69</f>
        <v>0.41189999999999999</v>
      </c>
      <c r="E64" s="5">
        <f>+[2]称号計算!K69</f>
        <v>4.3900000000000002E-2</v>
      </c>
      <c r="F64" s="5">
        <f>+[2]称号計算!L69</f>
        <v>0.58509999999999995</v>
      </c>
      <c r="G64" s="5">
        <f>+[2]称号計算!M69</f>
        <v>0.17510000000000001</v>
      </c>
      <c r="H64" s="13">
        <f>+[2]称号計算!N69</f>
        <v>0.189</v>
      </c>
      <c r="I64" s="27">
        <f>+[2]称号計算!O69</f>
        <v>0.10299999999999999</v>
      </c>
      <c r="J64" s="13">
        <f>+[2]称号計算!P69</f>
        <v>0.22309999999999999</v>
      </c>
      <c r="K64" s="27">
        <f>+[2]称号計算!Q69</f>
        <v>8.5000000000000006E-2</v>
      </c>
      <c r="L64" s="5">
        <f>+[2]称号計算!R69</f>
        <v>0.14979999999999999</v>
      </c>
      <c r="M64" s="13">
        <f>+[2]称号計算!S69</f>
        <v>0.24249999999999999</v>
      </c>
      <c r="N64" s="27">
        <f>+[2]称号計算!T69</f>
        <v>1.7600000000000001E-2</v>
      </c>
      <c r="O64" s="5">
        <f>+[2]称号計算!U69</f>
        <v>8.7900000000000006E-2</v>
      </c>
      <c r="P64" s="5">
        <f>+[2]称号計算!V69</f>
        <v>5.8999999999999999E-3</v>
      </c>
      <c r="Q64" s="5">
        <f>+[2]称号計算!W69</f>
        <v>5.8999999999999999E-3</v>
      </c>
      <c r="R64" s="5">
        <f>+[2]称号計算!X69</f>
        <v>4.4000000000000003E-3</v>
      </c>
      <c r="S64" s="13">
        <f>+[2]称号計算!Y69</f>
        <v>4.4000000000000003E-3</v>
      </c>
      <c r="T64" s="19">
        <f>+[2]称号計算!Z69</f>
        <v>0.71240000000000003</v>
      </c>
      <c r="U64" s="13">
        <v>0.9</v>
      </c>
    </row>
    <row r="65" spans="1:21">
      <c r="A65" s="12" t="s">
        <v>976</v>
      </c>
      <c r="B65" s="23" t="s">
        <v>1336</v>
      </c>
      <c r="C65" s="27">
        <f>+[2]称号計算!I70</f>
        <v>0.31850000000000001</v>
      </c>
      <c r="D65" s="5">
        <f>+[2]称号計算!J70</f>
        <v>0.1351</v>
      </c>
      <c r="E65" s="5">
        <f>+[2]称号計算!K70</f>
        <v>0.64639999999999997</v>
      </c>
      <c r="F65" s="5">
        <f>+[2]称号計算!L70</f>
        <v>5.04E-2</v>
      </c>
      <c r="G65" s="5">
        <f>+[2]称号計算!M70</f>
        <v>0.27689999999999998</v>
      </c>
      <c r="H65" s="13">
        <f>+[2]称号計算!N70</f>
        <v>0.27250000000000002</v>
      </c>
      <c r="I65" s="27">
        <f>+[2]称号計算!O70</f>
        <v>0.1138</v>
      </c>
      <c r="J65" s="13">
        <f>+[2]称号計算!P70</f>
        <v>0.15679999999999999</v>
      </c>
      <c r="K65" s="27">
        <f>+[2]称号計算!Q70</f>
        <v>0.1394</v>
      </c>
      <c r="L65" s="5">
        <f>+[2]称号計算!R70</f>
        <v>0.26629999999999998</v>
      </c>
      <c r="M65" s="13">
        <f>+[2]称号計算!S70</f>
        <v>0.1774</v>
      </c>
      <c r="N65" s="27">
        <f>+[2]称号計算!T70</f>
        <v>7.9000000000000008E-3</v>
      </c>
      <c r="O65" s="5">
        <f>+[2]称号計算!U70</f>
        <v>7.9000000000000008E-3</v>
      </c>
      <c r="P65" s="5">
        <f>+[2]称号計算!V70</f>
        <v>0.11849999999999999</v>
      </c>
      <c r="Q65" s="5">
        <f>+[2]称号計算!W70</f>
        <v>2.9600000000000001E-2</v>
      </c>
      <c r="R65" s="5">
        <f>+[2]称号計算!X70</f>
        <v>5.8999999999999999E-3</v>
      </c>
      <c r="S65" s="13">
        <f>+[2]称号計算!Y70</f>
        <v>5.8999999999999999E-3</v>
      </c>
      <c r="T65" s="19">
        <f>+[2]称号計算!Z70</f>
        <v>0.85819999999999996</v>
      </c>
      <c r="U65" s="13">
        <v>0.55000000000000004</v>
      </c>
    </row>
    <row r="66" spans="1:21">
      <c r="A66" s="12" t="s">
        <v>977</v>
      </c>
      <c r="B66" s="23" t="s">
        <v>1337</v>
      </c>
      <c r="C66" s="27">
        <f>+[2]称号計算!I71</f>
        <v>0.23</v>
      </c>
      <c r="D66" s="5">
        <f>+[2]称号計算!J71</f>
        <v>9.3799999999999994E-2</v>
      </c>
      <c r="E66" s="5">
        <f>+[2]称号計算!K71</f>
        <v>0.68769999999999998</v>
      </c>
      <c r="F66" s="5">
        <f>+[2]称号計算!L71</f>
        <v>4.2599999999999999E-2</v>
      </c>
      <c r="G66" s="5">
        <f>+[2]称号計算!M71</f>
        <v>0.1777</v>
      </c>
      <c r="H66" s="13">
        <f>+[2]称号計算!N71</f>
        <v>0.16370000000000001</v>
      </c>
      <c r="I66" s="27">
        <f>+[2]称号計算!O71</f>
        <v>0.28749999999999998</v>
      </c>
      <c r="J66" s="13">
        <f>+[2]称号計算!P71</f>
        <v>0.28610000000000002</v>
      </c>
      <c r="K66" s="27">
        <f>+[2]称号計算!Q71</f>
        <v>0.20269999999999999</v>
      </c>
      <c r="L66" s="5">
        <f>+[2]称号計算!R71</f>
        <v>0.2366</v>
      </c>
      <c r="M66" s="13">
        <f>+[2]称号計算!S71</f>
        <v>0.25609999999999999</v>
      </c>
      <c r="N66" s="27">
        <f>+[2]称号計算!T71</f>
        <v>5.1000000000000004E-3</v>
      </c>
      <c r="O66" s="5">
        <f>+[2]称号計算!U71</f>
        <v>5.1000000000000004E-3</v>
      </c>
      <c r="P66" s="5">
        <f>+[2]称号計算!V71</f>
        <v>1.9199999999999998E-2</v>
      </c>
      <c r="Q66" s="5">
        <f>+[2]称号計算!W71</f>
        <v>7.6700000000000004E-2</v>
      </c>
      <c r="R66" s="5">
        <f>+[2]称号計算!X71</f>
        <v>3.8E-3</v>
      </c>
      <c r="S66" s="13">
        <f>+[2]称号計算!Y71</f>
        <v>3.8E-3</v>
      </c>
      <c r="T66" s="19">
        <f>+[2]称号計算!Z71</f>
        <v>1.0287999999999999</v>
      </c>
      <c r="U66" s="13">
        <v>0.5</v>
      </c>
    </row>
    <row r="67" spans="1:21" ht="19.5" thickBot="1">
      <c r="A67" s="14" t="s">
        <v>978</v>
      </c>
      <c r="B67" s="24" t="s">
        <v>1338</v>
      </c>
      <c r="C67" s="28">
        <f>+[2]称号計算!I72</f>
        <v>0.28270000000000001</v>
      </c>
      <c r="D67" s="15">
        <f>+[2]称号計算!J72</f>
        <v>0.40989999999999999</v>
      </c>
      <c r="E67" s="15">
        <f>+[2]称号計算!K72</f>
        <v>6.4299999999999996E-2</v>
      </c>
      <c r="F67" s="15">
        <f>+[2]称号計算!L72</f>
        <v>0.64249999999999996</v>
      </c>
      <c r="G67" s="15">
        <f>+[2]称号計算!M72</f>
        <v>0.2185</v>
      </c>
      <c r="H67" s="16">
        <f>+[2]称号計算!N72</f>
        <v>0.26219999999999999</v>
      </c>
      <c r="I67" s="28">
        <f>+[2]称号計算!O72</f>
        <v>0.1696</v>
      </c>
      <c r="J67" s="16">
        <f>+[2]称号計算!P72</f>
        <v>0.15590000000000001</v>
      </c>
      <c r="K67" s="28">
        <f>+[2]称号計算!Q72</f>
        <v>0.1187</v>
      </c>
      <c r="L67" s="15">
        <f>+[2]称号計算!R72</f>
        <v>0.2442</v>
      </c>
      <c r="M67" s="16">
        <f>+[2]称号計算!S72</f>
        <v>0.2069</v>
      </c>
      <c r="N67" s="28">
        <f>+[2]称号計算!T72</f>
        <v>0.12429999999999999</v>
      </c>
      <c r="O67" s="15">
        <f>+[2]称号計算!U72</f>
        <v>2.4899999999999999E-2</v>
      </c>
      <c r="P67" s="15">
        <f>+[2]称号計算!V72</f>
        <v>8.3000000000000001E-3</v>
      </c>
      <c r="Q67" s="15">
        <f>+[2]称号計算!W72</f>
        <v>8.3000000000000001E-3</v>
      </c>
      <c r="R67" s="15">
        <f>+[2]称号計算!X72</f>
        <v>6.1999999999999998E-3</v>
      </c>
      <c r="S67" s="16">
        <f>+[2]称号計算!Y72</f>
        <v>6.1999999999999998E-3</v>
      </c>
      <c r="T67" s="20">
        <f>+[2]称号計算!Z72</f>
        <v>0.87890000000000001</v>
      </c>
      <c r="U67" s="16">
        <v>0.25</v>
      </c>
    </row>
    <row r="68" spans="1:21">
      <c r="A68" s="9" t="s">
        <v>979</v>
      </c>
      <c r="B68" s="22" t="s">
        <v>1339</v>
      </c>
      <c r="C68" s="26">
        <f>+[2]称号計算!I73</f>
        <v>0.23949999999999999</v>
      </c>
      <c r="D68" s="10">
        <f>+[2]称号計算!J73</f>
        <v>0.26340000000000002</v>
      </c>
      <c r="E68" s="10">
        <f>+[2]称号計算!K73</f>
        <v>5.4399999999999997E-2</v>
      </c>
      <c r="F68" s="10">
        <f>+[2]称号計算!L73</f>
        <v>0.54430000000000001</v>
      </c>
      <c r="G68" s="10">
        <f>+[2]称号計算!M73</f>
        <v>0.17580000000000001</v>
      </c>
      <c r="H68" s="11">
        <f>+[2]称号計算!N73</f>
        <v>0.2036</v>
      </c>
      <c r="I68" s="26">
        <f>+[2]称号計算!O73</f>
        <v>0.1676</v>
      </c>
      <c r="J68" s="11">
        <f>+[2]称号計算!P73</f>
        <v>0.1462</v>
      </c>
      <c r="K68" s="26">
        <f>+[2]称号計算!Q73</f>
        <v>0.11020000000000001</v>
      </c>
      <c r="L68" s="10">
        <f>+[2]称号計算!R73</f>
        <v>0.23949999999999999</v>
      </c>
      <c r="M68" s="11">
        <f>+[2]称号計算!S73</f>
        <v>0.1646</v>
      </c>
      <c r="N68" s="26">
        <f>+[2]称号計算!T73</f>
        <v>8.1299999999999997E-2</v>
      </c>
      <c r="O68" s="10">
        <f>+[2]称号計算!U73</f>
        <v>1.6299999999999999E-2</v>
      </c>
      <c r="P68" s="10">
        <f>+[2]称号計算!V73</f>
        <v>5.4000000000000003E-3</v>
      </c>
      <c r="Q68" s="10">
        <f>+[2]称号計算!W73</f>
        <v>5.4000000000000003E-3</v>
      </c>
      <c r="R68" s="10">
        <f>+[2]称号計算!X73</f>
        <v>4.1000000000000003E-3</v>
      </c>
      <c r="S68" s="11">
        <f>+[2]称号計算!Y73</f>
        <v>4.1000000000000003E-3</v>
      </c>
      <c r="T68" s="18">
        <f>+[2]称号計算!Z73</f>
        <v>0.75690000000000002</v>
      </c>
      <c r="U68" s="11">
        <v>1</v>
      </c>
    </row>
    <row r="69" spans="1:21">
      <c r="A69" s="12" t="s">
        <v>980</v>
      </c>
      <c r="B69" s="23" t="s">
        <v>1340</v>
      </c>
      <c r="C69" s="27">
        <f>+[2]称号計算!I74</f>
        <v>0.16189999999999999</v>
      </c>
      <c r="D69" s="5">
        <f>+[2]称号計算!J74</f>
        <v>0.26579999999999998</v>
      </c>
      <c r="E69" s="5">
        <f>+[2]称号計算!K74</f>
        <v>2.86E-2</v>
      </c>
      <c r="F69" s="5">
        <f>+[2]称号計算!L74</f>
        <v>0.54910000000000003</v>
      </c>
      <c r="G69" s="5">
        <f>+[2]称号計算!M74</f>
        <v>0.12139999999999999</v>
      </c>
      <c r="H69" s="13">
        <f>+[2]称号計算!N74</f>
        <v>0.14940000000000001</v>
      </c>
      <c r="I69" s="27">
        <f>+[2]称号計算!O74</f>
        <v>0.43490000000000001</v>
      </c>
      <c r="J69" s="13">
        <f>+[2]称号計算!P74</f>
        <v>0.17610000000000001</v>
      </c>
      <c r="K69" s="27">
        <f>+[2]称号計算!Q74</f>
        <v>9.9099999999999994E-2</v>
      </c>
      <c r="L69" s="5">
        <f>+[2]称号計算!R74</f>
        <v>0.16470000000000001</v>
      </c>
      <c r="M69" s="13">
        <f>+[2]称号計算!S74</f>
        <v>0.2737</v>
      </c>
      <c r="N69" s="27">
        <f>+[2]称号計算!T74</f>
        <v>7.3700000000000002E-2</v>
      </c>
      <c r="O69" s="5">
        <f>+[2]称号計算!U74</f>
        <v>1.47E-2</v>
      </c>
      <c r="P69" s="5">
        <f>+[2]称号計算!V74</f>
        <v>4.8999999999999998E-3</v>
      </c>
      <c r="Q69" s="5">
        <f>+[2]称号計算!W74</f>
        <v>4.8999999999999998E-3</v>
      </c>
      <c r="R69" s="5">
        <f>+[2]称号計算!X74</f>
        <v>3.7000000000000002E-3</v>
      </c>
      <c r="S69" s="13">
        <f>+[2]称号計算!Y74</f>
        <v>3.7000000000000002E-3</v>
      </c>
      <c r="T69" s="19">
        <f>+[2]称号計算!Z74</f>
        <v>0.7611</v>
      </c>
      <c r="U69" s="13">
        <v>1</v>
      </c>
    </row>
    <row r="70" spans="1:21">
      <c r="A70" s="12" t="s">
        <v>981</v>
      </c>
      <c r="B70" s="23" t="s">
        <v>1341</v>
      </c>
      <c r="C70" s="27">
        <f>+[2]称号計算!I75</f>
        <v>0.20699999999999999</v>
      </c>
      <c r="D70" s="5">
        <f>+[2]称号計算!J75</f>
        <v>0.3407</v>
      </c>
      <c r="E70" s="5">
        <f>+[2]称号計算!K75</f>
        <v>3.44E-2</v>
      </c>
      <c r="F70" s="5">
        <f>+[2]称号計算!L75</f>
        <v>0.5736</v>
      </c>
      <c r="G70" s="5">
        <f>+[2]称号計算!M75</f>
        <v>0.158</v>
      </c>
      <c r="H70" s="13">
        <f>+[2]称号計算!N75</f>
        <v>0.16969999999999999</v>
      </c>
      <c r="I70" s="27">
        <f>+[2]称号計算!O75</f>
        <v>0.3029</v>
      </c>
      <c r="J70" s="13">
        <f>+[2]称号計算!P75</f>
        <v>0.25359999999999999</v>
      </c>
      <c r="K70" s="27">
        <f>+[2]称号計算!Q75</f>
        <v>0.11609999999999999</v>
      </c>
      <c r="L70" s="5">
        <f>+[2]称号計算!R75</f>
        <v>0.156</v>
      </c>
      <c r="M70" s="13">
        <f>+[2]称号計算!S75</f>
        <v>0.2281</v>
      </c>
      <c r="N70" s="27">
        <f>+[2]称号計算!T75</f>
        <v>7.9299999999999995E-2</v>
      </c>
      <c r="O70" s="5">
        <f>+[2]称号計算!U75</f>
        <v>1.5900000000000001E-2</v>
      </c>
      <c r="P70" s="5">
        <f>+[2]称号計算!V75</f>
        <v>5.3E-3</v>
      </c>
      <c r="Q70" s="5">
        <f>+[2]称号計算!W75</f>
        <v>5.3E-3</v>
      </c>
      <c r="R70" s="5">
        <f>+[2]称号計算!X75</f>
        <v>4.0000000000000001E-3</v>
      </c>
      <c r="S70" s="13">
        <f>+[2]称号計算!Y75</f>
        <v>4.0000000000000001E-3</v>
      </c>
      <c r="T70" s="19">
        <f>+[2]称号計算!Z75</f>
        <v>0.83260000000000001</v>
      </c>
      <c r="U70" s="13">
        <v>0.9</v>
      </c>
    </row>
    <row r="71" spans="1:21">
      <c r="A71" s="12" t="s">
        <v>982</v>
      </c>
      <c r="B71" s="23" t="s">
        <v>1342</v>
      </c>
      <c r="C71" s="27">
        <f>+[2]称号計算!I76</f>
        <v>0.43</v>
      </c>
      <c r="D71" s="5">
        <f>+[2]称号計算!J76</f>
        <v>0.1196</v>
      </c>
      <c r="E71" s="5">
        <f>+[2]称号計算!K76</f>
        <v>0.6472</v>
      </c>
      <c r="F71" s="5">
        <f>+[2]称号計算!L76</f>
        <v>5.0500000000000003E-2</v>
      </c>
      <c r="G71" s="5">
        <f>+[2]称号計算!M76</f>
        <v>0.37190000000000001</v>
      </c>
      <c r="H71" s="13">
        <f>+[2]称号計算!N76</f>
        <v>0.20680000000000001</v>
      </c>
      <c r="I71" s="27">
        <f>+[2]称号計算!O76</f>
        <v>9.9699999999999997E-2</v>
      </c>
      <c r="J71" s="13">
        <f>+[2]称号計算!P76</f>
        <v>0.16039999999999999</v>
      </c>
      <c r="K71" s="27">
        <f>+[2]称号計算!Q76</f>
        <v>9.9699999999999997E-2</v>
      </c>
      <c r="L71" s="5">
        <f>+[2]称号計算!R76</f>
        <v>0.189</v>
      </c>
      <c r="M71" s="13">
        <f>+[2]称号計算!S76</f>
        <v>0.28089999999999998</v>
      </c>
      <c r="N71" s="27">
        <f>+[2]称号計算!T76</f>
        <v>0.14449999999999999</v>
      </c>
      <c r="O71" s="5">
        <f>+[2]称号計算!U76</f>
        <v>2.8899999999999999E-2</v>
      </c>
      <c r="P71" s="5">
        <f>+[2]称号計算!V76</f>
        <v>9.5999999999999992E-3</v>
      </c>
      <c r="Q71" s="5">
        <f>+[2]称号計算!W76</f>
        <v>9.5999999999999992E-3</v>
      </c>
      <c r="R71" s="5">
        <f>+[2]称号計算!X76</f>
        <v>7.1999999999999998E-3</v>
      </c>
      <c r="S71" s="13">
        <f>+[2]称号計算!Y76</f>
        <v>7.1999999999999998E-3</v>
      </c>
      <c r="T71" s="19">
        <f>+[2]称号計算!Z76</f>
        <v>0.7893</v>
      </c>
      <c r="U71" s="13">
        <v>0.55000000000000004</v>
      </c>
    </row>
    <row r="72" spans="1:21">
      <c r="A72" s="12" t="s">
        <v>983</v>
      </c>
      <c r="B72" s="23" t="s">
        <v>1343</v>
      </c>
      <c r="C72" s="27">
        <f>+[2]称号計算!I77</f>
        <v>0.46910000000000002</v>
      </c>
      <c r="D72" s="5">
        <f>+[2]称号計算!J77</f>
        <v>0.1246</v>
      </c>
      <c r="E72" s="5">
        <f>+[2]称号計算!K77</f>
        <v>0.66639999999999999</v>
      </c>
      <c r="F72" s="5">
        <f>+[2]称号計算!L77</f>
        <v>6.6600000000000006E-2</v>
      </c>
      <c r="G72" s="5">
        <f>+[2]称号計算!M77</f>
        <v>0.35120000000000001</v>
      </c>
      <c r="H72" s="13">
        <f>+[2]称号計算!N77</f>
        <v>0.31719999999999998</v>
      </c>
      <c r="I72" s="27">
        <f>+[2]称号計算!O77</f>
        <v>0.1173</v>
      </c>
      <c r="J72" s="13">
        <f>+[2]称号計算!P77</f>
        <v>0.16170000000000001</v>
      </c>
      <c r="K72" s="27">
        <f>+[2]称号計算!Q77</f>
        <v>0.129</v>
      </c>
      <c r="L72" s="5">
        <f>+[2]称号計算!R77</f>
        <v>0.21859999999999999</v>
      </c>
      <c r="M72" s="13">
        <f>+[2]称号計算!S77</f>
        <v>0.14929999999999999</v>
      </c>
      <c r="N72" s="27">
        <f>+[2]称号計算!T77</f>
        <v>0.1552</v>
      </c>
      <c r="O72" s="5">
        <f>+[2]称号計算!U77</f>
        <v>3.1E-2</v>
      </c>
      <c r="P72" s="5">
        <f>+[2]称号計算!V77</f>
        <v>1.03E-2</v>
      </c>
      <c r="Q72" s="5">
        <f>+[2]称号計算!W77</f>
        <v>1.03E-2</v>
      </c>
      <c r="R72" s="5">
        <f>+[2]称号計算!X77</f>
        <v>7.7999999999999996E-3</v>
      </c>
      <c r="S72" s="13">
        <f>+[2]称号計算!Y77</f>
        <v>7.7999999999999996E-3</v>
      </c>
      <c r="T72" s="19">
        <f>+[2]称号計算!Z77</f>
        <v>0.89290000000000003</v>
      </c>
      <c r="U72" s="13">
        <v>0.5</v>
      </c>
    </row>
    <row r="73" spans="1:21" ht="19.5" thickBot="1">
      <c r="A73" s="14" t="s">
        <v>984</v>
      </c>
      <c r="B73" s="24" t="s">
        <v>1344</v>
      </c>
      <c r="C73" s="28">
        <f>+[2]称号計算!I78</f>
        <v>0.47320000000000001</v>
      </c>
      <c r="D73" s="15">
        <f>+[2]称号計算!J78</f>
        <v>0.37140000000000001</v>
      </c>
      <c r="E73" s="15">
        <f>+[2]称号計算!K78</f>
        <v>4.0599999999999997E-2</v>
      </c>
      <c r="F73" s="15">
        <f>+[2]称号計算!L78</f>
        <v>0.62529999999999997</v>
      </c>
      <c r="G73" s="15">
        <f>+[2]称号計算!M78</f>
        <v>0.34870000000000001</v>
      </c>
      <c r="H73" s="16">
        <f>+[2]称号計算!N78</f>
        <v>0.32950000000000002</v>
      </c>
      <c r="I73" s="28">
        <f>+[2]称号計算!O78</f>
        <v>9.6299999999999997E-2</v>
      </c>
      <c r="J73" s="16">
        <f>+[2]称号計算!P78</f>
        <v>0.1517</v>
      </c>
      <c r="K73" s="28">
        <f>+[2]称号計算!Q78</f>
        <v>8.2500000000000004E-2</v>
      </c>
      <c r="L73" s="15">
        <f>+[2]称号計算!R78</f>
        <v>0.15010000000000001</v>
      </c>
      <c r="M73" s="16">
        <f>+[2]称号計算!S78</f>
        <v>0.21709999999999999</v>
      </c>
      <c r="N73" s="28">
        <f>+[2]称号計算!T78</f>
        <v>8.5000000000000006E-3</v>
      </c>
      <c r="O73" s="15">
        <f>+[2]称号計算!U78</f>
        <v>8.5000000000000006E-3</v>
      </c>
      <c r="P73" s="15">
        <f>+[2]称号計算!V78</f>
        <v>8.5000000000000006E-3</v>
      </c>
      <c r="Q73" s="15">
        <f>+[2]称号計算!W78</f>
        <v>8.5000000000000006E-3</v>
      </c>
      <c r="R73" s="15">
        <f>+[2]称号計算!X78</f>
        <v>0.1709</v>
      </c>
      <c r="S73" s="16">
        <f>+[2]称号計算!Y78</f>
        <v>2.2800000000000001E-2</v>
      </c>
      <c r="T73" s="20">
        <f>+[2]称号計算!Z78</f>
        <v>0.81779999999999997</v>
      </c>
      <c r="U73" s="16">
        <v>0.25</v>
      </c>
    </row>
    <row r="74" spans="1:21">
      <c r="A74" s="9" t="s">
        <v>985</v>
      </c>
      <c r="B74" s="22" t="s">
        <v>1345</v>
      </c>
      <c r="C74" s="26">
        <f>+[2]称号計算!I79</f>
        <v>0.1968</v>
      </c>
      <c r="D74" s="10">
        <f>+[2]称号計算!J79</f>
        <v>0.25259999999999999</v>
      </c>
      <c r="E74" s="10">
        <f>+[2]称号計算!K79</f>
        <v>3.9300000000000002E-2</v>
      </c>
      <c r="F74" s="10">
        <f>+[2]称号計算!L79</f>
        <v>0.60429999999999995</v>
      </c>
      <c r="G74" s="10">
        <f>+[2]称号計算!M79</f>
        <v>0.1479</v>
      </c>
      <c r="H74" s="11">
        <f>+[2]称号計算!N79</f>
        <v>0.1726</v>
      </c>
      <c r="I74" s="26">
        <f>+[2]称号計算!O79</f>
        <v>0.13289999999999999</v>
      </c>
      <c r="J74" s="11">
        <f>+[2]称号計算!P79</f>
        <v>0.14660000000000001</v>
      </c>
      <c r="K74" s="26">
        <f>+[2]称号計算!Q79</f>
        <v>0.17810000000000001</v>
      </c>
      <c r="L74" s="10">
        <f>+[2]称号計算!R79</f>
        <v>0.37469999999999998</v>
      </c>
      <c r="M74" s="11">
        <f>+[2]称号計算!S79</f>
        <v>0.15570000000000001</v>
      </c>
      <c r="N74" s="26">
        <f>+[2]称号計算!T79</f>
        <v>1.38E-2</v>
      </c>
      <c r="O74" s="10">
        <f>+[2]称号計算!U79</f>
        <v>6.9199999999999998E-2</v>
      </c>
      <c r="P74" s="10">
        <f>+[2]称号計算!V79</f>
        <v>4.5999999999999999E-3</v>
      </c>
      <c r="Q74" s="10">
        <f>+[2]称号計算!W79</f>
        <v>4.5999999999999999E-3</v>
      </c>
      <c r="R74" s="10">
        <f>+[2]称号計算!X79</f>
        <v>3.5000000000000001E-3</v>
      </c>
      <c r="S74" s="11">
        <f>+[2]称号計算!Y79</f>
        <v>3.5000000000000001E-3</v>
      </c>
      <c r="T74" s="18">
        <f>+[2]称号計算!Z79</f>
        <v>0.92730000000000001</v>
      </c>
      <c r="U74" s="11">
        <v>1</v>
      </c>
    </row>
    <row r="75" spans="1:21">
      <c r="A75" s="12" t="s">
        <v>986</v>
      </c>
      <c r="B75" s="23" t="s">
        <v>1346</v>
      </c>
      <c r="C75" s="27">
        <f>+[2]称号計算!I80</f>
        <v>0.16650000000000001</v>
      </c>
      <c r="D75" s="5">
        <f>+[2]称号計算!J80</f>
        <v>0.26910000000000001</v>
      </c>
      <c r="E75" s="5">
        <f>+[2]称号計算!K80</f>
        <v>2.9000000000000001E-2</v>
      </c>
      <c r="F75" s="5">
        <f>+[2]称号計算!L80</f>
        <v>0.51829999999999998</v>
      </c>
      <c r="G75" s="5">
        <f>+[2]称号計算!M80</f>
        <v>0.13569999999999999</v>
      </c>
      <c r="H75" s="13">
        <f>+[2]称号計算!N80</f>
        <v>0.14979999999999999</v>
      </c>
      <c r="I75" s="27">
        <f>+[2]称号計算!O80</f>
        <v>0.59299999999999997</v>
      </c>
      <c r="J75" s="13">
        <f>+[2]称号計算!P80</f>
        <v>0.17519999999999999</v>
      </c>
      <c r="K75" s="27">
        <f>+[2]称号計算!Q80</f>
        <v>0.12540000000000001</v>
      </c>
      <c r="L75" s="5">
        <f>+[2]称号計算!R80</f>
        <v>0.19700000000000001</v>
      </c>
      <c r="M75" s="13">
        <f>+[2]称号計算!S80</f>
        <v>0.16259999999999999</v>
      </c>
      <c r="N75" s="27">
        <f>+[2]称号計算!T80</f>
        <v>1.61E-2</v>
      </c>
      <c r="O75" s="5">
        <f>+[2]称号計算!U80</f>
        <v>8.0699999999999994E-2</v>
      </c>
      <c r="P75" s="5">
        <f>+[2]称号計算!V80</f>
        <v>5.4000000000000003E-3</v>
      </c>
      <c r="Q75" s="5">
        <f>+[2]称号計算!W80</f>
        <v>5.4000000000000003E-3</v>
      </c>
      <c r="R75" s="5">
        <f>+[2]称号計算!X80</f>
        <v>4.0000000000000001E-3</v>
      </c>
      <c r="S75" s="13">
        <f>+[2]称号計算!Y80</f>
        <v>4.0000000000000001E-3</v>
      </c>
      <c r="T75" s="19">
        <f>+[2]称号計算!Z80</f>
        <v>0.88959999999999995</v>
      </c>
      <c r="U75" s="13">
        <v>1</v>
      </c>
    </row>
    <row r="76" spans="1:21">
      <c r="A76" s="12" t="s">
        <v>987</v>
      </c>
      <c r="B76" s="23" t="s">
        <v>1347</v>
      </c>
      <c r="C76" s="27">
        <f>+[2]称号計算!I81</f>
        <v>0.22120000000000001</v>
      </c>
      <c r="D76" s="5">
        <f>+[2]称号計算!J81</f>
        <v>0.252</v>
      </c>
      <c r="E76" s="5">
        <f>+[2]称号計算!K81</f>
        <v>3.3700000000000001E-2</v>
      </c>
      <c r="F76" s="5">
        <f>+[2]称号計算!L81</f>
        <v>0.63639999999999997</v>
      </c>
      <c r="G76" s="5">
        <f>+[2]称号計算!M81</f>
        <v>0.18390000000000001</v>
      </c>
      <c r="H76" s="13">
        <f>+[2]称号計算!N81</f>
        <v>0.17530000000000001</v>
      </c>
      <c r="I76" s="27">
        <f>+[2]称号計算!O81</f>
        <v>0.182</v>
      </c>
      <c r="J76" s="13">
        <f>+[2]称号計算!P81</f>
        <v>0.15989999999999999</v>
      </c>
      <c r="K76" s="27">
        <f>+[2]称号計算!Q81</f>
        <v>0.224</v>
      </c>
      <c r="L76" s="5">
        <f>+[2]称号計算!R81</f>
        <v>0.43780000000000002</v>
      </c>
      <c r="M76" s="13">
        <f>+[2]称号計算!S81</f>
        <v>0.13539999999999999</v>
      </c>
      <c r="N76" s="27">
        <f>+[2]称号計算!T81</f>
        <v>1.52E-2</v>
      </c>
      <c r="O76" s="5">
        <f>+[2]称号計算!U81</f>
        <v>7.6100000000000001E-2</v>
      </c>
      <c r="P76" s="5">
        <f>+[2]称号計算!V81</f>
        <v>5.1000000000000004E-3</v>
      </c>
      <c r="Q76" s="5">
        <f>+[2]称号計算!W81</f>
        <v>5.1000000000000004E-3</v>
      </c>
      <c r="R76" s="5">
        <f>+[2]称号計算!X81</f>
        <v>3.8E-3</v>
      </c>
      <c r="S76" s="13">
        <f>+[2]称号計算!Y81</f>
        <v>3.8E-3</v>
      </c>
      <c r="T76" s="19">
        <f>+[2]称号計算!Z81</f>
        <v>1.1153999999999999</v>
      </c>
      <c r="U76" s="13">
        <v>0.9</v>
      </c>
    </row>
    <row r="77" spans="1:21">
      <c r="A77" s="12" t="s">
        <v>988</v>
      </c>
      <c r="B77" s="23" t="s">
        <v>1348</v>
      </c>
      <c r="C77" s="27">
        <f>+[2]称号計算!I82</f>
        <v>0.24909999999999999</v>
      </c>
      <c r="D77" s="5">
        <f>+[2]称号計算!J82</f>
        <v>0.13239999999999999</v>
      </c>
      <c r="E77" s="5">
        <f>+[2]称号計算!K82</f>
        <v>0.70779999999999998</v>
      </c>
      <c r="F77" s="5">
        <f>+[2]称号計算!L82</f>
        <v>7.0800000000000002E-2</v>
      </c>
      <c r="G77" s="5">
        <f>+[2]称号計算!M82</f>
        <v>0.1925</v>
      </c>
      <c r="H77" s="13">
        <f>+[2]称号計算!N82</f>
        <v>0.1925</v>
      </c>
      <c r="I77" s="27">
        <f>+[2]称号計算!O82</f>
        <v>0.24909999999999999</v>
      </c>
      <c r="J77" s="13">
        <f>+[2]称号計算!P82</f>
        <v>0.19020000000000001</v>
      </c>
      <c r="K77" s="27">
        <f>+[2]称号計算!Q82</f>
        <v>0.20549999999999999</v>
      </c>
      <c r="L77" s="5">
        <f>+[2]称号計算!R82</f>
        <v>0.37369999999999998</v>
      </c>
      <c r="M77" s="13">
        <f>+[2]称号計算!S82</f>
        <v>0.19819999999999999</v>
      </c>
      <c r="N77" s="27">
        <f>+[2]称号計算!T82</f>
        <v>1.8599999999999998E-2</v>
      </c>
      <c r="O77" s="5">
        <f>+[2]称号計算!U82</f>
        <v>9.2799999999999994E-2</v>
      </c>
      <c r="P77" s="5">
        <f>+[2]称号計算!V82</f>
        <v>6.1999999999999998E-3</v>
      </c>
      <c r="Q77" s="5">
        <f>+[2]称号計算!W82</f>
        <v>6.1999999999999998E-3</v>
      </c>
      <c r="R77" s="5">
        <f>+[2]称号計算!X82</f>
        <v>4.5999999999999999E-3</v>
      </c>
      <c r="S77" s="13">
        <f>+[2]称号計算!Y82</f>
        <v>4.5999999999999999E-3</v>
      </c>
      <c r="T77" s="19">
        <f>+[2]称号計算!Z82</f>
        <v>1.0587</v>
      </c>
      <c r="U77" s="13">
        <v>0.55000000000000004</v>
      </c>
    </row>
    <row r="78" spans="1:21">
      <c r="A78" s="12" t="s">
        <v>989</v>
      </c>
      <c r="B78" s="23" t="s">
        <v>1349</v>
      </c>
      <c r="C78" s="27">
        <f>+[2]称号計算!I83</f>
        <v>0.56520000000000004</v>
      </c>
      <c r="D78" s="5">
        <f>+[2]称号計算!J83</f>
        <v>0.1118</v>
      </c>
      <c r="E78" s="5">
        <f>+[2]称号計算!K83</f>
        <v>0.70579999999999998</v>
      </c>
      <c r="F78" s="5">
        <f>+[2]称号計算!L83</f>
        <v>5.9299999999999999E-2</v>
      </c>
      <c r="G78" s="5">
        <f>+[2]称号計算!M83</f>
        <v>0.51600000000000001</v>
      </c>
      <c r="H78" s="13">
        <f>+[2]称号計算!N83</f>
        <v>0.25440000000000002</v>
      </c>
      <c r="I78" s="27">
        <f>+[2]称号計算!O83</f>
        <v>9.3200000000000005E-2</v>
      </c>
      <c r="J78" s="13">
        <f>+[2]称号計算!P83</f>
        <v>0.16520000000000001</v>
      </c>
      <c r="K78" s="27">
        <f>+[2]称号計算!Q83</f>
        <v>9.3200000000000005E-2</v>
      </c>
      <c r="L78" s="5">
        <f>+[2]称号計算!R83</f>
        <v>0.1835</v>
      </c>
      <c r="M78" s="13">
        <f>+[2]称号計算!S83</f>
        <v>0.13439999999999999</v>
      </c>
      <c r="N78" s="27">
        <f>+[2]称号計算!T83</f>
        <v>3.2300000000000002E-2</v>
      </c>
      <c r="O78" s="5">
        <f>+[2]称号計算!U83</f>
        <v>0.16139999999999999</v>
      </c>
      <c r="P78" s="5">
        <f>+[2]称号計算!V83</f>
        <v>1.0800000000000001E-2</v>
      </c>
      <c r="Q78" s="5">
        <f>+[2]称号計算!W83</f>
        <v>1.0800000000000001E-2</v>
      </c>
      <c r="R78" s="5">
        <f>+[2]称号計算!X83</f>
        <v>8.0999999999999996E-3</v>
      </c>
      <c r="S78" s="13">
        <f>+[2]称号計算!Y83</f>
        <v>8.0999999999999996E-3</v>
      </c>
      <c r="T78" s="19">
        <f>+[2]称号計算!Z83</f>
        <v>0.8165</v>
      </c>
      <c r="U78" s="13">
        <v>0.5</v>
      </c>
    </row>
    <row r="79" spans="1:21" ht="19.5" thickBot="1">
      <c r="A79" s="14" t="s">
        <v>990</v>
      </c>
      <c r="B79" s="24" t="s">
        <v>1350</v>
      </c>
      <c r="C79" s="28">
        <f>+[2]称号計算!I84</f>
        <v>0.34110000000000001</v>
      </c>
      <c r="D79" s="15">
        <f>+[2]称号計算!J84</f>
        <v>0.41120000000000001</v>
      </c>
      <c r="E79" s="15">
        <f>+[2]称号計算!K84</f>
        <v>4.5699999999999998E-2</v>
      </c>
      <c r="F79" s="15">
        <f>+[2]称号計算!L84</f>
        <v>0.69220000000000004</v>
      </c>
      <c r="G79" s="15">
        <f>+[2]称号計算!M84</f>
        <v>0.45900000000000002</v>
      </c>
      <c r="H79" s="16">
        <f>+[2]称号計算!N84</f>
        <v>0.16950000000000001</v>
      </c>
      <c r="I79" s="28">
        <f>+[2]称号計算!O84</f>
        <v>0.16750000000000001</v>
      </c>
      <c r="J79" s="16">
        <f>+[2]称号計算!P84</f>
        <v>0.18</v>
      </c>
      <c r="K79" s="28">
        <f>+[2]称号計算!Q84</f>
        <v>0.11269999999999999</v>
      </c>
      <c r="L79" s="15">
        <f>+[2]称号計算!R84</f>
        <v>0.2409</v>
      </c>
      <c r="M79" s="16">
        <f>+[2]称号計算!S84</f>
        <v>0.1822</v>
      </c>
      <c r="N79" s="28">
        <f>+[2]称号計算!T84</f>
        <v>7.6E-3</v>
      </c>
      <c r="O79" s="15">
        <f>+[2]称号計算!U84</f>
        <v>7.6E-3</v>
      </c>
      <c r="P79" s="15">
        <f>+[2]称号計算!V84</f>
        <v>7.6E-3</v>
      </c>
      <c r="Q79" s="15">
        <f>+[2]称号計算!W84</f>
        <v>7.6E-3</v>
      </c>
      <c r="R79" s="15">
        <f>+[2]称号計算!X84</f>
        <v>2.0199999999999999E-2</v>
      </c>
      <c r="S79" s="16">
        <f>+[2]称号計算!Y84</f>
        <v>0.15129999999999999</v>
      </c>
      <c r="T79" s="20">
        <f>+[2]称号計算!Z84</f>
        <v>0.90890000000000004</v>
      </c>
      <c r="U79" s="16">
        <v>0.25</v>
      </c>
    </row>
    <row r="80" spans="1:21">
      <c r="A80" s="9" t="s">
        <v>991</v>
      </c>
      <c r="B80" s="22" t="s">
        <v>1351</v>
      </c>
      <c r="C80" s="26">
        <f>+[2]称号計算!I85</f>
        <v>0.31730000000000003</v>
      </c>
      <c r="D80" s="10">
        <f>+[2]称号計算!J85</f>
        <v>0.23549999999999999</v>
      </c>
      <c r="E80" s="10">
        <f>+[2]称号計算!K85</f>
        <v>4.7899999999999998E-2</v>
      </c>
      <c r="F80" s="10">
        <f>+[2]称号計算!L85</f>
        <v>0.56340000000000001</v>
      </c>
      <c r="G80" s="10">
        <f>+[2]称号計算!M85</f>
        <v>0.2356</v>
      </c>
      <c r="H80" s="11">
        <f>+[2]称号計算!N85</f>
        <v>0.2145</v>
      </c>
      <c r="I80" s="26">
        <f>+[2]称号計算!O85</f>
        <v>0.17349999999999999</v>
      </c>
      <c r="J80" s="11">
        <f>+[2]称号計算!P85</f>
        <v>0.14649999999999999</v>
      </c>
      <c r="K80" s="26">
        <f>+[2]称号計算!Q85</f>
        <v>0.13880000000000001</v>
      </c>
      <c r="L80" s="10">
        <f>+[2]称号計算!R85</f>
        <v>0.32679999999999998</v>
      </c>
      <c r="M80" s="11">
        <f>+[2]称号計算!S85</f>
        <v>9.7799999999999998E-2</v>
      </c>
      <c r="N80" s="26">
        <f>+[2]称号計算!T85</f>
        <v>7.4999999999999997E-3</v>
      </c>
      <c r="O80" s="10">
        <f>+[2]称号計算!U85</f>
        <v>7.4999999999999997E-3</v>
      </c>
      <c r="P80" s="10">
        <f>+[2]称号計算!V85</f>
        <v>0.1119</v>
      </c>
      <c r="Q80" s="10">
        <f>+[2]称号計算!W85</f>
        <v>2.8000000000000001E-2</v>
      </c>
      <c r="R80" s="10">
        <f>+[2]称号計算!X85</f>
        <v>5.5999999999999999E-3</v>
      </c>
      <c r="S80" s="11">
        <f>+[2]称号計算!Y85</f>
        <v>5.5999999999999999E-3</v>
      </c>
      <c r="T80" s="18">
        <f>+[2]称号計算!Z85</f>
        <v>0.88800000000000001</v>
      </c>
      <c r="U80" s="11">
        <v>1</v>
      </c>
    </row>
    <row r="81" spans="1:21">
      <c r="A81" s="12" t="s">
        <v>992</v>
      </c>
      <c r="B81" s="23" t="s">
        <v>1352</v>
      </c>
      <c r="C81" s="27">
        <f>+[2]称号計算!I86</f>
        <v>0.24690000000000001</v>
      </c>
      <c r="D81" s="5">
        <f>+[2]称号計算!J86</f>
        <v>0.2636</v>
      </c>
      <c r="E81" s="5">
        <f>+[2]称号計算!K86</f>
        <v>3.78E-2</v>
      </c>
      <c r="F81" s="5">
        <f>+[2]称号計算!L86</f>
        <v>0.63060000000000005</v>
      </c>
      <c r="G81" s="5">
        <f>+[2]称号計算!M86</f>
        <v>0.19719999999999999</v>
      </c>
      <c r="H81" s="13">
        <f>+[2]称号計算!N86</f>
        <v>0.1951</v>
      </c>
      <c r="I81" s="27">
        <f>+[2]称号計算!O86</f>
        <v>0.20810000000000001</v>
      </c>
      <c r="J81" s="13">
        <f>+[2]称号計算!P86</f>
        <v>0.16389999999999999</v>
      </c>
      <c r="K81" s="27">
        <f>+[2]称号計算!Q86</f>
        <v>0.17199999999999999</v>
      </c>
      <c r="L81" s="5">
        <f>+[2]称号計算!R86</f>
        <v>0.29010000000000002</v>
      </c>
      <c r="M81" s="13">
        <f>+[2]称号計算!S86</f>
        <v>0.2172</v>
      </c>
      <c r="N81" s="27">
        <f>+[2]称号計算!T86</f>
        <v>5.0000000000000001E-3</v>
      </c>
      <c r="O81" s="5">
        <f>+[2]称号計算!U86</f>
        <v>5.0000000000000001E-3</v>
      </c>
      <c r="P81" s="5">
        <f>+[2]称号計算!V86</f>
        <v>5.0000000000000001E-3</v>
      </c>
      <c r="Q81" s="5">
        <f>+[2]称号計算!W86</f>
        <v>5.0000000000000001E-3</v>
      </c>
      <c r="R81" s="5">
        <f>+[2]称号計算!X86</f>
        <v>0.1007</v>
      </c>
      <c r="S81" s="13">
        <f>+[2]称号計算!Y86</f>
        <v>1.34E-2</v>
      </c>
      <c r="T81" s="19">
        <f>+[2]称号計算!Z86</f>
        <v>1.6317999999999999</v>
      </c>
      <c r="U81" s="13">
        <v>1</v>
      </c>
    </row>
    <row r="82" spans="1:21">
      <c r="A82" s="12" t="s">
        <v>993</v>
      </c>
      <c r="B82" s="23" t="s">
        <v>1353</v>
      </c>
      <c r="C82" s="27">
        <f>+[2]称号計算!I87</f>
        <v>0.3579</v>
      </c>
      <c r="D82" s="5">
        <f>+[2]称号計算!J87</f>
        <v>0.29820000000000002</v>
      </c>
      <c r="E82" s="5">
        <f>+[2]称号計算!K87</f>
        <v>5.4199999999999998E-2</v>
      </c>
      <c r="F82" s="5">
        <f>+[2]称号計算!L87</f>
        <v>0.5423</v>
      </c>
      <c r="G82" s="5">
        <f>+[2]称号計算!M87</f>
        <v>0.27660000000000001</v>
      </c>
      <c r="H82" s="13">
        <f>+[2]称号計算!N87</f>
        <v>0.2581</v>
      </c>
      <c r="I82" s="27">
        <f>+[2]称号計算!O87</f>
        <v>0.23860000000000001</v>
      </c>
      <c r="J82" s="13">
        <f>+[2]称号計算!P87</f>
        <v>0.16450000000000001</v>
      </c>
      <c r="K82" s="27">
        <f>+[2]称号計算!Q87</f>
        <v>0.1145</v>
      </c>
      <c r="L82" s="5">
        <f>+[2]称号計算!R87</f>
        <v>0.26029999999999998</v>
      </c>
      <c r="M82" s="13">
        <f>+[2]称号計算!S87</f>
        <v>0.1822</v>
      </c>
      <c r="N82" s="27">
        <f>+[2]称号計算!T87</f>
        <v>9.7000000000000003E-3</v>
      </c>
      <c r="O82" s="5">
        <f>+[2]称号計算!U87</f>
        <v>9.7000000000000003E-3</v>
      </c>
      <c r="P82" s="5">
        <f>+[2]称号計算!V87</f>
        <v>0.14510000000000001</v>
      </c>
      <c r="Q82" s="5">
        <f>+[2]称号計算!W87</f>
        <v>3.6299999999999999E-2</v>
      </c>
      <c r="R82" s="5">
        <f>+[2]称号計算!X87</f>
        <v>7.3000000000000001E-3</v>
      </c>
      <c r="S82" s="13">
        <f>+[2]称号計算!Y87</f>
        <v>7.3000000000000001E-3</v>
      </c>
      <c r="T82" s="19">
        <f>+[2]称号計算!Z87</f>
        <v>0.91579999999999995</v>
      </c>
      <c r="U82" s="13">
        <v>0.9</v>
      </c>
    </row>
    <row r="83" spans="1:21">
      <c r="A83" s="12" t="s">
        <v>994</v>
      </c>
      <c r="B83" s="23" t="s">
        <v>1354</v>
      </c>
      <c r="C83" s="27">
        <f>+[2]称号計算!I88</f>
        <v>0.22059999999999999</v>
      </c>
      <c r="D83" s="5">
        <f>+[2]称号計算!J88</f>
        <v>0.13400000000000001</v>
      </c>
      <c r="E83" s="5">
        <f>+[2]称号計算!K88</f>
        <v>0.71640000000000004</v>
      </c>
      <c r="F83" s="5">
        <f>+[2]称号計算!L88</f>
        <v>5.3699999999999998E-2</v>
      </c>
      <c r="G83" s="5">
        <f>+[2]称号計算!M88</f>
        <v>0.18509999999999999</v>
      </c>
      <c r="H83" s="13">
        <f>+[2]称号計算!N88</f>
        <v>0.19</v>
      </c>
      <c r="I83" s="27">
        <f>+[2]称号計算!O88</f>
        <v>0.34670000000000001</v>
      </c>
      <c r="J83" s="13">
        <f>+[2]称号計算!P88</f>
        <v>0.19620000000000001</v>
      </c>
      <c r="K83" s="27">
        <f>+[2]称号計算!Q88</f>
        <v>0.28050000000000003</v>
      </c>
      <c r="L83" s="5">
        <f>+[2]称号計算!R88</f>
        <v>0.3725</v>
      </c>
      <c r="M83" s="13">
        <f>+[2]称号計算!S88</f>
        <v>0.17649999999999999</v>
      </c>
      <c r="N83" s="27">
        <f>+[2]称号計算!T88</f>
        <v>8.7300000000000003E-2</v>
      </c>
      <c r="O83" s="5">
        <f>+[2]称号計算!U88</f>
        <v>1.7500000000000002E-2</v>
      </c>
      <c r="P83" s="5">
        <f>+[2]称号計算!V88</f>
        <v>5.7999999999999996E-3</v>
      </c>
      <c r="Q83" s="5">
        <f>+[2]称号計算!W88</f>
        <v>5.7999999999999996E-3</v>
      </c>
      <c r="R83" s="5">
        <f>+[2]称号計算!X88</f>
        <v>4.4000000000000003E-3</v>
      </c>
      <c r="S83" s="13">
        <f>+[2]称号計算!Y88</f>
        <v>4.4000000000000003E-3</v>
      </c>
      <c r="T83" s="19">
        <f>+[2]称号計算!Z88</f>
        <v>1.2845</v>
      </c>
      <c r="U83" s="13">
        <v>0.55000000000000004</v>
      </c>
    </row>
    <row r="84" spans="1:21">
      <c r="A84" s="12" t="s">
        <v>995</v>
      </c>
      <c r="B84" s="23" t="s">
        <v>1355</v>
      </c>
      <c r="C84" s="27">
        <f>+[2]称号計算!I89</f>
        <v>0.37390000000000001</v>
      </c>
      <c r="D84" s="5">
        <f>+[2]称号計算!J89</f>
        <v>0.15859999999999999</v>
      </c>
      <c r="E84" s="5">
        <f>+[2]称号計算!K89</f>
        <v>0.75870000000000004</v>
      </c>
      <c r="F84" s="5">
        <f>+[2]称号計算!L89</f>
        <v>5.9200000000000003E-2</v>
      </c>
      <c r="G84" s="5">
        <f>+[2]称号計算!M89</f>
        <v>0.32500000000000001</v>
      </c>
      <c r="H84" s="13">
        <f>+[2]称号計算!N89</f>
        <v>0.31990000000000002</v>
      </c>
      <c r="I84" s="27">
        <f>+[2]称号計算!O89</f>
        <v>0.13350000000000001</v>
      </c>
      <c r="J84" s="13">
        <f>+[2]称号計算!P89</f>
        <v>0.18410000000000001</v>
      </c>
      <c r="K84" s="27">
        <f>+[2]称号計算!Q89</f>
        <v>0.1636</v>
      </c>
      <c r="L84" s="5">
        <f>+[2]称号計算!R89</f>
        <v>0.31259999999999999</v>
      </c>
      <c r="M84" s="13">
        <f>+[2]称号計算!S89</f>
        <v>0.2082</v>
      </c>
      <c r="N84" s="27">
        <f>+[2]称号計算!T89</f>
        <v>9.2999999999999992E-3</v>
      </c>
      <c r="O84" s="5">
        <f>+[2]称号計算!U89</f>
        <v>9.2999999999999992E-3</v>
      </c>
      <c r="P84" s="5">
        <f>+[2]称号計算!V89</f>
        <v>3.4799999999999998E-2</v>
      </c>
      <c r="Q84" s="5">
        <f>+[2]称号計算!W89</f>
        <v>0.1391</v>
      </c>
      <c r="R84" s="5">
        <f>+[2]称号計算!X89</f>
        <v>7.0000000000000001E-3</v>
      </c>
      <c r="S84" s="13">
        <f>+[2]称号計算!Y89</f>
        <v>7.0000000000000001E-3</v>
      </c>
      <c r="T84" s="19">
        <f>+[2]称号計算!Z89</f>
        <v>1.0074000000000001</v>
      </c>
      <c r="U84" s="13">
        <v>0.5</v>
      </c>
    </row>
    <row r="85" spans="1:21" ht="19.5" thickBot="1">
      <c r="A85" s="14" t="s">
        <v>996</v>
      </c>
      <c r="B85" s="24" t="s">
        <v>1356</v>
      </c>
      <c r="C85" s="28">
        <f>+[2]称号計算!I90</f>
        <v>0.16589999999999999</v>
      </c>
      <c r="D85" s="15">
        <f>+[2]称号計算!J90</f>
        <v>0.45250000000000001</v>
      </c>
      <c r="E85" s="15">
        <f>+[2]称号計算!K90</f>
        <v>5.4800000000000001E-2</v>
      </c>
      <c r="F85" s="15">
        <f>+[2]称号計算!L90</f>
        <v>0.68559999999999999</v>
      </c>
      <c r="G85" s="15">
        <f>+[2]称号計算!M90</f>
        <v>0.33800000000000002</v>
      </c>
      <c r="H85" s="16">
        <f>+[2]称号計算!N90</f>
        <v>0.52449999999999997</v>
      </c>
      <c r="I85" s="28">
        <f>+[2]称号計算!O90</f>
        <v>0.1207</v>
      </c>
      <c r="J85" s="16">
        <f>+[2]称号計算!P90</f>
        <v>0.16400000000000001</v>
      </c>
      <c r="K85" s="28">
        <f>+[2]称号計算!Q90</f>
        <v>0.13270000000000001</v>
      </c>
      <c r="L85" s="15">
        <f>+[2]称号計算!R90</f>
        <v>0.24129999999999999</v>
      </c>
      <c r="M85" s="16">
        <f>+[2]称号計算!S90</f>
        <v>0.2419</v>
      </c>
      <c r="N85" s="28">
        <f>+[2]称号計算!T90</f>
        <v>1.2500000000000001E-2</v>
      </c>
      <c r="O85" s="15">
        <f>+[2]称号計算!U90</f>
        <v>1.2500000000000001E-2</v>
      </c>
      <c r="P85" s="15">
        <f>+[2]称号計算!V90</f>
        <v>0.18729999999999999</v>
      </c>
      <c r="Q85" s="15">
        <f>+[2]称号計算!W90</f>
        <v>4.6800000000000001E-2</v>
      </c>
      <c r="R85" s="15">
        <f>+[2]称号計算!X90</f>
        <v>9.4000000000000004E-3</v>
      </c>
      <c r="S85" s="16">
        <f>+[2]称号計算!Y90</f>
        <v>9.4000000000000004E-3</v>
      </c>
      <c r="T85" s="20">
        <f>+[2]称号計算!Z90</f>
        <v>1.006</v>
      </c>
      <c r="U85" s="16">
        <v>0.25</v>
      </c>
    </row>
    <row r="86" spans="1:21">
      <c r="A86" s="9" t="s">
        <v>997</v>
      </c>
      <c r="B86" s="22" t="s">
        <v>1357</v>
      </c>
      <c r="C86" s="26">
        <f>+[2]称号計算!I91</f>
        <v>0.24460000000000001</v>
      </c>
      <c r="D86" s="10">
        <f>+[2]称号計算!J91</f>
        <v>0.62929999999999997</v>
      </c>
      <c r="E86" s="10">
        <f>+[2]称号計算!K91</f>
        <v>3.78E-2</v>
      </c>
      <c r="F86" s="10">
        <f>+[2]称号計算!L91</f>
        <v>0.53969999999999996</v>
      </c>
      <c r="G86" s="10">
        <f>+[2]称号計算!M91</f>
        <v>0.1762</v>
      </c>
      <c r="H86" s="11">
        <f>+[2]称号計算!N91</f>
        <v>0.2165</v>
      </c>
      <c r="I86" s="26">
        <f>+[2]称号計算!O91</f>
        <v>0.15440000000000001</v>
      </c>
      <c r="J86" s="11">
        <f>+[2]称号計算!P91</f>
        <v>0.13569999999999999</v>
      </c>
      <c r="K86" s="26">
        <f>+[2]称号計算!Q91</f>
        <v>9.9699999999999997E-2</v>
      </c>
      <c r="L86" s="10">
        <f>+[2]称号計算!R91</f>
        <v>0.1943</v>
      </c>
      <c r="M86" s="11">
        <f>+[2]称号計算!S91</f>
        <v>0.16930000000000001</v>
      </c>
      <c r="N86" s="26">
        <f>+[2]称号計算!T91</f>
        <v>7.4999999999999997E-3</v>
      </c>
      <c r="O86" s="10">
        <f>+[2]称号計算!U91</f>
        <v>7.4999999999999997E-3</v>
      </c>
      <c r="P86" s="10">
        <f>+[2]称号計算!V91</f>
        <v>0.11219999999999999</v>
      </c>
      <c r="Q86" s="10">
        <f>+[2]称号計算!W91</f>
        <v>2.81E-2</v>
      </c>
      <c r="R86" s="10">
        <f>+[2]称号計算!X91</f>
        <v>5.5999999999999999E-3</v>
      </c>
      <c r="S86" s="11">
        <f>+[2]称号計算!Y91</f>
        <v>5.5999999999999999E-3</v>
      </c>
      <c r="T86" s="18">
        <f>+[2]称号計算!Z91</f>
        <v>0.82250000000000001</v>
      </c>
      <c r="U86" s="11">
        <v>1</v>
      </c>
    </row>
    <row r="87" spans="1:21">
      <c r="A87" s="12" t="s">
        <v>998</v>
      </c>
      <c r="B87" s="23" t="s">
        <v>1358</v>
      </c>
      <c r="C87" s="27">
        <f>+[2]称号計算!I92</f>
        <v>0.28289999999999998</v>
      </c>
      <c r="D87" s="5">
        <f>+[2]称号計算!J92</f>
        <v>0.31119999999999998</v>
      </c>
      <c r="E87" s="5">
        <f>+[2]称号計算!K92</f>
        <v>6.4299999999999996E-2</v>
      </c>
      <c r="F87" s="5">
        <f>+[2]称号計算!L92</f>
        <v>0.64290000000000003</v>
      </c>
      <c r="G87" s="5">
        <f>+[2]称号計算!M92</f>
        <v>0.20760000000000001</v>
      </c>
      <c r="H87" s="13">
        <f>+[2]称号計算!N92</f>
        <v>0.2404</v>
      </c>
      <c r="I87" s="27">
        <f>+[2]称号計算!O92</f>
        <v>0.19800000000000001</v>
      </c>
      <c r="J87" s="13">
        <f>+[2]称号計算!P92</f>
        <v>0.17269999999999999</v>
      </c>
      <c r="K87" s="27">
        <f>+[2]称号計算!Q92</f>
        <v>0.13009999999999999</v>
      </c>
      <c r="L87" s="5">
        <f>+[2]称号計算!R92</f>
        <v>0.28289999999999998</v>
      </c>
      <c r="M87" s="13">
        <f>+[2]称号計算!S92</f>
        <v>0.19439999999999999</v>
      </c>
      <c r="N87" s="27">
        <f>+[2]称号計算!T92</f>
        <v>4.7999999999999996E-3</v>
      </c>
      <c r="O87" s="5">
        <f>+[2]称号計算!U92</f>
        <v>4.7999999999999996E-3</v>
      </c>
      <c r="P87" s="5">
        <f>+[2]称号計算!V92</f>
        <v>4.7999999999999996E-3</v>
      </c>
      <c r="Q87" s="5">
        <f>+[2]称号計算!W92</f>
        <v>4.7999999999999996E-3</v>
      </c>
      <c r="R87" s="5">
        <f>+[2]称号計算!X92</f>
        <v>9.6000000000000002E-2</v>
      </c>
      <c r="S87" s="13">
        <f>+[2]称号計算!Y92</f>
        <v>1.2800000000000001E-2</v>
      </c>
      <c r="T87" s="19">
        <f>+[2]称号計算!Z92</f>
        <v>0.89400000000000002</v>
      </c>
      <c r="U87" s="13">
        <v>1</v>
      </c>
    </row>
    <row r="88" spans="1:21">
      <c r="A88" s="12" t="s">
        <v>999</v>
      </c>
      <c r="B88" s="23" t="s">
        <v>1359</v>
      </c>
      <c r="C88" s="27">
        <f>+[2]称号計算!I93</f>
        <v>0.1908</v>
      </c>
      <c r="D88" s="5">
        <f>+[2]称号計算!J93</f>
        <v>0.31319999999999998</v>
      </c>
      <c r="E88" s="5">
        <f>+[2]称号計算!K93</f>
        <v>3.3700000000000001E-2</v>
      </c>
      <c r="F88" s="5">
        <f>+[2]称号計算!L93</f>
        <v>0.64710000000000001</v>
      </c>
      <c r="G88" s="5">
        <f>+[2]称号計算!M93</f>
        <v>0.14299999999999999</v>
      </c>
      <c r="H88" s="13">
        <f>+[2]称号計算!N93</f>
        <v>0.17599999999999999</v>
      </c>
      <c r="I88" s="27">
        <f>+[2]称号計算!O93</f>
        <v>0.51249999999999996</v>
      </c>
      <c r="J88" s="13">
        <f>+[2]称号計算!P93</f>
        <v>0.20749999999999999</v>
      </c>
      <c r="K88" s="27">
        <f>+[2]称号計算!Q93</f>
        <v>0.1167</v>
      </c>
      <c r="L88" s="5">
        <f>+[2]称号計算!R93</f>
        <v>0.19409999999999999</v>
      </c>
      <c r="M88" s="13">
        <f>+[2]称号計算!S93</f>
        <v>0.32250000000000001</v>
      </c>
      <c r="N88" s="27">
        <f>+[2]称号計算!T93</f>
        <v>1.7399999999999999E-2</v>
      </c>
      <c r="O88" s="5">
        <f>+[2]称号計算!U93</f>
        <v>8.6900000000000005E-2</v>
      </c>
      <c r="P88" s="5">
        <f>+[2]称号計算!V93</f>
        <v>5.7999999999999996E-3</v>
      </c>
      <c r="Q88" s="5">
        <f>+[2]称号計算!W93</f>
        <v>5.7999999999999996E-3</v>
      </c>
      <c r="R88" s="5">
        <f>+[2]称号計算!X93</f>
        <v>4.3E-3</v>
      </c>
      <c r="S88" s="13">
        <f>+[2]称号計算!Y93</f>
        <v>4.3E-3</v>
      </c>
      <c r="T88" s="19">
        <f>+[2]称号計算!Z93</f>
        <v>0.89690000000000003</v>
      </c>
      <c r="U88" s="13">
        <v>0.9</v>
      </c>
    </row>
    <row r="89" spans="1:21">
      <c r="A89" s="12" t="s">
        <v>1000</v>
      </c>
      <c r="B89" s="23" t="s">
        <v>1360</v>
      </c>
      <c r="C89" s="27">
        <f>+[2]称号計算!I94</f>
        <v>0.22170000000000001</v>
      </c>
      <c r="D89" s="5">
        <f>+[2]称号計算!J94</f>
        <v>9.5600000000000004E-2</v>
      </c>
      <c r="E89" s="5">
        <f>+[2]称号計算!K94</f>
        <v>0.86880000000000002</v>
      </c>
      <c r="F89" s="5">
        <f>+[2]称号計算!L94</f>
        <v>4.3400000000000001E-2</v>
      </c>
      <c r="G89" s="5">
        <f>+[2]称号計算!M94</f>
        <v>0.16250000000000001</v>
      </c>
      <c r="H89" s="13">
        <f>+[2]称号計算!N94</f>
        <v>0.16539999999999999</v>
      </c>
      <c r="I89" s="27">
        <f>+[2]称号計算!O94</f>
        <v>0.30580000000000002</v>
      </c>
      <c r="J89" s="13">
        <f>+[2]称号計算!P94</f>
        <v>0.29370000000000002</v>
      </c>
      <c r="K89" s="27">
        <f>+[2]称号計算!Q94</f>
        <v>0.21790000000000001</v>
      </c>
      <c r="L89" s="5">
        <f>+[2]称号計算!R94</f>
        <v>0.37880000000000003</v>
      </c>
      <c r="M89" s="13">
        <f>+[2]称号計算!S94</f>
        <v>0.23350000000000001</v>
      </c>
      <c r="N89" s="27">
        <f>+[2]称号計算!T94</f>
        <v>6.4500000000000002E-2</v>
      </c>
      <c r="O89" s="5">
        <f>+[2]称号計算!U94</f>
        <v>1.29E-2</v>
      </c>
      <c r="P89" s="5">
        <f>+[2]称号計算!V94</f>
        <v>4.3E-3</v>
      </c>
      <c r="Q89" s="5">
        <f>+[2]称号計算!W94</f>
        <v>4.3E-3</v>
      </c>
      <c r="R89" s="5">
        <f>+[2]称号計算!X94</f>
        <v>3.2000000000000002E-3</v>
      </c>
      <c r="S89" s="13">
        <f>+[2]称号計算!Y94</f>
        <v>3.2000000000000002E-3</v>
      </c>
      <c r="T89" s="19">
        <f>+[2]称号計算!Z94</f>
        <v>1.0704</v>
      </c>
      <c r="U89" s="13">
        <v>0.55000000000000004</v>
      </c>
    </row>
    <row r="90" spans="1:21">
      <c r="A90" s="12" t="s">
        <v>1001</v>
      </c>
      <c r="B90" s="23" t="s">
        <v>1361</v>
      </c>
      <c r="C90" s="27">
        <f>+[2]称号計算!I95</f>
        <v>0.50470000000000004</v>
      </c>
      <c r="D90" s="5">
        <f>+[2]称号計算!J95</f>
        <v>0.1404</v>
      </c>
      <c r="E90" s="5">
        <f>+[2]称号計算!K95</f>
        <v>0.75960000000000005</v>
      </c>
      <c r="F90" s="5">
        <f>+[2]称号計算!L95</f>
        <v>5.9299999999999999E-2</v>
      </c>
      <c r="G90" s="5">
        <f>+[2]称号計算!M95</f>
        <v>0.4365</v>
      </c>
      <c r="H90" s="13">
        <f>+[2]称号計算!N95</f>
        <v>0.24279999999999999</v>
      </c>
      <c r="I90" s="27">
        <f>+[2]称号計算!O95</f>
        <v>0.11700000000000001</v>
      </c>
      <c r="J90" s="13">
        <f>+[2]称号計算!P95</f>
        <v>0.1883</v>
      </c>
      <c r="K90" s="27">
        <f>+[2]称号計算!Q95</f>
        <v>0.11700000000000001</v>
      </c>
      <c r="L90" s="5">
        <f>+[2]称号計算!R95</f>
        <v>0.2218</v>
      </c>
      <c r="M90" s="13">
        <f>+[2]称号計算!S95</f>
        <v>0.32969999999999999</v>
      </c>
      <c r="N90" s="27">
        <f>+[2]称号計算!T95</f>
        <v>1.1299999999999999E-2</v>
      </c>
      <c r="O90" s="5">
        <f>+[2]称号計算!U95</f>
        <v>1.1299999999999999E-2</v>
      </c>
      <c r="P90" s="5">
        <f>+[2]称号計算!V95</f>
        <v>4.24E-2</v>
      </c>
      <c r="Q90" s="5">
        <f>+[2]称号計算!W95</f>
        <v>0.1696</v>
      </c>
      <c r="R90" s="5">
        <f>+[2]称号計算!X95</f>
        <v>8.5000000000000006E-3</v>
      </c>
      <c r="S90" s="13">
        <f>+[2]称号計算!Y95</f>
        <v>8.5000000000000006E-3</v>
      </c>
      <c r="T90" s="19">
        <f>+[2]称号計算!Z95</f>
        <v>0.9264</v>
      </c>
      <c r="U90" s="13">
        <v>0.5</v>
      </c>
    </row>
    <row r="91" spans="1:21" ht="19.5" thickBot="1">
      <c r="A91" s="14" t="s">
        <v>1002</v>
      </c>
      <c r="B91" s="24" t="s">
        <v>1362</v>
      </c>
      <c r="C91" s="28">
        <f>+[2]称号計算!I96</f>
        <v>0.2661</v>
      </c>
      <c r="D91" s="15">
        <f>+[2]称号計算!J96</f>
        <v>0.39229999999999998</v>
      </c>
      <c r="E91" s="15">
        <f>+[2]称号計算!K96</f>
        <v>7.7499999999999999E-2</v>
      </c>
      <c r="F91" s="15">
        <f>+[2]称号計算!L96</f>
        <v>0.77529999999999999</v>
      </c>
      <c r="G91" s="15">
        <f>+[2]称号計算!M96</f>
        <v>0.19769999999999999</v>
      </c>
      <c r="H91" s="16">
        <f>+[2]称号計算!N96</f>
        <v>0.2109</v>
      </c>
      <c r="I91" s="28">
        <f>+[2]称号計算!O96</f>
        <v>0.37530000000000002</v>
      </c>
      <c r="J91" s="16">
        <f>+[2]称号計算!P96</f>
        <v>0.22170000000000001</v>
      </c>
      <c r="K91" s="28">
        <f>+[2]称号計算!Q96</f>
        <v>0.15010000000000001</v>
      </c>
      <c r="L91" s="15">
        <f>+[2]称号計算!R96</f>
        <v>0.34110000000000001</v>
      </c>
      <c r="M91" s="16">
        <f>+[2]称号計算!S96</f>
        <v>0.23880000000000001</v>
      </c>
      <c r="N91" s="28">
        <f>+[2]称号計算!T96</f>
        <v>5.4999999999999997E-3</v>
      </c>
      <c r="O91" s="15">
        <f>+[2]称号計算!U96</f>
        <v>5.4999999999999997E-3</v>
      </c>
      <c r="P91" s="15">
        <f>+[2]称号計算!V96</f>
        <v>5.4999999999999997E-3</v>
      </c>
      <c r="Q91" s="15">
        <f>+[2]称号計算!W96</f>
        <v>5.4999999999999997E-3</v>
      </c>
      <c r="R91" s="15">
        <f>+[2]称号計算!X96</f>
        <v>0.1091</v>
      </c>
      <c r="S91" s="16">
        <f>+[2]称号計算!Y96</f>
        <v>1.4500000000000001E-2</v>
      </c>
      <c r="T91" s="20">
        <f>+[2]称号計算!Z96</f>
        <v>1.0462</v>
      </c>
      <c r="U91" s="16">
        <v>0.25</v>
      </c>
    </row>
    <row r="92" spans="1:21">
      <c r="A92" s="9" t="s">
        <v>1003</v>
      </c>
      <c r="B92" s="22" t="s">
        <v>1363</v>
      </c>
      <c r="C92" s="26">
        <f>+[2]称号計算!I97</f>
        <v>0.2747</v>
      </c>
      <c r="D92" s="10">
        <f>+[2]称号計算!J97</f>
        <v>0.29859999999999998</v>
      </c>
      <c r="E92" s="10">
        <f>+[2]称号計算!K97</f>
        <v>6.7900000000000002E-2</v>
      </c>
      <c r="F92" s="10">
        <f>+[2]称号計算!L97</f>
        <v>0.67859999999999998</v>
      </c>
      <c r="G92" s="10">
        <f>+[2]称号計算!M97</f>
        <v>0.21920000000000001</v>
      </c>
      <c r="H92" s="11">
        <f>+[2]称号計算!N97</f>
        <v>0.24229999999999999</v>
      </c>
      <c r="I92" s="26">
        <f>+[2]称号計算!O97</f>
        <v>0.14929999999999999</v>
      </c>
      <c r="J92" s="11">
        <f>+[2]称号計算!P97</f>
        <v>0.1764</v>
      </c>
      <c r="K92" s="26">
        <f>+[2]称号計算!Q97</f>
        <v>0.11940000000000001</v>
      </c>
      <c r="L92" s="10">
        <f>+[2]称号計算!R97</f>
        <v>0.28499999999999998</v>
      </c>
      <c r="M92" s="11">
        <f>+[2]称号計算!S97</f>
        <v>0.19</v>
      </c>
      <c r="N92" s="26">
        <f>+[2]称号計算!T97</f>
        <v>7.1999999999999998E-3</v>
      </c>
      <c r="O92" s="10">
        <f>+[2]称号計算!U97</f>
        <v>7.1999999999999998E-3</v>
      </c>
      <c r="P92" s="10">
        <f>+[2]称号計算!V97</f>
        <v>0.1081</v>
      </c>
      <c r="Q92" s="10">
        <f>+[2]称号計算!W97</f>
        <v>2.7E-2</v>
      </c>
      <c r="R92" s="10">
        <f>+[2]称号計算!X97</f>
        <v>5.4000000000000003E-3</v>
      </c>
      <c r="S92" s="11">
        <f>+[2]称号計算!Y97</f>
        <v>5.4000000000000003E-3</v>
      </c>
      <c r="T92" s="18">
        <f>+[2]称号計算!Z97</f>
        <v>0.84040000000000004</v>
      </c>
      <c r="U92" s="11">
        <v>1</v>
      </c>
    </row>
    <row r="93" spans="1:21">
      <c r="A93" s="12" t="s">
        <v>1004</v>
      </c>
      <c r="B93" s="23" t="s">
        <v>1364</v>
      </c>
      <c r="C93" s="27">
        <f>+[2]称号計算!I98</f>
        <v>0.2324</v>
      </c>
      <c r="D93" s="5">
        <f>+[2]称号計算!J98</f>
        <v>0.29830000000000001</v>
      </c>
      <c r="E93" s="5">
        <f>+[2]称号計算!K98</f>
        <v>4.6399999999999997E-2</v>
      </c>
      <c r="F93" s="5">
        <f>+[2]称号計算!L98</f>
        <v>0.7137</v>
      </c>
      <c r="G93" s="5">
        <f>+[2]称号計算!M98</f>
        <v>0.17469999999999999</v>
      </c>
      <c r="H93" s="13">
        <f>+[2]称号計算!N98</f>
        <v>0.20380000000000001</v>
      </c>
      <c r="I93" s="27">
        <f>+[2]称号計算!O98</f>
        <v>0.157</v>
      </c>
      <c r="J93" s="13">
        <f>+[2]称号計算!P98</f>
        <v>0.17319999999999999</v>
      </c>
      <c r="K93" s="27">
        <f>+[2]称号計算!Q98</f>
        <v>0.2104</v>
      </c>
      <c r="L93" s="5">
        <f>+[2]称号計算!R98</f>
        <v>0.4425</v>
      </c>
      <c r="M93" s="13">
        <f>+[2]称号計算!S98</f>
        <v>0.18390000000000001</v>
      </c>
      <c r="N93" s="27">
        <f>+[2]称号計算!T98</f>
        <v>5.4000000000000003E-3</v>
      </c>
      <c r="O93" s="5">
        <f>+[2]称号計算!U98</f>
        <v>5.4000000000000003E-3</v>
      </c>
      <c r="P93" s="5">
        <f>+[2]称号計算!V98</f>
        <v>2.0400000000000001E-2</v>
      </c>
      <c r="Q93" s="5">
        <f>+[2]称号計算!W98</f>
        <v>8.1699999999999995E-2</v>
      </c>
      <c r="R93" s="5">
        <f>+[2]称号計算!X98</f>
        <v>4.1000000000000003E-3</v>
      </c>
      <c r="S93" s="13">
        <f>+[2]称号計算!Y98</f>
        <v>4.1000000000000003E-3</v>
      </c>
      <c r="T93" s="19">
        <f>+[2]称号計算!Z98</f>
        <v>1.0952</v>
      </c>
      <c r="U93" s="13">
        <v>1</v>
      </c>
    </row>
    <row r="94" spans="1:21">
      <c r="A94" s="12" t="s">
        <v>1005</v>
      </c>
      <c r="B94" s="23" t="s">
        <v>1365</v>
      </c>
      <c r="C94" s="27">
        <f>+[2]称号計算!I99</f>
        <v>0.19620000000000001</v>
      </c>
      <c r="D94" s="5">
        <f>+[2]称号計算!J99</f>
        <v>0.31709999999999999</v>
      </c>
      <c r="E94" s="5">
        <f>+[2]称号計算!K99</f>
        <v>3.4200000000000001E-2</v>
      </c>
      <c r="F94" s="5">
        <f>+[2]称号計算!L99</f>
        <v>0.61080000000000001</v>
      </c>
      <c r="G94" s="5">
        <f>+[2]称号計算!M99</f>
        <v>0.15989999999999999</v>
      </c>
      <c r="H94" s="13">
        <f>+[2]称号計算!N99</f>
        <v>0.17649999999999999</v>
      </c>
      <c r="I94" s="27">
        <f>+[2]称号計算!O99</f>
        <v>0.69879999999999998</v>
      </c>
      <c r="J94" s="13">
        <f>+[2]称号計算!P99</f>
        <v>0.20649999999999999</v>
      </c>
      <c r="K94" s="27">
        <f>+[2]称号計算!Q99</f>
        <v>0.14779999999999999</v>
      </c>
      <c r="L94" s="5">
        <f>+[2]称号計算!R99</f>
        <v>0.2321</v>
      </c>
      <c r="M94" s="13">
        <f>+[2]称号計算!S99</f>
        <v>0.19159999999999999</v>
      </c>
      <c r="N94" s="27">
        <f>+[2]称号計算!T99</f>
        <v>4.7999999999999996E-3</v>
      </c>
      <c r="O94" s="5">
        <f>+[2]称号計算!U99</f>
        <v>4.7999999999999996E-3</v>
      </c>
      <c r="P94" s="5">
        <f>+[2]称号計算!V99</f>
        <v>4.7999999999999996E-3</v>
      </c>
      <c r="Q94" s="5">
        <f>+[2]称号計算!W99</f>
        <v>4.7999999999999996E-3</v>
      </c>
      <c r="R94" s="5">
        <f>+[2]称号計算!X99</f>
        <v>1.2699999999999999E-2</v>
      </c>
      <c r="S94" s="13">
        <f>+[2]称号計算!Y99</f>
        <v>9.5100000000000004E-2</v>
      </c>
      <c r="T94" s="19">
        <f>+[2]称号計算!Z99</f>
        <v>1.0483</v>
      </c>
      <c r="U94" s="13">
        <v>0.9</v>
      </c>
    </row>
    <row r="95" spans="1:21">
      <c r="A95" s="12" t="s">
        <v>1006</v>
      </c>
      <c r="B95" s="23" t="s">
        <v>1366</v>
      </c>
      <c r="C95" s="27">
        <f>+[2]称号計算!I100</f>
        <v>0.28170000000000001</v>
      </c>
      <c r="D95" s="5">
        <f>+[2]称号計算!J100</f>
        <v>0.18490000000000001</v>
      </c>
      <c r="E95" s="5">
        <f>+[2]称号計算!K100</f>
        <v>0.80030000000000001</v>
      </c>
      <c r="F95" s="5">
        <f>+[2]称号計算!L100</f>
        <v>5.6000000000000001E-2</v>
      </c>
      <c r="G95" s="5">
        <f>+[2]称号計算!M100</f>
        <v>0.20949999999999999</v>
      </c>
      <c r="H95" s="13">
        <f>+[2]称号計算!N100</f>
        <v>0.2258</v>
      </c>
      <c r="I95" s="27">
        <f>+[2]称号計算!O100</f>
        <v>0.22889999999999999</v>
      </c>
      <c r="J95" s="13">
        <f>+[2]称号計算!P100</f>
        <v>0.20250000000000001</v>
      </c>
      <c r="K95" s="27">
        <f>+[2]称号計算!Q100</f>
        <v>0.2732</v>
      </c>
      <c r="L95" s="5">
        <f>+[2]称号計算!R100</f>
        <v>0.41289999999999999</v>
      </c>
      <c r="M95" s="13">
        <f>+[2]称号計算!S100</f>
        <v>0.23080000000000001</v>
      </c>
      <c r="N95" s="27">
        <f>+[2]称号計算!T100</f>
        <v>7.0000000000000001E-3</v>
      </c>
      <c r="O95" s="5">
        <f>+[2]称号計算!U100</f>
        <v>7.0000000000000001E-3</v>
      </c>
      <c r="P95" s="5">
        <f>+[2]称号計算!V100</f>
        <v>2.6100000000000002E-2</v>
      </c>
      <c r="Q95" s="5">
        <f>+[2]称号計算!W100</f>
        <v>0.10440000000000001</v>
      </c>
      <c r="R95" s="5">
        <f>+[2]称号計算!X100</f>
        <v>5.1999999999999998E-3</v>
      </c>
      <c r="S95" s="13">
        <f>+[2]称号計算!Y100</f>
        <v>5.1999999999999998E-3</v>
      </c>
      <c r="T95" s="19">
        <f>+[2]称号計算!Z100</f>
        <v>1.2909999999999999</v>
      </c>
      <c r="U95" s="13">
        <v>0.55000000000000004</v>
      </c>
    </row>
    <row r="96" spans="1:21">
      <c r="A96" s="12" t="s">
        <v>1007</v>
      </c>
      <c r="B96" s="23" t="s">
        <v>1367</v>
      </c>
      <c r="C96" s="27">
        <f>+[2]称号計算!I101</f>
        <v>0.29239999999999999</v>
      </c>
      <c r="D96" s="5">
        <f>+[2]称号計算!J101</f>
        <v>0.15540000000000001</v>
      </c>
      <c r="E96" s="5">
        <f>+[2]称号計算!K101</f>
        <v>0.83079999999999998</v>
      </c>
      <c r="F96" s="5">
        <f>+[2]称号計算!L101</f>
        <v>8.3099999999999993E-2</v>
      </c>
      <c r="G96" s="5">
        <f>+[2]称号計算!M101</f>
        <v>0.22600000000000001</v>
      </c>
      <c r="H96" s="13">
        <f>+[2]称号計算!N101</f>
        <v>0.22600000000000001</v>
      </c>
      <c r="I96" s="27">
        <f>+[2]称号計算!O101</f>
        <v>0.29239999999999999</v>
      </c>
      <c r="J96" s="13">
        <f>+[2]称号計算!P101</f>
        <v>0.22320000000000001</v>
      </c>
      <c r="K96" s="27">
        <f>+[2]称号計算!Q101</f>
        <v>0.24129999999999999</v>
      </c>
      <c r="L96" s="5">
        <f>+[2]称号計算!R101</f>
        <v>0.43859999999999999</v>
      </c>
      <c r="M96" s="13">
        <f>+[2]称号計算!S101</f>
        <v>0.2326</v>
      </c>
      <c r="N96" s="27">
        <f>+[2]称号計算!T101</f>
        <v>0.1089</v>
      </c>
      <c r="O96" s="5">
        <f>+[2]称号計算!U101</f>
        <v>2.18E-2</v>
      </c>
      <c r="P96" s="5">
        <f>+[2]称号計算!V101</f>
        <v>7.3000000000000001E-3</v>
      </c>
      <c r="Q96" s="5">
        <f>+[2]称号計算!W101</f>
        <v>7.3000000000000001E-3</v>
      </c>
      <c r="R96" s="5">
        <f>+[2]称号計算!X101</f>
        <v>5.4000000000000003E-3</v>
      </c>
      <c r="S96" s="13">
        <f>+[2]称号計算!Y101</f>
        <v>5.4000000000000003E-3</v>
      </c>
      <c r="T96" s="19">
        <f>+[2]称号計算!Z101</f>
        <v>1.2426999999999999</v>
      </c>
      <c r="U96" s="13">
        <v>0.5</v>
      </c>
    </row>
    <row r="97" spans="1:21" ht="19.5" thickBot="1">
      <c r="A97" s="14" t="s">
        <v>1008</v>
      </c>
      <c r="B97" s="24" t="s">
        <v>1368</v>
      </c>
      <c r="C97" s="28">
        <f>+[2]称号計算!I102</f>
        <v>0.2223</v>
      </c>
      <c r="D97" s="15">
        <f>+[2]称号計算!J102</f>
        <v>0.2989</v>
      </c>
      <c r="E97" s="15">
        <f>+[2]称号計算!K102</f>
        <v>4.3499999999999997E-2</v>
      </c>
      <c r="F97" s="15">
        <f>+[2]称号計算!L102</f>
        <v>0.87090000000000001</v>
      </c>
      <c r="G97" s="15">
        <f>+[2]称号計算!M102</f>
        <v>0.1895</v>
      </c>
      <c r="H97" s="16">
        <f>+[2]称号計算!N102</f>
        <v>0.1925</v>
      </c>
      <c r="I97" s="28">
        <f>+[2]称号計算!O102</f>
        <v>0.30659999999999998</v>
      </c>
      <c r="J97" s="16">
        <f>+[2]称号計算!P102</f>
        <v>0.23400000000000001</v>
      </c>
      <c r="K97" s="28">
        <f>+[2]称号計算!Q102</f>
        <v>0.32190000000000002</v>
      </c>
      <c r="L97" s="15">
        <f>+[2]称号計算!R102</f>
        <v>0.45290000000000002</v>
      </c>
      <c r="M97" s="16">
        <f>+[2]称号計算!S102</f>
        <v>0.24390000000000001</v>
      </c>
      <c r="N97" s="28">
        <f>+[2]称号計算!T102</f>
        <v>4.3E-3</v>
      </c>
      <c r="O97" s="15">
        <f>+[2]称号計算!U102</f>
        <v>4.3E-3</v>
      </c>
      <c r="P97" s="15">
        <f>+[2]称号計算!V102</f>
        <v>4.3E-3</v>
      </c>
      <c r="Q97" s="15">
        <f>+[2]称号計算!W102</f>
        <v>4.3E-3</v>
      </c>
      <c r="R97" s="15">
        <f>+[2]称号計算!X102</f>
        <v>8.6400000000000005E-2</v>
      </c>
      <c r="S97" s="16">
        <f>+[2]称号計算!Y102</f>
        <v>1.15E-2</v>
      </c>
      <c r="T97" s="20">
        <f>+[2]称号計算!Z102</f>
        <v>1.4633</v>
      </c>
      <c r="U97" s="16">
        <v>0.25</v>
      </c>
    </row>
    <row r="98" spans="1:21">
      <c r="A98" s="9" t="s">
        <v>1009</v>
      </c>
      <c r="B98" s="22" t="s">
        <v>1369</v>
      </c>
      <c r="C98" s="26">
        <f>+[2]称号計算!I103</f>
        <v>0.31909999999999999</v>
      </c>
      <c r="D98" s="10">
        <f>+[2]称号計算!J103</f>
        <v>0.30459999999999998</v>
      </c>
      <c r="E98" s="10">
        <f>+[2]称号計算!K103</f>
        <v>6.59E-2</v>
      </c>
      <c r="F98" s="10">
        <f>+[2]称号計算!L103</f>
        <v>0.65920000000000001</v>
      </c>
      <c r="G98" s="10">
        <f>+[2]称号計算!M103</f>
        <v>0.2465</v>
      </c>
      <c r="H98" s="11">
        <f>+[2]称号計算!N103</f>
        <v>0.2465</v>
      </c>
      <c r="I98" s="26">
        <f>+[2]称号計算!O103</f>
        <v>0.20300000000000001</v>
      </c>
      <c r="J98" s="11">
        <f>+[2]称号計算!P103</f>
        <v>0.17710000000000001</v>
      </c>
      <c r="K98" s="26">
        <f>+[2]称号計算!Q103</f>
        <v>0.13919999999999999</v>
      </c>
      <c r="L98" s="10">
        <f>+[2]称号計算!R103</f>
        <v>0.26369999999999999</v>
      </c>
      <c r="M98" s="11">
        <f>+[2]称号計算!S103</f>
        <v>0.18459999999999999</v>
      </c>
      <c r="N98" s="26">
        <f>+[2]称号計算!T103</f>
        <v>8.0999999999999996E-3</v>
      </c>
      <c r="O98" s="10">
        <f>+[2]称号計算!U103</f>
        <v>8.0999999999999996E-3</v>
      </c>
      <c r="P98" s="10">
        <f>+[2]称号計算!V103</f>
        <v>3.0300000000000001E-2</v>
      </c>
      <c r="Q98" s="10">
        <f>+[2]称号計算!W103</f>
        <v>0.12139999999999999</v>
      </c>
      <c r="R98" s="10">
        <f>+[2]称号計算!X103</f>
        <v>6.1000000000000004E-3</v>
      </c>
      <c r="S98" s="11">
        <f>+[2]称号計算!Y103</f>
        <v>6.1000000000000004E-3</v>
      </c>
      <c r="T98" s="18">
        <f>+[2]称号計算!Z103</f>
        <v>0.9365</v>
      </c>
      <c r="U98" s="11">
        <v>1</v>
      </c>
    </row>
    <row r="99" spans="1:21">
      <c r="A99" s="12" t="s">
        <v>1010</v>
      </c>
      <c r="B99" s="23" t="s">
        <v>1370</v>
      </c>
      <c r="C99" s="27">
        <f>+[2]称号計算!I104</f>
        <v>0.37480000000000002</v>
      </c>
      <c r="D99" s="5">
        <f>+[2]称号計算!J104</f>
        <v>0.27810000000000001</v>
      </c>
      <c r="E99" s="5">
        <f>+[2]称号計算!K104</f>
        <v>5.6599999999999998E-2</v>
      </c>
      <c r="F99" s="5">
        <f>+[2]称号計算!L104</f>
        <v>0.66539999999999999</v>
      </c>
      <c r="G99" s="5">
        <f>+[2]称号計算!M104</f>
        <v>0.27829999999999999</v>
      </c>
      <c r="H99" s="13">
        <f>+[2]称号計算!N104</f>
        <v>0.25340000000000001</v>
      </c>
      <c r="I99" s="27">
        <f>+[2]称号計算!O104</f>
        <v>0.2049</v>
      </c>
      <c r="J99" s="13">
        <f>+[2]称号計算!P104</f>
        <v>0.17299999999999999</v>
      </c>
      <c r="K99" s="27">
        <f>+[2]称号計算!Q104</f>
        <v>0.16400000000000001</v>
      </c>
      <c r="L99" s="5">
        <f>+[2]称号計算!R104</f>
        <v>0.38590000000000002</v>
      </c>
      <c r="M99" s="13">
        <f>+[2]称号計算!S104</f>
        <v>0.11550000000000001</v>
      </c>
      <c r="N99" s="27">
        <f>+[2]称号計算!T104</f>
        <v>8.8000000000000005E-3</v>
      </c>
      <c r="O99" s="5">
        <f>+[2]称号計算!U104</f>
        <v>8.8000000000000005E-3</v>
      </c>
      <c r="P99" s="5">
        <f>+[2]称号計算!V104</f>
        <v>3.3000000000000002E-2</v>
      </c>
      <c r="Q99" s="5">
        <f>+[2]称号計算!W104</f>
        <v>0.13220000000000001</v>
      </c>
      <c r="R99" s="5">
        <f>+[2]称号計算!X104</f>
        <v>6.6E-3</v>
      </c>
      <c r="S99" s="13">
        <f>+[2]称号計算!Y104</f>
        <v>6.6E-3</v>
      </c>
      <c r="T99" s="19">
        <f>+[2]称号計算!Z104</f>
        <v>1.0488999999999999</v>
      </c>
      <c r="U99" s="13">
        <v>1</v>
      </c>
    </row>
    <row r="100" spans="1:21">
      <c r="A100" s="12" t="s">
        <v>1011</v>
      </c>
      <c r="B100" s="23" t="s">
        <v>1371</v>
      </c>
      <c r="C100" s="27">
        <f>+[2]称号計算!I105</f>
        <v>0.29099999999999998</v>
      </c>
      <c r="D100" s="5">
        <f>+[2]称号計算!J105</f>
        <v>0.31059999999999999</v>
      </c>
      <c r="E100" s="5">
        <f>+[2]称号計算!K105</f>
        <v>4.4600000000000001E-2</v>
      </c>
      <c r="F100" s="5">
        <f>+[2]称号計算!L105</f>
        <v>0.74309999999999998</v>
      </c>
      <c r="G100" s="5">
        <f>+[2]称号計算!M105</f>
        <v>0.2324</v>
      </c>
      <c r="H100" s="13">
        <f>+[2]称号計算!N105</f>
        <v>0.22989999999999999</v>
      </c>
      <c r="I100" s="27">
        <f>+[2]称号計算!O105</f>
        <v>0.2452</v>
      </c>
      <c r="J100" s="13">
        <f>+[2]称号計算!P105</f>
        <v>0.19320000000000001</v>
      </c>
      <c r="K100" s="27">
        <f>+[2]称号計算!Q105</f>
        <v>0.20269999999999999</v>
      </c>
      <c r="L100" s="5">
        <f>+[2]称号計算!R105</f>
        <v>0.34179999999999999</v>
      </c>
      <c r="M100" s="13">
        <f>+[2]称号計算!S105</f>
        <v>0.25590000000000002</v>
      </c>
      <c r="N100" s="27">
        <f>+[2]称号計算!T105</f>
        <v>0.1187</v>
      </c>
      <c r="O100" s="5">
        <f>+[2]称号計算!U105</f>
        <v>2.3699999999999999E-2</v>
      </c>
      <c r="P100" s="5">
        <f>+[2]称号計算!V105</f>
        <v>7.9000000000000008E-3</v>
      </c>
      <c r="Q100" s="5">
        <f>+[2]称号計算!W105</f>
        <v>7.9000000000000008E-3</v>
      </c>
      <c r="R100" s="5">
        <f>+[2]称号計算!X105</f>
        <v>5.8999999999999999E-3</v>
      </c>
      <c r="S100" s="13">
        <f>+[2]称号計算!Y105</f>
        <v>5.8999999999999999E-3</v>
      </c>
      <c r="T100" s="19">
        <f>+[2]称号計算!Z105</f>
        <v>1.9229000000000001</v>
      </c>
      <c r="U100" s="13">
        <v>0.9</v>
      </c>
    </row>
    <row r="101" spans="1:21">
      <c r="A101" s="12" t="s">
        <v>1012</v>
      </c>
      <c r="B101" s="23" t="s">
        <v>1372</v>
      </c>
      <c r="C101" s="27">
        <f>+[2]称号計算!I106</f>
        <v>0.31519999999999998</v>
      </c>
      <c r="D101" s="5">
        <f>+[2]称号計算!J106</f>
        <v>0.1401</v>
      </c>
      <c r="E101" s="5">
        <f>+[2]称号計算!K106</f>
        <v>0.79590000000000005</v>
      </c>
      <c r="F101" s="5">
        <f>+[2]称号計算!L106</f>
        <v>7.9600000000000004E-2</v>
      </c>
      <c r="G101" s="5">
        <f>+[2]称号計算!M106</f>
        <v>0.24360000000000001</v>
      </c>
      <c r="H101" s="13">
        <f>+[2]称号計算!N106</f>
        <v>0.24360000000000001</v>
      </c>
      <c r="I101" s="27">
        <f>+[2]称号計算!O106</f>
        <v>0.38519999999999999</v>
      </c>
      <c r="J101" s="13">
        <f>+[2]称号計算!P106</f>
        <v>0.2414</v>
      </c>
      <c r="K101" s="27">
        <f>+[2]称号計算!Q106</f>
        <v>0.21010000000000001</v>
      </c>
      <c r="L101" s="5">
        <f>+[2]称号計算!R106</f>
        <v>0.37569999999999998</v>
      </c>
      <c r="M101" s="13">
        <f>+[2]称号計算!S106</f>
        <v>0.2006</v>
      </c>
      <c r="N101" s="27">
        <f>+[2]称号計算!T106</f>
        <v>2.2700000000000001E-2</v>
      </c>
      <c r="O101" s="5">
        <f>+[2]称号計算!U106</f>
        <v>0.1137</v>
      </c>
      <c r="P101" s="5">
        <f>+[2]称号計算!V106</f>
        <v>7.6E-3</v>
      </c>
      <c r="Q101" s="5">
        <f>+[2]称号計算!W106</f>
        <v>7.6E-3</v>
      </c>
      <c r="R101" s="5">
        <f>+[2]称号計算!X106</f>
        <v>5.7000000000000002E-3</v>
      </c>
      <c r="S101" s="13">
        <f>+[2]称号計算!Y106</f>
        <v>5.7000000000000002E-3</v>
      </c>
      <c r="T101" s="19">
        <f>+[2]称号計算!Z106</f>
        <v>1.1847000000000001</v>
      </c>
      <c r="U101" s="13">
        <v>0.55000000000000004</v>
      </c>
    </row>
    <row r="102" spans="1:21">
      <c r="A102" s="12" t="s">
        <v>1013</v>
      </c>
      <c r="B102" s="23" t="s">
        <v>1373</v>
      </c>
      <c r="C102" s="27">
        <f>+[2]称号計算!I107</f>
        <v>0.25900000000000001</v>
      </c>
      <c r="D102" s="5">
        <f>+[2]称号計算!J107</f>
        <v>0.15720000000000001</v>
      </c>
      <c r="E102" s="5">
        <f>+[2]称号計算!K107</f>
        <v>0.84089999999999998</v>
      </c>
      <c r="F102" s="5">
        <f>+[2]称号計算!L107</f>
        <v>6.3100000000000003E-2</v>
      </c>
      <c r="G102" s="5">
        <f>+[2]称号計算!M107</f>
        <v>0.21729999999999999</v>
      </c>
      <c r="H102" s="13">
        <f>+[2]称号計算!N107</f>
        <v>0.223</v>
      </c>
      <c r="I102" s="27">
        <f>+[2]称号計算!O107</f>
        <v>0.40699999999999997</v>
      </c>
      <c r="J102" s="13">
        <f>+[2]称号計算!P107</f>
        <v>0.2303</v>
      </c>
      <c r="K102" s="27">
        <f>+[2]称号計算!Q107</f>
        <v>0.32929999999999998</v>
      </c>
      <c r="L102" s="5">
        <f>+[2]称号計算!R107</f>
        <v>0.43719999999999998</v>
      </c>
      <c r="M102" s="13">
        <f>+[2]称号計算!S107</f>
        <v>0.2072</v>
      </c>
      <c r="N102" s="27">
        <f>+[2]称号計算!T107</f>
        <v>6.7999999999999996E-3</v>
      </c>
      <c r="O102" s="5">
        <f>+[2]称号計算!U107</f>
        <v>6.7999999999999996E-3</v>
      </c>
      <c r="P102" s="5">
        <f>+[2]称号計算!V107</f>
        <v>2.5600000000000001E-2</v>
      </c>
      <c r="Q102" s="5">
        <f>+[2]称号計算!W107</f>
        <v>0.10249999999999999</v>
      </c>
      <c r="R102" s="5">
        <f>+[2]称号計算!X107</f>
        <v>5.1000000000000004E-3</v>
      </c>
      <c r="S102" s="13">
        <f>+[2]称号計算!Y107</f>
        <v>5.1000000000000004E-3</v>
      </c>
      <c r="T102" s="19">
        <f>+[2]称号計算!Z107</f>
        <v>1.5077</v>
      </c>
      <c r="U102" s="13">
        <v>0.5</v>
      </c>
    </row>
    <row r="103" spans="1:21" ht="19.5" thickBot="1">
      <c r="A103" s="14" t="s">
        <v>1014</v>
      </c>
      <c r="B103" s="24" t="s">
        <v>1374</v>
      </c>
      <c r="C103" s="28">
        <f>+[2]称号計算!I108</f>
        <v>0.36320000000000002</v>
      </c>
      <c r="D103" s="15">
        <f>+[2]称号計算!J108</f>
        <v>0.59960000000000002</v>
      </c>
      <c r="E103" s="15">
        <f>+[2]称号計算!K108</f>
        <v>5.0599999999999999E-2</v>
      </c>
      <c r="F103" s="15">
        <f>+[2]称号計算!L108</f>
        <v>0.77880000000000005</v>
      </c>
      <c r="G103" s="15">
        <f>+[2]称号計算!M108</f>
        <v>0.2039</v>
      </c>
      <c r="H103" s="16">
        <f>+[2]称号計算!N108</f>
        <v>0.54279999999999995</v>
      </c>
      <c r="I103" s="28">
        <f>+[2]称号計算!O108</f>
        <v>0.1542</v>
      </c>
      <c r="J103" s="16">
        <f>+[2]称号計算!P108</f>
        <v>0.19570000000000001</v>
      </c>
      <c r="K103" s="28">
        <f>+[2]称号計算!Q108</f>
        <v>0.13020000000000001</v>
      </c>
      <c r="L103" s="15">
        <f>+[2]称号計算!R108</f>
        <v>0.26169999999999999</v>
      </c>
      <c r="M103" s="16">
        <f>+[2]称号計算!S108</f>
        <v>0.2311</v>
      </c>
      <c r="N103" s="28">
        <f>+[2]称号計算!T108</f>
        <v>9.5999999999999992E-3</v>
      </c>
      <c r="O103" s="15">
        <f>+[2]称号計算!U108</f>
        <v>9.5999999999999992E-3</v>
      </c>
      <c r="P103" s="15">
        <f>+[2]称号計算!V108</f>
        <v>9.5999999999999992E-3</v>
      </c>
      <c r="Q103" s="15">
        <f>+[2]称号計算!W108</f>
        <v>9.5999999999999992E-3</v>
      </c>
      <c r="R103" s="15">
        <f>+[2]称号計算!X108</f>
        <v>0.191</v>
      </c>
      <c r="S103" s="16">
        <f>+[2]称号計算!Y108</f>
        <v>2.5499999999999998E-2</v>
      </c>
      <c r="T103" s="20">
        <f>+[2]称号計算!Z108</f>
        <v>1.0730999999999999</v>
      </c>
      <c r="U103" s="16">
        <v>0.25</v>
      </c>
    </row>
    <row r="104" spans="1:21">
      <c r="A104" s="9" t="s">
        <v>1015</v>
      </c>
      <c r="B104" s="22" t="s">
        <v>1375</v>
      </c>
      <c r="C104" s="26">
        <f>+[2]称号計算!I109</f>
        <v>0.2944</v>
      </c>
      <c r="D104" s="10">
        <f>+[2]称号計算!J109</f>
        <v>0.33739999999999998</v>
      </c>
      <c r="E104" s="10">
        <f>+[2]称号計算!K109</f>
        <v>4.3200000000000002E-2</v>
      </c>
      <c r="F104" s="10">
        <f>+[2]称号計算!L109</f>
        <v>0.69699999999999995</v>
      </c>
      <c r="G104" s="10">
        <f>+[2]称号計算!M109</f>
        <v>0.1943</v>
      </c>
      <c r="H104" s="11">
        <f>+[2]称号計算!N109</f>
        <v>0.2157</v>
      </c>
      <c r="I104" s="26">
        <f>+[2]称号計算!O109</f>
        <v>0.184</v>
      </c>
      <c r="J104" s="11">
        <f>+[2]称号計算!P109</f>
        <v>0.1933</v>
      </c>
      <c r="K104" s="26">
        <f>+[2]称号計算!Q109</f>
        <v>0.13800000000000001</v>
      </c>
      <c r="L104" s="10">
        <f>+[2]称号計算!R109</f>
        <v>0.25369999999999998</v>
      </c>
      <c r="M104" s="11">
        <f>+[2]称号計算!S109</f>
        <v>0.37080000000000002</v>
      </c>
      <c r="N104" s="26">
        <f>+[2]称号計算!T109</f>
        <v>2.1499999999999998E-2</v>
      </c>
      <c r="O104" s="10">
        <f>+[2]称号計算!U109</f>
        <v>0.1075</v>
      </c>
      <c r="P104" s="10">
        <f>+[2]称号計算!V109</f>
        <v>7.1999999999999998E-3</v>
      </c>
      <c r="Q104" s="10">
        <f>+[2]称号計算!W109</f>
        <v>7.1999999999999998E-3</v>
      </c>
      <c r="R104" s="10">
        <f>+[2]称号計算!X109</f>
        <v>5.4000000000000003E-3</v>
      </c>
      <c r="S104" s="11">
        <f>+[2]称号計算!Y109</f>
        <v>5.4000000000000003E-3</v>
      </c>
      <c r="T104" s="18">
        <f>+[2]称号計算!Z109</f>
        <v>0.9496</v>
      </c>
      <c r="U104" s="11">
        <v>1</v>
      </c>
    </row>
    <row r="105" spans="1:21">
      <c r="A105" s="12" t="s">
        <v>1016</v>
      </c>
      <c r="B105" s="23" t="s">
        <v>1376</v>
      </c>
      <c r="C105" s="27">
        <f>+[2]称号計算!I110</f>
        <v>0.28889999999999999</v>
      </c>
      <c r="D105" s="5">
        <f>+[2]称号計算!J110</f>
        <v>0.74329999999999996</v>
      </c>
      <c r="E105" s="5">
        <f>+[2]称号計算!K110</f>
        <v>4.4600000000000001E-2</v>
      </c>
      <c r="F105" s="5">
        <f>+[2]称号計算!L110</f>
        <v>0.63749999999999996</v>
      </c>
      <c r="G105" s="5">
        <f>+[2]称号計算!M110</f>
        <v>0.20810000000000001</v>
      </c>
      <c r="H105" s="13">
        <f>+[2]称号計算!N110</f>
        <v>0.25580000000000003</v>
      </c>
      <c r="I105" s="27">
        <f>+[2]称号計算!O110</f>
        <v>0.18229999999999999</v>
      </c>
      <c r="J105" s="13">
        <f>+[2]称号計算!P110</f>
        <v>0.16020000000000001</v>
      </c>
      <c r="K105" s="27">
        <f>+[2]称号計算!Q110</f>
        <v>0.1178</v>
      </c>
      <c r="L105" s="5">
        <f>+[2]称号計算!R110</f>
        <v>0.22950000000000001</v>
      </c>
      <c r="M105" s="13">
        <f>+[2]称号計算!S110</f>
        <v>0.19989999999999999</v>
      </c>
      <c r="N105" s="27">
        <f>+[2]称号計算!T110</f>
        <v>8.8000000000000005E-3</v>
      </c>
      <c r="O105" s="5">
        <f>+[2]称号計算!U110</f>
        <v>8.8000000000000005E-3</v>
      </c>
      <c r="P105" s="5">
        <f>+[2]称号計算!V110</f>
        <v>3.3099999999999997E-2</v>
      </c>
      <c r="Q105" s="5">
        <f>+[2]称号計算!W110</f>
        <v>0.13250000000000001</v>
      </c>
      <c r="R105" s="5">
        <f>+[2]称号計算!X110</f>
        <v>6.6E-3</v>
      </c>
      <c r="S105" s="13">
        <f>+[2]称号計算!Y110</f>
        <v>6.6E-3</v>
      </c>
      <c r="T105" s="19">
        <f>+[2]称号計算!Z110</f>
        <v>0.97150000000000003</v>
      </c>
      <c r="U105" s="13">
        <v>1</v>
      </c>
    </row>
    <row r="106" spans="1:21">
      <c r="A106" s="12" t="s">
        <v>1017</v>
      </c>
      <c r="B106" s="23" t="s">
        <v>1377</v>
      </c>
      <c r="C106" s="27">
        <f>+[2]称号計算!I111</f>
        <v>0.33329999999999999</v>
      </c>
      <c r="D106" s="5">
        <f>+[2]称号計算!J111</f>
        <v>0.36670000000000003</v>
      </c>
      <c r="E106" s="5">
        <f>+[2]称号計算!K111</f>
        <v>7.5800000000000006E-2</v>
      </c>
      <c r="F106" s="5">
        <f>+[2]称号計算!L111</f>
        <v>0.75760000000000005</v>
      </c>
      <c r="G106" s="5">
        <f>+[2]称号計算!M111</f>
        <v>0.2447</v>
      </c>
      <c r="H106" s="13">
        <f>+[2]称号計算!N111</f>
        <v>0.2833</v>
      </c>
      <c r="I106" s="27">
        <f>+[2]称号計算!O111</f>
        <v>0.23330000000000001</v>
      </c>
      <c r="J106" s="13">
        <f>+[2]称号計算!P111</f>
        <v>0.20349999999999999</v>
      </c>
      <c r="K106" s="27">
        <f>+[2]称号計算!Q111</f>
        <v>0.15329999999999999</v>
      </c>
      <c r="L106" s="5">
        <f>+[2]称号計算!R111</f>
        <v>0.33329999999999999</v>
      </c>
      <c r="M106" s="13">
        <f>+[2]称号計算!S111</f>
        <v>0.2291</v>
      </c>
      <c r="N106" s="27">
        <f>+[2]称号計算!T111</f>
        <v>0.11310000000000001</v>
      </c>
      <c r="O106" s="5">
        <f>+[2]称号計算!U111</f>
        <v>2.2599999999999999E-2</v>
      </c>
      <c r="P106" s="5">
        <f>+[2]称号計算!V111</f>
        <v>7.4999999999999997E-3</v>
      </c>
      <c r="Q106" s="5">
        <f>+[2]称号計算!W111</f>
        <v>7.4999999999999997E-3</v>
      </c>
      <c r="R106" s="5">
        <f>+[2]称号計算!X111</f>
        <v>5.7000000000000002E-3</v>
      </c>
      <c r="S106" s="13">
        <f>+[2]称号計算!Y111</f>
        <v>5.7000000000000002E-3</v>
      </c>
      <c r="T106" s="19">
        <f>+[2]称号計算!Z111</f>
        <v>1.0535000000000001</v>
      </c>
      <c r="U106" s="13">
        <v>0.9</v>
      </c>
    </row>
    <row r="107" spans="1:21">
      <c r="A107" s="12" t="s">
        <v>1018</v>
      </c>
      <c r="B107" s="23" t="s">
        <v>1378</v>
      </c>
      <c r="C107" s="27">
        <f>+[2]称号計算!I112</f>
        <v>0.30730000000000002</v>
      </c>
      <c r="D107" s="5">
        <f>+[2]称号計算!J112</f>
        <v>0.14799999999999999</v>
      </c>
      <c r="E107" s="5">
        <f>+[2]称号計算!K112</f>
        <v>0.86229999999999996</v>
      </c>
      <c r="F107" s="5">
        <f>+[2]称号計算!L112</f>
        <v>6.0400000000000002E-2</v>
      </c>
      <c r="G107" s="5">
        <f>+[2]称号計算!M112</f>
        <v>0.21990000000000001</v>
      </c>
      <c r="H107" s="13">
        <f>+[2]称号計算!N112</f>
        <v>0.2316</v>
      </c>
      <c r="I107" s="27">
        <f>+[2]称号計算!O112</f>
        <v>0.2656</v>
      </c>
      <c r="J107" s="13">
        <f>+[2]称号計算!P112</f>
        <v>0.2167</v>
      </c>
      <c r="K107" s="27">
        <f>+[2]称号計算!Q112</f>
        <v>0.25419999999999998</v>
      </c>
      <c r="L107" s="5">
        <f>+[2]称号計算!R112</f>
        <v>0.61050000000000004</v>
      </c>
      <c r="M107" s="13">
        <f>+[2]称号計算!S112</f>
        <v>0.1835</v>
      </c>
      <c r="N107" s="27">
        <f>+[2]称号計算!T112</f>
        <v>5.0000000000000001E-3</v>
      </c>
      <c r="O107" s="5">
        <f>+[2]称号計算!U112</f>
        <v>5.0000000000000001E-3</v>
      </c>
      <c r="P107" s="5">
        <f>+[2]称号計算!V112</f>
        <v>5.0000000000000001E-3</v>
      </c>
      <c r="Q107" s="5">
        <f>+[2]称号計算!W112</f>
        <v>5.0000000000000001E-3</v>
      </c>
      <c r="R107" s="5">
        <f>+[2]称号計算!X112</f>
        <v>9.9500000000000005E-2</v>
      </c>
      <c r="S107" s="13">
        <f>+[2]称号計算!Y112</f>
        <v>1.3299999999999999E-2</v>
      </c>
      <c r="T107" s="19">
        <f>+[2]称号計算!Z112</f>
        <v>1.2974000000000001</v>
      </c>
      <c r="U107" s="13">
        <v>0.55000000000000004</v>
      </c>
    </row>
    <row r="108" spans="1:21">
      <c r="A108" s="12" t="s">
        <v>1019</v>
      </c>
      <c r="B108" s="23" t="s">
        <v>1379</v>
      </c>
      <c r="C108" s="27">
        <f>+[2]称号計算!I113</f>
        <v>0.26019999999999999</v>
      </c>
      <c r="D108" s="5">
        <f>+[2]称号計算!J113</f>
        <v>0.11219999999999999</v>
      </c>
      <c r="E108" s="5">
        <f>+[2]称号計算!K113</f>
        <v>1.0198</v>
      </c>
      <c r="F108" s="5">
        <f>+[2]称号計算!L113</f>
        <v>5.0999999999999997E-2</v>
      </c>
      <c r="G108" s="5">
        <f>+[2]称号計算!M113</f>
        <v>0.19070000000000001</v>
      </c>
      <c r="H108" s="13">
        <f>+[2]称号計算!N113</f>
        <v>0.19420000000000001</v>
      </c>
      <c r="I108" s="27">
        <f>+[2]称号計算!O113</f>
        <v>0.35899999999999999</v>
      </c>
      <c r="J108" s="13">
        <f>+[2]称号計算!P113</f>
        <v>0.34470000000000001</v>
      </c>
      <c r="K108" s="27">
        <f>+[2]称号計算!Q113</f>
        <v>0.25580000000000003</v>
      </c>
      <c r="L108" s="5">
        <f>+[2]称号計算!R113</f>
        <v>0.4446</v>
      </c>
      <c r="M108" s="13">
        <f>+[2]称号計算!S113</f>
        <v>0.27410000000000001</v>
      </c>
      <c r="N108" s="27">
        <f>+[2]称号計算!T113</f>
        <v>3.8E-3</v>
      </c>
      <c r="O108" s="5">
        <f>+[2]称号計算!U113</f>
        <v>3.8E-3</v>
      </c>
      <c r="P108" s="5">
        <f>+[2]称号計算!V113</f>
        <v>3.8E-3</v>
      </c>
      <c r="Q108" s="5">
        <f>+[2]称号計算!W113</f>
        <v>3.8E-3</v>
      </c>
      <c r="R108" s="5">
        <f>+[2]称号計算!X113</f>
        <v>1.01E-2</v>
      </c>
      <c r="S108" s="13">
        <f>+[2]称号計算!Y113</f>
        <v>7.5700000000000003E-2</v>
      </c>
      <c r="T108" s="19">
        <f>+[2]称号計算!Z113</f>
        <v>1.2564</v>
      </c>
      <c r="U108" s="13">
        <v>0.5</v>
      </c>
    </row>
    <row r="109" spans="1:21" ht="19.5" thickBot="1">
      <c r="A109" s="14" t="s">
        <v>1020</v>
      </c>
      <c r="B109" s="24" t="s">
        <v>1380</v>
      </c>
      <c r="C109" s="28">
        <f>+[2]称号計算!I114</f>
        <v>0.435</v>
      </c>
      <c r="D109" s="15">
        <f>+[2]称号計算!J114</f>
        <v>0.6835</v>
      </c>
      <c r="E109" s="15">
        <f>+[2]称号計算!K114</f>
        <v>5.9299999999999999E-2</v>
      </c>
      <c r="F109" s="15">
        <f>+[2]称号計算!L114</f>
        <v>0.70609999999999995</v>
      </c>
      <c r="G109" s="15">
        <f>+[2]称号計算!M114</f>
        <v>0.2281</v>
      </c>
      <c r="H109" s="16">
        <f>+[2]称号計算!N114</f>
        <v>0.40329999999999999</v>
      </c>
      <c r="I109" s="28">
        <f>+[2]称号計算!O114</f>
        <v>0.35730000000000001</v>
      </c>
      <c r="J109" s="16">
        <f>+[2]称号計算!P114</f>
        <v>0.2387</v>
      </c>
      <c r="K109" s="28">
        <f>+[2]称号計算!Q114</f>
        <v>7.46E-2</v>
      </c>
      <c r="L109" s="15">
        <f>+[2]称号計算!R114</f>
        <v>0.2034</v>
      </c>
      <c r="M109" s="16">
        <f>+[2]称号計算!S114</f>
        <v>0.26300000000000001</v>
      </c>
      <c r="N109" s="28">
        <f>+[2]称号計算!T114</f>
        <v>9.5999999999999992E-3</v>
      </c>
      <c r="O109" s="15">
        <f>+[2]称号計算!U114</f>
        <v>9.5999999999999992E-3</v>
      </c>
      <c r="P109" s="15">
        <f>+[2]称号計算!V114</f>
        <v>9.5999999999999992E-3</v>
      </c>
      <c r="Q109" s="15">
        <f>+[2]称号計算!W114</f>
        <v>9.5999999999999992E-3</v>
      </c>
      <c r="R109" s="15">
        <f>+[2]称号計算!X114</f>
        <v>2.5700000000000001E-2</v>
      </c>
      <c r="S109" s="16">
        <f>+[2]称号計算!Y114</f>
        <v>0.1928</v>
      </c>
      <c r="T109" s="20">
        <f>+[2]称号計算!Z114</f>
        <v>0.97399999999999998</v>
      </c>
      <c r="U109" s="16">
        <v>0.25</v>
      </c>
    </row>
    <row r="110" spans="1:21">
      <c r="A110" s="9" t="s">
        <v>1021</v>
      </c>
      <c r="B110" s="22" t="s">
        <v>1381</v>
      </c>
      <c r="C110" s="26">
        <f>+[2]称号計算!I115</f>
        <v>0.33429999999999999</v>
      </c>
      <c r="D110" s="10">
        <f>+[2]称号計算!J115</f>
        <v>0.40110000000000001</v>
      </c>
      <c r="E110" s="10">
        <f>+[2]称号計算!K115</f>
        <v>5.3199999999999997E-2</v>
      </c>
      <c r="F110" s="10">
        <f>+[2]称号計算!L115</f>
        <v>0.75970000000000004</v>
      </c>
      <c r="G110" s="10">
        <f>+[2]称号計算!M115</f>
        <v>0.248</v>
      </c>
      <c r="H110" s="11">
        <f>+[2]称号計算!N115</f>
        <v>0.26350000000000001</v>
      </c>
      <c r="I110" s="26">
        <f>+[2]称号計算!O115</f>
        <v>0.15040000000000001</v>
      </c>
      <c r="J110" s="11">
        <f>+[2]称号計算!P115</f>
        <v>0.18440000000000001</v>
      </c>
      <c r="K110" s="26">
        <f>+[2]称号計算!Q115</f>
        <v>0.1371</v>
      </c>
      <c r="L110" s="10">
        <f>+[2]称号計算!R115</f>
        <v>0.27960000000000002</v>
      </c>
      <c r="M110" s="11">
        <f>+[2]称号計算!S115</f>
        <v>0.2276</v>
      </c>
      <c r="N110" s="26">
        <f>+[2]称号計算!T115</f>
        <v>9.1000000000000004E-3</v>
      </c>
      <c r="O110" s="10">
        <f>+[2]称号計算!U115</f>
        <v>9.1000000000000004E-3</v>
      </c>
      <c r="P110" s="10">
        <f>+[2]称号計算!V115</f>
        <v>9.1000000000000004E-3</v>
      </c>
      <c r="Q110" s="10">
        <f>+[2]称号計算!W115</f>
        <v>9.1000000000000004E-3</v>
      </c>
      <c r="R110" s="10">
        <f>+[2]称号計算!X115</f>
        <v>0.18229999999999999</v>
      </c>
      <c r="S110" s="11">
        <f>+[2]称号計算!Y115</f>
        <v>2.4299999999999999E-2</v>
      </c>
      <c r="T110" s="18">
        <f>+[2]称号計算!Z115</f>
        <v>0.95379999999999998</v>
      </c>
      <c r="U110" s="11">
        <v>1</v>
      </c>
    </row>
    <row r="111" spans="1:21">
      <c r="A111" s="12" t="s">
        <v>1022</v>
      </c>
      <c r="B111" s="23" t="s">
        <v>1382</v>
      </c>
      <c r="C111" s="27">
        <f>+[2]称号計算!I116</f>
        <v>0.32450000000000001</v>
      </c>
      <c r="D111" s="5">
        <f>+[2]称号計算!J116</f>
        <v>0.35270000000000001</v>
      </c>
      <c r="E111" s="5">
        <f>+[2]称号計算!K116</f>
        <v>8.0199999999999994E-2</v>
      </c>
      <c r="F111" s="5">
        <f>+[2]称号計算!L116</f>
        <v>0.80149999999999999</v>
      </c>
      <c r="G111" s="5">
        <f>+[2]称号計算!M116</f>
        <v>0.25890000000000002</v>
      </c>
      <c r="H111" s="13">
        <f>+[2]称号計算!N116</f>
        <v>0.28610000000000002</v>
      </c>
      <c r="I111" s="27">
        <f>+[2]称号計算!O116</f>
        <v>0.17630000000000001</v>
      </c>
      <c r="J111" s="13">
        <f>+[2]称号計算!P116</f>
        <v>0.2084</v>
      </c>
      <c r="K111" s="27">
        <f>+[2]称号計算!Q116</f>
        <v>0.1411</v>
      </c>
      <c r="L111" s="5">
        <f>+[2]称号計算!R116</f>
        <v>0.33660000000000001</v>
      </c>
      <c r="M111" s="13">
        <f>+[2]称号計算!S116</f>
        <v>0.22439999999999999</v>
      </c>
      <c r="N111" s="27">
        <f>+[2]称号計算!T116</f>
        <v>6.4000000000000003E-3</v>
      </c>
      <c r="O111" s="5">
        <f>+[2]称号計算!U116</f>
        <v>6.4000000000000003E-3</v>
      </c>
      <c r="P111" s="5">
        <f>+[2]称号計算!V116</f>
        <v>6.4000000000000003E-3</v>
      </c>
      <c r="Q111" s="5">
        <f>+[2]称号計算!W116</f>
        <v>6.4000000000000003E-3</v>
      </c>
      <c r="R111" s="5">
        <f>+[2]称号計算!X116</f>
        <v>1.7000000000000001E-2</v>
      </c>
      <c r="S111" s="13">
        <f>+[2]称号計算!Y116</f>
        <v>0.12759999999999999</v>
      </c>
      <c r="T111" s="19">
        <f>+[2]称号計算!Z116</f>
        <v>0.99270000000000003</v>
      </c>
      <c r="U111" s="13">
        <v>1</v>
      </c>
    </row>
    <row r="112" spans="1:21">
      <c r="A112" s="12" t="s">
        <v>1023</v>
      </c>
      <c r="B112" s="23" t="s">
        <v>1383</v>
      </c>
      <c r="C112" s="27">
        <f>+[2]称号計算!I117</f>
        <v>0.27389999999999998</v>
      </c>
      <c r="D112" s="5">
        <f>+[2]称号計算!J117</f>
        <v>0.35160000000000002</v>
      </c>
      <c r="E112" s="5">
        <f>+[2]称号計算!K117</f>
        <v>5.4699999999999999E-2</v>
      </c>
      <c r="F112" s="5">
        <f>+[2]称号計算!L117</f>
        <v>0.84109999999999996</v>
      </c>
      <c r="G112" s="5">
        <f>+[2]称号計算!M117</f>
        <v>0.2059</v>
      </c>
      <c r="H112" s="13">
        <f>+[2]称号計算!N117</f>
        <v>0.2402</v>
      </c>
      <c r="I112" s="27">
        <f>+[2]称号計算!O117</f>
        <v>0.185</v>
      </c>
      <c r="J112" s="13">
        <f>+[2]称号計算!P117</f>
        <v>0.2041</v>
      </c>
      <c r="K112" s="27">
        <f>+[2]称号計算!Q117</f>
        <v>0.248</v>
      </c>
      <c r="L112" s="5">
        <f>+[2]称号計算!R117</f>
        <v>0.52149999999999996</v>
      </c>
      <c r="M112" s="13">
        <f>+[2]称号計算!S117</f>
        <v>0.2167</v>
      </c>
      <c r="N112" s="27">
        <f>+[2]称号計算!T117</f>
        <v>4.7999999999999996E-3</v>
      </c>
      <c r="O112" s="5">
        <f>+[2]称号計算!U117</f>
        <v>4.7999999999999996E-3</v>
      </c>
      <c r="P112" s="5">
        <f>+[2]称号計算!V117</f>
        <v>4.7999999999999996E-3</v>
      </c>
      <c r="Q112" s="5">
        <f>+[2]称号計算!W117</f>
        <v>4.7999999999999996E-3</v>
      </c>
      <c r="R112" s="5">
        <f>+[2]称号計算!X117</f>
        <v>1.2800000000000001E-2</v>
      </c>
      <c r="S112" s="13">
        <f>+[2]称号計算!Y117</f>
        <v>9.6299999999999997E-2</v>
      </c>
      <c r="T112" s="19">
        <f>+[2]称号計算!Z117</f>
        <v>1.2906</v>
      </c>
      <c r="U112" s="13">
        <v>0.9</v>
      </c>
    </row>
    <row r="113" spans="1:21">
      <c r="A113" s="12" t="s">
        <v>1024</v>
      </c>
      <c r="B113" s="23" t="s">
        <v>1384</v>
      </c>
      <c r="C113" s="27">
        <f>+[2]称号計算!I118</f>
        <v>0.2339</v>
      </c>
      <c r="D113" s="5">
        <f>+[2]称号計算!J118</f>
        <v>0.10630000000000001</v>
      </c>
      <c r="E113" s="5">
        <f>+[2]称号計算!K118</f>
        <v>0.80559999999999998</v>
      </c>
      <c r="F113" s="5">
        <f>+[2]称号計算!L118</f>
        <v>4.4299999999999999E-2</v>
      </c>
      <c r="G113" s="5">
        <f>+[2]称号計算!M118</f>
        <v>0.19170000000000001</v>
      </c>
      <c r="H113" s="13">
        <f>+[2]称号計算!N118</f>
        <v>0.19450000000000001</v>
      </c>
      <c r="I113" s="27">
        <f>+[2]称号計算!O118</f>
        <v>0.74439999999999995</v>
      </c>
      <c r="J113" s="13">
        <f>+[2]称号計算!P118</f>
        <v>0.24859999999999999</v>
      </c>
      <c r="K113" s="27">
        <f>+[2]称号計算!Q118</f>
        <v>0.28710000000000002</v>
      </c>
      <c r="L113" s="5">
        <f>+[2]称号計算!R118</f>
        <v>0.50270000000000004</v>
      </c>
      <c r="M113" s="13">
        <f>+[2]称号計算!S118</f>
        <v>0.1353</v>
      </c>
      <c r="N113" s="27">
        <f>+[2]称号計算!T118</f>
        <v>6.3E-3</v>
      </c>
      <c r="O113" s="5">
        <f>+[2]称号計算!U118</f>
        <v>6.3E-3</v>
      </c>
      <c r="P113" s="5">
        <f>+[2]称号計算!V118</f>
        <v>9.5100000000000004E-2</v>
      </c>
      <c r="Q113" s="5">
        <f>+[2]称号計算!W118</f>
        <v>2.3800000000000002E-2</v>
      </c>
      <c r="R113" s="5">
        <f>+[2]称号計算!X118</f>
        <v>4.7999999999999996E-3</v>
      </c>
      <c r="S113" s="13">
        <f>+[2]称号計算!Y118</f>
        <v>4.7999999999999996E-3</v>
      </c>
      <c r="T113" s="19">
        <f>+[2]称号計算!Z118</f>
        <v>1.4852000000000001</v>
      </c>
      <c r="U113" s="13">
        <v>0.55000000000000004</v>
      </c>
    </row>
    <row r="114" spans="1:21">
      <c r="A114" s="12" t="s">
        <v>1025</v>
      </c>
      <c r="B114" s="23" t="s">
        <v>1385</v>
      </c>
      <c r="C114" s="27">
        <f>+[2]称号計算!I119</f>
        <v>0.33069999999999999</v>
      </c>
      <c r="D114" s="5">
        <f>+[2]称号計算!J119</f>
        <v>0.217</v>
      </c>
      <c r="E114" s="5">
        <f>+[2]称号計算!K119</f>
        <v>0.93940000000000001</v>
      </c>
      <c r="F114" s="5">
        <f>+[2]称号計算!L119</f>
        <v>6.5799999999999997E-2</v>
      </c>
      <c r="G114" s="5">
        <f>+[2]称号計算!M119</f>
        <v>0.24590000000000001</v>
      </c>
      <c r="H114" s="13">
        <f>+[2]称号計算!N119</f>
        <v>0.2651</v>
      </c>
      <c r="I114" s="27">
        <f>+[2]称号計算!O119</f>
        <v>0.26869999999999999</v>
      </c>
      <c r="J114" s="13">
        <f>+[2]称号計算!P119</f>
        <v>0.23769999999999999</v>
      </c>
      <c r="K114" s="27">
        <f>+[2]称号計算!Q119</f>
        <v>0.32069999999999999</v>
      </c>
      <c r="L114" s="5">
        <f>+[2]称号計算!R119</f>
        <v>0.48470000000000002</v>
      </c>
      <c r="M114" s="13">
        <f>+[2]称号計算!S119</f>
        <v>0.27089999999999997</v>
      </c>
      <c r="N114" s="27">
        <f>+[2]称号計算!T119</f>
        <v>8.2000000000000007E-3</v>
      </c>
      <c r="O114" s="5">
        <f>+[2]称号計算!U119</f>
        <v>8.2000000000000007E-3</v>
      </c>
      <c r="P114" s="5">
        <f>+[2]称号計算!V119</f>
        <v>3.0599999999999999E-2</v>
      </c>
      <c r="Q114" s="5">
        <f>+[2]称号計算!W119</f>
        <v>0.1225</v>
      </c>
      <c r="R114" s="5">
        <f>+[2]称号計算!X119</f>
        <v>6.1000000000000004E-3</v>
      </c>
      <c r="S114" s="13">
        <f>+[2]称号計算!Y119</f>
        <v>6.1000000000000004E-3</v>
      </c>
      <c r="T114" s="19">
        <f>+[2]称号計算!Z119</f>
        <v>1.5153000000000001</v>
      </c>
      <c r="U114" s="13">
        <v>0.5</v>
      </c>
    </row>
    <row r="115" spans="1:21" ht="19.5" thickBot="1">
      <c r="A115" s="14" t="s">
        <v>1026</v>
      </c>
      <c r="B115" s="24" t="s">
        <v>1386</v>
      </c>
      <c r="C115" s="28">
        <f>+[2]称号計算!I120</f>
        <v>0.46050000000000002</v>
      </c>
      <c r="D115" s="15">
        <f>+[2]称号計算!J120</f>
        <v>0.38379999999999997</v>
      </c>
      <c r="E115" s="15">
        <f>+[2]称号計算!K120</f>
        <v>8.72E-2</v>
      </c>
      <c r="F115" s="15">
        <f>+[2]称号計算!L120</f>
        <v>0.87219999999999998</v>
      </c>
      <c r="G115" s="15">
        <f>+[2]称号計算!M120</f>
        <v>0.38550000000000001</v>
      </c>
      <c r="H115" s="16">
        <f>+[2]称号計算!N120</f>
        <v>0.25209999999999999</v>
      </c>
      <c r="I115" s="28">
        <f>+[2]称号計算!O120</f>
        <v>0.307</v>
      </c>
      <c r="J115" s="16">
        <f>+[2]称号計算!P120</f>
        <v>0.2419</v>
      </c>
      <c r="K115" s="28">
        <f>+[2]称号計算!Q120</f>
        <v>0.21490000000000001</v>
      </c>
      <c r="L115" s="15">
        <f>+[2]称号計算!R120</f>
        <v>0.34889999999999999</v>
      </c>
      <c r="M115" s="16">
        <f>+[2]称号計算!S120</f>
        <v>0.2442</v>
      </c>
      <c r="N115" s="28">
        <f>+[2]称号計算!T120</f>
        <v>8.0999999999999996E-3</v>
      </c>
      <c r="O115" s="15">
        <f>+[2]称号計算!U120</f>
        <v>8.0999999999999996E-3</v>
      </c>
      <c r="P115" s="15">
        <f>+[2]称号計算!V120</f>
        <v>8.0999999999999996E-3</v>
      </c>
      <c r="Q115" s="15">
        <f>+[2]称号計算!W120</f>
        <v>8.0999999999999996E-3</v>
      </c>
      <c r="R115" s="15">
        <f>+[2]称号計算!X120</f>
        <v>2.1499999999999998E-2</v>
      </c>
      <c r="S115" s="16">
        <f>+[2]称号計算!Y120</f>
        <v>0.16109999999999999</v>
      </c>
      <c r="T115" s="20">
        <f>+[2]称号計算!Z120</f>
        <v>1.3505</v>
      </c>
      <c r="U115" s="16">
        <v>0.25</v>
      </c>
    </row>
    <row r="116" spans="1:21">
      <c r="A116" s="9" t="s">
        <v>1027</v>
      </c>
      <c r="B116" s="22" t="s">
        <v>1387</v>
      </c>
      <c r="C116" s="26">
        <f>+[2]称号計算!I121</f>
        <v>0.29830000000000001</v>
      </c>
      <c r="D116" s="10">
        <f>+[2]称号計算!J121</f>
        <v>0.32750000000000001</v>
      </c>
      <c r="E116" s="10">
        <f>+[2]称号計算!K121</f>
        <v>8.2699999999999996E-2</v>
      </c>
      <c r="F116" s="10">
        <f>+[2]称号計算!L121</f>
        <v>0.82689999999999997</v>
      </c>
      <c r="G116" s="10">
        <f>+[2]称号計算!M121</f>
        <v>0.23899999999999999</v>
      </c>
      <c r="H116" s="11">
        <f>+[2]称号計算!N121</f>
        <v>0.28110000000000002</v>
      </c>
      <c r="I116" s="26">
        <f>+[2]称号計算!O121</f>
        <v>0.18190000000000001</v>
      </c>
      <c r="J116" s="11">
        <f>+[2]称号計算!P121</f>
        <v>0.215</v>
      </c>
      <c r="K116" s="26">
        <f>+[2]称号計算!Q121</f>
        <v>0.14549999999999999</v>
      </c>
      <c r="L116" s="10">
        <f>+[2]称号計算!R121</f>
        <v>0.33079999999999998</v>
      </c>
      <c r="M116" s="11">
        <f>+[2]称号計算!S121</f>
        <v>0.23150000000000001</v>
      </c>
      <c r="N116" s="26">
        <f>+[2]称号計算!T121</f>
        <v>7.7999999999999996E-3</v>
      </c>
      <c r="O116" s="10">
        <f>+[2]称号計算!U121</f>
        <v>7.7999999999999996E-3</v>
      </c>
      <c r="P116" s="10">
        <f>+[2]称号計算!V121</f>
        <v>0.1163</v>
      </c>
      <c r="Q116" s="10">
        <f>+[2]称号計算!W121</f>
        <v>2.9100000000000001E-2</v>
      </c>
      <c r="R116" s="10">
        <f>+[2]称号計算!X121</f>
        <v>5.7999999999999996E-3</v>
      </c>
      <c r="S116" s="11">
        <f>+[2]称号計算!Y121</f>
        <v>5.7999999999999996E-3</v>
      </c>
      <c r="T116" s="18">
        <f>+[2]称号計算!Z121</f>
        <v>0.98319999999999996</v>
      </c>
      <c r="U116" s="11">
        <v>1</v>
      </c>
    </row>
    <row r="117" spans="1:21">
      <c r="A117" s="12" t="s">
        <v>1028</v>
      </c>
      <c r="B117" s="23" t="s">
        <v>1388</v>
      </c>
      <c r="C117" s="27">
        <f>+[2]称号計算!I122</f>
        <v>0.37680000000000002</v>
      </c>
      <c r="D117" s="5">
        <f>+[2]称号計算!J122</f>
        <v>0.35970000000000002</v>
      </c>
      <c r="E117" s="5">
        <f>+[2]称号計算!K122</f>
        <v>7.7899999999999997E-2</v>
      </c>
      <c r="F117" s="5">
        <f>+[2]称号計算!L122</f>
        <v>0.77859999999999996</v>
      </c>
      <c r="G117" s="5">
        <f>+[2]称号計算!M122</f>
        <v>0.29120000000000001</v>
      </c>
      <c r="H117" s="13">
        <f>+[2]称号計算!N122</f>
        <v>0.29120000000000001</v>
      </c>
      <c r="I117" s="27">
        <f>+[2]称号計算!O122</f>
        <v>0.23980000000000001</v>
      </c>
      <c r="J117" s="13">
        <f>+[2]称号計算!P122</f>
        <v>0.2092</v>
      </c>
      <c r="K117" s="27">
        <f>+[2]称号計算!Q122</f>
        <v>0.16439999999999999</v>
      </c>
      <c r="L117" s="5">
        <f>+[2]称号計算!R122</f>
        <v>0.31140000000000001</v>
      </c>
      <c r="M117" s="13">
        <f>+[2]称号計算!S122</f>
        <v>0.218</v>
      </c>
      <c r="N117" s="27">
        <f>+[2]称号計算!T122</f>
        <v>2.87E-2</v>
      </c>
      <c r="O117" s="5">
        <f>+[2]称号計算!U122</f>
        <v>0.1434</v>
      </c>
      <c r="P117" s="5">
        <f>+[2]称号計算!V122</f>
        <v>9.5999999999999992E-3</v>
      </c>
      <c r="Q117" s="5">
        <f>+[2]称号計算!W122</f>
        <v>9.5999999999999992E-3</v>
      </c>
      <c r="R117" s="5">
        <f>+[2]称号計算!X122</f>
        <v>7.1999999999999998E-3</v>
      </c>
      <c r="S117" s="13">
        <f>+[2]称号計算!Y122</f>
        <v>7.1999999999999998E-3</v>
      </c>
      <c r="T117" s="19">
        <f>+[2]称号計算!Z122</f>
        <v>1.1061000000000001</v>
      </c>
      <c r="U117" s="13">
        <v>1</v>
      </c>
    </row>
    <row r="118" spans="1:21">
      <c r="A118" s="12" t="s">
        <v>1029</v>
      </c>
      <c r="B118" s="23" t="s">
        <v>1389</v>
      </c>
      <c r="C118" s="27">
        <f>+[2]称号計算!I123</f>
        <v>0.44159999999999999</v>
      </c>
      <c r="D118" s="5">
        <f>+[2]称号計算!J123</f>
        <v>0.32779999999999998</v>
      </c>
      <c r="E118" s="5">
        <f>+[2]称号計算!K123</f>
        <v>6.6699999999999995E-2</v>
      </c>
      <c r="F118" s="5">
        <f>+[2]称号計算!L123</f>
        <v>0.78420000000000001</v>
      </c>
      <c r="G118" s="5">
        <f>+[2]称号計算!M123</f>
        <v>0.32790000000000002</v>
      </c>
      <c r="H118" s="13">
        <f>+[2]称号計算!N123</f>
        <v>0.29859999999999998</v>
      </c>
      <c r="I118" s="27">
        <f>+[2]称号計算!O123</f>
        <v>0.24149999999999999</v>
      </c>
      <c r="J118" s="13">
        <f>+[2]称号計算!P123</f>
        <v>0.2039</v>
      </c>
      <c r="K118" s="27">
        <f>+[2]称号計算!Q123</f>
        <v>0.19320000000000001</v>
      </c>
      <c r="L118" s="5">
        <f>+[2]称号計算!R123</f>
        <v>0.45479999999999998</v>
      </c>
      <c r="M118" s="13">
        <f>+[2]称号計算!S123</f>
        <v>0.1361</v>
      </c>
      <c r="N118" s="27">
        <f>+[2]称号計算!T123</f>
        <v>7.7999999999999996E-3</v>
      </c>
      <c r="O118" s="5">
        <f>+[2]称号計算!U123</f>
        <v>7.7999999999999996E-3</v>
      </c>
      <c r="P118" s="5">
        <f>+[2]称号計算!V123</f>
        <v>7.7999999999999996E-3</v>
      </c>
      <c r="Q118" s="5">
        <f>+[2]称号計算!W123</f>
        <v>7.7999999999999996E-3</v>
      </c>
      <c r="R118" s="5">
        <f>+[2]称号計算!X123</f>
        <v>2.0799999999999999E-2</v>
      </c>
      <c r="S118" s="13">
        <f>+[2]称号計算!Y123</f>
        <v>0.15570000000000001</v>
      </c>
      <c r="T118" s="19">
        <f>+[2]称号計算!Z123</f>
        <v>1.236</v>
      </c>
      <c r="U118" s="13">
        <v>0.9</v>
      </c>
    </row>
    <row r="119" spans="1:21">
      <c r="A119" s="12" t="s">
        <v>1030</v>
      </c>
      <c r="B119" s="23" t="s">
        <v>1390</v>
      </c>
      <c r="C119" s="27">
        <f>+[2]称号計算!I124</f>
        <v>0.45900000000000002</v>
      </c>
      <c r="D119" s="5">
        <f>+[2]称号計算!J124</f>
        <v>0.2142</v>
      </c>
      <c r="E119" s="5">
        <f>+[2]称号計算!K124</f>
        <v>0.86929999999999996</v>
      </c>
      <c r="F119" s="5">
        <f>+[2]称号計算!L124</f>
        <v>7.22E-2</v>
      </c>
      <c r="G119" s="5">
        <f>+[2]称号計算!M124</f>
        <v>0.22459999999999999</v>
      </c>
      <c r="H119" s="13">
        <f>+[2]称号計算!N124</f>
        <v>0.62070000000000003</v>
      </c>
      <c r="I119" s="27">
        <f>+[2]称号計算!O124</f>
        <v>0.1913</v>
      </c>
      <c r="J119" s="13">
        <f>+[2]称号計算!P124</f>
        <v>0.2215</v>
      </c>
      <c r="K119" s="27">
        <f>+[2]称号計算!Q124</f>
        <v>0.18740000000000001</v>
      </c>
      <c r="L119" s="5">
        <f>+[2]称号計算!R124</f>
        <v>0.34770000000000001</v>
      </c>
      <c r="M119" s="13">
        <f>+[2]称号計算!S124</f>
        <v>0.22639999999999999</v>
      </c>
      <c r="N119" s="27">
        <f>+[2]称号計算!T124</f>
        <v>1.2200000000000001E-2</v>
      </c>
      <c r="O119" s="5">
        <f>+[2]称号計算!U124</f>
        <v>1.2200000000000001E-2</v>
      </c>
      <c r="P119" s="5">
        <f>+[2]称号計算!V124</f>
        <v>4.58E-2</v>
      </c>
      <c r="Q119" s="5">
        <f>+[2]称号計算!W124</f>
        <v>0.1832</v>
      </c>
      <c r="R119" s="5">
        <f>+[2]称号計算!X124</f>
        <v>9.1999999999999998E-3</v>
      </c>
      <c r="S119" s="13">
        <f>+[2]称号計算!Y124</f>
        <v>9.1999999999999998E-3</v>
      </c>
      <c r="T119" s="19">
        <f>+[2]称号計算!Z124</f>
        <v>1.2215</v>
      </c>
      <c r="U119" s="13">
        <v>0.55000000000000004</v>
      </c>
    </row>
    <row r="120" spans="1:21">
      <c r="A120" s="12" t="s">
        <v>1031</v>
      </c>
      <c r="B120" s="23" t="s">
        <v>1391</v>
      </c>
      <c r="C120" s="27">
        <f>+[2]称号計算!I125</f>
        <v>0.37</v>
      </c>
      <c r="D120" s="5">
        <f>+[2]称号計算!J125</f>
        <v>0.16439999999999999</v>
      </c>
      <c r="E120" s="5">
        <f>+[2]称号計算!K125</f>
        <v>0.93420000000000003</v>
      </c>
      <c r="F120" s="5">
        <f>+[2]称号計算!L125</f>
        <v>9.3399999999999997E-2</v>
      </c>
      <c r="G120" s="5">
        <f>+[2]称号計算!M125</f>
        <v>0.28589999999999999</v>
      </c>
      <c r="H120" s="13">
        <f>+[2]称号計算!N125</f>
        <v>0.28589999999999999</v>
      </c>
      <c r="I120" s="27">
        <f>+[2]称号計算!O125</f>
        <v>0.45219999999999999</v>
      </c>
      <c r="J120" s="13">
        <f>+[2]称号計算!P125</f>
        <v>0.28339999999999999</v>
      </c>
      <c r="K120" s="27">
        <f>+[2]称号計算!Q125</f>
        <v>0.24660000000000001</v>
      </c>
      <c r="L120" s="5">
        <f>+[2]称号計算!R125</f>
        <v>0.441</v>
      </c>
      <c r="M120" s="13">
        <f>+[2]称号計算!S125</f>
        <v>0.2354</v>
      </c>
      <c r="N120" s="27">
        <f>+[2]称号計算!T125</f>
        <v>8.8999999999999999E-3</v>
      </c>
      <c r="O120" s="5">
        <f>+[2]称号計算!U125</f>
        <v>8.8999999999999999E-3</v>
      </c>
      <c r="P120" s="5">
        <f>+[2]称号計算!V125</f>
        <v>0.13350000000000001</v>
      </c>
      <c r="Q120" s="5">
        <f>+[2]称号計算!W125</f>
        <v>3.3399999999999999E-2</v>
      </c>
      <c r="R120" s="5">
        <f>+[2]称号計算!X125</f>
        <v>6.7000000000000002E-3</v>
      </c>
      <c r="S120" s="13">
        <f>+[2]称号計算!Y125</f>
        <v>6.7000000000000002E-3</v>
      </c>
      <c r="T120" s="19">
        <f>+[2]称号計算!Z125</f>
        <v>1.3905000000000001</v>
      </c>
      <c r="U120" s="13">
        <v>0.5</v>
      </c>
    </row>
    <row r="121" spans="1:21" ht="19.5" thickBot="1">
      <c r="A121" s="14" t="s">
        <v>1032</v>
      </c>
      <c r="B121" s="24" t="s">
        <v>1392</v>
      </c>
      <c r="C121" s="28">
        <f>+[2]称号計算!I126</f>
        <v>0.37890000000000001</v>
      </c>
      <c r="D121" s="15">
        <f>+[2]称号計算!J126</f>
        <v>0.66620000000000001</v>
      </c>
      <c r="E121" s="15">
        <f>+[2]称号計算!K126</f>
        <v>7.0999999999999994E-2</v>
      </c>
      <c r="F121" s="15">
        <f>+[2]称号計算!L126</f>
        <v>0.94630000000000003</v>
      </c>
      <c r="G121" s="15">
        <f>+[2]称号計算!M126</f>
        <v>0.28310000000000002</v>
      </c>
      <c r="H121" s="16">
        <f>+[2]称号計算!N126</f>
        <v>0.30570000000000003</v>
      </c>
      <c r="I121" s="28">
        <f>+[2]称号計算!O126</f>
        <v>0.16650000000000001</v>
      </c>
      <c r="J121" s="16">
        <f>+[2]称号計算!P126</f>
        <v>0.3609</v>
      </c>
      <c r="K121" s="28">
        <f>+[2]称号計算!Q126</f>
        <v>0.13739999999999999</v>
      </c>
      <c r="L121" s="15">
        <f>+[2]称号計算!R126</f>
        <v>0.24229999999999999</v>
      </c>
      <c r="M121" s="16">
        <f>+[2]称号計算!S126</f>
        <v>0.3921</v>
      </c>
      <c r="N121" s="28">
        <f>+[2]称号計算!T126</f>
        <v>7.1000000000000004E-3</v>
      </c>
      <c r="O121" s="15">
        <f>+[2]称号計算!U126</f>
        <v>7.1000000000000004E-3</v>
      </c>
      <c r="P121" s="15">
        <f>+[2]称号計算!V126</f>
        <v>7.1000000000000004E-3</v>
      </c>
      <c r="Q121" s="15">
        <f>+[2]称号計算!W126</f>
        <v>7.1000000000000004E-3</v>
      </c>
      <c r="R121" s="15">
        <f>+[2]称号計算!X126</f>
        <v>1.9E-2</v>
      </c>
      <c r="S121" s="16">
        <f>+[2]称号計算!Y126</f>
        <v>0.14219999999999999</v>
      </c>
      <c r="T121" s="20">
        <f>+[2]称号計算!Z126</f>
        <v>1.1521999999999999</v>
      </c>
      <c r="U121" s="16">
        <v>0.25</v>
      </c>
    </row>
    <row r="122" spans="1:21">
      <c r="A122" s="9" t="s">
        <v>1033</v>
      </c>
      <c r="B122" s="22" t="s">
        <v>1393</v>
      </c>
      <c r="C122" s="26">
        <f>+[2]称号計算!I127</f>
        <v>0.33479999999999999</v>
      </c>
      <c r="D122" s="10">
        <f>+[2]称号計算!J127</f>
        <v>0.48549999999999999</v>
      </c>
      <c r="E122" s="10">
        <f>+[2]称号計算!K127</f>
        <v>7.6100000000000001E-2</v>
      </c>
      <c r="F122" s="10">
        <f>+[2]称号計算!L127</f>
        <v>0.76090000000000002</v>
      </c>
      <c r="G122" s="10">
        <f>+[2]称号計算!M127</f>
        <v>0.25869999999999999</v>
      </c>
      <c r="H122" s="11">
        <f>+[2]称号計算!N127</f>
        <v>0.31040000000000001</v>
      </c>
      <c r="I122" s="26">
        <f>+[2]称号計算!O127</f>
        <v>0.2009</v>
      </c>
      <c r="J122" s="11">
        <f>+[2]称号計算!P127</f>
        <v>0.18459999999999999</v>
      </c>
      <c r="K122" s="26">
        <f>+[2]称号計算!Q127</f>
        <v>0.1406</v>
      </c>
      <c r="L122" s="10">
        <f>+[2]称号計算!R127</f>
        <v>0.28910000000000002</v>
      </c>
      <c r="M122" s="11">
        <f>+[2]称号計算!S127</f>
        <v>0.245</v>
      </c>
      <c r="N122" s="26">
        <f>+[2]称号計算!T127</f>
        <v>9.7999999999999997E-3</v>
      </c>
      <c r="O122" s="10">
        <f>+[2]称号計算!U127</f>
        <v>9.7999999999999997E-3</v>
      </c>
      <c r="P122" s="10">
        <f>+[2]称号計算!V127</f>
        <v>0.1472</v>
      </c>
      <c r="Q122" s="10">
        <f>+[2]称号計算!W127</f>
        <v>3.6799999999999999E-2</v>
      </c>
      <c r="R122" s="10">
        <f>+[2]称号計算!X127</f>
        <v>7.4000000000000003E-3</v>
      </c>
      <c r="S122" s="11">
        <f>+[2]称号計算!Y127</f>
        <v>7.4000000000000003E-3</v>
      </c>
      <c r="T122" s="18">
        <f>+[2]称号計算!Z127</f>
        <v>1.0407999999999999</v>
      </c>
      <c r="U122" s="11">
        <v>1</v>
      </c>
    </row>
    <row r="123" spans="1:21">
      <c r="A123" s="12" t="s">
        <v>1034</v>
      </c>
      <c r="B123" s="23" t="s">
        <v>1394</v>
      </c>
      <c r="C123" s="27">
        <f>+[2]称号計算!I128</f>
        <v>0.34770000000000001</v>
      </c>
      <c r="D123" s="5">
        <f>+[2]称号計算!J128</f>
        <v>0.39850000000000002</v>
      </c>
      <c r="E123" s="5">
        <f>+[2]称号計算!K128</f>
        <v>5.0999999999999997E-2</v>
      </c>
      <c r="F123" s="5">
        <f>+[2]称号計算!L128</f>
        <v>0.82330000000000003</v>
      </c>
      <c r="G123" s="5">
        <f>+[2]称号計算!M128</f>
        <v>0.22950000000000001</v>
      </c>
      <c r="H123" s="13">
        <f>+[2]称号計算!N128</f>
        <v>0.25469999999999998</v>
      </c>
      <c r="I123" s="27">
        <f>+[2]称号計算!O128</f>
        <v>0.21729999999999999</v>
      </c>
      <c r="J123" s="13">
        <f>+[2]称号計算!P128</f>
        <v>0.2283</v>
      </c>
      <c r="K123" s="27">
        <f>+[2]称号計算!Q128</f>
        <v>0.16300000000000001</v>
      </c>
      <c r="L123" s="5">
        <f>+[2]称号計算!R128</f>
        <v>0.29970000000000002</v>
      </c>
      <c r="M123" s="13">
        <f>+[2]称号計算!S128</f>
        <v>0.438</v>
      </c>
      <c r="N123" s="27">
        <f>+[2]称号計算!T128</f>
        <v>8.5000000000000006E-3</v>
      </c>
      <c r="O123" s="5">
        <f>+[2]称号計算!U128</f>
        <v>8.5000000000000006E-3</v>
      </c>
      <c r="P123" s="5">
        <f>+[2]称号計算!V128</f>
        <v>0.127</v>
      </c>
      <c r="Q123" s="5">
        <f>+[2]称号計算!W128</f>
        <v>3.1699999999999999E-2</v>
      </c>
      <c r="R123" s="5">
        <f>+[2]称号計算!X128</f>
        <v>6.3E-3</v>
      </c>
      <c r="S123" s="13">
        <f>+[2]称号計算!Y128</f>
        <v>6.3E-3</v>
      </c>
      <c r="T123" s="19">
        <f>+[2]称号計算!Z128</f>
        <v>1.1215999999999999</v>
      </c>
      <c r="U123" s="13">
        <v>1</v>
      </c>
    </row>
    <row r="124" spans="1:21">
      <c r="A124" s="12" t="s">
        <v>1035</v>
      </c>
      <c r="B124" s="23" t="s">
        <v>1395</v>
      </c>
      <c r="C124" s="27">
        <f>+[2]称号計算!I129</f>
        <v>0.34050000000000002</v>
      </c>
      <c r="D124" s="5">
        <f>+[2]称号計算!J129</f>
        <v>0.87590000000000001</v>
      </c>
      <c r="E124" s="5">
        <f>+[2]称号計算!K129</f>
        <v>5.2600000000000001E-2</v>
      </c>
      <c r="F124" s="5">
        <f>+[2]称号計算!L129</f>
        <v>0.75119999999999998</v>
      </c>
      <c r="G124" s="5">
        <f>+[2]称号計算!M129</f>
        <v>0.2452</v>
      </c>
      <c r="H124" s="13">
        <f>+[2]称号計算!N129</f>
        <v>0.3014</v>
      </c>
      <c r="I124" s="27">
        <f>+[2]称号計算!O129</f>
        <v>0.21490000000000001</v>
      </c>
      <c r="J124" s="13">
        <f>+[2]称号計算!P129</f>
        <v>0.1888</v>
      </c>
      <c r="K124" s="27">
        <f>+[2]称号計算!Q129</f>
        <v>0.13880000000000001</v>
      </c>
      <c r="L124" s="5">
        <f>+[2]称号計算!R129</f>
        <v>0.27039999999999997</v>
      </c>
      <c r="M124" s="13">
        <f>+[2]称号計算!S129</f>
        <v>0.2356</v>
      </c>
      <c r="N124" s="27">
        <f>+[2]称号計算!T129</f>
        <v>1.04E-2</v>
      </c>
      <c r="O124" s="5">
        <f>+[2]称号計算!U129</f>
        <v>1.04E-2</v>
      </c>
      <c r="P124" s="5">
        <f>+[2]称号計算!V129</f>
        <v>0.15620000000000001</v>
      </c>
      <c r="Q124" s="5">
        <f>+[2]称号計算!W129</f>
        <v>3.9E-2</v>
      </c>
      <c r="R124" s="5">
        <f>+[2]称号計算!X129</f>
        <v>7.7999999999999996E-3</v>
      </c>
      <c r="S124" s="13">
        <f>+[2]称号計算!Y129</f>
        <v>7.7999999999999996E-3</v>
      </c>
      <c r="T124" s="19">
        <f>+[2]称号計算!Z129</f>
        <v>1.1449</v>
      </c>
      <c r="U124" s="13">
        <v>0.9</v>
      </c>
    </row>
    <row r="125" spans="1:21">
      <c r="A125" s="12" t="s">
        <v>1036</v>
      </c>
      <c r="B125" s="23" t="s">
        <v>1396</v>
      </c>
      <c r="C125" s="27">
        <f>+[2]称号計算!I130</f>
        <v>0.41299999999999998</v>
      </c>
      <c r="D125" s="5">
        <f>+[2]称号計算!J130</f>
        <v>0.22439999999999999</v>
      </c>
      <c r="E125" s="5">
        <f>+[2]称号計算!K130</f>
        <v>1.0202</v>
      </c>
      <c r="F125" s="5">
        <f>+[2]称号計算!L130</f>
        <v>0.10199999999999999</v>
      </c>
      <c r="G125" s="5">
        <f>+[2]称号計算!M130</f>
        <v>0.32950000000000002</v>
      </c>
      <c r="H125" s="13">
        <f>+[2]称号計算!N130</f>
        <v>0.36420000000000002</v>
      </c>
      <c r="I125" s="27">
        <f>+[2]称号計算!O130</f>
        <v>0.22439999999999999</v>
      </c>
      <c r="J125" s="13">
        <f>+[2]称号計算!P130</f>
        <v>0.26529999999999998</v>
      </c>
      <c r="K125" s="27">
        <f>+[2]称号計算!Q130</f>
        <v>0.17960000000000001</v>
      </c>
      <c r="L125" s="5">
        <f>+[2]称号計算!R130</f>
        <v>0.42849999999999999</v>
      </c>
      <c r="M125" s="13">
        <f>+[2]称号計算!S130</f>
        <v>0.22850000000000001</v>
      </c>
      <c r="N125" s="27">
        <f>+[2]称号計算!T130</f>
        <v>1.0500000000000001E-2</v>
      </c>
      <c r="O125" s="5">
        <f>+[2]称号計算!U130</f>
        <v>1.0500000000000001E-2</v>
      </c>
      <c r="P125" s="5">
        <f>+[2]称号計算!V130</f>
        <v>0.15720000000000001</v>
      </c>
      <c r="Q125" s="5">
        <f>+[2]称号計算!W130</f>
        <v>3.9300000000000002E-2</v>
      </c>
      <c r="R125" s="5">
        <f>+[2]称号計算!X130</f>
        <v>7.9000000000000008E-3</v>
      </c>
      <c r="S125" s="13">
        <f>+[2]称号計算!Y130</f>
        <v>7.9000000000000008E-3</v>
      </c>
      <c r="T125" s="19">
        <f>+[2]称号計算!Z130</f>
        <v>1.1758999999999999</v>
      </c>
      <c r="U125" s="13">
        <v>0.55000000000000004</v>
      </c>
    </row>
    <row r="126" spans="1:21">
      <c r="A126" s="12" t="s">
        <v>1037</v>
      </c>
      <c r="B126" s="23" t="s">
        <v>1397</v>
      </c>
      <c r="C126" s="27">
        <f>+[2]称号計算!I131</f>
        <v>0.36070000000000002</v>
      </c>
      <c r="D126" s="5">
        <f>+[2]称号計算!J131</f>
        <v>0.17369999999999999</v>
      </c>
      <c r="E126" s="5">
        <f>+[2]称号計算!K131</f>
        <v>1.0122</v>
      </c>
      <c r="F126" s="5">
        <f>+[2]称号計算!L131</f>
        <v>7.0900000000000005E-2</v>
      </c>
      <c r="G126" s="5">
        <f>+[2]称号計算!M131</f>
        <v>0.2581</v>
      </c>
      <c r="H126" s="13">
        <f>+[2]称号計算!N131</f>
        <v>0.27189999999999998</v>
      </c>
      <c r="I126" s="27">
        <f>+[2]称号計算!O131</f>
        <v>0.31180000000000002</v>
      </c>
      <c r="J126" s="13">
        <f>+[2]称号計算!P131</f>
        <v>0.25440000000000002</v>
      </c>
      <c r="K126" s="27">
        <f>+[2]称号計算!Q131</f>
        <v>0.2984</v>
      </c>
      <c r="L126" s="5">
        <f>+[2]称号計算!R131</f>
        <v>0.71660000000000001</v>
      </c>
      <c r="M126" s="13">
        <f>+[2]称号計算!S131</f>
        <v>0.21540000000000001</v>
      </c>
      <c r="N126" s="27">
        <f>+[2]称号計算!T131</f>
        <v>7.7999999999999996E-3</v>
      </c>
      <c r="O126" s="5">
        <f>+[2]称号計算!U131</f>
        <v>7.7999999999999996E-3</v>
      </c>
      <c r="P126" s="5">
        <f>+[2]称号計算!V131</f>
        <v>2.92E-2</v>
      </c>
      <c r="Q126" s="5">
        <f>+[2]称号計算!W131</f>
        <v>0.1167</v>
      </c>
      <c r="R126" s="5">
        <f>+[2]称号計算!X131</f>
        <v>5.7999999999999996E-3</v>
      </c>
      <c r="S126" s="13">
        <f>+[2]称号計算!Y131</f>
        <v>5.7999999999999996E-3</v>
      </c>
      <c r="T126" s="19">
        <f>+[2]称号計算!Z131</f>
        <v>1.5227999999999999</v>
      </c>
      <c r="U126" s="13">
        <v>0.5</v>
      </c>
    </row>
    <row r="127" spans="1:21" ht="19.5" thickBot="1">
      <c r="A127" s="14" t="s">
        <v>1038</v>
      </c>
      <c r="B127" s="24" t="s">
        <v>1398</v>
      </c>
      <c r="C127" s="28">
        <f>+[2]称号計算!I132</f>
        <v>0.33479999999999999</v>
      </c>
      <c r="D127" s="15">
        <f>+[2]称号計算!J132</f>
        <v>0.55110000000000003</v>
      </c>
      <c r="E127" s="15">
        <f>+[2]称号計算!K132</f>
        <v>5.57E-2</v>
      </c>
      <c r="F127" s="15">
        <f>+[2]称号計算!L132</f>
        <v>0.92779999999999996</v>
      </c>
      <c r="G127" s="15">
        <f>+[2]称号計算!M132</f>
        <v>0.2555</v>
      </c>
      <c r="H127" s="16">
        <f>+[2]称号計算!N132</f>
        <v>0.27439999999999998</v>
      </c>
      <c r="I127" s="28">
        <f>+[2]称号計算!O132</f>
        <v>0.4899</v>
      </c>
      <c r="J127" s="16">
        <f>+[2]称号計算!P132</f>
        <v>0.41010000000000002</v>
      </c>
      <c r="K127" s="28">
        <f>+[2]称号計算!Q132</f>
        <v>0.18779999999999999</v>
      </c>
      <c r="L127" s="15">
        <f>+[2]称号計算!R132</f>
        <v>0.25240000000000001</v>
      </c>
      <c r="M127" s="16">
        <f>+[2]称号計算!S132</f>
        <v>0.36890000000000001</v>
      </c>
      <c r="N127" s="28">
        <f>+[2]称号計算!T132</f>
        <v>6.4000000000000003E-3</v>
      </c>
      <c r="O127" s="15">
        <f>+[2]称号計算!U132</f>
        <v>6.4000000000000003E-3</v>
      </c>
      <c r="P127" s="15">
        <f>+[2]称号計算!V132</f>
        <v>6.4000000000000003E-3</v>
      </c>
      <c r="Q127" s="15">
        <f>+[2]称号計算!W132</f>
        <v>6.4000000000000003E-3</v>
      </c>
      <c r="R127" s="15">
        <f>+[2]称号計算!X132</f>
        <v>0.12820000000000001</v>
      </c>
      <c r="S127" s="16">
        <f>+[2]称号計算!Y132</f>
        <v>1.7100000000000001E-2</v>
      </c>
      <c r="T127" s="20">
        <f>+[2]称号計算!Z132</f>
        <v>1.3466</v>
      </c>
      <c r="U127" s="16">
        <v>0.25</v>
      </c>
    </row>
    <row r="128" spans="1:21">
      <c r="A128" s="9" t="s">
        <v>1039</v>
      </c>
      <c r="B128" s="22" t="s">
        <v>1399</v>
      </c>
      <c r="C128" s="26">
        <f>+[2]称号計算!I133</f>
        <v>0.56040000000000001</v>
      </c>
      <c r="D128" s="10">
        <f>+[2]称号計算!J133</f>
        <v>0.43980000000000002</v>
      </c>
      <c r="E128" s="10">
        <f>+[2]称号計算!K133</f>
        <v>4.8099999999999997E-2</v>
      </c>
      <c r="F128" s="10">
        <f>+[2]称号計算!L133</f>
        <v>0.74050000000000005</v>
      </c>
      <c r="G128" s="10">
        <f>+[2]称号計算!M133</f>
        <v>0.41289999999999999</v>
      </c>
      <c r="H128" s="11">
        <f>+[2]称号計算!N133</f>
        <v>0.39019999999999999</v>
      </c>
      <c r="I128" s="26">
        <f>+[2]称号計算!O133</f>
        <v>0.114</v>
      </c>
      <c r="J128" s="11">
        <f>+[2]称号計算!P133</f>
        <v>0.1797</v>
      </c>
      <c r="K128" s="26">
        <f>+[2]称号計算!Q133</f>
        <v>9.7699999999999995E-2</v>
      </c>
      <c r="L128" s="10">
        <f>+[2]称号計算!R133</f>
        <v>0.1777</v>
      </c>
      <c r="M128" s="11">
        <f>+[2]称号計算!S133</f>
        <v>0.2571</v>
      </c>
      <c r="N128" s="26">
        <f>+[2]称号計算!T133</f>
        <v>1.01E-2</v>
      </c>
      <c r="O128" s="10">
        <f>+[2]称号計算!U133</f>
        <v>1.01E-2</v>
      </c>
      <c r="P128" s="10">
        <f>+[2]称号計算!V133</f>
        <v>1.01E-2</v>
      </c>
      <c r="Q128" s="10">
        <f>+[2]称号計算!W133</f>
        <v>1.01E-2</v>
      </c>
      <c r="R128" s="10">
        <f>+[2]称号計算!X133</f>
        <v>2.7E-2</v>
      </c>
      <c r="S128" s="11">
        <f>+[2]称号計算!Y133</f>
        <v>0.2024</v>
      </c>
      <c r="T128" s="18">
        <f>+[2]称号計算!Z133</f>
        <v>0.96850000000000003</v>
      </c>
      <c r="U128" s="11">
        <v>1</v>
      </c>
    </row>
    <row r="129" spans="1:21">
      <c r="A129" s="12" t="s">
        <v>1040</v>
      </c>
      <c r="B129" s="23" t="s">
        <v>1400</v>
      </c>
      <c r="C129" s="27">
        <f>+[2]称号計算!I134</f>
        <v>0.39479999999999998</v>
      </c>
      <c r="D129" s="5">
        <f>+[2]称号計算!J134</f>
        <v>0.4738</v>
      </c>
      <c r="E129" s="5">
        <f>+[2]称号計算!K134</f>
        <v>6.2799999999999995E-2</v>
      </c>
      <c r="F129" s="5">
        <f>+[2]称号計算!L134</f>
        <v>0.89729999999999999</v>
      </c>
      <c r="G129" s="5">
        <f>+[2]称号計算!M134</f>
        <v>0.29289999999999999</v>
      </c>
      <c r="H129" s="13">
        <f>+[2]称号計算!N134</f>
        <v>0.31119999999999998</v>
      </c>
      <c r="I129" s="27">
        <f>+[2]称号計算!O134</f>
        <v>0.1777</v>
      </c>
      <c r="J129" s="13">
        <f>+[2]称号計算!P134</f>
        <v>0.2177</v>
      </c>
      <c r="K129" s="27">
        <f>+[2]称号計算!Q134</f>
        <v>0.16189999999999999</v>
      </c>
      <c r="L129" s="5">
        <f>+[2]称号計算!R134</f>
        <v>0.33019999999999999</v>
      </c>
      <c r="M129" s="13">
        <f>+[2]称号計算!S134</f>
        <v>0.26879999999999998</v>
      </c>
      <c r="N129" s="27">
        <f>+[2]称号計算!T134</f>
        <v>1.44E-2</v>
      </c>
      <c r="O129" s="5">
        <f>+[2]称号計算!U134</f>
        <v>1.44E-2</v>
      </c>
      <c r="P129" s="5">
        <f>+[2]称号計算!V134</f>
        <v>5.3800000000000001E-2</v>
      </c>
      <c r="Q129" s="5">
        <f>+[2]称号計算!W134</f>
        <v>0.21529999999999999</v>
      </c>
      <c r="R129" s="5">
        <f>+[2]称号計算!X134</f>
        <v>1.0800000000000001E-2</v>
      </c>
      <c r="S129" s="13">
        <f>+[2]称号計算!Y134</f>
        <v>1.0800000000000001E-2</v>
      </c>
      <c r="T129" s="19">
        <f>+[2]称号計算!Z134</f>
        <v>1.1266</v>
      </c>
      <c r="U129" s="13">
        <v>1</v>
      </c>
    </row>
    <row r="130" spans="1:21">
      <c r="A130" s="12" t="s">
        <v>1041</v>
      </c>
      <c r="B130" s="23" t="s">
        <v>1401</v>
      </c>
      <c r="C130" s="27">
        <f>+[2]称号計算!I135</f>
        <v>0.38229999999999997</v>
      </c>
      <c r="D130" s="5">
        <f>+[2]称号計算!J135</f>
        <v>0.41560000000000002</v>
      </c>
      <c r="E130" s="5">
        <f>+[2]称号計算!K135</f>
        <v>9.4500000000000001E-2</v>
      </c>
      <c r="F130" s="5">
        <f>+[2]称号計算!L135</f>
        <v>0.94450000000000001</v>
      </c>
      <c r="G130" s="5">
        <f>+[2]称号計算!M135</f>
        <v>0.30509999999999998</v>
      </c>
      <c r="H130" s="13">
        <f>+[2]称号計算!N135</f>
        <v>0.3372</v>
      </c>
      <c r="I130" s="27">
        <f>+[2]称号計算!O135</f>
        <v>0.20780000000000001</v>
      </c>
      <c r="J130" s="13">
        <f>+[2]称号計算!P135</f>
        <v>0.24560000000000001</v>
      </c>
      <c r="K130" s="27">
        <f>+[2]称号計算!Q135</f>
        <v>0.16619999999999999</v>
      </c>
      <c r="L130" s="5">
        <f>+[2]称号計算!R135</f>
        <v>0.3967</v>
      </c>
      <c r="M130" s="13">
        <f>+[2]称号計算!S135</f>
        <v>0.26450000000000001</v>
      </c>
      <c r="N130" s="27">
        <f>+[2]称号計算!T135</f>
        <v>7.4999999999999997E-3</v>
      </c>
      <c r="O130" s="5">
        <f>+[2]称号計算!U135</f>
        <v>7.4999999999999997E-3</v>
      </c>
      <c r="P130" s="5">
        <f>+[2]称号計算!V135</f>
        <v>7.4999999999999997E-3</v>
      </c>
      <c r="Q130" s="5">
        <f>+[2]称号計算!W135</f>
        <v>7.4999999999999997E-3</v>
      </c>
      <c r="R130" s="5">
        <f>+[2]称号計算!X135</f>
        <v>2.01E-2</v>
      </c>
      <c r="S130" s="13">
        <f>+[2]称号計算!Y135</f>
        <v>0.15040000000000001</v>
      </c>
      <c r="T130" s="19">
        <f>+[2]称号計算!Z135</f>
        <v>1.1698</v>
      </c>
      <c r="U130" s="13">
        <v>0.9</v>
      </c>
    </row>
    <row r="131" spans="1:21">
      <c r="A131" s="12" t="s">
        <v>1042</v>
      </c>
      <c r="B131" s="23" t="s">
        <v>1402</v>
      </c>
      <c r="C131" s="27">
        <f>+[2]称号計算!I136</f>
        <v>0.33429999999999999</v>
      </c>
      <c r="D131" s="5">
        <f>+[2]称号計算!J136</f>
        <v>0.15670000000000001</v>
      </c>
      <c r="E131" s="5">
        <f>+[2]称号計算!K136</f>
        <v>0.94979999999999998</v>
      </c>
      <c r="F131" s="5">
        <f>+[2]称号計算!L136</f>
        <v>7.22E-2</v>
      </c>
      <c r="G131" s="5">
        <f>+[2]称号計算!M136</f>
        <v>0.26479999999999998</v>
      </c>
      <c r="H131" s="13">
        <f>+[2]称号計算!N136</f>
        <v>0.24540000000000001</v>
      </c>
      <c r="I131" s="27">
        <f>+[2]称号計算!O136</f>
        <v>0.54330000000000001</v>
      </c>
      <c r="J131" s="13">
        <f>+[2]称号計算!P136</f>
        <v>0.27989999999999998</v>
      </c>
      <c r="K131" s="27">
        <f>+[2]称号計算!Q136</f>
        <v>0.25080000000000002</v>
      </c>
      <c r="L131" s="5">
        <f>+[2]称号計算!R136</f>
        <v>0.4027</v>
      </c>
      <c r="M131" s="13">
        <f>+[2]称号計算!S136</f>
        <v>0.43080000000000002</v>
      </c>
      <c r="N131" s="27">
        <f>+[2]称号計算!T136</f>
        <v>0.12889999999999999</v>
      </c>
      <c r="O131" s="5">
        <f>+[2]称号計算!U136</f>
        <v>2.58E-2</v>
      </c>
      <c r="P131" s="5">
        <f>+[2]称号計算!V136</f>
        <v>8.6E-3</v>
      </c>
      <c r="Q131" s="5">
        <f>+[2]称号計算!W136</f>
        <v>8.6E-3</v>
      </c>
      <c r="R131" s="5">
        <f>+[2]称号計算!X136</f>
        <v>6.4000000000000003E-3</v>
      </c>
      <c r="S131" s="13">
        <f>+[2]称号計算!Y136</f>
        <v>6.4000000000000003E-3</v>
      </c>
      <c r="T131" s="19">
        <f>+[2]称号計算!Z136</f>
        <v>1.4413</v>
      </c>
      <c r="U131" s="13">
        <v>0.55000000000000004</v>
      </c>
    </row>
    <row r="132" spans="1:21">
      <c r="A132" s="12" t="s">
        <v>1043</v>
      </c>
      <c r="B132" s="23" t="s">
        <v>1403</v>
      </c>
      <c r="C132" s="27">
        <f>+[2]称号計算!I137</f>
        <v>0.27460000000000001</v>
      </c>
      <c r="D132" s="5">
        <f>+[2]称号計算!J137</f>
        <v>0.12479999999999999</v>
      </c>
      <c r="E132" s="5">
        <f>+[2]称号計算!K137</f>
        <v>0.9456</v>
      </c>
      <c r="F132" s="5">
        <f>+[2]称号計算!L137</f>
        <v>5.1999999999999998E-2</v>
      </c>
      <c r="G132" s="5">
        <f>+[2]称号計算!M137</f>
        <v>0.22509999999999999</v>
      </c>
      <c r="H132" s="13">
        <f>+[2]称号計算!N137</f>
        <v>0.2283</v>
      </c>
      <c r="I132" s="27">
        <f>+[2]称号計算!O137</f>
        <v>0.87370000000000003</v>
      </c>
      <c r="J132" s="13">
        <f>+[2]称号計算!P137</f>
        <v>0.2918</v>
      </c>
      <c r="K132" s="27">
        <f>+[2]称号計算!Q137</f>
        <v>0.33700000000000002</v>
      </c>
      <c r="L132" s="5">
        <f>+[2]称号計算!R137</f>
        <v>0.59009999999999996</v>
      </c>
      <c r="M132" s="13">
        <f>+[2]称号計算!S137</f>
        <v>0.15890000000000001</v>
      </c>
      <c r="N132" s="27">
        <f>+[2]称号計算!T137</f>
        <v>0.1116</v>
      </c>
      <c r="O132" s="5">
        <f>+[2]称号計算!U137</f>
        <v>2.23E-2</v>
      </c>
      <c r="P132" s="5">
        <f>+[2]称号計算!V137</f>
        <v>7.4000000000000003E-3</v>
      </c>
      <c r="Q132" s="5">
        <f>+[2]称号計算!W137</f>
        <v>7.4000000000000003E-3</v>
      </c>
      <c r="R132" s="5">
        <f>+[2]称号計算!X137</f>
        <v>5.5999999999999999E-3</v>
      </c>
      <c r="S132" s="13">
        <f>+[2]称号計算!Y137</f>
        <v>5.5999999999999999E-3</v>
      </c>
      <c r="T132" s="19">
        <f>+[2]称号計算!Z137</f>
        <v>1.7433000000000001</v>
      </c>
      <c r="U132" s="13">
        <v>0.5</v>
      </c>
    </row>
    <row r="133" spans="1:21" ht="19.5" thickBot="1">
      <c r="A133" s="14" t="s">
        <v>1044</v>
      </c>
      <c r="B133" s="24" t="s">
        <v>1404</v>
      </c>
      <c r="C133" s="28">
        <f>+[2]称号計算!I138</f>
        <v>0.35780000000000001</v>
      </c>
      <c r="D133" s="15">
        <f>+[2]称号計算!J138</f>
        <v>0.40760000000000002</v>
      </c>
      <c r="E133" s="15">
        <f>+[2]称号計算!K138</f>
        <v>5.4600000000000003E-2</v>
      </c>
      <c r="F133" s="15">
        <f>+[2]称号計算!L138</f>
        <v>1.0293000000000001</v>
      </c>
      <c r="G133" s="15">
        <f>+[2]称号計算!M138</f>
        <v>0.29749999999999999</v>
      </c>
      <c r="H133" s="16">
        <f>+[2]称号計算!N138</f>
        <v>0.28349999999999997</v>
      </c>
      <c r="I133" s="28">
        <f>+[2]称号計算!O138</f>
        <v>0.2944</v>
      </c>
      <c r="J133" s="16">
        <f>+[2]称号計算!P138</f>
        <v>0.25869999999999999</v>
      </c>
      <c r="K133" s="28">
        <f>+[2]称号計算!Q138</f>
        <v>0.36230000000000001</v>
      </c>
      <c r="L133" s="15">
        <f>+[2]称号計算!R138</f>
        <v>0.70809999999999995</v>
      </c>
      <c r="M133" s="16">
        <f>+[2]称号計算!S138</f>
        <v>0.219</v>
      </c>
      <c r="N133" s="28">
        <f>+[2]称号計算!T138</f>
        <v>8.2000000000000007E-3</v>
      </c>
      <c r="O133" s="15">
        <f>+[2]称号計算!U138</f>
        <v>8.2000000000000007E-3</v>
      </c>
      <c r="P133" s="15">
        <f>+[2]称号計算!V138</f>
        <v>3.0800000000000001E-2</v>
      </c>
      <c r="Q133" s="15">
        <f>+[2]称号計算!W138</f>
        <v>0.1231</v>
      </c>
      <c r="R133" s="15">
        <f>+[2]称号計算!X138</f>
        <v>6.1999999999999998E-3</v>
      </c>
      <c r="S133" s="16">
        <f>+[2]称号計算!Y138</f>
        <v>6.1999999999999998E-3</v>
      </c>
      <c r="T133" s="20">
        <f>+[2]称号計算!Z138</f>
        <v>1.804</v>
      </c>
      <c r="U133" s="16">
        <v>0.25</v>
      </c>
    </row>
    <row r="134" spans="1:21">
      <c r="A134" s="9" t="s">
        <v>1045</v>
      </c>
      <c r="B134" s="22" t="s">
        <v>1405</v>
      </c>
      <c r="C134" s="26">
        <f>+[2]称号計算!I139</f>
        <v>0.40400000000000003</v>
      </c>
      <c r="D134" s="10">
        <f>+[2]称号計算!J139</f>
        <v>0.4869</v>
      </c>
      <c r="E134" s="10">
        <f>+[2]称号計算!K139</f>
        <v>5.4100000000000002E-2</v>
      </c>
      <c r="F134" s="10">
        <f>+[2]称号計算!L139</f>
        <v>0.81969999999999998</v>
      </c>
      <c r="G134" s="10">
        <f>+[2]称号計算!M139</f>
        <v>0.54349999999999998</v>
      </c>
      <c r="H134" s="11">
        <f>+[2]称号計算!N139</f>
        <v>0.20069999999999999</v>
      </c>
      <c r="I134" s="26">
        <f>+[2]称号計算!O139</f>
        <v>0.19839999999999999</v>
      </c>
      <c r="J134" s="11">
        <f>+[2]称号計算!P139</f>
        <v>0.21310000000000001</v>
      </c>
      <c r="K134" s="26">
        <f>+[2]称号計算!Q139</f>
        <v>0.13350000000000001</v>
      </c>
      <c r="L134" s="10">
        <f>+[2]称号計算!R139</f>
        <v>0.2853</v>
      </c>
      <c r="M134" s="11">
        <f>+[2]称号計算!S139</f>
        <v>0.21579999999999999</v>
      </c>
      <c r="N134" s="26">
        <f>+[2]称号計算!T139</f>
        <v>8.9999999999999993E-3</v>
      </c>
      <c r="O134" s="10">
        <f>+[2]称号計算!U139</f>
        <v>8.9999999999999993E-3</v>
      </c>
      <c r="P134" s="10">
        <f>+[2]称号計算!V139</f>
        <v>8.9999999999999993E-3</v>
      </c>
      <c r="Q134" s="10">
        <f>+[2]称号計算!W139</f>
        <v>8.9999999999999993E-3</v>
      </c>
      <c r="R134" s="10">
        <f>+[2]称号計算!X139</f>
        <v>2.3900000000000001E-2</v>
      </c>
      <c r="S134" s="11">
        <f>+[2]称号計算!Y139</f>
        <v>0.1792</v>
      </c>
      <c r="T134" s="18">
        <f>+[2]称号計算!Z139</f>
        <v>1.0763</v>
      </c>
      <c r="U134" s="11">
        <v>1</v>
      </c>
    </row>
    <row r="135" spans="1:21">
      <c r="A135" s="12" t="s">
        <v>1046</v>
      </c>
      <c r="B135" s="23" t="s">
        <v>1406</v>
      </c>
      <c r="C135" s="27">
        <f>+[2]称号計算!I140</f>
        <v>0.35239999999999999</v>
      </c>
      <c r="D135" s="5">
        <f>+[2]称号計算!J140</f>
        <v>0.38679999999999998</v>
      </c>
      <c r="E135" s="5">
        <f>+[2]称号計算!K140</f>
        <v>9.7699999999999995E-2</v>
      </c>
      <c r="F135" s="5">
        <f>+[2]称号計算!L140</f>
        <v>0.97670000000000001</v>
      </c>
      <c r="G135" s="5">
        <f>+[2]称号計算!M140</f>
        <v>0.2823</v>
      </c>
      <c r="H135" s="13">
        <f>+[2]称号計算!N140</f>
        <v>0.33210000000000001</v>
      </c>
      <c r="I135" s="27">
        <f>+[2]称号計算!O140</f>
        <v>0.21490000000000001</v>
      </c>
      <c r="J135" s="13">
        <f>+[2]称号計算!P140</f>
        <v>0.25390000000000001</v>
      </c>
      <c r="K135" s="27">
        <f>+[2]称号計算!Q140</f>
        <v>0.1719</v>
      </c>
      <c r="L135" s="5">
        <f>+[2]称号計算!R140</f>
        <v>0.39069999999999999</v>
      </c>
      <c r="M135" s="13">
        <f>+[2]称号計算!S140</f>
        <v>0.27350000000000002</v>
      </c>
      <c r="N135" s="27">
        <f>+[2]称号計算!T140</f>
        <v>6.8999999999999999E-3</v>
      </c>
      <c r="O135" s="5">
        <f>+[2]称号計算!U140</f>
        <v>6.8999999999999999E-3</v>
      </c>
      <c r="P135" s="5">
        <f>+[2]称号計算!V140</f>
        <v>6.8999999999999999E-3</v>
      </c>
      <c r="Q135" s="5">
        <f>+[2]称号計算!W140</f>
        <v>6.8999999999999999E-3</v>
      </c>
      <c r="R135" s="5">
        <f>+[2]称号計算!X140</f>
        <v>1.83E-2</v>
      </c>
      <c r="S135" s="13">
        <f>+[2]称号計算!Y140</f>
        <v>0.13739999999999999</v>
      </c>
      <c r="T135" s="19">
        <f>+[2]称号計算!Z140</f>
        <v>1.1613</v>
      </c>
      <c r="U135" s="13">
        <v>1</v>
      </c>
    </row>
    <row r="136" spans="1:21">
      <c r="A136" s="12" t="s">
        <v>1047</v>
      </c>
      <c r="B136" s="23" t="s">
        <v>1407</v>
      </c>
      <c r="C136" s="27">
        <f>+[2]称号計算!I141</f>
        <v>0.44409999999999999</v>
      </c>
      <c r="D136" s="5">
        <f>+[2]称号計算!J141</f>
        <v>0.4239</v>
      </c>
      <c r="E136" s="5">
        <f>+[2]称号計算!K141</f>
        <v>9.1800000000000007E-2</v>
      </c>
      <c r="F136" s="5">
        <f>+[2]称号計算!L141</f>
        <v>0.91749999999999998</v>
      </c>
      <c r="G136" s="5">
        <f>+[2]称号計算!M141</f>
        <v>0.34320000000000001</v>
      </c>
      <c r="H136" s="13">
        <f>+[2]称号計算!N141</f>
        <v>0.34320000000000001</v>
      </c>
      <c r="I136" s="27">
        <f>+[2]称号計算!O141</f>
        <v>0.28260000000000002</v>
      </c>
      <c r="J136" s="13">
        <f>+[2]称号計算!P141</f>
        <v>0.2465</v>
      </c>
      <c r="K136" s="27">
        <f>+[2]称号計算!Q141</f>
        <v>0.1938</v>
      </c>
      <c r="L136" s="5">
        <f>+[2]称号計算!R141</f>
        <v>0.36699999999999999</v>
      </c>
      <c r="M136" s="13">
        <f>+[2]称号計算!S141</f>
        <v>0.25690000000000002</v>
      </c>
      <c r="N136" s="27">
        <f>+[2]称号計算!T141</f>
        <v>8.3999999999999995E-3</v>
      </c>
      <c r="O136" s="5">
        <f>+[2]称号計算!U141</f>
        <v>8.3999999999999995E-3</v>
      </c>
      <c r="P136" s="5">
        <f>+[2]称号計算!V141</f>
        <v>8.3999999999999995E-3</v>
      </c>
      <c r="Q136" s="5">
        <f>+[2]称号計算!W141</f>
        <v>8.3999999999999995E-3</v>
      </c>
      <c r="R136" s="5">
        <f>+[2]称号計算!X141</f>
        <v>2.2499999999999999E-2</v>
      </c>
      <c r="S136" s="13">
        <f>+[2]称号計算!Y141</f>
        <v>0.16889999999999999</v>
      </c>
      <c r="T136" s="19">
        <f>+[2]称号計算!Z141</f>
        <v>1.3035000000000001</v>
      </c>
      <c r="U136" s="13">
        <v>0.9</v>
      </c>
    </row>
    <row r="137" spans="1:21">
      <c r="A137" s="12" t="s">
        <v>1048</v>
      </c>
      <c r="B137" s="23" t="s">
        <v>1408</v>
      </c>
      <c r="C137" s="27">
        <f>+[2]称号計算!I142</f>
        <v>0.41670000000000001</v>
      </c>
      <c r="D137" s="5">
        <f>+[2]称号計算!J142</f>
        <v>0.20380000000000001</v>
      </c>
      <c r="E137" s="5">
        <f>+[2]称号計算!K142</f>
        <v>1.0295000000000001</v>
      </c>
      <c r="F137" s="5">
        <f>+[2]称号計算!L142</f>
        <v>8.2400000000000001E-2</v>
      </c>
      <c r="G137" s="5">
        <f>+[2]称号計算!M142</f>
        <v>0.32200000000000001</v>
      </c>
      <c r="H137" s="13">
        <f>+[2]称号計算!N142</f>
        <v>0.29749999999999999</v>
      </c>
      <c r="I137" s="27">
        <f>+[2]称号計算!O142</f>
        <v>0.31709999999999999</v>
      </c>
      <c r="J137" s="13">
        <f>+[2]称号計算!P142</f>
        <v>0.28549999999999998</v>
      </c>
      <c r="K137" s="27">
        <f>+[2]称号計算!Q142</f>
        <v>0.222</v>
      </c>
      <c r="L137" s="5">
        <f>+[2]称号計算!R142</f>
        <v>0.3871</v>
      </c>
      <c r="M137" s="13">
        <f>+[2]称号計算!S142</f>
        <v>0.52459999999999996</v>
      </c>
      <c r="N137" s="27">
        <f>+[2]称号計算!T142</f>
        <v>7.0000000000000001E-3</v>
      </c>
      <c r="O137" s="5">
        <f>+[2]称号計算!U142</f>
        <v>7.0000000000000001E-3</v>
      </c>
      <c r="P137" s="5">
        <f>+[2]称号計算!V142</f>
        <v>7.0000000000000001E-3</v>
      </c>
      <c r="Q137" s="5">
        <f>+[2]称号計算!W142</f>
        <v>7.0000000000000001E-3</v>
      </c>
      <c r="R137" s="5">
        <f>+[2]称号計算!X142</f>
        <v>1.8800000000000001E-2</v>
      </c>
      <c r="S137" s="13">
        <f>+[2]称号計算!Y142</f>
        <v>0.1406</v>
      </c>
      <c r="T137" s="19">
        <f>+[2]称号計算!Z142</f>
        <v>1.3741000000000001</v>
      </c>
      <c r="U137" s="13">
        <v>0.55000000000000004</v>
      </c>
    </row>
    <row r="138" spans="1:21">
      <c r="A138" s="12" t="s">
        <v>1049</v>
      </c>
      <c r="B138" s="23" t="s">
        <v>1409</v>
      </c>
      <c r="C138" s="27">
        <f>+[2]称号計算!I143</f>
        <v>0.53879999999999995</v>
      </c>
      <c r="D138" s="5">
        <f>+[2]称号計算!J143</f>
        <v>0.25140000000000001</v>
      </c>
      <c r="E138" s="5">
        <f>+[2]称号計算!K143</f>
        <v>1.0204</v>
      </c>
      <c r="F138" s="5">
        <f>+[2]称号計算!L143</f>
        <v>8.4699999999999998E-2</v>
      </c>
      <c r="G138" s="5">
        <f>+[2]称号計算!M143</f>
        <v>0.26369999999999999</v>
      </c>
      <c r="H138" s="13">
        <f>+[2]称号計算!N143</f>
        <v>0.72860000000000003</v>
      </c>
      <c r="I138" s="27">
        <f>+[2]称号計算!O143</f>
        <v>0.22450000000000001</v>
      </c>
      <c r="J138" s="13">
        <f>+[2]称号計算!P143</f>
        <v>0.26</v>
      </c>
      <c r="K138" s="27">
        <f>+[2]称号計算!Q143</f>
        <v>0.22</v>
      </c>
      <c r="L138" s="5">
        <f>+[2]称号計算!R143</f>
        <v>0.40820000000000001</v>
      </c>
      <c r="M138" s="13">
        <f>+[2]称号計算!S143</f>
        <v>0.26569999999999999</v>
      </c>
      <c r="N138" s="27">
        <f>+[2]称号計算!T143</f>
        <v>1.0699999999999999E-2</v>
      </c>
      <c r="O138" s="5">
        <f>+[2]称号計算!U143</f>
        <v>1.0699999999999999E-2</v>
      </c>
      <c r="P138" s="5">
        <f>+[2]称号計算!V143</f>
        <v>1.0699999999999999E-2</v>
      </c>
      <c r="Q138" s="5">
        <f>+[2]称号計算!W143</f>
        <v>1.0699999999999999E-2</v>
      </c>
      <c r="R138" s="5">
        <f>+[2]称号計算!X143</f>
        <v>2.87E-2</v>
      </c>
      <c r="S138" s="13">
        <f>+[2]称号計算!Y143</f>
        <v>0.215</v>
      </c>
      <c r="T138" s="19">
        <f>+[2]称号計算!Z143</f>
        <v>1.4338</v>
      </c>
      <c r="U138" s="13">
        <v>0.5</v>
      </c>
    </row>
    <row r="139" spans="1:21" ht="19.5" thickBot="1">
      <c r="A139" s="14" t="s">
        <v>1050</v>
      </c>
      <c r="B139" s="24" t="s">
        <v>1410</v>
      </c>
      <c r="C139" s="28">
        <f>+[2]称号計算!I144</f>
        <v>0.57889999999999997</v>
      </c>
      <c r="D139" s="15">
        <f>+[2]称号計算!J144</f>
        <v>0.4824</v>
      </c>
      <c r="E139" s="15">
        <f>+[2]称号計算!K144</f>
        <v>8.77E-2</v>
      </c>
      <c r="F139" s="15">
        <f>+[2]称号計算!L144</f>
        <v>0.877</v>
      </c>
      <c r="G139" s="15">
        <f>+[2]称号計算!M144</f>
        <v>0.44729999999999998</v>
      </c>
      <c r="H139" s="16">
        <f>+[2]称号計算!N144</f>
        <v>0.41749999999999998</v>
      </c>
      <c r="I139" s="28">
        <f>+[2]称号計算!O144</f>
        <v>0.38590000000000002</v>
      </c>
      <c r="J139" s="16">
        <f>+[2]称号計算!P144</f>
        <v>0.26600000000000001</v>
      </c>
      <c r="K139" s="28">
        <f>+[2]称号計算!Q144</f>
        <v>0.1852</v>
      </c>
      <c r="L139" s="15">
        <f>+[2]称号計算!R144</f>
        <v>0.42099999999999999</v>
      </c>
      <c r="M139" s="16">
        <f>+[2]称号計算!S144</f>
        <v>0.29470000000000002</v>
      </c>
      <c r="N139" s="28">
        <f>+[2]称号計算!T144</f>
        <v>4.6899999999999997E-2</v>
      </c>
      <c r="O139" s="15">
        <f>+[2]称号計算!U144</f>
        <v>0.2346</v>
      </c>
      <c r="P139" s="15">
        <f>+[2]称号計算!V144</f>
        <v>1.5599999999999999E-2</v>
      </c>
      <c r="Q139" s="15">
        <f>+[2]称号計算!W144</f>
        <v>1.5599999999999999E-2</v>
      </c>
      <c r="R139" s="15">
        <f>+[2]称号計算!X144</f>
        <v>1.17E-2</v>
      </c>
      <c r="S139" s="16">
        <f>+[2]称号計算!Y144</f>
        <v>1.17E-2</v>
      </c>
      <c r="T139" s="20">
        <f>+[2]称号計算!Z144</f>
        <v>1.4812000000000001</v>
      </c>
      <c r="U139" s="16">
        <v>0.25</v>
      </c>
    </row>
    <row r="140" spans="1:21">
      <c r="A140" s="9" t="s">
        <v>1051</v>
      </c>
      <c r="B140" s="22" t="s">
        <v>1411</v>
      </c>
      <c r="C140" s="26">
        <f>+[2]称号計算!I145</f>
        <v>0.19650000000000001</v>
      </c>
      <c r="D140" s="10">
        <f>+[2]称号計算!J145</f>
        <v>0.53590000000000004</v>
      </c>
      <c r="E140" s="10">
        <f>+[2]称号計算!K145</f>
        <v>6.5000000000000002E-2</v>
      </c>
      <c r="F140" s="10">
        <f>+[2]称号計算!L145</f>
        <v>0.81189999999999996</v>
      </c>
      <c r="G140" s="10">
        <f>+[2]称号計算!M145</f>
        <v>0.40029999999999999</v>
      </c>
      <c r="H140" s="11">
        <f>+[2]称号計算!N145</f>
        <v>0.62109999999999999</v>
      </c>
      <c r="I140" s="26">
        <f>+[2]称号計算!O145</f>
        <v>0.1429</v>
      </c>
      <c r="J140" s="11">
        <f>+[2]称号計算!P145</f>
        <v>0.19420000000000001</v>
      </c>
      <c r="K140" s="26">
        <f>+[2]称号計算!Q145</f>
        <v>0.15720000000000001</v>
      </c>
      <c r="L140" s="10">
        <f>+[2]称号計算!R145</f>
        <v>0.2858</v>
      </c>
      <c r="M140" s="11">
        <f>+[2]称号計算!S145</f>
        <v>0.28639999999999999</v>
      </c>
      <c r="N140" s="26">
        <f>+[2]称号計算!T145</f>
        <v>0.2218</v>
      </c>
      <c r="O140" s="10">
        <f>+[2]称号計算!U145</f>
        <v>4.4400000000000002E-2</v>
      </c>
      <c r="P140" s="10">
        <f>+[2]称号計算!V145</f>
        <v>1.4800000000000001E-2</v>
      </c>
      <c r="Q140" s="10">
        <f>+[2]称号計算!W145</f>
        <v>1.4800000000000001E-2</v>
      </c>
      <c r="R140" s="10">
        <f>+[2]称号計算!X145</f>
        <v>1.11E-2</v>
      </c>
      <c r="S140" s="11">
        <f>+[2]称号計算!Y145</f>
        <v>1.11E-2</v>
      </c>
      <c r="T140" s="18">
        <f>+[2]称号計算!Z145</f>
        <v>1.1913</v>
      </c>
      <c r="U140" s="11">
        <v>1</v>
      </c>
    </row>
    <row r="141" spans="1:21">
      <c r="A141" s="12" t="s">
        <v>1052</v>
      </c>
      <c r="B141" s="23" t="s">
        <v>1412</v>
      </c>
      <c r="C141" s="27">
        <f>+[2]称号計算!I146</f>
        <v>0.39539999999999997</v>
      </c>
      <c r="D141" s="5">
        <f>+[2]称号計算!J146</f>
        <v>0.57340000000000002</v>
      </c>
      <c r="E141" s="5">
        <f>+[2]称号計算!K146</f>
        <v>8.9899999999999994E-2</v>
      </c>
      <c r="F141" s="5">
        <f>+[2]称号計算!L146</f>
        <v>0.89870000000000005</v>
      </c>
      <c r="G141" s="5">
        <f>+[2]称号計算!M146</f>
        <v>0.30559999999999998</v>
      </c>
      <c r="H141" s="13">
        <f>+[2]称号計算!N146</f>
        <v>0.36670000000000003</v>
      </c>
      <c r="I141" s="27">
        <f>+[2]称号計算!O146</f>
        <v>0.23730000000000001</v>
      </c>
      <c r="J141" s="13">
        <f>+[2]称号計算!P146</f>
        <v>0.21809999999999999</v>
      </c>
      <c r="K141" s="27">
        <f>+[2]称号計算!Q146</f>
        <v>0.1661</v>
      </c>
      <c r="L141" s="5">
        <f>+[2]称号計算!R146</f>
        <v>0.34150000000000003</v>
      </c>
      <c r="M141" s="13">
        <f>+[2]称号計算!S146</f>
        <v>0.28939999999999999</v>
      </c>
      <c r="N141" s="27">
        <f>+[2]称号計算!T146</f>
        <v>3.4799999999999998E-2</v>
      </c>
      <c r="O141" s="5">
        <f>+[2]称号計算!U146</f>
        <v>0.1739</v>
      </c>
      <c r="P141" s="5">
        <f>+[2]称号計算!V146</f>
        <v>1.1599999999999999E-2</v>
      </c>
      <c r="Q141" s="5">
        <f>+[2]称号計算!W146</f>
        <v>1.1599999999999999E-2</v>
      </c>
      <c r="R141" s="5">
        <f>+[2]称号計算!X146</f>
        <v>8.6999999999999994E-3</v>
      </c>
      <c r="S141" s="13">
        <f>+[2]称号計算!Y146</f>
        <v>8.6999999999999994E-3</v>
      </c>
      <c r="T141" s="19">
        <f>+[2]称号計算!Z146</f>
        <v>1.2293000000000001</v>
      </c>
      <c r="U141" s="13">
        <v>1</v>
      </c>
    </row>
    <row r="142" spans="1:21">
      <c r="A142" s="12" t="s">
        <v>1053</v>
      </c>
      <c r="B142" s="23" t="s">
        <v>1413</v>
      </c>
      <c r="C142" s="27">
        <f>+[2]称号計算!I147</f>
        <v>0.4098</v>
      </c>
      <c r="D142" s="5">
        <f>+[2]称号計算!J147</f>
        <v>0.46949999999999997</v>
      </c>
      <c r="E142" s="5">
        <f>+[2]称号計算!K147</f>
        <v>6.0100000000000001E-2</v>
      </c>
      <c r="F142" s="5">
        <f>+[2]称号計算!L147</f>
        <v>0.97009999999999996</v>
      </c>
      <c r="G142" s="5">
        <f>+[2]称号計算!M147</f>
        <v>0.27050000000000002</v>
      </c>
      <c r="H142" s="13">
        <f>+[2]称号計算!N147</f>
        <v>0.30020000000000002</v>
      </c>
      <c r="I142" s="27">
        <f>+[2]称号計算!O147</f>
        <v>0.25609999999999999</v>
      </c>
      <c r="J142" s="13">
        <f>+[2]称号計算!P147</f>
        <v>0.26910000000000001</v>
      </c>
      <c r="K142" s="27">
        <f>+[2]称号計算!Q147</f>
        <v>0.19209999999999999</v>
      </c>
      <c r="L142" s="5">
        <f>+[2]称号計算!R147</f>
        <v>0.35310000000000002</v>
      </c>
      <c r="M142" s="13">
        <f>+[2]称号計算!S147</f>
        <v>0.5161</v>
      </c>
      <c r="N142" s="27">
        <f>+[2]称号計算!T147</f>
        <v>0.1497</v>
      </c>
      <c r="O142" s="5">
        <f>+[2]称号計算!U147</f>
        <v>2.9899999999999999E-2</v>
      </c>
      <c r="P142" s="5">
        <f>+[2]称号計算!V147</f>
        <v>0.01</v>
      </c>
      <c r="Q142" s="5">
        <f>+[2]称号計算!W147</f>
        <v>0.01</v>
      </c>
      <c r="R142" s="5">
        <f>+[2]称号計算!X147</f>
        <v>7.4999999999999997E-3</v>
      </c>
      <c r="S142" s="13">
        <f>+[2]称号計算!Y147</f>
        <v>7.4999999999999997E-3</v>
      </c>
      <c r="T142" s="19">
        <f>+[2]称号計算!Z147</f>
        <v>1.3217000000000001</v>
      </c>
      <c r="U142" s="13">
        <v>0.9</v>
      </c>
    </row>
    <row r="143" spans="1:21">
      <c r="A143" s="12" t="s">
        <v>1054</v>
      </c>
      <c r="B143" s="23" t="s">
        <v>1414</v>
      </c>
      <c r="C143" s="27">
        <f>+[2]称号計算!I148</f>
        <v>0.35049999999999998</v>
      </c>
      <c r="D143" s="5">
        <f>+[2]称号計算!J148</f>
        <v>0.14499999999999999</v>
      </c>
      <c r="E143" s="5">
        <f>+[2]称号計算!K148</f>
        <v>0.91549999999999998</v>
      </c>
      <c r="F143" s="5">
        <f>+[2]称号計算!L148</f>
        <v>5.9499999999999997E-2</v>
      </c>
      <c r="G143" s="5">
        <f>+[2]称号計算!M148</f>
        <v>0.26769999999999999</v>
      </c>
      <c r="H143" s="13">
        <f>+[2]称号計算!N148</f>
        <v>0.2397</v>
      </c>
      <c r="I143" s="27">
        <f>+[2]称号計算!O148</f>
        <v>1.0876999999999999</v>
      </c>
      <c r="J143" s="13">
        <f>+[2]称号計算!P148</f>
        <v>0.3221</v>
      </c>
      <c r="K143" s="27">
        <f>+[2]称号計算!Q148</f>
        <v>0.22159999999999999</v>
      </c>
      <c r="L143" s="5">
        <f>+[2]称号計算!R148</f>
        <v>0.38090000000000002</v>
      </c>
      <c r="M143" s="13">
        <f>+[2]称号計算!S148</f>
        <v>0.26150000000000001</v>
      </c>
      <c r="N143" s="27">
        <f>+[2]称号計算!T148</f>
        <v>6.4999999999999997E-3</v>
      </c>
      <c r="O143" s="5">
        <f>+[2]称号計算!U148</f>
        <v>6.4999999999999997E-3</v>
      </c>
      <c r="P143" s="5">
        <f>+[2]称号計算!V148</f>
        <v>6.4999999999999997E-3</v>
      </c>
      <c r="Q143" s="5">
        <f>+[2]称号計算!W148</f>
        <v>6.4999999999999997E-3</v>
      </c>
      <c r="R143" s="5">
        <f>+[2]称号計算!X148</f>
        <v>1.72E-2</v>
      </c>
      <c r="S143" s="13">
        <f>+[2]称号計算!Y148</f>
        <v>0.12920000000000001</v>
      </c>
      <c r="T143" s="19">
        <f>+[2]称号計算!Z148</f>
        <v>1.4999</v>
      </c>
      <c r="U143" s="13">
        <v>0.55000000000000004</v>
      </c>
    </row>
    <row r="144" spans="1:21">
      <c r="A144" s="12" t="s">
        <v>1055</v>
      </c>
      <c r="B144" s="23" t="s">
        <v>1415</v>
      </c>
      <c r="C144" s="27">
        <f>+[2]称号計算!I149</f>
        <v>0.48470000000000002</v>
      </c>
      <c r="D144" s="5">
        <f>+[2]称号計算!J149</f>
        <v>0.26340000000000002</v>
      </c>
      <c r="E144" s="5">
        <f>+[2]称号計算!K149</f>
        <v>1.1975</v>
      </c>
      <c r="F144" s="5">
        <f>+[2]称号計算!L149</f>
        <v>0.1197</v>
      </c>
      <c r="G144" s="5">
        <f>+[2]称号計算!M149</f>
        <v>0.38679999999999998</v>
      </c>
      <c r="H144" s="13">
        <f>+[2]称号計算!N149</f>
        <v>0.42749999999999999</v>
      </c>
      <c r="I144" s="27">
        <f>+[2]称号計算!O149</f>
        <v>0.26340000000000002</v>
      </c>
      <c r="J144" s="13">
        <f>+[2]称号計算!P149</f>
        <v>0.31130000000000002</v>
      </c>
      <c r="K144" s="27">
        <f>+[2]称号計算!Q149</f>
        <v>0.21079999999999999</v>
      </c>
      <c r="L144" s="5">
        <f>+[2]称号計算!R149</f>
        <v>0.50290000000000001</v>
      </c>
      <c r="M144" s="13">
        <f>+[2]称号計算!S149</f>
        <v>0.26819999999999999</v>
      </c>
      <c r="N144" s="27">
        <f>+[2]称号計算!T149</f>
        <v>9.1999999999999998E-3</v>
      </c>
      <c r="O144" s="5">
        <f>+[2]称号計算!U149</f>
        <v>9.1999999999999998E-3</v>
      </c>
      <c r="P144" s="5">
        <f>+[2]称号計算!V149</f>
        <v>9.1999999999999998E-3</v>
      </c>
      <c r="Q144" s="5">
        <f>+[2]称号計算!W149</f>
        <v>9.1999999999999998E-3</v>
      </c>
      <c r="R144" s="5">
        <f>+[2]称号計算!X149</f>
        <v>2.46E-2</v>
      </c>
      <c r="S144" s="13">
        <f>+[2]称号計算!Y149</f>
        <v>0.18459999999999999</v>
      </c>
      <c r="T144" s="19">
        <f>+[2]称号計算!Z149</f>
        <v>1.3802000000000001</v>
      </c>
      <c r="U144" s="13">
        <v>0.5</v>
      </c>
    </row>
    <row r="145" spans="1:21" ht="19.5" thickBot="1">
      <c r="A145" s="14" t="s">
        <v>1056</v>
      </c>
      <c r="B145" s="24" t="s">
        <v>1416</v>
      </c>
      <c r="C145" s="28">
        <f>+[2]称号計算!I150</f>
        <v>0.30859999999999999</v>
      </c>
      <c r="D145" s="15">
        <f>+[2]称号計算!J150</f>
        <v>0.50660000000000005</v>
      </c>
      <c r="E145" s="15">
        <f>+[2]称号計算!K150</f>
        <v>5.4399999999999997E-2</v>
      </c>
      <c r="F145" s="15">
        <f>+[2]称号計算!L150</f>
        <v>1.0467</v>
      </c>
      <c r="G145" s="15">
        <f>+[2]称号計算!M150</f>
        <v>0.23130000000000001</v>
      </c>
      <c r="H145" s="16">
        <f>+[2]称号計算!N150</f>
        <v>0.28470000000000001</v>
      </c>
      <c r="I145" s="28">
        <f>+[2]称号計算!O150</f>
        <v>0.82899999999999996</v>
      </c>
      <c r="J145" s="16">
        <f>+[2]称号計算!P150</f>
        <v>0.33560000000000001</v>
      </c>
      <c r="K145" s="28">
        <f>+[2]称号計算!Q150</f>
        <v>0.1888</v>
      </c>
      <c r="L145" s="15">
        <f>+[2]称号計算!R150</f>
        <v>0.314</v>
      </c>
      <c r="M145" s="16">
        <f>+[2]称号計算!S150</f>
        <v>0.52170000000000005</v>
      </c>
      <c r="N145" s="28">
        <f>+[2]称号計算!T150</f>
        <v>7.0000000000000001E-3</v>
      </c>
      <c r="O145" s="15">
        <f>+[2]称号計算!U150</f>
        <v>7.0000000000000001E-3</v>
      </c>
      <c r="P145" s="15">
        <f>+[2]称号計算!V150</f>
        <v>7.0000000000000001E-3</v>
      </c>
      <c r="Q145" s="15">
        <f>+[2]称号計算!W150</f>
        <v>7.0000000000000001E-3</v>
      </c>
      <c r="R145" s="15">
        <f>+[2]称号計算!X150</f>
        <v>1.8700000000000001E-2</v>
      </c>
      <c r="S145" s="16">
        <f>+[2]称号計算!Y150</f>
        <v>0.14050000000000001</v>
      </c>
      <c r="T145" s="20">
        <f>+[2]称号計算!Z150</f>
        <v>1.4505999999999999</v>
      </c>
      <c r="U145" s="16">
        <v>0.25</v>
      </c>
    </row>
    <row r="146" spans="1:21">
      <c r="A146" s="9" t="s">
        <v>1057</v>
      </c>
      <c r="B146" s="22" t="s">
        <v>1417</v>
      </c>
      <c r="C146" s="26">
        <f>+[2]称号計算!I151</f>
        <v>0.31509999999999999</v>
      </c>
      <c r="D146" s="10">
        <f>+[2]称号計算!J151</f>
        <v>0.46460000000000001</v>
      </c>
      <c r="E146" s="10">
        <f>+[2]称号計算!K151</f>
        <v>9.1800000000000007E-2</v>
      </c>
      <c r="F146" s="10">
        <f>+[2]称号計算!L151</f>
        <v>0.91810000000000003</v>
      </c>
      <c r="G146" s="10">
        <f>+[2]称号計算!M151</f>
        <v>0.2341</v>
      </c>
      <c r="H146" s="11">
        <f>+[2]称号計算!N151</f>
        <v>0.24970000000000001</v>
      </c>
      <c r="I146" s="26">
        <f>+[2]称号計算!O151</f>
        <v>0.44440000000000002</v>
      </c>
      <c r="J146" s="11">
        <f>+[2]称号計算!P151</f>
        <v>0.2626</v>
      </c>
      <c r="K146" s="26">
        <f>+[2]称号計算!Q151</f>
        <v>0.17780000000000001</v>
      </c>
      <c r="L146" s="10">
        <f>+[2]称号計算!R151</f>
        <v>0.40400000000000003</v>
      </c>
      <c r="M146" s="11">
        <f>+[2]称号計算!S151</f>
        <v>0.2828</v>
      </c>
      <c r="N146" s="26">
        <f>+[2]称号計算!T151</f>
        <v>8.6E-3</v>
      </c>
      <c r="O146" s="10">
        <f>+[2]称号計算!U151</f>
        <v>8.6E-3</v>
      </c>
      <c r="P146" s="10">
        <f>+[2]称号計算!V151</f>
        <v>0.12920000000000001</v>
      </c>
      <c r="Q146" s="10">
        <f>+[2]称号計算!W151</f>
        <v>3.2300000000000002E-2</v>
      </c>
      <c r="R146" s="10">
        <f>+[2]称号計算!X151</f>
        <v>6.4999999999999997E-3</v>
      </c>
      <c r="S146" s="11">
        <f>+[2]称号計算!Y151</f>
        <v>6.4999999999999997E-3</v>
      </c>
      <c r="T146" s="18">
        <f>+[2]称号計算!Z151</f>
        <v>1.2388999999999999</v>
      </c>
      <c r="U146" s="11">
        <v>1</v>
      </c>
    </row>
    <row r="147" spans="1:21">
      <c r="A147" s="12" t="s">
        <v>1058</v>
      </c>
      <c r="B147" s="23" t="s">
        <v>1418</v>
      </c>
      <c r="C147" s="27">
        <f>+[2]称号計算!I152</f>
        <v>0.66190000000000004</v>
      </c>
      <c r="D147" s="5">
        <f>+[2]称号計算!J152</f>
        <v>0.51949999999999996</v>
      </c>
      <c r="E147" s="5">
        <f>+[2]称号計算!K152</f>
        <v>5.6800000000000003E-2</v>
      </c>
      <c r="F147" s="5">
        <f>+[2]称号計算!L152</f>
        <v>0.87460000000000004</v>
      </c>
      <c r="G147" s="5">
        <f>+[2]称号計算!M152</f>
        <v>0.48770000000000002</v>
      </c>
      <c r="H147" s="13">
        <f>+[2]称号計算!N152</f>
        <v>0.46089999999999998</v>
      </c>
      <c r="I147" s="27">
        <f>+[2]称号計算!O152</f>
        <v>0.13469999999999999</v>
      </c>
      <c r="J147" s="13">
        <f>+[2]称号計算!P152</f>
        <v>0.2122</v>
      </c>
      <c r="K147" s="27">
        <f>+[2]称号計算!Q152</f>
        <v>0.1154</v>
      </c>
      <c r="L147" s="5">
        <f>+[2]称号計算!R152</f>
        <v>0.2099</v>
      </c>
      <c r="M147" s="13">
        <f>+[2]称号計算!S152</f>
        <v>0.30359999999999998</v>
      </c>
      <c r="N147" s="27">
        <f>+[2]称号計算!T152</f>
        <v>4.7800000000000002E-2</v>
      </c>
      <c r="O147" s="5">
        <f>+[2]称号計算!U152</f>
        <v>0.23899999999999999</v>
      </c>
      <c r="P147" s="5">
        <f>+[2]称号計算!V152</f>
        <v>1.5900000000000001E-2</v>
      </c>
      <c r="Q147" s="5">
        <f>+[2]称号計算!W152</f>
        <v>1.5900000000000001E-2</v>
      </c>
      <c r="R147" s="5">
        <f>+[2]称号計算!X152</f>
        <v>1.2E-2</v>
      </c>
      <c r="S147" s="13">
        <f>+[2]称号計算!Y152</f>
        <v>1.2E-2</v>
      </c>
      <c r="T147" s="19">
        <f>+[2]称号計算!Z152</f>
        <v>1.1438999999999999</v>
      </c>
      <c r="U147" s="13">
        <v>1</v>
      </c>
    </row>
    <row r="148" spans="1:21">
      <c r="A148" s="12" t="s">
        <v>1059</v>
      </c>
      <c r="B148" s="23" t="s">
        <v>1419</v>
      </c>
      <c r="C148" s="27">
        <f>+[2]称号計算!I153</f>
        <v>0.46529999999999999</v>
      </c>
      <c r="D148" s="5">
        <f>+[2]称号計算!J153</f>
        <v>0.55830000000000002</v>
      </c>
      <c r="E148" s="5">
        <f>+[2]称号計算!K153</f>
        <v>7.3999999999999996E-2</v>
      </c>
      <c r="F148" s="5">
        <f>+[2]称号計算!L153</f>
        <v>1.0573999999999999</v>
      </c>
      <c r="G148" s="5">
        <f>+[2]称号計算!M153</f>
        <v>0.34510000000000002</v>
      </c>
      <c r="H148" s="13">
        <f>+[2]称号計算!N153</f>
        <v>0.36670000000000003</v>
      </c>
      <c r="I148" s="27">
        <f>+[2]称号計算!O153</f>
        <v>0.2094</v>
      </c>
      <c r="J148" s="13">
        <f>+[2]称号計算!P153</f>
        <v>0.25659999999999999</v>
      </c>
      <c r="K148" s="27">
        <f>+[2]称号計算!Q153</f>
        <v>0.1908</v>
      </c>
      <c r="L148" s="5">
        <f>+[2]称号計算!R153</f>
        <v>0.3891</v>
      </c>
      <c r="M148" s="13">
        <f>+[2]称号計算!S153</f>
        <v>0.31680000000000003</v>
      </c>
      <c r="N148" s="27">
        <f>+[2]称号計算!T153</f>
        <v>1.2699999999999999E-2</v>
      </c>
      <c r="O148" s="5">
        <f>+[2]称号計算!U153</f>
        <v>1.2699999999999999E-2</v>
      </c>
      <c r="P148" s="5">
        <f>+[2]称号計算!V153</f>
        <v>1.2699999999999999E-2</v>
      </c>
      <c r="Q148" s="5">
        <f>+[2]称号計算!W153</f>
        <v>1.2699999999999999E-2</v>
      </c>
      <c r="R148" s="5">
        <f>+[2]称号計算!X153</f>
        <v>3.3799999999999997E-2</v>
      </c>
      <c r="S148" s="13">
        <f>+[2]称号計算!Y153</f>
        <v>0.25380000000000003</v>
      </c>
      <c r="T148" s="19">
        <f>+[2]称号計算!Z153</f>
        <v>1.3275999999999999</v>
      </c>
      <c r="U148" s="13">
        <v>0.9</v>
      </c>
    </row>
    <row r="149" spans="1:21">
      <c r="A149" s="12" t="s">
        <v>1060</v>
      </c>
      <c r="B149" s="23" t="s">
        <v>1420</v>
      </c>
      <c r="C149" s="27">
        <f>+[2]称号計算!I154</f>
        <v>0.62250000000000005</v>
      </c>
      <c r="D149" s="5">
        <f>+[2]称号計算!J154</f>
        <v>0.20749999999999999</v>
      </c>
      <c r="E149" s="5">
        <f>+[2]称号計算!K154</f>
        <v>1.0481</v>
      </c>
      <c r="F149" s="5">
        <f>+[2]称号計算!L154</f>
        <v>0.1048</v>
      </c>
      <c r="G149" s="5">
        <f>+[2]称号計算!M154</f>
        <v>0.49890000000000001</v>
      </c>
      <c r="H149" s="13">
        <f>+[2]称号計算!N154</f>
        <v>0.35630000000000001</v>
      </c>
      <c r="I149" s="27">
        <f>+[2]称号計算!O154</f>
        <v>0.36890000000000001</v>
      </c>
      <c r="J149" s="13">
        <f>+[2]称号計算!P154</f>
        <v>0.29070000000000001</v>
      </c>
      <c r="K149" s="27">
        <f>+[2]称号計算!Q154</f>
        <v>0.249</v>
      </c>
      <c r="L149" s="5">
        <f>+[2]称号計算!R154</f>
        <v>0.44019999999999998</v>
      </c>
      <c r="M149" s="13">
        <f>+[2]称号計算!S154</f>
        <v>0.23480000000000001</v>
      </c>
      <c r="N149" s="27">
        <f>+[2]称号計算!T154</f>
        <v>1.11E-2</v>
      </c>
      <c r="O149" s="5">
        <f>+[2]称号計算!U154</f>
        <v>1.11E-2</v>
      </c>
      <c r="P149" s="5">
        <f>+[2]称号計算!V154</f>
        <v>1.11E-2</v>
      </c>
      <c r="Q149" s="5">
        <f>+[2]称号計算!W154</f>
        <v>1.11E-2</v>
      </c>
      <c r="R149" s="5">
        <f>+[2]称号計算!X154</f>
        <v>2.9700000000000001E-2</v>
      </c>
      <c r="S149" s="13">
        <f>+[2]称号計算!Y154</f>
        <v>0.22289999999999999</v>
      </c>
      <c r="T149" s="19">
        <f>+[2]称号計算!Z154</f>
        <v>1.5476000000000001</v>
      </c>
      <c r="U149" s="13">
        <v>0.55000000000000004</v>
      </c>
    </row>
    <row r="150" spans="1:21">
      <c r="A150" s="12" t="s">
        <v>1061</v>
      </c>
      <c r="B150" s="23" t="s">
        <v>1421</v>
      </c>
      <c r="C150" s="27">
        <f>+[2]称号計算!I155</f>
        <v>0.39240000000000003</v>
      </c>
      <c r="D150" s="5">
        <f>+[2]称号計算!J155</f>
        <v>0.184</v>
      </c>
      <c r="E150" s="5">
        <f>+[2]称号計算!K155</f>
        <v>1.1149</v>
      </c>
      <c r="F150" s="5">
        <f>+[2]称号計算!L155</f>
        <v>8.4699999999999998E-2</v>
      </c>
      <c r="G150" s="5">
        <f>+[2]称号計算!M155</f>
        <v>0.31080000000000002</v>
      </c>
      <c r="H150" s="13">
        <f>+[2]称号計算!N155</f>
        <v>0.28810000000000002</v>
      </c>
      <c r="I150" s="27">
        <f>+[2]称号計算!O155</f>
        <v>0.63770000000000004</v>
      </c>
      <c r="J150" s="13">
        <f>+[2]称号計算!P155</f>
        <v>0.32850000000000001</v>
      </c>
      <c r="K150" s="27">
        <f>+[2]称号計算!Q155</f>
        <v>0.29430000000000001</v>
      </c>
      <c r="L150" s="5">
        <f>+[2]称号計算!R155</f>
        <v>0.47270000000000001</v>
      </c>
      <c r="M150" s="13">
        <f>+[2]称号計算!S155</f>
        <v>0.50570000000000004</v>
      </c>
      <c r="N150" s="27">
        <f>+[2]称号計算!T155</f>
        <v>7.6E-3</v>
      </c>
      <c r="O150" s="5">
        <f>+[2]称号計算!U155</f>
        <v>7.6E-3</v>
      </c>
      <c r="P150" s="5">
        <f>+[2]称号計算!V155</f>
        <v>7.6E-3</v>
      </c>
      <c r="Q150" s="5">
        <f>+[2]称号計算!W155</f>
        <v>7.6E-3</v>
      </c>
      <c r="R150" s="5">
        <f>+[2]称号計算!X155</f>
        <v>2.0199999999999999E-2</v>
      </c>
      <c r="S150" s="13">
        <f>+[2]称号計算!Y155</f>
        <v>0.15129999999999999</v>
      </c>
      <c r="T150" s="19">
        <f>+[2]称号計算!Z155</f>
        <v>1.6918</v>
      </c>
      <c r="U150" s="13">
        <v>0.5</v>
      </c>
    </row>
    <row r="151" spans="1:21" ht="19.5" thickBot="1">
      <c r="A151" s="14" t="s">
        <v>1062</v>
      </c>
      <c r="B151" s="24" t="s">
        <v>1422</v>
      </c>
      <c r="C151" s="28">
        <f>+[2]称号計算!I156</f>
        <v>0.31730000000000003</v>
      </c>
      <c r="D151" s="15">
        <f>+[2]称号計算!J156</f>
        <v>0.51290000000000002</v>
      </c>
      <c r="E151" s="15">
        <f>+[2]称号計算!K156</f>
        <v>5.5300000000000002E-2</v>
      </c>
      <c r="F151" s="15">
        <f>+[2]称号計算!L156</f>
        <v>0.98799999999999999</v>
      </c>
      <c r="G151" s="15">
        <f>+[2]称号計算!M156</f>
        <v>0.2586</v>
      </c>
      <c r="H151" s="16">
        <f>+[2]称号計算!N156</f>
        <v>0.28549999999999998</v>
      </c>
      <c r="I151" s="28">
        <f>+[2]称号計算!O156</f>
        <v>1.1302000000000001</v>
      </c>
      <c r="J151" s="16">
        <f>+[2]称号計算!P156</f>
        <v>0.33389999999999997</v>
      </c>
      <c r="K151" s="28">
        <f>+[2]称号計算!Q156</f>
        <v>0.23910000000000001</v>
      </c>
      <c r="L151" s="15">
        <f>+[2]称号計算!R156</f>
        <v>0.37540000000000001</v>
      </c>
      <c r="M151" s="16">
        <f>+[2]称号計算!S156</f>
        <v>0.30980000000000002</v>
      </c>
      <c r="N151" s="28">
        <f>+[2]称号計算!T156</f>
        <v>7.7000000000000002E-3</v>
      </c>
      <c r="O151" s="15">
        <f>+[2]称号計算!U156</f>
        <v>7.7000000000000002E-3</v>
      </c>
      <c r="P151" s="15">
        <f>+[2]称号計算!V156</f>
        <v>7.7000000000000002E-3</v>
      </c>
      <c r="Q151" s="15">
        <f>+[2]称号計算!W156</f>
        <v>7.7000000000000002E-3</v>
      </c>
      <c r="R151" s="15">
        <f>+[2]称号計算!X156</f>
        <v>2.0500000000000001E-2</v>
      </c>
      <c r="S151" s="16">
        <f>+[2]称号計算!Y156</f>
        <v>0.15379999999999999</v>
      </c>
      <c r="T151" s="20">
        <f>+[2]称号計算!Z156</f>
        <v>1.6955</v>
      </c>
      <c r="U151" s="16">
        <v>0.25</v>
      </c>
    </row>
    <row r="152" spans="1:21">
      <c r="A152" s="9" t="s">
        <v>1063</v>
      </c>
      <c r="B152" s="22" t="s">
        <v>1423</v>
      </c>
      <c r="C152" s="26">
        <f>+[2]称号計算!I157</f>
        <v>0.26319999999999999</v>
      </c>
      <c r="D152" s="10">
        <f>+[2]称号計算!J157</f>
        <v>0.35399999999999998</v>
      </c>
      <c r="E152" s="10">
        <f>+[2]称号計算!K157</f>
        <v>5.16E-2</v>
      </c>
      <c r="F152" s="10">
        <f>+[2]称号計算!L157</f>
        <v>1.0313000000000001</v>
      </c>
      <c r="G152" s="10">
        <f>+[2]称号計算!M157</f>
        <v>0.22439999999999999</v>
      </c>
      <c r="H152" s="11">
        <f>+[2]称号計算!N157</f>
        <v>0.22789999999999999</v>
      </c>
      <c r="I152" s="26">
        <f>+[2]称号計算!O157</f>
        <v>0.36299999999999999</v>
      </c>
      <c r="J152" s="11">
        <f>+[2]称号計算!P157</f>
        <v>0.27710000000000001</v>
      </c>
      <c r="K152" s="26">
        <f>+[2]称号計算!Q157</f>
        <v>0.38119999999999998</v>
      </c>
      <c r="L152" s="10">
        <f>+[2]称号計算!R157</f>
        <v>0.5363</v>
      </c>
      <c r="M152" s="11">
        <f>+[2]称号計算!S157</f>
        <v>0.2888</v>
      </c>
      <c r="N152" s="26">
        <f>+[2]称号計算!T157</f>
        <v>5.1000000000000004E-3</v>
      </c>
      <c r="O152" s="10">
        <f>+[2]称号計算!U157</f>
        <v>5.1000000000000004E-3</v>
      </c>
      <c r="P152" s="10">
        <f>+[2]称号計算!V157</f>
        <v>5.1000000000000004E-3</v>
      </c>
      <c r="Q152" s="10">
        <f>+[2]称号計算!W157</f>
        <v>5.1000000000000004E-3</v>
      </c>
      <c r="R152" s="10">
        <f>+[2]称号計算!X157</f>
        <v>1.3599999999999999E-2</v>
      </c>
      <c r="S152" s="11">
        <f>+[2]称号計算!Y157</f>
        <v>0.1024</v>
      </c>
      <c r="T152" s="18">
        <f>+[2]称号計算!Z157</f>
        <v>1.7327999999999999</v>
      </c>
      <c r="U152" s="11">
        <v>1</v>
      </c>
    </row>
    <row r="153" spans="1:21">
      <c r="A153" s="12" t="s">
        <v>1064</v>
      </c>
      <c r="B153" s="23" t="s">
        <v>1424</v>
      </c>
      <c r="C153" s="27">
        <f>+[2]称号計算!I158</f>
        <v>0.47710000000000002</v>
      </c>
      <c r="D153" s="5">
        <f>+[2]称号計算!J158</f>
        <v>0.57509999999999994</v>
      </c>
      <c r="E153" s="5">
        <f>+[2]称号計算!K158</f>
        <v>6.3899999999999998E-2</v>
      </c>
      <c r="F153" s="5">
        <f>+[2]称号計算!L158</f>
        <v>0.96819999999999995</v>
      </c>
      <c r="G153" s="5">
        <f>+[2]称号計算!M158</f>
        <v>0.64190000000000003</v>
      </c>
      <c r="H153" s="13">
        <f>+[2]称号計算!N158</f>
        <v>0.23699999999999999</v>
      </c>
      <c r="I153" s="27">
        <f>+[2]称号計算!O158</f>
        <v>0.23430000000000001</v>
      </c>
      <c r="J153" s="13">
        <f>+[2]称号計算!P158</f>
        <v>0.25169999999999998</v>
      </c>
      <c r="K153" s="27">
        <f>+[2]称号計算!Q158</f>
        <v>0.15759999999999999</v>
      </c>
      <c r="L153" s="5">
        <f>+[2]称号計算!R158</f>
        <v>0.33689999999999998</v>
      </c>
      <c r="M153" s="13">
        <f>+[2]称号計算!S158</f>
        <v>0.25480000000000003</v>
      </c>
      <c r="N153" s="27">
        <f>+[2]称号計算!T158</f>
        <v>1.41E-2</v>
      </c>
      <c r="O153" s="5">
        <f>+[2]称号計算!U158</f>
        <v>1.41E-2</v>
      </c>
      <c r="P153" s="5">
        <f>+[2]称号計算!V158</f>
        <v>5.2900000000000003E-2</v>
      </c>
      <c r="Q153" s="5">
        <f>+[2]称号計算!W158</f>
        <v>0.21160000000000001</v>
      </c>
      <c r="R153" s="5">
        <f>+[2]称号計算!X158</f>
        <v>1.06E-2</v>
      </c>
      <c r="S153" s="13">
        <f>+[2]称号計算!Y158</f>
        <v>1.06E-2</v>
      </c>
      <c r="T153" s="19">
        <f>+[2]称号計算!Z158</f>
        <v>1.2713000000000001</v>
      </c>
      <c r="U153" s="13">
        <v>1</v>
      </c>
    </row>
    <row r="154" spans="1:21">
      <c r="A154" s="12" t="s">
        <v>1065</v>
      </c>
      <c r="B154" s="23" t="s">
        <v>1425</v>
      </c>
      <c r="C154" s="27">
        <f>+[2]称号計算!I159</f>
        <v>0.4153</v>
      </c>
      <c r="D154" s="5">
        <f>+[2]称号計算!J159</f>
        <v>0.45579999999999998</v>
      </c>
      <c r="E154" s="5">
        <f>+[2]称号計算!K159</f>
        <v>0.11509999999999999</v>
      </c>
      <c r="F154" s="5">
        <f>+[2]称号計算!L159</f>
        <v>1.1509</v>
      </c>
      <c r="G154" s="5">
        <f>+[2]称号計算!M159</f>
        <v>0.33260000000000001</v>
      </c>
      <c r="H154" s="13">
        <f>+[2]称号計算!N159</f>
        <v>0.39129999999999998</v>
      </c>
      <c r="I154" s="27">
        <f>+[2]称号計算!O159</f>
        <v>0.25319999999999998</v>
      </c>
      <c r="J154" s="13">
        <f>+[2]称号計算!P159</f>
        <v>0.29920000000000002</v>
      </c>
      <c r="K154" s="27">
        <f>+[2]称号計算!Q159</f>
        <v>0.2026</v>
      </c>
      <c r="L154" s="5">
        <f>+[2]称号計算!R159</f>
        <v>0.46039999999999998</v>
      </c>
      <c r="M154" s="13">
        <f>+[2]称号計算!S159</f>
        <v>0.32229999999999998</v>
      </c>
      <c r="N154" s="27">
        <f>+[2]称号計算!T159</f>
        <v>1.0800000000000001E-2</v>
      </c>
      <c r="O154" s="5">
        <f>+[2]称号計算!U159</f>
        <v>1.0800000000000001E-2</v>
      </c>
      <c r="P154" s="5">
        <f>+[2]称号計算!V159</f>
        <v>4.0500000000000001E-2</v>
      </c>
      <c r="Q154" s="5">
        <f>+[2]称号計算!W159</f>
        <v>0.16189999999999999</v>
      </c>
      <c r="R154" s="5">
        <f>+[2]称号計算!X159</f>
        <v>8.0999999999999996E-3</v>
      </c>
      <c r="S154" s="13">
        <f>+[2]称号計算!Y159</f>
        <v>8.0999999999999996E-3</v>
      </c>
      <c r="T154" s="19">
        <f>+[2]称号計算!Z159</f>
        <v>1.3685</v>
      </c>
      <c r="U154" s="13">
        <v>0.9</v>
      </c>
    </row>
    <row r="155" spans="1:21">
      <c r="A155" s="12" t="s">
        <v>1066</v>
      </c>
      <c r="B155" s="23" t="s">
        <v>1426</v>
      </c>
      <c r="C155" s="27">
        <f>+[2]称号計算!I160</f>
        <v>0.68069999999999997</v>
      </c>
      <c r="D155" s="5">
        <f>+[2]称号計算!J160</f>
        <v>0.18759999999999999</v>
      </c>
      <c r="E155" s="5">
        <f>+[2]称号計算!K160</f>
        <v>1.2181</v>
      </c>
      <c r="F155" s="5">
        <f>+[2]称号計算!L160</f>
        <v>7.9200000000000007E-2</v>
      </c>
      <c r="G155" s="5">
        <f>+[2]称号計算!M160</f>
        <v>0.43490000000000001</v>
      </c>
      <c r="H155" s="13">
        <f>+[2]称号計算!N160</f>
        <v>0.36449999999999999</v>
      </c>
      <c r="I155" s="27">
        <f>+[2]称号計算!O160</f>
        <v>0.3216</v>
      </c>
      <c r="J155" s="13">
        <f>+[2]称号計算!P160</f>
        <v>0.45400000000000001</v>
      </c>
      <c r="K155" s="27">
        <f>+[2]称号計算!Q160</f>
        <v>0.1769</v>
      </c>
      <c r="L155" s="5">
        <f>+[2]称号計算!R160</f>
        <v>0.25819999999999999</v>
      </c>
      <c r="M155" s="13">
        <f>+[2]称号計算!S160</f>
        <v>0.4229</v>
      </c>
      <c r="N155" s="27">
        <f>+[2]称号計算!T160</f>
        <v>1.0999999999999999E-2</v>
      </c>
      <c r="O155" s="5">
        <f>+[2]称号計算!U160</f>
        <v>1.0999999999999999E-2</v>
      </c>
      <c r="P155" s="5">
        <f>+[2]称号計算!V160</f>
        <v>4.1399999999999999E-2</v>
      </c>
      <c r="Q155" s="5">
        <f>+[2]称号計算!W160</f>
        <v>0.16550000000000001</v>
      </c>
      <c r="R155" s="5">
        <f>+[2]称号計算!X160</f>
        <v>8.3000000000000001E-3</v>
      </c>
      <c r="S155" s="13">
        <f>+[2]称号計算!Y160</f>
        <v>8.3000000000000001E-3</v>
      </c>
      <c r="T155" s="19">
        <f>+[2]称号計算!Z160</f>
        <v>1.3411999999999999</v>
      </c>
      <c r="U155" s="13">
        <v>0.55000000000000004</v>
      </c>
    </row>
    <row r="156" spans="1:21">
      <c r="A156" s="12" t="s">
        <v>1067</v>
      </c>
      <c r="B156" s="23" t="s">
        <v>1427</v>
      </c>
      <c r="C156" s="27">
        <f>+[2]称号計算!I161</f>
        <v>0.48909999999999998</v>
      </c>
      <c r="D156" s="5">
        <f>+[2]称号計算!J161</f>
        <v>0.23930000000000001</v>
      </c>
      <c r="E156" s="5">
        <f>+[2]称号計算!K161</f>
        <v>1.2082999999999999</v>
      </c>
      <c r="F156" s="5">
        <f>+[2]称号計算!L161</f>
        <v>9.6699999999999994E-2</v>
      </c>
      <c r="G156" s="5">
        <f>+[2]称号計算!M161</f>
        <v>0.378</v>
      </c>
      <c r="H156" s="13">
        <f>+[2]称号計算!N161</f>
        <v>0.34920000000000001</v>
      </c>
      <c r="I156" s="27">
        <f>+[2]称号計算!O161</f>
        <v>0.37219999999999998</v>
      </c>
      <c r="J156" s="13">
        <f>+[2]称号計算!P161</f>
        <v>0.33510000000000001</v>
      </c>
      <c r="K156" s="27">
        <f>+[2]称号計算!Q161</f>
        <v>0.26050000000000001</v>
      </c>
      <c r="L156" s="5">
        <f>+[2]称号計算!R161</f>
        <v>0.45429999999999998</v>
      </c>
      <c r="M156" s="13">
        <f>+[2]称号計算!S161</f>
        <v>0.61580000000000001</v>
      </c>
      <c r="N156" s="27">
        <f>+[2]称号計算!T161</f>
        <v>8.3000000000000001E-3</v>
      </c>
      <c r="O156" s="5">
        <f>+[2]称号計算!U161</f>
        <v>8.3000000000000001E-3</v>
      </c>
      <c r="P156" s="5">
        <f>+[2]称号計算!V161</f>
        <v>8.3000000000000001E-3</v>
      </c>
      <c r="Q156" s="5">
        <f>+[2]称号計算!W161</f>
        <v>8.3000000000000001E-3</v>
      </c>
      <c r="R156" s="5">
        <f>+[2]称号計算!X161</f>
        <v>2.1999999999999999E-2</v>
      </c>
      <c r="S156" s="13">
        <f>+[2]称号計算!Y161</f>
        <v>0.1651</v>
      </c>
      <c r="T156" s="19">
        <f>+[2]称号計算!Z161</f>
        <v>1.6128</v>
      </c>
      <c r="U156" s="13">
        <v>0.5</v>
      </c>
    </row>
    <row r="157" spans="1:21" ht="19.5" thickBot="1">
      <c r="A157" s="14" t="s">
        <v>1068</v>
      </c>
      <c r="B157" s="24" t="s">
        <v>1428</v>
      </c>
      <c r="C157" s="28">
        <f>+[2]称号計算!I162</f>
        <v>0.47060000000000002</v>
      </c>
      <c r="D157" s="15">
        <f>+[2]称号計算!J162</f>
        <v>0.50239999999999996</v>
      </c>
      <c r="E157" s="15">
        <f>+[2]称号計算!K162</f>
        <v>7.2099999999999997E-2</v>
      </c>
      <c r="F157" s="15">
        <f>+[2]称号計算!L162</f>
        <v>1.2018</v>
      </c>
      <c r="G157" s="15">
        <f>+[2]称号計算!M162</f>
        <v>0.37590000000000001</v>
      </c>
      <c r="H157" s="16">
        <f>+[2]称号計算!N162</f>
        <v>0.37180000000000002</v>
      </c>
      <c r="I157" s="28">
        <f>+[2]称号計算!O162</f>
        <v>0.39660000000000001</v>
      </c>
      <c r="J157" s="16">
        <f>+[2]称号計算!P162</f>
        <v>0.3125</v>
      </c>
      <c r="K157" s="28">
        <f>+[2]称号計算!Q162</f>
        <v>0.32790000000000002</v>
      </c>
      <c r="L157" s="15">
        <f>+[2]称号計算!R162</f>
        <v>0.55279999999999996</v>
      </c>
      <c r="M157" s="16">
        <f>+[2]称号計算!S162</f>
        <v>0.41389999999999999</v>
      </c>
      <c r="N157" s="28">
        <f>+[2]称号計算!T162</f>
        <v>1.2800000000000001E-2</v>
      </c>
      <c r="O157" s="15">
        <f>+[2]称号計算!U162</f>
        <v>1.2800000000000001E-2</v>
      </c>
      <c r="P157" s="15">
        <f>+[2]称号計算!V162</f>
        <v>4.8000000000000001E-2</v>
      </c>
      <c r="Q157" s="15">
        <f>+[2]称号計算!W162</f>
        <v>0.19189999999999999</v>
      </c>
      <c r="R157" s="15">
        <f>+[2]称号計算!X162</f>
        <v>9.5999999999999992E-3</v>
      </c>
      <c r="S157" s="16">
        <f>+[2]称号計算!Y162</f>
        <v>9.5999999999999992E-3</v>
      </c>
      <c r="T157" s="20">
        <f>+[2]称号計算!Z162</f>
        <v>3.1101000000000001</v>
      </c>
      <c r="U157" s="16">
        <v>0.25</v>
      </c>
    </row>
    <row r="158" spans="1:21">
      <c r="A158" s="9" t="s">
        <v>1069</v>
      </c>
      <c r="B158" s="22" t="s">
        <v>1429</v>
      </c>
      <c r="C158" s="26">
        <f>+[2]称号計算!I163</f>
        <v>0.43009999999999998</v>
      </c>
      <c r="D158" s="10">
        <f>+[2]称号計算!J163</f>
        <v>0.71009999999999995</v>
      </c>
      <c r="E158" s="10">
        <f>+[2]称号計算!K163</f>
        <v>5.9900000000000002E-2</v>
      </c>
      <c r="F158" s="10">
        <f>+[2]称号計算!L163</f>
        <v>0.92220000000000002</v>
      </c>
      <c r="G158" s="10">
        <f>+[2]称号計算!M163</f>
        <v>0.2414</v>
      </c>
      <c r="H158" s="11">
        <f>+[2]称号計算!N163</f>
        <v>0.64280000000000004</v>
      </c>
      <c r="I158" s="26">
        <f>+[2]称号計算!O163</f>
        <v>0.18260000000000001</v>
      </c>
      <c r="J158" s="11">
        <f>+[2]称号計算!P163</f>
        <v>0.23180000000000001</v>
      </c>
      <c r="K158" s="26">
        <f>+[2]称号計算!Q163</f>
        <v>0.1542</v>
      </c>
      <c r="L158" s="10">
        <f>+[2]称号計算!R163</f>
        <v>0.30990000000000001</v>
      </c>
      <c r="M158" s="11">
        <f>+[2]称号計算!S163</f>
        <v>0.2737</v>
      </c>
      <c r="N158" s="26">
        <f>+[2]称号計算!T163</f>
        <v>4.5199999999999997E-2</v>
      </c>
      <c r="O158" s="10">
        <f>+[2]称号計算!U163</f>
        <v>0.22620000000000001</v>
      </c>
      <c r="P158" s="10">
        <f>+[2]称号計算!V163</f>
        <v>1.5100000000000001E-2</v>
      </c>
      <c r="Q158" s="10">
        <f>+[2]称号計算!W163</f>
        <v>1.5100000000000001E-2</v>
      </c>
      <c r="R158" s="10">
        <f>+[2]称号計算!X163</f>
        <v>1.1299999999999999E-2</v>
      </c>
      <c r="S158" s="11">
        <f>+[2]称号計算!Y163</f>
        <v>1.1299999999999999E-2</v>
      </c>
      <c r="T158" s="18">
        <f>+[2]称号計算!Z163</f>
        <v>1.2706999999999999</v>
      </c>
      <c r="U158" s="11">
        <v>1</v>
      </c>
    </row>
    <row r="159" spans="1:21">
      <c r="A159" s="12" t="s">
        <v>1070</v>
      </c>
      <c r="B159" s="23" t="s">
        <v>1430</v>
      </c>
      <c r="C159" s="27">
        <f>+[2]称号計算!I164</f>
        <v>0.2321</v>
      </c>
      <c r="D159" s="5">
        <f>+[2]称号計算!J164</f>
        <v>0.63290000000000002</v>
      </c>
      <c r="E159" s="5">
        <f>+[2]称号計算!K164</f>
        <v>7.6700000000000004E-2</v>
      </c>
      <c r="F159" s="5">
        <f>+[2]称号計算!L164</f>
        <v>0.95889999999999997</v>
      </c>
      <c r="G159" s="5">
        <f>+[2]称号計算!M164</f>
        <v>0.4728</v>
      </c>
      <c r="H159" s="13">
        <f>+[2]称号計算!N164</f>
        <v>0.73360000000000003</v>
      </c>
      <c r="I159" s="27">
        <f>+[2]称号計算!O164</f>
        <v>0.16880000000000001</v>
      </c>
      <c r="J159" s="13">
        <f>+[2]称号計算!P164</f>
        <v>0.22939999999999999</v>
      </c>
      <c r="K159" s="27">
        <f>+[2]称号計算!Q164</f>
        <v>0.1857</v>
      </c>
      <c r="L159" s="5">
        <f>+[2]称号計算!R164</f>
        <v>0.33750000000000002</v>
      </c>
      <c r="M159" s="13">
        <f>+[2]称号計算!S164</f>
        <v>0.33829999999999999</v>
      </c>
      <c r="N159" s="27">
        <f>+[2]称号計算!T164</f>
        <v>5.2400000000000002E-2</v>
      </c>
      <c r="O159" s="5">
        <f>+[2]称号計算!U164</f>
        <v>0.26200000000000001</v>
      </c>
      <c r="P159" s="5">
        <f>+[2]称号計算!V164</f>
        <v>1.7500000000000002E-2</v>
      </c>
      <c r="Q159" s="5">
        <f>+[2]称号計算!W164</f>
        <v>1.7500000000000002E-2</v>
      </c>
      <c r="R159" s="5">
        <f>+[2]称号計算!X164</f>
        <v>1.3100000000000001E-2</v>
      </c>
      <c r="S159" s="13">
        <f>+[2]称号計算!Y164</f>
        <v>1.3100000000000001E-2</v>
      </c>
      <c r="T159" s="19">
        <f>+[2]称号計算!Z164</f>
        <v>1.407</v>
      </c>
      <c r="U159" s="13">
        <v>1</v>
      </c>
    </row>
    <row r="160" spans="1:21">
      <c r="A160" s="12" t="s">
        <v>1071</v>
      </c>
      <c r="B160" s="23" t="s">
        <v>1431</v>
      </c>
      <c r="C160" s="27">
        <f>+[2]称号計算!I165</f>
        <v>0.46600000000000003</v>
      </c>
      <c r="D160" s="5">
        <f>+[2]称号計算!J165</f>
        <v>0.67569999999999997</v>
      </c>
      <c r="E160" s="5">
        <f>+[2]称号計算!K165</f>
        <v>0.10589999999999999</v>
      </c>
      <c r="F160" s="5">
        <f>+[2]称号計算!L165</f>
        <v>1.0590999999999999</v>
      </c>
      <c r="G160" s="5">
        <f>+[2]称号計算!M165</f>
        <v>0.36009999999999998</v>
      </c>
      <c r="H160" s="13">
        <f>+[2]称号計算!N165</f>
        <v>0.43209999999999998</v>
      </c>
      <c r="I160" s="27">
        <f>+[2]称号計算!O165</f>
        <v>0.27960000000000002</v>
      </c>
      <c r="J160" s="13">
        <f>+[2]称号計算!P165</f>
        <v>0.25700000000000001</v>
      </c>
      <c r="K160" s="27">
        <f>+[2]称号計算!Q165</f>
        <v>0.19570000000000001</v>
      </c>
      <c r="L160" s="5">
        <f>+[2]称号計算!R165</f>
        <v>0.40239999999999998</v>
      </c>
      <c r="M160" s="13">
        <f>+[2]称号計算!S165</f>
        <v>0.34100000000000003</v>
      </c>
      <c r="N160" s="27">
        <f>+[2]称号計算!T165</f>
        <v>4.1000000000000002E-2</v>
      </c>
      <c r="O160" s="5">
        <f>+[2]称号計算!U165</f>
        <v>0.2049</v>
      </c>
      <c r="P160" s="5">
        <f>+[2]称号計算!V165</f>
        <v>1.37E-2</v>
      </c>
      <c r="Q160" s="5">
        <f>+[2]称号計算!W165</f>
        <v>1.37E-2</v>
      </c>
      <c r="R160" s="5">
        <f>+[2]称号計算!X165</f>
        <v>1.0200000000000001E-2</v>
      </c>
      <c r="S160" s="13">
        <f>+[2]称号計算!Y165</f>
        <v>1.0200000000000001E-2</v>
      </c>
      <c r="T160" s="19">
        <f>+[2]称号計算!Z165</f>
        <v>1.4486000000000001</v>
      </c>
      <c r="U160" s="13">
        <v>0.9</v>
      </c>
    </row>
    <row r="161" spans="1:21">
      <c r="A161" s="12" t="s">
        <v>1072</v>
      </c>
      <c r="B161" s="23" t="s">
        <v>1432</v>
      </c>
      <c r="C161" s="27">
        <f>+[2]称号計算!I166</f>
        <v>0.64890000000000003</v>
      </c>
      <c r="D161" s="5">
        <f>+[2]称号計算!J166</f>
        <v>0.28870000000000001</v>
      </c>
      <c r="E161" s="5">
        <f>+[2]称号計算!K166</f>
        <v>1.2499</v>
      </c>
      <c r="F161" s="5">
        <f>+[2]称号計算!L166</f>
        <v>8.7499999999999994E-2</v>
      </c>
      <c r="G161" s="5">
        <f>+[2]称号計算!M166</f>
        <v>0.4844</v>
      </c>
      <c r="H161" s="13">
        <f>+[2]称号計算!N166</f>
        <v>0.4844</v>
      </c>
      <c r="I161" s="27">
        <f>+[2]称号計算!O166</f>
        <v>0.22</v>
      </c>
      <c r="J161" s="13">
        <f>+[2]称号計算!P166</f>
        <v>0.30980000000000002</v>
      </c>
      <c r="K161" s="27">
        <f>+[2]称号計算!Q166</f>
        <v>0.23649999999999999</v>
      </c>
      <c r="L161" s="5">
        <f>+[2]称号計算!R166</f>
        <v>0.43990000000000001</v>
      </c>
      <c r="M161" s="13">
        <f>+[2]称号計算!S166</f>
        <v>0.33250000000000002</v>
      </c>
      <c r="N161" s="27">
        <f>+[2]称号計算!T166</f>
        <v>5.74E-2</v>
      </c>
      <c r="O161" s="5">
        <f>+[2]称号計算!U166</f>
        <v>0.28699999999999998</v>
      </c>
      <c r="P161" s="5">
        <f>+[2]称号計算!V166</f>
        <v>1.9099999999999999E-2</v>
      </c>
      <c r="Q161" s="5">
        <f>+[2]称号計算!W166</f>
        <v>1.9099999999999999E-2</v>
      </c>
      <c r="R161" s="5">
        <f>+[2]称号計算!X166</f>
        <v>1.43E-2</v>
      </c>
      <c r="S161" s="13">
        <f>+[2]称号計算!Y166</f>
        <v>1.43E-2</v>
      </c>
      <c r="T161" s="19">
        <f>+[2]称号計算!Z166</f>
        <v>1.5277000000000001</v>
      </c>
      <c r="U161" s="13">
        <v>0.55000000000000004</v>
      </c>
    </row>
    <row r="162" spans="1:21">
      <c r="A162" s="12" t="s">
        <v>1073</v>
      </c>
      <c r="B162" s="23" t="s">
        <v>1433</v>
      </c>
      <c r="C162" s="27">
        <f>+[2]称号計算!I167</f>
        <v>0.41139999999999999</v>
      </c>
      <c r="D162" s="5">
        <f>+[2]称号計算!J167</f>
        <v>0.17019999999999999</v>
      </c>
      <c r="E162" s="5">
        <f>+[2]称号計算!K167</f>
        <v>1.0746</v>
      </c>
      <c r="F162" s="5">
        <f>+[2]称号計算!L167</f>
        <v>6.9900000000000004E-2</v>
      </c>
      <c r="G162" s="5">
        <f>+[2]称号計算!M167</f>
        <v>0.31419999999999998</v>
      </c>
      <c r="H162" s="13">
        <f>+[2]称号計算!N167</f>
        <v>0.28129999999999999</v>
      </c>
      <c r="I162" s="27">
        <f>+[2]称号計算!O167</f>
        <v>1.2766999999999999</v>
      </c>
      <c r="J162" s="13">
        <f>+[2]称号計算!P167</f>
        <v>0.37809999999999999</v>
      </c>
      <c r="K162" s="27">
        <f>+[2]称号計算!Q167</f>
        <v>0.2601</v>
      </c>
      <c r="L162" s="5">
        <f>+[2]称号計算!R167</f>
        <v>0.44700000000000001</v>
      </c>
      <c r="M162" s="13">
        <f>+[2]称号計算!S167</f>
        <v>0.30690000000000001</v>
      </c>
      <c r="N162" s="27">
        <f>+[2]称号計算!T167</f>
        <v>3.0300000000000001E-2</v>
      </c>
      <c r="O162" s="5">
        <f>+[2]称号計算!U167</f>
        <v>0.1517</v>
      </c>
      <c r="P162" s="5">
        <f>+[2]称号計算!V167</f>
        <v>1.01E-2</v>
      </c>
      <c r="Q162" s="5">
        <f>+[2]称号計算!W167</f>
        <v>1.01E-2</v>
      </c>
      <c r="R162" s="5">
        <f>+[2]称号計算!X167</f>
        <v>7.6E-3</v>
      </c>
      <c r="S162" s="13">
        <f>+[2]称号計算!Y167</f>
        <v>7.6E-3</v>
      </c>
      <c r="T162" s="19">
        <f>+[2]称号計算!Z167</f>
        <v>1.7605</v>
      </c>
      <c r="U162" s="13">
        <v>0.5</v>
      </c>
    </row>
    <row r="163" spans="1:21" ht="19.5" thickBot="1">
      <c r="A163" s="14" t="s">
        <v>1074</v>
      </c>
      <c r="B163" s="24" t="s">
        <v>1434</v>
      </c>
      <c r="C163" s="28">
        <f>+[2]称号計算!I168</f>
        <v>0.53910000000000002</v>
      </c>
      <c r="D163" s="15">
        <f>+[2]称号計算!J168</f>
        <v>0.59309999999999996</v>
      </c>
      <c r="E163" s="15">
        <f>+[2]称号計算!K168</f>
        <v>0.1225</v>
      </c>
      <c r="F163" s="15">
        <f>+[2]称号計算!L168</f>
        <v>1.2253000000000001</v>
      </c>
      <c r="G163" s="15">
        <f>+[2]称号計算!M168</f>
        <v>0.39579999999999999</v>
      </c>
      <c r="H163" s="16">
        <f>+[2]称号計算!N168</f>
        <v>0.45829999999999999</v>
      </c>
      <c r="I163" s="28">
        <f>+[2]称号計算!O168</f>
        <v>0.37740000000000001</v>
      </c>
      <c r="J163" s="16">
        <f>+[2]称号計算!P168</f>
        <v>0.32919999999999999</v>
      </c>
      <c r="K163" s="28">
        <f>+[2]称号計算!Q168</f>
        <v>0.248</v>
      </c>
      <c r="L163" s="15">
        <f>+[2]称号計算!R168</f>
        <v>0.53910000000000002</v>
      </c>
      <c r="M163" s="16">
        <f>+[2]称号計算!S168</f>
        <v>0.3705</v>
      </c>
      <c r="N163" s="28">
        <f>+[2]称号計算!T168</f>
        <v>1.2200000000000001E-2</v>
      </c>
      <c r="O163" s="15">
        <f>+[2]称号計算!U168</f>
        <v>1.2200000000000001E-2</v>
      </c>
      <c r="P163" s="15">
        <f>+[2]称号計算!V168</f>
        <v>0.183</v>
      </c>
      <c r="Q163" s="15">
        <f>+[2]称号計算!W168</f>
        <v>4.5699999999999998E-2</v>
      </c>
      <c r="R163" s="15">
        <f>+[2]称号計算!X168</f>
        <v>9.1000000000000004E-3</v>
      </c>
      <c r="S163" s="16">
        <f>+[2]称号計算!Y168</f>
        <v>9.1000000000000004E-3</v>
      </c>
      <c r="T163" s="20">
        <f>+[2]称号計算!Z168</f>
        <v>1.7039</v>
      </c>
      <c r="U163" s="16">
        <v>0.25</v>
      </c>
    </row>
    <row r="164" spans="1:21">
      <c r="A164" s="9" t="s">
        <v>1075</v>
      </c>
      <c r="B164" s="22" t="s">
        <v>1435</v>
      </c>
      <c r="C164" s="26">
        <f>+[2]称号計算!I169</f>
        <v>0.5151</v>
      </c>
      <c r="D164" s="10">
        <f>+[2]称号計算!J169</f>
        <v>0.8095</v>
      </c>
      <c r="E164" s="10">
        <f>+[2]称号計算!K169</f>
        <v>7.0199999999999999E-2</v>
      </c>
      <c r="F164" s="10">
        <f>+[2]称号計算!L169</f>
        <v>0.83620000000000005</v>
      </c>
      <c r="G164" s="10">
        <f>+[2]称号計算!M169</f>
        <v>0.27010000000000001</v>
      </c>
      <c r="H164" s="11">
        <f>+[2]称号計算!N169</f>
        <v>0.47760000000000002</v>
      </c>
      <c r="I164" s="26">
        <f>+[2]称号計算!O169</f>
        <v>0.42309999999999998</v>
      </c>
      <c r="J164" s="11">
        <f>+[2]称号計算!P169</f>
        <v>0.28260000000000002</v>
      </c>
      <c r="K164" s="26">
        <f>+[2]称号計算!Q169</f>
        <v>8.8300000000000003E-2</v>
      </c>
      <c r="L164" s="10">
        <f>+[2]称号計算!R169</f>
        <v>0.24079999999999999</v>
      </c>
      <c r="M164" s="11">
        <f>+[2]称号計算!S169</f>
        <v>0.31140000000000001</v>
      </c>
      <c r="N164" s="26">
        <f>+[2]称号計算!T169</f>
        <v>1.14E-2</v>
      </c>
      <c r="O164" s="10">
        <f>+[2]称号計算!U169</f>
        <v>1.14E-2</v>
      </c>
      <c r="P164" s="10">
        <f>+[2]称号計算!V169</f>
        <v>1.14E-2</v>
      </c>
      <c r="Q164" s="10">
        <f>+[2]称号計算!W169</f>
        <v>1.14E-2</v>
      </c>
      <c r="R164" s="10">
        <f>+[2]称号計算!X169</f>
        <v>3.04E-2</v>
      </c>
      <c r="S164" s="11">
        <f>+[2]称号計算!Y169</f>
        <v>0.22839999999999999</v>
      </c>
      <c r="T164" s="18">
        <f>+[2]称号計算!Z169</f>
        <v>1.1533</v>
      </c>
      <c r="U164" s="11">
        <v>1</v>
      </c>
    </row>
    <row r="165" spans="1:21">
      <c r="A165" s="12" t="s">
        <v>1076</v>
      </c>
      <c r="B165" s="23" t="s">
        <v>1436</v>
      </c>
      <c r="C165" s="27">
        <f>+[2]称号計算!I170</f>
        <v>0.37219999999999998</v>
      </c>
      <c r="D165" s="5">
        <f>+[2]称号計算!J170</f>
        <v>0.54869999999999997</v>
      </c>
      <c r="E165" s="5">
        <f>+[2]称号計算!K170</f>
        <v>0.1084</v>
      </c>
      <c r="F165" s="5">
        <f>+[2]称号計算!L170</f>
        <v>1.0844</v>
      </c>
      <c r="G165" s="5">
        <f>+[2]称号計算!M170</f>
        <v>0.27650000000000002</v>
      </c>
      <c r="H165" s="13">
        <f>+[2]称号計算!N170</f>
        <v>0.29499999999999998</v>
      </c>
      <c r="I165" s="27">
        <f>+[2]称号計算!O170</f>
        <v>0.52490000000000003</v>
      </c>
      <c r="J165" s="13">
        <f>+[2]称号計算!P170</f>
        <v>0.31009999999999999</v>
      </c>
      <c r="K165" s="27">
        <f>+[2]称号計算!Q170</f>
        <v>0.2099</v>
      </c>
      <c r="L165" s="5">
        <f>+[2]称号計算!R170</f>
        <v>0.47710000000000002</v>
      </c>
      <c r="M165" s="13">
        <f>+[2]称号計算!S170</f>
        <v>0.33400000000000002</v>
      </c>
      <c r="N165" s="27">
        <f>+[2]称号計算!T170</f>
        <v>7.6E-3</v>
      </c>
      <c r="O165" s="5">
        <f>+[2]称号計算!U170</f>
        <v>7.6E-3</v>
      </c>
      <c r="P165" s="5">
        <f>+[2]称号計算!V170</f>
        <v>7.6E-3</v>
      </c>
      <c r="Q165" s="5">
        <f>+[2]称号計算!W170</f>
        <v>7.6E-3</v>
      </c>
      <c r="R165" s="5">
        <f>+[2]称号計算!X170</f>
        <v>2.0299999999999999E-2</v>
      </c>
      <c r="S165" s="13">
        <f>+[2]称号計算!Y170</f>
        <v>0.15260000000000001</v>
      </c>
      <c r="T165" s="19">
        <f>+[2]称号計算!Z170</f>
        <v>1.4633</v>
      </c>
      <c r="U165" s="13">
        <v>1</v>
      </c>
    </row>
    <row r="166" spans="1:21">
      <c r="A166" s="12" t="s">
        <v>1077</v>
      </c>
      <c r="B166" s="23" t="s">
        <v>1437</v>
      </c>
      <c r="C166" s="27">
        <f>+[2]称号計算!I171</f>
        <v>0.78</v>
      </c>
      <c r="D166" s="5">
        <f>+[2]称号計算!J171</f>
        <v>0.61219999999999997</v>
      </c>
      <c r="E166" s="5">
        <f>+[2]称号計算!K171</f>
        <v>6.7000000000000004E-2</v>
      </c>
      <c r="F166" s="5">
        <f>+[2]称号計算!L171</f>
        <v>1.0306</v>
      </c>
      <c r="G166" s="5">
        <f>+[2]称号計算!M171</f>
        <v>0.57469999999999999</v>
      </c>
      <c r="H166" s="13">
        <f>+[2]称号計算!N171</f>
        <v>0.54310000000000003</v>
      </c>
      <c r="I166" s="27">
        <f>+[2]称号計算!O171</f>
        <v>0.15870000000000001</v>
      </c>
      <c r="J166" s="13">
        <f>+[2]称号計算!P171</f>
        <v>0.25009999999999999</v>
      </c>
      <c r="K166" s="27">
        <f>+[2]称号計算!Q171</f>
        <v>0.13600000000000001</v>
      </c>
      <c r="L166" s="5">
        <f>+[2]称号計算!R171</f>
        <v>0.24729999999999999</v>
      </c>
      <c r="M166" s="13">
        <f>+[2]称号計算!S171</f>
        <v>0.35780000000000001</v>
      </c>
      <c r="N166" s="27">
        <f>+[2]称号計算!T171</f>
        <v>0.28160000000000002</v>
      </c>
      <c r="O166" s="5">
        <f>+[2]称号計算!U171</f>
        <v>5.6300000000000003E-2</v>
      </c>
      <c r="P166" s="5">
        <f>+[2]称号計算!V171</f>
        <v>1.8800000000000001E-2</v>
      </c>
      <c r="Q166" s="5">
        <f>+[2]称号計算!W171</f>
        <v>1.8800000000000001E-2</v>
      </c>
      <c r="R166" s="5">
        <f>+[2]称号計算!X171</f>
        <v>1.41E-2</v>
      </c>
      <c r="S166" s="13">
        <f>+[2]称号計算!Y171</f>
        <v>1.41E-2</v>
      </c>
      <c r="T166" s="19">
        <f>+[2]称号計算!Z171</f>
        <v>1.3480000000000001</v>
      </c>
      <c r="U166" s="13">
        <v>0.9</v>
      </c>
    </row>
    <row r="167" spans="1:21">
      <c r="A167" s="12" t="s">
        <v>1078</v>
      </c>
      <c r="B167" s="23" t="s">
        <v>1438</v>
      </c>
      <c r="C167" s="27">
        <f>+[2]称号計算!I172</f>
        <v>1.1301000000000001</v>
      </c>
      <c r="D167" s="5">
        <f>+[2]称号計算!J172</f>
        <v>0.16539999999999999</v>
      </c>
      <c r="E167" s="5">
        <f>+[2]称号計算!K172</f>
        <v>1.2527999999999999</v>
      </c>
      <c r="F167" s="5">
        <f>+[2]称号計算!L172</f>
        <v>0.1128</v>
      </c>
      <c r="G167" s="5">
        <f>+[2]称号計算!M172</f>
        <v>0.64749999999999996</v>
      </c>
      <c r="H167" s="13">
        <f>+[2]称号計算!N172</f>
        <v>0.55379999999999996</v>
      </c>
      <c r="I167" s="27">
        <f>+[2]称号計算!O172</f>
        <v>0.13780000000000001</v>
      </c>
      <c r="J167" s="13">
        <f>+[2]称号計算!P172</f>
        <v>0.29320000000000002</v>
      </c>
      <c r="K167" s="27">
        <f>+[2]称号計算!Q172</f>
        <v>0.1268</v>
      </c>
      <c r="L167" s="5">
        <f>+[2]称号計算!R172</f>
        <v>0.25559999999999999</v>
      </c>
      <c r="M167" s="13">
        <f>+[2]称号計算!S172</f>
        <v>0.29820000000000002</v>
      </c>
      <c r="N167" s="27">
        <f>+[2]称号計算!T172</f>
        <v>1.1900000000000001E-2</v>
      </c>
      <c r="O167" s="5">
        <f>+[2]称号計算!U172</f>
        <v>1.1900000000000001E-2</v>
      </c>
      <c r="P167" s="5">
        <f>+[2]称号計算!V172</f>
        <v>1.1900000000000001E-2</v>
      </c>
      <c r="Q167" s="5">
        <f>+[2]称号計算!W172</f>
        <v>1.1900000000000001E-2</v>
      </c>
      <c r="R167" s="5">
        <f>+[2]称号計算!X172</f>
        <v>3.1800000000000002E-2</v>
      </c>
      <c r="S167" s="13">
        <f>+[2]称号計算!Y172</f>
        <v>0.2387</v>
      </c>
      <c r="T167" s="19">
        <f>+[2]称号計算!Z172</f>
        <v>1.3125</v>
      </c>
      <c r="U167" s="13">
        <v>0.55000000000000004</v>
      </c>
    </row>
    <row r="168" spans="1:21">
      <c r="A168" s="12" t="s">
        <v>1079</v>
      </c>
      <c r="B168" s="23" t="s">
        <v>1439</v>
      </c>
      <c r="C168" s="27">
        <f>+[2]称号計算!I173</f>
        <v>0.73070000000000002</v>
      </c>
      <c r="D168" s="5">
        <f>+[2]称号計算!J173</f>
        <v>0.24360000000000001</v>
      </c>
      <c r="E168" s="5">
        <f>+[2]称号計算!K173</f>
        <v>1.2302</v>
      </c>
      <c r="F168" s="5">
        <f>+[2]称号計算!L173</f>
        <v>0.123</v>
      </c>
      <c r="G168" s="5">
        <f>+[2]称号計算!M173</f>
        <v>0.58560000000000001</v>
      </c>
      <c r="H168" s="13">
        <f>+[2]称号計算!N173</f>
        <v>0.41830000000000001</v>
      </c>
      <c r="I168" s="27">
        <f>+[2]称号計算!O173</f>
        <v>0.433</v>
      </c>
      <c r="J168" s="13">
        <f>+[2]称号計算!P173</f>
        <v>0.3412</v>
      </c>
      <c r="K168" s="27">
        <f>+[2]称号計算!Q173</f>
        <v>0.2923</v>
      </c>
      <c r="L168" s="5">
        <f>+[2]称号計算!R173</f>
        <v>0.51670000000000005</v>
      </c>
      <c r="M168" s="13">
        <f>+[2]称号計算!S173</f>
        <v>0.27560000000000001</v>
      </c>
      <c r="N168" s="27">
        <f>+[2]称号計算!T173</f>
        <v>1.3100000000000001E-2</v>
      </c>
      <c r="O168" s="5">
        <f>+[2]称号計算!U173</f>
        <v>1.3100000000000001E-2</v>
      </c>
      <c r="P168" s="5">
        <f>+[2]称号計算!V173</f>
        <v>1.3100000000000001E-2</v>
      </c>
      <c r="Q168" s="5">
        <f>+[2]称号計算!W173</f>
        <v>1.3100000000000001E-2</v>
      </c>
      <c r="R168" s="5">
        <f>+[2]称号計算!X173</f>
        <v>3.49E-2</v>
      </c>
      <c r="S168" s="13">
        <f>+[2]称号計算!Y173</f>
        <v>0.2616</v>
      </c>
      <c r="T168" s="19">
        <f>+[2]称号計算!Z173</f>
        <v>1.8165</v>
      </c>
      <c r="U168" s="13">
        <v>0.5</v>
      </c>
    </row>
    <row r="169" spans="1:21" ht="19.5" thickBot="1">
      <c r="A169" s="14" t="s">
        <v>1080</v>
      </c>
      <c r="B169" s="24" t="s">
        <v>1440</v>
      </c>
      <c r="C169" s="28">
        <f>+[2]称号計算!I174</f>
        <v>0.44290000000000002</v>
      </c>
      <c r="D169" s="15">
        <f>+[2]称号計算!J174</f>
        <v>0.56859999999999999</v>
      </c>
      <c r="E169" s="15">
        <f>+[2]称号計算!K174</f>
        <v>8.8400000000000006E-2</v>
      </c>
      <c r="F169" s="15">
        <f>+[2]称号計算!L174</f>
        <v>1.3604000000000001</v>
      </c>
      <c r="G169" s="15">
        <f>+[2]称号計算!M174</f>
        <v>0.33300000000000002</v>
      </c>
      <c r="H169" s="16">
        <f>+[2]称号計算!N174</f>
        <v>0.38850000000000001</v>
      </c>
      <c r="I169" s="28">
        <f>+[2]称号計算!O174</f>
        <v>0.29930000000000001</v>
      </c>
      <c r="J169" s="16">
        <f>+[2]称号計算!P174</f>
        <v>0.3301</v>
      </c>
      <c r="K169" s="28">
        <f>+[2]称号計算!Q174</f>
        <v>0.40100000000000002</v>
      </c>
      <c r="L169" s="15">
        <f>+[2]称号計算!R174</f>
        <v>0.84340000000000004</v>
      </c>
      <c r="M169" s="16">
        <f>+[2]称号計算!S174</f>
        <v>0.35039999999999999</v>
      </c>
      <c r="N169" s="28">
        <f>+[2]称号計算!T174</f>
        <v>7.7999999999999996E-3</v>
      </c>
      <c r="O169" s="15">
        <f>+[2]称号計算!U174</f>
        <v>7.7999999999999996E-3</v>
      </c>
      <c r="P169" s="15">
        <f>+[2]称号計算!V174</f>
        <v>7.7999999999999996E-3</v>
      </c>
      <c r="Q169" s="15">
        <f>+[2]称号計算!W174</f>
        <v>7.7999999999999996E-3</v>
      </c>
      <c r="R169" s="15">
        <f>+[2]称号計算!X174</f>
        <v>2.0799999999999999E-2</v>
      </c>
      <c r="S169" s="16">
        <f>+[2]称号計算!Y174</f>
        <v>0.15570000000000001</v>
      </c>
      <c r="T169" s="20">
        <f>+[2]称号計算!Z174</f>
        <v>2.0874000000000001</v>
      </c>
      <c r="U169" s="16">
        <v>0.25</v>
      </c>
    </row>
    <row r="170" spans="1:21">
      <c r="A170" s="9" t="s">
        <v>1081</v>
      </c>
      <c r="B170" s="22" t="s">
        <v>1441</v>
      </c>
      <c r="C170" s="26">
        <f>+[2]称号計算!I175</f>
        <v>0.5454</v>
      </c>
      <c r="D170" s="10">
        <f>+[2]称号計算!J175</f>
        <v>0.45450000000000002</v>
      </c>
      <c r="E170" s="10">
        <f>+[2]称号計算!K175</f>
        <v>0.1033</v>
      </c>
      <c r="F170" s="10">
        <f>+[2]称号計算!L175</f>
        <v>1.0328999999999999</v>
      </c>
      <c r="G170" s="10">
        <f>+[2]称号計算!M175</f>
        <v>0.45650000000000002</v>
      </c>
      <c r="H170" s="11">
        <f>+[2]称号計算!N175</f>
        <v>0.29849999999999999</v>
      </c>
      <c r="I170" s="26">
        <f>+[2]称号計算!O175</f>
        <v>0.36359999999999998</v>
      </c>
      <c r="J170" s="11">
        <f>+[2]称号計算!P175</f>
        <v>0.28649999999999998</v>
      </c>
      <c r="K170" s="26">
        <f>+[2]称号計算!Q175</f>
        <v>0.2545</v>
      </c>
      <c r="L170" s="10">
        <f>+[2]称号計算!R175</f>
        <v>0.41320000000000001</v>
      </c>
      <c r="M170" s="11">
        <f>+[2]称号計算!S175</f>
        <v>0.28920000000000001</v>
      </c>
      <c r="N170" s="26">
        <f>+[2]称号計算!T175</f>
        <v>1.2699999999999999E-2</v>
      </c>
      <c r="O170" s="10">
        <f>+[2]称号計算!U175</f>
        <v>1.2699999999999999E-2</v>
      </c>
      <c r="P170" s="10">
        <f>+[2]称号計算!V175</f>
        <v>4.7699999999999999E-2</v>
      </c>
      <c r="Q170" s="10">
        <f>+[2]称号計算!W175</f>
        <v>0.19070000000000001</v>
      </c>
      <c r="R170" s="10">
        <f>+[2]称号計算!X175</f>
        <v>9.4999999999999998E-3</v>
      </c>
      <c r="S170" s="11">
        <f>+[2]称号計算!Y175</f>
        <v>9.4999999999999998E-3</v>
      </c>
      <c r="T170" s="18">
        <f>+[2]称号計算!Z175</f>
        <v>1.5992999999999999</v>
      </c>
      <c r="U170" s="11">
        <v>1</v>
      </c>
    </row>
    <row r="171" spans="1:21">
      <c r="A171" s="12" t="s">
        <v>1082</v>
      </c>
      <c r="B171" s="23" t="s">
        <v>1442</v>
      </c>
      <c r="C171" s="27">
        <f>+[2]称号計算!I176</f>
        <v>0.31090000000000001</v>
      </c>
      <c r="D171" s="5">
        <f>+[2]称号計算!J176</f>
        <v>0.41810000000000003</v>
      </c>
      <c r="E171" s="5">
        <f>+[2]称号計算!K176</f>
        <v>6.0900000000000003E-2</v>
      </c>
      <c r="F171" s="5">
        <f>+[2]称号計算!L176</f>
        <v>1.2181</v>
      </c>
      <c r="G171" s="5">
        <f>+[2]称号計算!M176</f>
        <v>0.2651</v>
      </c>
      <c r="H171" s="13">
        <f>+[2]称号計算!N176</f>
        <v>0.26919999999999999</v>
      </c>
      <c r="I171" s="27">
        <f>+[2]称号計算!O176</f>
        <v>0.42880000000000001</v>
      </c>
      <c r="J171" s="13">
        <f>+[2]称号計算!P176</f>
        <v>0.32729999999999998</v>
      </c>
      <c r="K171" s="27">
        <f>+[2]称号計算!Q176</f>
        <v>0.45019999999999999</v>
      </c>
      <c r="L171" s="5">
        <f>+[2]称号計算!R176</f>
        <v>0.63339999999999996</v>
      </c>
      <c r="M171" s="13">
        <f>+[2]称号計算!S176</f>
        <v>0.34110000000000001</v>
      </c>
      <c r="N171" s="27">
        <f>+[2]称号計算!T176</f>
        <v>6.0000000000000001E-3</v>
      </c>
      <c r="O171" s="5">
        <f>+[2]称号計算!U176</f>
        <v>6.0000000000000001E-3</v>
      </c>
      <c r="P171" s="5">
        <f>+[2]称号計算!V176</f>
        <v>6.0000000000000001E-3</v>
      </c>
      <c r="Q171" s="5">
        <f>+[2]称号計算!W176</f>
        <v>6.0000000000000001E-3</v>
      </c>
      <c r="R171" s="5">
        <f>+[2]称号計算!X176</f>
        <v>1.61E-2</v>
      </c>
      <c r="S171" s="13">
        <f>+[2]称号計算!Y176</f>
        <v>0.12089999999999999</v>
      </c>
      <c r="T171" s="19">
        <f>+[2]称号計算!Z176</f>
        <v>2.0466000000000002</v>
      </c>
      <c r="U171" s="13">
        <v>1</v>
      </c>
    </row>
    <row r="172" spans="1:21">
      <c r="A172" s="12" t="s">
        <v>1083</v>
      </c>
      <c r="B172" s="23" t="s">
        <v>1443</v>
      </c>
      <c r="C172" s="27">
        <f>+[2]称号計算!I177</f>
        <v>0.56230000000000002</v>
      </c>
      <c r="D172" s="5">
        <f>+[2]称号計算!J177</f>
        <v>0.67769999999999997</v>
      </c>
      <c r="E172" s="5">
        <f>+[2]称号計算!K177</f>
        <v>7.5300000000000006E-2</v>
      </c>
      <c r="F172" s="5">
        <f>+[2]称号計算!L177</f>
        <v>1.141</v>
      </c>
      <c r="G172" s="5">
        <f>+[2]称号計算!M177</f>
        <v>0.75649999999999995</v>
      </c>
      <c r="H172" s="13">
        <f>+[2]称号計算!N177</f>
        <v>0.27929999999999999</v>
      </c>
      <c r="I172" s="27">
        <f>+[2]称号計算!O177</f>
        <v>0.27610000000000001</v>
      </c>
      <c r="J172" s="13">
        <f>+[2]称号計算!P177</f>
        <v>0.29659999999999997</v>
      </c>
      <c r="K172" s="27">
        <f>+[2]称号計算!Q177</f>
        <v>0.1857</v>
      </c>
      <c r="L172" s="5">
        <f>+[2]称号計算!R177</f>
        <v>0.39710000000000001</v>
      </c>
      <c r="M172" s="13">
        <f>+[2]称号計算!S177</f>
        <v>0.30030000000000001</v>
      </c>
      <c r="N172" s="27">
        <f>+[2]称号計算!T177</f>
        <v>1.66E-2</v>
      </c>
      <c r="O172" s="5">
        <f>+[2]称号計算!U177</f>
        <v>1.66E-2</v>
      </c>
      <c r="P172" s="5">
        <f>+[2]称号計算!V177</f>
        <v>6.2300000000000001E-2</v>
      </c>
      <c r="Q172" s="5">
        <f>+[2]称号計算!W177</f>
        <v>0.24940000000000001</v>
      </c>
      <c r="R172" s="5">
        <f>+[2]称号計算!X177</f>
        <v>1.2500000000000001E-2</v>
      </c>
      <c r="S172" s="13">
        <f>+[2]称号計算!Y177</f>
        <v>1.2500000000000001E-2</v>
      </c>
      <c r="T172" s="19">
        <f>+[2]称号計算!Z177</f>
        <v>1.4981</v>
      </c>
      <c r="U172" s="13">
        <v>0.9</v>
      </c>
    </row>
    <row r="173" spans="1:21">
      <c r="A173" s="12" t="s">
        <v>1084</v>
      </c>
      <c r="B173" s="23" t="s">
        <v>1444</v>
      </c>
      <c r="C173" s="27">
        <f>+[2]称号計算!I178</f>
        <v>0.67510000000000003</v>
      </c>
      <c r="D173" s="5">
        <f>+[2]称号計算!J178</f>
        <v>0.23910000000000001</v>
      </c>
      <c r="E173" s="5">
        <f>+[2]称号計算!K178</f>
        <v>1.2786</v>
      </c>
      <c r="F173" s="5">
        <f>+[2]称号計算!L178</f>
        <v>0.12790000000000001</v>
      </c>
      <c r="G173" s="5">
        <f>+[2]称号計算!M178</f>
        <v>0.56510000000000005</v>
      </c>
      <c r="H173" s="13">
        <f>+[2]称号計算!N178</f>
        <v>0.3695</v>
      </c>
      <c r="I173" s="27">
        <f>+[2]称号計算!O178</f>
        <v>0.4501</v>
      </c>
      <c r="J173" s="13">
        <f>+[2]称号計算!P178</f>
        <v>0.35460000000000003</v>
      </c>
      <c r="K173" s="27">
        <f>+[2]称号計算!Q178</f>
        <v>0.315</v>
      </c>
      <c r="L173" s="5">
        <f>+[2]称号計算!R178</f>
        <v>0.51139999999999997</v>
      </c>
      <c r="M173" s="13">
        <f>+[2]称号計算!S178</f>
        <v>0.28639999999999999</v>
      </c>
      <c r="N173" s="27">
        <f>+[2]称号計算!T178</f>
        <v>1.5699999999999999E-2</v>
      </c>
      <c r="O173" s="5">
        <f>+[2]称号計算!U178</f>
        <v>1.5699999999999999E-2</v>
      </c>
      <c r="P173" s="5">
        <f>+[2]称号計算!V178</f>
        <v>5.8999999999999997E-2</v>
      </c>
      <c r="Q173" s="5">
        <f>+[2]称号計算!W178</f>
        <v>0.2359</v>
      </c>
      <c r="R173" s="5">
        <f>+[2]称号計算!X178</f>
        <v>1.18E-2</v>
      </c>
      <c r="S173" s="13">
        <f>+[2]称号計算!Y178</f>
        <v>1.18E-2</v>
      </c>
      <c r="T173" s="19">
        <f>+[2]称号計算!Z178</f>
        <v>1.8391999999999999</v>
      </c>
      <c r="U173" s="13">
        <v>0.55000000000000004</v>
      </c>
    </row>
    <row r="174" spans="1:21">
      <c r="A174" s="12" t="s">
        <v>1085</v>
      </c>
      <c r="B174" s="23" t="s">
        <v>1445</v>
      </c>
      <c r="C174" s="27">
        <f>+[2]称号計算!I179</f>
        <v>0.79900000000000004</v>
      </c>
      <c r="D174" s="5">
        <f>+[2]称号計算!J179</f>
        <v>0.22020000000000001</v>
      </c>
      <c r="E174" s="5">
        <f>+[2]称号計算!K179</f>
        <v>1.4298</v>
      </c>
      <c r="F174" s="5">
        <f>+[2]称号計算!L179</f>
        <v>9.2899999999999996E-2</v>
      </c>
      <c r="G174" s="5">
        <f>+[2]称号計算!M179</f>
        <v>0.51039999999999996</v>
      </c>
      <c r="H174" s="13">
        <f>+[2]称号計算!N179</f>
        <v>0.42780000000000001</v>
      </c>
      <c r="I174" s="27">
        <f>+[2]称号計算!O179</f>
        <v>0.3775</v>
      </c>
      <c r="J174" s="13">
        <f>+[2]称号計算!P179</f>
        <v>0.53280000000000005</v>
      </c>
      <c r="K174" s="27">
        <f>+[2]称号計算!Q179</f>
        <v>0.20760000000000001</v>
      </c>
      <c r="L174" s="5">
        <f>+[2]称号計算!R179</f>
        <v>0.30309999999999998</v>
      </c>
      <c r="M174" s="13">
        <f>+[2]称号計算!S179</f>
        <v>0.49640000000000001</v>
      </c>
      <c r="N174" s="27">
        <f>+[2]称号計算!T179</f>
        <v>1.2999999999999999E-2</v>
      </c>
      <c r="O174" s="5">
        <f>+[2]称号計算!U179</f>
        <v>1.2999999999999999E-2</v>
      </c>
      <c r="P174" s="5">
        <f>+[2]称号計算!V179</f>
        <v>4.8599999999999997E-2</v>
      </c>
      <c r="Q174" s="5">
        <f>+[2]称号計算!W179</f>
        <v>0.1943</v>
      </c>
      <c r="R174" s="5">
        <f>+[2]称号計算!X179</f>
        <v>9.7000000000000003E-3</v>
      </c>
      <c r="S174" s="13">
        <f>+[2]称号計算!Y179</f>
        <v>9.7000000000000003E-3</v>
      </c>
      <c r="T174" s="19">
        <f>+[2]称号計算!Z179</f>
        <v>1.5743</v>
      </c>
      <c r="U174" s="13">
        <v>0.5</v>
      </c>
    </row>
    <row r="175" spans="1:21" ht="19.5" thickBot="1">
      <c r="A175" s="14" t="s">
        <v>1086</v>
      </c>
      <c r="B175" s="24" t="s">
        <v>1446</v>
      </c>
      <c r="C175" s="28">
        <f>+[2]称号計算!I180</f>
        <v>0.71430000000000005</v>
      </c>
      <c r="D175" s="15">
        <f>+[2]称号計算!J180</f>
        <v>0.53010000000000002</v>
      </c>
      <c r="E175" s="15">
        <f>+[2]称号計算!K180</f>
        <v>0.10780000000000001</v>
      </c>
      <c r="F175" s="15">
        <f>+[2]称号計算!L180</f>
        <v>1.2683</v>
      </c>
      <c r="G175" s="15">
        <f>+[2]称号計算!M180</f>
        <v>0.53039999999999998</v>
      </c>
      <c r="H175" s="16">
        <f>+[2]称号計算!N180</f>
        <v>0.48299999999999998</v>
      </c>
      <c r="I175" s="28">
        <f>+[2]称号計算!O180</f>
        <v>0.3906</v>
      </c>
      <c r="J175" s="16">
        <f>+[2]称号計算!P180</f>
        <v>0.32979999999999998</v>
      </c>
      <c r="K175" s="28">
        <f>+[2]称号計算!Q180</f>
        <v>0.3125</v>
      </c>
      <c r="L175" s="15">
        <f>+[2]称号計算!R180</f>
        <v>0.73560000000000003</v>
      </c>
      <c r="M175" s="16">
        <f>+[2]称号計算!S180</f>
        <v>0.22020000000000001</v>
      </c>
      <c r="N175" s="28">
        <f>+[2]称号計算!T180</f>
        <v>1.6799999999999999E-2</v>
      </c>
      <c r="O175" s="15">
        <f>+[2]称号計算!U180</f>
        <v>1.6799999999999999E-2</v>
      </c>
      <c r="P175" s="15">
        <f>+[2]称号計算!V180</f>
        <v>6.3E-2</v>
      </c>
      <c r="Q175" s="15">
        <f>+[2]称号計算!W180</f>
        <v>0.25190000000000001</v>
      </c>
      <c r="R175" s="15">
        <f>+[2]称号計算!X180</f>
        <v>1.26E-2</v>
      </c>
      <c r="S175" s="16">
        <f>+[2]称号計算!Y180</f>
        <v>1.26E-2</v>
      </c>
      <c r="T175" s="20">
        <f>+[2]称号計算!Z180</f>
        <v>1.9991000000000001</v>
      </c>
      <c r="U175" s="16">
        <v>0.25</v>
      </c>
    </row>
    <row r="176" spans="1:21">
      <c r="A176" s="9" t="s">
        <v>1087</v>
      </c>
      <c r="B176" s="22" t="s">
        <v>1447</v>
      </c>
      <c r="C176" s="26">
        <f>+[2]称号計算!I181</f>
        <v>0.44869999999999999</v>
      </c>
      <c r="D176" s="10">
        <f>+[2]称号計算!J181</f>
        <v>0.78890000000000005</v>
      </c>
      <c r="E176" s="10">
        <f>+[2]称号計算!K181</f>
        <v>8.4000000000000005E-2</v>
      </c>
      <c r="F176" s="10">
        <f>+[2]称号計算!L181</f>
        <v>1.1206</v>
      </c>
      <c r="G176" s="10">
        <f>+[2]称号計算!M181</f>
        <v>0.33529999999999999</v>
      </c>
      <c r="H176" s="11">
        <f>+[2]称号計算!N181</f>
        <v>0.36199999999999999</v>
      </c>
      <c r="I176" s="26">
        <f>+[2]称号計算!O181</f>
        <v>0.19719999999999999</v>
      </c>
      <c r="J176" s="11">
        <f>+[2]称号計算!P181</f>
        <v>0.42730000000000001</v>
      </c>
      <c r="K176" s="26">
        <f>+[2]称号計算!Q181</f>
        <v>0.16270000000000001</v>
      </c>
      <c r="L176" s="10">
        <f>+[2]称号計算!R181</f>
        <v>0.28689999999999999</v>
      </c>
      <c r="M176" s="11">
        <f>+[2]称号計算!S181</f>
        <v>0.46439999999999998</v>
      </c>
      <c r="N176" s="26">
        <f>+[2]称号計算!T181</f>
        <v>0.16839999999999999</v>
      </c>
      <c r="O176" s="10">
        <f>+[2]称号計算!U181</f>
        <v>3.3700000000000001E-2</v>
      </c>
      <c r="P176" s="10">
        <f>+[2]称号計算!V181</f>
        <v>1.12E-2</v>
      </c>
      <c r="Q176" s="10">
        <f>+[2]称号計算!W181</f>
        <v>1.12E-2</v>
      </c>
      <c r="R176" s="10">
        <f>+[2]称号計算!X181</f>
        <v>8.3999999999999995E-3</v>
      </c>
      <c r="S176" s="11">
        <f>+[2]称号計算!Y181</f>
        <v>8.3999999999999995E-3</v>
      </c>
      <c r="T176" s="18">
        <f>+[2]称号計算!Z181</f>
        <v>1.3644000000000001</v>
      </c>
      <c r="U176" s="11">
        <v>1</v>
      </c>
    </row>
    <row r="177" spans="1:21">
      <c r="A177" s="12" t="s">
        <v>1088</v>
      </c>
      <c r="B177" s="23" t="s">
        <v>1448</v>
      </c>
      <c r="C177" s="27">
        <f>+[2]称号計算!I182</f>
        <v>0.50800000000000001</v>
      </c>
      <c r="D177" s="5">
        <f>+[2]称号計算!J182</f>
        <v>0.8387</v>
      </c>
      <c r="E177" s="5">
        <f>+[2]称号計算!K182</f>
        <v>7.0800000000000002E-2</v>
      </c>
      <c r="F177" s="5">
        <f>+[2]称号計算!L182</f>
        <v>1.0891999999999999</v>
      </c>
      <c r="G177" s="5">
        <f>+[2]称号計算!M182</f>
        <v>0.28520000000000001</v>
      </c>
      <c r="H177" s="13">
        <f>+[2]称号計算!N182</f>
        <v>0.75919999999999999</v>
      </c>
      <c r="I177" s="27">
        <f>+[2]称号計算!O182</f>
        <v>0.2157</v>
      </c>
      <c r="J177" s="13">
        <f>+[2]称号計算!P182</f>
        <v>0.27379999999999999</v>
      </c>
      <c r="K177" s="27">
        <f>+[2]称号計算!Q182</f>
        <v>0.18210000000000001</v>
      </c>
      <c r="L177" s="5">
        <f>+[2]称号計算!R182</f>
        <v>0.36599999999999999</v>
      </c>
      <c r="M177" s="13">
        <f>+[2]称号計算!S182</f>
        <v>0.32329999999999998</v>
      </c>
      <c r="N177" s="27">
        <f>+[2]称号計算!T182</f>
        <v>0.26719999999999999</v>
      </c>
      <c r="O177" s="5">
        <f>+[2]称号計算!U182</f>
        <v>5.3400000000000003E-2</v>
      </c>
      <c r="P177" s="5">
        <f>+[2]称号計算!V182</f>
        <v>1.78E-2</v>
      </c>
      <c r="Q177" s="5">
        <f>+[2]称号計算!W182</f>
        <v>1.78E-2</v>
      </c>
      <c r="R177" s="5">
        <f>+[2]称号計算!X182</f>
        <v>1.34E-2</v>
      </c>
      <c r="S177" s="13">
        <f>+[2]称号計算!Y182</f>
        <v>1.34E-2</v>
      </c>
      <c r="T177" s="19">
        <f>+[2]称号計算!Z182</f>
        <v>1.5008999999999999</v>
      </c>
      <c r="U177" s="13">
        <v>1</v>
      </c>
    </row>
    <row r="178" spans="1:21">
      <c r="A178" s="12" t="s">
        <v>1089</v>
      </c>
      <c r="B178" s="23" t="s">
        <v>1449</v>
      </c>
      <c r="C178" s="27">
        <f>+[2]称号計算!I183</f>
        <v>0.27350000000000002</v>
      </c>
      <c r="D178" s="5">
        <f>+[2]称号計算!J183</f>
        <v>0.74580000000000002</v>
      </c>
      <c r="E178" s="5">
        <f>+[2]称号計算!K183</f>
        <v>9.0399999999999994E-2</v>
      </c>
      <c r="F178" s="5">
        <f>+[2]称号計算!L183</f>
        <v>1.1299999999999999</v>
      </c>
      <c r="G178" s="5">
        <f>+[2]称号計算!M183</f>
        <v>0.55710000000000004</v>
      </c>
      <c r="H178" s="13">
        <f>+[2]称号計算!N183</f>
        <v>0.86450000000000005</v>
      </c>
      <c r="I178" s="27">
        <f>+[2]称号計算!O183</f>
        <v>0.19889999999999999</v>
      </c>
      <c r="J178" s="13">
        <f>+[2]称号計算!P183</f>
        <v>0.27029999999999998</v>
      </c>
      <c r="K178" s="27">
        <f>+[2]称号計算!Q183</f>
        <v>0.21879999999999999</v>
      </c>
      <c r="L178" s="5">
        <f>+[2]称号計算!R183</f>
        <v>0.39779999999999999</v>
      </c>
      <c r="M178" s="13">
        <f>+[2]称号計算!S183</f>
        <v>0.3987</v>
      </c>
      <c r="N178" s="27">
        <f>+[2]称号計算!T183</f>
        <v>0.30869999999999997</v>
      </c>
      <c r="O178" s="5">
        <f>+[2]称号計算!U183</f>
        <v>6.1699999999999998E-2</v>
      </c>
      <c r="P178" s="5">
        <f>+[2]称号計算!V183</f>
        <v>2.06E-2</v>
      </c>
      <c r="Q178" s="5">
        <f>+[2]称号計算!W183</f>
        <v>2.06E-2</v>
      </c>
      <c r="R178" s="5">
        <f>+[2]称号計算!X183</f>
        <v>1.54E-2</v>
      </c>
      <c r="S178" s="13">
        <f>+[2]称号計算!Y183</f>
        <v>1.54E-2</v>
      </c>
      <c r="T178" s="19">
        <f>+[2]称号計算!Z183</f>
        <v>1.6580999999999999</v>
      </c>
      <c r="U178" s="13">
        <v>0.9</v>
      </c>
    </row>
    <row r="179" spans="1:21">
      <c r="A179" s="12" t="s">
        <v>1090</v>
      </c>
      <c r="B179" s="23" t="s">
        <v>1450</v>
      </c>
      <c r="C179" s="27">
        <f>+[2]称号計算!I184</f>
        <v>0.37409999999999999</v>
      </c>
      <c r="D179" s="5">
        <f>+[2]称号計算!J184</f>
        <v>0.1381</v>
      </c>
      <c r="E179" s="5">
        <f>+[2]称号計算!K184</f>
        <v>1.3081</v>
      </c>
      <c r="F179" s="5">
        <f>+[2]称号計算!L184</f>
        <v>8.5000000000000006E-2</v>
      </c>
      <c r="G179" s="5">
        <f>+[2]称号計算!M184</f>
        <v>0.2757</v>
      </c>
      <c r="H179" s="13">
        <f>+[2]称号計算!N184</f>
        <v>0.3024</v>
      </c>
      <c r="I179" s="27">
        <f>+[2]称号計算!O184</f>
        <v>1.036</v>
      </c>
      <c r="J179" s="13">
        <f>+[2]称号計算!P184</f>
        <v>0.47610000000000002</v>
      </c>
      <c r="K179" s="27">
        <f>+[2]称号計算!Q184</f>
        <v>0.36259999999999998</v>
      </c>
      <c r="L179" s="5">
        <f>+[2]称号計算!R184</f>
        <v>0.70640000000000003</v>
      </c>
      <c r="M179" s="13">
        <f>+[2]称号計算!S184</f>
        <v>0.315</v>
      </c>
      <c r="N179" s="27">
        <f>+[2]称号計算!T184</f>
        <v>0.14630000000000001</v>
      </c>
      <c r="O179" s="5">
        <f>+[2]称号計算!U184</f>
        <v>2.93E-2</v>
      </c>
      <c r="P179" s="5">
        <f>+[2]称号計算!V184</f>
        <v>9.7999999999999997E-3</v>
      </c>
      <c r="Q179" s="5">
        <f>+[2]称号計算!W184</f>
        <v>9.7999999999999997E-3</v>
      </c>
      <c r="R179" s="5">
        <f>+[2]称号計算!X184</f>
        <v>7.3000000000000001E-3</v>
      </c>
      <c r="S179" s="13">
        <f>+[2]称号計算!Y184</f>
        <v>7.3000000000000001E-3</v>
      </c>
      <c r="T179" s="19">
        <f>+[2]称号計算!Z184</f>
        <v>2.0173999999999999</v>
      </c>
      <c r="U179" s="13">
        <v>0.55000000000000004</v>
      </c>
    </row>
    <row r="180" spans="1:21">
      <c r="A180" s="12" t="s">
        <v>1091</v>
      </c>
      <c r="B180" s="23" t="s">
        <v>1451</v>
      </c>
      <c r="C180" s="27">
        <f>+[2]称号計算!I185</f>
        <v>0.76170000000000004</v>
      </c>
      <c r="D180" s="5">
        <f>+[2]称号計算!J185</f>
        <v>0.33889999999999998</v>
      </c>
      <c r="E180" s="5">
        <f>+[2]称号計算!K185</f>
        <v>1.4670000000000001</v>
      </c>
      <c r="F180" s="5">
        <f>+[2]称号計算!L185</f>
        <v>0.1027</v>
      </c>
      <c r="G180" s="5">
        <f>+[2]称号計算!M185</f>
        <v>0.56859999999999999</v>
      </c>
      <c r="H180" s="13">
        <f>+[2]称号計算!N185</f>
        <v>0.56859999999999999</v>
      </c>
      <c r="I180" s="27">
        <f>+[2]称号計算!O185</f>
        <v>0.25819999999999999</v>
      </c>
      <c r="J180" s="13">
        <f>+[2]称号計算!P185</f>
        <v>0.36359999999999998</v>
      </c>
      <c r="K180" s="27">
        <f>+[2]称号計算!Q185</f>
        <v>0.27760000000000001</v>
      </c>
      <c r="L180" s="5">
        <f>+[2]称号計算!R185</f>
        <v>0.51639999999999997</v>
      </c>
      <c r="M180" s="13">
        <f>+[2]称号計算!S185</f>
        <v>0.39019999999999999</v>
      </c>
      <c r="N180" s="27">
        <f>+[2]称号計算!T185</f>
        <v>0.33679999999999999</v>
      </c>
      <c r="O180" s="5">
        <f>+[2]称号計算!U185</f>
        <v>6.7400000000000002E-2</v>
      </c>
      <c r="P180" s="5">
        <f>+[2]称号計算!V185</f>
        <v>2.2499999999999999E-2</v>
      </c>
      <c r="Q180" s="5">
        <f>+[2]称号計算!W185</f>
        <v>2.2499999999999999E-2</v>
      </c>
      <c r="R180" s="5">
        <f>+[2]称号計算!X185</f>
        <v>1.6799999999999999E-2</v>
      </c>
      <c r="S180" s="13">
        <f>+[2]称号計算!Y185</f>
        <v>1.6799999999999999E-2</v>
      </c>
      <c r="T180" s="19">
        <f>+[2]称号計算!Z185</f>
        <v>1.7931999999999999</v>
      </c>
      <c r="U180" s="13">
        <v>0.5</v>
      </c>
    </row>
    <row r="181" spans="1:21" ht="19.5" thickBot="1">
      <c r="A181" s="14" t="s">
        <v>1092</v>
      </c>
      <c r="B181" s="24" t="s">
        <v>1452</v>
      </c>
      <c r="C181" s="28">
        <f>+[2]称号計算!I186</f>
        <v>0.55069999999999997</v>
      </c>
      <c r="D181" s="15">
        <f>+[2]称号計算!J186</f>
        <v>1.4167000000000001</v>
      </c>
      <c r="E181" s="15">
        <f>+[2]称号計算!K186</f>
        <v>8.5099999999999995E-2</v>
      </c>
      <c r="F181" s="15">
        <f>+[2]称号計算!L186</f>
        <v>1.2151000000000001</v>
      </c>
      <c r="G181" s="15">
        <f>+[2]称号計算!M186</f>
        <v>0.39660000000000001</v>
      </c>
      <c r="H181" s="16">
        <f>+[2]称号計算!N186</f>
        <v>0.48749999999999999</v>
      </c>
      <c r="I181" s="28">
        <f>+[2]称号計算!O186</f>
        <v>0.34749999999999998</v>
      </c>
      <c r="J181" s="16">
        <f>+[2]称号計算!P186</f>
        <v>0.3054</v>
      </c>
      <c r="K181" s="28">
        <f>+[2]称号計算!Q186</f>
        <v>0.22450000000000001</v>
      </c>
      <c r="L181" s="15">
        <f>+[2]称号計算!R186</f>
        <v>0.43740000000000001</v>
      </c>
      <c r="M181" s="16">
        <f>+[2]称号計算!S186</f>
        <v>0.38100000000000001</v>
      </c>
      <c r="N181" s="28">
        <f>+[2]称号計算!T186</f>
        <v>0.25259999999999999</v>
      </c>
      <c r="O181" s="15">
        <f>+[2]称号計算!U186</f>
        <v>5.0500000000000003E-2</v>
      </c>
      <c r="P181" s="15">
        <f>+[2]称号計算!V186</f>
        <v>1.6799999999999999E-2</v>
      </c>
      <c r="Q181" s="15">
        <f>+[2]称号計算!W186</f>
        <v>1.6799999999999999E-2</v>
      </c>
      <c r="R181" s="15">
        <f>+[2]称号計算!X186</f>
        <v>1.26E-2</v>
      </c>
      <c r="S181" s="16">
        <f>+[2]称号計算!Y186</f>
        <v>1.26E-2</v>
      </c>
      <c r="T181" s="20">
        <f>+[2]称号計算!Z186</f>
        <v>1.8516999999999999</v>
      </c>
      <c r="U181" s="16">
        <v>0.25</v>
      </c>
    </row>
    <row r="182" spans="1:21">
      <c r="A182" s="9" t="s">
        <v>1093</v>
      </c>
      <c r="B182" s="22" t="s">
        <v>1453</v>
      </c>
      <c r="C182" s="26">
        <f>+[2]称号計算!I187</f>
        <v>0.39639999999999997</v>
      </c>
      <c r="D182" s="10">
        <f>+[2]称号計算!J187</f>
        <v>0.65259999999999996</v>
      </c>
      <c r="E182" s="10">
        <f>+[2]称号計算!K187</f>
        <v>6.59E-2</v>
      </c>
      <c r="F182" s="10">
        <f>+[2]称号計算!L187</f>
        <v>1.0987</v>
      </c>
      <c r="G182" s="10">
        <f>+[2]称号計算!M187</f>
        <v>0.30259999999999998</v>
      </c>
      <c r="H182" s="11">
        <f>+[2]称号計算!N187</f>
        <v>0.32500000000000001</v>
      </c>
      <c r="I182" s="26">
        <f>+[2]称号計算!O187</f>
        <v>0.58009999999999995</v>
      </c>
      <c r="J182" s="11">
        <f>+[2]称号計算!P187</f>
        <v>0.48559999999999998</v>
      </c>
      <c r="K182" s="26">
        <f>+[2]称号計算!Q187</f>
        <v>0.22239999999999999</v>
      </c>
      <c r="L182" s="10">
        <f>+[2]称号計算!R187</f>
        <v>0.29880000000000001</v>
      </c>
      <c r="M182" s="11">
        <f>+[2]称号計算!S187</f>
        <v>0.43680000000000002</v>
      </c>
      <c r="N182" s="26">
        <f>+[2]称号計算!T187</f>
        <v>3.04E-2</v>
      </c>
      <c r="O182" s="10">
        <f>+[2]称号計算!U187</f>
        <v>0.15179999999999999</v>
      </c>
      <c r="P182" s="10">
        <f>+[2]称号計算!V187</f>
        <v>1.01E-2</v>
      </c>
      <c r="Q182" s="10">
        <f>+[2]称号計算!W187</f>
        <v>1.01E-2</v>
      </c>
      <c r="R182" s="10">
        <f>+[2]称号計算!X187</f>
        <v>7.6E-3</v>
      </c>
      <c r="S182" s="11">
        <f>+[2]称号計算!Y187</f>
        <v>7.6E-3</v>
      </c>
      <c r="T182" s="18">
        <f>+[2]称号計算!Z187</f>
        <v>1.5947</v>
      </c>
      <c r="U182" s="11">
        <v>1</v>
      </c>
    </row>
    <row r="183" spans="1:21">
      <c r="A183" s="12" t="s">
        <v>1094</v>
      </c>
      <c r="B183" s="23" t="s">
        <v>1454</v>
      </c>
      <c r="C183" s="27">
        <f>+[2]称号計算!I188</f>
        <v>0.60840000000000005</v>
      </c>
      <c r="D183" s="5">
        <f>+[2]称号計算!J188</f>
        <v>0.95609999999999995</v>
      </c>
      <c r="E183" s="5">
        <f>+[2]称号計算!K188</f>
        <v>8.3000000000000004E-2</v>
      </c>
      <c r="F183" s="5">
        <f>+[2]称号計算!L188</f>
        <v>0.98770000000000002</v>
      </c>
      <c r="G183" s="5">
        <f>+[2]称号計算!M188</f>
        <v>0.31900000000000001</v>
      </c>
      <c r="H183" s="13">
        <f>+[2]称号計算!N188</f>
        <v>0.56410000000000005</v>
      </c>
      <c r="I183" s="27">
        <f>+[2]称号計算!O188</f>
        <v>0.49980000000000002</v>
      </c>
      <c r="J183" s="13">
        <f>+[2]称号計算!P188</f>
        <v>0.33379999999999999</v>
      </c>
      <c r="K183" s="27">
        <f>+[2]称号計算!Q188</f>
        <v>0.1043</v>
      </c>
      <c r="L183" s="5">
        <f>+[2]称号計算!R188</f>
        <v>0.28439999999999999</v>
      </c>
      <c r="M183" s="13">
        <f>+[2]称号計算!S188</f>
        <v>0.36780000000000002</v>
      </c>
      <c r="N183" s="27">
        <f>+[2]称号計算!T188</f>
        <v>5.3900000000000003E-2</v>
      </c>
      <c r="O183" s="5">
        <f>+[2]称号計算!U188</f>
        <v>0.2697</v>
      </c>
      <c r="P183" s="5">
        <f>+[2]称号計算!V188</f>
        <v>1.7999999999999999E-2</v>
      </c>
      <c r="Q183" s="5">
        <f>+[2]称号計算!W188</f>
        <v>1.7999999999999999E-2</v>
      </c>
      <c r="R183" s="5">
        <f>+[2]称号計算!X188</f>
        <v>1.35E-2</v>
      </c>
      <c r="S183" s="13">
        <f>+[2]称号計算!Y188</f>
        <v>1.35E-2</v>
      </c>
      <c r="T183" s="19">
        <f>+[2]称号計算!Z188</f>
        <v>1.3622000000000001</v>
      </c>
      <c r="U183" s="13">
        <v>1</v>
      </c>
    </row>
    <row r="184" spans="1:21">
      <c r="A184" s="12" t="s">
        <v>1095</v>
      </c>
      <c r="B184" s="23" t="s">
        <v>1455</v>
      </c>
      <c r="C184" s="27">
        <f>+[2]称号計算!I189</f>
        <v>0.43859999999999999</v>
      </c>
      <c r="D184" s="5">
        <f>+[2]称号計算!J189</f>
        <v>0.64659999999999995</v>
      </c>
      <c r="E184" s="5">
        <f>+[2]称号計算!K189</f>
        <v>0.1278</v>
      </c>
      <c r="F184" s="5">
        <f>+[2]称号計算!L189</f>
        <v>1.2779</v>
      </c>
      <c r="G184" s="5">
        <f>+[2]称号計算!M189</f>
        <v>0.32590000000000002</v>
      </c>
      <c r="H184" s="13">
        <f>+[2]称号計算!N189</f>
        <v>0.34760000000000002</v>
      </c>
      <c r="I184" s="27">
        <f>+[2]称号計算!O189</f>
        <v>0.61850000000000005</v>
      </c>
      <c r="J184" s="13">
        <f>+[2]称号計算!P189</f>
        <v>0.36549999999999999</v>
      </c>
      <c r="K184" s="27">
        <f>+[2]称号計算!Q189</f>
        <v>0.24740000000000001</v>
      </c>
      <c r="L184" s="5">
        <f>+[2]称号計算!R189</f>
        <v>0.56230000000000002</v>
      </c>
      <c r="M184" s="13">
        <f>+[2]称号計算!S189</f>
        <v>0.39360000000000001</v>
      </c>
      <c r="N184" s="27">
        <f>+[2]称号計算!T189</f>
        <v>3.5999999999999997E-2</v>
      </c>
      <c r="O184" s="5">
        <f>+[2]称号計算!U189</f>
        <v>0.17979999999999999</v>
      </c>
      <c r="P184" s="5">
        <f>+[2]称号計算!V189</f>
        <v>1.2E-2</v>
      </c>
      <c r="Q184" s="5">
        <f>+[2]称号計算!W189</f>
        <v>1.2E-2</v>
      </c>
      <c r="R184" s="5">
        <f>+[2]称号計算!X189</f>
        <v>8.9999999999999993E-3</v>
      </c>
      <c r="S184" s="13">
        <f>+[2]称号計算!Y189</f>
        <v>8.9999999999999993E-3</v>
      </c>
      <c r="T184" s="19">
        <f>+[2]称号計算!Z189</f>
        <v>1.7243999999999999</v>
      </c>
      <c r="U184" s="13">
        <v>0.9</v>
      </c>
    </row>
    <row r="185" spans="1:21">
      <c r="A185" s="12" t="s">
        <v>1096</v>
      </c>
      <c r="B185" s="23" t="s">
        <v>1456</v>
      </c>
      <c r="C185" s="27">
        <f>+[2]称号計算!I190</f>
        <v>0.85850000000000004</v>
      </c>
      <c r="D185" s="5">
        <f>+[2]称号計算!J190</f>
        <v>0.29199999999999998</v>
      </c>
      <c r="E185" s="5">
        <f>+[2]称号計算!K190</f>
        <v>1.3272999999999999</v>
      </c>
      <c r="F185" s="5">
        <f>+[2]称号計算!L190</f>
        <v>0.1009</v>
      </c>
      <c r="G185" s="5">
        <f>+[2]称号計算!M190</f>
        <v>0.41520000000000001</v>
      </c>
      <c r="H185" s="13">
        <f>+[2]称号計算!N190</f>
        <v>0.99280000000000002</v>
      </c>
      <c r="I185" s="27">
        <f>+[2]称号計算!O190</f>
        <v>0.29199999999999998</v>
      </c>
      <c r="J185" s="13">
        <f>+[2]称号計算!P190</f>
        <v>0.34510000000000002</v>
      </c>
      <c r="K185" s="27">
        <f>+[2]称号計算!Q190</f>
        <v>0.2394</v>
      </c>
      <c r="L185" s="5">
        <f>+[2]称号計算!R190</f>
        <v>0.4194</v>
      </c>
      <c r="M185" s="13">
        <f>+[2]称号計算!S190</f>
        <v>0.31219999999999998</v>
      </c>
      <c r="N185" s="27">
        <f>+[2]称号計算!T190</f>
        <v>5.7299999999999997E-2</v>
      </c>
      <c r="O185" s="5">
        <f>+[2]称号計算!U190</f>
        <v>0.28649999999999998</v>
      </c>
      <c r="P185" s="5">
        <f>+[2]称号計算!V190</f>
        <v>1.9099999999999999E-2</v>
      </c>
      <c r="Q185" s="5">
        <f>+[2]称号計算!W190</f>
        <v>1.9099999999999999E-2</v>
      </c>
      <c r="R185" s="5">
        <f>+[2]称号計算!X190</f>
        <v>1.43E-2</v>
      </c>
      <c r="S185" s="13">
        <f>+[2]称号計算!Y190</f>
        <v>1.43E-2</v>
      </c>
      <c r="T185" s="19">
        <f>+[2]称号計算!Z190</f>
        <v>1.7562</v>
      </c>
      <c r="U185" s="13">
        <v>0.55000000000000004</v>
      </c>
    </row>
    <row r="186" spans="1:21">
      <c r="A186" s="12" t="s">
        <v>1097</v>
      </c>
      <c r="B186" s="23" t="s">
        <v>1457</v>
      </c>
      <c r="C186" s="27">
        <f>+[2]称号計算!I191</f>
        <v>1.3264</v>
      </c>
      <c r="D186" s="5">
        <f>+[2]称号計算!J191</f>
        <v>0.19409999999999999</v>
      </c>
      <c r="E186" s="5">
        <f>+[2]称号計算!K191</f>
        <v>1.4705999999999999</v>
      </c>
      <c r="F186" s="5">
        <f>+[2]称号計算!L191</f>
        <v>0.13239999999999999</v>
      </c>
      <c r="G186" s="5">
        <f>+[2]称号計算!M191</f>
        <v>0.76</v>
      </c>
      <c r="H186" s="13">
        <f>+[2]称号計算!N191</f>
        <v>0.65</v>
      </c>
      <c r="I186" s="27">
        <f>+[2]称号計算!O191</f>
        <v>0.1618</v>
      </c>
      <c r="J186" s="13">
        <f>+[2]称号計算!P191</f>
        <v>0.34410000000000002</v>
      </c>
      <c r="K186" s="27">
        <f>+[2]称号計算!Q191</f>
        <v>0.14879999999999999</v>
      </c>
      <c r="L186" s="5">
        <f>+[2]称号計算!R191</f>
        <v>0.3</v>
      </c>
      <c r="M186" s="13">
        <f>+[2]称号計算!S191</f>
        <v>0.35</v>
      </c>
      <c r="N186" s="27">
        <f>+[2]称号計算!T191</f>
        <v>5.6000000000000001E-2</v>
      </c>
      <c r="O186" s="5">
        <f>+[2]称号計算!U191</f>
        <v>0.2802</v>
      </c>
      <c r="P186" s="5">
        <f>+[2]称号計算!V191</f>
        <v>1.8700000000000001E-2</v>
      </c>
      <c r="Q186" s="5">
        <f>+[2]称号計算!W191</f>
        <v>1.8700000000000001E-2</v>
      </c>
      <c r="R186" s="5">
        <f>+[2]称号計算!X191</f>
        <v>1.4E-2</v>
      </c>
      <c r="S186" s="13">
        <f>+[2]称号計算!Y191</f>
        <v>1.4E-2</v>
      </c>
      <c r="T186" s="19">
        <f>+[2]称号計算!Z191</f>
        <v>1.5406</v>
      </c>
      <c r="U186" s="13">
        <v>0.5</v>
      </c>
    </row>
    <row r="187" spans="1:21" ht="19.5" thickBot="1">
      <c r="A187" s="14" t="s">
        <v>1098</v>
      </c>
      <c r="B187" s="24" t="s">
        <v>1458</v>
      </c>
      <c r="C187" s="28">
        <f>+[2]称号計算!I192</f>
        <v>0.61839999999999995</v>
      </c>
      <c r="D187" s="15">
        <f>+[2]称号計算!J192</f>
        <v>0.67220000000000002</v>
      </c>
      <c r="E187" s="15">
        <f>+[2]称号計算!K192</f>
        <v>0.15279999999999999</v>
      </c>
      <c r="F187" s="15">
        <f>+[2]称号計算!L192</f>
        <v>1.5277000000000001</v>
      </c>
      <c r="G187" s="15">
        <f>+[2]称号計算!M192</f>
        <v>0.49340000000000001</v>
      </c>
      <c r="H187" s="16">
        <f>+[2]称号計算!N192</f>
        <v>0.5454</v>
      </c>
      <c r="I187" s="28">
        <f>+[2]称号計算!O192</f>
        <v>0.33610000000000001</v>
      </c>
      <c r="J187" s="16">
        <f>+[2]称号計算!P192</f>
        <v>0.3972</v>
      </c>
      <c r="K187" s="28">
        <f>+[2]称号計算!Q192</f>
        <v>0.26889999999999997</v>
      </c>
      <c r="L187" s="15">
        <f>+[2]称号計算!R192</f>
        <v>0.64159999999999995</v>
      </c>
      <c r="M187" s="16">
        <f>+[2]称号計算!S192</f>
        <v>0.42770000000000002</v>
      </c>
      <c r="N187" s="28">
        <f>+[2]称号計算!T192</f>
        <v>4.87E-2</v>
      </c>
      <c r="O187" s="15">
        <f>+[2]称号計算!U192</f>
        <v>0.24329999999999999</v>
      </c>
      <c r="P187" s="15">
        <f>+[2]称号計算!V192</f>
        <v>1.6199999999999999E-2</v>
      </c>
      <c r="Q187" s="15">
        <f>+[2]称号計算!W192</f>
        <v>1.6199999999999999E-2</v>
      </c>
      <c r="R187" s="15">
        <f>+[2]称号計算!X192</f>
        <v>1.2200000000000001E-2</v>
      </c>
      <c r="S187" s="16">
        <f>+[2]称号計算!Y192</f>
        <v>1.2200000000000001E-2</v>
      </c>
      <c r="T187" s="20">
        <f>+[2]称号計算!Z192</f>
        <v>1.8919999999999999</v>
      </c>
      <c r="U187" s="16">
        <v>0.25</v>
      </c>
    </row>
    <row r="188" spans="1:21">
      <c r="A188" s="9" t="s">
        <v>1099</v>
      </c>
      <c r="B188" s="22" t="s">
        <v>1459</v>
      </c>
      <c r="C188" s="26">
        <f>+[2]称号計算!I193</f>
        <v>0.42370000000000002</v>
      </c>
      <c r="D188" s="10">
        <f>+[2]称号計算!J193</f>
        <v>0.48270000000000002</v>
      </c>
      <c r="E188" s="10">
        <f>+[2]称号計算!K193</f>
        <v>6.4600000000000005E-2</v>
      </c>
      <c r="F188" s="10">
        <f>+[2]称号計算!L193</f>
        <v>1.2189000000000001</v>
      </c>
      <c r="G188" s="10">
        <f>+[2]称号計算!M193</f>
        <v>0.3523</v>
      </c>
      <c r="H188" s="11">
        <f>+[2]称号計算!N193</f>
        <v>0.3357</v>
      </c>
      <c r="I188" s="26">
        <f>+[2]称号計算!O193</f>
        <v>0.34860000000000002</v>
      </c>
      <c r="J188" s="11">
        <f>+[2]称号計算!P193</f>
        <v>0.30630000000000002</v>
      </c>
      <c r="K188" s="26">
        <f>+[2]称号計算!Q193</f>
        <v>0.42899999999999999</v>
      </c>
      <c r="L188" s="10">
        <f>+[2]称号計算!R193</f>
        <v>0.83860000000000001</v>
      </c>
      <c r="M188" s="11">
        <f>+[2]称号計算!S193</f>
        <v>0.25940000000000002</v>
      </c>
      <c r="N188" s="26">
        <f>+[2]称号計算!T193</f>
        <v>9.7000000000000003E-3</v>
      </c>
      <c r="O188" s="10">
        <f>+[2]称号計算!U193</f>
        <v>9.7000000000000003E-3</v>
      </c>
      <c r="P188" s="10">
        <f>+[2]称号計算!V193</f>
        <v>0.1457</v>
      </c>
      <c r="Q188" s="10">
        <f>+[2]称号計算!W193</f>
        <v>3.6400000000000002E-2</v>
      </c>
      <c r="R188" s="10">
        <f>+[2]称号計算!X193</f>
        <v>7.3000000000000001E-3</v>
      </c>
      <c r="S188" s="11">
        <f>+[2]称号計算!Y193</f>
        <v>7.3000000000000001E-3</v>
      </c>
      <c r="T188" s="18">
        <f>+[2]称号計算!Z193</f>
        <v>2.1362999999999999</v>
      </c>
      <c r="U188" s="11">
        <v>1</v>
      </c>
    </row>
    <row r="189" spans="1:21">
      <c r="A189" s="12" t="s">
        <v>1100</v>
      </c>
      <c r="B189" s="23" t="s">
        <v>1460</v>
      </c>
      <c r="C189" s="27">
        <f>+[2]称号計算!I194</f>
        <v>0.64410000000000001</v>
      </c>
      <c r="D189" s="5">
        <f>+[2]称号計算!J194</f>
        <v>0.53680000000000005</v>
      </c>
      <c r="E189" s="5">
        <f>+[2]称号計算!K194</f>
        <v>0.122</v>
      </c>
      <c r="F189" s="5">
        <f>+[2]称号計算!L194</f>
        <v>1.22</v>
      </c>
      <c r="G189" s="5">
        <f>+[2]称号計算!M194</f>
        <v>0.53920000000000001</v>
      </c>
      <c r="H189" s="13">
        <f>+[2]称号計算!N194</f>
        <v>0.35260000000000002</v>
      </c>
      <c r="I189" s="27">
        <f>+[2]称号計算!O194</f>
        <v>0.4294</v>
      </c>
      <c r="J189" s="13">
        <f>+[2]称号計算!P194</f>
        <v>0.33829999999999999</v>
      </c>
      <c r="K189" s="27">
        <f>+[2]称号計算!Q194</f>
        <v>0.30059999999999998</v>
      </c>
      <c r="L189" s="5">
        <f>+[2]称号計算!R194</f>
        <v>0.48799999999999999</v>
      </c>
      <c r="M189" s="13">
        <f>+[2]称号計算!S194</f>
        <v>0.34160000000000001</v>
      </c>
      <c r="N189" s="27">
        <f>+[2]称号計算!T194</f>
        <v>1.4999999999999999E-2</v>
      </c>
      <c r="O189" s="5">
        <f>+[2]称号計算!U194</f>
        <v>1.4999999999999999E-2</v>
      </c>
      <c r="P189" s="5">
        <f>+[2]称号計算!V194</f>
        <v>0.2253</v>
      </c>
      <c r="Q189" s="5">
        <f>+[2]称号計算!W194</f>
        <v>5.6300000000000003E-2</v>
      </c>
      <c r="R189" s="5">
        <f>+[2]称号計算!X194</f>
        <v>1.1299999999999999E-2</v>
      </c>
      <c r="S189" s="13">
        <f>+[2]称号計算!Y194</f>
        <v>1.1299999999999999E-2</v>
      </c>
      <c r="T189" s="19">
        <f>+[2]称号計算!Z194</f>
        <v>1.889</v>
      </c>
      <c r="U189" s="13">
        <v>1</v>
      </c>
    </row>
    <row r="190" spans="1:21">
      <c r="A190" s="12" t="s">
        <v>1101</v>
      </c>
      <c r="B190" s="23" t="s">
        <v>1461</v>
      </c>
      <c r="C190" s="27">
        <f>+[2]称号計算!I195</f>
        <v>0.36630000000000001</v>
      </c>
      <c r="D190" s="5">
        <f>+[2]称号計算!J195</f>
        <v>0.49270000000000003</v>
      </c>
      <c r="E190" s="5">
        <f>+[2]称号計算!K195</f>
        <v>7.1800000000000003E-2</v>
      </c>
      <c r="F190" s="5">
        <f>+[2]称号計算!L195</f>
        <v>1.4355</v>
      </c>
      <c r="G190" s="5">
        <f>+[2]称号計算!M195</f>
        <v>0.31240000000000001</v>
      </c>
      <c r="H190" s="13">
        <f>+[2]称号計算!N195</f>
        <v>0.31719999999999998</v>
      </c>
      <c r="I190" s="27">
        <f>+[2]称号計算!O195</f>
        <v>0.50529999999999997</v>
      </c>
      <c r="J190" s="13">
        <f>+[2]称号計算!P195</f>
        <v>0.38569999999999999</v>
      </c>
      <c r="K190" s="27">
        <f>+[2]称号計算!Q195</f>
        <v>0.53049999999999997</v>
      </c>
      <c r="L190" s="5">
        <f>+[2]称号計算!R195</f>
        <v>0.74639999999999995</v>
      </c>
      <c r="M190" s="13">
        <f>+[2]称号計算!S195</f>
        <v>0.40189999999999998</v>
      </c>
      <c r="N190" s="27">
        <f>+[2]称号計算!T195</f>
        <v>9.4999999999999998E-3</v>
      </c>
      <c r="O190" s="5">
        <f>+[2]称号計算!U195</f>
        <v>9.4999999999999998E-3</v>
      </c>
      <c r="P190" s="5">
        <f>+[2]称号計算!V195</f>
        <v>0.14249999999999999</v>
      </c>
      <c r="Q190" s="5">
        <f>+[2]称号計算!W195</f>
        <v>3.56E-2</v>
      </c>
      <c r="R190" s="5">
        <f>+[2]称号計算!X195</f>
        <v>7.1000000000000004E-3</v>
      </c>
      <c r="S190" s="13">
        <f>+[2]称号計算!Y195</f>
        <v>7.1000000000000004E-3</v>
      </c>
      <c r="T190" s="19">
        <f>+[2]称号計算!Z195</f>
        <v>2.4117999999999999</v>
      </c>
      <c r="U190" s="13">
        <v>0.9</v>
      </c>
    </row>
    <row r="191" spans="1:21">
      <c r="A191" s="12" t="s">
        <v>1102</v>
      </c>
      <c r="B191" s="23" t="s">
        <v>1462</v>
      </c>
      <c r="C191" s="27">
        <f>+[2]称号計算!I196</f>
        <v>0.48920000000000002</v>
      </c>
      <c r="D191" s="5">
        <f>+[2]称号計算!J196</f>
        <v>0.26319999999999999</v>
      </c>
      <c r="E191" s="5">
        <f>+[2]称号計算!K196</f>
        <v>1.4075</v>
      </c>
      <c r="F191" s="5">
        <f>+[2]称号計算!L196</f>
        <v>9.8500000000000004E-2</v>
      </c>
      <c r="G191" s="5">
        <f>+[2]称号計算!M196</f>
        <v>0.37809999999999999</v>
      </c>
      <c r="H191" s="13">
        <f>+[2]称号計算!N196</f>
        <v>0.3493</v>
      </c>
      <c r="I191" s="27">
        <f>+[2]称号計算!O196</f>
        <v>0.61929999999999996</v>
      </c>
      <c r="J191" s="13">
        <f>+[2]称号計算!P196</f>
        <v>0.45129999999999998</v>
      </c>
      <c r="K191" s="27">
        <f>+[2]称号計算!Q196</f>
        <v>0.49540000000000001</v>
      </c>
      <c r="L191" s="5">
        <f>+[2]称号計算!R196</f>
        <v>0.79379999999999995</v>
      </c>
      <c r="M191" s="13">
        <f>+[2]称号計算!S196</f>
        <v>0.47289999999999999</v>
      </c>
      <c r="N191" s="27">
        <f>+[2]称号計算!T196</f>
        <v>1.21E-2</v>
      </c>
      <c r="O191" s="5">
        <f>+[2]称号計算!U196</f>
        <v>1.21E-2</v>
      </c>
      <c r="P191" s="5">
        <f>+[2]称号計算!V196</f>
        <v>0.18149999999999999</v>
      </c>
      <c r="Q191" s="5">
        <f>+[2]称号計算!W196</f>
        <v>4.5400000000000003E-2</v>
      </c>
      <c r="R191" s="5">
        <f>+[2]称号計算!X196</f>
        <v>9.1000000000000004E-3</v>
      </c>
      <c r="S191" s="13">
        <f>+[2]称号計算!Y196</f>
        <v>9.1000000000000004E-3</v>
      </c>
      <c r="T191" s="19">
        <f>+[2]称号計算!Z196</f>
        <v>2.4567999999999999</v>
      </c>
      <c r="U191" s="13">
        <v>0.55000000000000004</v>
      </c>
    </row>
    <row r="192" spans="1:21">
      <c r="A192" s="12" t="s">
        <v>1103</v>
      </c>
      <c r="B192" s="23" t="s">
        <v>1463</v>
      </c>
      <c r="C192" s="27">
        <f>+[2]称号計算!I197</f>
        <v>0.79239999999999999</v>
      </c>
      <c r="D192" s="5">
        <f>+[2]称号計算!J197</f>
        <v>0.28060000000000002</v>
      </c>
      <c r="E192" s="5">
        <f>+[2]称号計算!K197</f>
        <v>1.5007999999999999</v>
      </c>
      <c r="F192" s="5">
        <f>+[2]称号計算!L197</f>
        <v>0.15010000000000001</v>
      </c>
      <c r="G192" s="5">
        <f>+[2]称号計算!M197</f>
        <v>0.6633</v>
      </c>
      <c r="H192" s="13">
        <f>+[2]称号計算!N197</f>
        <v>0.43369999999999997</v>
      </c>
      <c r="I192" s="27">
        <f>+[2]称号計算!O197</f>
        <v>0.52829999999999999</v>
      </c>
      <c r="J192" s="13">
        <f>+[2]称号計算!P197</f>
        <v>0.41620000000000001</v>
      </c>
      <c r="K192" s="27">
        <f>+[2]称号計算!Q197</f>
        <v>0.36980000000000002</v>
      </c>
      <c r="L192" s="5">
        <f>+[2]称号計算!R197</f>
        <v>0.60029999999999994</v>
      </c>
      <c r="M192" s="13">
        <f>+[2]称号計算!S197</f>
        <v>0.3362</v>
      </c>
      <c r="N192" s="27">
        <f>+[2]称号計算!T197</f>
        <v>1.8499999999999999E-2</v>
      </c>
      <c r="O192" s="5">
        <f>+[2]称号計算!U197</f>
        <v>1.8499999999999999E-2</v>
      </c>
      <c r="P192" s="5">
        <f>+[2]称号計算!V197</f>
        <v>0.27689999999999998</v>
      </c>
      <c r="Q192" s="5">
        <f>+[2]称号計算!W197</f>
        <v>6.9199999999999998E-2</v>
      </c>
      <c r="R192" s="5">
        <f>+[2]称号計算!X197</f>
        <v>1.38E-2</v>
      </c>
      <c r="S192" s="13">
        <f>+[2]称号計算!Y197</f>
        <v>1.38E-2</v>
      </c>
      <c r="T192" s="19">
        <f>+[2]称号計算!Z197</f>
        <v>2.1587999999999998</v>
      </c>
      <c r="U192" s="13">
        <v>0.5</v>
      </c>
    </row>
    <row r="193" spans="1:21" ht="19.5" thickBot="1">
      <c r="A193" s="14" t="s">
        <v>1104</v>
      </c>
      <c r="B193" s="24" t="s">
        <v>1464</v>
      </c>
      <c r="C193" s="28">
        <f>+[2]称号計算!I198</f>
        <v>0.71830000000000005</v>
      </c>
      <c r="D193" s="15">
        <f>+[2]称号計算!J198</f>
        <v>0.68559999999999999</v>
      </c>
      <c r="E193" s="15">
        <f>+[2]称号計算!K198</f>
        <v>0.1484</v>
      </c>
      <c r="F193" s="15">
        <f>+[2]称号計算!L198</f>
        <v>1.484</v>
      </c>
      <c r="G193" s="15">
        <f>+[2]称号計算!M198</f>
        <v>0.55500000000000005</v>
      </c>
      <c r="H193" s="16">
        <f>+[2]称号計算!N198</f>
        <v>0.55500000000000005</v>
      </c>
      <c r="I193" s="28">
        <f>+[2]称号計算!O198</f>
        <v>0.45710000000000001</v>
      </c>
      <c r="J193" s="16">
        <f>+[2]称号計算!P198</f>
        <v>0.3987</v>
      </c>
      <c r="K193" s="28">
        <f>+[2]称号計算!Q198</f>
        <v>0.31340000000000001</v>
      </c>
      <c r="L193" s="15">
        <f>+[2]称号計算!R198</f>
        <v>0.59360000000000002</v>
      </c>
      <c r="M193" s="16">
        <f>+[2]称号計算!S198</f>
        <v>0.41549999999999998</v>
      </c>
      <c r="N193" s="28">
        <f>+[2]称号計算!T198</f>
        <v>1.8200000000000001E-2</v>
      </c>
      <c r="O193" s="15">
        <f>+[2]称号計算!U198</f>
        <v>1.8200000000000001E-2</v>
      </c>
      <c r="P193" s="15">
        <f>+[2]称号計算!V198</f>
        <v>0.2732</v>
      </c>
      <c r="Q193" s="15">
        <f>+[2]称号計算!W198</f>
        <v>6.83E-2</v>
      </c>
      <c r="R193" s="15">
        <f>+[2]称号計算!X198</f>
        <v>1.37E-2</v>
      </c>
      <c r="S193" s="16">
        <f>+[2]称号計算!Y198</f>
        <v>1.37E-2</v>
      </c>
      <c r="T193" s="20">
        <f>+[2]称号計算!Z198</f>
        <v>2.1082000000000001</v>
      </c>
      <c r="U193" s="16">
        <v>0.25</v>
      </c>
    </row>
    <row r="194" spans="1:21">
      <c r="A194" s="9" t="s">
        <v>1105</v>
      </c>
      <c r="B194" s="22" t="s">
        <v>1465</v>
      </c>
      <c r="C194" s="26">
        <f>+[2]称号計算!I199</f>
        <v>0.6855</v>
      </c>
      <c r="D194" s="10">
        <f>+[2]称号計算!J199</f>
        <v>0.57120000000000004</v>
      </c>
      <c r="E194" s="10">
        <f>+[2]称号計算!K199</f>
        <v>0.10390000000000001</v>
      </c>
      <c r="F194" s="10">
        <f>+[2]称号計算!L199</f>
        <v>1.0386</v>
      </c>
      <c r="G194" s="10">
        <f>+[2]称号計算!M199</f>
        <v>0.52969999999999995</v>
      </c>
      <c r="H194" s="11">
        <f>+[2]称号計算!N199</f>
        <v>0.49440000000000001</v>
      </c>
      <c r="I194" s="26">
        <f>+[2]称号計算!O199</f>
        <v>0.45700000000000002</v>
      </c>
      <c r="J194" s="11">
        <f>+[2]称号計算!P199</f>
        <v>0.315</v>
      </c>
      <c r="K194" s="26">
        <f>+[2]称号計算!Q199</f>
        <v>0.21940000000000001</v>
      </c>
      <c r="L194" s="10">
        <f>+[2]称号計算!R199</f>
        <v>0.4985</v>
      </c>
      <c r="M194" s="11">
        <f>+[2]称号計算!S199</f>
        <v>0.34899999999999998</v>
      </c>
      <c r="N194" s="26">
        <f>+[2]称号計算!T199</f>
        <v>1.8499999999999999E-2</v>
      </c>
      <c r="O194" s="10">
        <f>+[2]称号計算!U199</f>
        <v>1.8499999999999999E-2</v>
      </c>
      <c r="P194" s="10">
        <f>+[2]称号計算!V199</f>
        <v>6.9500000000000006E-2</v>
      </c>
      <c r="Q194" s="10">
        <f>+[2]称号計算!W199</f>
        <v>0.27779999999999999</v>
      </c>
      <c r="R194" s="10">
        <f>+[2]称号計算!X199</f>
        <v>1.3899999999999999E-2</v>
      </c>
      <c r="S194" s="11">
        <f>+[2]称号計算!Y199</f>
        <v>1.3899999999999999E-2</v>
      </c>
      <c r="T194" s="18">
        <f>+[2]称号計算!Z199</f>
        <v>1.754</v>
      </c>
      <c r="U194" s="11">
        <v>1</v>
      </c>
    </row>
    <row r="195" spans="1:21">
      <c r="A195" s="12" t="s">
        <v>1106</v>
      </c>
      <c r="B195" s="23" t="s">
        <v>1466</v>
      </c>
      <c r="C195" s="27">
        <f>+[2]称号計算!I200</f>
        <v>0.52990000000000004</v>
      </c>
      <c r="D195" s="5">
        <f>+[2]称号計算!J200</f>
        <v>0.93179999999999996</v>
      </c>
      <c r="E195" s="5">
        <f>+[2]称号計算!K200</f>
        <v>9.9299999999999999E-2</v>
      </c>
      <c r="F195" s="5">
        <f>+[2]称号計算!L200</f>
        <v>1.3234999999999999</v>
      </c>
      <c r="G195" s="5">
        <f>+[2]称号計算!M200</f>
        <v>0.39600000000000002</v>
      </c>
      <c r="H195" s="13">
        <f>+[2]称号計算!N200</f>
        <v>0.42749999999999999</v>
      </c>
      <c r="I195" s="27">
        <f>+[2]称号計算!O200</f>
        <v>0.2329</v>
      </c>
      <c r="J195" s="13">
        <f>+[2]称号計算!P200</f>
        <v>0.50470000000000004</v>
      </c>
      <c r="K195" s="27">
        <f>+[2]称号計算!Q200</f>
        <v>0.19220000000000001</v>
      </c>
      <c r="L195" s="5">
        <f>+[2]称号計算!R200</f>
        <v>0.33879999999999999</v>
      </c>
      <c r="M195" s="13">
        <f>+[2]称号計算!S200</f>
        <v>0.54849999999999999</v>
      </c>
      <c r="N195" s="27">
        <f>+[2]称号計算!T200</f>
        <v>1.3299999999999999E-2</v>
      </c>
      <c r="O195" s="5">
        <f>+[2]称号計算!U200</f>
        <v>1.3299999999999999E-2</v>
      </c>
      <c r="P195" s="5">
        <f>+[2]称号計算!V200</f>
        <v>4.9700000000000001E-2</v>
      </c>
      <c r="Q195" s="5">
        <f>+[2]称号計算!W200</f>
        <v>0.19889999999999999</v>
      </c>
      <c r="R195" s="5">
        <f>+[2]称号計算!X200</f>
        <v>9.9000000000000008E-3</v>
      </c>
      <c r="S195" s="13">
        <f>+[2]称号計算!Y200</f>
        <v>9.9000000000000008E-3</v>
      </c>
      <c r="T195" s="19">
        <f>+[2]称号計算!Z200</f>
        <v>1.6114999999999999</v>
      </c>
      <c r="U195" s="13">
        <v>1</v>
      </c>
    </row>
    <row r="196" spans="1:21">
      <c r="A196" s="12" t="s">
        <v>1107</v>
      </c>
      <c r="B196" s="23" t="s">
        <v>1467</v>
      </c>
      <c r="C196" s="27">
        <f>+[2]称号計算!I201</f>
        <v>0.59870000000000001</v>
      </c>
      <c r="D196" s="5">
        <f>+[2]称号計算!J201</f>
        <v>0.98829999999999996</v>
      </c>
      <c r="E196" s="5">
        <f>+[2]称号計算!K201</f>
        <v>8.3400000000000002E-2</v>
      </c>
      <c r="F196" s="5">
        <f>+[2]称号計算!L201</f>
        <v>1.2836000000000001</v>
      </c>
      <c r="G196" s="5">
        <f>+[2]称号計算!M201</f>
        <v>0.33600000000000002</v>
      </c>
      <c r="H196" s="13">
        <f>+[2]称号計算!N201</f>
        <v>0.89459999999999995</v>
      </c>
      <c r="I196" s="27">
        <f>+[2]称号計算!O201</f>
        <v>0.25409999999999999</v>
      </c>
      <c r="J196" s="13">
        <f>+[2]称号計算!P201</f>
        <v>0.3226</v>
      </c>
      <c r="K196" s="27">
        <f>+[2]称号計算!Q201</f>
        <v>0.21460000000000001</v>
      </c>
      <c r="L196" s="5">
        <f>+[2]称号計算!R201</f>
        <v>0.43130000000000002</v>
      </c>
      <c r="M196" s="13">
        <f>+[2]称号計算!S201</f>
        <v>0.38100000000000001</v>
      </c>
      <c r="N196" s="27">
        <f>+[2]称号計算!T201</f>
        <v>2.1000000000000001E-2</v>
      </c>
      <c r="O196" s="5">
        <f>+[2]称号計算!U201</f>
        <v>2.1000000000000001E-2</v>
      </c>
      <c r="P196" s="5">
        <f>+[2]称号計算!V201</f>
        <v>7.8700000000000006E-2</v>
      </c>
      <c r="Q196" s="5">
        <f>+[2]称号計算!W201</f>
        <v>0.31490000000000001</v>
      </c>
      <c r="R196" s="5">
        <f>+[2]称号計算!X201</f>
        <v>1.5699999999999999E-2</v>
      </c>
      <c r="S196" s="13">
        <f>+[2]称号計算!Y201</f>
        <v>1.5699999999999999E-2</v>
      </c>
      <c r="T196" s="19">
        <f>+[2]称号計算!Z201</f>
        <v>1.7685999999999999</v>
      </c>
      <c r="U196" s="13">
        <v>0.9</v>
      </c>
    </row>
    <row r="197" spans="1:21">
      <c r="A197" s="12" t="s">
        <v>1108</v>
      </c>
      <c r="B197" s="23" t="s">
        <v>1468</v>
      </c>
      <c r="C197" s="27">
        <f>+[2]称号計算!I202</f>
        <v>0.52229999999999999</v>
      </c>
      <c r="D197" s="5">
        <f>+[2]称号計算!J202</f>
        <v>0.21299999999999999</v>
      </c>
      <c r="E197" s="5">
        <f>+[2]称号計算!K202</f>
        <v>1.5619000000000001</v>
      </c>
      <c r="F197" s="5">
        <f>+[2]称号計算!L202</f>
        <v>9.6799999999999997E-2</v>
      </c>
      <c r="G197" s="5">
        <f>+[2]称号計算!M202</f>
        <v>0.40360000000000001</v>
      </c>
      <c r="H197" s="13">
        <f>+[2]称号計算!N202</f>
        <v>0.37169999999999997</v>
      </c>
      <c r="I197" s="27">
        <f>+[2]称号計算!O202</f>
        <v>0.65290000000000004</v>
      </c>
      <c r="J197" s="13">
        <f>+[2]称号計算!P202</f>
        <v>0.64970000000000006</v>
      </c>
      <c r="K197" s="27">
        <f>+[2]称号計算!Q202</f>
        <v>0.46039999999999998</v>
      </c>
      <c r="L197" s="5">
        <f>+[2]称号計算!R202</f>
        <v>0.5373</v>
      </c>
      <c r="M197" s="13">
        <f>+[2]称号計算!S202</f>
        <v>0.58160000000000001</v>
      </c>
      <c r="N197" s="27">
        <f>+[2]称号計算!T202</f>
        <v>1.1599999999999999E-2</v>
      </c>
      <c r="O197" s="5">
        <f>+[2]称号計算!U202</f>
        <v>1.1599999999999999E-2</v>
      </c>
      <c r="P197" s="5">
        <f>+[2]称号計算!V202</f>
        <v>4.36E-2</v>
      </c>
      <c r="Q197" s="5">
        <f>+[2]称号計算!W202</f>
        <v>0.17430000000000001</v>
      </c>
      <c r="R197" s="5">
        <f>+[2]称号計算!X202</f>
        <v>8.6999999999999994E-3</v>
      </c>
      <c r="S197" s="13">
        <f>+[2]称号計算!Y202</f>
        <v>8.6999999999999994E-3</v>
      </c>
      <c r="T197" s="19">
        <f>+[2]称号計算!Z202</f>
        <v>2.3365</v>
      </c>
      <c r="U197" s="13">
        <v>0.55000000000000004</v>
      </c>
    </row>
    <row r="198" spans="1:21">
      <c r="A198" s="12" t="s">
        <v>1109</v>
      </c>
      <c r="B198" s="23" t="s">
        <v>1469</v>
      </c>
      <c r="C198" s="27">
        <f>+[2]称号計算!I203</f>
        <v>0.43909999999999999</v>
      </c>
      <c r="D198" s="5">
        <f>+[2]称号計算!J203</f>
        <v>0.16209999999999999</v>
      </c>
      <c r="E198" s="5">
        <f>+[2]称号計算!K203</f>
        <v>1.5354000000000001</v>
      </c>
      <c r="F198" s="5">
        <f>+[2]称号計算!L203</f>
        <v>9.98E-2</v>
      </c>
      <c r="G198" s="5">
        <f>+[2]称号計算!M203</f>
        <v>0.32369999999999999</v>
      </c>
      <c r="H198" s="13">
        <f>+[2]称号計算!N203</f>
        <v>0.35499999999999998</v>
      </c>
      <c r="I198" s="27">
        <f>+[2]称号計算!O203</f>
        <v>1.216</v>
      </c>
      <c r="J198" s="13">
        <f>+[2]称号計算!P203</f>
        <v>0.55889999999999995</v>
      </c>
      <c r="K198" s="27">
        <f>+[2]称号計算!Q203</f>
        <v>0.42559999999999998</v>
      </c>
      <c r="L198" s="5">
        <f>+[2]称号計算!R203</f>
        <v>0.82909999999999995</v>
      </c>
      <c r="M198" s="13">
        <f>+[2]称号計算!S203</f>
        <v>0.36969999999999997</v>
      </c>
      <c r="N198" s="27">
        <f>+[2]称号計算!T203</f>
        <v>1.15E-2</v>
      </c>
      <c r="O198" s="5">
        <f>+[2]称号計算!U203</f>
        <v>1.15E-2</v>
      </c>
      <c r="P198" s="5">
        <f>+[2]称号計算!V203</f>
        <v>4.2900000000000001E-2</v>
      </c>
      <c r="Q198" s="5">
        <f>+[2]称号計算!W203</f>
        <v>0.17180000000000001</v>
      </c>
      <c r="R198" s="5">
        <f>+[2]称号計算!X203</f>
        <v>8.6E-3</v>
      </c>
      <c r="S198" s="13">
        <f>+[2]称号計算!Y203</f>
        <v>8.6E-3</v>
      </c>
      <c r="T198" s="19">
        <f>+[2]称号計算!Z203</f>
        <v>2.3679000000000001</v>
      </c>
      <c r="U198" s="13">
        <v>0.5</v>
      </c>
    </row>
    <row r="199" spans="1:21" ht="19.5" thickBot="1">
      <c r="A199" s="14" t="s">
        <v>1110</v>
      </c>
      <c r="B199" s="24" t="s">
        <v>1470</v>
      </c>
      <c r="C199" s="28">
        <f>+[2]称号計算!I204</f>
        <v>0.66279999999999994</v>
      </c>
      <c r="D199" s="15">
        <f>+[2]称号計算!J204</f>
        <v>0.75939999999999996</v>
      </c>
      <c r="E199" s="15">
        <f>+[2]称号計算!K204</f>
        <v>9.7299999999999998E-2</v>
      </c>
      <c r="F199" s="15">
        <f>+[2]称号計算!L204</f>
        <v>1.5690999999999999</v>
      </c>
      <c r="G199" s="15">
        <f>+[2]称号計算!M204</f>
        <v>0.4375</v>
      </c>
      <c r="H199" s="16">
        <f>+[2]称号計算!N204</f>
        <v>0.48549999999999999</v>
      </c>
      <c r="I199" s="28">
        <f>+[2]称号計算!O204</f>
        <v>0.41420000000000001</v>
      </c>
      <c r="J199" s="16">
        <f>+[2]称号計算!P204</f>
        <v>0.43519999999999998</v>
      </c>
      <c r="K199" s="28">
        <f>+[2]称号計算!Q204</f>
        <v>0.31069999999999998</v>
      </c>
      <c r="L199" s="15">
        <f>+[2]称号計算!R204</f>
        <v>0.57120000000000004</v>
      </c>
      <c r="M199" s="16">
        <f>+[2]称号計算!S204</f>
        <v>0.83479999999999999</v>
      </c>
      <c r="N199" s="28">
        <f>+[2]称号計算!T204</f>
        <v>1.61E-2</v>
      </c>
      <c r="O199" s="15">
        <f>+[2]称号計算!U204</f>
        <v>1.61E-2</v>
      </c>
      <c r="P199" s="15">
        <f>+[2]称号計算!V204</f>
        <v>6.0499999999999998E-2</v>
      </c>
      <c r="Q199" s="15">
        <f>+[2]称号計算!W204</f>
        <v>0.24210000000000001</v>
      </c>
      <c r="R199" s="15">
        <f>+[2]称号計算!X204</f>
        <v>1.21E-2</v>
      </c>
      <c r="S199" s="16">
        <f>+[2]称号計算!Y204</f>
        <v>1.21E-2</v>
      </c>
      <c r="T199" s="20">
        <f>+[2]称号計算!Z204</f>
        <v>2.1377000000000002</v>
      </c>
      <c r="U199" s="16">
        <v>0.25</v>
      </c>
    </row>
    <row r="200" spans="1:21">
      <c r="A200" s="9" t="s">
        <v>1111</v>
      </c>
      <c r="B200" s="22" t="s">
        <v>1471</v>
      </c>
      <c r="C200" s="26">
        <f>+[2]称号計算!I205</f>
        <v>0.3654</v>
      </c>
      <c r="D200" s="10">
        <f>+[2]称号計算!J205</f>
        <v>0.59989999999999999</v>
      </c>
      <c r="E200" s="10">
        <f>+[2]称号計算!K205</f>
        <v>6.4500000000000002E-2</v>
      </c>
      <c r="F200" s="10">
        <f>+[2]称号計算!L205</f>
        <v>1.2395</v>
      </c>
      <c r="G200" s="10">
        <f>+[2]称号計算!M205</f>
        <v>0.27389999999999998</v>
      </c>
      <c r="H200" s="11">
        <f>+[2]称号計算!N205</f>
        <v>0.33710000000000001</v>
      </c>
      <c r="I200" s="26">
        <f>+[2]称号計算!O205</f>
        <v>0.98170000000000002</v>
      </c>
      <c r="J200" s="11">
        <f>+[2]称号計算!P205</f>
        <v>0.39750000000000002</v>
      </c>
      <c r="K200" s="26">
        <f>+[2]称号計算!Q205</f>
        <v>0.22359999999999999</v>
      </c>
      <c r="L200" s="10">
        <f>+[2]称号計算!R205</f>
        <v>0.37180000000000002</v>
      </c>
      <c r="M200" s="11">
        <f>+[2]称号計算!S205</f>
        <v>0.61770000000000003</v>
      </c>
      <c r="N200" s="26">
        <f>+[2]称号計算!T205</f>
        <v>1.11E-2</v>
      </c>
      <c r="O200" s="10">
        <f>+[2]称号計算!U205</f>
        <v>1.11E-2</v>
      </c>
      <c r="P200" s="10">
        <f>+[2]称号計算!V205</f>
        <v>0.16639999999999999</v>
      </c>
      <c r="Q200" s="10">
        <f>+[2]称号計算!W205</f>
        <v>4.1599999999999998E-2</v>
      </c>
      <c r="R200" s="10">
        <f>+[2]称号計算!X205</f>
        <v>8.3000000000000001E-3</v>
      </c>
      <c r="S200" s="11">
        <f>+[2]称号計算!Y205</f>
        <v>8.3000000000000001E-3</v>
      </c>
      <c r="T200" s="18">
        <f>+[2]称号計算!Z205</f>
        <v>1.7178</v>
      </c>
      <c r="U200" s="11">
        <v>1</v>
      </c>
    </row>
    <row r="201" spans="1:21">
      <c r="A201" s="12" t="s">
        <v>1112</v>
      </c>
      <c r="B201" s="23" t="s">
        <v>1472</v>
      </c>
      <c r="C201" s="27">
        <f>+[2]称号計算!I206</f>
        <v>0.46820000000000001</v>
      </c>
      <c r="D201" s="5">
        <f>+[2]称号計算!J206</f>
        <v>0.77080000000000004</v>
      </c>
      <c r="E201" s="5">
        <f>+[2]称号計算!K206</f>
        <v>7.7899999999999997E-2</v>
      </c>
      <c r="F201" s="5">
        <f>+[2]称号計算!L206</f>
        <v>1.2977000000000001</v>
      </c>
      <c r="G201" s="5">
        <f>+[2]称号計算!M206</f>
        <v>0.3574</v>
      </c>
      <c r="H201" s="13">
        <f>+[2]称号計算!N206</f>
        <v>0.38390000000000002</v>
      </c>
      <c r="I201" s="27">
        <f>+[2]称号計算!O206</f>
        <v>0.68520000000000003</v>
      </c>
      <c r="J201" s="13">
        <f>+[2]称号計算!P206</f>
        <v>0.5736</v>
      </c>
      <c r="K201" s="27">
        <f>+[2]称号計算!Q206</f>
        <v>0.26269999999999999</v>
      </c>
      <c r="L201" s="5">
        <f>+[2]称号計算!R206</f>
        <v>0.35299999999999998</v>
      </c>
      <c r="M201" s="13">
        <f>+[2]称号計算!S206</f>
        <v>0.51600000000000001</v>
      </c>
      <c r="N201" s="27">
        <f>+[2]称号計算!T206</f>
        <v>1.2E-2</v>
      </c>
      <c r="O201" s="5">
        <f>+[2]称号計算!U206</f>
        <v>1.2E-2</v>
      </c>
      <c r="P201" s="5">
        <f>+[2]称号計算!V206</f>
        <v>4.48E-2</v>
      </c>
      <c r="Q201" s="5">
        <f>+[2]称号計算!W206</f>
        <v>0.17929999999999999</v>
      </c>
      <c r="R201" s="5">
        <f>+[2]称号計算!X206</f>
        <v>8.9999999999999993E-3</v>
      </c>
      <c r="S201" s="13">
        <f>+[2]称号計算!Y206</f>
        <v>8.9999999999999993E-3</v>
      </c>
      <c r="T201" s="19">
        <f>+[2]称号計算!Z206</f>
        <v>1.8835</v>
      </c>
      <c r="U201" s="13">
        <v>1</v>
      </c>
    </row>
    <row r="202" spans="1:21">
      <c r="A202" s="12" t="s">
        <v>1113</v>
      </c>
      <c r="B202" s="23" t="s">
        <v>1473</v>
      </c>
      <c r="C202" s="27">
        <f>+[2]称号計算!I207</f>
        <v>0.71699999999999997</v>
      </c>
      <c r="D202" s="5">
        <f>+[2]称号計算!J207</f>
        <v>1.1266</v>
      </c>
      <c r="E202" s="5">
        <f>+[2]称号計算!K207</f>
        <v>9.7799999999999998E-2</v>
      </c>
      <c r="F202" s="5">
        <f>+[2]称号計算!L207</f>
        <v>1.1638999999999999</v>
      </c>
      <c r="G202" s="5">
        <f>+[2]称号計算!M207</f>
        <v>0.37590000000000001</v>
      </c>
      <c r="H202" s="13">
        <f>+[2]称号計算!N207</f>
        <v>0.66479999999999995</v>
      </c>
      <c r="I202" s="27">
        <f>+[2]称号計算!O207</f>
        <v>0.58889999999999998</v>
      </c>
      <c r="J202" s="13">
        <f>+[2]称号計算!P207</f>
        <v>0.39340000000000003</v>
      </c>
      <c r="K202" s="27">
        <f>+[2]称号計算!Q207</f>
        <v>0.1229</v>
      </c>
      <c r="L202" s="5">
        <f>+[2]称号計算!R207</f>
        <v>0.3352</v>
      </c>
      <c r="M202" s="13">
        <f>+[2]称号計算!S207</f>
        <v>0.43340000000000001</v>
      </c>
      <c r="N202" s="27">
        <f>+[2]称号計算!T207</f>
        <v>2.12E-2</v>
      </c>
      <c r="O202" s="5">
        <f>+[2]称号計算!U207</f>
        <v>2.12E-2</v>
      </c>
      <c r="P202" s="5">
        <f>+[2]称号計算!V207</f>
        <v>0.31780000000000003</v>
      </c>
      <c r="Q202" s="5">
        <f>+[2]称号計算!W207</f>
        <v>7.9500000000000001E-2</v>
      </c>
      <c r="R202" s="5">
        <f>+[2]称号計算!X207</f>
        <v>1.5900000000000001E-2</v>
      </c>
      <c r="S202" s="13">
        <f>+[2]称号計算!Y207</f>
        <v>1.5900000000000001E-2</v>
      </c>
      <c r="T202" s="19">
        <f>+[2]称号計算!Z207</f>
        <v>1.6052999999999999</v>
      </c>
      <c r="U202" s="13">
        <v>0.9</v>
      </c>
    </row>
    <row r="203" spans="1:21">
      <c r="A203" s="12" t="s">
        <v>1114</v>
      </c>
      <c r="B203" s="23" t="s">
        <v>1474</v>
      </c>
      <c r="C203" s="27">
        <f>+[2]称号計算!I208</f>
        <v>1.0654999999999999</v>
      </c>
      <c r="D203" s="5">
        <f>+[2]称号計算!J208</f>
        <v>0.28299999999999997</v>
      </c>
      <c r="E203" s="5">
        <f>+[2]称号計算!K208</f>
        <v>1.5135000000000001</v>
      </c>
      <c r="F203" s="5">
        <f>+[2]称号計算!L208</f>
        <v>0.15129999999999999</v>
      </c>
      <c r="G203" s="5">
        <f>+[2]称号計算!M208</f>
        <v>0.79759999999999998</v>
      </c>
      <c r="H203" s="13">
        <f>+[2]称号計算!N208</f>
        <v>0.72040000000000004</v>
      </c>
      <c r="I203" s="27">
        <f>+[2]称号計算!O208</f>
        <v>0.26640000000000003</v>
      </c>
      <c r="J203" s="13">
        <f>+[2]称号計算!P208</f>
        <v>0.36730000000000002</v>
      </c>
      <c r="K203" s="27">
        <f>+[2]称号計算!Q208</f>
        <v>0.29299999999999998</v>
      </c>
      <c r="L203" s="5">
        <f>+[2]称号計算!R208</f>
        <v>0.49640000000000001</v>
      </c>
      <c r="M203" s="13">
        <f>+[2]称号計算!S208</f>
        <v>0.33900000000000002</v>
      </c>
      <c r="N203" s="27">
        <f>+[2]称号計算!T208</f>
        <v>2.35E-2</v>
      </c>
      <c r="O203" s="5">
        <f>+[2]称号計算!U208</f>
        <v>2.35E-2</v>
      </c>
      <c r="P203" s="5">
        <f>+[2]称号計算!V208</f>
        <v>8.8099999999999998E-2</v>
      </c>
      <c r="Q203" s="5">
        <f>+[2]称号計算!W208</f>
        <v>0.35239999999999999</v>
      </c>
      <c r="R203" s="5">
        <f>+[2]称号計算!X208</f>
        <v>1.7600000000000001E-2</v>
      </c>
      <c r="S203" s="13">
        <f>+[2]称号計算!Y208</f>
        <v>1.7600000000000001E-2</v>
      </c>
      <c r="T203" s="19">
        <f>+[2]称号計算!Z208</f>
        <v>2.0278999999999998</v>
      </c>
      <c r="U203" s="13">
        <v>0.55000000000000004</v>
      </c>
    </row>
    <row r="204" spans="1:21">
      <c r="A204" s="12" t="s">
        <v>1115</v>
      </c>
      <c r="B204" s="23" t="s">
        <v>1475</v>
      </c>
      <c r="C204" s="27">
        <f>+[2]称号計算!I209</f>
        <v>1.0077</v>
      </c>
      <c r="D204" s="5">
        <f>+[2]称号計算!J209</f>
        <v>0.3427</v>
      </c>
      <c r="E204" s="5">
        <f>+[2]称号計算!K209</f>
        <v>1.5580000000000001</v>
      </c>
      <c r="F204" s="5">
        <f>+[2]称号計算!L209</f>
        <v>0.11840000000000001</v>
      </c>
      <c r="G204" s="5">
        <f>+[2]称号計算!M209</f>
        <v>0.48730000000000001</v>
      </c>
      <c r="H204" s="13">
        <f>+[2]称号計算!N209</f>
        <v>1.1653</v>
      </c>
      <c r="I204" s="27">
        <f>+[2]称号計算!O209</f>
        <v>0.3427</v>
      </c>
      <c r="J204" s="13">
        <f>+[2]称号計算!P209</f>
        <v>0.40510000000000002</v>
      </c>
      <c r="K204" s="27">
        <f>+[2]称号計算!Q209</f>
        <v>0.28110000000000002</v>
      </c>
      <c r="L204" s="5">
        <f>+[2]称号計算!R209</f>
        <v>0.49230000000000002</v>
      </c>
      <c r="M204" s="13">
        <f>+[2]称号計算!S209</f>
        <v>0.3664</v>
      </c>
      <c r="N204" s="27">
        <f>+[2]称号計算!T209</f>
        <v>2.24E-2</v>
      </c>
      <c r="O204" s="5">
        <f>+[2]称号計算!U209</f>
        <v>2.24E-2</v>
      </c>
      <c r="P204" s="5">
        <f>+[2]称号計算!V209</f>
        <v>0.3362</v>
      </c>
      <c r="Q204" s="5">
        <f>+[2]称号計算!W209</f>
        <v>8.4099999999999994E-2</v>
      </c>
      <c r="R204" s="5">
        <f>+[2]称号計算!X209</f>
        <v>1.6799999999999999E-2</v>
      </c>
      <c r="S204" s="13">
        <f>+[2]称号計算!Y209</f>
        <v>1.6799999999999999E-2</v>
      </c>
      <c r="T204" s="19">
        <f>+[2]称号計算!Z209</f>
        <v>2.0613000000000001</v>
      </c>
      <c r="U204" s="13">
        <v>0.5</v>
      </c>
    </row>
    <row r="205" spans="1:21" ht="19.5" thickBot="1">
      <c r="A205" s="14" t="s">
        <v>1116</v>
      </c>
      <c r="B205" s="24" t="s">
        <v>1476</v>
      </c>
      <c r="C205" s="28">
        <f>+[2]称号計算!I210</f>
        <v>0.75249999999999995</v>
      </c>
      <c r="D205" s="15">
        <f>+[2]称号計算!J210</f>
        <v>0.90300000000000002</v>
      </c>
      <c r="E205" s="15">
        <f>+[2]称号計算!K210</f>
        <v>0.1197</v>
      </c>
      <c r="F205" s="15">
        <f>+[2]称号計算!L210</f>
        <v>1.7101999999999999</v>
      </c>
      <c r="G205" s="15">
        <f>+[2]称号計算!M210</f>
        <v>0.55820000000000003</v>
      </c>
      <c r="H205" s="16">
        <f>+[2]称号計算!N210</f>
        <v>0.59309999999999996</v>
      </c>
      <c r="I205" s="28">
        <f>+[2]称号計算!O210</f>
        <v>0.33860000000000001</v>
      </c>
      <c r="J205" s="16">
        <f>+[2]称号計算!P210</f>
        <v>0.41499999999999998</v>
      </c>
      <c r="K205" s="28">
        <f>+[2]称号計算!Q210</f>
        <v>0.3085</v>
      </c>
      <c r="L205" s="15">
        <f>+[2]称号計算!R210</f>
        <v>0.62939999999999996</v>
      </c>
      <c r="M205" s="16">
        <f>+[2]称号計算!S210</f>
        <v>0.51239999999999997</v>
      </c>
      <c r="N205" s="28">
        <f>+[2]称号計算!T210</f>
        <v>2.0500000000000001E-2</v>
      </c>
      <c r="O205" s="15">
        <f>+[2]称号計算!U210</f>
        <v>2.0500000000000001E-2</v>
      </c>
      <c r="P205" s="15">
        <f>+[2]称号計算!V210</f>
        <v>2.0500000000000001E-2</v>
      </c>
      <c r="Q205" s="15">
        <f>+[2]称号計算!W210</f>
        <v>2.0500000000000001E-2</v>
      </c>
      <c r="R205" s="15">
        <f>+[2]称号計算!X210</f>
        <v>0.41039999999999999</v>
      </c>
      <c r="S205" s="16">
        <f>+[2]称号計算!Y210</f>
        <v>5.4699999999999999E-2</v>
      </c>
      <c r="T205" s="20">
        <f>+[2]称号計算!Z210</f>
        <v>2.1472000000000002</v>
      </c>
      <c r="U205" s="16">
        <v>0.25</v>
      </c>
    </row>
    <row r="206" spans="1:21">
      <c r="A206" s="9" t="s">
        <v>1117</v>
      </c>
      <c r="B206" s="22" t="s">
        <v>1477</v>
      </c>
      <c r="C206" s="26">
        <f>+[2]称号計算!I211</f>
        <v>0.37580000000000002</v>
      </c>
      <c r="D206" s="10">
        <f>+[2]称号計算!J211</f>
        <v>0.60740000000000005</v>
      </c>
      <c r="E206" s="10">
        <f>+[2]称号計算!K211</f>
        <v>6.5500000000000003E-2</v>
      </c>
      <c r="F206" s="10">
        <f>+[2]称号計算!L211</f>
        <v>1.1698999999999999</v>
      </c>
      <c r="G206" s="10">
        <f>+[2]称号計算!M211</f>
        <v>0.30630000000000002</v>
      </c>
      <c r="H206" s="11">
        <f>+[2]称号計算!N211</f>
        <v>0.33810000000000001</v>
      </c>
      <c r="I206" s="26">
        <f>+[2]称号計算!O211</f>
        <v>1.3384</v>
      </c>
      <c r="J206" s="11">
        <f>+[2]称号計算!P211</f>
        <v>0.39539999999999997</v>
      </c>
      <c r="K206" s="26">
        <f>+[2]称号計算!Q211</f>
        <v>0.28310000000000002</v>
      </c>
      <c r="L206" s="10">
        <f>+[2]称号計算!R211</f>
        <v>0.4446</v>
      </c>
      <c r="M206" s="11">
        <f>+[2]称号計算!S211</f>
        <v>0.3669</v>
      </c>
      <c r="N206" s="26">
        <f>+[2]称号計算!T211</f>
        <v>9.1000000000000004E-3</v>
      </c>
      <c r="O206" s="10">
        <f>+[2]称号計算!U211</f>
        <v>9.1000000000000004E-3</v>
      </c>
      <c r="P206" s="10">
        <f>+[2]称号計算!V211</f>
        <v>9.1000000000000004E-3</v>
      </c>
      <c r="Q206" s="10">
        <f>+[2]称号計算!W211</f>
        <v>9.1000000000000004E-3</v>
      </c>
      <c r="R206" s="10">
        <f>+[2]称号計算!X211</f>
        <v>2.4299999999999999E-2</v>
      </c>
      <c r="S206" s="11">
        <f>+[2]称号計算!Y211</f>
        <v>0.18210000000000001</v>
      </c>
      <c r="T206" s="18">
        <f>+[2]称号計算!Z211</f>
        <v>2.0078</v>
      </c>
      <c r="U206" s="11">
        <v>1</v>
      </c>
    </row>
    <row r="207" spans="1:21">
      <c r="A207" s="12" t="s">
        <v>1118</v>
      </c>
      <c r="B207" s="23" t="s">
        <v>1478</v>
      </c>
      <c r="C207" s="27">
        <f>+[2]称号計算!I212</f>
        <v>0.50039999999999996</v>
      </c>
      <c r="D207" s="5">
        <f>+[2]称号計算!J212</f>
        <v>0.57010000000000005</v>
      </c>
      <c r="E207" s="5">
        <f>+[2]称号計算!K212</f>
        <v>7.6300000000000007E-2</v>
      </c>
      <c r="F207" s="5">
        <f>+[2]称号計算!L212</f>
        <v>1.4396</v>
      </c>
      <c r="G207" s="5">
        <f>+[2]称号計算!M212</f>
        <v>0.41599999999999998</v>
      </c>
      <c r="H207" s="13">
        <f>+[2]称号計算!N212</f>
        <v>0.39650000000000002</v>
      </c>
      <c r="I207" s="27">
        <f>+[2]称号計算!O212</f>
        <v>0.41170000000000001</v>
      </c>
      <c r="J207" s="13">
        <f>+[2]称号計算!P212</f>
        <v>0.36180000000000001</v>
      </c>
      <c r="K207" s="27">
        <f>+[2]称号計算!Q212</f>
        <v>0.50670000000000004</v>
      </c>
      <c r="L207" s="5">
        <f>+[2]称号計算!R212</f>
        <v>0.99050000000000005</v>
      </c>
      <c r="M207" s="13">
        <f>+[2]称号計算!S212</f>
        <v>0.30640000000000001</v>
      </c>
      <c r="N207" s="27">
        <f>+[2]称号計算!T212</f>
        <v>8.6E-3</v>
      </c>
      <c r="O207" s="5">
        <f>+[2]称号計算!U212</f>
        <v>8.6E-3</v>
      </c>
      <c r="P207" s="5">
        <f>+[2]称号計算!V212</f>
        <v>8.6E-3</v>
      </c>
      <c r="Q207" s="5">
        <f>+[2]称号計算!W212</f>
        <v>8.6E-3</v>
      </c>
      <c r="R207" s="5">
        <f>+[2]称号計算!X212</f>
        <v>2.29E-2</v>
      </c>
      <c r="S207" s="13">
        <f>+[2]称号計算!Y212</f>
        <v>0.1721</v>
      </c>
      <c r="T207" s="19">
        <f>+[2]称号計算!Z212</f>
        <v>2.5232000000000001</v>
      </c>
      <c r="U207" s="13">
        <v>1</v>
      </c>
    </row>
    <row r="208" spans="1:21">
      <c r="A208" s="12" t="s">
        <v>1119</v>
      </c>
      <c r="B208" s="23" t="s">
        <v>1479</v>
      </c>
      <c r="C208" s="27">
        <f>+[2]称号計算!I213</f>
        <v>0.7591</v>
      </c>
      <c r="D208" s="5">
        <f>+[2]称号計算!J213</f>
        <v>0.63260000000000005</v>
      </c>
      <c r="E208" s="5">
        <f>+[2]称号計算!K213</f>
        <v>0.14380000000000001</v>
      </c>
      <c r="F208" s="5">
        <f>+[2]称号計算!L213</f>
        <v>1.4377</v>
      </c>
      <c r="G208" s="5">
        <f>+[2]称号計算!M213</f>
        <v>0.63539999999999996</v>
      </c>
      <c r="H208" s="13">
        <f>+[2]称号計算!N213</f>
        <v>0.41549999999999998</v>
      </c>
      <c r="I208" s="27">
        <f>+[2]称号計算!O213</f>
        <v>0.50609999999999999</v>
      </c>
      <c r="J208" s="13">
        <f>+[2]称号計算!P213</f>
        <v>0.3987</v>
      </c>
      <c r="K208" s="27">
        <f>+[2]称号計算!Q213</f>
        <v>0.35420000000000001</v>
      </c>
      <c r="L208" s="5">
        <f>+[2]称号計算!R213</f>
        <v>0.57509999999999994</v>
      </c>
      <c r="M208" s="13">
        <f>+[2]称号計算!S213</f>
        <v>0.40250000000000002</v>
      </c>
      <c r="N208" s="27">
        <f>+[2]称号計算!T213</f>
        <v>1.3299999999999999E-2</v>
      </c>
      <c r="O208" s="5">
        <f>+[2]称号計算!U213</f>
        <v>1.3299999999999999E-2</v>
      </c>
      <c r="P208" s="5">
        <f>+[2]称号計算!V213</f>
        <v>1.3299999999999999E-2</v>
      </c>
      <c r="Q208" s="5">
        <f>+[2]称号計算!W213</f>
        <v>1.3299999999999999E-2</v>
      </c>
      <c r="R208" s="5">
        <f>+[2]称号計算!X213</f>
        <v>3.5400000000000001E-2</v>
      </c>
      <c r="S208" s="13">
        <f>+[2]称号計算!Y213</f>
        <v>0.26550000000000001</v>
      </c>
      <c r="T208" s="19">
        <f>+[2]称号計算!Z213</f>
        <v>2.226</v>
      </c>
      <c r="U208" s="13">
        <v>0.9</v>
      </c>
    </row>
    <row r="209" spans="1:21">
      <c r="A209" s="12" t="s">
        <v>1120</v>
      </c>
      <c r="B209" s="23" t="s">
        <v>1480</v>
      </c>
      <c r="C209" s="27">
        <f>+[2]称号計算!I214</f>
        <v>1.2837000000000001</v>
      </c>
      <c r="D209" s="5">
        <f>+[2]称号計算!J214</f>
        <v>0.25390000000000001</v>
      </c>
      <c r="E209" s="5">
        <f>+[2]称号計算!K214</f>
        <v>1.603</v>
      </c>
      <c r="F209" s="5">
        <f>+[2]称号計算!L214</f>
        <v>0.13469999999999999</v>
      </c>
      <c r="G209" s="5">
        <f>+[2]称号計算!M214</f>
        <v>1.1718</v>
      </c>
      <c r="H209" s="13">
        <f>+[2]称号計算!N214</f>
        <v>0.57769999999999999</v>
      </c>
      <c r="I209" s="27">
        <f>+[2]称号計算!O214</f>
        <v>0.21160000000000001</v>
      </c>
      <c r="J209" s="13">
        <f>+[2]称号計算!P214</f>
        <v>0.37509999999999999</v>
      </c>
      <c r="K209" s="27">
        <f>+[2]称号計算!Q214</f>
        <v>0.21160000000000001</v>
      </c>
      <c r="L209" s="5">
        <f>+[2]称号計算!R214</f>
        <v>0.4168</v>
      </c>
      <c r="M209" s="13">
        <f>+[2]称号計算!S214</f>
        <v>0.30520000000000003</v>
      </c>
      <c r="N209" s="27">
        <f>+[2]称号計算!T214</f>
        <v>1.83E-2</v>
      </c>
      <c r="O209" s="5">
        <f>+[2]称号計算!U214</f>
        <v>1.83E-2</v>
      </c>
      <c r="P209" s="5">
        <f>+[2]称号計算!V214</f>
        <v>1.83E-2</v>
      </c>
      <c r="Q209" s="5">
        <f>+[2]称号計算!W214</f>
        <v>1.83E-2</v>
      </c>
      <c r="R209" s="5">
        <f>+[2]称号計算!X214</f>
        <v>4.8899999999999999E-2</v>
      </c>
      <c r="S209" s="13">
        <f>+[2]称号計算!Y214</f>
        <v>0.36649999999999999</v>
      </c>
      <c r="T209" s="19">
        <f>+[2]称号計算!Z214</f>
        <v>1.8545</v>
      </c>
      <c r="U209" s="13">
        <v>0.55000000000000004</v>
      </c>
    </row>
    <row r="210" spans="1:21">
      <c r="A210" s="12" t="s">
        <v>1121</v>
      </c>
      <c r="B210" s="23" t="s">
        <v>1481</v>
      </c>
      <c r="C210" s="27">
        <f>+[2]称号計算!I215</f>
        <v>0.57430000000000003</v>
      </c>
      <c r="D210" s="5">
        <f>+[2]称号計算!J215</f>
        <v>0.30890000000000001</v>
      </c>
      <c r="E210" s="5">
        <f>+[2]称号計算!K215</f>
        <v>1.6520999999999999</v>
      </c>
      <c r="F210" s="5">
        <f>+[2]称号計算!L215</f>
        <v>0.11559999999999999</v>
      </c>
      <c r="G210" s="5">
        <f>+[2]称号計算!M215</f>
        <v>0.44369999999999998</v>
      </c>
      <c r="H210" s="13">
        <f>+[2]称号計算!N215</f>
        <v>0.41</v>
      </c>
      <c r="I210" s="27">
        <f>+[2]称号計算!O215</f>
        <v>0.72689999999999999</v>
      </c>
      <c r="J210" s="13">
        <f>+[2]称号計算!P215</f>
        <v>0.52980000000000005</v>
      </c>
      <c r="K210" s="27">
        <f>+[2]称号計算!Q215</f>
        <v>0.58150000000000002</v>
      </c>
      <c r="L210" s="5">
        <f>+[2]称号計算!R215</f>
        <v>0.93179999999999996</v>
      </c>
      <c r="M210" s="13">
        <f>+[2]称号計算!S215</f>
        <v>0.55510000000000004</v>
      </c>
      <c r="N210" s="27">
        <f>+[2]称号計算!T215</f>
        <v>1.0699999999999999E-2</v>
      </c>
      <c r="O210" s="5">
        <f>+[2]称号計算!U215</f>
        <v>1.0699999999999999E-2</v>
      </c>
      <c r="P210" s="5">
        <f>+[2]称号計算!V215</f>
        <v>1.0699999999999999E-2</v>
      </c>
      <c r="Q210" s="5">
        <f>+[2]称号計算!W215</f>
        <v>1.0699999999999999E-2</v>
      </c>
      <c r="R210" s="5">
        <f>+[2]称号計算!X215</f>
        <v>2.8400000000000002E-2</v>
      </c>
      <c r="S210" s="13">
        <f>+[2]称号計算!Y215</f>
        <v>0.21310000000000001</v>
      </c>
      <c r="T210" s="19">
        <f>+[2]称号計算!Z215</f>
        <v>2.8837000000000002</v>
      </c>
      <c r="U210" s="13">
        <v>0.5</v>
      </c>
    </row>
    <row r="211" spans="1:21" ht="19.5" thickBot="1">
      <c r="A211" s="14" t="s">
        <v>1122</v>
      </c>
      <c r="B211" s="24" t="s">
        <v>1482</v>
      </c>
      <c r="C211" s="28">
        <f>+[2]称号計算!I216</f>
        <v>0.67159999999999997</v>
      </c>
      <c r="D211" s="15">
        <f>+[2]称号計算!J216</f>
        <v>0.73719999999999997</v>
      </c>
      <c r="E211" s="15">
        <f>+[2]称号計算!K216</f>
        <v>0.1862</v>
      </c>
      <c r="F211" s="15">
        <f>+[2]称号計算!L216</f>
        <v>1.8614999999999999</v>
      </c>
      <c r="G211" s="15">
        <f>+[2]称号計算!M216</f>
        <v>0.53800000000000003</v>
      </c>
      <c r="H211" s="16">
        <f>+[2]称号計算!N216</f>
        <v>0.63290000000000002</v>
      </c>
      <c r="I211" s="28">
        <f>+[2]称号計算!O216</f>
        <v>0.40949999999999998</v>
      </c>
      <c r="J211" s="16">
        <f>+[2]称号計算!P216</f>
        <v>0.48399999999999999</v>
      </c>
      <c r="K211" s="28">
        <f>+[2]称号計算!Q216</f>
        <v>0.3276</v>
      </c>
      <c r="L211" s="15">
        <f>+[2]称号計算!R216</f>
        <v>0.74460000000000004</v>
      </c>
      <c r="M211" s="16">
        <f>+[2]称号計算!S216</f>
        <v>0.5212</v>
      </c>
      <c r="N211" s="28">
        <f>+[2]称号計算!T216</f>
        <v>1.3100000000000001E-2</v>
      </c>
      <c r="O211" s="15">
        <f>+[2]称号計算!U216</f>
        <v>1.3100000000000001E-2</v>
      </c>
      <c r="P211" s="15">
        <f>+[2]称号計算!V216</f>
        <v>1.3100000000000001E-2</v>
      </c>
      <c r="Q211" s="15">
        <f>+[2]称号計算!W216</f>
        <v>1.3100000000000001E-2</v>
      </c>
      <c r="R211" s="15">
        <f>+[2]称号計算!X216</f>
        <v>3.49E-2</v>
      </c>
      <c r="S211" s="16">
        <f>+[2]称号計算!Y216</f>
        <v>0.26179999999999998</v>
      </c>
      <c r="T211" s="20">
        <f>+[2]称号計算!Z216</f>
        <v>2.2134</v>
      </c>
      <c r="U211" s="16">
        <v>0.25</v>
      </c>
    </row>
    <row r="212" spans="1:21">
      <c r="A212" s="9" t="s">
        <v>1123</v>
      </c>
      <c r="B212" s="22" t="s">
        <v>1483</v>
      </c>
      <c r="C212" s="26">
        <f>+[2]称号計算!I217</f>
        <v>0.55730000000000002</v>
      </c>
      <c r="D212" s="10">
        <f>+[2]称号計算!J217</f>
        <v>0.59489999999999998</v>
      </c>
      <c r="E212" s="10">
        <f>+[2]称号計算!K217</f>
        <v>8.5400000000000004E-2</v>
      </c>
      <c r="F212" s="10">
        <f>+[2]称号計算!L217</f>
        <v>1.4232</v>
      </c>
      <c r="G212" s="10">
        <f>+[2]称号計算!M217</f>
        <v>0.44519999999999998</v>
      </c>
      <c r="H212" s="11">
        <f>+[2]称号計算!N217</f>
        <v>0.44030000000000002</v>
      </c>
      <c r="I212" s="26">
        <f>+[2]称号計算!O217</f>
        <v>0.46970000000000001</v>
      </c>
      <c r="J212" s="11">
        <f>+[2]称号計算!P217</f>
        <v>0.37</v>
      </c>
      <c r="K212" s="26">
        <f>+[2]称号計算!Q217</f>
        <v>0.38829999999999998</v>
      </c>
      <c r="L212" s="10">
        <f>+[2]称号計算!R217</f>
        <v>0.65469999999999995</v>
      </c>
      <c r="M212" s="11">
        <f>+[2]称号計算!S217</f>
        <v>0.49020000000000002</v>
      </c>
      <c r="N212" s="26">
        <f>+[2]称号計算!T217</f>
        <v>1.14E-2</v>
      </c>
      <c r="O212" s="10">
        <f>+[2]称号計算!U217</f>
        <v>1.14E-2</v>
      </c>
      <c r="P212" s="10">
        <f>+[2]称号計算!V217</f>
        <v>1.14E-2</v>
      </c>
      <c r="Q212" s="10">
        <f>+[2]称号計算!W217</f>
        <v>1.14E-2</v>
      </c>
      <c r="R212" s="10">
        <f>+[2]称号計算!X217</f>
        <v>3.0300000000000001E-2</v>
      </c>
      <c r="S212" s="11">
        <f>+[2]称号計算!Y217</f>
        <v>0.2273</v>
      </c>
      <c r="T212" s="18">
        <f>+[2]称号計算!Z217</f>
        <v>3.6829999999999998</v>
      </c>
      <c r="U212" s="11">
        <v>1</v>
      </c>
    </row>
    <row r="213" spans="1:21">
      <c r="A213" s="12" t="s">
        <v>1124</v>
      </c>
      <c r="B213" s="23" t="s">
        <v>1484</v>
      </c>
      <c r="C213" s="27">
        <f>+[2]称号計算!I218</f>
        <v>0.80959999999999999</v>
      </c>
      <c r="D213" s="5">
        <f>+[2]称号計算!J218</f>
        <v>0.67469999999999997</v>
      </c>
      <c r="E213" s="5">
        <f>+[2]称号計算!K218</f>
        <v>0.1227</v>
      </c>
      <c r="F213" s="5">
        <f>+[2]称号計算!L218</f>
        <v>1.2266999999999999</v>
      </c>
      <c r="G213" s="5">
        <f>+[2]称号計算!M218</f>
        <v>0.62560000000000004</v>
      </c>
      <c r="H213" s="13">
        <f>+[2]称号計算!N218</f>
        <v>0.58389999999999997</v>
      </c>
      <c r="I213" s="27">
        <f>+[2]称号計算!O218</f>
        <v>0.53969999999999996</v>
      </c>
      <c r="J213" s="13">
        <f>+[2]称号計算!P218</f>
        <v>0.37209999999999999</v>
      </c>
      <c r="K213" s="27">
        <f>+[2]称号計算!Q218</f>
        <v>0.2591</v>
      </c>
      <c r="L213" s="5">
        <f>+[2]称号計算!R218</f>
        <v>0.58879999999999999</v>
      </c>
      <c r="M213" s="13">
        <f>+[2]称号計算!S218</f>
        <v>0.41220000000000001</v>
      </c>
      <c r="N213" s="27">
        <f>+[2]称号計算!T218</f>
        <v>2.1899999999999999E-2</v>
      </c>
      <c r="O213" s="5">
        <f>+[2]称号計算!U218</f>
        <v>2.1899999999999999E-2</v>
      </c>
      <c r="P213" s="5">
        <f>+[2]称号計算!V218</f>
        <v>8.2000000000000003E-2</v>
      </c>
      <c r="Q213" s="5">
        <f>+[2]称号計算!W218</f>
        <v>0.32819999999999999</v>
      </c>
      <c r="R213" s="5">
        <f>+[2]称号計算!X218</f>
        <v>1.6400000000000001E-2</v>
      </c>
      <c r="S213" s="13">
        <f>+[2]称号計算!Y218</f>
        <v>1.6400000000000001E-2</v>
      </c>
      <c r="T213" s="19">
        <f>+[2]称号計算!Z218</f>
        <v>2.0716999999999999</v>
      </c>
      <c r="U213" s="13">
        <v>1</v>
      </c>
    </row>
    <row r="214" spans="1:21">
      <c r="A214" s="12" t="s">
        <v>1125</v>
      </c>
      <c r="B214" s="23" t="s">
        <v>1485</v>
      </c>
      <c r="C214" s="27">
        <f>+[2]称号計算!I219</f>
        <v>0.62450000000000006</v>
      </c>
      <c r="D214" s="5">
        <f>+[2]称号計算!J219</f>
        <v>1.0980000000000001</v>
      </c>
      <c r="E214" s="5">
        <f>+[2]称号計算!K219</f>
        <v>0.11700000000000001</v>
      </c>
      <c r="F214" s="5">
        <f>+[2]称号計算!L219</f>
        <v>1.5597000000000001</v>
      </c>
      <c r="G214" s="5">
        <f>+[2]称号計算!M219</f>
        <v>0.4667</v>
      </c>
      <c r="H214" s="13">
        <f>+[2]称号計算!N219</f>
        <v>0.50380000000000003</v>
      </c>
      <c r="I214" s="27">
        <f>+[2]称号計算!O219</f>
        <v>0.27450000000000002</v>
      </c>
      <c r="J214" s="13">
        <f>+[2]称号計算!P219</f>
        <v>0.5948</v>
      </c>
      <c r="K214" s="27">
        <f>+[2]称号計算!Q219</f>
        <v>0.22650000000000001</v>
      </c>
      <c r="L214" s="5">
        <f>+[2]称号計算!R219</f>
        <v>0.39929999999999999</v>
      </c>
      <c r="M214" s="13">
        <f>+[2]称号計算!S219</f>
        <v>0.64629999999999999</v>
      </c>
      <c r="N214" s="27">
        <f>+[2]称号計算!T219</f>
        <v>1.17E-2</v>
      </c>
      <c r="O214" s="5">
        <f>+[2]称号計算!U219</f>
        <v>1.17E-2</v>
      </c>
      <c r="P214" s="5">
        <f>+[2]称号計算!V219</f>
        <v>1.17E-2</v>
      </c>
      <c r="Q214" s="5">
        <f>+[2]称号計算!W219</f>
        <v>1.17E-2</v>
      </c>
      <c r="R214" s="5">
        <f>+[2]称号計算!X219</f>
        <v>3.1300000000000001E-2</v>
      </c>
      <c r="S214" s="13">
        <f>+[2]称号計算!Y219</f>
        <v>0.2344</v>
      </c>
      <c r="T214" s="19">
        <f>+[2]称号計算!Z219</f>
        <v>1.8991</v>
      </c>
      <c r="U214" s="13">
        <v>0.9</v>
      </c>
    </row>
    <row r="215" spans="1:21">
      <c r="A215" s="12" t="s">
        <v>1126</v>
      </c>
      <c r="B215" s="23" t="s">
        <v>1486</v>
      </c>
      <c r="C215" s="27">
        <f>+[2]称号計算!I220</f>
        <v>0.84909999999999997</v>
      </c>
      <c r="D215" s="5">
        <f>+[2]称号計算!J220</f>
        <v>0.36009999999999998</v>
      </c>
      <c r="E215" s="5">
        <f>+[2]称号計算!K220</f>
        <v>1.7231000000000001</v>
      </c>
      <c r="F215" s="5">
        <f>+[2]称号計算!L220</f>
        <v>0.13439999999999999</v>
      </c>
      <c r="G215" s="5">
        <f>+[2]称号計算!M220</f>
        <v>0.73819999999999997</v>
      </c>
      <c r="H215" s="13">
        <f>+[2]称号計算!N220</f>
        <v>0.72650000000000003</v>
      </c>
      <c r="I215" s="27">
        <f>+[2]称号計算!O220</f>
        <v>0.30330000000000001</v>
      </c>
      <c r="J215" s="13">
        <f>+[2]称号計算!P220</f>
        <v>0.41810000000000003</v>
      </c>
      <c r="K215" s="27">
        <f>+[2]称号計算!Q220</f>
        <v>0.3715</v>
      </c>
      <c r="L215" s="5">
        <f>+[2]称号計算!R220</f>
        <v>0.70989999999999998</v>
      </c>
      <c r="M215" s="13">
        <f>+[2]称号計算!S220</f>
        <v>0.4728</v>
      </c>
      <c r="N215" s="27">
        <f>+[2]称号計算!T220</f>
        <v>2.1100000000000001E-2</v>
      </c>
      <c r="O215" s="5">
        <f>+[2]称号計算!U220</f>
        <v>2.1100000000000001E-2</v>
      </c>
      <c r="P215" s="5">
        <f>+[2]称号計算!V220</f>
        <v>7.9000000000000001E-2</v>
      </c>
      <c r="Q215" s="5">
        <f>+[2]称号計算!W220</f>
        <v>0.31580000000000003</v>
      </c>
      <c r="R215" s="5">
        <f>+[2]称号計算!X220</f>
        <v>1.5800000000000002E-2</v>
      </c>
      <c r="S215" s="13">
        <f>+[2]称号計算!Y220</f>
        <v>1.5800000000000002E-2</v>
      </c>
      <c r="T215" s="19">
        <f>+[2]称号計算!Z220</f>
        <v>2.2879</v>
      </c>
      <c r="U215" s="13">
        <v>0.55000000000000004</v>
      </c>
    </row>
    <row r="216" spans="1:21">
      <c r="A216" s="12" t="s">
        <v>1127</v>
      </c>
      <c r="B216" s="23" t="s">
        <v>1487</v>
      </c>
      <c r="C216" s="27">
        <f>+[2]称号計算!I221</f>
        <v>0.61309999999999998</v>
      </c>
      <c r="D216" s="5">
        <f>+[2]称号計算!J221</f>
        <v>0.25009999999999999</v>
      </c>
      <c r="E216" s="5">
        <f>+[2]称号計算!K221</f>
        <v>1.8332999999999999</v>
      </c>
      <c r="F216" s="5">
        <f>+[2]称号計算!L221</f>
        <v>0.1137</v>
      </c>
      <c r="G216" s="5">
        <f>+[2]称号計算!M221</f>
        <v>0.47370000000000001</v>
      </c>
      <c r="H216" s="13">
        <f>+[2]称号計算!N221</f>
        <v>0.43630000000000002</v>
      </c>
      <c r="I216" s="27">
        <f>+[2]称号計算!O221</f>
        <v>0.76629999999999998</v>
      </c>
      <c r="J216" s="13">
        <f>+[2]称号計算!P221</f>
        <v>0.76270000000000004</v>
      </c>
      <c r="K216" s="27">
        <f>+[2]称号計算!Q221</f>
        <v>0.54049999999999998</v>
      </c>
      <c r="L216" s="5">
        <f>+[2]称号計算!R221</f>
        <v>0.63070000000000004</v>
      </c>
      <c r="M216" s="13">
        <f>+[2]称号計算!S221</f>
        <v>0.68269999999999997</v>
      </c>
      <c r="N216" s="27">
        <f>+[2]称号計算!T221</f>
        <v>1.0200000000000001E-2</v>
      </c>
      <c r="O216" s="5">
        <f>+[2]称号計算!U221</f>
        <v>1.0200000000000001E-2</v>
      </c>
      <c r="P216" s="5">
        <f>+[2]称号計算!V221</f>
        <v>1.0200000000000001E-2</v>
      </c>
      <c r="Q216" s="5">
        <f>+[2]称号計算!W221</f>
        <v>1.0200000000000001E-2</v>
      </c>
      <c r="R216" s="5">
        <f>+[2]称号計算!X221</f>
        <v>0.2046</v>
      </c>
      <c r="S216" s="13">
        <f>+[2]称号計算!Y221</f>
        <v>2.7300000000000001E-2</v>
      </c>
      <c r="T216" s="19">
        <f>+[2]称号計算!Z221</f>
        <v>2.7425000000000002</v>
      </c>
      <c r="U216" s="13">
        <v>0.5</v>
      </c>
    </row>
    <row r="217" spans="1:21" ht="19.5" thickBot="1">
      <c r="A217" s="14" t="s">
        <v>1128</v>
      </c>
      <c r="B217" s="24" t="s">
        <v>1488</v>
      </c>
      <c r="C217" s="28">
        <f>+[2]称号計算!I222</f>
        <v>0.75370000000000004</v>
      </c>
      <c r="D217" s="15">
        <f>+[2]称号計算!J222</f>
        <v>1.0928</v>
      </c>
      <c r="E217" s="15">
        <f>+[2]称号計算!K222</f>
        <v>0.17130000000000001</v>
      </c>
      <c r="F217" s="15">
        <f>+[2]称号計算!L222</f>
        <v>1.7129000000000001</v>
      </c>
      <c r="G217" s="15">
        <f>+[2]称号計算!M222</f>
        <v>0.58240000000000003</v>
      </c>
      <c r="H217" s="16">
        <f>+[2]称号計算!N222</f>
        <v>0.69889999999999997</v>
      </c>
      <c r="I217" s="28">
        <f>+[2]称号計算!O222</f>
        <v>0.45219999999999999</v>
      </c>
      <c r="J217" s="16">
        <f>+[2]称号計算!P222</f>
        <v>0.41570000000000001</v>
      </c>
      <c r="K217" s="28">
        <f>+[2]称号計算!Q222</f>
        <v>0.3165</v>
      </c>
      <c r="L217" s="15">
        <f>+[2]称号計算!R222</f>
        <v>0.65090000000000003</v>
      </c>
      <c r="M217" s="16">
        <f>+[2]称号計算!S222</f>
        <v>0.55159999999999998</v>
      </c>
      <c r="N217" s="28">
        <f>+[2]称号計算!T222</f>
        <v>1.66E-2</v>
      </c>
      <c r="O217" s="15">
        <f>+[2]称号計算!U222</f>
        <v>1.66E-2</v>
      </c>
      <c r="P217" s="15">
        <f>+[2]称号計算!V222</f>
        <v>1.66E-2</v>
      </c>
      <c r="Q217" s="15">
        <f>+[2]称号計算!W222</f>
        <v>1.66E-2</v>
      </c>
      <c r="R217" s="15">
        <f>+[2]称号計算!X222</f>
        <v>0.33150000000000002</v>
      </c>
      <c r="S217" s="16">
        <f>+[2]称号計算!Y222</f>
        <v>4.4200000000000003E-2</v>
      </c>
      <c r="T217" s="20">
        <f>+[2]称号計算!Z222</f>
        <v>2.343</v>
      </c>
      <c r="U217" s="16">
        <v>0.25</v>
      </c>
    </row>
    <row r="218" spans="1:21">
      <c r="A218" s="9" t="s">
        <v>1129</v>
      </c>
      <c r="B218" s="22" t="s">
        <v>1489</v>
      </c>
      <c r="C218" s="26">
        <f>+[2]称号計算!I223</f>
        <v>0.63839999999999997</v>
      </c>
      <c r="D218" s="10">
        <f>+[2]称号計算!J223</f>
        <v>0.70230000000000004</v>
      </c>
      <c r="E218" s="10">
        <f>+[2]称号計算!K223</f>
        <v>0.14510000000000001</v>
      </c>
      <c r="F218" s="10">
        <f>+[2]称号計算!L223</f>
        <v>1.4510000000000001</v>
      </c>
      <c r="G218" s="10">
        <f>+[2]称号計算!M223</f>
        <v>0.46870000000000001</v>
      </c>
      <c r="H218" s="11">
        <f>+[2]称号計算!N223</f>
        <v>0.54269999999999996</v>
      </c>
      <c r="I218" s="26">
        <f>+[2]称号計算!O223</f>
        <v>0.44690000000000002</v>
      </c>
      <c r="J218" s="11">
        <f>+[2]称号計算!P223</f>
        <v>0.38979999999999998</v>
      </c>
      <c r="K218" s="26">
        <f>+[2]称号計算!Q223</f>
        <v>0.29370000000000002</v>
      </c>
      <c r="L218" s="10">
        <f>+[2]称号計算!R223</f>
        <v>0.63839999999999997</v>
      </c>
      <c r="M218" s="11">
        <f>+[2]称号計算!S223</f>
        <v>0.43880000000000002</v>
      </c>
      <c r="N218" s="26">
        <f>+[2]称号計算!T223</f>
        <v>1.0800000000000001E-2</v>
      </c>
      <c r="O218" s="10">
        <f>+[2]称号計算!U223</f>
        <v>1.0800000000000001E-2</v>
      </c>
      <c r="P218" s="10">
        <f>+[2]称号計算!V223</f>
        <v>1.0800000000000001E-2</v>
      </c>
      <c r="Q218" s="10">
        <f>+[2]称号計算!W223</f>
        <v>1.0800000000000001E-2</v>
      </c>
      <c r="R218" s="10">
        <f>+[2]称号計算!X223</f>
        <v>2.8899999999999999E-2</v>
      </c>
      <c r="S218" s="11">
        <f>+[2]称号計算!Y223</f>
        <v>0.2167</v>
      </c>
      <c r="T218" s="18">
        <f>+[2]称号計算!Z223</f>
        <v>2.0177999999999998</v>
      </c>
      <c r="U218" s="11">
        <v>1</v>
      </c>
    </row>
    <row r="219" spans="1:21">
      <c r="A219" s="12" t="s">
        <v>1130</v>
      </c>
      <c r="B219" s="23" t="s">
        <v>1490</v>
      </c>
      <c r="C219" s="27">
        <f>+[2]称号計算!I224</f>
        <v>0.43159999999999998</v>
      </c>
      <c r="D219" s="5">
        <f>+[2]称号計算!J224</f>
        <v>0.70850000000000002</v>
      </c>
      <c r="E219" s="5">
        <f>+[2]称号計算!K224</f>
        <v>7.6100000000000001E-2</v>
      </c>
      <c r="F219" s="5">
        <f>+[2]称号計算!L224</f>
        <v>1.4639</v>
      </c>
      <c r="G219" s="5">
        <f>+[2]称号計算!M224</f>
        <v>0.32350000000000001</v>
      </c>
      <c r="H219" s="13">
        <f>+[2]称号計算!N224</f>
        <v>0.3982</v>
      </c>
      <c r="I219" s="27">
        <f>+[2]称号計算!O224</f>
        <v>1.1594</v>
      </c>
      <c r="J219" s="13">
        <f>+[2]称号計算!P224</f>
        <v>0.46939999999999998</v>
      </c>
      <c r="K219" s="27">
        <f>+[2]称号計算!Q224</f>
        <v>0.2641</v>
      </c>
      <c r="L219" s="5">
        <f>+[2]称号計算!R224</f>
        <v>0.43919999999999998</v>
      </c>
      <c r="M219" s="13">
        <f>+[2]称号計算!S224</f>
        <v>0.72960000000000003</v>
      </c>
      <c r="N219" s="27">
        <f>+[2]称号計算!T224</f>
        <v>9.7999999999999997E-3</v>
      </c>
      <c r="O219" s="5">
        <f>+[2]称号計算!U224</f>
        <v>9.7999999999999997E-3</v>
      </c>
      <c r="P219" s="5">
        <f>+[2]称号計算!V224</f>
        <v>9.7999999999999997E-3</v>
      </c>
      <c r="Q219" s="5">
        <f>+[2]称号計算!W224</f>
        <v>9.7999999999999997E-3</v>
      </c>
      <c r="R219" s="5">
        <f>+[2]称号計算!X224</f>
        <v>2.6200000000000001E-2</v>
      </c>
      <c r="S219" s="13">
        <f>+[2]称号計算!Y224</f>
        <v>0.19650000000000001</v>
      </c>
      <c r="T219" s="19">
        <f>+[2]称号計算!Z224</f>
        <v>2.0289000000000001</v>
      </c>
      <c r="U219" s="13">
        <v>1</v>
      </c>
    </row>
    <row r="220" spans="1:21">
      <c r="A220" s="12" t="s">
        <v>1131</v>
      </c>
      <c r="B220" s="23" t="s">
        <v>1491</v>
      </c>
      <c r="C220" s="27">
        <f>+[2]称号計算!I225</f>
        <v>0.55179999999999996</v>
      </c>
      <c r="D220" s="5">
        <f>+[2]称号計算!J225</f>
        <v>0.90839999999999999</v>
      </c>
      <c r="E220" s="5">
        <f>+[2]称号計算!K225</f>
        <v>9.1800000000000007E-2</v>
      </c>
      <c r="F220" s="5">
        <f>+[2]称号計算!L225</f>
        <v>1.5291999999999999</v>
      </c>
      <c r="G220" s="5">
        <f>+[2]称号計算!M225</f>
        <v>0.42120000000000002</v>
      </c>
      <c r="H220" s="13">
        <f>+[2]称号計算!N225</f>
        <v>0.45240000000000002</v>
      </c>
      <c r="I220" s="27">
        <f>+[2]称号計算!O225</f>
        <v>0.80740000000000001</v>
      </c>
      <c r="J220" s="13">
        <f>+[2]称号計算!P225</f>
        <v>0.67589999999999995</v>
      </c>
      <c r="K220" s="27">
        <f>+[2]称号計算!Q225</f>
        <v>0.3095</v>
      </c>
      <c r="L220" s="5">
        <f>+[2]称号計算!R225</f>
        <v>0.41599999999999998</v>
      </c>
      <c r="M220" s="13">
        <f>+[2]称号計算!S225</f>
        <v>0.60799999999999998</v>
      </c>
      <c r="N220" s="27">
        <f>+[2]称号計算!T225</f>
        <v>1.06E-2</v>
      </c>
      <c r="O220" s="5">
        <f>+[2]称号計算!U225</f>
        <v>1.06E-2</v>
      </c>
      <c r="P220" s="5">
        <f>+[2]称号計算!V225</f>
        <v>1.06E-2</v>
      </c>
      <c r="Q220" s="5">
        <f>+[2]称号計算!W225</f>
        <v>1.06E-2</v>
      </c>
      <c r="R220" s="5">
        <f>+[2]称号計算!X225</f>
        <v>2.8199999999999999E-2</v>
      </c>
      <c r="S220" s="13">
        <f>+[2]称号計算!Y225</f>
        <v>0.21129999999999999</v>
      </c>
      <c r="T220" s="19">
        <f>+[2]称号計算!Z225</f>
        <v>2.2195</v>
      </c>
      <c r="U220" s="13">
        <v>0.9</v>
      </c>
    </row>
    <row r="221" spans="1:21">
      <c r="A221" s="12" t="s">
        <v>1132</v>
      </c>
      <c r="B221" s="23" t="s">
        <v>1492</v>
      </c>
      <c r="C221" s="27">
        <f>+[2]称号計算!I226</f>
        <v>1.1463000000000001</v>
      </c>
      <c r="D221" s="5">
        <f>+[2]称号計算!J226</f>
        <v>0.31879999999999997</v>
      </c>
      <c r="E221" s="5">
        <f>+[2]称号計算!K226</f>
        <v>1.7253000000000001</v>
      </c>
      <c r="F221" s="5">
        <f>+[2]称号計算!L226</f>
        <v>0.1346</v>
      </c>
      <c r="G221" s="5">
        <f>+[2]称号計算!M226</f>
        <v>0.99129999999999996</v>
      </c>
      <c r="H221" s="13">
        <f>+[2]称号計算!N226</f>
        <v>0.5514</v>
      </c>
      <c r="I221" s="27">
        <f>+[2]称号計算!O226</f>
        <v>0.26569999999999999</v>
      </c>
      <c r="J221" s="13">
        <f>+[2]称号計算!P226</f>
        <v>0.42759999999999998</v>
      </c>
      <c r="K221" s="27">
        <f>+[2]称号計算!Q226</f>
        <v>0.26569999999999999</v>
      </c>
      <c r="L221" s="5">
        <f>+[2]称号計算!R226</f>
        <v>0.50380000000000003</v>
      </c>
      <c r="M221" s="13">
        <f>+[2]称号計算!S226</f>
        <v>0.74880000000000002</v>
      </c>
      <c r="N221" s="27">
        <f>+[2]称号計算!T226</f>
        <v>1.9300000000000001E-2</v>
      </c>
      <c r="O221" s="5">
        <f>+[2]称号計算!U226</f>
        <v>1.9300000000000001E-2</v>
      </c>
      <c r="P221" s="5">
        <f>+[2]称号計算!V226</f>
        <v>1.9300000000000001E-2</v>
      </c>
      <c r="Q221" s="5">
        <f>+[2]称号計算!W226</f>
        <v>1.9300000000000001E-2</v>
      </c>
      <c r="R221" s="5">
        <f>+[2]称号計算!X226</f>
        <v>5.1299999999999998E-2</v>
      </c>
      <c r="S221" s="13">
        <f>+[2]称号計算!Y226</f>
        <v>0.3851</v>
      </c>
      <c r="T221" s="19">
        <f>+[2]称号計算!Z226</f>
        <v>2.1040999999999999</v>
      </c>
      <c r="U221" s="13">
        <v>0.55000000000000004</v>
      </c>
    </row>
    <row r="222" spans="1:21">
      <c r="A222" s="12" t="s">
        <v>1133</v>
      </c>
      <c r="B222" s="23" t="s">
        <v>1493</v>
      </c>
      <c r="C222" s="27">
        <f>+[2]称号計算!I227</f>
        <v>1.2505999999999999</v>
      </c>
      <c r="D222" s="5">
        <f>+[2]称号計算!J227</f>
        <v>0.3322</v>
      </c>
      <c r="E222" s="5">
        <f>+[2]称号計算!K227</f>
        <v>1.7765</v>
      </c>
      <c r="F222" s="5">
        <f>+[2]称号計算!L227</f>
        <v>0.17760000000000001</v>
      </c>
      <c r="G222" s="5">
        <f>+[2]称号計算!M227</f>
        <v>0.93620000000000003</v>
      </c>
      <c r="H222" s="13">
        <f>+[2]称号計算!N227</f>
        <v>0.84560000000000002</v>
      </c>
      <c r="I222" s="27">
        <f>+[2]称号計算!O227</f>
        <v>0.31269999999999998</v>
      </c>
      <c r="J222" s="13">
        <f>+[2]称号計算!P227</f>
        <v>0.43109999999999998</v>
      </c>
      <c r="K222" s="27">
        <f>+[2]称号計算!Q227</f>
        <v>0.34389999999999998</v>
      </c>
      <c r="L222" s="5">
        <f>+[2]称号計算!R227</f>
        <v>0.5827</v>
      </c>
      <c r="M222" s="13">
        <f>+[2]称号計算!S227</f>
        <v>0.39789999999999998</v>
      </c>
      <c r="N222" s="27">
        <f>+[2]称号計算!T227</f>
        <v>2.07E-2</v>
      </c>
      <c r="O222" s="5">
        <f>+[2]称号計算!U227</f>
        <v>2.07E-2</v>
      </c>
      <c r="P222" s="5">
        <f>+[2]称号計算!V227</f>
        <v>2.07E-2</v>
      </c>
      <c r="Q222" s="5">
        <f>+[2]称号計算!W227</f>
        <v>2.07E-2</v>
      </c>
      <c r="R222" s="5">
        <f>+[2]称号計算!X227</f>
        <v>5.5199999999999999E-2</v>
      </c>
      <c r="S222" s="13">
        <f>+[2]称号計算!Y227</f>
        <v>0.41370000000000001</v>
      </c>
      <c r="T222" s="19">
        <f>+[2]称号計算!Z227</f>
        <v>2.3803000000000001</v>
      </c>
      <c r="U222" s="13">
        <v>0.5</v>
      </c>
    </row>
    <row r="223" spans="1:21" ht="19.5" thickBot="1">
      <c r="A223" s="14" t="s">
        <v>1134</v>
      </c>
      <c r="B223" s="24" t="s">
        <v>1494</v>
      </c>
      <c r="C223" s="28">
        <f>+[2]称号計算!I228</f>
        <v>1.2615000000000001</v>
      </c>
      <c r="D223" s="15">
        <f>+[2]称号計算!J228</f>
        <v>0.99009999999999998</v>
      </c>
      <c r="E223" s="15">
        <f>+[2]称号計算!K228</f>
        <v>0.10829999999999999</v>
      </c>
      <c r="F223" s="15">
        <f>+[2]称号計算!L228</f>
        <v>1.6669</v>
      </c>
      <c r="G223" s="15">
        <f>+[2]称号計算!M228</f>
        <v>0.92949999999999999</v>
      </c>
      <c r="H223" s="16">
        <f>+[2]称号計算!N228</f>
        <v>0.87849999999999995</v>
      </c>
      <c r="I223" s="28">
        <f>+[2]称号計算!O228</f>
        <v>0.25669999999999998</v>
      </c>
      <c r="J223" s="16">
        <f>+[2]称号計算!P228</f>
        <v>0.40450000000000003</v>
      </c>
      <c r="K223" s="28">
        <f>+[2]称号計算!Q228</f>
        <v>0.22</v>
      </c>
      <c r="L223" s="15">
        <f>+[2]称号計算!R228</f>
        <v>0.40010000000000001</v>
      </c>
      <c r="M223" s="16">
        <f>+[2]称号計算!S228</f>
        <v>0.57869999999999999</v>
      </c>
      <c r="N223" s="28">
        <f>+[2]称号計算!T228</f>
        <v>2.2800000000000001E-2</v>
      </c>
      <c r="O223" s="15">
        <f>+[2]称号計算!U228</f>
        <v>2.2800000000000001E-2</v>
      </c>
      <c r="P223" s="15">
        <f>+[2]称号計算!V228</f>
        <v>2.2800000000000001E-2</v>
      </c>
      <c r="Q223" s="15">
        <f>+[2]称号計算!W228</f>
        <v>2.2800000000000001E-2</v>
      </c>
      <c r="R223" s="15">
        <f>+[2]称号計算!X228</f>
        <v>6.0699999999999997E-2</v>
      </c>
      <c r="S223" s="16">
        <f>+[2]称号計算!Y228</f>
        <v>0.45550000000000002</v>
      </c>
      <c r="T223" s="20">
        <f>+[2]称号計算!Z228</f>
        <v>2.1802000000000001</v>
      </c>
      <c r="U223" s="16">
        <v>0.25</v>
      </c>
    </row>
    <row r="224" spans="1:21">
      <c r="A224" s="9" t="s">
        <v>1135</v>
      </c>
      <c r="B224" s="22" t="s">
        <v>1495</v>
      </c>
      <c r="C224" s="26">
        <f>+[2]称号計算!I229</f>
        <v>0.52449999999999997</v>
      </c>
      <c r="D224" s="10">
        <f>+[2]称号計算!J229</f>
        <v>0.6734</v>
      </c>
      <c r="E224" s="10">
        <f>+[2]称号計算!K229</f>
        <v>0.1047</v>
      </c>
      <c r="F224" s="10">
        <f>+[2]称号計算!L229</f>
        <v>1.611</v>
      </c>
      <c r="G224" s="10">
        <f>+[2]称号計算!M229</f>
        <v>0.39439999999999997</v>
      </c>
      <c r="H224" s="11">
        <f>+[2]称号計算!N229</f>
        <v>0.46010000000000001</v>
      </c>
      <c r="I224" s="26">
        <f>+[2]称号計算!O229</f>
        <v>0.35439999999999999</v>
      </c>
      <c r="J224" s="11">
        <f>+[2]称号計算!P229</f>
        <v>0.39090000000000003</v>
      </c>
      <c r="K224" s="26">
        <f>+[2]称号計算!Q229</f>
        <v>0.47489999999999999</v>
      </c>
      <c r="L224" s="10">
        <f>+[2]称号計算!R229</f>
        <v>0.99880000000000002</v>
      </c>
      <c r="M224" s="11">
        <f>+[2]称号計算!S229</f>
        <v>0.41499999999999998</v>
      </c>
      <c r="N224" s="26">
        <f>+[2]称号計算!T229</f>
        <v>9.1999999999999998E-3</v>
      </c>
      <c r="O224" s="10">
        <f>+[2]称号計算!U229</f>
        <v>9.1999999999999998E-3</v>
      </c>
      <c r="P224" s="10">
        <f>+[2]称号計算!V229</f>
        <v>9.1999999999999998E-3</v>
      </c>
      <c r="Q224" s="10">
        <f>+[2]称号計算!W229</f>
        <v>9.1999999999999998E-3</v>
      </c>
      <c r="R224" s="10">
        <f>+[2]称号計算!X229</f>
        <v>0.18440000000000001</v>
      </c>
      <c r="S224" s="11">
        <f>+[2]称号計算!Y229</f>
        <v>2.46E-2</v>
      </c>
      <c r="T224" s="18">
        <f>+[2]称号計算!Z229</f>
        <v>2.4719000000000002</v>
      </c>
      <c r="U224" s="11">
        <v>1</v>
      </c>
    </row>
    <row r="225" spans="1:21">
      <c r="A225" s="12" t="s">
        <v>1136</v>
      </c>
      <c r="B225" s="23" t="s">
        <v>1496</v>
      </c>
      <c r="C225" s="27">
        <f>+[2]称号計算!I230</f>
        <v>0.44379999999999997</v>
      </c>
      <c r="D225" s="5">
        <f>+[2]称号計算!J230</f>
        <v>0.71740000000000004</v>
      </c>
      <c r="E225" s="5">
        <f>+[2]称号計算!K230</f>
        <v>7.7399999999999997E-2</v>
      </c>
      <c r="F225" s="5">
        <f>+[2]称号計算!L230</f>
        <v>1.3817999999999999</v>
      </c>
      <c r="G225" s="5">
        <f>+[2]称号計算!M230</f>
        <v>0.36180000000000001</v>
      </c>
      <c r="H225" s="13">
        <f>+[2]称号計算!N230</f>
        <v>0.39929999999999999</v>
      </c>
      <c r="I225" s="27">
        <f>+[2]称号計算!O230</f>
        <v>1.5808</v>
      </c>
      <c r="J225" s="13">
        <f>+[2]称号計算!P230</f>
        <v>0.46710000000000002</v>
      </c>
      <c r="K225" s="27">
        <f>+[2]称号計算!Q230</f>
        <v>0.33439999999999998</v>
      </c>
      <c r="L225" s="5">
        <f>+[2]称号計算!R230</f>
        <v>0.52510000000000001</v>
      </c>
      <c r="M225" s="13">
        <f>+[2]称号計算!S230</f>
        <v>0.43330000000000002</v>
      </c>
      <c r="N225" s="27">
        <f>+[2]称号計算!T230</f>
        <v>4.2999999999999997E-2</v>
      </c>
      <c r="O225" s="5">
        <f>+[2]称号計算!U230</f>
        <v>0.21510000000000001</v>
      </c>
      <c r="P225" s="5">
        <f>+[2]称号計算!V230</f>
        <v>1.43E-2</v>
      </c>
      <c r="Q225" s="5">
        <f>+[2]称号計算!W230</f>
        <v>1.43E-2</v>
      </c>
      <c r="R225" s="5">
        <f>+[2]称号計算!X230</f>
        <v>1.0800000000000001E-2</v>
      </c>
      <c r="S225" s="13">
        <f>+[2]称号計算!Y230</f>
        <v>1.0800000000000001E-2</v>
      </c>
      <c r="T225" s="19">
        <f>+[2]称号計算!Z230</f>
        <v>2.3715000000000002</v>
      </c>
      <c r="U225" s="13">
        <v>1</v>
      </c>
    </row>
    <row r="226" spans="1:21">
      <c r="A226" s="12" t="s">
        <v>1137</v>
      </c>
      <c r="B226" s="23" t="s">
        <v>1497</v>
      </c>
      <c r="C226" s="27">
        <f>+[2]称号計算!I231</f>
        <v>0.5897</v>
      </c>
      <c r="D226" s="5">
        <f>+[2]称号計算!J231</f>
        <v>0.67179999999999995</v>
      </c>
      <c r="E226" s="5">
        <f>+[2]称号計算!K231</f>
        <v>8.9899999999999994E-2</v>
      </c>
      <c r="F226" s="5">
        <f>+[2]称号計算!L231</f>
        <v>1.6964999999999999</v>
      </c>
      <c r="G226" s="5">
        <f>+[2]称号計算!M231</f>
        <v>0.49030000000000001</v>
      </c>
      <c r="H226" s="13">
        <f>+[2]称号計算!N231</f>
        <v>0.4672</v>
      </c>
      <c r="I226" s="27">
        <f>+[2]称号計算!O231</f>
        <v>0.48520000000000002</v>
      </c>
      <c r="J226" s="13">
        <f>+[2]称号計算!P231</f>
        <v>0.4264</v>
      </c>
      <c r="K226" s="27">
        <f>+[2]称号計算!Q231</f>
        <v>0.59719999999999995</v>
      </c>
      <c r="L226" s="5">
        <f>+[2]称号計算!R231</f>
        <v>1.1672</v>
      </c>
      <c r="M226" s="13">
        <f>+[2]称号計算!S231</f>
        <v>0.36099999999999999</v>
      </c>
      <c r="N226" s="27">
        <f>+[2]称号計算!T231</f>
        <v>1.01E-2</v>
      </c>
      <c r="O226" s="5">
        <f>+[2]称号計算!U231</f>
        <v>1.01E-2</v>
      </c>
      <c r="P226" s="5">
        <f>+[2]称号計算!V231</f>
        <v>1.01E-2</v>
      </c>
      <c r="Q226" s="5">
        <f>+[2]称号計算!W231</f>
        <v>1.01E-2</v>
      </c>
      <c r="R226" s="5">
        <f>+[2]称号計算!X231</f>
        <v>0.20280000000000001</v>
      </c>
      <c r="S226" s="13">
        <f>+[2]称号計算!Y231</f>
        <v>2.7E-2</v>
      </c>
      <c r="T226" s="19">
        <f>+[2]称号計算!Z231</f>
        <v>2.9733999999999998</v>
      </c>
      <c r="U226" s="13">
        <v>0.9</v>
      </c>
    </row>
    <row r="227" spans="1:21">
      <c r="A227" s="12" t="s">
        <v>1138</v>
      </c>
      <c r="B227" s="23" t="s">
        <v>1498</v>
      </c>
      <c r="C227" s="27">
        <f>+[2]称号計算!I232</f>
        <v>0.66420000000000001</v>
      </c>
      <c r="D227" s="5">
        <f>+[2]称号計算!J232</f>
        <v>0.3528</v>
      </c>
      <c r="E227" s="5">
        <f>+[2]称号計算!K232</f>
        <v>1.8868</v>
      </c>
      <c r="F227" s="5">
        <f>+[2]称号計算!L232</f>
        <v>0.18870000000000001</v>
      </c>
      <c r="G227" s="5">
        <f>+[2]称号計算!M232</f>
        <v>0.51319999999999999</v>
      </c>
      <c r="H227" s="13">
        <f>+[2]称号計算!N232</f>
        <v>0.51319999999999999</v>
      </c>
      <c r="I227" s="27">
        <f>+[2]称号計算!O232</f>
        <v>0.66420000000000001</v>
      </c>
      <c r="J227" s="13">
        <f>+[2]称号計算!P232</f>
        <v>0.50690000000000002</v>
      </c>
      <c r="K227" s="27">
        <f>+[2]称号計算!Q232</f>
        <v>0.54790000000000005</v>
      </c>
      <c r="L227" s="5">
        <f>+[2]称号計算!R232</f>
        <v>0.99619999999999997</v>
      </c>
      <c r="M227" s="13">
        <f>+[2]称号計算!S232</f>
        <v>0.52829999999999999</v>
      </c>
      <c r="N227" s="27">
        <f>+[2]称号計算!T232</f>
        <v>1.24E-2</v>
      </c>
      <c r="O227" s="5">
        <f>+[2]称号計算!U232</f>
        <v>1.24E-2</v>
      </c>
      <c r="P227" s="5">
        <f>+[2]称号計算!V232</f>
        <v>1.24E-2</v>
      </c>
      <c r="Q227" s="5">
        <f>+[2]称号計算!W232</f>
        <v>1.24E-2</v>
      </c>
      <c r="R227" s="5">
        <f>+[2]称号計算!X232</f>
        <v>3.3000000000000002E-2</v>
      </c>
      <c r="S227" s="13">
        <f>+[2]称号計算!Y232</f>
        <v>0.24740000000000001</v>
      </c>
      <c r="T227" s="19">
        <f>+[2]称号計算!Z232</f>
        <v>2.8222999999999998</v>
      </c>
      <c r="U227" s="13">
        <v>0.55000000000000004</v>
      </c>
    </row>
    <row r="228" spans="1:21">
      <c r="A228" s="12" t="s">
        <v>1139</v>
      </c>
      <c r="B228" s="23" t="s">
        <v>1499</v>
      </c>
      <c r="C228" s="27">
        <f>+[2]称号計算!I233</f>
        <v>1.5067999999999999</v>
      </c>
      <c r="D228" s="5">
        <f>+[2]称号計算!J233</f>
        <v>0.29799999999999999</v>
      </c>
      <c r="E228" s="5">
        <f>+[2]称号計算!K233</f>
        <v>1.8815999999999999</v>
      </c>
      <c r="F228" s="5">
        <f>+[2]称号計算!L233</f>
        <v>0.15809999999999999</v>
      </c>
      <c r="G228" s="5">
        <f>+[2]称号計算!M233</f>
        <v>1.3754</v>
      </c>
      <c r="H228" s="13">
        <f>+[2]称号計算!N233</f>
        <v>0.67810000000000004</v>
      </c>
      <c r="I228" s="27">
        <f>+[2]称号計算!O233</f>
        <v>0.24840000000000001</v>
      </c>
      <c r="J228" s="13">
        <f>+[2]称号計算!P233</f>
        <v>0.44030000000000002</v>
      </c>
      <c r="K228" s="27">
        <f>+[2]称号計算!Q233</f>
        <v>0.24840000000000001</v>
      </c>
      <c r="L228" s="5">
        <f>+[2]称号計算!R233</f>
        <v>0.48920000000000002</v>
      </c>
      <c r="M228" s="13">
        <f>+[2]称号計算!S233</f>
        <v>0.35830000000000001</v>
      </c>
      <c r="N228" s="27">
        <f>+[2]称号計算!T233</f>
        <v>2.1499999999999998E-2</v>
      </c>
      <c r="O228" s="5">
        <f>+[2]称号計算!U233</f>
        <v>2.1499999999999998E-2</v>
      </c>
      <c r="P228" s="5">
        <f>+[2]称号計算!V233</f>
        <v>2.1499999999999998E-2</v>
      </c>
      <c r="Q228" s="5">
        <f>+[2]称号計算!W233</f>
        <v>2.1499999999999998E-2</v>
      </c>
      <c r="R228" s="5">
        <f>+[2]称号計算!X233</f>
        <v>0.43020000000000003</v>
      </c>
      <c r="S228" s="13">
        <f>+[2]称号計算!Y233</f>
        <v>5.74E-2</v>
      </c>
      <c r="T228" s="19">
        <f>+[2]称号計算!Z233</f>
        <v>2.1766999999999999</v>
      </c>
      <c r="U228" s="13">
        <v>0.5</v>
      </c>
    </row>
    <row r="229" spans="1:21" ht="19.5" thickBot="1">
      <c r="A229" s="14" t="s">
        <v>1140</v>
      </c>
      <c r="B229" s="24" t="s">
        <v>1500</v>
      </c>
      <c r="C229" s="28">
        <f>+[2]称号計算!I234</f>
        <v>0.90939999999999999</v>
      </c>
      <c r="D229" s="15">
        <f>+[2]称号計算!J234</f>
        <v>1.0962000000000001</v>
      </c>
      <c r="E229" s="15">
        <f>+[2]称号計算!K234</f>
        <v>0.12180000000000001</v>
      </c>
      <c r="F229" s="15">
        <f>+[2]称号計算!L234</f>
        <v>1.8453999999999999</v>
      </c>
      <c r="G229" s="15">
        <f>+[2]称号計算!M234</f>
        <v>1.2235</v>
      </c>
      <c r="H229" s="16">
        <f>+[2]称号計算!N234</f>
        <v>0.45169999999999999</v>
      </c>
      <c r="I229" s="28">
        <f>+[2]称号計算!O234</f>
        <v>0.4466</v>
      </c>
      <c r="J229" s="16">
        <f>+[2]称号計算!P234</f>
        <v>0.4798</v>
      </c>
      <c r="K229" s="28">
        <f>+[2]称号計算!Q234</f>
        <v>0.3004</v>
      </c>
      <c r="L229" s="15">
        <f>+[2]称号計算!R234</f>
        <v>0.64219999999999999</v>
      </c>
      <c r="M229" s="16">
        <f>+[2]称号計算!S234</f>
        <v>0.48570000000000002</v>
      </c>
      <c r="N229" s="28">
        <f>+[2]称号計算!T234</f>
        <v>2.0199999999999999E-2</v>
      </c>
      <c r="O229" s="15">
        <f>+[2]称号計算!U234</f>
        <v>2.0199999999999999E-2</v>
      </c>
      <c r="P229" s="15">
        <f>+[2]称号計算!V234</f>
        <v>2.0199999999999999E-2</v>
      </c>
      <c r="Q229" s="15">
        <f>+[2]称号計算!W234</f>
        <v>2.0199999999999999E-2</v>
      </c>
      <c r="R229" s="15">
        <f>+[2]称号計算!X234</f>
        <v>0.40329999999999999</v>
      </c>
      <c r="S229" s="16">
        <f>+[2]称号計算!Y234</f>
        <v>5.3800000000000001E-2</v>
      </c>
      <c r="T229" s="20">
        <f>+[2]称号計算!Z234</f>
        <v>2.423</v>
      </c>
      <c r="U229" s="16">
        <v>0.25</v>
      </c>
    </row>
    <row r="230" spans="1:21">
      <c r="A230" s="9" t="s">
        <v>1141</v>
      </c>
      <c r="B230" s="22" t="s">
        <v>1501</v>
      </c>
      <c r="C230" s="26">
        <f>+[2]称号計算!I235</f>
        <v>0.84589999999999999</v>
      </c>
      <c r="D230" s="10">
        <f>+[2]称号計算!J235</f>
        <v>0.62780000000000002</v>
      </c>
      <c r="E230" s="10">
        <f>+[2]称号計算!K235</f>
        <v>0.12770000000000001</v>
      </c>
      <c r="F230" s="10">
        <f>+[2]称号計算!L235</f>
        <v>1.5019</v>
      </c>
      <c r="G230" s="10">
        <f>+[2]称号計算!M235</f>
        <v>0.62809999999999999</v>
      </c>
      <c r="H230" s="11">
        <f>+[2]称号計算!N235</f>
        <v>0.57189999999999996</v>
      </c>
      <c r="I230" s="26">
        <f>+[2]称号計算!O235</f>
        <v>0.46260000000000001</v>
      </c>
      <c r="J230" s="11">
        <f>+[2]称号計算!P235</f>
        <v>0.39050000000000001</v>
      </c>
      <c r="K230" s="26">
        <f>+[2]称号計算!Q235</f>
        <v>0.37009999999999998</v>
      </c>
      <c r="L230" s="10">
        <f>+[2]称号計算!R235</f>
        <v>0.87109999999999999</v>
      </c>
      <c r="M230" s="11">
        <f>+[2]称号計算!S235</f>
        <v>0.26069999999999999</v>
      </c>
      <c r="N230" s="26">
        <f>+[2]称号計算!T235</f>
        <v>1.49E-2</v>
      </c>
      <c r="O230" s="10">
        <f>+[2]称号計算!U235</f>
        <v>1.49E-2</v>
      </c>
      <c r="P230" s="10">
        <f>+[2]称号計算!V235</f>
        <v>1.49E-2</v>
      </c>
      <c r="Q230" s="10">
        <f>+[2]称号計算!W235</f>
        <v>1.49E-2</v>
      </c>
      <c r="R230" s="10">
        <f>+[2]称号計算!X235</f>
        <v>3.9800000000000002E-2</v>
      </c>
      <c r="S230" s="11">
        <f>+[2]称号計算!Y235</f>
        <v>0.29830000000000001</v>
      </c>
      <c r="T230" s="18">
        <f>+[2]称号計算!Z235</f>
        <v>2.3673999999999999</v>
      </c>
      <c r="U230" s="11">
        <v>1</v>
      </c>
    </row>
    <row r="231" spans="1:21">
      <c r="A231" s="12" t="s">
        <v>1142</v>
      </c>
      <c r="B231" s="23" t="s">
        <v>1502</v>
      </c>
      <c r="C231" s="27">
        <f>+[2]称号計算!I236</f>
        <v>0.6583</v>
      </c>
      <c r="D231" s="5">
        <f>+[2]称号計算!J236</f>
        <v>0.7026</v>
      </c>
      <c r="E231" s="5">
        <f>+[2]称号計算!K236</f>
        <v>0.1009</v>
      </c>
      <c r="F231" s="5">
        <f>+[2]称号計算!L236</f>
        <v>1.681</v>
      </c>
      <c r="G231" s="5">
        <f>+[2]称号計算!M236</f>
        <v>0.52580000000000005</v>
      </c>
      <c r="H231" s="13">
        <f>+[2]称号計算!N236</f>
        <v>0.52010000000000001</v>
      </c>
      <c r="I231" s="27">
        <f>+[2]称号計算!O236</f>
        <v>0.55469999999999997</v>
      </c>
      <c r="J231" s="13">
        <f>+[2]称号計算!P236</f>
        <v>0.43709999999999999</v>
      </c>
      <c r="K231" s="27">
        <f>+[2]称号計算!Q236</f>
        <v>0.45860000000000001</v>
      </c>
      <c r="L231" s="5">
        <f>+[2]称号計算!R236</f>
        <v>0.7732</v>
      </c>
      <c r="M231" s="13">
        <f>+[2]称号計算!S236</f>
        <v>0.57889999999999997</v>
      </c>
      <c r="N231" s="27">
        <f>+[2]称号計算!T236</f>
        <v>1.34E-2</v>
      </c>
      <c r="O231" s="5">
        <f>+[2]称号計算!U236</f>
        <v>1.34E-2</v>
      </c>
      <c r="P231" s="5">
        <f>+[2]称号計算!V236</f>
        <v>1.34E-2</v>
      </c>
      <c r="Q231" s="5">
        <f>+[2]称号計算!W236</f>
        <v>1.34E-2</v>
      </c>
      <c r="R231" s="5">
        <f>+[2]称号計算!X236</f>
        <v>3.5799999999999998E-2</v>
      </c>
      <c r="S231" s="13">
        <f>+[2]称号計算!Y236</f>
        <v>0.26850000000000002</v>
      </c>
      <c r="T231" s="19">
        <f>+[2]称号計算!Z236</f>
        <v>4.3499999999999996</v>
      </c>
      <c r="U231" s="13">
        <v>1</v>
      </c>
    </row>
    <row r="232" spans="1:21">
      <c r="A232" s="12" t="s">
        <v>1143</v>
      </c>
      <c r="B232" s="23" t="s">
        <v>1503</v>
      </c>
      <c r="C232" s="27">
        <f>+[2]称号計算!I237</f>
        <v>0.95409999999999995</v>
      </c>
      <c r="D232" s="5">
        <f>+[2]称号計算!J237</f>
        <v>0.79510000000000003</v>
      </c>
      <c r="E232" s="5">
        <f>+[2]称号計算!K237</f>
        <v>0.14460000000000001</v>
      </c>
      <c r="F232" s="5">
        <f>+[2]称号計算!L237</f>
        <v>1.4456</v>
      </c>
      <c r="G232" s="5">
        <f>+[2]称号計算!M237</f>
        <v>0.73719999999999997</v>
      </c>
      <c r="H232" s="13">
        <f>+[2]称号計算!N237</f>
        <v>0.68810000000000004</v>
      </c>
      <c r="I232" s="27">
        <f>+[2]称号計算!O237</f>
        <v>0.6361</v>
      </c>
      <c r="J232" s="13">
        <f>+[2]称号計算!P237</f>
        <v>0.4385</v>
      </c>
      <c r="K232" s="27">
        <f>+[2]称号計算!Q237</f>
        <v>0.30530000000000002</v>
      </c>
      <c r="L232" s="5">
        <f>+[2]称号計算!R237</f>
        <v>0.69389999999999996</v>
      </c>
      <c r="M232" s="13">
        <f>+[2]称号計算!S237</f>
        <v>0.48570000000000002</v>
      </c>
      <c r="N232" s="27">
        <f>+[2]称号計算!T237</f>
        <v>1.9300000000000001E-2</v>
      </c>
      <c r="O232" s="5">
        <f>+[2]称号計算!U237</f>
        <v>1.9300000000000001E-2</v>
      </c>
      <c r="P232" s="5">
        <f>+[2]称号計算!V237</f>
        <v>1.9300000000000001E-2</v>
      </c>
      <c r="Q232" s="5">
        <f>+[2]称号計算!W237</f>
        <v>1.9300000000000001E-2</v>
      </c>
      <c r="R232" s="5">
        <f>+[2]称号計算!X237</f>
        <v>5.16E-2</v>
      </c>
      <c r="S232" s="13">
        <f>+[2]称号計算!Y237</f>
        <v>0.38669999999999999</v>
      </c>
      <c r="T232" s="19">
        <f>+[2]称号計算!Z237</f>
        <v>2.4413</v>
      </c>
      <c r="U232" s="13">
        <v>0.9</v>
      </c>
    </row>
    <row r="233" spans="1:21">
      <c r="A233" s="12" t="s">
        <v>1144</v>
      </c>
      <c r="B233" s="23" t="s">
        <v>1504</v>
      </c>
      <c r="C233" s="27">
        <f>+[2]称号計算!I238</f>
        <v>0.58819999999999995</v>
      </c>
      <c r="D233" s="5">
        <f>+[2]称号計算!J238</f>
        <v>0.35709999999999997</v>
      </c>
      <c r="E233" s="5">
        <f>+[2]称号計算!K238</f>
        <v>1.9097</v>
      </c>
      <c r="F233" s="5">
        <f>+[2]称号計算!L238</f>
        <v>0.14319999999999999</v>
      </c>
      <c r="G233" s="5">
        <f>+[2]称号計算!M238</f>
        <v>0.49349999999999999</v>
      </c>
      <c r="H233" s="13">
        <f>+[2]称号計算!N238</f>
        <v>0.50649999999999995</v>
      </c>
      <c r="I233" s="27">
        <f>+[2]称号計算!O238</f>
        <v>0.92430000000000001</v>
      </c>
      <c r="J233" s="13">
        <f>+[2]称号計算!P238</f>
        <v>0.52300000000000002</v>
      </c>
      <c r="K233" s="27">
        <f>+[2]称号計算!Q238</f>
        <v>0.74780000000000002</v>
      </c>
      <c r="L233" s="5">
        <f>+[2]称号計算!R238</f>
        <v>0.99309999999999998</v>
      </c>
      <c r="M233" s="13">
        <f>+[2]称号計算!S238</f>
        <v>0.47060000000000002</v>
      </c>
      <c r="N233" s="27">
        <f>+[2]称号計算!T238</f>
        <v>0.23280000000000001</v>
      </c>
      <c r="O233" s="5">
        <f>+[2]称号計算!U238</f>
        <v>4.6600000000000003E-2</v>
      </c>
      <c r="P233" s="5">
        <f>+[2]称号計算!V238</f>
        <v>1.55E-2</v>
      </c>
      <c r="Q233" s="5">
        <f>+[2]称号計算!W238</f>
        <v>1.55E-2</v>
      </c>
      <c r="R233" s="5">
        <f>+[2]称号計算!X238</f>
        <v>1.1599999999999999E-2</v>
      </c>
      <c r="S233" s="13">
        <f>+[2]称号計算!Y238</f>
        <v>1.1599999999999999E-2</v>
      </c>
      <c r="T233" s="19">
        <f>+[2]称号計算!Z238</f>
        <v>3.4243999999999999</v>
      </c>
      <c r="U233" s="13">
        <v>0.55000000000000004</v>
      </c>
    </row>
    <row r="234" spans="1:21">
      <c r="A234" s="12" t="s">
        <v>1145</v>
      </c>
      <c r="B234" s="23" t="s">
        <v>1505</v>
      </c>
      <c r="C234" s="27">
        <f>+[2]称号計算!I239</f>
        <v>0.99670000000000003</v>
      </c>
      <c r="D234" s="5">
        <f>+[2]称号計算!J239</f>
        <v>0.42270000000000002</v>
      </c>
      <c r="E234" s="5">
        <f>+[2]称号計算!K239</f>
        <v>2.0225</v>
      </c>
      <c r="F234" s="5">
        <f>+[2]称号計算!L239</f>
        <v>0.1578</v>
      </c>
      <c r="G234" s="5">
        <f>+[2]称号計算!M239</f>
        <v>0.86639999999999995</v>
      </c>
      <c r="H234" s="13">
        <f>+[2]称号計算!N239</f>
        <v>0.85270000000000001</v>
      </c>
      <c r="I234" s="27">
        <f>+[2]称号計算!O239</f>
        <v>0.35599999999999998</v>
      </c>
      <c r="J234" s="13">
        <f>+[2]称号計算!P239</f>
        <v>0.49080000000000001</v>
      </c>
      <c r="K234" s="27">
        <f>+[2]称号計算!Q239</f>
        <v>0.43609999999999999</v>
      </c>
      <c r="L234" s="5">
        <f>+[2]称号計算!R239</f>
        <v>0.83330000000000004</v>
      </c>
      <c r="M234" s="13">
        <f>+[2]称号計算!S239</f>
        <v>0.55500000000000005</v>
      </c>
      <c r="N234" s="27">
        <f>+[2]称号計算!T239</f>
        <v>1.8499999999999999E-2</v>
      </c>
      <c r="O234" s="5">
        <f>+[2]称号計算!U239</f>
        <v>1.8499999999999999E-2</v>
      </c>
      <c r="P234" s="5">
        <f>+[2]称号計算!V239</f>
        <v>1.8499999999999999E-2</v>
      </c>
      <c r="Q234" s="5">
        <f>+[2]称号計算!W239</f>
        <v>1.8499999999999999E-2</v>
      </c>
      <c r="R234" s="5">
        <f>+[2]称号計算!X239</f>
        <v>0.37069999999999997</v>
      </c>
      <c r="S234" s="13">
        <f>+[2]称号計算!Y239</f>
        <v>4.9399999999999999E-2</v>
      </c>
      <c r="T234" s="19">
        <f>+[2]称号計算!Z239</f>
        <v>2.6855000000000002</v>
      </c>
      <c r="U234" s="13">
        <v>0.5</v>
      </c>
    </row>
    <row r="235" spans="1:21" ht="19.5" thickBot="1">
      <c r="A235" s="14" t="s">
        <v>1146</v>
      </c>
      <c r="B235" s="24" t="s">
        <v>1506</v>
      </c>
      <c r="C235" s="28">
        <f>+[2]称号計算!I240</f>
        <v>0.44230000000000003</v>
      </c>
      <c r="D235" s="15">
        <f>+[2]称号計算!J240</f>
        <v>1.2062999999999999</v>
      </c>
      <c r="E235" s="15">
        <f>+[2]称号計算!K240</f>
        <v>0.1462</v>
      </c>
      <c r="F235" s="15">
        <f>+[2]称号計算!L240</f>
        <v>1.8277000000000001</v>
      </c>
      <c r="G235" s="15">
        <f>+[2]称号計算!M240</f>
        <v>0.90110000000000001</v>
      </c>
      <c r="H235" s="16">
        <f>+[2]称号計算!N240</f>
        <v>1.3982000000000001</v>
      </c>
      <c r="I235" s="28">
        <f>+[2]称号計算!O240</f>
        <v>0.32169999999999999</v>
      </c>
      <c r="J235" s="16">
        <f>+[2]称号計算!P240</f>
        <v>0.43719999999999998</v>
      </c>
      <c r="K235" s="28">
        <f>+[2]称号計算!Q240</f>
        <v>0.3538</v>
      </c>
      <c r="L235" s="15">
        <f>+[2]称号計算!R240</f>
        <v>0.64339999999999997</v>
      </c>
      <c r="M235" s="16">
        <f>+[2]称号計算!S240</f>
        <v>0.64480000000000004</v>
      </c>
      <c r="N235" s="28">
        <f>+[2]称号計算!T240</f>
        <v>2.5000000000000001E-2</v>
      </c>
      <c r="O235" s="15">
        <f>+[2]称号計算!U240</f>
        <v>2.5000000000000001E-2</v>
      </c>
      <c r="P235" s="15">
        <f>+[2]称号計算!V240</f>
        <v>2.5000000000000001E-2</v>
      </c>
      <c r="Q235" s="15">
        <f>+[2]称号計算!W240</f>
        <v>2.5000000000000001E-2</v>
      </c>
      <c r="R235" s="15">
        <f>+[2]称号計算!X240</f>
        <v>6.6600000000000006E-2</v>
      </c>
      <c r="S235" s="16">
        <f>+[2]称号計算!Y240</f>
        <v>0.49940000000000001</v>
      </c>
      <c r="T235" s="20">
        <f>+[2]称号計算!Z240</f>
        <v>2.6818</v>
      </c>
      <c r="U235" s="16">
        <v>0.25</v>
      </c>
    </row>
    <row r="236" spans="1:21">
      <c r="A236" s="9" t="s">
        <v>1147</v>
      </c>
      <c r="B236" s="22" t="s">
        <v>1507</v>
      </c>
      <c r="C236" s="26">
        <f>+[2]称号計算!I241</f>
        <v>0.65210000000000001</v>
      </c>
      <c r="D236" s="10">
        <f>+[2]称号計算!J241</f>
        <v>1.6777</v>
      </c>
      <c r="E236" s="10">
        <f>+[2]称号計算!K241</f>
        <v>0.1007</v>
      </c>
      <c r="F236" s="10">
        <f>+[2]称号計算!L241</f>
        <v>1.4389000000000001</v>
      </c>
      <c r="G236" s="10">
        <f>+[2]称号計算!M241</f>
        <v>0.46960000000000002</v>
      </c>
      <c r="H236" s="11">
        <f>+[2]称号計算!N241</f>
        <v>0.57730000000000004</v>
      </c>
      <c r="I236" s="26">
        <f>+[2]称号計算!O241</f>
        <v>0.41149999999999998</v>
      </c>
      <c r="J236" s="11">
        <f>+[2]称号計算!P241</f>
        <v>0.36159999999999998</v>
      </c>
      <c r="K236" s="26">
        <f>+[2]称号計算!Q241</f>
        <v>0.26590000000000003</v>
      </c>
      <c r="L236" s="10">
        <f>+[2]称号計算!R241</f>
        <v>0.51800000000000002</v>
      </c>
      <c r="M236" s="11">
        <f>+[2]称号計算!S241</f>
        <v>0.45119999999999999</v>
      </c>
      <c r="N236" s="26">
        <f>+[2]称号計算!T241</f>
        <v>1.4999999999999999E-2</v>
      </c>
      <c r="O236" s="10">
        <f>+[2]称号計算!U241</f>
        <v>1.4999999999999999E-2</v>
      </c>
      <c r="P236" s="10">
        <f>+[2]称号計算!V241</f>
        <v>1.4999999999999999E-2</v>
      </c>
      <c r="Q236" s="10">
        <f>+[2]称号計算!W241</f>
        <v>1.4999999999999999E-2</v>
      </c>
      <c r="R236" s="10">
        <f>+[2]称号計算!X241</f>
        <v>0.29909999999999998</v>
      </c>
      <c r="S236" s="11">
        <f>+[2]称号計算!Y241</f>
        <v>3.9899999999999998E-2</v>
      </c>
      <c r="T236" s="18">
        <f>+[2]称号計算!Z241</f>
        <v>2.1928000000000001</v>
      </c>
      <c r="U236" s="11">
        <v>1</v>
      </c>
    </row>
    <row r="237" spans="1:21">
      <c r="A237" s="12" t="s">
        <v>1148</v>
      </c>
      <c r="B237" s="23" t="s">
        <v>1508</v>
      </c>
      <c r="C237" s="27">
        <f>+[2]称号計算!I242</f>
        <v>0.75409999999999999</v>
      </c>
      <c r="D237" s="5">
        <f>+[2]称号計算!J242</f>
        <v>0.82950000000000002</v>
      </c>
      <c r="E237" s="5">
        <f>+[2]称号計算!K242</f>
        <v>0.1714</v>
      </c>
      <c r="F237" s="5">
        <f>+[2]称号計算!L242</f>
        <v>1.7138</v>
      </c>
      <c r="G237" s="5">
        <f>+[2]称号計算!M242</f>
        <v>0.55359999999999998</v>
      </c>
      <c r="H237" s="13">
        <f>+[2]称号計算!N242</f>
        <v>0.64100000000000001</v>
      </c>
      <c r="I237" s="27">
        <f>+[2]称号計算!O242</f>
        <v>0.52790000000000004</v>
      </c>
      <c r="J237" s="13">
        <f>+[2]称号計算!P242</f>
        <v>0.46039999999999998</v>
      </c>
      <c r="K237" s="27">
        <f>+[2]称号計算!Q242</f>
        <v>0.34689999999999999</v>
      </c>
      <c r="L237" s="5">
        <f>+[2]称号計算!R242</f>
        <v>0.75409999999999999</v>
      </c>
      <c r="M237" s="13">
        <f>+[2]称号計算!S242</f>
        <v>0.51829999999999998</v>
      </c>
      <c r="N237" s="27">
        <f>+[2]称号計算!T242</f>
        <v>1.2800000000000001E-2</v>
      </c>
      <c r="O237" s="5">
        <f>+[2]称号計算!U242</f>
        <v>1.2800000000000001E-2</v>
      </c>
      <c r="P237" s="5">
        <f>+[2]称号計算!V242</f>
        <v>1.2800000000000001E-2</v>
      </c>
      <c r="Q237" s="5">
        <f>+[2]称号計算!W242</f>
        <v>1.2800000000000001E-2</v>
      </c>
      <c r="R237" s="5">
        <f>+[2]称号計算!X242</f>
        <v>0.25590000000000002</v>
      </c>
      <c r="S237" s="13">
        <f>+[2]称号計算!Y242</f>
        <v>3.4099999999999998E-2</v>
      </c>
      <c r="T237" s="19">
        <f>+[2]称号計算!Z242</f>
        <v>2.3832</v>
      </c>
      <c r="U237" s="13">
        <v>1</v>
      </c>
    </row>
    <row r="238" spans="1:21">
      <c r="A238" s="12" t="s">
        <v>1149</v>
      </c>
      <c r="B238" s="23" t="s">
        <v>1509</v>
      </c>
      <c r="C238" s="27">
        <f>+[2]称号計算!I243</f>
        <v>0.50860000000000005</v>
      </c>
      <c r="D238" s="5">
        <f>+[2]称号計算!J243</f>
        <v>0.83499999999999996</v>
      </c>
      <c r="E238" s="5">
        <f>+[2]称号計算!K243</f>
        <v>8.9700000000000002E-2</v>
      </c>
      <c r="F238" s="5">
        <f>+[2]称号計算!L243</f>
        <v>1.7252000000000001</v>
      </c>
      <c r="G238" s="5">
        <f>+[2]称号計算!M243</f>
        <v>0.38129999999999997</v>
      </c>
      <c r="H238" s="13">
        <f>+[2]称号計算!N243</f>
        <v>0.46920000000000001</v>
      </c>
      <c r="I238" s="27">
        <f>+[2]称号計算!O243</f>
        <v>1.3663000000000001</v>
      </c>
      <c r="J238" s="13">
        <f>+[2]称号計算!P243</f>
        <v>0.55320000000000003</v>
      </c>
      <c r="K238" s="27">
        <f>+[2]称号計算!Q243</f>
        <v>0.31119999999999998</v>
      </c>
      <c r="L238" s="5">
        <f>+[2]称号計算!R243</f>
        <v>0.51749999999999996</v>
      </c>
      <c r="M238" s="13">
        <f>+[2]称号計算!S243</f>
        <v>0.85980000000000001</v>
      </c>
      <c r="N238" s="27">
        <f>+[2]称号計算!T243</f>
        <v>1.1599999999999999E-2</v>
      </c>
      <c r="O238" s="5">
        <f>+[2]称号計算!U243</f>
        <v>1.1599999999999999E-2</v>
      </c>
      <c r="P238" s="5">
        <f>+[2]称号計算!V243</f>
        <v>1.1599999999999999E-2</v>
      </c>
      <c r="Q238" s="5">
        <f>+[2]称号計算!W243</f>
        <v>1.1599999999999999E-2</v>
      </c>
      <c r="R238" s="5">
        <f>+[2]称号計算!X243</f>
        <v>3.09E-2</v>
      </c>
      <c r="S238" s="13">
        <f>+[2]称号計算!Y243</f>
        <v>0.2316</v>
      </c>
      <c r="T238" s="19">
        <f>+[2]称号計算!Z243</f>
        <v>2.3908999999999998</v>
      </c>
      <c r="U238" s="13">
        <v>0.9</v>
      </c>
    </row>
    <row r="239" spans="1:21">
      <c r="A239" s="12" t="s">
        <v>1150</v>
      </c>
      <c r="B239" s="23" t="s">
        <v>1510</v>
      </c>
      <c r="C239" s="27">
        <f>+[2]称号計算!I244</f>
        <v>0.59109999999999996</v>
      </c>
      <c r="D239" s="5">
        <f>+[2]称号計算!J244</f>
        <v>0.25480000000000003</v>
      </c>
      <c r="E239" s="5">
        <f>+[2]称号計算!K244</f>
        <v>2.3161</v>
      </c>
      <c r="F239" s="5">
        <f>+[2]称号計算!L244</f>
        <v>0.1158</v>
      </c>
      <c r="G239" s="5">
        <f>+[2]称号計算!M244</f>
        <v>0.43309999999999998</v>
      </c>
      <c r="H239" s="13">
        <f>+[2]称号計算!N244</f>
        <v>0.441</v>
      </c>
      <c r="I239" s="27">
        <f>+[2]称号計算!O244</f>
        <v>0.81530000000000002</v>
      </c>
      <c r="J239" s="13">
        <f>+[2]称号計算!P244</f>
        <v>0.78280000000000005</v>
      </c>
      <c r="K239" s="27">
        <f>+[2]称号計算!Q244</f>
        <v>0.58089999999999997</v>
      </c>
      <c r="L239" s="5">
        <f>+[2]称号計算!R244</f>
        <v>1.0098</v>
      </c>
      <c r="M239" s="13">
        <f>+[2]称号計算!S244</f>
        <v>0.62260000000000004</v>
      </c>
      <c r="N239" s="27">
        <f>+[2]称号計算!T244</f>
        <v>8.6E-3</v>
      </c>
      <c r="O239" s="5">
        <f>+[2]称号計算!U244</f>
        <v>8.6E-3</v>
      </c>
      <c r="P239" s="5">
        <f>+[2]称号計算!V244</f>
        <v>8.6E-3</v>
      </c>
      <c r="Q239" s="5">
        <f>+[2]称号計算!W244</f>
        <v>8.6E-3</v>
      </c>
      <c r="R239" s="5">
        <f>+[2]称号計算!X244</f>
        <v>0.17199999999999999</v>
      </c>
      <c r="S239" s="13">
        <f>+[2]称号計算!Y244</f>
        <v>2.29E-2</v>
      </c>
      <c r="T239" s="19">
        <f>+[2]称号計算!Z244</f>
        <v>2.8534999999999999</v>
      </c>
      <c r="U239" s="13">
        <v>0.55000000000000004</v>
      </c>
    </row>
    <row r="240" spans="1:21">
      <c r="A240" s="12" t="s">
        <v>1151</v>
      </c>
      <c r="B240" s="23" t="s">
        <v>1511</v>
      </c>
      <c r="C240" s="27">
        <f>+[2]称号計算!I245</f>
        <v>1.3454999999999999</v>
      </c>
      <c r="D240" s="5">
        <f>+[2]称号計算!J245</f>
        <v>0.37419999999999998</v>
      </c>
      <c r="E240" s="5">
        <f>+[2]称号計算!K245</f>
        <v>2.0251000000000001</v>
      </c>
      <c r="F240" s="5">
        <f>+[2]称号計算!L245</f>
        <v>0.158</v>
      </c>
      <c r="G240" s="5">
        <f>+[2]称号計算!M245</f>
        <v>1.1636</v>
      </c>
      <c r="H240" s="13">
        <f>+[2]称号計算!N245</f>
        <v>0.6472</v>
      </c>
      <c r="I240" s="27">
        <f>+[2]称号計算!O245</f>
        <v>0.31190000000000001</v>
      </c>
      <c r="J240" s="13">
        <f>+[2]称号計算!P245</f>
        <v>0.502</v>
      </c>
      <c r="K240" s="27">
        <f>+[2]称号計算!Q245</f>
        <v>0.31190000000000001</v>
      </c>
      <c r="L240" s="5">
        <f>+[2]称号計算!R245</f>
        <v>0.59130000000000005</v>
      </c>
      <c r="M240" s="13">
        <f>+[2]称号計算!S245</f>
        <v>0.87890000000000001</v>
      </c>
      <c r="N240" s="27">
        <f>+[2]称号計算!T245</f>
        <v>2.2599999999999999E-2</v>
      </c>
      <c r="O240" s="5">
        <f>+[2]称号計算!U245</f>
        <v>2.2599999999999999E-2</v>
      </c>
      <c r="P240" s="5">
        <f>+[2]称号計算!V245</f>
        <v>2.2599999999999999E-2</v>
      </c>
      <c r="Q240" s="5">
        <f>+[2]称号計算!W245</f>
        <v>2.2599999999999999E-2</v>
      </c>
      <c r="R240" s="5">
        <f>+[2]称号計算!X245</f>
        <v>0.45200000000000001</v>
      </c>
      <c r="S240" s="13">
        <f>+[2]称号計算!Y245</f>
        <v>6.0299999999999999E-2</v>
      </c>
      <c r="T240" s="19">
        <f>+[2]称号計算!Z245</f>
        <v>2.4698000000000002</v>
      </c>
      <c r="U240" s="13">
        <v>0.5</v>
      </c>
    </row>
    <row r="241" spans="1:21" ht="19.5" thickBot="1">
      <c r="A241" s="14" t="s">
        <v>1152</v>
      </c>
      <c r="B241" s="24" t="s">
        <v>1512</v>
      </c>
      <c r="C241" s="28">
        <f>+[2]称号計算!I246</f>
        <v>0.70940000000000003</v>
      </c>
      <c r="D241" s="15">
        <f>+[2]称号計算!J246</f>
        <v>1.0458000000000001</v>
      </c>
      <c r="E241" s="15">
        <f>+[2]称号計算!K246</f>
        <v>0.20669999999999999</v>
      </c>
      <c r="F241" s="15">
        <f>+[2]称号計算!L246</f>
        <v>2.0669</v>
      </c>
      <c r="G241" s="15">
        <f>+[2]称号計算!M246</f>
        <v>0.52710000000000001</v>
      </c>
      <c r="H241" s="16">
        <f>+[2]称号計算!N246</f>
        <v>0.56220000000000003</v>
      </c>
      <c r="I241" s="28">
        <f>+[2]称号計算!O246</f>
        <v>1.0004</v>
      </c>
      <c r="J241" s="16">
        <f>+[2]称号計算!P246</f>
        <v>0.59109999999999996</v>
      </c>
      <c r="K241" s="28">
        <f>+[2]称号計算!Q246</f>
        <v>0.40010000000000001</v>
      </c>
      <c r="L241" s="15">
        <f>+[2]称号計算!R246</f>
        <v>0.90939999999999999</v>
      </c>
      <c r="M241" s="16">
        <f>+[2]称号計算!S246</f>
        <v>0.63660000000000005</v>
      </c>
      <c r="N241" s="28">
        <f>+[2]称号計算!T246</f>
        <v>1.4500000000000001E-2</v>
      </c>
      <c r="O241" s="15">
        <f>+[2]称号計算!U246</f>
        <v>1.4500000000000001E-2</v>
      </c>
      <c r="P241" s="15">
        <f>+[2]称号計算!V246</f>
        <v>1.4500000000000001E-2</v>
      </c>
      <c r="Q241" s="15">
        <f>+[2]称号計算!W246</f>
        <v>1.4500000000000001E-2</v>
      </c>
      <c r="R241" s="15">
        <f>+[2]称号計算!X246</f>
        <v>0.2908</v>
      </c>
      <c r="S241" s="16">
        <f>+[2]称号計算!Y246</f>
        <v>3.8800000000000001E-2</v>
      </c>
      <c r="T241" s="20">
        <f>+[2]称号計算!Z246</f>
        <v>2.7890999999999999</v>
      </c>
      <c r="U241" s="16">
        <v>0.25</v>
      </c>
    </row>
    <row r="242" spans="1:21">
      <c r="A242" s="9" t="s">
        <v>1153</v>
      </c>
      <c r="B242" s="22" t="s">
        <v>1513</v>
      </c>
      <c r="C242" s="26">
        <f>+[2]称号計算!I247</f>
        <v>0.73229999999999995</v>
      </c>
      <c r="D242" s="10">
        <f>+[2]称号計算!J247</f>
        <v>0.79600000000000004</v>
      </c>
      <c r="E242" s="10">
        <f>+[2]称号計算!K247</f>
        <v>0.18090000000000001</v>
      </c>
      <c r="F242" s="10">
        <f>+[2]称号計算!L247</f>
        <v>1.8090999999999999</v>
      </c>
      <c r="G242" s="10">
        <f>+[2]称号計算!M247</f>
        <v>0.58430000000000004</v>
      </c>
      <c r="H242" s="11">
        <f>+[2]称号計算!N247</f>
        <v>0.64580000000000004</v>
      </c>
      <c r="I242" s="26">
        <f>+[2]称号計算!O247</f>
        <v>0.39800000000000002</v>
      </c>
      <c r="J242" s="11">
        <f>+[2]称号計算!P247</f>
        <v>0.47039999999999998</v>
      </c>
      <c r="K242" s="26">
        <f>+[2]称号計算!Q247</f>
        <v>0.31840000000000002</v>
      </c>
      <c r="L242" s="10">
        <f>+[2]称号計算!R247</f>
        <v>0.75980000000000003</v>
      </c>
      <c r="M242" s="11">
        <f>+[2]称号計算!S247</f>
        <v>0.50649999999999995</v>
      </c>
      <c r="N242" s="26">
        <f>+[2]称号計算!T247</f>
        <v>1.44E-2</v>
      </c>
      <c r="O242" s="10">
        <f>+[2]称号計算!U247</f>
        <v>1.44E-2</v>
      </c>
      <c r="P242" s="10">
        <f>+[2]称号計算!V247</f>
        <v>1.44E-2</v>
      </c>
      <c r="Q242" s="10">
        <f>+[2]称号計算!W247</f>
        <v>1.44E-2</v>
      </c>
      <c r="R242" s="10">
        <f>+[2]称号計算!X247</f>
        <v>3.8399999999999997E-2</v>
      </c>
      <c r="S242" s="11">
        <f>+[2]称号計算!Y247</f>
        <v>0.28810000000000002</v>
      </c>
      <c r="T242" s="18">
        <f>+[2]称号計算!Z247</f>
        <v>2.2404999999999999</v>
      </c>
      <c r="U242" s="11">
        <v>1</v>
      </c>
    </row>
    <row r="243" spans="1:21">
      <c r="A243" s="12" t="s">
        <v>1154</v>
      </c>
      <c r="B243" s="23" t="s">
        <v>1514</v>
      </c>
      <c r="C243" s="27">
        <f>+[2]称号計算!I248</f>
        <v>0.61950000000000005</v>
      </c>
      <c r="D243" s="5">
        <f>+[2]称号計算!J248</f>
        <v>0.79530000000000001</v>
      </c>
      <c r="E243" s="5">
        <f>+[2]称号計算!K248</f>
        <v>0.1237</v>
      </c>
      <c r="F243" s="5">
        <f>+[2]称号計算!L248</f>
        <v>1.9027000000000001</v>
      </c>
      <c r="G243" s="5">
        <f>+[2]称号計算!M248</f>
        <v>0.46579999999999999</v>
      </c>
      <c r="H243" s="13">
        <f>+[2]称号計算!N248</f>
        <v>0.54339999999999999</v>
      </c>
      <c r="I243" s="27">
        <f>+[2]称号計算!O248</f>
        <v>0.41860000000000003</v>
      </c>
      <c r="J243" s="13">
        <f>+[2]称号計算!P248</f>
        <v>0.4617</v>
      </c>
      <c r="K243" s="27">
        <f>+[2]称号計算!Q248</f>
        <v>0.56089999999999995</v>
      </c>
      <c r="L243" s="5">
        <f>+[2]称号計算!R248</f>
        <v>1.1797</v>
      </c>
      <c r="M243" s="13">
        <f>+[2]称号計算!S248</f>
        <v>0.49009999999999998</v>
      </c>
      <c r="N243" s="27">
        <f>+[2]称号計算!T248</f>
        <v>1.4500000000000001E-2</v>
      </c>
      <c r="O243" s="5">
        <f>+[2]称号計算!U248</f>
        <v>1.4500000000000001E-2</v>
      </c>
      <c r="P243" s="5">
        <f>+[2]称号計算!V248</f>
        <v>5.4399999999999997E-2</v>
      </c>
      <c r="Q243" s="5">
        <f>+[2]称号計算!W248</f>
        <v>0.21779999999999999</v>
      </c>
      <c r="R243" s="5">
        <f>+[2]称号計算!X248</f>
        <v>1.09E-2</v>
      </c>
      <c r="S243" s="13">
        <f>+[2]称号計算!Y248</f>
        <v>1.09E-2</v>
      </c>
      <c r="T243" s="19">
        <f>+[2]称号計算!Z248</f>
        <v>2.9196</v>
      </c>
      <c r="U243" s="13">
        <v>1</v>
      </c>
    </row>
    <row r="244" spans="1:21">
      <c r="A244" s="12" t="s">
        <v>1155</v>
      </c>
      <c r="B244" s="23" t="s">
        <v>1515</v>
      </c>
      <c r="C244" s="27">
        <f>+[2]称号計算!I249</f>
        <v>0.52300000000000002</v>
      </c>
      <c r="D244" s="5">
        <f>+[2]称号計算!J249</f>
        <v>0.84540000000000004</v>
      </c>
      <c r="E244" s="5">
        <f>+[2]称号計算!K249</f>
        <v>9.1200000000000003E-2</v>
      </c>
      <c r="F244" s="5">
        <f>+[2]称号計算!L249</f>
        <v>1.6284000000000001</v>
      </c>
      <c r="G244" s="5">
        <f>+[2]称号計算!M249</f>
        <v>0.42630000000000001</v>
      </c>
      <c r="H244" s="13">
        <f>+[2]称号計算!N249</f>
        <v>0.47060000000000002</v>
      </c>
      <c r="I244" s="27">
        <f>+[2]称号計算!O249</f>
        <v>1.8629</v>
      </c>
      <c r="J244" s="13">
        <f>+[2]称号計算!P249</f>
        <v>0.5504</v>
      </c>
      <c r="K244" s="27">
        <f>+[2]称号計算!Q249</f>
        <v>0.39410000000000001</v>
      </c>
      <c r="L244" s="5">
        <f>+[2]称号計算!R249</f>
        <v>0.61880000000000002</v>
      </c>
      <c r="M244" s="13">
        <f>+[2]称号計算!S249</f>
        <v>0.51070000000000004</v>
      </c>
      <c r="N244" s="27">
        <f>+[2]称号計算!T249</f>
        <v>5.0700000000000002E-2</v>
      </c>
      <c r="O244" s="5">
        <f>+[2]称号計算!U249</f>
        <v>0.2535</v>
      </c>
      <c r="P244" s="5">
        <f>+[2]称号計算!V249</f>
        <v>1.6899999999999998E-2</v>
      </c>
      <c r="Q244" s="5">
        <f>+[2]称号計算!W249</f>
        <v>1.6899999999999998E-2</v>
      </c>
      <c r="R244" s="5">
        <f>+[2]称号計算!X249</f>
        <v>1.2699999999999999E-2</v>
      </c>
      <c r="S244" s="13">
        <f>+[2]称号計算!Y249</f>
        <v>1.2699999999999999E-2</v>
      </c>
      <c r="T244" s="19">
        <f>+[2]称号計算!Z249</f>
        <v>2.7946</v>
      </c>
      <c r="U244" s="13">
        <v>0.9</v>
      </c>
    </row>
    <row r="245" spans="1:21">
      <c r="A245" s="12" t="s">
        <v>1156</v>
      </c>
      <c r="B245" s="23" t="s">
        <v>1516</v>
      </c>
      <c r="C245" s="27">
        <f>+[2]称号計算!I250</f>
        <v>0.751</v>
      </c>
      <c r="D245" s="5">
        <f>+[2]称号計算!J250</f>
        <v>0.49280000000000002</v>
      </c>
      <c r="E245" s="5">
        <f>+[2]称号計算!K250</f>
        <v>2.1334</v>
      </c>
      <c r="F245" s="5">
        <f>+[2]称号計算!L250</f>
        <v>0.14929999999999999</v>
      </c>
      <c r="G245" s="5">
        <f>+[2]称号計算!M250</f>
        <v>0.5585</v>
      </c>
      <c r="H245" s="13">
        <f>+[2]称号計算!N250</f>
        <v>0.60209999999999997</v>
      </c>
      <c r="I245" s="27">
        <f>+[2]称号計算!O250</f>
        <v>0.61019999999999996</v>
      </c>
      <c r="J245" s="13">
        <f>+[2]称号計算!P250</f>
        <v>0.53990000000000005</v>
      </c>
      <c r="K245" s="27">
        <f>+[2]称号計算!Q250</f>
        <v>0.72840000000000005</v>
      </c>
      <c r="L245" s="5">
        <f>+[2]称号計算!R250</f>
        <v>1.1008</v>
      </c>
      <c r="M245" s="13">
        <f>+[2]称号計算!S250</f>
        <v>0.61529999999999996</v>
      </c>
      <c r="N245" s="27">
        <f>+[2]称号計算!T250</f>
        <v>1.3899999999999999E-2</v>
      </c>
      <c r="O245" s="5">
        <f>+[2]称号計算!U250</f>
        <v>1.3899999999999999E-2</v>
      </c>
      <c r="P245" s="5">
        <f>+[2]称号計算!V250</f>
        <v>1.3899999999999999E-2</v>
      </c>
      <c r="Q245" s="5">
        <f>+[2]称号計算!W250</f>
        <v>1.3899999999999999E-2</v>
      </c>
      <c r="R245" s="5">
        <f>+[2]称号計算!X250</f>
        <v>3.7100000000000001E-2</v>
      </c>
      <c r="S245" s="13">
        <f>+[2]称号計算!Y250</f>
        <v>0.27829999999999999</v>
      </c>
      <c r="T245" s="19">
        <f>+[2]称号計算!Z250</f>
        <v>3.4415</v>
      </c>
      <c r="U245" s="13">
        <v>0.55000000000000004</v>
      </c>
    </row>
    <row r="246" spans="1:21">
      <c r="A246" s="12" t="s">
        <v>1157</v>
      </c>
      <c r="B246" s="23" t="s">
        <v>1517</v>
      </c>
      <c r="C246" s="27">
        <f>+[2]称号計算!I251</f>
        <v>0.77959999999999996</v>
      </c>
      <c r="D246" s="5">
        <f>+[2]称号計算!J251</f>
        <v>0.41410000000000002</v>
      </c>
      <c r="E246" s="5">
        <f>+[2]称号計算!K251</f>
        <v>2.2147000000000001</v>
      </c>
      <c r="F246" s="5">
        <f>+[2]称号計算!L251</f>
        <v>0.2215</v>
      </c>
      <c r="G246" s="5">
        <f>+[2]称号計算!M251</f>
        <v>0.60240000000000005</v>
      </c>
      <c r="H246" s="13">
        <f>+[2]称号計算!N251</f>
        <v>0.60240000000000005</v>
      </c>
      <c r="I246" s="27">
        <f>+[2]称号計算!O251</f>
        <v>0.77959999999999996</v>
      </c>
      <c r="J246" s="13">
        <f>+[2]称号計算!P251</f>
        <v>0.59499999999999997</v>
      </c>
      <c r="K246" s="27">
        <f>+[2]称号計算!Q251</f>
        <v>0.6431</v>
      </c>
      <c r="L246" s="5">
        <f>+[2]称号計算!R251</f>
        <v>1.1694</v>
      </c>
      <c r="M246" s="13">
        <f>+[2]称号計算!S251</f>
        <v>0.62009999999999998</v>
      </c>
      <c r="N246" s="27">
        <f>+[2]称号計算!T251</f>
        <v>1.4500000000000001E-2</v>
      </c>
      <c r="O246" s="5">
        <f>+[2]称号計算!U251</f>
        <v>1.4500000000000001E-2</v>
      </c>
      <c r="P246" s="5">
        <f>+[2]称号計算!V251</f>
        <v>1.4500000000000001E-2</v>
      </c>
      <c r="Q246" s="5">
        <f>+[2]称号計算!W251</f>
        <v>1.4500000000000001E-2</v>
      </c>
      <c r="R246" s="5">
        <f>+[2]称号計算!X251</f>
        <v>3.8699999999999998E-2</v>
      </c>
      <c r="S246" s="13">
        <f>+[2]称号計算!Y251</f>
        <v>0.29039999999999999</v>
      </c>
      <c r="T246" s="19">
        <f>+[2]称号計算!Z251</f>
        <v>3.3127</v>
      </c>
      <c r="U246" s="13">
        <v>0.5</v>
      </c>
    </row>
    <row r="247" spans="1:21" ht="19.5" thickBot="1">
      <c r="A247" s="14" t="s">
        <v>1158</v>
      </c>
      <c r="B247" s="24" t="s">
        <v>1518</v>
      </c>
      <c r="C247" s="28">
        <f>+[2]称号計算!I252</f>
        <v>0.59250000000000003</v>
      </c>
      <c r="D247" s="15">
        <f>+[2]称号計算!J252</f>
        <v>0.79679999999999995</v>
      </c>
      <c r="E247" s="15">
        <f>+[2]称号計算!K252</f>
        <v>0.11609999999999999</v>
      </c>
      <c r="F247" s="15">
        <f>+[2]称号計算!L252</f>
        <v>2.3216999999999999</v>
      </c>
      <c r="G247" s="15">
        <f>+[2]称号計算!M252</f>
        <v>0.50519999999999998</v>
      </c>
      <c r="H247" s="16">
        <f>+[2]称号計算!N252</f>
        <v>0.5131</v>
      </c>
      <c r="I247" s="28">
        <f>+[2]称号計算!O252</f>
        <v>0.81720000000000004</v>
      </c>
      <c r="J247" s="16">
        <f>+[2]称号計算!P252</f>
        <v>0.62380000000000002</v>
      </c>
      <c r="K247" s="28">
        <f>+[2]称号計算!Q252</f>
        <v>0.85809999999999997</v>
      </c>
      <c r="L247" s="15">
        <f>+[2]称号計算!R252</f>
        <v>1.2073</v>
      </c>
      <c r="M247" s="16">
        <f>+[2]称号計算!S252</f>
        <v>0.65010000000000001</v>
      </c>
      <c r="N247" s="28">
        <f>+[2]称号計算!T252</f>
        <v>1.54E-2</v>
      </c>
      <c r="O247" s="15">
        <f>+[2]称号計算!U252</f>
        <v>1.54E-2</v>
      </c>
      <c r="P247" s="15">
        <f>+[2]称号計算!V252</f>
        <v>5.7599999999999998E-2</v>
      </c>
      <c r="Q247" s="15">
        <f>+[2]称号計算!W252</f>
        <v>0.23039999999999999</v>
      </c>
      <c r="R247" s="15">
        <f>+[2]称号計算!X252</f>
        <v>1.15E-2</v>
      </c>
      <c r="S247" s="16">
        <f>+[2]称号計算!Y252</f>
        <v>1.15E-2</v>
      </c>
      <c r="T247" s="20">
        <f>+[2]称号計算!Z252</f>
        <v>3.9007999999999998</v>
      </c>
      <c r="U247" s="16">
        <v>0.25</v>
      </c>
    </row>
    <row r="248" spans="1:21">
      <c r="A248" s="9" t="s">
        <v>1159</v>
      </c>
      <c r="B248" s="22" t="s">
        <v>1519</v>
      </c>
      <c r="C248" s="26">
        <f>+[2]称号計算!I253</f>
        <v>0.85060000000000002</v>
      </c>
      <c r="D248" s="10">
        <f>+[2]称号計算!J253</f>
        <v>0.81189999999999996</v>
      </c>
      <c r="E248" s="10">
        <f>+[2]称号計算!K253</f>
        <v>0.1757</v>
      </c>
      <c r="F248" s="10">
        <f>+[2]称号計算!L253</f>
        <v>1.7574000000000001</v>
      </c>
      <c r="G248" s="10">
        <f>+[2]称号計算!M253</f>
        <v>0.65720000000000001</v>
      </c>
      <c r="H248" s="11">
        <f>+[2]称号計算!N253</f>
        <v>0.65720000000000001</v>
      </c>
      <c r="I248" s="26">
        <f>+[2]称号計算!O253</f>
        <v>0.5413</v>
      </c>
      <c r="J248" s="11">
        <f>+[2]称号計算!P253</f>
        <v>0.47210000000000002</v>
      </c>
      <c r="K248" s="26">
        <f>+[2]称号計算!Q253</f>
        <v>0.37119999999999997</v>
      </c>
      <c r="L248" s="10">
        <f>+[2]称号計算!R253</f>
        <v>0.70289999999999997</v>
      </c>
      <c r="M248" s="11">
        <f>+[2]称号計算!S253</f>
        <v>0.49209999999999998</v>
      </c>
      <c r="N248" s="26">
        <f>+[2]称号計算!T253</f>
        <v>1.6199999999999999E-2</v>
      </c>
      <c r="O248" s="10">
        <f>+[2]称号計算!U253</f>
        <v>1.6199999999999999E-2</v>
      </c>
      <c r="P248" s="10">
        <f>+[2]称号計算!V253</f>
        <v>1.6199999999999999E-2</v>
      </c>
      <c r="Q248" s="10">
        <f>+[2]称号計算!W253</f>
        <v>1.6199999999999999E-2</v>
      </c>
      <c r="R248" s="10">
        <f>+[2]称号計算!X253</f>
        <v>0.3236</v>
      </c>
      <c r="S248" s="11">
        <f>+[2]称号計算!Y253</f>
        <v>4.3099999999999999E-2</v>
      </c>
      <c r="T248" s="18">
        <f>+[2]称号計算!Z253</f>
        <v>2.4965000000000002</v>
      </c>
      <c r="U248" s="11">
        <v>1</v>
      </c>
    </row>
    <row r="249" spans="1:21">
      <c r="A249" s="12" t="s">
        <v>1160</v>
      </c>
      <c r="B249" s="23" t="s">
        <v>1520</v>
      </c>
      <c r="C249" s="27">
        <f>+[2]称号計算!I254</f>
        <v>0.99909999999999999</v>
      </c>
      <c r="D249" s="5">
        <f>+[2]称号計算!J254</f>
        <v>0.74150000000000005</v>
      </c>
      <c r="E249" s="5">
        <f>+[2]称号計算!K254</f>
        <v>0.15079999999999999</v>
      </c>
      <c r="F249" s="5">
        <f>+[2]称号計算!L254</f>
        <v>1.7739</v>
      </c>
      <c r="G249" s="5">
        <f>+[2]称号計算!M254</f>
        <v>0.74180000000000001</v>
      </c>
      <c r="H249" s="13">
        <f>+[2]称号計算!N254</f>
        <v>0.67549999999999999</v>
      </c>
      <c r="I249" s="27">
        <f>+[2]称号計算!O254</f>
        <v>0.5464</v>
      </c>
      <c r="J249" s="13">
        <f>+[2]称号計算!P254</f>
        <v>0.4612</v>
      </c>
      <c r="K249" s="27">
        <f>+[2]称号計算!Q254</f>
        <v>0.43709999999999999</v>
      </c>
      <c r="L249" s="5">
        <f>+[2]称号計算!R254</f>
        <v>1.0288999999999999</v>
      </c>
      <c r="M249" s="13">
        <f>+[2]称号計算!S254</f>
        <v>0.30790000000000001</v>
      </c>
      <c r="N249" s="27">
        <f>+[2]称号計算!T254</f>
        <v>1.7600000000000001E-2</v>
      </c>
      <c r="O249" s="5">
        <f>+[2]称号計算!U254</f>
        <v>1.7600000000000001E-2</v>
      </c>
      <c r="P249" s="5">
        <f>+[2]称号計算!V254</f>
        <v>1.7600000000000001E-2</v>
      </c>
      <c r="Q249" s="5">
        <f>+[2]称号計算!W254</f>
        <v>1.7600000000000001E-2</v>
      </c>
      <c r="R249" s="5">
        <f>+[2]称号計算!X254</f>
        <v>0.3523</v>
      </c>
      <c r="S249" s="13">
        <f>+[2]称号計算!Y254</f>
        <v>4.7E-2</v>
      </c>
      <c r="T249" s="19">
        <f>+[2]称号計算!Z254</f>
        <v>2.7961</v>
      </c>
      <c r="U249" s="13">
        <v>1</v>
      </c>
    </row>
    <row r="250" spans="1:21">
      <c r="A250" s="12" t="s">
        <v>1161</v>
      </c>
      <c r="B250" s="23" t="s">
        <v>1521</v>
      </c>
      <c r="C250" s="27">
        <f>+[2]称号計算!I255</f>
        <v>0.77569999999999995</v>
      </c>
      <c r="D250" s="5">
        <f>+[2]称号計算!J255</f>
        <v>0.82799999999999996</v>
      </c>
      <c r="E250" s="5">
        <f>+[2]称号計算!K255</f>
        <v>0.11890000000000001</v>
      </c>
      <c r="F250" s="5">
        <f>+[2]称号計算!L255</f>
        <v>1.9809000000000001</v>
      </c>
      <c r="G250" s="5">
        <f>+[2]称号計算!M255</f>
        <v>0.61960000000000004</v>
      </c>
      <c r="H250" s="13">
        <f>+[2]称号計算!N255</f>
        <v>0.6129</v>
      </c>
      <c r="I250" s="27">
        <f>+[2]称号計算!O255</f>
        <v>0.65369999999999995</v>
      </c>
      <c r="J250" s="13">
        <f>+[2]称号計算!P255</f>
        <v>0.51500000000000001</v>
      </c>
      <c r="K250" s="27">
        <f>+[2]称号計算!Q255</f>
        <v>0.54039999999999999</v>
      </c>
      <c r="L250" s="5">
        <f>+[2]称号計算!R255</f>
        <v>0.91120000000000001</v>
      </c>
      <c r="M250" s="13">
        <f>+[2]称号計算!S255</f>
        <v>0.68220000000000003</v>
      </c>
      <c r="N250" s="27">
        <f>+[2]称号計算!T255</f>
        <v>1.5800000000000002E-2</v>
      </c>
      <c r="O250" s="5">
        <f>+[2]称号計算!U255</f>
        <v>1.5800000000000002E-2</v>
      </c>
      <c r="P250" s="5">
        <f>+[2]称号計算!V255</f>
        <v>1.5800000000000002E-2</v>
      </c>
      <c r="Q250" s="5">
        <f>+[2]称号計算!W255</f>
        <v>1.5800000000000002E-2</v>
      </c>
      <c r="R250" s="5">
        <f>+[2]称号計算!X255</f>
        <v>4.2200000000000001E-2</v>
      </c>
      <c r="S250" s="13">
        <f>+[2]称号計算!Y255</f>
        <v>0.31640000000000001</v>
      </c>
      <c r="T250" s="19">
        <f>+[2]称号計算!Z255</f>
        <v>5.1261999999999999</v>
      </c>
      <c r="U250" s="13">
        <v>0.9</v>
      </c>
    </row>
    <row r="251" spans="1:21">
      <c r="A251" s="12" t="s">
        <v>1162</v>
      </c>
      <c r="B251" s="23" t="s">
        <v>1522</v>
      </c>
      <c r="C251" s="27">
        <f>+[2]称号計算!I256</f>
        <v>0.84019999999999995</v>
      </c>
      <c r="D251" s="5">
        <f>+[2]称号計算!J256</f>
        <v>0.37340000000000001</v>
      </c>
      <c r="E251" s="5">
        <f>+[2]称号計算!K256</f>
        <v>2.1217999999999999</v>
      </c>
      <c r="F251" s="5">
        <f>+[2]称号計算!L256</f>
        <v>0.2122</v>
      </c>
      <c r="G251" s="5">
        <f>+[2]称号計算!M256</f>
        <v>0.64929999999999999</v>
      </c>
      <c r="H251" s="13">
        <f>+[2]称号計算!N256</f>
        <v>0.64929999999999999</v>
      </c>
      <c r="I251" s="27">
        <f>+[2]称号計算!O256</f>
        <v>1.0268999999999999</v>
      </c>
      <c r="J251" s="13">
        <f>+[2]称号計算!P256</f>
        <v>0.64359999999999995</v>
      </c>
      <c r="K251" s="27">
        <f>+[2]称号計算!Q256</f>
        <v>0.56020000000000003</v>
      </c>
      <c r="L251" s="5">
        <f>+[2]称号計算!R256</f>
        <v>1.0015000000000001</v>
      </c>
      <c r="M251" s="13">
        <f>+[2]称号計算!S256</f>
        <v>0.53469999999999995</v>
      </c>
      <c r="N251" s="27">
        <f>+[2]称号計算!T256</f>
        <v>2.0199999999999999E-2</v>
      </c>
      <c r="O251" s="5">
        <f>+[2]称号計算!U256</f>
        <v>2.0199999999999999E-2</v>
      </c>
      <c r="P251" s="5">
        <f>+[2]称号計算!V256</f>
        <v>7.5800000000000006E-2</v>
      </c>
      <c r="Q251" s="5">
        <f>+[2]称号計算!W256</f>
        <v>0.30320000000000003</v>
      </c>
      <c r="R251" s="5">
        <f>+[2]称号計算!X256</f>
        <v>1.52E-2</v>
      </c>
      <c r="S251" s="13">
        <f>+[2]称号計算!Y256</f>
        <v>1.52E-2</v>
      </c>
      <c r="T251" s="19">
        <f>+[2]称号計算!Z256</f>
        <v>3.1581000000000001</v>
      </c>
      <c r="U251" s="13">
        <v>0.55000000000000004</v>
      </c>
    </row>
    <row r="252" spans="1:21">
      <c r="A252" s="12" t="s">
        <v>1163</v>
      </c>
      <c r="B252" s="23" t="s">
        <v>1523</v>
      </c>
      <c r="C252" s="27">
        <f>+[2]称号計算!I257</f>
        <v>0.69040000000000001</v>
      </c>
      <c r="D252" s="5">
        <f>+[2]称号計算!J257</f>
        <v>0.41920000000000002</v>
      </c>
      <c r="E252" s="5">
        <f>+[2]称号計算!K257</f>
        <v>2.2416</v>
      </c>
      <c r="F252" s="5">
        <f>+[2]称号計算!L257</f>
        <v>0.1681</v>
      </c>
      <c r="G252" s="5">
        <f>+[2]称号計算!M257</f>
        <v>0.57920000000000005</v>
      </c>
      <c r="H252" s="13">
        <f>+[2]称号計算!N257</f>
        <v>0.59450000000000003</v>
      </c>
      <c r="I252" s="27">
        <f>+[2]称号計算!O257</f>
        <v>1.0849</v>
      </c>
      <c r="J252" s="13">
        <f>+[2]称号計算!P257</f>
        <v>0.6139</v>
      </c>
      <c r="K252" s="27">
        <f>+[2]称号計算!Q257</f>
        <v>0.87780000000000002</v>
      </c>
      <c r="L252" s="5">
        <f>+[2]称号計算!R257</f>
        <v>1.1656</v>
      </c>
      <c r="M252" s="13">
        <f>+[2]称号計算!S257</f>
        <v>0.55230000000000001</v>
      </c>
      <c r="N252" s="27">
        <f>+[2]称号計算!T257</f>
        <v>1.37E-2</v>
      </c>
      <c r="O252" s="5">
        <f>+[2]称号計算!U257</f>
        <v>1.37E-2</v>
      </c>
      <c r="P252" s="5">
        <f>+[2]称号計算!V257</f>
        <v>1.37E-2</v>
      </c>
      <c r="Q252" s="5">
        <f>+[2]称号計算!W257</f>
        <v>1.37E-2</v>
      </c>
      <c r="R252" s="5">
        <f>+[2]称号計算!X257</f>
        <v>0.2732</v>
      </c>
      <c r="S252" s="13">
        <f>+[2]称号計算!Y257</f>
        <v>3.6400000000000002E-2</v>
      </c>
      <c r="T252" s="19">
        <f>+[2]称号計算!Z257</f>
        <v>4.0194000000000001</v>
      </c>
      <c r="U252" s="13">
        <v>0.5</v>
      </c>
    </row>
    <row r="253" spans="1:21" ht="19.5" thickBot="1">
      <c r="A253" s="14" t="s">
        <v>1164</v>
      </c>
      <c r="B253" s="24" t="s">
        <v>1524</v>
      </c>
      <c r="C253" s="28">
        <f>+[2]称号計算!I258</f>
        <v>0.96830000000000005</v>
      </c>
      <c r="D253" s="15">
        <f>+[2]称号計算!J258</f>
        <v>1.5986</v>
      </c>
      <c r="E253" s="15">
        <f>+[2]称号計算!K258</f>
        <v>0.13489999999999999</v>
      </c>
      <c r="F253" s="15">
        <f>+[2]称号計算!L258</f>
        <v>2.0760000000000001</v>
      </c>
      <c r="G253" s="15">
        <f>+[2]称号計算!M258</f>
        <v>0.54349999999999998</v>
      </c>
      <c r="H253" s="16">
        <f>+[2]称号計算!N258</f>
        <v>1.4470000000000001</v>
      </c>
      <c r="I253" s="28">
        <f>+[2]称号計算!O258</f>
        <v>0.41110000000000002</v>
      </c>
      <c r="J253" s="16">
        <f>+[2]称号計算!P258</f>
        <v>0.52180000000000004</v>
      </c>
      <c r="K253" s="28">
        <f>+[2]称号計算!Q258</f>
        <v>0.34710000000000002</v>
      </c>
      <c r="L253" s="15">
        <f>+[2]称号計算!R258</f>
        <v>0.6976</v>
      </c>
      <c r="M253" s="16">
        <f>+[2]称号計算!S258</f>
        <v>0.61619999999999997</v>
      </c>
      <c r="N253" s="28">
        <f>+[2]称号計算!T258</f>
        <v>2.5499999999999998E-2</v>
      </c>
      <c r="O253" s="15">
        <f>+[2]称号計算!U258</f>
        <v>2.5499999999999998E-2</v>
      </c>
      <c r="P253" s="15">
        <f>+[2]称号計算!V258</f>
        <v>2.5499999999999998E-2</v>
      </c>
      <c r="Q253" s="15">
        <f>+[2]称号計算!W258</f>
        <v>2.5499999999999998E-2</v>
      </c>
      <c r="R253" s="15">
        <f>+[2]称号計算!X258</f>
        <v>6.7900000000000002E-2</v>
      </c>
      <c r="S253" s="16">
        <f>+[2]称号計算!Y258</f>
        <v>0.50929999999999997</v>
      </c>
      <c r="T253" s="20">
        <f>+[2]称号計算!Z258</f>
        <v>2.8605999999999998</v>
      </c>
      <c r="U253" s="16">
        <v>0.25</v>
      </c>
    </row>
    <row r="254" spans="1:21">
      <c r="A254" s="9" t="s">
        <v>1165</v>
      </c>
      <c r="B254" s="22" t="s">
        <v>1525</v>
      </c>
      <c r="C254" s="26">
        <f>+[2]称号計算!I259</f>
        <v>0.78490000000000004</v>
      </c>
      <c r="D254" s="10">
        <f>+[2]称号計算!J259</f>
        <v>0.89929999999999999</v>
      </c>
      <c r="E254" s="10">
        <f>+[2]称号計算!K259</f>
        <v>0.1152</v>
      </c>
      <c r="F254" s="10">
        <f>+[2]称号計算!L259</f>
        <v>1.8581000000000001</v>
      </c>
      <c r="G254" s="10">
        <f>+[2]称号計算!M259</f>
        <v>0.51800000000000002</v>
      </c>
      <c r="H254" s="11">
        <f>+[2]称号計算!N259</f>
        <v>0.57489999999999997</v>
      </c>
      <c r="I254" s="26">
        <f>+[2]称号計算!O259</f>
        <v>0.49049999999999999</v>
      </c>
      <c r="J254" s="11">
        <f>+[2]称号計算!P259</f>
        <v>0.51529999999999998</v>
      </c>
      <c r="K254" s="26">
        <f>+[2]称号計算!Q259</f>
        <v>0.3679</v>
      </c>
      <c r="L254" s="10">
        <f>+[2]称号計算!R259</f>
        <v>0.6764</v>
      </c>
      <c r="M254" s="11">
        <f>+[2]称号計算!S259</f>
        <v>0.98850000000000005</v>
      </c>
      <c r="N254" s="26">
        <f>+[2]称号計算!T259</f>
        <v>1.43E-2</v>
      </c>
      <c r="O254" s="10">
        <f>+[2]称号計算!U259</f>
        <v>1.43E-2</v>
      </c>
      <c r="P254" s="10">
        <f>+[2]称号計算!V259</f>
        <v>1.43E-2</v>
      </c>
      <c r="Q254" s="10">
        <f>+[2]称号計算!W259</f>
        <v>1.43E-2</v>
      </c>
      <c r="R254" s="10">
        <f>+[2]称号計算!X259</f>
        <v>3.8199999999999998E-2</v>
      </c>
      <c r="S254" s="11">
        <f>+[2]称号計算!Y259</f>
        <v>0.28660000000000002</v>
      </c>
      <c r="T254" s="18">
        <f>+[2]称号計算!Z259</f>
        <v>2.5314999999999999</v>
      </c>
      <c r="U254" s="11">
        <v>1</v>
      </c>
    </row>
    <row r="255" spans="1:21">
      <c r="A255" s="12" t="s">
        <v>1166</v>
      </c>
      <c r="B255" s="23" t="s">
        <v>1526</v>
      </c>
      <c r="C255" s="27">
        <f>+[2]称号計算!I260</f>
        <v>0.7702</v>
      </c>
      <c r="D255" s="5">
        <f>+[2]称号計算!J260</f>
        <v>1.9816</v>
      </c>
      <c r="E255" s="5">
        <f>+[2]称号計算!K260</f>
        <v>0.11899999999999999</v>
      </c>
      <c r="F255" s="5">
        <f>+[2]称号計算!L260</f>
        <v>1.6994</v>
      </c>
      <c r="G255" s="5">
        <f>+[2]称号計算!M260</f>
        <v>0.55469999999999997</v>
      </c>
      <c r="H255" s="13">
        <f>+[2]称号計算!N260</f>
        <v>0.68179999999999996</v>
      </c>
      <c r="I255" s="27">
        <f>+[2]称号計算!O260</f>
        <v>0.48599999999999999</v>
      </c>
      <c r="J255" s="13">
        <f>+[2]称号計算!P260</f>
        <v>0.42709999999999998</v>
      </c>
      <c r="K255" s="27">
        <f>+[2]称号計算!Q260</f>
        <v>0.31409999999999999</v>
      </c>
      <c r="L255" s="5">
        <f>+[2]称号計算!R260</f>
        <v>0.61180000000000001</v>
      </c>
      <c r="M255" s="13">
        <f>+[2]称号計算!S260</f>
        <v>0.53290000000000004</v>
      </c>
      <c r="N255" s="27">
        <f>+[2]称号計算!T260</f>
        <v>1.77E-2</v>
      </c>
      <c r="O255" s="5">
        <f>+[2]称号計算!U260</f>
        <v>1.77E-2</v>
      </c>
      <c r="P255" s="5">
        <f>+[2]称号計算!V260</f>
        <v>1.77E-2</v>
      </c>
      <c r="Q255" s="5">
        <f>+[2]称号計算!W260</f>
        <v>1.77E-2</v>
      </c>
      <c r="R255" s="5">
        <f>+[2]称号計算!X260</f>
        <v>4.7100000000000003E-2</v>
      </c>
      <c r="S255" s="13">
        <f>+[2]称号計算!Y260</f>
        <v>0.3533</v>
      </c>
      <c r="T255" s="19">
        <f>+[2]称号計算!Z260</f>
        <v>2.5899000000000001</v>
      </c>
      <c r="U255" s="13">
        <v>1</v>
      </c>
    </row>
    <row r="256" spans="1:21">
      <c r="A256" s="12" t="s">
        <v>1167</v>
      </c>
      <c r="B256" s="23" t="s">
        <v>1527</v>
      </c>
      <c r="C256" s="27">
        <f>+[2]称号計算!I261</f>
        <v>0.88859999999999995</v>
      </c>
      <c r="D256" s="5">
        <f>+[2]称号計算!J261</f>
        <v>0.97750000000000004</v>
      </c>
      <c r="E256" s="5">
        <f>+[2]称号計算!K261</f>
        <v>0.20200000000000001</v>
      </c>
      <c r="F256" s="5">
        <f>+[2]称号計算!L261</f>
        <v>2.0196000000000001</v>
      </c>
      <c r="G256" s="5">
        <f>+[2]称号計算!M261</f>
        <v>0.65229999999999999</v>
      </c>
      <c r="H256" s="13">
        <f>+[2]称号計算!N261</f>
        <v>0.75529999999999997</v>
      </c>
      <c r="I256" s="27">
        <f>+[2]称号計算!O261</f>
        <v>0.622</v>
      </c>
      <c r="J256" s="13">
        <f>+[2]称号計算!P261</f>
        <v>0.54259999999999997</v>
      </c>
      <c r="K256" s="27">
        <f>+[2]称号計算!Q261</f>
        <v>0.4088</v>
      </c>
      <c r="L256" s="5">
        <f>+[2]称号計算!R261</f>
        <v>0.88859999999999995</v>
      </c>
      <c r="M256" s="13">
        <f>+[2]称号計算!S261</f>
        <v>0.61070000000000002</v>
      </c>
      <c r="N256" s="27">
        <f>+[2]称号計算!T261</f>
        <v>1.5100000000000001E-2</v>
      </c>
      <c r="O256" s="5">
        <f>+[2]称号計算!U261</f>
        <v>1.5100000000000001E-2</v>
      </c>
      <c r="P256" s="5">
        <f>+[2]称号計算!V261</f>
        <v>1.5100000000000001E-2</v>
      </c>
      <c r="Q256" s="5">
        <f>+[2]称号計算!W261</f>
        <v>1.5100000000000001E-2</v>
      </c>
      <c r="R256" s="5">
        <f>+[2]称号計算!X261</f>
        <v>0.30159999999999998</v>
      </c>
      <c r="S256" s="13">
        <f>+[2]称号計算!Y261</f>
        <v>4.02E-2</v>
      </c>
      <c r="T256" s="19">
        <f>+[2]称号計算!Z261</f>
        <v>2.8083999999999998</v>
      </c>
      <c r="U256" s="13">
        <v>0.9</v>
      </c>
    </row>
    <row r="257" spans="1:21">
      <c r="A257" s="12" t="s">
        <v>1168</v>
      </c>
      <c r="B257" s="23" t="s">
        <v>1528</v>
      </c>
      <c r="C257" s="27">
        <f>+[2]称号計算!I262</f>
        <v>0.81930000000000003</v>
      </c>
      <c r="D257" s="5">
        <f>+[2]称号計算!J262</f>
        <v>0.39450000000000002</v>
      </c>
      <c r="E257" s="5">
        <f>+[2]称号計算!K262</f>
        <v>2.2989000000000002</v>
      </c>
      <c r="F257" s="5">
        <f>+[2]称号計算!L262</f>
        <v>0.16089999999999999</v>
      </c>
      <c r="G257" s="5">
        <f>+[2]称号計算!M262</f>
        <v>0.58620000000000005</v>
      </c>
      <c r="H257" s="13">
        <f>+[2]称号計算!N262</f>
        <v>0.61750000000000005</v>
      </c>
      <c r="I257" s="27">
        <f>+[2]称号計算!O262</f>
        <v>0.70799999999999996</v>
      </c>
      <c r="J257" s="13">
        <f>+[2]称号計算!P262</f>
        <v>0.57779999999999998</v>
      </c>
      <c r="K257" s="27">
        <f>+[2]称号計算!Q262</f>
        <v>0.67769999999999997</v>
      </c>
      <c r="L257" s="5">
        <f>+[2]称号計算!R262</f>
        <v>1.6275999999999999</v>
      </c>
      <c r="M257" s="13">
        <f>+[2]称号計算!S262</f>
        <v>0.48920000000000002</v>
      </c>
      <c r="N257" s="27">
        <f>+[2]称号計算!T262</f>
        <v>1.3299999999999999E-2</v>
      </c>
      <c r="O257" s="5">
        <f>+[2]称号計算!U262</f>
        <v>1.3299999999999999E-2</v>
      </c>
      <c r="P257" s="5">
        <f>+[2]称号計算!V262</f>
        <v>1.3299999999999999E-2</v>
      </c>
      <c r="Q257" s="5">
        <f>+[2]称号計算!W262</f>
        <v>1.3299999999999999E-2</v>
      </c>
      <c r="R257" s="5">
        <f>+[2]称号計算!X262</f>
        <v>0.2651</v>
      </c>
      <c r="S257" s="13">
        <f>+[2]称号計算!Y262</f>
        <v>3.5400000000000001E-2</v>
      </c>
      <c r="T257" s="19">
        <f>+[2]称号計算!Z262</f>
        <v>3.4586000000000001</v>
      </c>
      <c r="U257" s="13">
        <v>0.55000000000000004</v>
      </c>
    </row>
    <row r="258" spans="1:21">
      <c r="A258" s="12" t="s">
        <v>1169</v>
      </c>
      <c r="B258" s="23" t="s">
        <v>1529</v>
      </c>
      <c r="C258" s="27">
        <f>+[2]称号計算!I263</f>
        <v>0.69379999999999997</v>
      </c>
      <c r="D258" s="5">
        <f>+[2]称号計算!J263</f>
        <v>0.29899999999999999</v>
      </c>
      <c r="E258" s="5">
        <f>+[2]称号計算!K263</f>
        <v>2.7185999999999999</v>
      </c>
      <c r="F258" s="5">
        <f>+[2]称号計算!L263</f>
        <v>0.13589999999999999</v>
      </c>
      <c r="G258" s="5">
        <f>+[2]称号計算!M263</f>
        <v>0.50839999999999996</v>
      </c>
      <c r="H258" s="13">
        <f>+[2]称号計算!N263</f>
        <v>0.51759999999999995</v>
      </c>
      <c r="I258" s="27">
        <f>+[2]称号計算!O263</f>
        <v>0.95689999999999997</v>
      </c>
      <c r="J258" s="13">
        <f>+[2]称号計算!P263</f>
        <v>0.91890000000000005</v>
      </c>
      <c r="K258" s="27">
        <f>+[2]称号計算!Q263</f>
        <v>0.68179999999999996</v>
      </c>
      <c r="L258" s="5">
        <f>+[2]称号計算!R263</f>
        <v>1.1853</v>
      </c>
      <c r="M258" s="13">
        <f>+[2]称号計算!S263</f>
        <v>0.73080000000000001</v>
      </c>
      <c r="N258" s="27">
        <f>+[2]称号計算!T263</f>
        <v>1.01E-2</v>
      </c>
      <c r="O258" s="5">
        <f>+[2]称号計算!U263</f>
        <v>1.01E-2</v>
      </c>
      <c r="P258" s="5">
        <f>+[2]称号計算!V263</f>
        <v>1.01E-2</v>
      </c>
      <c r="Q258" s="5">
        <f>+[2]称号計算!W263</f>
        <v>1.01E-2</v>
      </c>
      <c r="R258" s="5">
        <f>+[2]称号計算!X263</f>
        <v>2.69E-2</v>
      </c>
      <c r="S258" s="13">
        <f>+[2]称号計算!Y263</f>
        <v>0.2019</v>
      </c>
      <c r="T258" s="19">
        <f>+[2]称号計算!Z263</f>
        <v>3.3492999999999999</v>
      </c>
      <c r="U258" s="13">
        <v>0.5</v>
      </c>
    </row>
    <row r="259" spans="1:21" ht="19.5" thickBot="1">
      <c r="A259" s="14" t="s">
        <v>1170</v>
      </c>
      <c r="B259" s="24" t="s">
        <v>1530</v>
      </c>
      <c r="C259" s="28">
        <f>+[2]称号計算!I264</f>
        <v>1.1596</v>
      </c>
      <c r="D259" s="15">
        <f>+[2]称号計算!J264</f>
        <v>1.8222</v>
      </c>
      <c r="E259" s="15">
        <f>+[2]称号計算!K264</f>
        <v>0.15809999999999999</v>
      </c>
      <c r="F259" s="15">
        <f>+[2]称号計算!L264</f>
        <v>1.8825000000000001</v>
      </c>
      <c r="G259" s="15">
        <f>+[2]称号計算!M264</f>
        <v>0.60799999999999998</v>
      </c>
      <c r="H259" s="16">
        <f>+[2]称号計算!N264</f>
        <v>1.0752999999999999</v>
      </c>
      <c r="I259" s="28">
        <f>+[2]称号計算!O264</f>
        <v>0.95250000000000001</v>
      </c>
      <c r="J259" s="16">
        <f>+[2]称号計算!P264</f>
        <v>0.63629999999999998</v>
      </c>
      <c r="K259" s="28">
        <f>+[2]称号計算!Q264</f>
        <v>0.1988</v>
      </c>
      <c r="L259" s="15">
        <f>+[2]称号計算!R264</f>
        <v>0.54210000000000003</v>
      </c>
      <c r="M259" s="16">
        <f>+[2]称号計算!S264</f>
        <v>0.70099999999999996</v>
      </c>
      <c r="N259" s="28">
        <f>+[2]称号計算!T264</f>
        <v>2.5700000000000001E-2</v>
      </c>
      <c r="O259" s="15">
        <f>+[2]称号計算!U264</f>
        <v>2.5700000000000001E-2</v>
      </c>
      <c r="P259" s="15">
        <f>+[2]称号計算!V264</f>
        <v>2.5700000000000001E-2</v>
      </c>
      <c r="Q259" s="15">
        <f>+[2]称号計算!W264</f>
        <v>2.5700000000000001E-2</v>
      </c>
      <c r="R259" s="15">
        <f>+[2]称号計算!X264</f>
        <v>0.5141</v>
      </c>
      <c r="S259" s="16">
        <f>+[2]称号計算!Y264</f>
        <v>6.8500000000000005E-2</v>
      </c>
      <c r="T259" s="20">
        <f>+[2]称号計算!Z264</f>
        <v>2.5964</v>
      </c>
      <c r="U259" s="16">
        <v>0.25</v>
      </c>
    </row>
    <row r="260" spans="1:21">
      <c r="A260" s="9" t="s">
        <v>1171</v>
      </c>
      <c r="B260" s="22" t="s">
        <v>1531</v>
      </c>
      <c r="C260" s="26">
        <f>+[2]称号計算!I265</f>
        <v>0.8911</v>
      </c>
      <c r="D260" s="10">
        <f>+[2]称号計算!J265</f>
        <v>1.0692999999999999</v>
      </c>
      <c r="E260" s="10">
        <f>+[2]称号計算!K265</f>
        <v>0.14180000000000001</v>
      </c>
      <c r="F260" s="10">
        <f>+[2]称号計算!L265</f>
        <v>2.0253000000000001</v>
      </c>
      <c r="G260" s="10">
        <f>+[2]称号計算!M265</f>
        <v>0.66100000000000003</v>
      </c>
      <c r="H260" s="11">
        <f>+[2]称号計算!N265</f>
        <v>0.70240000000000002</v>
      </c>
      <c r="I260" s="26">
        <f>+[2]称号計算!O265</f>
        <v>0.40100000000000002</v>
      </c>
      <c r="J260" s="11">
        <f>+[2]称号計算!P265</f>
        <v>0.49149999999999999</v>
      </c>
      <c r="K260" s="26">
        <f>+[2]称号計算!Q265</f>
        <v>0.3654</v>
      </c>
      <c r="L260" s="10">
        <f>+[2]称号計算!R265</f>
        <v>0.74529999999999996</v>
      </c>
      <c r="M260" s="11">
        <f>+[2]称号計算!S265</f>
        <v>0.60680000000000001</v>
      </c>
      <c r="N260" s="26">
        <f>+[2]称号計算!T265</f>
        <v>2.4299999999999999E-2</v>
      </c>
      <c r="O260" s="10">
        <f>+[2]称号計算!U265</f>
        <v>2.4299999999999999E-2</v>
      </c>
      <c r="P260" s="10">
        <f>+[2]称号計算!V265</f>
        <v>2.4299999999999999E-2</v>
      </c>
      <c r="Q260" s="10">
        <f>+[2]称号計算!W265</f>
        <v>2.4299999999999999E-2</v>
      </c>
      <c r="R260" s="10">
        <f>+[2]称号計算!X265</f>
        <v>6.4799999999999996E-2</v>
      </c>
      <c r="S260" s="11">
        <f>+[2]称号計算!Y265</f>
        <v>0.48599999999999999</v>
      </c>
      <c r="T260" s="18">
        <f>+[2]称号計算!Z265</f>
        <v>2.5427</v>
      </c>
      <c r="U260" s="11">
        <v>1</v>
      </c>
    </row>
    <row r="261" spans="1:21">
      <c r="A261" s="12" t="s">
        <v>1172</v>
      </c>
      <c r="B261" s="23" t="s">
        <v>1532</v>
      </c>
      <c r="C261" s="27">
        <f>+[2]称号計算!I266</f>
        <v>0.8649</v>
      </c>
      <c r="D261" s="5">
        <f>+[2]称号計算!J266</f>
        <v>0.94010000000000005</v>
      </c>
      <c r="E261" s="5">
        <f>+[2]称号計算!K266</f>
        <v>0.2137</v>
      </c>
      <c r="F261" s="5">
        <f>+[2]称号計算!L266</f>
        <v>2.1366999999999998</v>
      </c>
      <c r="G261" s="5">
        <f>+[2]称号計算!M266</f>
        <v>0.69020000000000004</v>
      </c>
      <c r="H261" s="13">
        <f>+[2]称号計算!N266</f>
        <v>0.76280000000000003</v>
      </c>
      <c r="I261" s="27">
        <f>+[2]称号計算!O266</f>
        <v>0.47010000000000002</v>
      </c>
      <c r="J261" s="13">
        <f>+[2]称号計算!P266</f>
        <v>0.55549999999999999</v>
      </c>
      <c r="K261" s="27">
        <f>+[2]称号計算!Q266</f>
        <v>0.37609999999999999</v>
      </c>
      <c r="L261" s="5">
        <f>+[2]称号計算!R266</f>
        <v>0.89739999999999998</v>
      </c>
      <c r="M261" s="13">
        <f>+[2]称号計算!S266</f>
        <v>0.59830000000000005</v>
      </c>
      <c r="N261" s="27">
        <f>+[2]称号計算!T266</f>
        <v>1.7000000000000001E-2</v>
      </c>
      <c r="O261" s="5">
        <f>+[2]称号計算!U266</f>
        <v>1.7000000000000001E-2</v>
      </c>
      <c r="P261" s="5">
        <f>+[2]称号計算!V266</f>
        <v>1.7000000000000001E-2</v>
      </c>
      <c r="Q261" s="5">
        <f>+[2]称号計算!W266</f>
        <v>1.7000000000000001E-2</v>
      </c>
      <c r="R261" s="5">
        <f>+[2]称号計算!X266</f>
        <v>0.3402</v>
      </c>
      <c r="S261" s="13">
        <f>+[2]称号計算!Y266</f>
        <v>4.5400000000000003E-2</v>
      </c>
      <c r="T261" s="19">
        <f>+[2]称号計算!Z266</f>
        <v>2.6461999999999999</v>
      </c>
      <c r="U261" s="13">
        <v>1</v>
      </c>
    </row>
    <row r="262" spans="1:21">
      <c r="A262" s="12" t="s">
        <v>1173</v>
      </c>
      <c r="B262" s="23" t="s">
        <v>1533</v>
      </c>
      <c r="C262" s="27">
        <f>+[2]称号計算!I267</f>
        <v>0.73009999999999997</v>
      </c>
      <c r="D262" s="5">
        <f>+[2]称号計算!J267</f>
        <v>0.93730000000000002</v>
      </c>
      <c r="E262" s="5">
        <f>+[2]称号計算!K267</f>
        <v>0.1457</v>
      </c>
      <c r="F262" s="5">
        <f>+[2]称号計算!L267</f>
        <v>2.2422</v>
      </c>
      <c r="G262" s="5">
        <f>+[2]称号計算!M267</f>
        <v>0.54890000000000005</v>
      </c>
      <c r="H262" s="13">
        <f>+[2]称号計算!N267</f>
        <v>0.64039999999999997</v>
      </c>
      <c r="I262" s="27">
        <f>+[2]称号計算!O267</f>
        <v>0.49330000000000002</v>
      </c>
      <c r="J262" s="13">
        <f>+[2]称号計算!P267</f>
        <v>0.54410000000000003</v>
      </c>
      <c r="K262" s="27">
        <f>+[2]称号計算!Q267</f>
        <v>0.66100000000000003</v>
      </c>
      <c r="L262" s="5">
        <f>+[2]称号計算!R267</f>
        <v>1.3902000000000001</v>
      </c>
      <c r="M262" s="13">
        <f>+[2]称号計算!S267</f>
        <v>0.5776</v>
      </c>
      <c r="N262" s="27">
        <f>+[2]称号計算!T267</f>
        <v>1.7100000000000001E-2</v>
      </c>
      <c r="O262" s="5">
        <f>+[2]称号計算!U267</f>
        <v>1.7100000000000001E-2</v>
      </c>
      <c r="P262" s="5">
        <f>+[2]称号計算!V267</f>
        <v>6.4199999999999993E-2</v>
      </c>
      <c r="Q262" s="5">
        <f>+[2]称号計算!W267</f>
        <v>0.25659999999999999</v>
      </c>
      <c r="R262" s="5">
        <f>+[2]称号計算!X267</f>
        <v>1.2800000000000001E-2</v>
      </c>
      <c r="S262" s="13">
        <f>+[2]称号計算!Y267</f>
        <v>1.2800000000000001E-2</v>
      </c>
      <c r="T262" s="19">
        <f>+[2]称号計算!Z267</f>
        <v>3.4405999999999999</v>
      </c>
      <c r="U262" s="13">
        <v>0.9</v>
      </c>
    </row>
    <row r="263" spans="1:21">
      <c r="A263" s="12" t="s">
        <v>1174</v>
      </c>
      <c r="B263" s="23" t="s">
        <v>1534</v>
      </c>
      <c r="C263" s="27">
        <f>+[2]称号計算!I268</f>
        <v>0.62370000000000003</v>
      </c>
      <c r="D263" s="5">
        <f>+[2]称号計算!J268</f>
        <v>0.28349999999999997</v>
      </c>
      <c r="E263" s="5">
        <f>+[2]称号計算!K268</f>
        <v>2.1476000000000002</v>
      </c>
      <c r="F263" s="5">
        <f>+[2]称号計算!L268</f>
        <v>0.1181</v>
      </c>
      <c r="G263" s="5">
        <f>+[2]称号計算!M268</f>
        <v>0.5111</v>
      </c>
      <c r="H263" s="13">
        <f>+[2]称号計算!N268</f>
        <v>0.51839999999999997</v>
      </c>
      <c r="I263" s="27">
        <f>+[2]称号計算!O268</f>
        <v>1.9843999999999999</v>
      </c>
      <c r="J263" s="13">
        <f>+[2]称号計算!P268</f>
        <v>0.66259999999999997</v>
      </c>
      <c r="K263" s="27">
        <f>+[2]称号計算!Q268</f>
        <v>0.76539999999999997</v>
      </c>
      <c r="L263" s="5">
        <f>+[2]称号計算!R268</f>
        <v>1.3401000000000001</v>
      </c>
      <c r="M263" s="13">
        <f>+[2]称号計算!S268</f>
        <v>0.36080000000000001</v>
      </c>
      <c r="N263" s="27">
        <f>+[2]称号計算!T268</f>
        <v>1.6899999999999998E-2</v>
      </c>
      <c r="O263" s="5">
        <f>+[2]称号計算!U268</f>
        <v>1.6899999999999998E-2</v>
      </c>
      <c r="P263" s="5">
        <f>+[2]称号計算!V268</f>
        <v>6.3299999999999995E-2</v>
      </c>
      <c r="Q263" s="5">
        <f>+[2]称号計算!W268</f>
        <v>0.25340000000000001</v>
      </c>
      <c r="R263" s="5">
        <f>+[2]称号計算!X268</f>
        <v>1.2699999999999999E-2</v>
      </c>
      <c r="S263" s="13">
        <f>+[2]称号計算!Y268</f>
        <v>1.2699999999999999E-2</v>
      </c>
      <c r="T263" s="19">
        <f>+[2]称号計算!Z268</f>
        <v>3.9592000000000001</v>
      </c>
      <c r="U263" s="13">
        <v>0.55000000000000004</v>
      </c>
    </row>
    <row r="264" spans="1:21">
      <c r="A264" s="12" t="s">
        <v>1175</v>
      </c>
      <c r="B264" s="23" t="s">
        <v>1535</v>
      </c>
      <c r="C264" s="27">
        <f>+[2]称号計算!I269</f>
        <v>0.88149999999999995</v>
      </c>
      <c r="D264" s="5">
        <f>+[2]称号計算!J269</f>
        <v>0.57850000000000001</v>
      </c>
      <c r="E264" s="5">
        <f>+[2]称号計算!K269</f>
        <v>2.5042</v>
      </c>
      <c r="F264" s="5">
        <f>+[2]称号計算!L269</f>
        <v>0.17530000000000001</v>
      </c>
      <c r="G264" s="5">
        <f>+[2]称号計算!M269</f>
        <v>0.65559999999999996</v>
      </c>
      <c r="H264" s="13">
        <f>+[2]称号計算!N269</f>
        <v>0.70669999999999999</v>
      </c>
      <c r="I264" s="27">
        <f>+[2]称号計算!O269</f>
        <v>0.71619999999999995</v>
      </c>
      <c r="J264" s="13">
        <f>+[2]称号計算!P269</f>
        <v>0.63370000000000004</v>
      </c>
      <c r="K264" s="27">
        <f>+[2]称号計算!Q269</f>
        <v>0.85499999999999998</v>
      </c>
      <c r="L264" s="5">
        <f>+[2]称号計算!R269</f>
        <v>1.2921</v>
      </c>
      <c r="M264" s="13">
        <f>+[2]称号計算!S269</f>
        <v>0.72219999999999995</v>
      </c>
      <c r="N264" s="27">
        <f>+[2]称号計算!T269</f>
        <v>1.6299999999999999E-2</v>
      </c>
      <c r="O264" s="5">
        <f>+[2]称号計算!U269</f>
        <v>1.6299999999999999E-2</v>
      </c>
      <c r="P264" s="5">
        <f>+[2]称号計算!V269</f>
        <v>1.6299999999999999E-2</v>
      </c>
      <c r="Q264" s="5">
        <f>+[2]称号計算!W269</f>
        <v>1.6299999999999999E-2</v>
      </c>
      <c r="R264" s="5">
        <f>+[2]称号計算!X269</f>
        <v>0.3266</v>
      </c>
      <c r="S264" s="13">
        <f>+[2]称号計算!Y269</f>
        <v>4.3499999999999997E-2</v>
      </c>
      <c r="T264" s="19">
        <f>+[2]称号計算!Z269</f>
        <v>4.0396000000000001</v>
      </c>
      <c r="U264" s="13">
        <v>0.5</v>
      </c>
    </row>
    <row r="265" spans="1:21" ht="19.5" thickBot="1">
      <c r="A265" s="14" t="s">
        <v>1176</v>
      </c>
      <c r="B265" s="24" t="s">
        <v>1536</v>
      </c>
      <c r="C265" s="28">
        <f>+[2]称号計算!I270</f>
        <v>1.2277</v>
      </c>
      <c r="D265" s="15">
        <f>+[2]称号計算!J270</f>
        <v>1.0230999999999999</v>
      </c>
      <c r="E265" s="15">
        <f>+[2]称号計算!K270</f>
        <v>0.23250000000000001</v>
      </c>
      <c r="F265" s="15">
        <f>+[2]称号計算!L270</f>
        <v>2.3252999999999999</v>
      </c>
      <c r="G265" s="15">
        <f>+[2]称号計算!M270</f>
        <v>1.0278</v>
      </c>
      <c r="H265" s="16">
        <f>+[2]称号計算!N270</f>
        <v>0.67200000000000004</v>
      </c>
      <c r="I265" s="28">
        <f>+[2]称号計算!O270</f>
        <v>0.81850000000000001</v>
      </c>
      <c r="J265" s="16">
        <f>+[2]称号計算!P270</f>
        <v>0.64490000000000003</v>
      </c>
      <c r="K265" s="28">
        <f>+[2]称号計算!Q270</f>
        <v>0.57289999999999996</v>
      </c>
      <c r="L265" s="15">
        <f>+[2]称号計算!R270</f>
        <v>0.93010000000000004</v>
      </c>
      <c r="M265" s="16">
        <f>+[2]称号計算!S270</f>
        <v>0.65110000000000001</v>
      </c>
      <c r="N265" s="28">
        <f>+[2]称号計算!T270</f>
        <v>2.1499999999999998E-2</v>
      </c>
      <c r="O265" s="15">
        <f>+[2]称号計算!U270</f>
        <v>2.1499999999999998E-2</v>
      </c>
      <c r="P265" s="15">
        <f>+[2]称号計算!V270</f>
        <v>2.1499999999999998E-2</v>
      </c>
      <c r="Q265" s="15">
        <f>+[2]称号計算!W270</f>
        <v>2.1499999999999998E-2</v>
      </c>
      <c r="R265" s="15">
        <f>+[2]称号計算!X270</f>
        <v>0.42930000000000001</v>
      </c>
      <c r="S265" s="16">
        <f>+[2]称号計算!Y270</f>
        <v>5.7200000000000001E-2</v>
      </c>
      <c r="T265" s="20">
        <f>+[2]称号計算!Z270</f>
        <v>3.6002999999999998</v>
      </c>
      <c r="U265" s="16">
        <v>0.25</v>
      </c>
    </row>
    <row r="266" spans="1:21">
      <c r="A266" s="9" t="s">
        <v>1177</v>
      </c>
      <c r="B266" s="22" t="s">
        <v>1537</v>
      </c>
      <c r="C266" s="26">
        <f>+[2]称号計算!I271</f>
        <v>0.79530000000000001</v>
      </c>
      <c r="D266" s="10">
        <f>+[2]称号計算!J271</f>
        <v>0.87290000000000001</v>
      </c>
      <c r="E266" s="10">
        <f>+[2]称号計算!K271</f>
        <v>0.22040000000000001</v>
      </c>
      <c r="F266" s="10">
        <f>+[2]称号計算!L271</f>
        <v>2.2044000000000001</v>
      </c>
      <c r="G266" s="10">
        <f>+[2]称号計算!M271</f>
        <v>0.6371</v>
      </c>
      <c r="H266" s="11">
        <f>+[2]称号計算!N271</f>
        <v>0.74950000000000006</v>
      </c>
      <c r="I266" s="26">
        <f>+[2]称号計算!O271</f>
        <v>0.48499999999999999</v>
      </c>
      <c r="J266" s="11">
        <f>+[2]称号計算!P271</f>
        <v>0.57310000000000005</v>
      </c>
      <c r="K266" s="26">
        <f>+[2]称号計算!Q271</f>
        <v>0.38800000000000001</v>
      </c>
      <c r="L266" s="10">
        <f>+[2]称号計算!R271</f>
        <v>0.88180000000000003</v>
      </c>
      <c r="M266" s="11">
        <f>+[2]称号計算!S271</f>
        <v>0.61719999999999997</v>
      </c>
      <c r="N266" s="26">
        <f>+[2]称号計算!T271</f>
        <v>1.55E-2</v>
      </c>
      <c r="O266" s="10">
        <f>+[2]称号計算!U271</f>
        <v>1.55E-2</v>
      </c>
      <c r="P266" s="10">
        <f>+[2]称号計算!V271</f>
        <v>1.55E-2</v>
      </c>
      <c r="Q266" s="10">
        <f>+[2]称号計算!W271</f>
        <v>1.55E-2</v>
      </c>
      <c r="R266" s="10">
        <f>+[2]称号計算!X271</f>
        <v>4.1300000000000003E-2</v>
      </c>
      <c r="S266" s="11">
        <f>+[2]称号計算!Y271</f>
        <v>0.31</v>
      </c>
      <c r="T266" s="18">
        <f>+[2]称号計算!Z271</f>
        <v>2.621</v>
      </c>
      <c r="U266" s="11">
        <v>1</v>
      </c>
    </row>
    <row r="267" spans="1:21">
      <c r="A267" s="12" t="s">
        <v>1178</v>
      </c>
      <c r="B267" s="23" t="s">
        <v>1538</v>
      </c>
      <c r="C267" s="27">
        <f>+[2]称号計算!I272</f>
        <v>1.0045999999999999</v>
      </c>
      <c r="D267" s="5">
        <f>+[2]称号計算!J272</f>
        <v>0.95889999999999997</v>
      </c>
      <c r="E267" s="5">
        <f>+[2]称号計算!K272</f>
        <v>0.20760000000000001</v>
      </c>
      <c r="F267" s="5">
        <f>+[2]称号計算!L272</f>
        <v>2.0756000000000001</v>
      </c>
      <c r="G267" s="5">
        <f>+[2]称号計算!M272</f>
        <v>0.77629999999999999</v>
      </c>
      <c r="H267" s="13">
        <f>+[2]称号計算!N272</f>
        <v>0.77629999999999999</v>
      </c>
      <c r="I267" s="27">
        <f>+[2]称号計算!O272</f>
        <v>0.63929999999999998</v>
      </c>
      <c r="J267" s="13">
        <f>+[2]称号計算!P272</f>
        <v>0.55759999999999998</v>
      </c>
      <c r="K267" s="27">
        <f>+[2]称号計算!Q272</f>
        <v>0.43840000000000001</v>
      </c>
      <c r="L267" s="5">
        <f>+[2]称号計算!R272</f>
        <v>0.83020000000000005</v>
      </c>
      <c r="M267" s="13">
        <f>+[2]称号計算!S272</f>
        <v>0.58120000000000005</v>
      </c>
      <c r="N267" s="27">
        <f>+[2]称号計算!T272</f>
        <v>0.3821</v>
      </c>
      <c r="O267" s="5">
        <f>+[2]称号計算!U272</f>
        <v>7.6399999999999996E-2</v>
      </c>
      <c r="P267" s="5">
        <f>+[2]称号計算!V272</f>
        <v>2.5499999999999998E-2</v>
      </c>
      <c r="Q267" s="5">
        <f>+[2]称号計算!W272</f>
        <v>2.5499999999999998E-2</v>
      </c>
      <c r="R267" s="5">
        <f>+[2]称号計算!X272</f>
        <v>1.9099999999999999E-2</v>
      </c>
      <c r="S267" s="13">
        <f>+[2]称号計算!Y272</f>
        <v>1.9099999999999999E-2</v>
      </c>
      <c r="T267" s="19">
        <f>+[2]称号計算!Z272</f>
        <v>2.9487000000000001</v>
      </c>
      <c r="U267" s="13">
        <v>1</v>
      </c>
    </row>
    <row r="268" spans="1:21">
      <c r="A268" s="12" t="s">
        <v>1179</v>
      </c>
      <c r="B268" s="23" t="s">
        <v>1539</v>
      </c>
      <c r="C268" s="27">
        <f>+[2]称号計算!I273</f>
        <v>1.1773</v>
      </c>
      <c r="D268" s="5">
        <f>+[2]称号計算!J273</f>
        <v>0.87380000000000002</v>
      </c>
      <c r="E268" s="5">
        <f>+[2]称号計算!K273</f>
        <v>0.1777</v>
      </c>
      <c r="F268" s="5">
        <f>+[2]称号計算!L273</f>
        <v>2.0903999999999998</v>
      </c>
      <c r="G268" s="5">
        <f>+[2]称号計算!M273</f>
        <v>0.87419999999999998</v>
      </c>
      <c r="H268" s="13">
        <f>+[2]称号計算!N273</f>
        <v>0.79600000000000004</v>
      </c>
      <c r="I268" s="27">
        <f>+[2]称号計算!O273</f>
        <v>0.64380000000000004</v>
      </c>
      <c r="J268" s="13">
        <f>+[2]称号計算!P273</f>
        <v>0.54349999999999998</v>
      </c>
      <c r="K268" s="27">
        <f>+[2]称号計算!Q273</f>
        <v>0.5151</v>
      </c>
      <c r="L268" s="5">
        <f>+[2]称号計算!R273</f>
        <v>1.2123999999999999</v>
      </c>
      <c r="M268" s="13">
        <f>+[2]称号計算!S273</f>
        <v>0.3629</v>
      </c>
      <c r="N268" s="27">
        <f>+[2]称号計算!T273</f>
        <v>0.41520000000000001</v>
      </c>
      <c r="O268" s="5">
        <f>+[2]称号計算!U273</f>
        <v>8.3000000000000004E-2</v>
      </c>
      <c r="P268" s="5">
        <f>+[2]称号計算!V273</f>
        <v>2.7699999999999999E-2</v>
      </c>
      <c r="Q268" s="5">
        <f>+[2]称号計算!W273</f>
        <v>2.7699999999999999E-2</v>
      </c>
      <c r="R268" s="5">
        <f>+[2]称号計算!X273</f>
        <v>2.0799999999999999E-2</v>
      </c>
      <c r="S268" s="13">
        <f>+[2]称号計算!Y273</f>
        <v>2.0799999999999999E-2</v>
      </c>
      <c r="T268" s="19">
        <f>+[2]称号計算!Z273</f>
        <v>3.2949999999999999</v>
      </c>
      <c r="U268" s="13">
        <v>0.9</v>
      </c>
    </row>
    <row r="269" spans="1:21">
      <c r="A269" s="12" t="s">
        <v>1180</v>
      </c>
      <c r="B269" s="23" t="s">
        <v>1540</v>
      </c>
      <c r="C269" s="27">
        <f>+[2]称号計算!I274</f>
        <v>1.2236</v>
      </c>
      <c r="D269" s="5">
        <f>+[2]称号計算!J274</f>
        <v>0.57099999999999995</v>
      </c>
      <c r="E269" s="5">
        <f>+[2]称号計算!K274</f>
        <v>2.3174999999999999</v>
      </c>
      <c r="F269" s="5">
        <f>+[2]称号計算!L274</f>
        <v>0.19239999999999999</v>
      </c>
      <c r="G269" s="5">
        <f>+[2]称号計算!M274</f>
        <v>0.5988</v>
      </c>
      <c r="H269" s="13">
        <f>+[2]称号計算!N274</f>
        <v>1.6547000000000001</v>
      </c>
      <c r="I269" s="27">
        <f>+[2]称号計算!O274</f>
        <v>0.50980000000000003</v>
      </c>
      <c r="J269" s="13">
        <f>+[2]称号計算!P274</f>
        <v>0.59050000000000002</v>
      </c>
      <c r="K269" s="27">
        <f>+[2]称号計算!Q274</f>
        <v>0.49969999999999998</v>
      </c>
      <c r="L269" s="5">
        <f>+[2]称号計算!R274</f>
        <v>0.92700000000000005</v>
      </c>
      <c r="M269" s="13">
        <f>+[2]称号計算!S274</f>
        <v>0.60350000000000004</v>
      </c>
      <c r="N269" s="27">
        <f>+[2]称号計算!T274</f>
        <v>3.2599999999999997E-2</v>
      </c>
      <c r="O269" s="5">
        <f>+[2]称号計算!U274</f>
        <v>3.2599999999999997E-2</v>
      </c>
      <c r="P269" s="5">
        <f>+[2]称号計算!V274</f>
        <v>0.1221</v>
      </c>
      <c r="Q269" s="5">
        <f>+[2]称号計算!W274</f>
        <v>0.48830000000000001</v>
      </c>
      <c r="R269" s="5">
        <f>+[2]称号計算!X274</f>
        <v>2.4400000000000002E-2</v>
      </c>
      <c r="S269" s="13">
        <f>+[2]称号計算!Y274</f>
        <v>2.4400000000000002E-2</v>
      </c>
      <c r="T269" s="19">
        <f>+[2]称号計算!Z274</f>
        <v>3.2564000000000002</v>
      </c>
      <c r="U269" s="13">
        <v>0.55000000000000004</v>
      </c>
    </row>
    <row r="270" spans="1:21">
      <c r="A270" s="12" t="s">
        <v>1181</v>
      </c>
      <c r="B270" s="23" t="s">
        <v>1541</v>
      </c>
      <c r="C270" s="27">
        <f>+[2]称号計算!I275</f>
        <v>0.98619999999999997</v>
      </c>
      <c r="D270" s="5">
        <f>+[2]称号計算!J275</f>
        <v>0.43830000000000002</v>
      </c>
      <c r="E270" s="5">
        <f>+[2]称号計算!K275</f>
        <v>2.4904999999999999</v>
      </c>
      <c r="F270" s="5">
        <f>+[2]称号計算!L275</f>
        <v>0.249</v>
      </c>
      <c r="G270" s="5">
        <f>+[2]称号計算!M275</f>
        <v>0.7621</v>
      </c>
      <c r="H270" s="13">
        <f>+[2]称号計算!N275</f>
        <v>0.7621</v>
      </c>
      <c r="I270" s="27">
        <f>+[2]称号計算!O275</f>
        <v>1.2054</v>
      </c>
      <c r="J270" s="13">
        <f>+[2]称号計算!P275</f>
        <v>0.75539999999999996</v>
      </c>
      <c r="K270" s="27">
        <f>+[2]称号計算!Q275</f>
        <v>0.65749999999999997</v>
      </c>
      <c r="L270" s="5">
        <f>+[2]称号計算!R275</f>
        <v>1.1755</v>
      </c>
      <c r="M270" s="13">
        <f>+[2]称号計算!S275</f>
        <v>0.62760000000000005</v>
      </c>
      <c r="N270" s="27">
        <f>+[2]称号計算!T275</f>
        <v>1.78E-2</v>
      </c>
      <c r="O270" s="5">
        <f>+[2]称号計算!U275</f>
        <v>1.78E-2</v>
      </c>
      <c r="P270" s="5">
        <f>+[2]称号計算!V275</f>
        <v>1.78E-2</v>
      </c>
      <c r="Q270" s="5">
        <f>+[2]称号計算!W275</f>
        <v>1.78E-2</v>
      </c>
      <c r="R270" s="5">
        <f>+[2]称号計算!X275</f>
        <v>4.7399999999999998E-2</v>
      </c>
      <c r="S270" s="13">
        <f>+[2]称号計算!Y275</f>
        <v>0.35589999999999999</v>
      </c>
      <c r="T270" s="19">
        <f>+[2]称号計算!Z275</f>
        <v>3.7069000000000001</v>
      </c>
      <c r="U270" s="13">
        <v>0.5</v>
      </c>
    </row>
    <row r="271" spans="1:21" ht="19.5" thickBot="1">
      <c r="A271" s="14" t="s">
        <v>1182</v>
      </c>
      <c r="B271" s="24" t="s">
        <v>1542</v>
      </c>
      <c r="C271" s="28">
        <f>+[2]称号計算!I276</f>
        <v>1.0101</v>
      </c>
      <c r="D271" s="15">
        <f>+[2]称号計算!J276</f>
        <v>1.776</v>
      </c>
      <c r="E271" s="15">
        <f>+[2]称号計算!K276</f>
        <v>0.18920000000000001</v>
      </c>
      <c r="F271" s="15">
        <f>+[2]称号計算!L276</f>
        <v>2.5226999999999999</v>
      </c>
      <c r="G271" s="15">
        <f>+[2]称号計算!M276</f>
        <v>0.75480000000000003</v>
      </c>
      <c r="H271" s="16">
        <f>+[2]称号計算!N276</f>
        <v>0.81479999999999997</v>
      </c>
      <c r="I271" s="28">
        <f>+[2]称号計算!O276</f>
        <v>0.44400000000000001</v>
      </c>
      <c r="J271" s="16">
        <f>+[2]称号計算!P276</f>
        <v>0.96199999999999997</v>
      </c>
      <c r="K271" s="28">
        <f>+[2]称号計算!Q276</f>
        <v>0.36630000000000001</v>
      </c>
      <c r="L271" s="15">
        <f>+[2]称号計算!R276</f>
        <v>0.64580000000000004</v>
      </c>
      <c r="M271" s="16">
        <f>+[2]称号計算!S276</f>
        <v>1.0454000000000001</v>
      </c>
      <c r="N271" s="28">
        <f>+[2]称号計算!T276</f>
        <v>1.9E-2</v>
      </c>
      <c r="O271" s="15">
        <f>+[2]称号計算!U276</f>
        <v>1.9E-2</v>
      </c>
      <c r="P271" s="15">
        <f>+[2]称号計算!V276</f>
        <v>1.9E-2</v>
      </c>
      <c r="Q271" s="15">
        <f>+[2]称号計算!W276</f>
        <v>1.9E-2</v>
      </c>
      <c r="R271" s="15">
        <f>+[2]称号計算!X276</f>
        <v>5.0500000000000003E-2</v>
      </c>
      <c r="S271" s="16">
        <f>+[2]称号計算!Y276</f>
        <v>0.37909999999999999</v>
      </c>
      <c r="T271" s="20">
        <f>+[2]称号計算!Z276</f>
        <v>3.0714999999999999</v>
      </c>
      <c r="U271" s="16">
        <v>0.25</v>
      </c>
    </row>
    <row r="272" spans="1:21">
      <c r="A272" s="9" t="s">
        <v>1183</v>
      </c>
      <c r="B272" s="22" t="s">
        <v>1543</v>
      </c>
      <c r="C272" s="26">
        <f>+[2]称号計算!I277</f>
        <v>0.89249999999999996</v>
      </c>
      <c r="D272" s="10">
        <f>+[2]称号計算!J277</f>
        <v>1.2941</v>
      </c>
      <c r="E272" s="10">
        <f>+[2]称号計算!K277</f>
        <v>0.20280000000000001</v>
      </c>
      <c r="F272" s="10">
        <f>+[2]称号計算!L277</f>
        <v>2.0284</v>
      </c>
      <c r="G272" s="10">
        <f>+[2]称号計算!M277</f>
        <v>0.68969999999999998</v>
      </c>
      <c r="H272" s="11">
        <f>+[2]称号計算!N277</f>
        <v>0.8276</v>
      </c>
      <c r="I272" s="26">
        <f>+[2]称号計算!O277</f>
        <v>0.53549999999999998</v>
      </c>
      <c r="J272" s="11">
        <f>+[2]称号計算!P277</f>
        <v>0.49220000000000003</v>
      </c>
      <c r="K272" s="26">
        <f>+[2]称号計算!Q277</f>
        <v>0.37490000000000001</v>
      </c>
      <c r="L272" s="10">
        <f>+[2]称号計算!R277</f>
        <v>0.77080000000000004</v>
      </c>
      <c r="M272" s="11">
        <f>+[2]称号計算!S277</f>
        <v>0.6532</v>
      </c>
      <c r="N272" s="26">
        <f>+[2]称号計算!T277</f>
        <v>1.9599999999999999E-2</v>
      </c>
      <c r="O272" s="10">
        <f>+[2]称号計算!U277</f>
        <v>1.9599999999999999E-2</v>
      </c>
      <c r="P272" s="10">
        <f>+[2]称号計算!V277</f>
        <v>1.9599999999999999E-2</v>
      </c>
      <c r="Q272" s="10">
        <f>+[2]称号計算!W277</f>
        <v>1.9599999999999999E-2</v>
      </c>
      <c r="R272" s="10">
        <f>+[2]称号計算!X277</f>
        <v>5.2299999999999999E-2</v>
      </c>
      <c r="S272" s="11">
        <f>+[2]称号計算!Y277</f>
        <v>0.39250000000000002</v>
      </c>
      <c r="T272" s="18">
        <f>+[2]称号計算!Z277</f>
        <v>2.7746</v>
      </c>
      <c r="U272" s="11">
        <v>1</v>
      </c>
    </row>
    <row r="273" spans="1:21">
      <c r="A273" s="12" t="s">
        <v>1184</v>
      </c>
      <c r="B273" s="23" t="s">
        <v>1544</v>
      </c>
      <c r="C273" s="27">
        <f>+[2]称号計算!I278</f>
        <v>0.92700000000000005</v>
      </c>
      <c r="D273" s="5">
        <f>+[2]称号計算!J278</f>
        <v>1.0622</v>
      </c>
      <c r="E273" s="5">
        <f>+[2]称号計算!K278</f>
        <v>0.1361</v>
      </c>
      <c r="F273" s="5">
        <f>+[2]称号計算!L278</f>
        <v>2.1947000000000001</v>
      </c>
      <c r="G273" s="5">
        <f>+[2]称号計算!M278</f>
        <v>0.6119</v>
      </c>
      <c r="H273" s="13">
        <f>+[2]称号計算!N278</f>
        <v>0.67900000000000005</v>
      </c>
      <c r="I273" s="27">
        <f>+[2]称号計算!O278</f>
        <v>0.57940000000000003</v>
      </c>
      <c r="J273" s="13">
        <f>+[2]称号計算!P278</f>
        <v>0.60870000000000002</v>
      </c>
      <c r="K273" s="27">
        <f>+[2]称号計算!Q278</f>
        <v>0.4345</v>
      </c>
      <c r="L273" s="5">
        <f>+[2]称号計算!R278</f>
        <v>0.79890000000000005</v>
      </c>
      <c r="M273" s="13">
        <f>+[2]称号計算!S278</f>
        <v>1.1676</v>
      </c>
      <c r="N273" s="27">
        <f>+[2]称号計算!T278</f>
        <v>1.6899999999999998E-2</v>
      </c>
      <c r="O273" s="5">
        <f>+[2]称号計算!U278</f>
        <v>1.6899999999999998E-2</v>
      </c>
      <c r="P273" s="5">
        <f>+[2]称号計算!V278</f>
        <v>1.6899999999999998E-2</v>
      </c>
      <c r="Q273" s="5">
        <f>+[2]称号計算!W278</f>
        <v>1.6899999999999998E-2</v>
      </c>
      <c r="R273" s="5">
        <f>+[2]称号計算!X278</f>
        <v>4.5100000000000001E-2</v>
      </c>
      <c r="S273" s="13">
        <f>+[2]称号計算!Y278</f>
        <v>0.33860000000000001</v>
      </c>
      <c r="T273" s="19">
        <f>+[2]称号計算!Z278</f>
        <v>2.99</v>
      </c>
      <c r="U273" s="13">
        <v>1</v>
      </c>
    </row>
    <row r="274" spans="1:21">
      <c r="A274" s="12" t="s">
        <v>1185</v>
      </c>
      <c r="B274" s="23" t="s">
        <v>1545</v>
      </c>
      <c r="C274" s="27">
        <f>+[2]称号計算!I279</f>
        <v>0.90759999999999996</v>
      </c>
      <c r="D274" s="5">
        <f>+[2]称号計算!J279</f>
        <v>2.3351000000000002</v>
      </c>
      <c r="E274" s="5">
        <f>+[2]称号計算!K279</f>
        <v>0.14019999999999999</v>
      </c>
      <c r="F274" s="5">
        <f>+[2]称号計算!L279</f>
        <v>2.0026999999999999</v>
      </c>
      <c r="G274" s="5">
        <f>+[2]称号計算!M279</f>
        <v>0.65369999999999995</v>
      </c>
      <c r="H274" s="13">
        <f>+[2]称号計算!N279</f>
        <v>0.80349999999999999</v>
      </c>
      <c r="I274" s="27">
        <f>+[2]称号計算!O279</f>
        <v>0.57279999999999998</v>
      </c>
      <c r="J274" s="13">
        <f>+[2]称号計算!P279</f>
        <v>0.50329999999999997</v>
      </c>
      <c r="K274" s="27">
        <f>+[2]称号計算!Q279</f>
        <v>0.37009999999999998</v>
      </c>
      <c r="L274" s="5">
        <f>+[2]称号計算!R279</f>
        <v>0.72099999999999997</v>
      </c>
      <c r="M274" s="13">
        <f>+[2]称号計算!S279</f>
        <v>0.628</v>
      </c>
      <c r="N274" s="27">
        <f>+[2]称号計算!T279</f>
        <v>2.0799999999999999E-2</v>
      </c>
      <c r="O274" s="5">
        <f>+[2]称号計算!U279</f>
        <v>2.0799999999999999E-2</v>
      </c>
      <c r="P274" s="5">
        <f>+[2]称号計算!V279</f>
        <v>2.0799999999999999E-2</v>
      </c>
      <c r="Q274" s="5">
        <f>+[2]称号計算!W279</f>
        <v>2.0799999999999999E-2</v>
      </c>
      <c r="R274" s="5">
        <f>+[2]称号計算!X279</f>
        <v>5.5500000000000001E-2</v>
      </c>
      <c r="S274" s="13">
        <f>+[2]称号計算!Y279</f>
        <v>0.41639999999999999</v>
      </c>
      <c r="T274" s="19">
        <f>+[2]称号計算!Z279</f>
        <v>3.052</v>
      </c>
      <c r="U274" s="13">
        <v>0.9</v>
      </c>
    </row>
    <row r="275" spans="1:21">
      <c r="A275" s="12" t="s">
        <v>1186</v>
      </c>
      <c r="B275" s="23" t="s">
        <v>1546</v>
      </c>
      <c r="C275" s="27">
        <f>+[2]称号計算!I280</f>
        <v>1.1009</v>
      </c>
      <c r="D275" s="5">
        <f>+[2]称号計算!J280</f>
        <v>0.59830000000000005</v>
      </c>
      <c r="E275" s="5">
        <f>+[2]称号計算!K280</f>
        <v>2.7197</v>
      </c>
      <c r="F275" s="5">
        <f>+[2]称号計算!L280</f>
        <v>0.27200000000000002</v>
      </c>
      <c r="G275" s="5">
        <f>+[2]称号計算!M280</f>
        <v>0.87849999999999995</v>
      </c>
      <c r="H275" s="13">
        <f>+[2]称号計算!N280</f>
        <v>0.97089999999999999</v>
      </c>
      <c r="I275" s="27">
        <f>+[2]称号計算!O280</f>
        <v>0.59830000000000005</v>
      </c>
      <c r="J275" s="13">
        <f>+[2]称号計算!P280</f>
        <v>0.70709999999999995</v>
      </c>
      <c r="K275" s="27">
        <f>+[2]称号計算!Q280</f>
        <v>0.47870000000000001</v>
      </c>
      <c r="L275" s="5">
        <f>+[2]称号計算!R280</f>
        <v>1.1423000000000001</v>
      </c>
      <c r="M275" s="13">
        <f>+[2]称号計算!S280</f>
        <v>0.60919999999999996</v>
      </c>
      <c r="N275" s="27">
        <f>+[2]称号計算!T280</f>
        <v>2.1000000000000001E-2</v>
      </c>
      <c r="O275" s="5">
        <f>+[2]称号計算!U280</f>
        <v>2.1000000000000001E-2</v>
      </c>
      <c r="P275" s="5">
        <f>+[2]称号計算!V280</f>
        <v>2.1000000000000001E-2</v>
      </c>
      <c r="Q275" s="5">
        <f>+[2]称号計算!W280</f>
        <v>2.1000000000000001E-2</v>
      </c>
      <c r="R275" s="5">
        <f>+[2]称号計算!X280</f>
        <v>5.5899999999999998E-2</v>
      </c>
      <c r="S275" s="13">
        <f>+[2]称号計算!Y280</f>
        <v>0.41920000000000002</v>
      </c>
      <c r="T275" s="19">
        <f>+[2]称号計算!Z280</f>
        <v>3.1347999999999998</v>
      </c>
      <c r="U275" s="13">
        <v>0.55000000000000004</v>
      </c>
    </row>
    <row r="276" spans="1:21">
      <c r="A276" s="12" t="s">
        <v>1187</v>
      </c>
      <c r="B276" s="23" t="s">
        <v>1547</v>
      </c>
      <c r="C276" s="27">
        <f>+[2]称号計算!I281</f>
        <v>0.9617</v>
      </c>
      <c r="D276" s="5">
        <f>+[2]称号計算!J281</f>
        <v>0.46300000000000002</v>
      </c>
      <c r="E276" s="5">
        <f>+[2]称号計算!K281</f>
        <v>2.6983000000000001</v>
      </c>
      <c r="F276" s="5">
        <f>+[2]称号計算!L281</f>
        <v>0.18890000000000001</v>
      </c>
      <c r="G276" s="5">
        <f>+[2]称号計算!M281</f>
        <v>0.68810000000000004</v>
      </c>
      <c r="H276" s="13">
        <f>+[2]称号計算!N281</f>
        <v>0.7248</v>
      </c>
      <c r="I276" s="27">
        <f>+[2]称号計算!O281</f>
        <v>0.83109999999999995</v>
      </c>
      <c r="J276" s="13">
        <f>+[2]称号計算!P281</f>
        <v>0.67820000000000003</v>
      </c>
      <c r="K276" s="27">
        <f>+[2]称号計算!Q281</f>
        <v>0.79549999999999998</v>
      </c>
      <c r="L276" s="5">
        <f>+[2]称号計算!R281</f>
        <v>1.9104000000000001</v>
      </c>
      <c r="M276" s="13">
        <f>+[2]称号計算!S281</f>
        <v>0.57420000000000004</v>
      </c>
      <c r="N276" s="27">
        <f>+[2]称号計算!T281</f>
        <v>1.5599999999999999E-2</v>
      </c>
      <c r="O276" s="5">
        <f>+[2]称号計算!U281</f>
        <v>1.5599999999999999E-2</v>
      </c>
      <c r="P276" s="5">
        <f>+[2]称号計算!V281</f>
        <v>1.5599999999999999E-2</v>
      </c>
      <c r="Q276" s="5">
        <f>+[2]称号計算!W281</f>
        <v>1.5599999999999999E-2</v>
      </c>
      <c r="R276" s="5">
        <f>+[2]称号計算!X281</f>
        <v>4.1500000000000002E-2</v>
      </c>
      <c r="S276" s="13">
        <f>+[2]称号計算!Y281</f>
        <v>0.31119999999999998</v>
      </c>
      <c r="T276" s="19">
        <f>+[2]称号計算!Z281</f>
        <v>4.0595999999999997</v>
      </c>
      <c r="U276" s="13">
        <v>0.5</v>
      </c>
    </row>
    <row r="277" spans="1:21" ht="19.5" thickBot="1">
      <c r="A277" s="14" t="s">
        <v>1188</v>
      </c>
      <c r="B277" s="24" t="s">
        <v>1548</v>
      </c>
      <c r="C277" s="28">
        <f>+[2]称号計算!I282</f>
        <v>0.89239999999999997</v>
      </c>
      <c r="D277" s="15">
        <f>+[2]称号計算!J282</f>
        <v>1.4692000000000001</v>
      </c>
      <c r="E277" s="15">
        <f>+[2]称号計算!K282</f>
        <v>0.1484</v>
      </c>
      <c r="F277" s="15">
        <f>+[2]称号計算!L282</f>
        <v>2.4733999999999998</v>
      </c>
      <c r="G277" s="15">
        <f>+[2]称号計算!M282</f>
        <v>0.68120000000000003</v>
      </c>
      <c r="H277" s="16">
        <f>+[2]称号計算!N282</f>
        <v>0.73160000000000003</v>
      </c>
      <c r="I277" s="28">
        <f>+[2]称号計算!O282</f>
        <v>1.306</v>
      </c>
      <c r="J277" s="16">
        <f>+[2]称号計算!P282</f>
        <v>1.0931999999999999</v>
      </c>
      <c r="K277" s="28">
        <f>+[2]称号計算!Q282</f>
        <v>0.50060000000000004</v>
      </c>
      <c r="L277" s="15">
        <f>+[2]称号計算!R282</f>
        <v>0.67279999999999995</v>
      </c>
      <c r="M277" s="16">
        <f>+[2]称号計算!S282</f>
        <v>0.98340000000000005</v>
      </c>
      <c r="N277" s="28">
        <f>+[2]称号計算!T282</f>
        <v>1.7100000000000001E-2</v>
      </c>
      <c r="O277" s="15">
        <f>+[2]称号計算!U282</f>
        <v>1.7100000000000001E-2</v>
      </c>
      <c r="P277" s="15">
        <f>+[2]称号計算!V282</f>
        <v>1.7100000000000001E-2</v>
      </c>
      <c r="Q277" s="15">
        <f>+[2]称号計算!W282</f>
        <v>1.7100000000000001E-2</v>
      </c>
      <c r="R277" s="15">
        <f>+[2]称号計算!X282</f>
        <v>4.5600000000000002E-2</v>
      </c>
      <c r="S277" s="16">
        <f>+[2]称号計算!Y282</f>
        <v>0.3417</v>
      </c>
      <c r="T277" s="20">
        <f>+[2]称号計算!Z282</f>
        <v>3.5899000000000001</v>
      </c>
      <c r="U277" s="16">
        <v>0.25</v>
      </c>
    </row>
    <row r="278" spans="1:21">
      <c r="A278" s="9" t="s">
        <v>1189</v>
      </c>
      <c r="B278" s="22" t="s">
        <v>1549</v>
      </c>
      <c r="C278" s="26">
        <f>+[2]称号計算!I283</f>
        <v>1.4939</v>
      </c>
      <c r="D278" s="10">
        <f>+[2]称号計算!J283</f>
        <v>1.1725000000000001</v>
      </c>
      <c r="E278" s="10">
        <f>+[2]称号計算!K283</f>
        <v>0.1283</v>
      </c>
      <c r="F278" s="10">
        <f>+[2]称号計算!L283</f>
        <v>1.9739</v>
      </c>
      <c r="G278" s="10">
        <f>+[2]称号計算!M283</f>
        <v>1.1007</v>
      </c>
      <c r="H278" s="11">
        <f>+[2]称号計算!N283</f>
        <v>1.0403</v>
      </c>
      <c r="I278" s="26">
        <f>+[2]称号計算!O283</f>
        <v>0.30399999999999999</v>
      </c>
      <c r="J278" s="11">
        <f>+[2]称号計算!P283</f>
        <v>0.47899999999999998</v>
      </c>
      <c r="K278" s="26">
        <f>+[2]称号計算!Q283</f>
        <v>0.2606</v>
      </c>
      <c r="L278" s="10">
        <f>+[2]称号計算!R283</f>
        <v>0.47370000000000001</v>
      </c>
      <c r="M278" s="11">
        <f>+[2]称号計算!S283</f>
        <v>0.68540000000000001</v>
      </c>
      <c r="N278" s="26">
        <f>+[2]称号計算!T283</f>
        <v>2.7E-2</v>
      </c>
      <c r="O278" s="10">
        <f>+[2]称号計算!U283</f>
        <v>2.7E-2</v>
      </c>
      <c r="P278" s="10">
        <f>+[2]称号計算!V283</f>
        <v>2.7E-2</v>
      </c>
      <c r="Q278" s="10">
        <f>+[2]称号計算!W283</f>
        <v>2.7E-2</v>
      </c>
      <c r="R278" s="10">
        <f>+[2]称号計算!X283</f>
        <v>7.1900000000000006E-2</v>
      </c>
      <c r="S278" s="11">
        <f>+[2]称号計算!Y283</f>
        <v>0.53939999999999999</v>
      </c>
      <c r="T278" s="18">
        <f>+[2]称号計算!Z283</f>
        <v>2.5817999999999999</v>
      </c>
      <c r="U278" s="11">
        <v>1</v>
      </c>
    </row>
    <row r="279" spans="1:21">
      <c r="A279" s="12" t="s">
        <v>1190</v>
      </c>
      <c r="B279" s="23" t="s">
        <v>1550</v>
      </c>
      <c r="C279" s="27">
        <f>+[2]称号計算!I284</f>
        <v>1.0525</v>
      </c>
      <c r="D279" s="5">
        <f>+[2]称号計算!J284</f>
        <v>1.2629999999999999</v>
      </c>
      <c r="E279" s="5">
        <f>+[2]称号計算!K284</f>
        <v>0.16739999999999999</v>
      </c>
      <c r="F279" s="5">
        <f>+[2]称号計算!L284</f>
        <v>2.3919999999999999</v>
      </c>
      <c r="G279" s="5">
        <f>+[2]称号計算!M284</f>
        <v>0.78080000000000005</v>
      </c>
      <c r="H279" s="13">
        <f>+[2]称号計算!N284</f>
        <v>0.8296</v>
      </c>
      <c r="I279" s="27">
        <f>+[2]称号計算!O284</f>
        <v>0.47360000000000002</v>
      </c>
      <c r="J279" s="13">
        <f>+[2]称号計算!P284</f>
        <v>0.58050000000000002</v>
      </c>
      <c r="K279" s="27">
        <f>+[2]称号計算!Q284</f>
        <v>0.43149999999999999</v>
      </c>
      <c r="L279" s="5">
        <f>+[2]称号計算!R284</f>
        <v>0.88029999999999997</v>
      </c>
      <c r="M279" s="13">
        <f>+[2]称号計算!S284</f>
        <v>0.7167</v>
      </c>
      <c r="N279" s="27">
        <f>+[2]称号計算!T284</f>
        <v>2.87E-2</v>
      </c>
      <c r="O279" s="5">
        <f>+[2]称号計算!U284</f>
        <v>2.87E-2</v>
      </c>
      <c r="P279" s="5">
        <f>+[2]称号計算!V284</f>
        <v>2.87E-2</v>
      </c>
      <c r="Q279" s="5">
        <f>+[2]称号計算!W284</f>
        <v>2.87E-2</v>
      </c>
      <c r="R279" s="5">
        <f>+[2]称号計算!X284</f>
        <v>7.6499999999999999E-2</v>
      </c>
      <c r="S279" s="13">
        <f>+[2]称号計算!Y284</f>
        <v>0.57410000000000005</v>
      </c>
      <c r="T279" s="19">
        <f>+[2]称号計算!Z284</f>
        <v>3.0032000000000001</v>
      </c>
      <c r="U279" s="13">
        <v>1</v>
      </c>
    </row>
    <row r="280" spans="1:21">
      <c r="A280" s="12" t="s">
        <v>1191</v>
      </c>
      <c r="B280" s="23" t="s">
        <v>1551</v>
      </c>
      <c r="C280" s="27">
        <f>+[2]称号計算!I285</f>
        <v>1.0193000000000001</v>
      </c>
      <c r="D280" s="5">
        <f>+[2]称号計算!J285</f>
        <v>1.1079000000000001</v>
      </c>
      <c r="E280" s="5">
        <f>+[2]称号計算!K285</f>
        <v>0.25180000000000002</v>
      </c>
      <c r="F280" s="5">
        <f>+[2]称号計算!L285</f>
        <v>2.5179999999999998</v>
      </c>
      <c r="G280" s="5">
        <f>+[2]称号計算!M285</f>
        <v>0.81330000000000002</v>
      </c>
      <c r="H280" s="13">
        <f>+[2]称号計算!N285</f>
        <v>0.89890000000000003</v>
      </c>
      <c r="I280" s="27">
        <f>+[2]称号計算!O285</f>
        <v>0.55389999999999995</v>
      </c>
      <c r="J280" s="13">
        <f>+[2]称号計算!P285</f>
        <v>0.65469999999999995</v>
      </c>
      <c r="K280" s="27">
        <f>+[2]称号計算!Q285</f>
        <v>0.44319999999999998</v>
      </c>
      <c r="L280" s="5">
        <f>+[2]称号計算!R285</f>
        <v>1.0575000000000001</v>
      </c>
      <c r="M280" s="13">
        <f>+[2]称号計算!S285</f>
        <v>0.70499999999999996</v>
      </c>
      <c r="N280" s="27">
        <f>+[2]称号計算!T285</f>
        <v>0.02</v>
      </c>
      <c r="O280" s="5">
        <f>+[2]称号計算!U285</f>
        <v>0.02</v>
      </c>
      <c r="P280" s="5">
        <f>+[2]称号計算!V285</f>
        <v>0.02</v>
      </c>
      <c r="Q280" s="5">
        <f>+[2]称号計算!W285</f>
        <v>0.02</v>
      </c>
      <c r="R280" s="5">
        <f>+[2]称号計算!X285</f>
        <v>5.3499999999999999E-2</v>
      </c>
      <c r="S280" s="13">
        <f>+[2]称号計算!Y285</f>
        <v>0.40089999999999998</v>
      </c>
      <c r="T280" s="19">
        <f>+[2]称号計算!Z285</f>
        <v>3.1183999999999998</v>
      </c>
      <c r="U280" s="13">
        <v>0.9</v>
      </c>
    </row>
    <row r="281" spans="1:21">
      <c r="A281" s="12" t="s">
        <v>1192</v>
      </c>
      <c r="B281" s="23" t="s">
        <v>1552</v>
      </c>
      <c r="C281" s="27">
        <f>+[2]称号計算!I286</f>
        <v>0.89129999999999998</v>
      </c>
      <c r="D281" s="5">
        <f>+[2]称号計算!J286</f>
        <v>0.4178</v>
      </c>
      <c r="E281" s="5">
        <f>+[2]称号計算!K286</f>
        <v>2.5320999999999998</v>
      </c>
      <c r="F281" s="5">
        <f>+[2]称号計算!L286</f>
        <v>0.19239999999999999</v>
      </c>
      <c r="G281" s="5">
        <f>+[2]称号計算!M286</f>
        <v>0.70599999999999996</v>
      </c>
      <c r="H281" s="13">
        <f>+[2]称号計算!N286</f>
        <v>0.65429999999999999</v>
      </c>
      <c r="I281" s="27">
        <f>+[2]称号計算!O286</f>
        <v>1.4483999999999999</v>
      </c>
      <c r="J281" s="13">
        <f>+[2]称号計算!P286</f>
        <v>0.74609999999999999</v>
      </c>
      <c r="K281" s="27">
        <f>+[2]称号計算!Q286</f>
        <v>0.66849999999999998</v>
      </c>
      <c r="L281" s="5">
        <f>+[2]称号計算!R286</f>
        <v>1.0736000000000001</v>
      </c>
      <c r="M281" s="13">
        <f>+[2]称号計算!S286</f>
        <v>1.1486000000000001</v>
      </c>
      <c r="N281" s="27">
        <f>+[2]称号計算!T286</f>
        <v>1.72E-2</v>
      </c>
      <c r="O281" s="5">
        <f>+[2]称号計算!U286</f>
        <v>1.72E-2</v>
      </c>
      <c r="P281" s="5">
        <f>+[2]称号計算!V286</f>
        <v>1.72E-2</v>
      </c>
      <c r="Q281" s="5">
        <f>+[2]称号計算!W286</f>
        <v>1.72E-2</v>
      </c>
      <c r="R281" s="5">
        <f>+[2]称号計算!X286</f>
        <v>4.58E-2</v>
      </c>
      <c r="S281" s="13">
        <f>+[2]称号計算!Y286</f>
        <v>0.34370000000000001</v>
      </c>
      <c r="T281" s="19">
        <f>+[2]称号計算!Z286</f>
        <v>3.8422999999999998</v>
      </c>
      <c r="U281" s="13">
        <v>0.55000000000000004</v>
      </c>
    </row>
    <row r="282" spans="1:21">
      <c r="A282" s="12" t="s">
        <v>1193</v>
      </c>
      <c r="B282" s="23" t="s">
        <v>1553</v>
      </c>
      <c r="C282" s="27">
        <f>+[2]称号計算!I287</f>
        <v>0.73199999999999998</v>
      </c>
      <c r="D282" s="5">
        <f>+[2]称号計算!J287</f>
        <v>0.3327</v>
      </c>
      <c r="E282" s="5">
        <f>+[2]称号計算!K287</f>
        <v>2.5207999999999999</v>
      </c>
      <c r="F282" s="5">
        <f>+[2]称号計算!L287</f>
        <v>0.1386</v>
      </c>
      <c r="G282" s="5">
        <f>+[2]称号計算!M287</f>
        <v>0.6</v>
      </c>
      <c r="H282" s="13">
        <f>+[2]称号計算!N287</f>
        <v>0.60850000000000004</v>
      </c>
      <c r="I282" s="27">
        <f>+[2]称号計算!O287</f>
        <v>2.3292000000000002</v>
      </c>
      <c r="J282" s="13">
        <f>+[2]称号計算!P287</f>
        <v>0.77780000000000005</v>
      </c>
      <c r="K282" s="27">
        <f>+[2]称号計算!Q287</f>
        <v>0.89839999999999998</v>
      </c>
      <c r="L282" s="5">
        <f>+[2]称号計算!R287</f>
        <v>1.573</v>
      </c>
      <c r="M282" s="13">
        <f>+[2]称号計算!S287</f>
        <v>0.42349999999999999</v>
      </c>
      <c r="N282" s="27">
        <f>+[2]称号計算!T287</f>
        <v>1.49E-2</v>
      </c>
      <c r="O282" s="5">
        <f>+[2]称号計算!U287</f>
        <v>1.49E-2</v>
      </c>
      <c r="P282" s="5">
        <f>+[2]称号計算!V287</f>
        <v>1.49E-2</v>
      </c>
      <c r="Q282" s="5">
        <f>+[2]称号計算!W287</f>
        <v>1.49E-2</v>
      </c>
      <c r="R282" s="5">
        <f>+[2]称号計算!X287</f>
        <v>3.9699999999999999E-2</v>
      </c>
      <c r="S282" s="13">
        <f>+[2]称号計算!Y287</f>
        <v>0.2974</v>
      </c>
      <c r="T282" s="19">
        <f>+[2]称号計算!Z287</f>
        <v>4.6471999999999998</v>
      </c>
      <c r="U282" s="13">
        <v>0.5</v>
      </c>
    </row>
    <row r="283" spans="1:21" ht="19.5" thickBot="1">
      <c r="A283" s="14" t="s">
        <v>1194</v>
      </c>
      <c r="B283" s="24" t="s">
        <v>1554</v>
      </c>
      <c r="C283" s="28">
        <f>+[2]称号計算!I288</f>
        <v>0.95379999999999998</v>
      </c>
      <c r="D283" s="15">
        <f>+[2]称号計算!J288</f>
        <v>1.0866</v>
      </c>
      <c r="E283" s="15">
        <f>+[2]称号計算!K288</f>
        <v>0.1454</v>
      </c>
      <c r="F283" s="15">
        <f>+[2]称号計算!L288</f>
        <v>2.7439</v>
      </c>
      <c r="G283" s="15">
        <f>+[2]称号計算!M288</f>
        <v>0.79300000000000004</v>
      </c>
      <c r="H283" s="16">
        <f>+[2]称号計算!N288</f>
        <v>0.75570000000000004</v>
      </c>
      <c r="I283" s="28">
        <f>+[2]称号計算!O288</f>
        <v>0.78480000000000005</v>
      </c>
      <c r="J283" s="16">
        <f>+[2]称号計算!P288</f>
        <v>0.68959999999999999</v>
      </c>
      <c r="K283" s="28">
        <f>+[2]称号計算!Q288</f>
        <v>0.96589999999999998</v>
      </c>
      <c r="L283" s="15">
        <f>+[2]称号計算!R288</f>
        <v>1.8877999999999999</v>
      </c>
      <c r="M283" s="16">
        <f>+[2]称号計算!S288</f>
        <v>0.58389999999999997</v>
      </c>
      <c r="N283" s="28">
        <f>+[2]称号計算!T288</f>
        <v>1.6400000000000001E-2</v>
      </c>
      <c r="O283" s="15">
        <f>+[2]称号計算!U288</f>
        <v>1.6400000000000001E-2</v>
      </c>
      <c r="P283" s="15">
        <f>+[2]称号計算!V288</f>
        <v>1.6400000000000001E-2</v>
      </c>
      <c r="Q283" s="15">
        <f>+[2]称号計算!W288</f>
        <v>1.6400000000000001E-2</v>
      </c>
      <c r="R283" s="15">
        <f>+[2]称号計算!X288</f>
        <v>4.3700000000000003E-2</v>
      </c>
      <c r="S283" s="16">
        <f>+[2]称号計算!Y288</f>
        <v>0.32800000000000001</v>
      </c>
      <c r="T283" s="20">
        <f>+[2]称号計算!Z288</f>
        <v>4.8091999999999997</v>
      </c>
      <c r="U283" s="16">
        <v>0.25</v>
      </c>
    </row>
    <row r="284" spans="1:21">
      <c r="A284" s="9" t="s">
        <v>1195</v>
      </c>
      <c r="B284" s="22" t="s">
        <v>1555</v>
      </c>
      <c r="C284" s="26">
        <f>+[2]称号計算!I289</f>
        <v>1.0769</v>
      </c>
      <c r="D284" s="10">
        <f>+[2]称号計算!J289</f>
        <v>1.2981</v>
      </c>
      <c r="E284" s="10">
        <f>+[2]称号計算!K289</f>
        <v>0.14419999999999999</v>
      </c>
      <c r="F284" s="10">
        <f>+[2]称号計算!L289</f>
        <v>2.1852999999999998</v>
      </c>
      <c r="G284" s="10">
        <f>+[2]称号計算!M289</f>
        <v>1.4488000000000001</v>
      </c>
      <c r="H284" s="11">
        <f>+[2]称号計算!N289</f>
        <v>0.53500000000000003</v>
      </c>
      <c r="I284" s="26">
        <f>+[2]称号計算!O289</f>
        <v>0.52880000000000005</v>
      </c>
      <c r="J284" s="11">
        <f>+[2]称号計算!P289</f>
        <v>0.56820000000000004</v>
      </c>
      <c r="K284" s="26">
        <f>+[2]称号計算!Q289</f>
        <v>0.35580000000000001</v>
      </c>
      <c r="L284" s="10">
        <f>+[2]称号計算!R289</f>
        <v>0.76049999999999995</v>
      </c>
      <c r="M284" s="11">
        <f>+[2]称号計算!S289</f>
        <v>0.57520000000000004</v>
      </c>
      <c r="N284" s="26">
        <f>+[2]称号計算!T289</f>
        <v>2.3900000000000001E-2</v>
      </c>
      <c r="O284" s="10">
        <f>+[2]称号計算!U289</f>
        <v>2.3900000000000001E-2</v>
      </c>
      <c r="P284" s="10">
        <f>+[2]称号計算!V289</f>
        <v>2.3900000000000001E-2</v>
      </c>
      <c r="Q284" s="10">
        <f>+[2]称号計算!W289</f>
        <v>2.3900000000000001E-2</v>
      </c>
      <c r="R284" s="10">
        <f>+[2]称号計算!X289</f>
        <v>6.3700000000000007E-2</v>
      </c>
      <c r="S284" s="11">
        <f>+[2]称号計算!Y289</f>
        <v>0.47760000000000002</v>
      </c>
      <c r="T284" s="18">
        <f>+[2]称号計算!Z289</f>
        <v>2.8693</v>
      </c>
      <c r="U284" s="11">
        <v>1</v>
      </c>
    </row>
    <row r="285" spans="1:21">
      <c r="A285" s="12" t="s">
        <v>1196</v>
      </c>
      <c r="B285" s="23" t="s">
        <v>1556</v>
      </c>
      <c r="C285" s="27">
        <f>+[2]称号計算!I290</f>
        <v>0.93940000000000001</v>
      </c>
      <c r="D285" s="5">
        <f>+[2]称号計算!J290</f>
        <v>1.0309999999999999</v>
      </c>
      <c r="E285" s="5">
        <f>+[2]称号計算!K290</f>
        <v>0.26040000000000002</v>
      </c>
      <c r="F285" s="5">
        <f>+[2]称号計算!L290</f>
        <v>2.6036000000000001</v>
      </c>
      <c r="G285" s="5">
        <f>+[2]称号計算!M290</f>
        <v>0.75239999999999996</v>
      </c>
      <c r="H285" s="13">
        <f>+[2]称号計算!N290</f>
        <v>0.88519999999999999</v>
      </c>
      <c r="I285" s="27">
        <f>+[2]称号計算!O290</f>
        <v>0.57279999999999998</v>
      </c>
      <c r="J285" s="13">
        <f>+[2]称号計算!P290</f>
        <v>0.67689999999999995</v>
      </c>
      <c r="K285" s="27">
        <f>+[2]称号計算!Q290</f>
        <v>0.4582</v>
      </c>
      <c r="L285" s="5">
        <f>+[2]称号計算!R290</f>
        <v>1.0415000000000001</v>
      </c>
      <c r="M285" s="13">
        <f>+[2]称号計算!S290</f>
        <v>0.72899999999999998</v>
      </c>
      <c r="N285" s="27">
        <f>+[2]称号計算!T290</f>
        <v>1.83E-2</v>
      </c>
      <c r="O285" s="5">
        <f>+[2]称号計算!U290</f>
        <v>1.83E-2</v>
      </c>
      <c r="P285" s="5">
        <f>+[2]称号計算!V290</f>
        <v>1.83E-2</v>
      </c>
      <c r="Q285" s="5">
        <f>+[2]称号計算!W290</f>
        <v>1.83E-2</v>
      </c>
      <c r="R285" s="5">
        <f>+[2]称号計算!X290</f>
        <v>4.8800000000000003E-2</v>
      </c>
      <c r="S285" s="13">
        <f>+[2]称号計算!Y290</f>
        <v>0.36620000000000003</v>
      </c>
      <c r="T285" s="19">
        <f>+[2]称号計算!Z290</f>
        <v>3.0956999999999999</v>
      </c>
      <c r="U285" s="13">
        <v>1</v>
      </c>
    </row>
    <row r="286" spans="1:21">
      <c r="A286" s="12" t="s">
        <v>1197</v>
      </c>
      <c r="B286" s="23" t="s">
        <v>1557</v>
      </c>
      <c r="C286" s="27">
        <f>+[2]称号計算!I291</f>
        <v>1.1838</v>
      </c>
      <c r="D286" s="5">
        <f>+[2]称号計算!J291</f>
        <v>1.1299999999999999</v>
      </c>
      <c r="E286" s="5">
        <f>+[2]称号計算!K291</f>
        <v>0.24460000000000001</v>
      </c>
      <c r="F286" s="5">
        <f>+[2]称号計算!L291</f>
        <v>2.4460000000000002</v>
      </c>
      <c r="G286" s="5">
        <f>+[2]称号計算!M291</f>
        <v>0.91479999999999995</v>
      </c>
      <c r="H286" s="13">
        <f>+[2]称号計算!N291</f>
        <v>0.91479999999999995</v>
      </c>
      <c r="I286" s="27">
        <f>+[2]称号計算!O291</f>
        <v>0.75339999999999996</v>
      </c>
      <c r="J286" s="13">
        <f>+[2]称号計算!P291</f>
        <v>0.65720000000000001</v>
      </c>
      <c r="K286" s="27">
        <f>+[2]称号計算!Q291</f>
        <v>0.51659999999999995</v>
      </c>
      <c r="L286" s="5">
        <f>+[2]称号計算!R291</f>
        <v>0.97840000000000005</v>
      </c>
      <c r="M286" s="13">
        <f>+[2]称号計算!S291</f>
        <v>0.68489999999999995</v>
      </c>
      <c r="N286" s="27">
        <f>+[2]称号計算!T291</f>
        <v>0.45029999999999998</v>
      </c>
      <c r="O286" s="5">
        <f>+[2]称号計算!U291</f>
        <v>9.01E-2</v>
      </c>
      <c r="P286" s="5">
        <f>+[2]称号計算!V291</f>
        <v>0.03</v>
      </c>
      <c r="Q286" s="5">
        <f>+[2]称号計算!W291</f>
        <v>0.03</v>
      </c>
      <c r="R286" s="5">
        <f>+[2]称号計算!X291</f>
        <v>2.2499999999999999E-2</v>
      </c>
      <c r="S286" s="13">
        <f>+[2]称号計算!Y291</f>
        <v>2.2499999999999999E-2</v>
      </c>
      <c r="T286" s="19">
        <f>+[2]称号計算!Z291</f>
        <v>3.4748000000000001</v>
      </c>
      <c r="U286" s="13">
        <v>0.9</v>
      </c>
    </row>
    <row r="287" spans="1:21">
      <c r="A287" s="12" t="s">
        <v>1198</v>
      </c>
      <c r="B287" s="23" t="s">
        <v>1558</v>
      </c>
      <c r="C287" s="27">
        <f>+[2]称号計算!I292</f>
        <v>1.1109</v>
      </c>
      <c r="D287" s="5">
        <f>+[2]称号計算!J292</f>
        <v>0.54339999999999999</v>
      </c>
      <c r="E287" s="5">
        <f>+[2]称号計算!K292</f>
        <v>2.7444000000000002</v>
      </c>
      <c r="F287" s="5">
        <f>+[2]称号計算!L292</f>
        <v>0.2195</v>
      </c>
      <c r="G287" s="5">
        <f>+[2]称号計算!M292</f>
        <v>0.85840000000000005</v>
      </c>
      <c r="H287" s="13">
        <f>+[2]称号計算!N292</f>
        <v>0.79310000000000003</v>
      </c>
      <c r="I287" s="27">
        <f>+[2]称号計算!O292</f>
        <v>0.84530000000000005</v>
      </c>
      <c r="J287" s="13">
        <f>+[2]称号計算!P292</f>
        <v>0.7611</v>
      </c>
      <c r="K287" s="27">
        <f>+[2]称号計算!Q292</f>
        <v>0.5917</v>
      </c>
      <c r="L287" s="5">
        <f>+[2]称号計算!R292</f>
        <v>1.0319</v>
      </c>
      <c r="M287" s="13">
        <f>+[2]称号計算!S292</f>
        <v>1.3985000000000001</v>
      </c>
      <c r="N287" s="27">
        <f>+[2]称号計算!T292</f>
        <v>1.8700000000000001E-2</v>
      </c>
      <c r="O287" s="5">
        <f>+[2]称号計算!U292</f>
        <v>1.8700000000000001E-2</v>
      </c>
      <c r="P287" s="5">
        <f>+[2]称号計算!V292</f>
        <v>1.8700000000000001E-2</v>
      </c>
      <c r="Q287" s="5">
        <f>+[2]称号計算!W292</f>
        <v>1.8700000000000001E-2</v>
      </c>
      <c r="R287" s="5">
        <f>+[2]称号計算!X292</f>
        <v>0.05</v>
      </c>
      <c r="S287" s="13">
        <f>+[2]称号計算!Y292</f>
        <v>0.37490000000000001</v>
      </c>
      <c r="T287" s="19">
        <f>+[2]称号計算!Z292</f>
        <v>3.6629999999999998</v>
      </c>
      <c r="U287" s="13">
        <v>0.55000000000000004</v>
      </c>
    </row>
    <row r="288" spans="1:21">
      <c r="A288" s="12" t="s">
        <v>1199</v>
      </c>
      <c r="B288" s="23" t="s">
        <v>1559</v>
      </c>
      <c r="C288" s="27">
        <f>+[2]称号計算!I293</f>
        <v>1.4362999999999999</v>
      </c>
      <c r="D288" s="5">
        <f>+[2]称号計算!J293</f>
        <v>0.67030000000000001</v>
      </c>
      <c r="E288" s="5">
        <f>+[2]称号計算!K293</f>
        <v>2.7202000000000002</v>
      </c>
      <c r="F288" s="5">
        <f>+[2]称号計算!L293</f>
        <v>0.2258</v>
      </c>
      <c r="G288" s="5">
        <f>+[2]称号計算!M293</f>
        <v>0.70289999999999997</v>
      </c>
      <c r="H288" s="13">
        <f>+[2]称号計算!N293</f>
        <v>1.9421999999999999</v>
      </c>
      <c r="I288" s="27">
        <f>+[2]称号計算!O293</f>
        <v>0.59840000000000004</v>
      </c>
      <c r="J288" s="13">
        <f>+[2]称号計算!P293</f>
        <v>0.69310000000000005</v>
      </c>
      <c r="K288" s="27">
        <f>+[2]称号計算!Q293</f>
        <v>0.58650000000000002</v>
      </c>
      <c r="L288" s="5">
        <f>+[2]称号計算!R293</f>
        <v>1.0881000000000001</v>
      </c>
      <c r="M288" s="13">
        <f>+[2]称号計算!S293</f>
        <v>0.70830000000000004</v>
      </c>
      <c r="N288" s="27">
        <f>+[2]称号計算!T293</f>
        <v>2.87E-2</v>
      </c>
      <c r="O288" s="5">
        <f>+[2]称号計算!U293</f>
        <v>2.87E-2</v>
      </c>
      <c r="P288" s="5">
        <f>+[2]称号計算!V293</f>
        <v>2.87E-2</v>
      </c>
      <c r="Q288" s="5">
        <f>+[2]称号計算!W293</f>
        <v>2.87E-2</v>
      </c>
      <c r="R288" s="5">
        <f>+[2]称号計算!X293</f>
        <v>7.6399999999999996E-2</v>
      </c>
      <c r="S288" s="13">
        <f>+[2]称号計算!Y293</f>
        <v>0.57320000000000004</v>
      </c>
      <c r="T288" s="19">
        <f>+[2]称号計算!Z293</f>
        <v>3.8222999999999998</v>
      </c>
      <c r="U288" s="13">
        <v>0.5</v>
      </c>
    </row>
    <row r="289" spans="1:21" ht="19.5" thickBot="1">
      <c r="A289" s="14" t="s">
        <v>1200</v>
      </c>
      <c r="B289" s="24" t="s">
        <v>1560</v>
      </c>
      <c r="C289" s="28">
        <f>+[2]称号計算!I294</f>
        <v>1.5430999999999999</v>
      </c>
      <c r="D289" s="15">
        <f>+[2]称号計算!J294</f>
        <v>1.2859</v>
      </c>
      <c r="E289" s="15">
        <f>+[2]称号計算!K294</f>
        <v>0.23380000000000001</v>
      </c>
      <c r="F289" s="15">
        <f>+[2]称号計算!L294</f>
        <v>2.3380999999999998</v>
      </c>
      <c r="G289" s="15">
        <f>+[2]称号計算!M294</f>
        <v>1.1923999999999999</v>
      </c>
      <c r="H289" s="16">
        <f>+[2]称号計算!N294</f>
        <v>1.1129</v>
      </c>
      <c r="I289" s="28">
        <f>+[2]称号計算!O294</f>
        <v>1.0287999999999999</v>
      </c>
      <c r="J289" s="16">
        <f>+[2]称号計算!P294</f>
        <v>0.70920000000000005</v>
      </c>
      <c r="K289" s="28">
        <f>+[2]称号計算!Q294</f>
        <v>0.49380000000000002</v>
      </c>
      <c r="L289" s="15">
        <f>+[2]称号計算!R294</f>
        <v>1.1223000000000001</v>
      </c>
      <c r="M289" s="16">
        <f>+[2]称号計算!S294</f>
        <v>0.78559999999999997</v>
      </c>
      <c r="N289" s="28">
        <f>+[2]称号計算!T294</f>
        <v>3.1300000000000001E-2</v>
      </c>
      <c r="O289" s="15">
        <f>+[2]称号計算!U294</f>
        <v>3.1300000000000001E-2</v>
      </c>
      <c r="P289" s="15">
        <f>+[2]称号計算!V294</f>
        <v>3.1300000000000001E-2</v>
      </c>
      <c r="Q289" s="15">
        <f>+[2]称号計算!W294</f>
        <v>3.1300000000000001E-2</v>
      </c>
      <c r="R289" s="15">
        <f>+[2]称号計算!X294</f>
        <v>8.3400000000000002E-2</v>
      </c>
      <c r="S289" s="16">
        <f>+[2]称号計算!Y294</f>
        <v>0.62549999999999994</v>
      </c>
      <c r="T289" s="20">
        <f>+[2]称号計算!Z294</f>
        <v>3.9485999999999999</v>
      </c>
      <c r="U289" s="16">
        <v>0.25</v>
      </c>
    </row>
    <row r="290" spans="1:21">
      <c r="A290" s="9" t="s">
        <v>1201</v>
      </c>
      <c r="B290" s="22" t="s">
        <v>1561</v>
      </c>
      <c r="C290" s="26">
        <f>+[2]称号計算!I295</f>
        <v>0.52380000000000004</v>
      </c>
      <c r="D290" s="10">
        <f>+[2]称号計算!J295</f>
        <v>1.4285000000000001</v>
      </c>
      <c r="E290" s="10">
        <f>+[2]称号計算!K295</f>
        <v>0.17319999999999999</v>
      </c>
      <c r="F290" s="10">
        <f>+[2]称号計算!L295</f>
        <v>2.1644000000000001</v>
      </c>
      <c r="G290" s="10">
        <f>+[2]称号計算!M295</f>
        <v>1.0669999999999999</v>
      </c>
      <c r="H290" s="11">
        <f>+[2]称号計算!N295</f>
        <v>1.6557999999999999</v>
      </c>
      <c r="I290" s="26">
        <f>+[2]称号計算!O295</f>
        <v>0.38090000000000002</v>
      </c>
      <c r="J290" s="11">
        <f>+[2]称号計算!P295</f>
        <v>0.51770000000000005</v>
      </c>
      <c r="K290" s="26">
        <f>+[2]称号計算!Q295</f>
        <v>0.41899999999999998</v>
      </c>
      <c r="L290" s="10">
        <f>+[2]称号計算!R295</f>
        <v>0.76190000000000002</v>
      </c>
      <c r="M290" s="11">
        <f>+[2]称号計算!S295</f>
        <v>0.76359999999999995</v>
      </c>
      <c r="N290" s="26">
        <f>+[2]称号計算!T295</f>
        <v>2.9600000000000001E-2</v>
      </c>
      <c r="O290" s="10">
        <f>+[2]称号計算!U295</f>
        <v>2.9600000000000001E-2</v>
      </c>
      <c r="P290" s="10">
        <f>+[2]称号計算!V295</f>
        <v>2.9600000000000001E-2</v>
      </c>
      <c r="Q290" s="10">
        <f>+[2]称号計算!W295</f>
        <v>2.9600000000000001E-2</v>
      </c>
      <c r="R290" s="10">
        <f>+[2]称号計算!X295</f>
        <v>7.8799999999999995E-2</v>
      </c>
      <c r="S290" s="11">
        <f>+[2]称号計算!Y295</f>
        <v>0.59130000000000005</v>
      </c>
      <c r="T290" s="18">
        <f>+[2]称号計算!Z295</f>
        <v>3.1758000000000002</v>
      </c>
      <c r="U290" s="11">
        <v>1</v>
      </c>
    </row>
    <row r="291" spans="1:21">
      <c r="A291" s="12" t="s">
        <v>1202</v>
      </c>
      <c r="B291" s="23" t="s">
        <v>1562</v>
      </c>
      <c r="C291" s="27">
        <f>+[2]称号計算!I296</f>
        <v>1.0542</v>
      </c>
      <c r="D291" s="5">
        <f>+[2]称号計算!J296</f>
        <v>1.5285</v>
      </c>
      <c r="E291" s="5">
        <f>+[2]称号計算!K296</f>
        <v>0.23960000000000001</v>
      </c>
      <c r="F291" s="5">
        <f>+[2]称号計算!L296</f>
        <v>2.3957999999999999</v>
      </c>
      <c r="G291" s="5">
        <f>+[2]称号計算!M296</f>
        <v>0.81459999999999999</v>
      </c>
      <c r="H291" s="13">
        <f>+[2]称号計算!N296</f>
        <v>0.97750000000000004</v>
      </c>
      <c r="I291" s="27">
        <f>+[2]称号計算!O296</f>
        <v>0.63249999999999995</v>
      </c>
      <c r="J291" s="13">
        <f>+[2]称号計算!P296</f>
        <v>0.58140000000000003</v>
      </c>
      <c r="K291" s="27">
        <f>+[2]称号計算!Q296</f>
        <v>0.44269999999999998</v>
      </c>
      <c r="L291" s="5">
        <f>+[2]称号計算!R296</f>
        <v>0.91039999999999999</v>
      </c>
      <c r="M291" s="13">
        <f>+[2]称号計算!S296</f>
        <v>0.77139999999999997</v>
      </c>
      <c r="N291" s="27">
        <f>+[2]称号計算!T296</f>
        <v>2.3199999999999998E-2</v>
      </c>
      <c r="O291" s="5">
        <f>+[2]称号計算!U296</f>
        <v>2.3199999999999998E-2</v>
      </c>
      <c r="P291" s="5">
        <f>+[2]称号計算!V296</f>
        <v>2.3199999999999998E-2</v>
      </c>
      <c r="Q291" s="5">
        <f>+[2]称号計算!W296</f>
        <v>2.3199999999999998E-2</v>
      </c>
      <c r="R291" s="5">
        <f>+[2]称号計算!X296</f>
        <v>0.46360000000000001</v>
      </c>
      <c r="S291" s="13">
        <f>+[2]称号計算!Y296</f>
        <v>6.1800000000000001E-2</v>
      </c>
      <c r="T291" s="19">
        <f>+[2]称号計算!Z296</f>
        <v>3.2770999999999999</v>
      </c>
      <c r="U291" s="13">
        <v>1</v>
      </c>
    </row>
    <row r="292" spans="1:21">
      <c r="A292" s="12" t="s">
        <v>1203</v>
      </c>
      <c r="B292" s="23" t="s">
        <v>1563</v>
      </c>
      <c r="C292" s="27">
        <f>+[2]称号計算!I297</f>
        <v>1.0924</v>
      </c>
      <c r="D292" s="5">
        <f>+[2]称号計算!J297</f>
        <v>1.2517</v>
      </c>
      <c r="E292" s="5">
        <f>+[2]称号計算!K297</f>
        <v>0.1603</v>
      </c>
      <c r="F292" s="5">
        <f>+[2]称号計算!L297</f>
        <v>2.5861999999999998</v>
      </c>
      <c r="G292" s="5">
        <f>+[2]称号計算!M297</f>
        <v>0.72099999999999997</v>
      </c>
      <c r="H292" s="13">
        <f>+[2]称号計算!N297</f>
        <v>0.80020000000000002</v>
      </c>
      <c r="I292" s="27">
        <f>+[2]称号計算!O297</f>
        <v>0.68279999999999996</v>
      </c>
      <c r="J292" s="13">
        <f>+[2]称号計算!P297</f>
        <v>0.71730000000000005</v>
      </c>
      <c r="K292" s="27">
        <f>+[2]称号計算!Q297</f>
        <v>0.5121</v>
      </c>
      <c r="L292" s="5">
        <f>+[2]称号計算!R297</f>
        <v>0.94140000000000001</v>
      </c>
      <c r="M292" s="13">
        <f>+[2]称号計算!S297</f>
        <v>1.3758999999999999</v>
      </c>
      <c r="N292" s="27">
        <f>+[2]称号計算!T297</f>
        <v>1.9900000000000001E-2</v>
      </c>
      <c r="O292" s="5">
        <f>+[2]称号計算!U297</f>
        <v>1.9900000000000001E-2</v>
      </c>
      <c r="P292" s="5">
        <f>+[2]称号計算!V297</f>
        <v>1.9900000000000001E-2</v>
      </c>
      <c r="Q292" s="5">
        <f>+[2]称号計算!W297</f>
        <v>1.9900000000000001E-2</v>
      </c>
      <c r="R292" s="5">
        <f>+[2]称号計算!X297</f>
        <v>5.3199999999999997E-2</v>
      </c>
      <c r="S292" s="13">
        <f>+[2]称号計算!Y297</f>
        <v>0.39900000000000002</v>
      </c>
      <c r="T292" s="19">
        <f>+[2]称号計算!Z297</f>
        <v>3.5234000000000001</v>
      </c>
      <c r="U292" s="13">
        <v>0.9</v>
      </c>
    </row>
    <row r="293" spans="1:21">
      <c r="A293" s="12" t="s">
        <v>1204</v>
      </c>
      <c r="B293" s="23" t="s">
        <v>1564</v>
      </c>
      <c r="C293" s="27">
        <f>+[2]称号計算!I298</f>
        <v>0.93430000000000002</v>
      </c>
      <c r="D293" s="5">
        <f>+[2]称号計算!J298</f>
        <v>0.3866</v>
      </c>
      <c r="E293" s="5">
        <f>+[2]称号計算!K298</f>
        <v>2.4407000000000001</v>
      </c>
      <c r="F293" s="5">
        <f>+[2]称号計算!L298</f>
        <v>0.15859999999999999</v>
      </c>
      <c r="G293" s="5">
        <f>+[2]称号計算!M298</f>
        <v>0.7137</v>
      </c>
      <c r="H293" s="13">
        <f>+[2]称号計算!N298</f>
        <v>0.63900000000000001</v>
      </c>
      <c r="I293" s="27">
        <f>+[2]称号計算!O298</f>
        <v>2.8995000000000002</v>
      </c>
      <c r="J293" s="13">
        <f>+[2]称号計算!P298</f>
        <v>0.85880000000000001</v>
      </c>
      <c r="K293" s="27">
        <f>+[2]称号計算!Q298</f>
        <v>0.59060000000000001</v>
      </c>
      <c r="L293" s="5">
        <f>+[2]称号計算!R298</f>
        <v>1.0153000000000001</v>
      </c>
      <c r="M293" s="13">
        <f>+[2]称号計算!S298</f>
        <v>0.69710000000000005</v>
      </c>
      <c r="N293" s="27">
        <f>+[2]称号計算!T298</f>
        <v>1.72E-2</v>
      </c>
      <c r="O293" s="5">
        <f>+[2]称号計算!U298</f>
        <v>1.72E-2</v>
      </c>
      <c r="P293" s="5">
        <f>+[2]称号計算!V298</f>
        <v>1.72E-2</v>
      </c>
      <c r="Q293" s="5">
        <f>+[2]称号計算!W298</f>
        <v>1.72E-2</v>
      </c>
      <c r="R293" s="5">
        <f>+[2]称号計算!X298</f>
        <v>4.5900000000000003E-2</v>
      </c>
      <c r="S293" s="13">
        <f>+[2]称号計算!Y298</f>
        <v>0.34460000000000002</v>
      </c>
      <c r="T293" s="19">
        <f>+[2]称号計算!Z298</f>
        <v>3.9984000000000002</v>
      </c>
      <c r="U293" s="13">
        <v>0.55000000000000004</v>
      </c>
    </row>
    <row r="294" spans="1:21">
      <c r="A294" s="12" t="s">
        <v>1205</v>
      </c>
      <c r="B294" s="23" t="s">
        <v>1565</v>
      </c>
      <c r="C294" s="27">
        <f>+[2]称号計算!I299</f>
        <v>1.2923</v>
      </c>
      <c r="D294" s="5">
        <f>+[2]称号計算!J299</f>
        <v>0.70230000000000004</v>
      </c>
      <c r="E294" s="5">
        <f>+[2]称号計算!K299</f>
        <v>3.1922999999999999</v>
      </c>
      <c r="F294" s="5">
        <f>+[2]称号計算!L299</f>
        <v>0.31919999999999998</v>
      </c>
      <c r="G294" s="5">
        <f>+[2]称号計算!M299</f>
        <v>1.0310999999999999</v>
      </c>
      <c r="H294" s="13">
        <f>+[2]称号計算!N299</f>
        <v>1.1396999999999999</v>
      </c>
      <c r="I294" s="27">
        <f>+[2]称号計算!O299</f>
        <v>0.70230000000000004</v>
      </c>
      <c r="J294" s="13">
        <f>+[2]称号計算!P299</f>
        <v>0.83</v>
      </c>
      <c r="K294" s="27">
        <f>+[2]称号計算!Q299</f>
        <v>0.56189999999999996</v>
      </c>
      <c r="L294" s="5">
        <f>+[2]称号計算!R299</f>
        <v>1.3408</v>
      </c>
      <c r="M294" s="13">
        <f>+[2]称号計算!S299</f>
        <v>0.71509999999999996</v>
      </c>
      <c r="N294" s="27">
        <f>+[2]称号計算!T299</f>
        <v>2.46E-2</v>
      </c>
      <c r="O294" s="5">
        <f>+[2]称号計算!U299</f>
        <v>2.46E-2</v>
      </c>
      <c r="P294" s="5">
        <f>+[2]称号計算!V299</f>
        <v>2.46E-2</v>
      </c>
      <c r="Q294" s="5">
        <f>+[2]称号計算!W299</f>
        <v>2.46E-2</v>
      </c>
      <c r="R294" s="5">
        <f>+[2]称号計算!X299</f>
        <v>0.49199999999999999</v>
      </c>
      <c r="S294" s="13">
        <f>+[2]称号計算!Y299</f>
        <v>6.5600000000000006E-2</v>
      </c>
      <c r="T294" s="19">
        <f>+[2]称号計算!Z299</f>
        <v>3.6795</v>
      </c>
      <c r="U294" s="13">
        <v>0.5</v>
      </c>
    </row>
    <row r="295" spans="1:21" ht="19.5" thickBot="1">
      <c r="A295" s="14" t="s">
        <v>1206</v>
      </c>
      <c r="B295" s="24" t="s">
        <v>1566</v>
      </c>
      <c r="C295" s="28">
        <f>+[2]称号計算!I300</f>
        <v>0.8226</v>
      </c>
      <c r="D295" s="15">
        <f>+[2]称号計算!J300</f>
        <v>1.3505</v>
      </c>
      <c r="E295" s="15">
        <f>+[2]称号計算!K300</f>
        <v>0.14510000000000001</v>
      </c>
      <c r="F295" s="15">
        <f>+[2]称号計算!L300</f>
        <v>2.7902999999999998</v>
      </c>
      <c r="G295" s="15">
        <f>+[2]称号計算!M300</f>
        <v>0.61660000000000004</v>
      </c>
      <c r="H295" s="16">
        <f>+[2]称号計算!N300</f>
        <v>0.75900000000000001</v>
      </c>
      <c r="I295" s="28">
        <f>+[2]称号計算!O300</f>
        <v>2.2099000000000002</v>
      </c>
      <c r="J295" s="16">
        <f>+[2]称号計算!P300</f>
        <v>0.89470000000000005</v>
      </c>
      <c r="K295" s="28">
        <f>+[2]称号計算!Q300</f>
        <v>0.50339999999999996</v>
      </c>
      <c r="L295" s="15">
        <f>+[2]称号計算!R300</f>
        <v>0.83709999999999996</v>
      </c>
      <c r="M295" s="16">
        <f>+[2]称号計算!S300</f>
        <v>1.3907</v>
      </c>
      <c r="N295" s="28">
        <f>+[2]称号計算!T300</f>
        <v>1.8700000000000001E-2</v>
      </c>
      <c r="O295" s="15">
        <f>+[2]称号計算!U300</f>
        <v>1.8700000000000001E-2</v>
      </c>
      <c r="P295" s="15">
        <f>+[2]称号計算!V300</f>
        <v>1.8700000000000001E-2</v>
      </c>
      <c r="Q295" s="15">
        <f>+[2]称号計算!W300</f>
        <v>1.8700000000000001E-2</v>
      </c>
      <c r="R295" s="15">
        <f>+[2]称号計算!X300</f>
        <v>0.3745</v>
      </c>
      <c r="S295" s="16">
        <f>+[2]称号計算!Y300</f>
        <v>4.99E-2</v>
      </c>
      <c r="T295" s="20">
        <f>+[2]称号計算!Z300</f>
        <v>3.867</v>
      </c>
      <c r="U295" s="16">
        <v>0.25</v>
      </c>
    </row>
    <row r="296" spans="1:21">
      <c r="A296" s="9" t="s">
        <v>1207</v>
      </c>
      <c r="B296" s="22" t="s">
        <v>1567</v>
      </c>
      <c r="C296" s="26">
        <f>+[2]称号計算!I301</f>
        <v>0.84</v>
      </c>
      <c r="D296" s="10">
        <f>+[2]称号計算!J301</f>
        <v>1.2384999999999999</v>
      </c>
      <c r="E296" s="10">
        <f>+[2]称号計算!K301</f>
        <v>0.24479999999999999</v>
      </c>
      <c r="F296" s="10">
        <f>+[2]称号計算!L301</f>
        <v>2.4476</v>
      </c>
      <c r="G296" s="10">
        <f>+[2]称号計算!M301</f>
        <v>0.62409999999999999</v>
      </c>
      <c r="H296" s="11">
        <f>+[2]称号計算!N301</f>
        <v>0.66569999999999996</v>
      </c>
      <c r="I296" s="26">
        <f>+[2]称号計算!O301</f>
        <v>1.1846000000000001</v>
      </c>
      <c r="J296" s="11">
        <f>+[2]称号計算!P301</f>
        <v>0.7</v>
      </c>
      <c r="K296" s="26">
        <f>+[2]称号計算!Q301</f>
        <v>0.47389999999999999</v>
      </c>
      <c r="L296" s="10">
        <f>+[2]称号計算!R301</f>
        <v>1.0769</v>
      </c>
      <c r="M296" s="11">
        <f>+[2]称号計算!S301</f>
        <v>0.75390000000000001</v>
      </c>
      <c r="N296" s="26">
        <f>+[2]称号計算!T301</f>
        <v>1.72E-2</v>
      </c>
      <c r="O296" s="10">
        <f>+[2]称号計算!U301</f>
        <v>1.72E-2</v>
      </c>
      <c r="P296" s="10">
        <f>+[2]称号計算!V301</f>
        <v>1.72E-2</v>
      </c>
      <c r="Q296" s="10">
        <f>+[2]称号計算!W301</f>
        <v>1.72E-2</v>
      </c>
      <c r="R296" s="10">
        <f>+[2]称号計算!X301</f>
        <v>0.34439999999999998</v>
      </c>
      <c r="S296" s="11">
        <f>+[2]称号計算!Y301</f>
        <v>4.5900000000000003E-2</v>
      </c>
      <c r="T296" s="18">
        <f>+[2]称号計算!Z301</f>
        <v>3.3028</v>
      </c>
      <c r="U296" s="11">
        <v>1</v>
      </c>
    </row>
    <row r="297" spans="1:21">
      <c r="A297" s="12" t="s">
        <v>1208</v>
      </c>
      <c r="B297" s="23" t="s">
        <v>1568</v>
      </c>
      <c r="C297" s="27">
        <f>+[2]称号計算!I302</f>
        <v>1.7644</v>
      </c>
      <c r="D297" s="5">
        <f>+[2]称号計算!J302</f>
        <v>1.3849</v>
      </c>
      <c r="E297" s="5">
        <f>+[2]称号計算!K302</f>
        <v>0.1515</v>
      </c>
      <c r="F297" s="5">
        <f>+[2]称号計算!L302</f>
        <v>2.3313999999999999</v>
      </c>
      <c r="G297" s="5">
        <f>+[2]称号計算!M302</f>
        <v>1.3</v>
      </c>
      <c r="H297" s="13">
        <f>+[2]称号計算!N302</f>
        <v>1.2286999999999999</v>
      </c>
      <c r="I297" s="27">
        <f>+[2]称号計算!O302</f>
        <v>0.35899999999999999</v>
      </c>
      <c r="J297" s="13">
        <f>+[2]称号計算!P302</f>
        <v>0.56579999999999997</v>
      </c>
      <c r="K297" s="27">
        <f>+[2]称号計算!Q302</f>
        <v>0.30769999999999997</v>
      </c>
      <c r="L297" s="5">
        <f>+[2]称号計算!R302</f>
        <v>0.5595</v>
      </c>
      <c r="M297" s="13">
        <f>+[2]称号計算!S302</f>
        <v>0.8095</v>
      </c>
      <c r="N297" s="27">
        <f>+[2]称号計算!T302</f>
        <v>3.1899999999999998E-2</v>
      </c>
      <c r="O297" s="5">
        <f>+[2]称号計算!U302</f>
        <v>3.1899999999999998E-2</v>
      </c>
      <c r="P297" s="5">
        <f>+[2]称号計算!V302</f>
        <v>3.1899999999999998E-2</v>
      </c>
      <c r="Q297" s="5">
        <f>+[2]称号計算!W302</f>
        <v>3.1899999999999998E-2</v>
      </c>
      <c r="R297" s="5">
        <f>+[2]称号計算!X302</f>
        <v>8.5000000000000006E-2</v>
      </c>
      <c r="S297" s="13">
        <f>+[2]称号計算!Y302</f>
        <v>0.6371</v>
      </c>
      <c r="T297" s="19">
        <f>+[2]称号計算!Z302</f>
        <v>3.0493999999999999</v>
      </c>
      <c r="U297" s="13">
        <v>1</v>
      </c>
    </row>
    <row r="298" spans="1:21">
      <c r="A298" s="12" t="s">
        <v>1209</v>
      </c>
      <c r="B298" s="23" t="s">
        <v>1569</v>
      </c>
      <c r="C298" s="27">
        <f>+[2]称号計算!I303</f>
        <v>1.2403</v>
      </c>
      <c r="D298" s="5">
        <f>+[2]称号計算!J303</f>
        <v>1.4883999999999999</v>
      </c>
      <c r="E298" s="5">
        <f>+[2]称号計算!K303</f>
        <v>0.1973</v>
      </c>
      <c r="F298" s="5">
        <f>+[2]称号計算!L303</f>
        <v>2.8189000000000002</v>
      </c>
      <c r="G298" s="5">
        <f>+[2]称号計算!M303</f>
        <v>0.92010000000000003</v>
      </c>
      <c r="H298" s="13">
        <f>+[2]称号計算!N303</f>
        <v>0.97760000000000002</v>
      </c>
      <c r="I298" s="27">
        <f>+[2]称号計算!O303</f>
        <v>0.55810000000000004</v>
      </c>
      <c r="J298" s="13">
        <f>+[2]称号計算!P303</f>
        <v>0.68400000000000005</v>
      </c>
      <c r="K298" s="27">
        <f>+[2]称号計算!Q303</f>
        <v>0.50849999999999995</v>
      </c>
      <c r="L298" s="5">
        <f>+[2]称号計算!R303</f>
        <v>1.0373000000000001</v>
      </c>
      <c r="M298" s="13">
        <f>+[2]称号計算!S303</f>
        <v>0.84450000000000003</v>
      </c>
      <c r="N298" s="27">
        <f>+[2]称号計算!T303</f>
        <v>3.3799999999999997E-2</v>
      </c>
      <c r="O298" s="5">
        <f>+[2]称号計算!U303</f>
        <v>3.3799999999999997E-2</v>
      </c>
      <c r="P298" s="5">
        <f>+[2]称号計算!V303</f>
        <v>3.3799999999999997E-2</v>
      </c>
      <c r="Q298" s="5">
        <f>+[2]称号計算!W303</f>
        <v>3.3799999999999997E-2</v>
      </c>
      <c r="R298" s="5">
        <f>+[2]称号計算!X303</f>
        <v>9.0200000000000002E-2</v>
      </c>
      <c r="S298" s="13">
        <f>+[2]称号計算!Y303</f>
        <v>0.67649999999999999</v>
      </c>
      <c r="T298" s="19">
        <f>+[2]称号計算!Z303</f>
        <v>3.5390999999999999</v>
      </c>
      <c r="U298" s="13">
        <v>0.9</v>
      </c>
    </row>
    <row r="299" spans="1:21">
      <c r="A299" s="12" t="s">
        <v>1210</v>
      </c>
      <c r="B299" s="23" t="s">
        <v>1570</v>
      </c>
      <c r="C299" s="27">
        <f>+[2]称号計算!I304</f>
        <v>1.6596</v>
      </c>
      <c r="D299" s="5">
        <f>+[2]称号計算!J304</f>
        <v>0.55320000000000003</v>
      </c>
      <c r="E299" s="5">
        <f>+[2]称号計算!K304</f>
        <v>2.794</v>
      </c>
      <c r="F299" s="5">
        <f>+[2]称号計算!L304</f>
        <v>0.27939999999999998</v>
      </c>
      <c r="G299" s="5">
        <f>+[2]称号計算!M304</f>
        <v>1.3299000000000001</v>
      </c>
      <c r="H299" s="13">
        <f>+[2]称号計算!N304</f>
        <v>0.94989999999999997</v>
      </c>
      <c r="I299" s="27">
        <f>+[2]称号計算!O304</f>
        <v>0.98350000000000004</v>
      </c>
      <c r="J299" s="13">
        <f>+[2]称号計算!P304</f>
        <v>0.77490000000000003</v>
      </c>
      <c r="K299" s="27">
        <f>+[2]称号計算!Q304</f>
        <v>0.66379999999999995</v>
      </c>
      <c r="L299" s="5">
        <f>+[2]称号計算!R304</f>
        <v>1.1735</v>
      </c>
      <c r="M299" s="13">
        <f>+[2]称号計算!S304</f>
        <v>0.62580000000000002</v>
      </c>
      <c r="N299" s="27">
        <f>+[2]称号計算!T304</f>
        <v>0.59409999999999996</v>
      </c>
      <c r="O299" s="5">
        <f>+[2]称号計算!U304</f>
        <v>0.1188</v>
      </c>
      <c r="P299" s="5">
        <f>+[2]称号計算!V304</f>
        <v>3.9600000000000003E-2</v>
      </c>
      <c r="Q299" s="5">
        <f>+[2]称号計算!W304</f>
        <v>3.9600000000000003E-2</v>
      </c>
      <c r="R299" s="5">
        <f>+[2]称号計算!X304</f>
        <v>2.9700000000000001E-2</v>
      </c>
      <c r="S299" s="13">
        <f>+[2]称号計算!Y304</f>
        <v>2.9700000000000001E-2</v>
      </c>
      <c r="T299" s="19">
        <f>+[2]称号計算!Z304</f>
        <v>4.1256000000000004</v>
      </c>
      <c r="U299" s="13">
        <v>0.55000000000000004</v>
      </c>
    </row>
    <row r="300" spans="1:21">
      <c r="A300" s="12" t="s">
        <v>1211</v>
      </c>
      <c r="B300" s="23" t="s">
        <v>1571</v>
      </c>
      <c r="C300" s="27">
        <f>+[2]称号計算!I305</f>
        <v>1.0462</v>
      </c>
      <c r="D300" s="5">
        <f>+[2]称号計算!J305</f>
        <v>0.4904</v>
      </c>
      <c r="E300" s="5">
        <f>+[2]称号計算!K305</f>
        <v>2.9721000000000002</v>
      </c>
      <c r="F300" s="5">
        <f>+[2]称号計算!L305</f>
        <v>0.22589999999999999</v>
      </c>
      <c r="G300" s="5">
        <f>+[2]称号計算!M305</f>
        <v>0.8286</v>
      </c>
      <c r="H300" s="13">
        <f>+[2]称号計算!N305</f>
        <v>0.76800000000000002</v>
      </c>
      <c r="I300" s="27">
        <f>+[2]称号計算!O305</f>
        <v>1.7000999999999999</v>
      </c>
      <c r="J300" s="13">
        <f>+[2]称号計算!P305</f>
        <v>0.87580000000000002</v>
      </c>
      <c r="K300" s="27">
        <f>+[2]称号計算!Q305</f>
        <v>0.78459999999999996</v>
      </c>
      <c r="L300" s="5">
        <f>+[2]称号計算!R305</f>
        <v>1.2602</v>
      </c>
      <c r="M300" s="13">
        <f>+[2]称号計算!S305</f>
        <v>1.3482000000000001</v>
      </c>
      <c r="N300" s="27">
        <f>+[2]称号計算!T305</f>
        <v>2.69E-2</v>
      </c>
      <c r="O300" s="5">
        <f>+[2]称号計算!U305</f>
        <v>2.69E-2</v>
      </c>
      <c r="P300" s="5">
        <f>+[2]称号計算!V305</f>
        <v>0.1009</v>
      </c>
      <c r="Q300" s="5">
        <f>+[2]称号計算!W305</f>
        <v>0.40339999999999998</v>
      </c>
      <c r="R300" s="5">
        <f>+[2]称号計算!X305</f>
        <v>2.0199999999999999E-2</v>
      </c>
      <c r="S300" s="13">
        <f>+[2]称号計算!Y305</f>
        <v>2.0199999999999999E-2</v>
      </c>
      <c r="T300" s="19">
        <f>+[2]称号計算!Z305</f>
        <v>4.51</v>
      </c>
      <c r="U300" s="13">
        <v>0.5</v>
      </c>
    </row>
    <row r="301" spans="1:21" ht="19.5" thickBot="1">
      <c r="A301" s="14" t="s">
        <v>1212</v>
      </c>
      <c r="B301" s="24" t="s">
        <v>1572</v>
      </c>
      <c r="C301" s="28">
        <f>+[2]称号計算!I306</f>
        <v>0.84599999999999997</v>
      </c>
      <c r="D301" s="15">
        <f>+[2]称号計算!J306</f>
        <v>1.3673999999999999</v>
      </c>
      <c r="E301" s="15">
        <f>+[2]称号計算!K306</f>
        <v>0.14749999999999999</v>
      </c>
      <c r="F301" s="15">
        <f>+[2]称号計算!L306</f>
        <v>2.6337000000000002</v>
      </c>
      <c r="G301" s="15">
        <f>+[2]称号計算!M306</f>
        <v>0.6895</v>
      </c>
      <c r="H301" s="16">
        <f>+[2]称号計算!N306</f>
        <v>0.7611</v>
      </c>
      <c r="I301" s="28">
        <f>+[2]称号計算!O306</f>
        <v>3.0129999999999999</v>
      </c>
      <c r="J301" s="16">
        <f>+[2]称号計算!P306</f>
        <v>0.89019999999999999</v>
      </c>
      <c r="K301" s="28">
        <f>+[2]称号計算!Q306</f>
        <v>0.63739999999999997</v>
      </c>
      <c r="L301" s="15">
        <f>+[2]称号計算!R306</f>
        <v>1.0007999999999999</v>
      </c>
      <c r="M301" s="16">
        <f>+[2]称号計算!S306</f>
        <v>0.82589999999999997</v>
      </c>
      <c r="N301" s="28">
        <f>+[2]称号計算!T306</f>
        <v>2.0500000000000001E-2</v>
      </c>
      <c r="O301" s="15">
        <f>+[2]称号計算!U306</f>
        <v>2.0500000000000001E-2</v>
      </c>
      <c r="P301" s="15">
        <f>+[2]称号計算!V306</f>
        <v>2.0500000000000001E-2</v>
      </c>
      <c r="Q301" s="15">
        <f>+[2]称号計算!W306</f>
        <v>2.0500000000000001E-2</v>
      </c>
      <c r="R301" s="15">
        <f>+[2]称号計算!X306</f>
        <v>5.4699999999999999E-2</v>
      </c>
      <c r="S301" s="16">
        <f>+[2]称号計算!Y306</f>
        <v>0.41</v>
      </c>
      <c r="T301" s="20">
        <f>+[2]称号計算!Z306</f>
        <v>4.5199999999999996</v>
      </c>
      <c r="U301" s="16">
        <v>0.25</v>
      </c>
    </row>
    <row r="302" spans="1:21">
      <c r="A302" s="9" t="s">
        <v>1213</v>
      </c>
      <c r="B302" s="22" t="s">
        <v>1573</v>
      </c>
      <c r="C302" s="26">
        <f>+[2]称号計算!I307</f>
        <v>0.7016</v>
      </c>
      <c r="D302" s="10">
        <f>+[2]称号計算!J307</f>
        <v>0.94359999999999999</v>
      </c>
      <c r="E302" s="10">
        <f>+[2]称号計算!K307</f>
        <v>0.13750000000000001</v>
      </c>
      <c r="F302" s="10">
        <f>+[2]称号計算!L307</f>
        <v>2.7494000000000001</v>
      </c>
      <c r="G302" s="10">
        <f>+[2]称号計算!M307</f>
        <v>0.59830000000000005</v>
      </c>
      <c r="H302" s="11">
        <f>+[2]称号計算!N307</f>
        <v>0.60760000000000003</v>
      </c>
      <c r="I302" s="26">
        <f>+[2]称号計算!O307</f>
        <v>0.96779999999999999</v>
      </c>
      <c r="J302" s="11">
        <f>+[2]称号計算!P307</f>
        <v>0.73870000000000002</v>
      </c>
      <c r="K302" s="26">
        <f>+[2]称号計算!Q307</f>
        <v>1.0162</v>
      </c>
      <c r="L302" s="10">
        <f>+[2]称号計算!R307</f>
        <v>1.4297</v>
      </c>
      <c r="M302" s="11">
        <f>+[2]称号計算!S307</f>
        <v>0.76980000000000004</v>
      </c>
      <c r="N302" s="26">
        <f>+[2]称号計算!T307</f>
        <v>1.3599999999999999E-2</v>
      </c>
      <c r="O302" s="10">
        <f>+[2]称号計算!U307</f>
        <v>1.3599999999999999E-2</v>
      </c>
      <c r="P302" s="10">
        <f>+[2]称号計算!V307</f>
        <v>1.3599999999999999E-2</v>
      </c>
      <c r="Q302" s="10">
        <f>+[2]称号計算!W307</f>
        <v>1.3599999999999999E-2</v>
      </c>
      <c r="R302" s="10">
        <f>+[2]称号計算!X307</f>
        <v>3.6400000000000002E-2</v>
      </c>
      <c r="S302" s="11">
        <f>+[2]称号計算!Y307</f>
        <v>0.27289999999999998</v>
      </c>
      <c r="T302" s="18">
        <f>+[2]称号計算!Z307</f>
        <v>4.6193</v>
      </c>
      <c r="U302" s="11">
        <v>1</v>
      </c>
    </row>
    <row r="303" spans="1:21">
      <c r="A303" s="12" t="s">
        <v>1214</v>
      </c>
      <c r="B303" s="23" t="s">
        <v>1574</v>
      </c>
      <c r="C303" s="27">
        <f>+[2]称号計算!I308</f>
        <v>1.2719</v>
      </c>
      <c r="D303" s="5">
        <f>+[2]称号計算!J308</f>
        <v>1.5330999999999999</v>
      </c>
      <c r="E303" s="5">
        <f>+[2]称号計算!K308</f>
        <v>0.17030000000000001</v>
      </c>
      <c r="F303" s="5">
        <f>+[2]称号計算!L308</f>
        <v>2.5811000000000002</v>
      </c>
      <c r="G303" s="5">
        <f>+[2]称号計算!M308</f>
        <v>1.7112000000000001</v>
      </c>
      <c r="H303" s="13">
        <f>+[2]称号計算!N308</f>
        <v>0.63180000000000003</v>
      </c>
      <c r="I303" s="27">
        <f>+[2]称号計算!O308</f>
        <v>0.62460000000000004</v>
      </c>
      <c r="J303" s="13">
        <f>+[2]称号計算!P308</f>
        <v>0.67110000000000003</v>
      </c>
      <c r="K303" s="27">
        <f>+[2]称号計算!Q308</f>
        <v>0.42020000000000002</v>
      </c>
      <c r="L303" s="5">
        <f>+[2]称号計算!R308</f>
        <v>0.8982</v>
      </c>
      <c r="M303" s="13">
        <f>+[2]称号計算!S308</f>
        <v>0.67930000000000001</v>
      </c>
      <c r="N303" s="27">
        <f>+[2]称号計算!T308</f>
        <v>2.8199999999999999E-2</v>
      </c>
      <c r="O303" s="5">
        <f>+[2]称号計算!U308</f>
        <v>2.8199999999999999E-2</v>
      </c>
      <c r="P303" s="5">
        <f>+[2]称号計算!V308</f>
        <v>2.8199999999999999E-2</v>
      </c>
      <c r="Q303" s="5">
        <f>+[2]称号計算!W308</f>
        <v>2.8199999999999999E-2</v>
      </c>
      <c r="R303" s="5">
        <f>+[2]称号計算!X308</f>
        <v>0.56410000000000005</v>
      </c>
      <c r="S303" s="13">
        <f>+[2]称号計算!Y308</f>
        <v>7.5200000000000003E-2</v>
      </c>
      <c r="T303" s="19">
        <f>+[2]称号計算!Z308</f>
        <v>3.3889999999999998</v>
      </c>
      <c r="U303" s="13">
        <v>1</v>
      </c>
    </row>
    <row r="304" spans="1:21">
      <c r="A304" s="12" t="s">
        <v>1215</v>
      </c>
      <c r="B304" s="23" t="s">
        <v>1575</v>
      </c>
      <c r="C304" s="27">
        <f>+[2]称号計算!I309</f>
        <v>1.107</v>
      </c>
      <c r="D304" s="5">
        <f>+[2]称号計算!J309</f>
        <v>1.2150000000000001</v>
      </c>
      <c r="E304" s="5">
        <f>+[2]称号計算!K309</f>
        <v>0.30680000000000002</v>
      </c>
      <c r="F304" s="5">
        <f>+[2]称号計算!L309</f>
        <v>3.0682</v>
      </c>
      <c r="G304" s="5">
        <f>+[2]称号計算!M309</f>
        <v>0.88670000000000004</v>
      </c>
      <c r="H304" s="13">
        <f>+[2]称号計算!N309</f>
        <v>1.0431999999999999</v>
      </c>
      <c r="I304" s="27">
        <f>+[2]称号計算!O309</f>
        <v>0.67500000000000004</v>
      </c>
      <c r="J304" s="13">
        <f>+[2]称号計算!P309</f>
        <v>0.79769999999999996</v>
      </c>
      <c r="K304" s="27">
        <f>+[2]称号計算!Q309</f>
        <v>0.54</v>
      </c>
      <c r="L304" s="5">
        <f>+[2]称号計算!R309</f>
        <v>1.2273000000000001</v>
      </c>
      <c r="M304" s="13">
        <f>+[2]称号計算!S309</f>
        <v>0.85909999999999997</v>
      </c>
      <c r="N304" s="27">
        <f>+[2]称号計算!T309</f>
        <v>2.8799999999999999E-2</v>
      </c>
      <c r="O304" s="5">
        <f>+[2]称号計算!U309</f>
        <v>2.8799999999999999E-2</v>
      </c>
      <c r="P304" s="5">
        <f>+[2]称号計算!V309</f>
        <v>0.43149999999999999</v>
      </c>
      <c r="Q304" s="5">
        <f>+[2]称号計算!W309</f>
        <v>0.1079</v>
      </c>
      <c r="R304" s="5">
        <f>+[2]称号計算!X309</f>
        <v>2.1600000000000001E-2</v>
      </c>
      <c r="S304" s="13">
        <f>+[2]称号計算!Y309</f>
        <v>2.1600000000000001E-2</v>
      </c>
      <c r="T304" s="19">
        <f>+[2]称号計算!Z309</f>
        <v>3.6480999999999999</v>
      </c>
      <c r="U304" s="13">
        <v>0.9</v>
      </c>
    </row>
    <row r="305" spans="1:21">
      <c r="A305" s="12" t="s">
        <v>1216</v>
      </c>
      <c r="B305" s="23" t="s">
        <v>1576</v>
      </c>
      <c r="C305" s="27">
        <f>+[2]称号計算!I310</f>
        <v>1.8146</v>
      </c>
      <c r="D305" s="5">
        <f>+[2]称号計算!J310</f>
        <v>0.50009999999999999</v>
      </c>
      <c r="E305" s="5">
        <f>+[2]称号計算!K310</f>
        <v>3.2473999999999998</v>
      </c>
      <c r="F305" s="5">
        <f>+[2]称号計算!L310</f>
        <v>0.21110000000000001</v>
      </c>
      <c r="G305" s="5">
        <f>+[2]称号計算!M310</f>
        <v>1.1593</v>
      </c>
      <c r="H305" s="13">
        <f>+[2]称号計算!N310</f>
        <v>0.97160000000000002</v>
      </c>
      <c r="I305" s="27">
        <f>+[2]称号計算!O310</f>
        <v>0.85729999999999995</v>
      </c>
      <c r="J305" s="13">
        <f>+[2]称号計算!P310</f>
        <v>1.2101999999999999</v>
      </c>
      <c r="K305" s="27">
        <f>+[2]称号計算!Q310</f>
        <v>0.47149999999999997</v>
      </c>
      <c r="L305" s="5">
        <f>+[2]称号計算!R310</f>
        <v>0.68840000000000001</v>
      </c>
      <c r="M305" s="13">
        <f>+[2]称号計算!S310</f>
        <v>1.1274999999999999</v>
      </c>
      <c r="N305" s="27">
        <f>+[2]称号計算!T310</f>
        <v>2.9399999999999999E-2</v>
      </c>
      <c r="O305" s="5">
        <f>+[2]称号計算!U310</f>
        <v>2.9399999999999999E-2</v>
      </c>
      <c r="P305" s="5">
        <f>+[2]称号計算!V310</f>
        <v>0.44130000000000003</v>
      </c>
      <c r="Q305" s="5">
        <f>+[2]称号計算!W310</f>
        <v>0.1103</v>
      </c>
      <c r="R305" s="5">
        <f>+[2]称号計算!X310</f>
        <v>2.2100000000000002E-2</v>
      </c>
      <c r="S305" s="13">
        <f>+[2]称号計算!Y310</f>
        <v>2.2100000000000002E-2</v>
      </c>
      <c r="T305" s="19">
        <f>+[2]称号計算!Z310</f>
        <v>3.5756000000000001</v>
      </c>
      <c r="U305" s="13">
        <v>0.55000000000000004</v>
      </c>
    </row>
    <row r="306" spans="1:21">
      <c r="A306" s="12" t="s">
        <v>1217</v>
      </c>
      <c r="B306" s="23" t="s">
        <v>1577</v>
      </c>
      <c r="C306" s="27">
        <f>+[2]称号計算!I311</f>
        <v>1.304</v>
      </c>
      <c r="D306" s="5">
        <f>+[2]称号計算!J311</f>
        <v>0.63780000000000003</v>
      </c>
      <c r="E306" s="5">
        <f>+[2]称号計算!K311</f>
        <v>3.2212999999999998</v>
      </c>
      <c r="F306" s="5">
        <f>+[2]称号計算!L311</f>
        <v>0.25769999999999998</v>
      </c>
      <c r="G306" s="5">
        <f>+[2]称号計算!M311</f>
        <v>1.0076000000000001</v>
      </c>
      <c r="H306" s="13">
        <f>+[2]称号計算!N311</f>
        <v>0.93089999999999995</v>
      </c>
      <c r="I306" s="27">
        <f>+[2]称号計算!O311</f>
        <v>0.99209999999999998</v>
      </c>
      <c r="J306" s="13">
        <f>+[2]称号計算!P311</f>
        <v>0.89339999999999997</v>
      </c>
      <c r="K306" s="27">
        <f>+[2]称号計算!Q311</f>
        <v>0.69450000000000001</v>
      </c>
      <c r="L306" s="5">
        <f>+[2]称号計算!R311</f>
        <v>1.2112000000000001</v>
      </c>
      <c r="M306" s="13">
        <f>+[2]称号計算!S311</f>
        <v>1.6415999999999999</v>
      </c>
      <c r="N306" s="27">
        <f>+[2]称号計算!T311</f>
        <v>2.1999999999999999E-2</v>
      </c>
      <c r="O306" s="5">
        <f>+[2]称号計算!U311</f>
        <v>2.1999999999999999E-2</v>
      </c>
      <c r="P306" s="5">
        <f>+[2]称号計算!V311</f>
        <v>2.1999999999999999E-2</v>
      </c>
      <c r="Q306" s="5">
        <f>+[2]称号計算!W311</f>
        <v>2.1999999999999999E-2</v>
      </c>
      <c r="R306" s="5">
        <f>+[2]称号計算!X311</f>
        <v>5.8700000000000002E-2</v>
      </c>
      <c r="S306" s="13">
        <f>+[2]称号計算!Y311</f>
        <v>0.44</v>
      </c>
      <c r="T306" s="19">
        <f>+[2]称号計算!Z311</f>
        <v>4.2995000000000001</v>
      </c>
      <c r="U306" s="13">
        <v>0.5</v>
      </c>
    </row>
    <row r="307" spans="1:21" ht="19.5" thickBot="1">
      <c r="A307" s="14" t="s">
        <v>1218</v>
      </c>
      <c r="B307" s="24" t="s">
        <v>1578</v>
      </c>
      <c r="C307" s="28">
        <f>+[2]称号計算!I312</f>
        <v>1.2545999999999999</v>
      </c>
      <c r="D307" s="15">
        <f>+[2]称号計算!J312</f>
        <v>1.3391999999999999</v>
      </c>
      <c r="E307" s="15">
        <f>+[2]称号計算!K312</f>
        <v>0.19220000000000001</v>
      </c>
      <c r="F307" s="15">
        <f>+[2]称号計算!L312</f>
        <v>3.2039</v>
      </c>
      <c r="G307" s="15">
        <f>+[2]称号計算!M312</f>
        <v>1.0022</v>
      </c>
      <c r="H307" s="16">
        <f>+[2]称号計算!N312</f>
        <v>0.99129999999999996</v>
      </c>
      <c r="I307" s="28">
        <f>+[2]称号計算!O312</f>
        <v>1.0572999999999999</v>
      </c>
      <c r="J307" s="16">
        <f>+[2]称号計算!P312</f>
        <v>0.83299999999999996</v>
      </c>
      <c r="K307" s="28">
        <f>+[2]称号計算!Q312</f>
        <v>0.874</v>
      </c>
      <c r="L307" s="15">
        <f>+[2]称号計算!R312</f>
        <v>1.4738</v>
      </c>
      <c r="M307" s="16">
        <f>+[2]称号計算!S312</f>
        <v>1.1033999999999999</v>
      </c>
      <c r="N307" s="28">
        <f>+[2]称号計算!T312</f>
        <v>3.4099999999999998E-2</v>
      </c>
      <c r="O307" s="15">
        <f>+[2]称号計算!U312</f>
        <v>3.4099999999999998E-2</v>
      </c>
      <c r="P307" s="15">
        <f>+[2]称号計算!V312</f>
        <v>0.51170000000000004</v>
      </c>
      <c r="Q307" s="15">
        <f>+[2]称号計算!W312</f>
        <v>0.12790000000000001</v>
      </c>
      <c r="R307" s="15">
        <f>+[2]称号計算!X312</f>
        <v>2.5600000000000001E-2</v>
      </c>
      <c r="S307" s="16">
        <f>+[2]称号計算!Y312</f>
        <v>2.5600000000000001E-2</v>
      </c>
      <c r="T307" s="20">
        <f>+[2]称号計算!Z312</f>
        <v>8.2911000000000001</v>
      </c>
      <c r="U307" s="16">
        <v>0.25</v>
      </c>
    </row>
    <row r="308" spans="1:21">
      <c r="A308" s="9" t="s">
        <v>1219</v>
      </c>
      <c r="B308" s="22" t="s">
        <v>1579</v>
      </c>
      <c r="C308" s="26">
        <f>+[2]称号計算!I313</f>
        <v>1.1466000000000001</v>
      </c>
      <c r="D308" s="10">
        <f>+[2]称号計算!J313</f>
        <v>1.893</v>
      </c>
      <c r="E308" s="10">
        <f>+[2]称号計算!K313</f>
        <v>0.1598</v>
      </c>
      <c r="F308" s="10">
        <f>+[2]称号計算!L313</f>
        <v>2.4584000000000001</v>
      </c>
      <c r="G308" s="10">
        <f>+[2]称号計算!M313</f>
        <v>0.64359999999999995</v>
      </c>
      <c r="H308" s="11">
        <f>+[2]称号計算!N313</f>
        <v>1.7135</v>
      </c>
      <c r="I308" s="26">
        <f>+[2]称号計算!O313</f>
        <v>0.48680000000000001</v>
      </c>
      <c r="J308" s="11">
        <f>+[2]称号計算!P313</f>
        <v>0.6179</v>
      </c>
      <c r="K308" s="26">
        <f>+[2]称号計算!Q313</f>
        <v>0.41110000000000002</v>
      </c>
      <c r="L308" s="10">
        <f>+[2]称号計算!R313</f>
        <v>0.82599999999999996</v>
      </c>
      <c r="M308" s="11">
        <f>+[2]称号計算!S313</f>
        <v>0.72970000000000002</v>
      </c>
      <c r="N308" s="26">
        <f>+[2]称号計算!T313</f>
        <v>4.02E-2</v>
      </c>
      <c r="O308" s="10">
        <f>+[2]称号計算!U313</f>
        <v>4.02E-2</v>
      </c>
      <c r="P308" s="10">
        <f>+[2]称号計算!V313</f>
        <v>0.60309999999999997</v>
      </c>
      <c r="Q308" s="10">
        <f>+[2]称号計算!W313</f>
        <v>0.15079999999999999</v>
      </c>
      <c r="R308" s="10">
        <f>+[2]称号計算!X313</f>
        <v>3.0200000000000001E-2</v>
      </c>
      <c r="S308" s="11">
        <f>+[2]称号計算!Y313</f>
        <v>3.0200000000000001E-2</v>
      </c>
      <c r="T308" s="18">
        <f>+[2]称号計算!Z313</f>
        <v>3.3875000000000002</v>
      </c>
      <c r="U308" s="11">
        <v>1</v>
      </c>
    </row>
    <row r="309" spans="1:21">
      <c r="A309" s="12" t="s">
        <v>1220</v>
      </c>
      <c r="B309" s="23" t="s">
        <v>1580</v>
      </c>
      <c r="C309" s="27">
        <f>+[2]称号計算!I314</f>
        <v>0.61860000000000004</v>
      </c>
      <c r="D309" s="5">
        <f>+[2]称号計算!J314</f>
        <v>1.6872</v>
      </c>
      <c r="E309" s="5">
        <f>+[2]称号計算!K314</f>
        <v>0.20449999999999999</v>
      </c>
      <c r="F309" s="5">
        <f>+[2]称号計算!L314</f>
        <v>2.5564</v>
      </c>
      <c r="G309" s="5">
        <f>+[2]称号計算!M314</f>
        <v>1.2603</v>
      </c>
      <c r="H309" s="13">
        <f>+[2]称号計算!N314</f>
        <v>1.9556</v>
      </c>
      <c r="I309" s="27">
        <f>+[2]称号計算!O314</f>
        <v>0.44990000000000002</v>
      </c>
      <c r="J309" s="13">
        <f>+[2]称号計算!P314</f>
        <v>0.61150000000000004</v>
      </c>
      <c r="K309" s="27">
        <f>+[2]称号計算!Q314</f>
        <v>0.49490000000000001</v>
      </c>
      <c r="L309" s="5">
        <f>+[2]称号計算!R314</f>
        <v>0.89980000000000004</v>
      </c>
      <c r="M309" s="13">
        <f>+[2]称号計算!S314</f>
        <v>0.90190000000000003</v>
      </c>
      <c r="N309" s="27">
        <f>+[2]称号計算!T314</f>
        <v>4.6600000000000003E-2</v>
      </c>
      <c r="O309" s="5">
        <f>+[2]称号計算!U314</f>
        <v>4.6600000000000003E-2</v>
      </c>
      <c r="P309" s="5">
        <f>+[2]称号計算!V314</f>
        <v>0.69840000000000002</v>
      </c>
      <c r="Q309" s="5">
        <f>+[2]称号計算!W314</f>
        <v>0.17460000000000001</v>
      </c>
      <c r="R309" s="5">
        <f>+[2]称号計算!X314</f>
        <v>3.49E-2</v>
      </c>
      <c r="S309" s="13">
        <f>+[2]称号計算!Y314</f>
        <v>3.49E-2</v>
      </c>
      <c r="T309" s="19">
        <f>+[2]称号計算!Z314</f>
        <v>3.7509000000000001</v>
      </c>
      <c r="U309" s="13">
        <v>1</v>
      </c>
    </row>
    <row r="310" spans="1:21">
      <c r="A310" s="12" t="s">
        <v>1221</v>
      </c>
      <c r="B310" s="23" t="s">
        <v>1581</v>
      </c>
      <c r="C310" s="27">
        <f>+[2]称号計算!I315</f>
        <v>1.2422</v>
      </c>
      <c r="D310" s="5">
        <f>+[2]称号計算!J315</f>
        <v>1.8012999999999999</v>
      </c>
      <c r="E310" s="5">
        <f>+[2]称号計算!K315</f>
        <v>0.2823</v>
      </c>
      <c r="F310" s="5">
        <f>+[2]称号計算!L315</f>
        <v>2.8233000000000001</v>
      </c>
      <c r="G310" s="5">
        <f>+[2]称号計算!M315</f>
        <v>0.95989999999999998</v>
      </c>
      <c r="H310" s="13">
        <f>+[2]称号計算!N315</f>
        <v>1.1518999999999999</v>
      </c>
      <c r="I310" s="27">
        <f>+[2]称号計算!O315</f>
        <v>0.74529999999999996</v>
      </c>
      <c r="J310" s="13">
        <f>+[2]称号計算!P315</f>
        <v>0.68510000000000004</v>
      </c>
      <c r="K310" s="27">
        <f>+[2]称号計算!Q315</f>
        <v>0.52170000000000005</v>
      </c>
      <c r="L310" s="5">
        <f>+[2]称号計算!R315</f>
        <v>1.0728</v>
      </c>
      <c r="M310" s="13">
        <f>+[2]称号計算!S315</f>
        <v>0.90910000000000002</v>
      </c>
      <c r="N310" s="27">
        <f>+[2]称号計算!T315</f>
        <v>3.6400000000000002E-2</v>
      </c>
      <c r="O310" s="5">
        <f>+[2]称号計算!U315</f>
        <v>3.6400000000000002E-2</v>
      </c>
      <c r="P310" s="5">
        <f>+[2]称号計算!V315</f>
        <v>0.54630000000000001</v>
      </c>
      <c r="Q310" s="5">
        <f>+[2]称号計算!W315</f>
        <v>0.1366</v>
      </c>
      <c r="R310" s="5">
        <f>+[2]称号計算!X315</f>
        <v>2.7300000000000001E-2</v>
      </c>
      <c r="S310" s="13">
        <f>+[2]称号計算!Y315</f>
        <v>2.7300000000000001E-2</v>
      </c>
      <c r="T310" s="19">
        <f>+[2]称号計算!Z315</f>
        <v>3.8618000000000001</v>
      </c>
      <c r="U310" s="13">
        <v>0.9</v>
      </c>
    </row>
    <row r="311" spans="1:21">
      <c r="A311" s="12" t="s">
        <v>1222</v>
      </c>
      <c r="B311" s="23" t="s">
        <v>1582</v>
      </c>
      <c r="C311" s="27">
        <f>+[2]称号計算!I316</f>
        <v>1.7299</v>
      </c>
      <c r="D311" s="5">
        <f>+[2]称号計算!J316</f>
        <v>0.76970000000000005</v>
      </c>
      <c r="E311" s="5">
        <f>+[2]称号計算!K316</f>
        <v>3.3319000000000001</v>
      </c>
      <c r="F311" s="5">
        <f>+[2]称号計算!L316</f>
        <v>0.23319999999999999</v>
      </c>
      <c r="G311" s="5">
        <f>+[2]称号計算!M316</f>
        <v>1.2914000000000001</v>
      </c>
      <c r="H311" s="13">
        <f>+[2]称号計算!N316</f>
        <v>1.2914000000000001</v>
      </c>
      <c r="I311" s="27">
        <f>+[2]称号計算!O316</f>
        <v>0.58640000000000003</v>
      </c>
      <c r="J311" s="13">
        <f>+[2]称号計算!P316</f>
        <v>0.82589999999999997</v>
      </c>
      <c r="K311" s="27">
        <f>+[2]称号計算!Q316</f>
        <v>0.63039999999999996</v>
      </c>
      <c r="L311" s="5">
        <f>+[2]称号計算!R316</f>
        <v>1.1728000000000001</v>
      </c>
      <c r="M311" s="13">
        <f>+[2]称号計算!S316</f>
        <v>0.88629999999999998</v>
      </c>
      <c r="N311" s="27">
        <f>+[2]称号計算!T316</f>
        <v>5.0999999999999997E-2</v>
      </c>
      <c r="O311" s="5">
        <f>+[2]称号計算!U316</f>
        <v>5.0999999999999997E-2</v>
      </c>
      <c r="P311" s="5">
        <f>+[2]称号計算!V316</f>
        <v>0.76500000000000001</v>
      </c>
      <c r="Q311" s="5">
        <f>+[2]称号計算!W316</f>
        <v>0.19120000000000001</v>
      </c>
      <c r="R311" s="5">
        <f>+[2]称号計算!X316</f>
        <v>3.8199999999999998E-2</v>
      </c>
      <c r="S311" s="13">
        <f>+[2]称号計算!Y316</f>
        <v>3.8199999999999998E-2</v>
      </c>
      <c r="T311" s="19">
        <f>+[2]称号計算!Z316</f>
        <v>4.0727000000000002</v>
      </c>
      <c r="U311" s="13">
        <v>0.55000000000000004</v>
      </c>
    </row>
    <row r="312" spans="1:21">
      <c r="A312" s="12" t="s">
        <v>1223</v>
      </c>
      <c r="B312" s="23" t="s">
        <v>1583</v>
      </c>
      <c r="C312" s="27">
        <f>+[2]称号計算!I317</f>
        <v>1.0966</v>
      </c>
      <c r="D312" s="5">
        <f>+[2]称号計算!J317</f>
        <v>0.45379999999999998</v>
      </c>
      <c r="E312" s="5">
        <f>+[2]称号計算!K317</f>
        <v>2.8647999999999998</v>
      </c>
      <c r="F312" s="5">
        <f>+[2]称号計算!L317</f>
        <v>0.1862</v>
      </c>
      <c r="G312" s="5">
        <f>+[2]称号計算!M317</f>
        <v>0.8377</v>
      </c>
      <c r="H312" s="13">
        <f>+[2]称号計算!N317</f>
        <v>0.75</v>
      </c>
      <c r="I312" s="27">
        <f>+[2]称号計算!O317</f>
        <v>3.4034</v>
      </c>
      <c r="J312" s="13">
        <f>+[2]称号計算!P317</f>
        <v>1.008</v>
      </c>
      <c r="K312" s="27">
        <f>+[2]称号計算!Q317</f>
        <v>0.69330000000000003</v>
      </c>
      <c r="L312" s="5">
        <f>+[2]称号計算!R317</f>
        <v>1.1918</v>
      </c>
      <c r="M312" s="13">
        <f>+[2]称号計算!S317</f>
        <v>0.81820000000000004</v>
      </c>
      <c r="N312" s="27">
        <f>+[2]称号計算!T317</f>
        <v>2.0199999999999999E-2</v>
      </c>
      <c r="O312" s="5">
        <f>+[2]称号計算!U317</f>
        <v>2.0199999999999999E-2</v>
      </c>
      <c r="P312" s="5">
        <f>+[2]称号計算!V317</f>
        <v>2.0199999999999999E-2</v>
      </c>
      <c r="Q312" s="5">
        <f>+[2]称号計算!W317</f>
        <v>2.0199999999999999E-2</v>
      </c>
      <c r="R312" s="5">
        <f>+[2]称号計算!X317</f>
        <v>0.40439999999999998</v>
      </c>
      <c r="S312" s="13">
        <f>+[2]称号計算!Y317</f>
        <v>5.3900000000000003E-2</v>
      </c>
      <c r="T312" s="19">
        <f>+[2]称号計算!Z317</f>
        <v>4.6932999999999998</v>
      </c>
      <c r="U312" s="13">
        <v>0.5</v>
      </c>
    </row>
    <row r="313" spans="1:21" ht="19.5" thickBot="1">
      <c r="A313" s="14" t="s">
        <v>1224</v>
      </c>
      <c r="B313" s="24" t="s">
        <v>1584</v>
      </c>
      <c r="C313" s="28">
        <f>+[2]称号計算!I318</f>
        <v>1.4373</v>
      </c>
      <c r="D313" s="15">
        <f>+[2]称号計算!J318</f>
        <v>1.581</v>
      </c>
      <c r="E313" s="15">
        <f>+[2]称号計算!K318</f>
        <v>0.32669999999999999</v>
      </c>
      <c r="F313" s="15">
        <f>+[2]称号計算!L318</f>
        <v>3.2665000000000002</v>
      </c>
      <c r="G313" s="15">
        <f>+[2]称号計算!M318</f>
        <v>1.0550999999999999</v>
      </c>
      <c r="H313" s="16">
        <f>+[2]称号計算!N318</f>
        <v>1.2217</v>
      </c>
      <c r="I313" s="28">
        <f>+[2]称号計算!O318</f>
        <v>1.0061</v>
      </c>
      <c r="J313" s="16">
        <f>+[2]称号計算!P318</f>
        <v>0.87760000000000005</v>
      </c>
      <c r="K313" s="28">
        <f>+[2]称号計算!Q318</f>
        <v>0.66110000000000002</v>
      </c>
      <c r="L313" s="15">
        <f>+[2]称号計算!R318</f>
        <v>1.4373</v>
      </c>
      <c r="M313" s="16">
        <f>+[2]称号計算!S318</f>
        <v>0.98780000000000001</v>
      </c>
      <c r="N313" s="28">
        <f>+[2]称号計算!T318</f>
        <v>2.4400000000000002E-2</v>
      </c>
      <c r="O313" s="15">
        <f>+[2]称号計算!U318</f>
        <v>2.4400000000000002E-2</v>
      </c>
      <c r="P313" s="15">
        <f>+[2]称号計算!V318</f>
        <v>2.4400000000000002E-2</v>
      </c>
      <c r="Q313" s="15">
        <f>+[2]称号計算!W318</f>
        <v>2.4400000000000002E-2</v>
      </c>
      <c r="R313" s="15">
        <f>+[2]称号計算!X318</f>
        <v>6.5000000000000002E-2</v>
      </c>
      <c r="S313" s="16">
        <f>+[2]称号計算!Y318</f>
        <v>0.48780000000000001</v>
      </c>
      <c r="T313" s="20">
        <f>+[2]称号計算!Z318</f>
        <v>4.5423999999999998</v>
      </c>
      <c r="U313" s="16">
        <v>0.25</v>
      </c>
    </row>
    <row r="314" spans="1:21">
      <c r="A314" s="9" t="s">
        <v>1225</v>
      </c>
      <c r="B314" s="22" t="s">
        <v>1585</v>
      </c>
      <c r="C314" s="26">
        <f>+[2]称号計算!I319</f>
        <v>1.3732</v>
      </c>
      <c r="D314" s="10">
        <f>+[2]称号計算!J319</f>
        <v>2.1579000000000002</v>
      </c>
      <c r="E314" s="10">
        <f>+[2]称号計算!K319</f>
        <v>0.18729999999999999</v>
      </c>
      <c r="F314" s="10">
        <f>+[2]称号計算!L319</f>
        <v>2.2292000000000001</v>
      </c>
      <c r="G314" s="10">
        <f>+[2]称号計算!M319</f>
        <v>0.72</v>
      </c>
      <c r="H314" s="11">
        <f>+[2]称号計算!N319</f>
        <v>1.2733000000000001</v>
      </c>
      <c r="I314" s="26">
        <f>+[2]称号計算!O319</f>
        <v>1.1279999999999999</v>
      </c>
      <c r="J314" s="11">
        <f>+[2]称号計算!P319</f>
        <v>0.75349999999999995</v>
      </c>
      <c r="K314" s="26">
        <f>+[2]称号計算!Q319</f>
        <v>0.2354</v>
      </c>
      <c r="L314" s="10">
        <f>+[2]称号計算!R319</f>
        <v>0.64200000000000002</v>
      </c>
      <c r="M314" s="11">
        <f>+[2]称号計算!S319</f>
        <v>0.83020000000000005</v>
      </c>
      <c r="N314" s="26">
        <f>+[2]称号計算!T319</f>
        <v>0.12180000000000001</v>
      </c>
      <c r="O314" s="10">
        <f>+[2]称号計算!U319</f>
        <v>0.60880000000000001</v>
      </c>
      <c r="P314" s="10">
        <f>+[2]称号計算!V319</f>
        <v>4.0599999999999997E-2</v>
      </c>
      <c r="Q314" s="10">
        <f>+[2]称号計算!W319</f>
        <v>4.0599999999999997E-2</v>
      </c>
      <c r="R314" s="10">
        <f>+[2]称号計算!X319</f>
        <v>3.04E-2</v>
      </c>
      <c r="S314" s="11">
        <f>+[2]称号計算!Y319</f>
        <v>3.04E-2</v>
      </c>
      <c r="T314" s="18">
        <f>+[2]称号計算!Z319</f>
        <v>3.0746000000000002</v>
      </c>
      <c r="U314" s="11">
        <v>1</v>
      </c>
    </row>
    <row r="315" spans="1:21">
      <c r="A315" s="12" t="s">
        <v>1226</v>
      </c>
      <c r="B315" s="23" t="s">
        <v>1586</v>
      </c>
      <c r="C315" s="27">
        <f>+[2]称号計算!I320</f>
        <v>0.99209999999999998</v>
      </c>
      <c r="D315" s="5">
        <f>+[2]称号計算!J320</f>
        <v>1.4628000000000001</v>
      </c>
      <c r="E315" s="5">
        <f>+[2]称号計算!K320</f>
        <v>0.28910000000000002</v>
      </c>
      <c r="F315" s="5">
        <f>+[2]称号計算!L320</f>
        <v>2.8908999999999998</v>
      </c>
      <c r="G315" s="5">
        <f>+[2]称号計算!M320</f>
        <v>0.73719999999999997</v>
      </c>
      <c r="H315" s="13">
        <f>+[2]称号計算!N320</f>
        <v>0.7863</v>
      </c>
      <c r="I315" s="27">
        <f>+[2]称号計算!O320</f>
        <v>1.3992</v>
      </c>
      <c r="J315" s="13">
        <f>+[2]称号計算!P320</f>
        <v>0.82679999999999998</v>
      </c>
      <c r="K315" s="27">
        <f>+[2]称号計算!Q320</f>
        <v>0.55969999999999998</v>
      </c>
      <c r="L315" s="5">
        <f>+[2]称号計算!R320</f>
        <v>1.272</v>
      </c>
      <c r="M315" s="13">
        <f>+[2]称号計算!S320</f>
        <v>0.89039999999999997</v>
      </c>
      <c r="N315" s="27">
        <f>+[2]称号計算!T320</f>
        <v>0.40679999999999999</v>
      </c>
      <c r="O315" s="5">
        <f>+[2]称号計算!U320</f>
        <v>8.14E-2</v>
      </c>
      <c r="P315" s="5">
        <f>+[2]称号計算!V320</f>
        <v>2.7099999999999999E-2</v>
      </c>
      <c r="Q315" s="5">
        <f>+[2]称号計算!W320</f>
        <v>2.7099999999999999E-2</v>
      </c>
      <c r="R315" s="5">
        <f>+[2]称号計算!X320</f>
        <v>2.0299999999999999E-2</v>
      </c>
      <c r="S315" s="13">
        <f>+[2]称号計算!Y320</f>
        <v>2.0299999999999999E-2</v>
      </c>
      <c r="T315" s="19">
        <f>+[2]称号計算!Z320</f>
        <v>3.9009</v>
      </c>
      <c r="U315" s="13">
        <v>1</v>
      </c>
    </row>
    <row r="316" spans="1:21">
      <c r="A316" s="12" t="s">
        <v>1227</v>
      </c>
      <c r="B316" s="23" t="s">
        <v>1587</v>
      </c>
      <c r="C316" s="27">
        <f>+[2]称号計算!I321</f>
        <v>2.0792999999999999</v>
      </c>
      <c r="D316" s="5">
        <f>+[2]称号計算!J321</f>
        <v>1.6319999999999999</v>
      </c>
      <c r="E316" s="5">
        <f>+[2]称号計算!K321</f>
        <v>0.17860000000000001</v>
      </c>
      <c r="F316" s="5">
        <f>+[2]称号計算!L321</f>
        <v>2.7473999999999998</v>
      </c>
      <c r="G316" s="5">
        <f>+[2]称号計算!M321</f>
        <v>1.532</v>
      </c>
      <c r="H316" s="13">
        <f>+[2]称号計算!N321</f>
        <v>1.4479</v>
      </c>
      <c r="I316" s="27">
        <f>+[2]称号計算!O321</f>
        <v>0.42309999999999998</v>
      </c>
      <c r="J316" s="13">
        <f>+[2]称号計算!P321</f>
        <v>0.66669999999999996</v>
      </c>
      <c r="K316" s="27">
        <f>+[2]称号計算!Q321</f>
        <v>0.36270000000000002</v>
      </c>
      <c r="L316" s="5">
        <f>+[2]称号計算!R321</f>
        <v>0.65939999999999999</v>
      </c>
      <c r="M316" s="13">
        <f>+[2]称号計算!S321</f>
        <v>0.95389999999999997</v>
      </c>
      <c r="N316" s="27">
        <f>+[2]称号計算!T321</f>
        <v>5.0099999999999999E-2</v>
      </c>
      <c r="O316" s="5">
        <f>+[2]称号計算!U321</f>
        <v>5.0099999999999999E-2</v>
      </c>
      <c r="P316" s="5">
        <f>+[2]称号計算!V321</f>
        <v>0.75080000000000002</v>
      </c>
      <c r="Q316" s="5">
        <f>+[2]称号計算!W321</f>
        <v>0.18770000000000001</v>
      </c>
      <c r="R316" s="5">
        <f>+[2]称号計算!X321</f>
        <v>3.7499999999999999E-2</v>
      </c>
      <c r="S316" s="13">
        <f>+[2]称号計算!Y321</f>
        <v>3.7499999999999999E-2</v>
      </c>
      <c r="T316" s="19">
        <f>+[2]称号計算!Z321</f>
        <v>3.5935000000000001</v>
      </c>
      <c r="U316" s="13">
        <v>0.9</v>
      </c>
    </row>
    <row r="317" spans="1:21">
      <c r="A317" s="12" t="s">
        <v>1228</v>
      </c>
      <c r="B317" s="23" t="s">
        <v>1588</v>
      </c>
      <c r="C317" s="27">
        <f>+[2]称号計算!I322</f>
        <v>3.0125999999999999</v>
      </c>
      <c r="D317" s="5">
        <f>+[2]称号計算!J322</f>
        <v>0.44090000000000001</v>
      </c>
      <c r="E317" s="5">
        <f>+[2]称号計算!K322</f>
        <v>3.3399000000000001</v>
      </c>
      <c r="F317" s="5">
        <f>+[2]称号計算!L322</f>
        <v>0.30059999999999998</v>
      </c>
      <c r="G317" s="5">
        <f>+[2]称号計算!M322</f>
        <v>1.7261</v>
      </c>
      <c r="H317" s="13">
        <f>+[2]称号計算!N322</f>
        <v>1.4762</v>
      </c>
      <c r="I317" s="27">
        <f>+[2]称号計算!O322</f>
        <v>0.3674</v>
      </c>
      <c r="J317" s="13">
        <f>+[2]称号計算!P322</f>
        <v>0.78149999999999997</v>
      </c>
      <c r="K317" s="27">
        <f>+[2]称号計算!Q322</f>
        <v>0.33800000000000002</v>
      </c>
      <c r="L317" s="5">
        <f>+[2]称号計算!R322</f>
        <v>0.68130000000000002</v>
      </c>
      <c r="M317" s="13">
        <f>+[2]称号計算!S322</f>
        <v>0.79490000000000005</v>
      </c>
      <c r="N317" s="27">
        <f>+[2]称号計算!T322</f>
        <v>0.63639999999999997</v>
      </c>
      <c r="O317" s="5">
        <f>+[2]称号計算!U322</f>
        <v>0.1273</v>
      </c>
      <c r="P317" s="5">
        <f>+[2]称号計算!V322</f>
        <v>4.24E-2</v>
      </c>
      <c r="Q317" s="5">
        <f>+[2]称号計算!W322</f>
        <v>4.24E-2</v>
      </c>
      <c r="R317" s="5">
        <f>+[2]称号計算!X322</f>
        <v>3.1800000000000002E-2</v>
      </c>
      <c r="S317" s="13">
        <f>+[2]称号計算!Y322</f>
        <v>3.1800000000000002E-2</v>
      </c>
      <c r="T317" s="19">
        <f>+[2]称号計算!Z322</f>
        <v>3.4990000000000001</v>
      </c>
      <c r="U317" s="13">
        <v>0.55000000000000004</v>
      </c>
    </row>
    <row r="318" spans="1:21">
      <c r="A318" s="12" t="s">
        <v>1229</v>
      </c>
      <c r="B318" s="23" t="s">
        <v>1589</v>
      </c>
      <c r="C318" s="27">
        <f>+[2]称号計算!I323</f>
        <v>1.948</v>
      </c>
      <c r="D318" s="5">
        <f>+[2]称号計算!J323</f>
        <v>0.64929999999999999</v>
      </c>
      <c r="E318" s="5">
        <f>+[2]称号計算!K323</f>
        <v>3.2795000000000001</v>
      </c>
      <c r="F318" s="5">
        <f>+[2]称号計算!L323</f>
        <v>0.32790000000000002</v>
      </c>
      <c r="G318" s="5">
        <f>+[2]称号計算!M323</f>
        <v>1.5609999999999999</v>
      </c>
      <c r="H318" s="13">
        <f>+[2]称号計算!N323</f>
        <v>1.115</v>
      </c>
      <c r="I318" s="27">
        <f>+[2]称号計算!O323</f>
        <v>1.1544000000000001</v>
      </c>
      <c r="J318" s="13">
        <f>+[2]称号計算!P323</f>
        <v>0.90949999999999998</v>
      </c>
      <c r="K318" s="27">
        <f>+[2]称号計算!Q323</f>
        <v>0.7792</v>
      </c>
      <c r="L318" s="5">
        <f>+[2]称号計算!R323</f>
        <v>1.3774</v>
      </c>
      <c r="M318" s="13">
        <f>+[2]称号計算!S323</f>
        <v>0.73460000000000003</v>
      </c>
      <c r="N318" s="27">
        <f>+[2]称号計算!T323</f>
        <v>0.13950000000000001</v>
      </c>
      <c r="O318" s="5">
        <f>+[2]称号計算!U323</f>
        <v>0.69730000000000003</v>
      </c>
      <c r="P318" s="5">
        <f>+[2]称号計算!V323</f>
        <v>4.65E-2</v>
      </c>
      <c r="Q318" s="5">
        <f>+[2]称号計算!W323</f>
        <v>4.65E-2</v>
      </c>
      <c r="R318" s="5">
        <f>+[2]称号計算!X323</f>
        <v>3.49E-2</v>
      </c>
      <c r="S318" s="13">
        <f>+[2]称号計算!Y323</f>
        <v>3.49E-2</v>
      </c>
      <c r="T318" s="19">
        <f>+[2]称号計算!Z323</f>
        <v>4.8426</v>
      </c>
      <c r="U318" s="13">
        <v>0.5</v>
      </c>
    </row>
    <row r="319" spans="1:21" ht="19.5" thickBot="1">
      <c r="A319" s="14" t="s">
        <v>1230</v>
      </c>
      <c r="B319" s="24" t="s">
        <v>1590</v>
      </c>
      <c r="C319" s="28">
        <f>+[2]称号計算!I324</f>
        <v>1.1808000000000001</v>
      </c>
      <c r="D319" s="15">
        <f>+[2]称号計算!J324</f>
        <v>1.5159</v>
      </c>
      <c r="E319" s="15">
        <f>+[2]称号計算!K324</f>
        <v>0.23569999999999999</v>
      </c>
      <c r="F319" s="15">
        <f>+[2]称号計算!L324</f>
        <v>3.6265999999999998</v>
      </c>
      <c r="G319" s="15">
        <f>+[2]称号計算!M324</f>
        <v>0.88780000000000003</v>
      </c>
      <c r="H319" s="16">
        <f>+[2]称号計算!N324</f>
        <v>1.0358000000000001</v>
      </c>
      <c r="I319" s="28">
        <f>+[2]称号計算!O324</f>
        <v>0.79790000000000005</v>
      </c>
      <c r="J319" s="16">
        <f>+[2]称号計算!P324</f>
        <v>0.88009999999999999</v>
      </c>
      <c r="K319" s="28">
        <f>+[2]称号計算!Q324</f>
        <v>1.0690999999999999</v>
      </c>
      <c r="L319" s="15">
        <f>+[2]称号計算!R324</f>
        <v>2.2484999999999999</v>
      </c>
      <c r="M319" s="16">
        <f>+[2]称号計算!S324</f>
        <v>0.93420000000000003</v>
      </c>
      <c r="N319" s="28">
        <f>+[2]称号計算!T324</f>
        <v>2.0799999999999999E-2</v>
      </c>
      <c r="O319" s="15">
        <f>+[2]称号計算!U324</f>
        <v>2.0799999999999999E-2</v>
      </c>
      <c r="P319" s="15">
        <f>+[2]称号計算!V324</f>
        <v>2.0799999999999999E-2</v>
      </c>
      <c r="Q319" s="15">
        <f>+[2]称号計算!W324</f>
        <v>2.0799999999999999E-2</v>
      </c>
      <c r="R319" s="15">
        <f>+[2]称号計算!X324</f>
        <v>0.41510000000000002</v>
      </c>
      <c r="S319" s="16">
        <f>+[2]称号計算!Y324</f>
        <v>5.5300000000000002E-2</v>
      </c>
      <c r="T319" s="20">
        <f>+[2]称号計算!Z324</f>
        <v>5.5648</v>
      </c>
      <c r="U319" s="16">
        <v>0.25</v>
      </c>
    </row>
    <row r="320" spans="1:21">
      <c r="A320" s="9" t="s">
        <v>1231</v>
      </c>
      <c r="B320" s="22" t="s">
        <v>1591</v>
      </c>
      <c r="C320" s="26">
        <f>+[2]称号計算!I325</f>
        <v>1.4539</v>
      </c>
      <c r="D320" s="10">
        <f>+[2]称号計算!J325</f>
        <v>1.2116</v>
      </c>
      <c r="E320" s="10">
        <f>+[2]称号計算!K325</f>
        <v>0.27539999999999998</v>
      </c>
      <c r="F320" s="10">
        <f>+[2]称号計算!L325</f>
        <v>2.7536</v>
      </c>
      <c r="G320" s="10">
        <f>+[2]称号計算!M325</f>
        <v>1.2171000000000001</v>
      </c>
      <c r="H320" s="11">
        <f>+[2]称号計算!N325</f>
        <v>0.79579999999999995</v>
      </c>
      <c r="I320" s="26">
        <f>+[2]称号計算!O325</f>
        <v>0.96930000000000005</v>
      </c>
      <c r="J320" s="11">
        <f>+[2]称号計算!P325</f>
        <v>0.76370000000000005</v>
      </c>
      <c r="K320" s="26">
        <f>+[2]称号計算!Q325</f>
        <v>0.67849999999999999</v>
      </c>
      <c r="L320" s="10">
        <f>+[2]称号計算!R325</f>
        <v>1.1013999999999999</v>
      </c>
      <c r="M320" s="11">
        <f>+[2]称号計算!S325</f>
        <v>0.77100000000000002</v>
      </c>
      <c r="N320" s="26">
        <f>+[2]称号計算!T325</f>
        <v>0.1017</v>
      </c>
      <c r="O320" s="10">
        <f>+[2]称号計算!U325</f>
        <v>0.50839999999999996</v>
      </c>
      <c r="P320" s="10">
        <f>+[2]称号計算!V325</f>
        <v>3.39E-2</v>
      </c>
      <c r="Q320" s="10">
        <f>+[2]称号計算!W325</f>
        <v>3.39E-2</v>
      </c>
      <c r="R320" s="10">
        <f>+[2]称号計算!X325</f>
        <v>2.5399999999999999E-2</v>
      </c>
      <c r="S320" s="11">
        <f>+[2]称号計算!Y325</f>
        <v>2.5399999999999999E-2</v>
      </c>
      <c r="T320" s="18">
        <f>+[2]称号計算!Z325</f>
        <v>4.2634999999999996</v>
      </c>
      <c r="U320" s="11">
        <v>1</v>
      </c>
    </row>
    <row r="321" spans="1:21">
      <c r="A321" s="12" t="s">
        <v>1232</v>
      </c>
      <c r="B321" s="23" t="s">
        <v>1592</v>
      </c>
      <c r="C321" s="27">
        <f>+[2]称号計算!I326</f>
        <v>0.82869999999999999</v>
      </c>
      <c r="D321" s="5">
        <f>+[2]称号計算!J326</f>
        <v>1.1145</v>
      </c>
      <c r="E321" s="5">
        <f>+[2]称号計算!K326</f>
        <v>0.16239999999999999</v>
      </c>
      <c r="F321" s="5">
        <f>+[2]称号計算!L326</f>
        <v>3.2473000000000001</v>
      </c>
      <c r="G321" s="5">
        <f>+[2]称号計算!M326</f>
        <v>0.70660000000000001</v>
      </c>
      <c r="H321" s="13">
        <f>+[2]称号計算!N326</f>
        <v>0.7177</v>
      </c>
      <c r="I321" s="27">
        <f>+[2]称号計算!O326</f>
        <v>1.143</v>
      </c>
      <c r="J321" s="13">
        <f>+[2]称号計算!P326</f>
        <v>0.87239999999999995</v>
      </c>
      <c r="K321" s="27">
        <f>+[2]称号計算!Q326</f>
        <v>1.2001999999999999</v>
      </c>
      <c r="L321" s="5">
        <f>+[2]称号計算!R326</f>
        <v>1.6886000000000001</v>
      </c>
      <c r="M321" s="13">
        <f>+[2]称号計算!S326</f>
        <v>0.90920000000000001</v>
      </c>
      <c r="N321" s="27">
        <f>+[2]称号計算!T326</f>
        <v>0.32229999999999998</v>
      </c>
      <c r="O321" s="5">
        <f>+[2]称号計算!U326</f>
        <v>6.4500000000000002E-2</v>
      </c>
      <c r="P321" s="5">
        <f>+[2]称号計算!V326</f>
        <v>2.1499999999999998E-2</v>
      </c>
      <c r="Q321" s="5">
        <f>+[2]称号計算!W326</f>
        <v>2.1499999999999998E-2</v>
      </c>
      <c r="R321" s="5">
        <f>+[2]称号計算!X326</f>
        <v>1.61E-2</v>
      </c>
      <c r="S321" s="13">
        <f>+[2]称号計算!Y326</f>
        <v>1.61E-2</v>
      </c>
      <c r="T321" s="19">
        <f>+[2]称号計算!Z326</f>
        <v>5.4558999999999997</v>
      </c>
      <c r="U321" s="13">
        <v>1</v>
      </c>
    </row>
    <row r="322" spans="1:21">
      <c r="A322" s="12" t="s">
        <v>1233</v>
      </c>
      <c r="B322" s="23" t="s">
        <v>1593</v>
      </c>
      <c r="C322" s="27">
        <f>+[2]称号計算!I327</f>
        <v>1.4988999999999999</v>
      </c>
      <c r="D322" s="5">
        <f>+[2]称号計算!J327</f>
        <v>1.8067</v>
      </c>
      <c r="E322" s="5">
        <f>+[2]称号計算!K327</f>
        <v>0.20069999999999999</v>
      </c>
      <c r="F322" s="5">
        <f>+[2]称号計算!L327</f>
        <v>3.0415999999999999</v>
      </c>
      <c r="G322" s="5">
        <f>+[2]称号計算!M327</f>
        <v>2.0165999999999999</v>
      </c>
      <c r="H322" s="13">
        <f>+[2]称号計算!N327</f>
        <v>0.74460000000000004</v>
      </c>
      <c r="I322" s="27">
        <f>+[2]称号計算!O327</f>
        <v>0.73609999999999998</v>
      </c>
      <c r="J322" s="13">
        <f>+[2]称号計算!P327</f>
        <v>0.79079999999999995</v>
      </c>
      <c r="K322" s="27">
        <f>+[2]称号計算!Q327</f>
        <v>0.49519999999999997</v>
      </c>
      <c r="L322" s="5">
        <f>+[2]称号計算!R327</f>
        <v>1.0585</v>
      </c>
      <c r="M322" s="13">
        <f>+[2]称号計算!S327</f>
        <v>0.80049999999999999</v>
      </c>
      <c r="N322" s="27">
        <f>+[2]称号計算!T327</f>
        <v>4.4299999999999999E-2</v>
      </c>
      <c r="O322" s="5">
        <f>+[2]称号計算!U327</f>
        <v>4.4299999999999999E-2</v>
      </c>
      <c r="P322" s="5">
        <f>+[2]称号計算!V327</f>
        <v>0.66479999999999995</v>
      </c>
      <c r="Q322" s="5">
        <f>+[2]称号計算!W327</f>
        <v>0.16619999999999999</v>
      </c>
      <c r="R322" s="5">
        <f>+[2]称号計算!X327</f>
        <v>3.32E-2</v>
      </c>
      <c r="S322" s="13">
        <f>+[2]称号計算!Y327</f>
        <v>3.32E-2</v>
      </c>
      <c r="T322" s="19">
        <f>+[2]称号計算!Z327</f>
        <v>3.9937</v>
      </c>
      <c r="U322" s="13">
        <v>0.9</v>
      </c>
    </row>
    <row r="323" spans="1:21">
      <c r="A323" s="12" t="s">
        <v>1234</v>
      </c>
      <c r="B323" s="23" t="s">
        <v>1594</v>
      </c>
      <c r="C323" s="27">
        <f>+[2]称号計算!I328</f>
        <v>1.7997000000000001</v>
      </c>
      <c r="D323" s="5">
        <f>+[2]称号計算!J328</f>
        <v>0.63739999999999997</v>
      </c>
      <c r="E323" s="5">
        <f>+[2]称号計算!K328</f>
        <v>3.4085000000000001</v>
      </c>
      <c r="F323" s="5">
        <f>+[2]称号計算!L328</f>
        <v>0.34079999999999999</v>
      </c>
      <c r="G323" s="5">
        <f>+[2]称号計算!M328</f>
        <v>1.5065</v>
      </c>
      <c r="H323" s="13">
        <f>+[2]称号計算!N328</f>
        <v>0.98499999999999999</v>
      </c>
      <c r="I323" s="27">
        <f>+[2]称号計算!O328</f>
        <v>1.1998</v>
      </c>
      <c r="J323" s="13">
        <f>+[2]称号計算!P328</f>
        <v>0.94530000000000003</v>
      </c>
      <c r="K323" s="27">
        <f>+[2]称号計算!Q328</f>
        <v>0.83979999999999999</v>
      </c>
      <c r="L323" s="5">
        <f>+[2]称号計算!R328</f>
        <v>1.3633999999999999</v>
      </c>
      <c r="M323" s="13">
        <f>+[2]称号計算!S328</f>
        <v>0.76349999999999996</v>
      </c>
      <c r="N323" s="27">
        <f>+[2]称号計算!T328</f>
        <v>0.62880000000000003</v>
      </c>
      <c r="O323" s="5">
        <f>+[2]称号計算!U328</f>
        <v>0.1258</v>
      </c>
      <c r="P323" s="5">
        <f>+[2]称号計算!V328</f>
        <v>4.19E-2</v>
      </c>
      <c r="Q323" s="5">
        <f>+[2]称号計算!W328</f>
        <v>4.19E-2</v>
      </c>
      <c r="R323" s="5">
        <f>+[2]称号計算!X328</f>
        <v>3.1399999999999997E-2</v>
      </c>
      <c r="S323" s="13">
        <f>+[2]称号計算!Y328</f>
        <v>3.1399999999999997E-2</v>
      </c>
      <c r="T323" s="19">
        <f>+[2]称号計算!Z328</f>
        <v>4.9029999999999996</v>
      </c>
      <c r="U323" s="13">
        <v>0.55000000000000004</v>
      </c>
    </row>
    <row r="324" spans="1:21">
      <c r="A324" s="12" t="s">
        <v>1235</v>
      </c>
      <c r="B324" s="23" t="s">
        <v>1595</v>
      </c>
      <c r="C324" s="27">
        <f>+[2]称号計算!I329</f>
        <v>2.13</v>
      </c>
      <c r="D324" s="5">
        <f>+[2]称号計算!J329</f>
        <v>0.58699999999999997</v>
      </c>
      <c r="E324" s="5">
        <f>+[2]称号計算!K329</f>
        <v>3.8117000000000001</v>
      </c>
      <c r="F324" s="5">
        <f>+[2]称号計算!L329</f>
        <v>0.24779999999999999</v>
      </c>
      <c r="G324" s="5">
        <f>+[2]称号計算!M329</f>
        <v>1.3608</v>
      </c>
      <c r="H324" s="13">
        <f>+[2]称号計算!N329</f>
        <v>1.1405000000000001</v>
      </c>
      <c r="I324" s="27">
        <f>+[2]称号計算!O329</f>
        <v>1.0063</v>
      </c>
      <c r="J324" s="13">
        <f>+[2]称号計算!P329</f>
        <v>1.4205000000000001</v>
      </c>
      <c r="K324" s="27">
        <f>+[2]称号計算!Q329</f>
        <v>0.55349999999999999</v>
      </c>
      <c r="L324" s="5">
        <f>+[2]称号計算!R329</f>
        <v>0.80810000000000004</v>
      </c>
      <c r="M324" s="13">
        <f>+[2]称号計算!S329</f>
        <v>1.3233999999999999</v>
      </c>
      <c r="N324" s="27">
        <f>+[2]称号計算!T329</f>
        <v>0.1036</v>
      </c>
      <c r="O324" s="5">
        <f>+[2]称号計算!U329</f>
        <v>0.51800000000000002</v>
      </c>
      <c r="P324" s="5">
        <f>+[2]称号計算!V329</f>
        <v>3.4500000000000003E-2</v>
      </c>
      <c r="Q324" s="5">
        <f>+[2]称号計算!W329</f>
        <v>3.4500000000000003E-2</v>
      </c>
      <c r="R324" s="5">
        <f>+[2]称号計算!X329</f>
        <v>2.5899999999999999E-2</v>
      </c>
      <c r="S324" s="13">
        <f>+[2]称号計算!Y329</f>
        <v>2.5899999999999999E-2</v>
      </c>
      <c r="T324" s="19">
        <f>+[2]称号計算!Z329</f>
        <v>4.1969000000000003</v>
      </c>
      <c r="U324" s="13">
        <v>0.5</v>
      </c>
    </row>
    <row r="325" spans="1:21" ht="19.5" thickBot="1">
      <c r="A325" s="14" t="s">
        <v>1236</v>
      </c>
      <c r="B325" s="24" t="s">
        <v>1596</v>
      </c>
      <c r="C325" s="28">
        <f>+[2]称号計算!I330</f>
        <v>1.9041999999999999</v>
      </c>
      <c r="D325" s="15">
        <f>+[2]称号計算!J330</f>
        <v>1.4133</v>
      </c>
      <c r="E325" s="15">
        <f>+[2]称号計算!K330</f>
        <v>0.28739999999999999</v>
      </c>
      <c r="F325" s="15">
        <f>+[2]称号計算!L330</f>
        <v>3.3809999999999998</v>
      </c>
      <c r="G325" s="15">
        <f>+[2]称号計算!M330</f>
        <v>1.4139999999999999</v>
      </c>
      <c r="H325" s="16">
        <f>+[2]称号計算!N330</f>
        <v>1.2875000000000001</v>
      </c>
      <c r="I325" s="28">
        <f>+[2]称号計算!O330</f>
        <v>1.0414000000000001</v>
      </c>
      <c r="J325" s="16">
        <f>+[2]称号計算!P330</f>
        <v>0.87909999999999999</v>
      </c>
      <c r="K325" s="28">
        <f>+[2]称号計算!Q330</f>
        <v>0.83309999999999995</v>
      </c>
      <c r="L325" s="15">
        <f>+[2]称号計算!R330</f>
        <v>1.9610000000000001</v>
      </c>
      <c r="M325" s="16">
        <f>+[2]称号計算!S330</f>
        <v>0.58689999999999998</v>
      </c>
      <c r="N325" s="28">
        <f>+[2]称号計算!T330</f>
        <v>3.3599999999999998E-2</v>
      </c>
      <c r="O325" s="15">
        <f>+[2]称号計算!U330</f>
        <v>3.3599999999999998E-2</v>
      </c>
      <c r="P325" s="15">
        <f>+[2]称号計算!V330</f>
        <v>3.3599999999999998E-2</v>
      </c>
      <c r="Q325" s="15">
        <f>+[2]称号計算!W330</f>
        <v>3.3599999999999998E-2</v>
      </c>
      <c r="R325" s="15">
        <f>+[2]称号計算!X330</f>
        <v>0.67149999999999999</v>
      </c>
      <c r="S325" s="16">
        <f>+[2]称号計算!Y330</f>
        <v>8.9499999999999996E-2</v>
      </c>
      <c r="T325" s="20">
        <f>+[2]称号計算!Z330</f>
        <v>5.3293999999999997</v>
      </c>
      <c r="U325" s="16">
        <v>0.25</v>
      </c>
    </row>
    <row r="326" spans="1:21">
      <c r="A326" s="9" t="s">
        <v>1237</v>
      </c>
      <c r="B326" s="22" t="s">
        <v>1597</v>
      </c>
      <c r="C326" s="26">
        <f>+[2]称号計算!I331</f>
        <v>1.1960999999999999</v>
      </c>
      <c r="D326" s="10">
        <f>+[2]称号計算!J331</f>
        <v>2.1031</v>
      </c>
      <c r="E326" s="10">
        <f>+[2]称号計算!K331</f>
        <v>0.224</v>
      </c>
      <c r="F326" s="10">
        <f>+[2]称号計算!L331</f>
        <v>2.9872999999999998</v>
      </c>
      <c r="G326" s="10">
        <f>+[2]称号計算!M331</f>
        <v>0.89380000000000004</v>
      </c>
      <c r="H326" s="11">
        <f>+[2]称号計算!N331</f>
        <v>0.96489999999999998</v>
      </c>
      <c r="I326" s="26">
        <f>+[2]称号計算!O331</f>
        <v>0.52580000000000005</v>
      </c>
      <c r="J326" s="11">
        <f>+[2]称号計算!P331</f>
        <v>1.1392</v>
      </c>
      <c r="K326" s="26">
        <f>+[2]称号計算!Q331</f>
        <v>0.43380000000000002</v>
      </c>
      <c r="L326" s="10">
        <f>+[2]称号計算!R331</f>
        <v>0.76480000000000004</v>
      </c>
      <c r="M326" s="11">
        <f>+[2]称号計算!S331</f>
        <v>1.238</v>
      </c>
      <c r="N326" s="26">
        <f>+[2]称号計算!T331</f>
        <v>8.9800000000000005E-2</v>
      </c>
      <c r="O326" s="10">
        <f>+[2]称号計算!U331</f>
        <v>0.44890000000000002</v>
      </c>
      <c r="P326" s="10">
        <f>+[2]称号計算!V331</f>
        <v>2.9899999999999999E-2</v>
      </c>
      <c r="Q326" s="10">
        <f>+[2]称号計算!W331</f>
        <v>2.9899999999999999E-2</v>
      </c>
      <c r="R326" s="10">
        <f>+[2]称号計算!X331</f>
        <v>2.24E-2</v>
      </c>
      <c r="S326" s="11">
        <f>+[2]称号計算!Y331</f>
        <v>2.24E-2</v>
      </c>
      <c r="T326" s="18">
        <f>+[2]称号計算!Z331</f>
        <v>3.6373000000000002</v>
      </c>
      <c r="U326" s="11">
        <v>1</v>
      </c>
    </row>
    <row r="327" spans="1:21">
      <c r="A327" s="12" t="s">
        <v>1238</v>
      </c>
      <c r="B327" s="23" t="s">
        <v>1598</v>
      </c>
      <c r="C327" s="27">
        <f>+[2]称号計算!I332</f>
        <v>1.3543000000000001</v>
      </c>
      <c r="D327" s="5">
        <f>+[2]称号計算!J332</f>
        <v>2.2357999999999998</v>
      </c>
      <c r="E327" s="5">
        <f>+[2]称号計算!K332</f>
        <v>0.18870000000000001</v>
      </c>
      <c r="F327" s="5">
        <f>+[2]称号計算!L332</f>
        <v>2.9037000000000002</v>
      </c>
      <c r="G327" s="5">
        <f>+[2]称号計算!M332</f>
        <v>0.76019999999999999</v>
      </c>
      <c r="H327" s="13">
        <f>+[2]称号計算!N332</f>
        <v>2.0238999999999998</v>
      </c>
      <c r="I327" s="27">
        <f>+[2]称号計算!O332</f>
        <v>0.57489999999999997</v>
      </c>
      <c r="J327" s="13">
        <f>+[2]称号計算!P332</f>
        <v>0.7298</v>
      </c>
      <c r="K327" s="27">
        <f>+[2]称号計算!Q332</f>
        <v>0.48549999999999999</v>
      </c>
      <c r="L327" s="5">
        <f>+[2]称号計算!R332</f>
        <v>0.97560000000000002</v>
      </c>
      <c r="M327" s="13">
        <f>+[2]称号計算!S332</f>
        <v>0.86180000000000001</v>
      </c>
      <c r="N327" s="27">
        <f>+[2]称号計算!T332</f>
        <v>0.71230000000000004</v>
      </c>
      <c r="O327" s="5">
        <f>+[2]称号計算!U332</f>
        <v>0.14249999999999999</v>
      </c>
      <c r="P327" s="5">
        <f>+[2]称号計算!V332</f>
        <v>4.7500000000000001E-2</v>
      </c>
      <c r="Q327" s="5">
        <f>+[2]称号計算!W332</f>
        <v>4.7500000000000001E-2</v>
      </c>
      <c r="R327" s="5">
        <f>+[2]称号計算!X332</f>
        <v>3.56E-2</v>
      </c>
      <c r="S327" s="13">
        <f>+[2]称号計算!Y332</f>
        <v>3.56E-2</v>
      </c>
      <c r="T327" s="19">
        <f>+[2]称号計算!Z332</f>
        <v>4.0010000000000003</v>
      </c>
      <c r="U327" s="13">
        <v>1</v>
      </c>
    </row>
    <row r="328" spans="1:21">
      <c r="A328" s="12" t="s">
        <v>1239</v>
      </c>
      <c r="B328" s="23" t="s">
        <v>1599</v>
      </c>
      <c r="C328" s="27">
        <f>+[2]称号計算!I333</f>
        <v>0.72899999999999998</v>
      </c>
      <c r="D328" s="5">
        <f>+[2]称号計算!J333</f>
        <v>1.9883</v>
      </c>
      <c r="E328" s="5">
        <f>+[2]称号計算!K333</f>
        <v>0.24099999999999999</v>
      </c>
      <c r="F328" s="5">
        <f>+[2]称号計算!L333</f>
        <v>3.0125000000000002</v>
      </c>
      <c r="G328" s="5">
        <f>+[2]称号計算!M333</f>
        <v>1.4852000000000001</v>
      </c>
      <c r="H328" s="13">
        <f>+[2]称号計算!N333</f>
        <v>2.3046000000000002</v>
      </c>
      <c r="I328" s="27">
        <f>+[2]称号計算!O333</f>
        <v>0.5302</v>
      </c>
      <c r="J328" s="13">
        <f>+[2]称号計算!P333</f>
        <v>0.72060000000000002</v>
      </c>
      <c r="K328" s="27">
        <f>+[2]称号計算!Q333</f>
        <v>0.58320000000000005</v>
      </c>
      <c r="L328" s="5">
        <f>+[2]称号計算!R333</f>
        <v>1.0604</v>
      </c>
      <c r="M328" s="13">
        <f>+[2]称号計算!S333</f>
        <v>1.0628</v>
      </c>
      <c r="N328" s="27">
        <f>+[2]称号計算!T333</f>
        <v>5.4899999999999997E-2</v>
      </c>
      <c r="O328" s="5">
        <f>+[2]称号計算!U333</f>
        <v>5.4899999999999997E-2</v>
      </c>
      <c r="P328" s="5">
        <f>+[2]称号計算!V333</f>
        <v>0.82310000000000005</v>
      </c>
      <c r="Q328" s="5">
        <f>+[2]称号計算!W333</f>
        <v>0.20580000000000001</v>
      </c>
      <c r="R328" s="5">
        <f>+[2]称号計算!X333</f>
        <v>4.1200000000000001E-2</v>
      </c>
      <c r="S328" s="13">
        <f>+[2]称号計算!Y333</f>
        <v>4.1200000000000001E-2</v>
      </c>
      <c r="T328" s="19">
        <f>+[2]称号計算!Z333</f>
        <v>4.4202000000000004</v>
      </c>
      <c r="U328" s="13">
        <v>0.9</v>
      </c>
    </row>
    <row r="329" spans="1:21">
      <c r="A329" s="12" t="s">
        <v>1240</v>
      </c>
      <c r="B329" s="23" t="s">
        <v>1600</v>
      </c>
      <c r="C329" s="27">
        <f>+[2]称号計算!I334</f>
        <v>0.99729999999999996</v>
      </c>
      <c r="D329" s="5">
        <f>+[2]称号計算!J334</f>
        <v>0.36820000000000003</v>
      </c>
      <c r="E329" s="5">
        <f>+[2]称号計算!K334</f>
        <v>3.4872000000000001</v>
      </c>
      <c r="F329" s="5">
        <f>+[2]称号計算!L334</f>
        <v>0.22670000000000001</v>
      </c>
      <c r="G329" s="5">
        <f>+[2]称号計算!M334</f>
        <v>0.73509999999999998</v>
      </c>
      <c r="H329" s="13">
        <f>+[2]称号計算!N334</f>
        <v>0.80620000000000003</v>
      </c>
      <c r="I329" s="27">
        <f>+[2]称号計算!O334</f>
        <v>2.7618</v>
      </c>
      <c r="J329" s="13">
        <f>+[2]称号計算!P334</f>
        <v>1.2693000000000001</v>
      </c>
      <c r="K329" s="27">
        <f>+[2]称号計算!Q334</f>
        <v>0.96660000000000001</v>
      </c>
      <c r="L329" s="5">
        <f>+[2]称号計算!R334</f>
        <v>1.8831</v>
      </c>
      <c r="M329" s="13">
        <f>+[2]称号計算!S334</f>
        <v>0.8397</v>
      </c>
      <c r="N329" s="27">
        <f>+[2]称号計算!T334</f>
        <v>0.3901</v>
      </c>
      <c r="O329" s="5">
        <f>+[2]称号計算!U334</f>
        <v>7.8E-2</v>
      </c>
      <c r="P329" s="5">
        <f>+[2]称号計算!V334</f>
        <v>2.5999999999999999E-2</v>
      </c>
      <c r="Q329" s="5">
        <f>+[2]称号計算!W334</f>
        <v>2.5999999999999999E-2</v>
      </c>
      <c r="R329" s="5">
        <f>+[2]称号計算!X334</f>
        <v>1.95E-2</v>
      </c>
      <c r="S329" s="13">
        <f>+[2]称号計算!Y334</f>
        <v>1.95E-2</v>
      </c>
      <c r="T329" s="19">
        <f>+[2]称号計算!Z334</f>
        <v>5.3780000000000001</v>
      </c>
      <c r="U329" s="13">
        <v>0.55000000000000004</v>
      </c>
    </row>
    <row r="330" spans="1:21">
      <c r="A330" s="12" t="s">
        <v>1241</v>
      </c>
      <c r="B330" s="23" t="s">
        <v>1601</v>
      </c>
      <c r="C330" s="27">
        <f>+[2]称号計算!I335</f>
        <v>2.0305</v>
      </c>
      <c r="D330" s="5">
        <f>+[2]称号計算!J335</f>
        <v>0.90339999999999998</v>
      </c>
      <c r="E330" s="5">
        <f>+[2]称号計算!K335</f>
        <v>3.9108999999999998</v>
      </c>
      <c r="F330" s="5">
        <f>+[2]称号計算!L335</f>
        <v>0.27379999999999999</v>
      </c>
      <c r="G330" s="5">
        <f>+[2]称号計算!M335</f>
        <v>1.5159</v>
      </c>
      <c r="H330" s="13">
        <f>+[2]称号計算!N335</f>
        <v>1.5159</v>
      </c>
      <c r="I330" s="27">
        <f>+[2]称号計算!O335</f>
        <v>0.68830000000000002</v>
      </c>
      <c r="J330" s="13">
        <f>+[2]称号計算!P335</f>
        <v>0.96940000000000004</v>
      </c>
      <c r="K330" s="27">
        <f>+[2]称号計算!Q335</f>
        <v>0.7399</v>
      </c>
      <c r="L330" s="5">
        <f>+[2]称号計算!R335</f>
        <v>1.3766</v>
      </c>
      <c r="M330" s="13">
        <f>+[2]称号計算!S335</f>
        <v>1.0403</v>
      </c>
      <c r="N330" s="27">
        <f>+[2]称号計算!T335</f>
        <v>0.17960000000000001</v>
      </c>
      <c r="O330" s="5">
        <f>+[2]称号計算!U335</f>
        <v>0.89790000000000003</v>
      </c>
      <c r="P330" s="5">
        <f>+[2]称号計算!V335</f>
        <v>5.9900000000000002E-2</v>
      </c>
      <c r="Q330" s="5">
        <f>+[2]称号計算!W335</f>
        <v>5.9900000000000002E-2</v>
      </c>
      <c r="R330" s="5">
        <f>+[2]称号計算!X335</f>
        <v>4.4900000000000002E-2</v>
      </c>
      <c r="S330" s="13">
        <f>+[2]称号計算!Y335</f>
        <v>4.4900000000000002E-2</v>
      </c>
      <c r="T330" s="19">
        <f>+[2]称号計算!Z335</f>
        <v>4.7804000000000002</v>
      </c>
      <c r="U330" s="13">
        <v>0.5</v>
      </c>
    </row>
    <row r="331" spans="1:21" ht="19.5" thickBot="1">
      <c r="A331" s="14" t="s">
        <v>1242</v>
      </c>
      <c r="B331" s="24" t="s">
        <v>1602</v>
      </c>
      <c r="C331" s="28">
        <f>+[2]称号計算!I336</f>
        <v>1.468</v>
      </c>
      <c r="D331" s="15">
        <f>+[2]称号計算!J336</f>
        <v>3.7768000000000002</v>
      </c>
      <c r="E331" s="15">
        <f>+[2]称号計算!K336</f>
        <v>0.22670000000000001</v>
      </c>
      <c r="F331" s="15">
        <f>+[2]称号計算!L336</f>
        <v>3.2391000000000001</v>
      </c>
      <c r="G331" s="15">
        <f>+[2]称号計算!M336</f>
        <v>1.0572999999999999</v>
      </c>
      <c r="H331" s="16">
        <f>+[2]称号計算!N336</f>
        <v>1.2995000000000001</v>
      </c>
      <c r="I331" s="28">
        <f>+[2]称号計算!O336</f>
        <v>0.9264</v>
      </c>
      <c r="J331" s="16">
        <f>+[2]称号計算!P336</f>
        <v>0.81410000000000005</v>
      </c>
      <c r="K331" s="28">
        <f>+[2]称号計算!Q336</f>
        <v>0.59860000000000002</v>
      </c>
      <c r="L331" s="15">
        <f>+[2]称号計算!R336</f>
        <v>1.1660999999999999</v>
      </c>
      <c r="M331" s="16">
        <f>+[2]称号計算!S336</f>
        <v>1.0158</v>
      </c>
      <c r="N331" s="28">
        <f>+[2]称号計算!T336</f>
        <v>3.3700000000000001E-2</v>
      </c>
      <c r="O331" s="15">
        <f>+[2]称号計算!U336</f>
        <v>3.3700000000000001E-2</v>
      </c>
      <c r="P331" s="15">
        <f>+[2]称号計算!V336</f>
        <v>3.3700000000000001E-2</v>
      </c>
      <c r="Q331" s="15">
        <f>+[2]称号計算!W336</f>
        <v>3.3700000000000001E-2</v>
      </c>
      <c r="R331" s="15">
        <f>+[2]称号計算!X336</f>
        <v>0.6734</v>
      </c>
      <c r="S331" s="16">
        <f>+[2]称号計算!Y336</f>
        <v>8.9800000000000005E-2</v>
      </c>
      <c r="T331" s="20">
        <f>+[2]称号計算!Z336</f>
        <v>4.9363000000000001</v>
      </c>
      <c r="U331" s="16">
        <v>0.25</v>
      </c>
    </row>
    <row r="332" spans="1:21">
      <c r="A332" s="9" t="s">
        <v>1243</v>
      </c>
      <c r="B332" s="22" t="s">
        <v>1603</v>
      </c>
      <c r="C332" s="26">
        <f>+[2]称号計算!I337</f>
        <v>1.0568</v>
      </c>
      <c r="D332" s="10">
        <f>+[2]称号計算!J337</f>
        <v>1.7398</v>
      </c>
      <c r="E332" s="10">
        <f>+[2]称号計算!K337</f>
        <v>0.1757</v>
      </c>
      <c r="F332" s="10">
        <f>+[2]称号計算!L337</f>
        <v>2.9289999999999998</v>
      </c>
      <c r="G332" s="10">
        <f>+[2]称号計算!M337</f>
        <v>0.80659999999999998</v>
      </c>
      <c r="H332" s="11">
        <f>+[2]称号計算!N337</f>
        <v>0.86639999999999995</v>
      </c>
      <c r="I332" s="26">
        <f>+[2]称号計算!O337</f>
        <v>1.5465</v>
      </c>
      <c r="J332" s="11">
        <f>+[2]称号計算!P337</f>
        <v>1.2946</v>
      </c>
      <c r="K332" s="26">
        <f>+[2]称号計算!Q337</f>
        <v>0.59279999999999999</v>
      </c>
      <c r="L332" s="10">
        <f>+[2]称号計算!R337</f>
        <v>0.79669999999999996</v>
      </c>
      <c r="M332" s="11">
        <f>+[2]称号計算!S337</f>
        <v>1.1646000000000001</v>
      </c>
      <c r="N332" s="26">
        <f>+[2]称号計算!T337</f>
        <v>0.40460000000000002</v>
      </c>
      <c r="O332" s="10">
        <f>+[2]称号計算!U337</f>
        <v>8.09E-2</v>
      </c>
      <c r="P332" s="10">
        <f>+[2]称号計算!V337</f>
        <v>2.7E-2</v>
      </c>
      <c r="Q332" s="10">
        <f>+[2]称号計算!W337</f>
        <v>2.7E-2</v>
      </c>
      <c r="R332" s="10">
        <f>+[2]称号計算!X337</f>
        <v>2.0199999999999999E-2</v>
      </c>
      <c r="S332" s="11">
        <f>+[2]称号計算!Y337</f>
        <v>2.0199999999999999E-2</v>
      </c>
      <c r="T332" s="18">
        <f>+[2]称号計算!Z337</f>
        <v>4.2511000000000001</v>
      </c>
      <c r="U332" s="11">
        <v>0.55000000000000004</v>
      </c>
    </row>
    <row r="333" spans="1:21">
      <c r="A333" s="12" t="s">
        <v>1244</v>
      </c>
      <c r="B333" s="23" t="s">
        <v>1604</v>
      </c>
      <c r="C333" s="27">
        <f>+[2]称号計算!I338</f>
        <v>1.6218999999999999</v>
      </c>
      <c r="D333" s="5">
        <f>+[2]称号計算!J338</f>
        <v>2.5487000000000002</v>
      </c>
      <c r="E333" s="5">
        <f>+[2]称号計算!K338</f>
        <v>0.22120000000000001</v>
      </c>
      <c r="F333" s="5">
        <f>+[2]称号計算!L338</f>
        <v>2.6328999999999998</v>
      </c>
      <c r="G333" s="5">
        <f>+[2]称号計算!M338</f>
        <v>0.85040000000000004</v>
      </c>
      <c r="H333" s="13">
        <f>+[2]称号計算!N338</f>
        <v>1.5039</v>
      </c>
      <c r="I333" s="27">
        <f>+[2]称号計算!O338</f>
        <v>1.3323</v>
      </c>
      <c r="J333" s="13">
        <f>+[2]称号計算!P338</f>
        <v>0.88990000000000002</v>
      </c>
      <c r="K333" s="27">
        <f>+[2]称号計算!Q338</f>
        <v>0.27800000000000002</v>
      </c>
      <c r="L333" s="5">
        <f>+[2]称号計算!R338</f>
        <v>0.75829999999999997</v>
      </c>
      <c r="M333" s="13">
        <f>+[2]称号計算!S338</f>
        <v>0.98050000000000004</v>
      </c>
      <c r="N333" s="27">
        <f>+[2]称号計算!T338</f>
        <v>0.14380000000000001</v>
      </c>
      <c r="O333" s="5">
        <f>+[2]称号計算!U338</f>
        <v>0.71899999999999997</v>
      </c>
      <c r="P333" s="5">
        <f>+[2]称号計算!V338</f>
        <v>4.7899999999999998E-2</v>
      </c>
      <c r="Q333" s="5">
        <f>+[2]称号計算!W338</f>
        <v>4.7899999999999998E-2</v>
      </c>
      <c r="R333" s="5">
        <f>+[2]称号計算!X338</f>
        <v>3.5999999999999997E-2</v>
      </c>
      <c r="S333" s="13">
        <f>+[2]称号計算!Y338</f>
        <v>3.5999999999999997E-2</v>
      </c>
      <c r="T333" s="19">
        <f>+[2]称号計算!Z338</f>
        <v>3.6315</v>
      </c>
      <c r="U333" s="13">
        <v>0.5</v>
      </c>
    </row>
    <row r="334" spans="1:21">
      <c r="A334" s="12" t="s">
        <v>1245</v>
      </c>
      <c r="B334" s="23" t="s">
        <v>1605</v>
      </c>
      <c r="C334" s="27">
        <f>+[2]称号計算!I339</f>
        <v>1.1692</v>
      </c>
      <c r="D334" s="5">
        <f>+[2]称号計算!J339</f>
        <v>1.7238</v>
      </c>
      <c r="E334" s="5">
        <f>+[2]称号計算!K339</f>
        <v>0.3407</v>
      </c>
      <c r="F334" s="5">
        <f>+[2]称号計算!L339</f>
        <v>3.4066999999999998</v>
      </c>
      <c r="G334" s="5">
        <f>+[2]称号計算!M339</f>
        <v>0.86870000000000003</v>
      </c>
      <c r="H334" s="13">
        <f>+[2]称号計算!N339</f>
        <v>0.92659999999999998</v>
      </c>
      <c r="I334" s="27">
        <f>+[2]称号計算!O339</f>
        <v>1.6488</v>
      </c>
      <c r="J334" s="13">
        <f>+[2]称号計算!P339</f>
        <v>0.97430000000000005</v>
      </c>
      <c r="K334" s="27">
        <f>+[2]称号計算!Q339</f>
        <v>0.65949999999999998</v>
      </c>
      <c r="L334" s="5">
        <f>+[2]称号計算!R339</f>
        <v>1.4988999999999999</v>
      </c>
      <c r="M334" s="13">
        <f>+[2]称号計算!S339</f>
        <v>1.0492999999999999</v>
      </c>
      <c r="N334" s="27">
        <f>+[2]称号計算!T339</f>
        <v>2.4E-2</v>
      </c>
      <c r="O334" s="5">
        <f>+[2]称号計算!U339</f>
        <v>2.4E-2</v>
      </c>
      <c r="P334" s="5">
        <f>+[2]称号計算!V339</f>
        <v>2.4E-2</v>
      </c>
      <c r="Q334" s="5">
        <f>+[2]称号計算!W339</f>
        <v>2.4E-2</v>
      </c>
      <c r="R334" s="5">
        <f>+[2]称号計算!X339</f>
        <v>0.47939999999999999</v>
      </c>
      <c r="S334" s="13">
        <f>+[2]称号計算!Y339</f>
        <v>6.3899999999999998E-2</v>
      </c>
      <c r="T334" s="19">
        <f>+[2]称号計算!Z339</f>
        <v>4.5970000000000004</v>
      </c>
      <c r="U334" s="13">
        <v>0.25</v>
      </c>
    </row>
    <row r="335" spans="1:21">
      <c r="A335" s="12" t="s">
        <v>1246</v>
      </c>
      <c r="B335" s="23" t="s">
        <v>1606</v>
      </c>
      <c r="C335" s="27">
        <f>+[2]称号計算!I340</f>
        <v>2.2886000000000002</v>
      </c>
      <c r="D335" s="5">
        <f>+[2]称号計算!J340</f>
        <v>0.77839999999999998</v>
      </c>
      <c r="E335" s="5">
        <f>+[2]称号計算!K340</f>
        <v>3.5384000000000002</v>
      </c>
      <c r="F335" s="5">
        <f>+[2]称号計算!L340</f>
        <v>0.26889999999999997</v>
      </c>
      <c r="G335" s="5">
        <f>+[2]称号計算!M340</f>
        <v>1.1068</v>
      </c>
      <c r="H335" s="13">
        <f>+[2]称号計算!N340</f>
        <v>2.6467000000000001</v>
      </c>
      <c r="I335" s="27">
        <f>+[2]称号計算!O340</f>
        <v>0.77839999999999998</v>
      </c>
      <c r="J335" s="13">
        <f>+[2]称号計算!P340</f>
        <v>0.92</v>
      </c>
      <c r="K335" s="27">
        <f>+[2]称号計算!Q340</f>
        <v>0.63829999999999998</v>
      </c>
      <c r="L335" s="5">
        <f>+[2]称号計算!R340</f>
        <v>1.1181000000000001</v>
      </c>
      <c r="M335" s="13">
        <f>+[2]称号計算!S340</f>
        <v>0.83220000000000005</v>
      </c>
      <c r="N335" s="27">
        <f>+[2]称号計算!T340</f>
        <v>0.1527</v>
      </c>
      <c r="O335" s="5">
        <f>+[2]称号計算!U340</f>
        <v>0.76359999999999995</v>
      </c>
      <c r="P335" s="5">
        <f>+[2]称号計算!V340</f>
        <v>5.0900000000000001E-2</v>
      </c>
      <c r="Q335" s="5">
        <f>+[2]称号計算!W340</f>
        <v>5.0900000000000001E-2</v>
      </c>
      <c r="R335" s="5">
        <f>+[2]称号計算!X340</f>
        <v>3.8199999999999998E-2</v>
      </c>
      <c r="S335" s="13">
        <f>+[2]称号計算!Y340</f>
        <v>3.8199999999999998E-2</v>
      </c>
      <c r="T335" s="19">
        <f>+[2]称号計算!Z340</f>
        <v>4.6816000000000004</v>
      </c>
      <c r="U335" s="13">
        <v>1</v>
      </c>
    </row>
    <row r="336" spans="1:21">
      <c r="A336" s="12" t="s">
        <v>1247</v>
      </c>
      <c r="B336" s="23" t="s">
        <v>1607</v>
      </c>
      <c r="C336" s="27">
        <f>+[2]称号計算!I341</f>
        <v>3.5360999999999998</v>
      </c>
      <c r="D336" s="5">
        <f>+[2]称号計算!J341</f>
        <v>0.51749999999999996</v>
      </c>
      <c r="E336" s="5">
        <f>+[2]称号計算!K341</f>
        <v>3.9203000000000001</v>
      </c>
      <c r="F336" s="5">
        <f>+[2]称号計算!L341</f>
        <v>0.3528</v>
      </c>
      <c r="G336" s="5">
        <f>+[2]称号計算!M341</f>
        <v>2.0259999999999998</v>
      </c>
      <c r="H336" s="13">
        <f>+[2]称号計算!N341</f>
        <v>1.7327999999999999</v>
      </c>
      <c r="I336" s="27">
        <f>+[2]称号計算!O341</f>
        <v>0.43120000000000003</v>
      </c>
      <c r="J336" s="13">
        <f>+[2]称号計算!P341</f>
        <v>0.9173</v>
      </c>
      <c r="K336" s="27">
        <f>+[2]称号計算!Q341</f>
        <v>0.3967</v>
      </c>
      <c r="L336" s="5">
        <f>+[2]称号計算!R341</f>
        <v>0.79969999999999997</v>
      </c>
      <c r="M336" s="13">
        <f>+[2]称号計算!S341</f>
        <v>0.93300000000000005</v>
      </c>
      <c r="N336" s="27">
        <f>+[2]称号計算!T341</f>
        <v>0.747</v>
      </c>
      <c r="O336" s="5">
        <f>+[2]称号計算!U341</f>
        <v>0.14940000000000001</v>
      </c>
      <c r="P336" s="5">
        <f>+[2]称号計算!V341</f>
        <v>4.9799999999999997E-2</v>
      </c>
      <c r="Q336" s="5">
        <f>+[2]称号計算!W341</f>
        <v>4.9799999999999997E-2</v>
      </c>
      <c r="R336" s="5">
        <f>+[2]称号計算!X341</f>
        <v>3.7400000000000003E-2</v>
      </c>
      <c r="S336" s="13">
        <f>+[2]称号計算!Y341</f>
        <v>3.7400000000000003E-2</v>
      </c>
      <c r="T336" s="19">
        <f>+[2]称号計算!Z341</f>
        <v>4.1070000000000002</v>
      </c>
      <c r="U336" s="13">
        <v>1</v>
      </c>
    </row>
    <row r="337" spans="1:21" ht="19.5" thickBot="1">
      <c r="A337" s="14" t="s">
        <v>1248</v>
      </c>
      <c r="B337" s="24" t="s">
        <v>1608</v>
      </c>
      <c r="C337" s="28">
        <f>+[2]称号計算!I342</f>
        <v>1.6486000000000001</v>
      </c>
      <c r="D337" s="15">
        <f>+[2]称号計算!J342</f>
        <v>1.7919</v>
      </c>
      <c r="E337" s="15">
        <f>+[2]称号計算!K342</f>
        <v>0.4073</v>
      </c>
      <c r="F337" s="15">
        <f>+[2]称号計算!L342</f>
        <v>4.0724999999999998</v>
      </c>
      <c r="G337" s="15">
        <f>+[2]称号計算!M342</f>
        <v>1.3153999999999999</v>
      </c>
      <c r="H337" s="16">
        <f>+[2]称号計算!N342</f>
        <v>1.4539</v>
      </c>
      <c r="I337" s="28">
        <f>+[2]称号計算!O342</f>
        <v>0.89600000000000002</v>
      </c>
      <c r="J337" s="16">
        <f>+[2]称号計算!P342</f>
        <v>1.0589</v>
      </c>
      <c r="K337" s="28">
        <f>+[2]称号計算!Q342</f>
        <v>0.71679999999999999</v>
      </c>
      <c r="L337" s="15">
        <f>+[2]称号計算!R342</f>
        <v>1.7104999999999999</v>
      </c>
      <c r="M337" s="16">
        <f>+[2]称号計算!S342</f>
        <v>1.1403000000000001</v>
      </c>
      <c r="N337" s="28">
        <f>+[2]称号計算!T342</f>
        <v>4.3200000000000002E-2</v>
      </c>
      <c r="O337" s="15">
        <f>+[2]称号計算!U342</f>
        <v>4.3200000000000002E-2</v>
      </c>
      <c r="P337" s="15">
        <f>+[2]称号計算!V342</f>
        <v>0.64849999999999997</v>
      </c>
      <c r="Q337" s="15">
        <f>+[2]称号計算!W342</f>
        <v>0.16209999999999999</v>
      </c>
      <c r="R337" s="15">
        <f>+[2]称号計算!X342</f>
        <v>3.2399999999999998E-2</v>
      </c>
      <c r="S337" s="16">
        <f>+[2]称号計算!Y342</f>
        <v>3.2399999999999998E-2</v>
      </c>
      <c r="T337" s="20">
        <f>+[2]称号計算!Z342</f>
        <v>5.0437000000000003</v>
      </c>
      <c r="U337" s="16">
        <v>0.9</v>
      </c>
    </row>
    <row r="338" spans="1:21">
      <c r="A338" s="9" t="s">
        <v>1249</v>
      </c>
      <c r="B338" s="22" t="s">
        <v>1609</v>
      </c>
      <c r="C338" s="26">
        <f>+[2]称号計算!I343</f>
        <v>1.1294999999999999</v>
      </c>
      <c r="D338" s="10">
        <f>+[2]称号計算!J343</f>
        <v>1.2867</v>
      </c>
      <c r="E338" s="10">
        <f>+[2]称号計算!K343</f>
        <v>0.17219999999999999</v>
      </c>
      <c r="F338" s="10">
        <f>+[2]称号計算!L343</f>
        <v>3.2492999999999999</v>
      </c>
      <c r="G338" s="10">
        <f>+[2]称号計算!M343</f>
        <v>0.93910000000000005</v>
      </c>
      <c r="H338" s="11">
        <f>+[2]称号計算!N343</f>
        <v>0.89490000000000003</v>
      </c>
      <c r="I338" s="26">
        <f>+[2]称号計算!O343</f>
        <v>0.92930000000000001</v>
      </c>
      <c r="J338" s="11">
        <f>+[2]称号計算!P343</f>
        <v>0.81669999999999998</v>
      </c>
      <c r="K338" s="26">
        <f>+[2]称号計算!Q343</f>
        <v>1.1437999999999999</v>
      </c>
      <c r="L338" s="10">
        <f>+[2]称号計算!R343</f>
        <v>2.2355</v>
      </c>
      <c r="M338" s="11">
        <f>+[2]称号計算!S343</f>
        <v>0.6915</v>
      </c>
      <c r="N338" s="26">
        <f>+[2]称号計算!T343</f>
        <v>0.38850000000000001</v>
      </c>
      <c r="O338" s="10">
        <f>+[2]称号計算!U343</f>
        <v>7.7700000000000005E-2</v>
      </c>
      <c r="P338" s="10">
        <f>+[2]称号計算!V343</f>
        <v>2.5899999999999999E-2</v>
      </c>
      <c r="Q338" s="10">
        <f>+[2]称号計算!W343</f>
        <v>2.5899999999999999E-2</v>
      </c>
      <c r="R338" s="10">
        <f>+[2]称号計算!X343</f>
        <v>1.9400000000000001E-2</v>
      </c>
      <c r="S338" s="11">
        <f>+[2]称号計算!Y343</f>
        <v>1.9400000000000001E-2</v>
      </c>
      <c r="T338" s="18">
        <f>+[2]称号計算!Z343</f>
        <v>5.6951000000000001</v>
      </c>
      <c r="U338" s="11">
        <v>0.55000000000000004</v>
      </c>
    </row>
    <row r="339" spans="1:21">
      <c r="A339" s="12" t="s">
        <v>1250</v>
      </c>
      <c r="B339" s="23" t="s">
        <v>1610</v>
      </c>
      <c r="C339" s="27">
        <f>+[2]称号計算!I344</f>
        <v>1.7172000000000001</v>
      </c>
      <c r="D339" s="5">
        <f>+[2]称号計算!J344</f>
        <v>1.431</v>
      </c>
      <c r="E339" s="5">
        <f>+[2]称号計算!K344</f>
        <v>0.32519999999999999</v>
      </c>
      <c r="F339" s="5">
        <f>+[2]称号計算!L344</f>
        <v>3.2523</v>
      </c>
      <c r="G339" s="5">
        <f>+[2]称号計算!M344</f>
        <v>1.4375</v>
      </c>
      <c r="H339" s="13">
        <f>+[2]称号計算!N344</f>
        <v>0.93989999999999996</v>
      </c>
      <c r="I339" s="27">
        <f>+[2]称号計算!O344</f>
        <v>1.1448</v>
      </c>
      <c r="J339" s="13">
        <f>+[2]称号計算!P344</f>
        <v>0.90200000000000002</v>
      </c>
      <c r="K339" s="27">
        <f>+[2]称号計算!Q344</f>
        <v>0.8014</v>
      </c>
      <c r="L339" s="5">
        <f>+[2]称号計算!R344</f>
        <v>1.3008999999999999</v>
      </c>
      <c r="M339" s="13">
        <f>+[2]称号計算!S344</f>
        <v>0.91059999999999997</v>
      </c>
      <c r="N339" s="27">
        <f>+[2]称号計算!T344</f>
        <v>0.1201</v>
      </c>
      <c r="O339" s="5">
        <f>+[2]称号計算!U344</f>
        <v>0.60050000000000003</v>
      </c>
      <c r="P339" s="5">
        <f>+[2]称号計算!V344</f>
        <v>0.04</v>
      </c>
      <c r="Q339" s="5">
        <f>+[2]称号計算!W344</f>
        <v>0.04</v>
      </c>
      <c r="R339" s="5">
        <f>+[2]称号計算!X344</f>
        <v>0.03</v>
      </c>
      <c r="S339" s="13">
        <f>+[2]称号計算!Y344</f>
        <v>0.03</v>
      </c>
      <c r="T339" s="19">
        <f>+[2]称号計算!Z344</f>
        <v>5.0355999999999996</v>
      </c>
      <c r="U339" s="13">
        <v>0.5</v>
      </c>
    </row>
    <row r="340" spans="1:21">
      <c r="A340" s="12" t="s">
        <v>1251</v>
      </c>
      <c r="B340" s="23" t="s">
        <v>1611</v>
      </c>
      <c r="C340" s="27">
        <f>+[2]称号計算!I345</f>
        <v>0.97660000000000002</v>
      </c>
      <c r="D340" s="5">
        <f>+[2]称号計算!J345</f>
        <v>1.3132999999999999</v>
      </c>
      <c r="E340" s="5">
        <f>+[2]称号計算!K345</f>
        <v>0.1913</v>
      </c>
      <c r="F340" s="5">
        <f>+[2]称号計算!L345</f>
        <v>3.8267000000000002</v>
      </c>
      <c r="G340" s="5">
        <f>+[2]称号計算!M345</f>
        <v>0.8327</v>
      </c>
      <c r="H340" s="13">
        <f>+[2]称号計算!N345</f>
        <v>0.84570000000000001</v>
      </c>
      <c r="I340" s="27">
        <f>+[2]称号計算!O345</f>
        <v>1.347</v>
      </c>
      <c r="J340" s="13">
        <f>+[2]称号計算!P345</f>
        <v>1.0281</v>
      </c>
      <c r="K340" s="27">
        <f>+[2]称号計算!Q345</f>
        <v>1.4144000000000001</v>
      </c>
      <c r="L340" s="5">
        <f>+[2]称号計算!R345</f>
        <v>1.9899</v>
      </c>
      <c r="M340" s="13">
        <f>+[2]称号計算!S345</f>
        <v>1.0714999999999999</v>
      </c>
      <c r="N340" s="27">
        <f>+[2]称号計算!T345</f>
        <v>1.9E-2</v>
      </c>
      <c r="O340" s="5">
        <f>+[2]称号計算!U345</f>
        <v>1.9E-2</v>
      </c>
      <c r="P340" s="5">
        <f>+[2]称号計算!V345</f>
        <v>1.9E-2</v>
      </c>
      <c r="Q340" s="5">
        <f>+[2]称号計算!W345</f>
        <v>1.9E-2</v>
      </c>
      <c r="R340" s="5">
        <f>+[2]称号計算!X345</f>
        <v>0.37980000000000003</v>
      </c>
      <c r="S340" s="13">
        <f>+[2]称号計算!Y345</f>
        <v>5.0599999999999999E-2</v>
      </c>
      <c r="T340" s="19">
        <f>+[2]称号計算!Z345</f>
        <v>6.4294000000000002</v>
      </c>
      <c r="U340" s="13">
        <v>0.25</v>
      </c>
    </row>
    <row r="341" spans="1:21">
      <c r="A341" s="12" t="s">
        <v>1252</v>
      </c>
      <c r="B341" s="23" t="s">
        <v>1612</v>
      </c>
      <c r="C341" s="27">
        <f>+[2]称号計算!I346</f>
        <v>1.3042</v>
      </c>
      <c r="D341" s="5">
        <f>+[2]称号計算!J346</f>
        <v>0.7016</v>
      </c>
      <c r="E341" s="5">
        <f>+[2]称号計算!K346</f>
        <v>3.7521</v>
      </c>
      <c r="F341" s="5">
        <f>+[2]称号計算!L346</f>
        <v>0.2626</v>
      </c>
      <c r="G341" s="5">
        <f>+[2]称号計算!M346</f>
        <v>1.0078</v>
      </c>
      <c r="H341" s="13">
        <f>+[2]称号計算!N346</f>
        <v>0.93130000000000002</v>
      </c>
      <c r="I341" s="27">
        <f>+[2]称号計算!O346</f>
        <v>1.6509</v>
      </c>
      <c r="J341" s="13">
        <f>+[2]称号計算!P346</f>
        <v>1.2032</v>
      </c>
      <c r="K341" s="27">
        <f>+[2]称号計算!Q346</f>
        <v>1.3208</v>
      </c>
      <c r="L341" s="5">
        <f>+[2]称号計算!R346</f>
        <v>2.1162000000000001</v>
      </c>
      <c r="M341" s="13">
        <f>+[2]称号計算!S346</f>
        <v>1.2606999999999999</v>
      </c>
      <c r="N341" s="27">
        <f>+[2]称号計算!T346</f>
        <v>9.6799999999999997E-2</v>
      </c>
      <c r="O341" s="5">
        <f>+[2]称号計算!U346</f>
        <v>0.48399999999999999</v>
      </c>
      <c r="P341" s="5">
        <f>+[2]称号計算!V346</f>
        <v>3.2300000000000002E-2</v>
      </c>
      <c r="Q341" s="5">
        <f>+[2]称号計算!W346</f>
        <v>3.2300000000000002E-2</v>
      </c>
      <c r="R341" s="5">
        <f>+[2]称号計算!X346</f>
        <v>2.4199999999999999E-2</v>
      </c>
      <c r="S341" s="13">
        <f>+[2]称号計算!Y346</f>
        <v>2.4199999999999999E-2</v>
      </c>
      <c r="T341" s="19">
        <f>+[2]称号計算!Z346</f>
        <v>6.5492999999999997</v>
      </c>
      <c r="U341" s="13">
        <v>1</v>
      </c>
    </row>
    <row r="342" spans="1:21">
      <c r="A342" s="12" t="s">
        <v>1253</v>
      </c>
      <c r="B342" s="23" t="s">
        <v>1613</v>
      </c>
      <c r="C342" s="27">
        <f>+[2]称号計算!I347</f>
        <v>2.1124000000000001</v>
      </c>
      <c r="D342" s="5">
        <f>+[2]称号計算!J347</f>
        <v>0.74809999999999999</v>
      </c>
      <c r="E342" s="5">
        <f>+[2]称号計算!K347</f>
        <v>4.0007999999999999</v>
      </c>
      <c r="F342" s="5">
        <f>+[2]称号計算!L347</f>
        <v>0.40010000000000001</v>
      </c>
      <c r="G342" s="5">
        <f>+[2]称号計算!M347</f>
        <v>1.7683</v>
      </c>
      <c r="H342" s="13">
        <f>+[2]称号計算!N347</f>
        <v>1.1561999999999999</v>
      </c>
      <c r="I342" s="27">
        <f>+[2]称号計算!O347</f>
        <v>1.4083000000000001</v>
      </c>
      <c r="J342" s="13">
        <f>+[2]称号計算!P347</f>
        <v>1.1094999999999999</v>
      </c>
      <c r="K342" s="27">
        <f>+[2]称号計算!Q347</f>
        <v>0.98580000000000001</v>
      </c>
      <c r="L342" s="5">
        <f>+[2]称号計算!R347</f>
        <v>1.6003000000000001</v>
      </c>
      <c r="M342" s="13">
        <f>+[2]称号計算!S347</f>
        <v>0.8962</v>
      </c>
      <c r="N342" s="27">
        <f>+[2]称号計算!T347</f>
        <v>0.73809999999999998</v>
      </c>
      <c r="O342" s="5">
        <f>+[2]称号計算!U347</f>
        <v>0.14760000000000001</v>
      </c>
      <c r="P342" s="5">
        <f>+[2]称号計算!V347</f>
        <v>4.9200000000000001E-2</v>
      </c>
      <c r="Q342" s="5">
        <f>+[2]称号計算!W347</f>
        <v>4.9200000000000001E-2</v>
      </c>
      <c r="R342" s="5">
        <f>+[2]称号計算!X347</f>
        <v>3.6900000000000002E-2</v>
      </c>
      <c r="S342" s="13">
        <f>+[2]称号計算!Y347</f>
        <v>3.6900000000000002E-2</v>
      </c>
      <c r="T342" s="19">
        <f>+[2]称号計算!Z347</f>
        <v>5.7549999999999999</v>
      </c>
      <c r="U342" s="13">
        <v>1</v>
      </c>
    </row>
    <row r="343" spans="1:21" ht="19.5" thickBot="1">
      <c r="A343" s="14" t="s">
        <v>1254</v>
      </c>
      <c r="B343" s="24" t="s">
        <v>1614</v>
      </c>
      <c r="C343" s="28">
        <f>+[2]称号計算!I348</f>
        <v>1.9148000000000001</v>
      </c>
      <c r="D343" s="15">
        <f>+[2]称号計算!J348</f>
        <v>1.8277000000000001</v>
      </c>
      <c r="E343" s="15">
        <f>+[2]称号計算!K348</f>
        <v>0.39560000000000001</v>
      </c>
      <c r="F343" s="15">
        <f>+[2]称号計算!L348</f>
        <v>3.9561000000000002</v>
      </c>
      <c r="G343" s="15">
        <f>+[2]称号計算!M348</f>
        <v>1.4796</v>
      </c>
      <c r="H343" s="16">
        <f>+[2]称号計算!N348</f>
        <v>1.4796</v>
      </c>
      <c r="I343" s="28">
        <f>+[2]称号計算!O348</f>
        <v>1.2184999999999999</v>
      </c>
      <c r="J343" s="16">
        <f>+[2]称号計算!P348</f>
        <v>1.0629</v>
      </c>
      <c r="K343" s="28">
        <f>+[2]称号計算!Q348</f>
        <v>0.83550000000000002</v>
      </c>
      <c r="L343" s="15">
        <f>+[2]称号計算!R348</f>
        <v>1.5824</v>
      </c>
      <c r="M343" s="16">
        <f>+[2]称号計算!S348</f>
        <v>1.1076999999999999</v>
      </c>
      <c r="N343" s="28">
        <f>+[2]称号計算!T348</f>
        <v>4.8599999999999997E-2</v>
      </c>
      <c r="O343" s="15">
        <f>+[2]称号計算!U348</f>
        <v>4.8599999999999997E-2</v>
      </c>
      <c r="P343" s="15">
        <f>+[2]称号計算!V348</f>
        <v>0.72840000000000005</v>
      </c>
      <c r="Q343" s="15">
        <f>+[2]称号計算!W348</f>
        <v>0.18210000000000001</v>
      </c>
      <c r="R343" s="15">
        <f>+[2]称号計算!X348</f>
        <v>3.6400000000000002E-2</v>
      </c>
      <c r="S343" s="16">
        <f>+[2]称号計算!Y348</f>
        <v>3.6400000000000002E-2</v>
      </c>
      <c r="T343" s="20">
        <f>+[2]称号計算!Z348</f>
        <v>5.6200999999999999</v>
      </c>
      <c r="U343" s="16">
        <v>0.9</v>
      </c>
    </row>
    <row r="344" spans="1:21">
      <c r="A344" s="9" t="s">
        <v>1255</v>
      </c>
      <c r="B344" s="22" t="s">
        <v>1615</v>
      </c>
      <c r="C344" s="26">
        <f>+[2]称号計算!I349</f>
        <v>1.8273999999999999</v>
      </c>
      <c r="D344" s="10">
        <f>+[2]称号計算!J349</f>
        <v>1.5227999999999999</v>
      </c>
      <c r="E344" s="10">
        <f>+[2]称号計算!K349</f>
        <v>0.27689999999999998</v>
      </c>
      <c r="F344" s="10">
        <f>+[2]称号計算!L349</f>
        <v>2.7686999999999999</v>
      </c>
      <c r="G344" s="10">
        <f>+[2]称号計算!M349</f>
        <v>1.4120999999999999</v>
      </c>
      <c r="H344" s="11">
        <f>+[2]称号計算!N349</f>
        <v>1.3179000000000001</v>
      </c>
      <c r="I344" s="26">
        <f>+[2]称号計算!O349</f>
        <v>1.2181999999999999</v>
      </c>
      <c r="J344" s="11">
        <f>+[2]称号計算!P349</f>
        <v>0.83979999999999999</v>
      </c>
      <c r="K344" s="26">
        <f>+[2]称号計算!Q349</f>
        <v>0.58479999999999999</v>
      </c>
      <c r="L344" s="10">
        <f>+[2]称号計算!R349</f>
        <v>1.329</v>
      </c>
      <c r="M344" s="11">
        <f>+[2]称号計算!S349</f>
        <v>0.93030000000000002</v>
      </c>
      <c r="N344" s="26">
        <f>+[2]称号計算!T349</f>
        <v>0.74070000000000003</v>
      </c>
      <c r="O344" s="10">
        <f>+[2]称号計算!U349</f>
        <v>0.14810000000000001</v>
      </c>
      <c r="P344" s="10">
        <f>+[2]称号計算!V349</f>
        <v>4.9399999999999999E-2</v>
      </c>
      <c r="Q344" s="10">
        <f>+[2]称号計算!W349</f>
        <v>4.9399999999999999E-2</v>
      </c>
      <c r="R344" s="10">
        <f>+[2]称号計算!X349</f>
        <v>3.6999999999999998E-2</v>
      </c>
      <c r="S344" s="11">
        <f>+[2]称号計算!Y349</f>
        <v>3.6999999999999998E-2</v>
      </c>
      <c r="T344" s="18">
        <f>+[2]称号計算!Z349</f>
        <v>4.6760000000000002</v>
      </c>
      <c r="U344" s="11">
        <v>0.55000000000000004</v>
      </c>
    </row>
    <row r="345" spans="1:21">
      <c r="A345" s="12" t="s">
        <v>1256</v>
      </c>
      <c r="B345" s="23" t="s">
        <v>1616</v>
      </c>
      <c r="C345" s="27">
        <f>+[2]称号計算!I350</f>
        <v>1.4128000000000001</v>
      </c>
      <c r="D345" s="5">
        <f>+[2]称号計算!J350</f>
        <v>2.484</v>
      </c>
      <c r="E345" s="5">
        <f>+[2]称号計算!K350</f>
        <v>0.2646</v>
      </c>
      <c r="F345" s="5">
        <f>+[2]称号計算!L350</f>
        <v>3.5284</v>
      </c>
      <c r="G345" s="5">
        <f>+[2]称号計算!M350</f>
        <v>1.0557000000000001</v>
      </c>
      <c r="H345" s="13">
        <f>+[2]称号計算!N350</f>
        <v>1.1396999999999999</v>
      </c>
      <c r="I345" s="27">
        <f>+[2]称号計算!O350</f>
        <v>0.621</v>
      </c>
      <c r="J345" s="13">
        <f>+[2]称号計算!P350</f>
        <v>1.3454999999999999</v>
      </c>
      <c r="K345" s="27">
        <f>+[2]称号計算!Q350</f>
        <v>0.51229999999999998</v>
      </c>
      <c r="L345" s="5">
        <f>+[2]称号計算!R350</f>
        <v>0.90329999999999999</v>
      </c>
      <c r="M345" s="13">
        <f>+[2]称号計算!S350</f>
        <v>1.4621999999999999</v>
      </c>
      <c r="N345" s="27">
        <f>+[2]称号計算!T350</f>
        <v>0.1061</v>
      </c>
      <c r="O345" s="5">
        <f>+[2]称号計算!U350</f>
        <v>0.53029999999999999</v>
      </c>
      <c r="P345" s="5">
        <f>+[2]称号計算!V350</f>
        <v>3.5400000000000001E-2</v>
      </c>
      <c r="Q345" s="5">
        <f>+[2]称号計算!W350</f>
        <v>3.5400000000000001E-2</v>
      </c>
      <c r="R345" s="5">
        <f>+[2]称号計算!X350</f>
        <v>2.6499999999999999E-2</v>
      </c>
      <c r="S345" s="13">
        <f>+[2]称号計算!Y350</f>
        <v>2.6499999999999999E-2</v>
      </c>
      <c r="T345" s="19">
        <f>+[2]称号計算!Z350</f>
        <v>4.2960000000000003</v>
      </c>
      <c r="U345" s="13">
        <v>0.5</v>
      </c>
    </row>
    <row r="346" spans="1:21">
      <c r="A346" s="12" t="s">
        <v>1257</v>
      </c>
      <c r="B346" s="23" t="s">
        <v>1617</v>
      </c>
      <c r="C346" s="27">
        <f>+[2]称号計算!I351</f>
        <v>1.5959000000000001</v>
      </c>
      <c r="D346" s="5">
        <f>+[2]称号計算!J351</f>
        <v>2.6347999999999998</v>
      </c>
      <c r="E346" s="5">
        <f>+[2]称号計算!K351</f>
        <v>0.22239999999999999</v>
      </c>
      <c r="F346" s="5">
        <f>+[2]称号計算!L351</f>
        <v>3.4218000000000002</v>
      </c>
      <c r="G346" s="5">
        <f>+[2]称号計算!M351</f>
        <v>0.89580000000000004</v>
      </c>
      <c r="H346" s="13">
        <f>+[2]称号計算!N351</f>
        <v>2.3849999999999998</v>
      </c>
      <c r="I346" s="27">
        <f>+[2]称号計算!O351</f>
        <v>0.67749999999999999</v>
      </c>
      <c r="J346" s="13">
        <f>+[2]称号計算!P351</f>
        <v>0.86</v>
      </c>
      <c r="K346" s="27">
        <f>+[2]称号計算!Q351</f>
        <v>0.57210000000000005</v>
      </c>
      <c r="L346" s="5">
        <f>+[2]称号計算!R351</f>
        <v>1.1496999999999999</v>
      </c>
      <c r="M346" s="13">
        <f>+[2]称号計算!S351</f>
        <v>1.0156000000000001</v>
      </c>
      <c r="N346" s="27">
        <f>+[2]称号計算!T351</f>
        <v>4.2000000000000003E-2</v>
      </c>
      <c r="O346" s="5">
        <f>+[2]称号計算!U351</f>
        <v>4.2000000000000003E-2</v>
      </c>
      <c r="P346" s="5">
        <f>+[2]称号計算!V351</f>
        <v>4.2000000000000003E-2</v>
      </c>
      <c r="Q346" s="5">
        <f>+[2]称号計算!W351</f>
        <v>4.2000000000000003E-2</v>
      </c>
      <c r="R346" s="5">
        <f>+[2]称号計算!X351</f>
        <v>0.83940000000000003</v>
      </c>
      <c r="S346" s="13">
        <f>+[2]称号計算!Y351</f>
        <v>0.1119</v>
      </c>
      <c r="T346" s="19">
        <f>+[2]称号計算!Z351</f>
        <v>4.7149000000000001</v>
      </c>
      <c r="U346" s="13">
        <v>0.25</v>
      </c>
    </row>
    <row r="347" spans="1:21">
      <c r="A347" s="12" t="s">
        <v>1258</v>
      </c>
      <c r="B347" s="23" t="s">
        <v>1618</v>
      </c>
      <c r="C347" s="27">
        <f>+[2]称号計算!I352</f>
        <v>1.3924000000000001</v>
      </c>
      <c r="D347" s="5">
        <f>+[2]称号計算!J352</f>
        <v>0.56789999999999996</v>
      </c>
      <c r="E347" s="5">
        <f>+[2]称号計算!K352</f>
        <v>4.1638000000000002</v>
      </c>
      <c r="F347" s="5">
        <f>+[2]称号計算!L352</f>
        <v>0.25819999999999999</v>
      </c>
      <c r="G347" s="5">
        <f>+[2]称号計算!M352</f>
        <v>1.0759000000000001</v>
      </c>
      <c r="H347" s="13">
        <f>+[2]称号計算!N352</f>
        <v>0.99099999999999999</v>
      </c>
      <c r="I347" s="27">
        <f>+[2]称号計算!O352</f>
        <v>1.7403999999999999</v>
      </c>
      <c r="J347" s="13">
        <f>+[2]称号計算!P352</f>
        <v>1.7321</v>
      </c>
      <c r="K347" s="27">
        <f>+[2]称号計算!Q352</f>
        <v>1.2275</v>
      </c>
      <c r="L347" s="5">
        <f>+[2]称号計算!R352</f>
        <v>1.4322999999999999</v>
      </c>
      <c r="M347" s="13">
        <f>+[2]称号計算!S352</f>
        <v>1.5506</v>
      </c>
      <c r="N347" s="27">
        <f>+[2]称号計算!T352</f>
        <v>9.2899999999999996E-2</v>
      </c>
      <c r="O347" s="5">
        <f>+[2]称号計算!U352</f>
        <v>0.46460000000000001</v>
      </c>
      <c r="P347" s="5">
        <f>+[2]称号計算!V352</f>
        <v>3.1E-2</v>
      </c>
      <c r="Q347" s="5">
        <f>+[2]称号計算!W352</f>
        <v>3.1E-2</v>
      </c>
      <c r="R347" s="5">
        <f>+[2]称号計算!X352</f>
        <v>2.3199999999999998E-2</v>
      </c>
      <c r="S347" s="13">
        <f>+[2]称号計算!Y352</f>
        <v>2.3199999999999998E-2</v>
      </c>
      <c r="T347" s="19">
        <f>+[2]称号計算!Z352</f>
        <v>6.2287999999999997</v>
      </c>
      <c r="U347" s="13">
        <v>1</v>
      </c>
    </row>
    <row r="348" spans="1:21">
      <c r="A348" s="12" t="s">
        <v>1259</v>
      </c>
      <c r="B348" s="23" t="s">
        <v>1619</v>
      </c>
      <c r="C348" s="27">
        <f>+[2]称号計算!I353</f>
        <v>1.1706000000000001</v>
      </c>
      <c r="D348" s="5">
        <f>+[2]称号計算!J353</f>
        <v>0.43219999999999997</v>
      </c>
      <c r="E348" s="5">
        <f>+[2]称号計算!K353</f>
        <v>4.0930999999999997</v>
      </c>
      <c r="F348" s="5">
        <f>+[2]称号計算!L353</f>
        <v>0.2661</v>
      </c>
      <c r="G348" s="5">
        <f>+[2]称号計算!M353</f>
        <v>0.86280000000000001</v>
      </c>
      <c r="H348" s="13">
        <f>+[2]称号計算!N353</f>
        <v>0.94630000000000003</v>
      </c>
      <c r="I348" s="27">
        <f>+[2]称号計算!O353</f>
        <v>3.2418</v>
      </c>
      <c r="J348" s="13">
        <f>+[2]称号計算!P353</f>
        <v>1.4899</v>
      </c>
      <c r="K348" s="27">
        <f>+[2]称号計算!Q353</f>
        <v>1.1346000000000001</v>
      </c>
      <c r="L348" s="5">
        <f>+[2]称号計算!R353</f>
        <v>2.2103000000000002</v>
      </c>
      <c r="M348" s="13">
        <f>+[2]称号計算!S353</f>
        <v>0.98560000000000003</v>
      </c>
      <c r="N348" s="27">
        <f>+[2]称号計算!T353</f>
        <v>0.45789999999999997</v>
      </c>
      <c r="O348" s="5">
        <f>+[2]称号計算!U353</f>
        <v>9.1600000000000001E-2</v>
      </c>
      <c r="P348" s="5">
        <f>+[2]称号計算!V353</f>
        <v>3.0499999999999999E-2</v>
      </c>
      <c r="Q348" s="5">
        <f>+[2]称号計算!W353</f>
        <v>3.0499999999999999E-2</v>
      </c>
      <c r="R348" s="5">
        <f>+[2]称号計算!X353</f>
        <v>2.29E-2</v>
      </c>
      <c r="S348" s="13">
        <f>+[2]称号計算!Y353</f>
        <v>2.29E-2</v>
      </c>
      <c r="T348" s="19">
        <f>+[2]称号計算!Z353</f>
        <v>6.3125</v>
      </c>
      <c r="U348" s="13">
        <v>1</v>
      </c>
    </row>
    <row r="349" spans="1:21" ht="19.5" thickBot="1">
      <c r="A349" s="14" t="s">
        <v>1260</v>
      </c>
      <c r="B349" s="24" t="s">
        <v>1620</v>
      </c>
      <c r="C349" s="28">
        <f>+[2]称号計算!I354</f>
        <v>1.7668999999999999</v>
      </c>
      <c r="D349" s="15">
        <f>+[2]称号計算!J354</f>
        <v>2.0246</v>
      </c>
      <c r="E349" s="15">
        <f>+[2]称号計算!K354</f>
        <v>0.25929999999999997</v>
      </c>
      <c r="F349" s="15">
        <f>+[2]称号計算!L354</f>
        <v>4.1829999999999998</v>
      </c>
      <c r="G349" s="15">
        <f>+[2]称号計算!M354</f>
        <v>1.1661999999999999</v>
      </c>
      <c r="H349" s="16">
        <f>+[2]称号計算!N354</f>
        <v>1.2942</v>
      </c>
      <c r="I349" s="28">
        <f>+[2]称号計算!O354</f>
        <v>1.1043000000000001</v>
      </c>
      <c r="J349" s="16">
        <f>+[2]称号計算!P354</f>
        <v>1.1600999999999999</v>
      </c>
      <c r="K349" s="28">
        <f>+[2]称号計算!Q354</f>
        <v>0.82820000000000005</v>
      </c>
      <c r="L349" s="15">
        <f>+[2]称号計算!R354</f>
        <v>1.5226</v>
      </c>
      <c r="M349" s="16">
        <f>+[2]称号計算!S354</f>
        <v>2.2254</v>
      </c>
      <c r="N349" s="28">
        <f>+[2]称号計算!T354</f>
        <v>4.2999999999999997E-2</v>
      </c>
      <c r="O349" s="15">
        <f>+[2]称号計算!U354</f>
        <v>4.2999999999999997E-2</v>
      </c>
      <c r="P349" s="15">
        <f>+[2]称号計算!V354</f>
        <v>0.64529999999999998</v>
      </c>
      <c r="Q349" s="15">
        <f>+[2]称号計算!W354</f>
        <v>0.1613</v>
      </c>
      <c r="R349" s="15">
        <f>+[2]称号計算!X354</f>
        <v>3.2300000000000002E-2</v>
      </c>
      <c r="S349" s="16">
        <f>+[2]称号計算!Y354</f>
        <v>3.2300000000000002E-2</v>
      </c>
      <c r="T349" s="20">
        <f>+[2]称号計算!Z354</f>
        <v>5.6988000000000003</v>
      </c>
      <c r="U349" s="16">
        <v>0.9</v>
      </c>
    </row>
    <row r="350" spans="1:21">
      <c r="A350" s="9" t="s">
        <v>1261</v>
      </c>
      <c r="B350" s="22" t="s">
        <v>1621</v>
      </c>
      <c r="C350" s="26">
        <f>+[2]称号計算!I355</f>
        <v>0.97409999999999997</v>
      </c>
      <c r="D350" s="10">
        <f>+[2]称号計算!J355</f>
        <v>1.5992</v>
      </c>
      <c r="E350" s="10">
        <f>+[2]称号計算!K355</f>
        <v>0.17180000000000001</v>
      </c>
      <c r="F350" s="10">
        <f>+[2]称号計算!L355</f>
        <v>3.3041999999999998</v>
      </c>
      <c r="G350" s="10">
        <f>+[2]称号計算!M355</f>
        <v>0.73019999999999996</v>
      </c>
      <c r="H350" s="11">
        <f>+[2]称号計算!N355</f>
        <v>0.89870000000000005</v>
      </c>
      <c r="I350" s="26">
        <f>+[2]称号計算!O355</f>
        <v>2.6168999999999998</v>
      </c>
      <c r="J350" s="11">
        <f>+[2]称号計算!P355</f>
        <v>1.0596000000000001</v>
      </c>
      <c r="K350" s="26">
        <f>+[2]称号計算!Q355</f>
        <v>0.59609999999999996</v>
      </c>
      <c r="L350" s="10">
        <f>+[2]称号計算!R355</f>
        <v>0.99129999999999996</v>
      </c>
      <c r="M350" s="11">
        <f>+[2]称号計算!S355</f>
        <v>1.6468</v>
      </c>
      <c r="N350" s="26">
        <f>+[2]称号計算!T355</f>
        <v>0.44350000000000001</v>
      </c>
      <c r="O350" s="10">
        <f>+[2]称号計算!U355</f>
        <v>8.8700000000000001E-2</v>
      </c>
      <c r="P350" s="10">
        <f>+[2]称号計算!V355</f>
        <v>2.9600000000000001E-2</v>
      </c>
      <c r="Q350" s="10">
        <f>+[2]称号計算!W355</f>
        <v>2.9600000000000001E-2</v>
      </c>
      <c r="R350" s="10">
        <f>+[2]称号計算!X355</f>
        <v>2.2200000000000001E-2</v>
      </c>
      <c r="S350" s="11">
        <f>+[2]称号計算!Y355</f>
        <v>2.2200000000000001E-2</v>
      </c>
      <c r="T350" s="18">
        <f>+[2]称号計算!Z355</f>
        <v>4.5792999999999999</v>
      </c>
      <c r="U350" s="11">
        <v>0.55000000000000004</v>
      </c>
    </row>
    <row r="351" spans="1:21">
      <c r="A351" s="12" t="s">
        <v>1262</v>
      </c>
      <c r="B351" s="23" t="s">
        <v>1622</v>
      </c>
      <c r="C351" s="27">
        <f>+[2]称号計算!I356</f>
        <v>1.2482</v>
      </c>
      <c r="D351" s="5">
        <f>+[2]称号計算!J356</f>
        <v>2.0548999999999999</v>
      </c>
      <c r="E351" s="5">
        <f>+[2]称号計算!K356</f>
        <v>0.20760000000000001</v>
      </c>
      <c r="F351" s="5">
        <f>+[2]称号計算!L356</f>
        <v>3.4594</v>
      </c>
      <c r="G351" s="5">
        <f>+[2]称号計算!M356</f>
        <v>0.95269999999999999</v>
      </c>
      <c r="H351" s="13">
        <f>+[2]称号計算!N356</f>
        <v>1.0233000000000001</v>
      </c>
      <c r="I351" s="27">
        <f>+[2]称号計算!O356</f>
        <v>1.8266</v>
      </c>
      <c r="J351" s="13">
        <f>+[2]称号計算!P356</f>
        <v>1.5290999999999999</v>
      </c>
      <c r="K351" s="27">
        <f>+[2]称号計算!Q356</f>
        <v>0.70020000000000004</v>
      </c>
      <c r="L351" s="5">
        <f>+[2]称号計算!R356</f>
        <v>0.94099999999999995</v>
      </c>
      <c r="M351" s="13">
        <f>+[2]称号計算!S356</f>
        <v>1.3754999999999999</v>
      </c>
      <c r="N351" s="27">
        <f>+[2]称号計算!T356</f>
        <v>9.5600000000000004E-2</v>
      </c>
      <c r="O351" s="5">
        <f>+[2]称号計算!U356</f>
        <v>0.47789999999999999</v>
      </c>
      <c r="P351" s="5">
        <f>+[2]称号計算!V356</f>
        <v>3.1899999999999998E-2</v>
      </c>
      <c r="Q351" s="5">
        <f>+[2]称号計算!W356</f>
        <v>3.1899999999999998E-2</v>
      </c>
      <c r="R351" s="5">
        <f>+[2]称号計算!X356</f>
        <v>2.3900000000000001E-2</v>
      </c>
      <c r="S351" s="13">
        <f>+[2]称号計算!Y356</f>
        <v>2.3900000000000001E-2</v>
      </c>
      <c r="T351" s="19">
        <f>+[2]称号計算!Z356</f>
        <v>5.0209999999999999</v>
      </c>
      <c r="U351" s="13">
        <v>0.5</v>
      </c>
    </row>
    <row r="352" spans="1:21">
      <c r="A352" s="12" t="s">
        <v>1263</v>
      </c>
      <c r="B352" s="23" t="s">
        <v>1623</v>
      </c>
      <c r="C352" s="27">
        <f>+[2]称号計算!I357</f>
        <v>1.9113</v>
      </c>
      <c r="D352" s="5">
        <f>+[2]称号計算!J357</f>
        <v>3.0034000000000001</v>
      </c>
      <c r="E352" s="5">
        <f>+[2]称号計算!K357</f>
        <v>0.2606</v>
      </c>
      <c r="F352" s="5">
        <f>+[2]称号計算!L357</f>
        <v>3.1027</v>
      </c>
      <c r="G352" s="5">
        <f>+[2]称号計算!M357</f>
        <v>1.0022</v>
      </c>
      <c r="H352" s="13">
        <f>+[2]称号計算!N357</f>
        <v>1.7723</v>
      </c>
      <c r="I352" s="27">
        <f>+[2]称号計算!O357</f>
        <v>1.57</v>
      </c>
      <c r="J352" s="13">
        <f>+[2]称号計算!P357</f>
        <v>1.0487</v>
      </c>
      <c r="K352" s="27">
        <f>+[2]称号計算!Q357</f>
        <v>0.3276</v>
      </c>
      <c r="L352" s="5">
        <f>+[2]称号計算!R357</f>
        <v>0.89359999999999995</v>
      </c>
      <c r="M352" s="13">
        <f>+[2]称号計算!S357</f>
        <v>1.1555</v>
      </c>
      <c r="N352" s="27">
        <f>+[2]称号計算!T357</f>
        <v>4.24E-2</v>
      </c>
      <c r="O352" s="5">
        <f>+[2]称号計算!U357</f>
        <v>4.24E-2</v>
      </c>
      <c r="P352" s="5">
        <f>+[2]称号計算!V357</f>
        <v>4.24E-2</v>
      </c>
      <c r="Q352" s="5">
        <f>+[2]称号計算!W357</f>
        <v>4.24E-2</v>
      </c>
      <c r="R352" s="5">
        <f>+[2]称号計算!X357</f>
        <v>0.84730000000000005</v>
      </c>
      <c r="S352" s="13">
        <f>+[2]称号計算!Y357</f>
        <v>0.113</v>
      </c>
      <c r="T352" s="19">
        <f>+[2]称号計算!Z357</f>
        <v>4.2793999999999999</v>
      </c>
      <c r="U352" s="13">
        <v>0.25</v>
      </c>
    </row>
    <row r="353" spans="1:21">
      <c r="A353" s="12" t="s">
        <v>1264</v>
      </c>
      <c r="B353" s="23" t="s">
        <v>1624</v>
      </c>
      <c r="C353" s="27">
        <f>+[2]称号計算!I358</f>
        <v>2.8403999999999998</v>
      </c>
      <c r="D353" s="5">
        <f>+[2]称号計算!J358</f>
        <v>0.75449999999999995</v>
      </c>
      <c r="E353" s="5">
        <f>+[2]称号計算!K358</f>
        <v>4.0347</v>
      </c>
      <c r="F353" s="5">
        <f>+[2]称号計算!L358</f>
        <v>0.40350000000000003</v>
      </c>
      <c r="G353" s="5">
        <f>+[2]称号計算!M358</f>
        <v>2.1263000000000001</v>
      </c>
      <c r="H353" s="13">
        <f>+[2]称号計算!N358</f>
        <v>1.9205000000000001</v>
      </c>
      <c r="I353" s="27">
        <f>+[2]称号計算!O358</f>
        <v>0.71009999999999995</v>
      </c>
      <c r="J353" s="13">
        <f>+[2]称号計算!P358</f>
        <v>0.97909999999999997</v>
      </c>
      <c r="K353" s="27">
        <f>+[2]称号計算!Q358</f>
        <v>0.78110000000000002</v>
      </c>
      <c r="L353" s="5">
        <f>+[2]称号計算!R358</f>
        <v>1.3233999999999999</v>
      </c>
      <c r="M353" s="13">
        <f>+[2]称号計算!S358</f>
        <v>0.90380000000000005</v>
      </c>
      <c r="N353" s="27">
        <f>+[2]称号計算!T358</f>
        <v>0.18790000000000001</v>
      </c>
      <c r="O353" s="5">
        <f>+[2]称号計算!U358</f>
        <v>0.9395</v>
      </c>
      <c r="P353" s="5">
        <f>+[2]称号計算!V358</f>
        <v>6.2600000000000003E-2</v>
      </c>
      <c r="Q353" s="5">
        <f>+[2]称号計算!W358</f>
        <v>6.2600000000000003E-2</v>
      </c>
      <c r="R353" s="5">
        <f>+[2]称号計算!X358</f>
        <v>4.7E-2</v>
      </c>
      <c r="S353" s="13">
        <f>+[2]称号計算!Y358</f>
        <v>4.7E-2</v>
      </c>
      <c r="T353" s="19">
        <f>+[2]称号計算!Z358</f>
        <v>5.4059999999999997</v>
      </c>
      <c r="U353" s="13">
        <v>1</v>
      </c>
    </row>
    <row r="354" spans="1:21">
      <c r="A354" s="12" t="s">
        <v>1265</v>
      </c>
      <c r="B354" s="23" t="s">
        <v>1625</v>
      </c>
      <c r="C354" s="27">
        <f>+[2]称号計算!I359</f>
        <v>2.6863000000000001</v>
      </c>
      <c r="D354" s="5">
        <f>+[2]称号計算!J359</f>
        <v>0.91369999999999996</v>
      </c>
      <c r="E354" s="5">
        <f>+[2]称号計算!K359</f>
        <v>4.1532</v>
      </c>
      <c r="F354" s="5">
        <f>+[2]称号計算!L359</f>
        <v>0.31559999999999999</v>
      </c>
      <c r="G354" s="5">
        <f>+[2]称号計算!M359</f>
        <v>1.2990999999999999</v>
      </c>
      <c r="H354" s="13">
        <f>+[2]称号計算!N359</f>
        <v>3.1065999999999998</v>
      </c>
      <c r="I354" s="27">
        <f>+[2]称号計算!O359</f>
        <v>0.91369999999999996</v>
      </c>
      <c r="J354" s="13">
        <f>+[2]称号計算!P359</f>
        <v>1.0798000000000001</v>
      </c>
      <c r="K354" s="27">
        <f>+[2]称号計算!Q359</f>
        <v>0.74919999999999998</v>
      </c>
      <c r="L354" s="5">
        <f>+[2]称号計算!R359</f>
        <v>1.3124</v>
      </c>
      <c r="M354" s="13">
        <f>+[2]称号計算!S359</f>
        <v>0.9768</v>
      </c>
      <c r="N354" s="27">
        <f>+[2]称号計算!T359</f>
        <v>0.89629999999999999</v>
      </c>
      <c r="O354" s="5">
        <f>+[2]称号計算!U359</f>
        <v>0.17929999999999999</v>
      </c>
      <c r="P354" s="5">
        <f>+[2]称号計算!V359</f>
        <v>5.9799999999999999E-2</v>
      </c>
      <c r="Q354" s="5">
        <f>+[2]称号計算!W359</f>
        <v>5.9799999999999999E-2</v>
      </c>
      <c r="R354" s="5">
        <f>+[2]称号計算!X359</f>
        <v>4.48E-2</v>
      </c>
      <c r="S354" s="13">
        <f>+[2]称号計算!Y359</f>
        <v>4.48E-2</v>
      </c>
      <c r="T354" s="19">
        <f>+[2]称号計算!Z359</f>
        <v>5.4951999999999996</v>
      </c>
      <c r="U354" s="13">
        <v>1</v>
      </c>
    </row>
    <row r="355" spans="1:21" ht="19.5" thickBot="1">
      <c r="A355" s="14" t="s">
        <v>1266</v>
      </c>
      <c r="B355" s="24" t="s">
        <v>1626</v>
      </c>
      <c r="C355" s="28">
        <f>+[2]称号計算!I360</f>
        <v>2.0061</v>
      </c>
      <c r="D355" s="15">
        <f>+[2]称号計算!J360</f>
        <v>2.4073000000000002</v>
      </c>
      <c r="E355" s="15">
        <f>+[2]称号計算!K360</f>
        <v>0.31909999999999999</v>
      </c>
      <c r="F355" s="15">
        <f>+[2]称号計算!L360</f>
        <v>4.5591999999999997</v>
      </c>
      <c r="G355" s="15">
        <f>+[2]称号計算!M360</f>
        <v>1.4881</v>
      </c>
      <c r="H355" s="16">
        <f>+[2]称号計算!N360</f>
        <v>1.5810999999999999</v>
      </c>
      <c r="I355" s="28">
        <f>+[2]称号計算!O360</f>
        <v>0.90269999999999995</v>
      </c>
      <c r="J355" s="16">
        <f>+[2]称号計算!P360</f>
        <v>1.1064000000000001</v>
      </c>
      <c r="K355" s="28">
        <f>+[2]称号計算!Q360</f>
        <v>0.82250000000000001</v>
      </c>
      <c r="L355" s="15">
        <f>+[2]称号計算!R360</f>
        <v>1.6778</v>
      </c>
      <c r="M355" s="16">
        <f>+[2]称号計算!S360</f>
        <v>1.3658999999999999</v>
      </c>
      <c r="N355" s="28">
        <f>+[2]称号計算!T360</f>
        <v>7.2900000000000006E-2</v>
      </c>
      <c r="O355" s="15">
        <f>+[2]称号計算!U360</f>
        <v>7.2900000000000006E-2</v>
      </c>
      <c r="P355" s="15">
        <f>+[2]称号計算!V360</f>
        <v>1.0942000000000001</v>
      </c>
      <c r="Q355" s="15">
        <f>+[2]称号計算!W360</f>
        <v>0.27350000000000002</v>
      </c>
      <c r="R355" s="15">
        <f>+[2]称号計算!X360</f>
        <v>5.4699999999999999E-2</v>
      </c>
      <c r="S355" s="16">
        <f>+[2]称号計算!Y360</f>
        <v>5.4699999999999999E-2</v>
      </c>
      <c r="T355" s="20">
        <f>+[2]称号計算!Z360</f>
        <v>5.7241</v>
      </c>
      <c r="U355" s="16">
        <v>0.9</v>
      </c>
    </row>
    <row r="356" spans="1:21">
      <c r="A356" s="9" t="s">
        <v>1267</v>
      </c>
      <c r="B356" s="22" t="s">
        <v>1627</v>
      </c>
      <c r="C356" s="26">
        <f>+[2]称号計算!I361</f>
        <v>1.0018</v>
      </c>
      <c r="D356" s="10">
        <f>+[2]称号計算!J361</f>
        <v>1.6193</v>
      </c>
      <c r="E356" s="10">
        <f>+[2]称号計算!K361</f>
        <v>0.17469999999999999</v>
      </c>
      <c r="F356" s="10">
        <f>+[2]称号計算!L361</f>
        <v>3.1187999999999998</v>
      </c>
      <c r="G356" s="10">
        <f>+[2]称号計算!M361</f>
        <v>0.8165</v>
      </c>
      <c r="H356" s="11">
        <f>+[2]称号計算!N361</f>
        <v>0.90129999999999999</v>
      </c>
      <c r="I356" s="26">
        <f>+[2]称号計算!O361</f>
        <v>3.5680000000000001</v>
      </c>
      <c r="J356" s="11">
        <f>+[2]称号計算!P361</f>
        <v>1.0542</v>
      </c>
      <c r="K356" s="26">
        <f>+[2]称号計算!Q361</f>
        <v>0.75480000000000003</v>
      </c>
      <c r="L356" s="10">
        <f>+[2]称号計算!R361</f>
        <v>1.1852</v>
      </c>
      <c r="M356" s="11">
        <f>+[2]称号計算!S361</f>
        <v>0.97809999999999997</v>
      </c>
      <c r="N356" s="26">
        <f>+[2]称号計算!T361</f>
        <v>0.48549999999999999</v>
      </c>
      <c r="O356" s="10">
        <f>+[2]称号計算!U361</f>
        <v>9.7100000000000006E-2</v>
      </c>
      <c r="P356" s="10">
        <f>+[2]称号計算!V361</f>
        <v>3.2399999999999998E-2</v>
      </c>
      <c r="Q356" s="10">
        <f>+[2]称号計算!W361</f>
        <v>3.2399999999999998E-2</v>
      </c>
      <c r="R356" s="10">
        <f>+[2]称号計算!X361</f>
        <v>2.4299999999999999E-2</v>
      </c>
      <c r="S356" s="11">
        <f>+[2]称号計算!Y361</f>
        <v>2.4299999999999999E-2</v>
      </c>
      <c r="T356" s="18">
        <f>+[2]称号計算!Z361</f>
        <v>5.3525</v>
      </c>
      <c r="U356" s="11">
        <v>0.55000000000000004</v>
      </c>
    </row>
    <row r="357" spans="1:21">
      <c r="A357" s="12" t="s">
        <v>1268</v>
      </c>
      <c r="B357" s="23" t="s">
        <v>1628</v>
      </c>
      <c r="C357" s="27">
        <f>+[2]称号計算!I362</f>
        <v>1.3340000000000001</v>
      </c>
      <c r="D357" s="5">
        <f>+[2]称号計算!J362</f>
        <v>1.5198</v>
      </c>
      <c r="E357" s="5">
        <f>+[2]称号計算!K362</f>
        <v>0.2034</v>
      </c>
      <c r="F357" s="5">
        <f>+[2]称号計算!L362</f>
        <v>3.8378000000000001</v>
      </c>
      <c r="G357" s="5">
        <f>+[2]称号計算!M362</f>
        <v>1.1091</v>
      </c>
      <c r="H357" s="13">
        <f>+[2]称号計算!N362</f>
        <v>1.0569</v>
      </c>
      <c r="I357" s="27">
        <f>+[2]称号計算!O362</f>
        <v>1.0975999999999999</v>
      </c>
      <c r="J357" s="13">
        <f>+[2]称号計算!P362</f>
        <v>0.96460000000000001</v>
      </c>
      <c r="K357" s="27">
        <f>+[2]称号計算!Q362</f>
        <v>1.3509</v>
      </c>
      <c r="L357" s="5">
        <f>+[2]称号計算!R362</f>
        <v>2.6404000000000001</v>
      </c>
      <c r="M357" s="13">
        <f>+[2]称号計算!S362</f>
        <v>0.81669999999999998</v>
      </c>
      <c r="N357" s="27">
        <f>+[2]称号計算!T362</f>
        <v>9.1800000000000007E-2</v>
      </c>
      <c r="O357" s="5">
        <f>+[2]称号計算!U362</f>
        <v>0.45879999999999999</v>
      </c>
      <c r="P357" s="5">
        <f>+[2]称号計算!V362</f>
        <v>3.0599999999999999E-2</v>
      </c>
      <c r="Q357" s="5">
        <f>+[2]称号計算!W362</f>
        <v>3.0599999999999999E-2</v>
      </c>
      <c r="R357" s="5">
        <f>+[2]称号計算!X362</f>
        <v>2.29E-2</v>
      </c>
      <c r="S357" s="13">
        <f>+[2]称号計算!Y362</f>
        <v>2.29E-2</v>
      </c>
      <c r="T357" s="19">
        <f>+[2]称号計算!Z362</f>
        <v>6.7264999999999997</v>
      </c>
      <c r="U357" s="13">
        <v>0.5</v>
      </c>
    </row>
    <row r="358" spans="1:21">
      <c r="A358" s="12" t="s">
        <v>1269</v>
      </c>
      <c r="B358" s="23" t="s">
        <v>1629</v>
      </c>
      <c r="C358" s="27">
        <f>+[2]称号計算!I363</f>
        <v>2.0236000000000001</v>
      </c>
      <c r="D358" s="5">
        <f>+[2]称号計算!J363</f>
        <v>1.6862999999999999</v>
      </c>
      <c r="E358" s="5">
        <f>+[2]称号計算!K363</f>
        <v>0.38329999999999997</v>
      </c>
      <c r="F358" s="5">
        <f>+[2]称号計算!L363</f>
        <v>3.8325999999999998</v>
      </c>
      <c r="G358" s="5">
        <f>+[2]称号計算!M363</f>
        <v>1.694</v>
      </c>
      <c r="H358" s="13">
        <f>+[2]称号計算!N363</f>
        <v>1.1075999999999999</v>
      </c>
      <c r="I358" s="27">
        <f>+[2]称号計算!O363</f>
        <v>1.3491</v>
      </c>
      <c r="J358" s="13">
        <f>+[2]称号計算!P363</f>
        <v>1.0629</v>
      </c>
      <c r="K358" s="27">
        <f>+[2]称号計算!Q363</f>
        <v>0.94430000000000003</v>
      </c>
      <c r="L358" s="5">
        <f>+[2]称号計算!R363</f>
        <v>1.5329999999999999</v>
      </c>
      <c r="M358" s="13">
        <f>+[2]称号計算!S363</f>
        <v>1.0730999999999999</v>
      </c>
      <c r="N358" s="27">
        <f>+[2]称号計算!T363</f>
        <v>3.5400000000000001E-2</v>
      </c>
      <c r="O358" s="5">
        <f>+[2]称号計算!U363</f>
        <v>3.5400000000000001E-2</v>
      </c>
      <c r="P358" s="5">
        <f>+[2]称号計算!V363</f>
        <v>3.5400000000000001E-2</v>
      </c>
      <c r="Q358" s="5">
        <f>+[2]称号計算!W363</f>
        <v>3.5400000000000001E-2</v>
      </c>
      <c r="R358" s="5">
        <f>+[2]称号計算!X363</f>
        <v>0.70760000000000001</v>
      </c>
      <c r="S358" s="13">
        <f>+[2]称号計算!Y363</f>
        <v>9.4399999999999998E-2</v>
      </c>
      <c r="T358" s="19">
        <f>+[2]称号計算!Z363</f>
        <v>5.9340999999999999</v>
      </c>
      <c r="U358" s="13">
        <v>0.25</v>
      </c>
    </row>
    <row r="359" spans="1:21">
      <c r="A359" s="12" t="s">
        <v>1270</v>
      </c>
      <c r="B359" s="23" t="s">
        <v>1630</v>
      </c>
      <c r="C359" s="27">
        <f>+[2]称号計算!I364</f>
        <v>3.4222000000000001</v>
      </c>
      <c r="D359" s="5">
        <f>+[2]称号計算!J364</f>
        <v>0.67689999999999995</v>
      </c>
      <c r="E359" s="5">
        <f>+[2]称号計算!K364</f>
        <v>4.2733999999999996</v>
      </c>
      <c r="F359" s="5">
        <f>+[2]称号計算!L364</f>
        <v>0.35899999999999999</v>
      </c>
      <c r="G359" s="5">
        <f>+[2]称号計算!M364</f>
        <v>3.1238999999999999</v>
      </c>
      <c r="H359" s="13">
        <f>+[2]称号計算!N364</f>
        <v>1.5401</v>
      </c>
      <c r="I359" s="27">
        <f>+[2]称号計算!O364</f>
        <v>0.56410000000000005</v>
      </c>
      <c r="J359" s="13">
        <f>+[2]称号計算!P364</f>
        <v>1</v>
      </c>
      <c r="K359" s="27">
        <f>+[2]称号計算!Q364</f>
        <v>0.56410000000000005</v>
      </c>
      <c r="L359" s="5">
        <f>+[2]称号計算!R364</f>
        <v>1.1111</v>
      </c>
      <c r="M359" s="13">
        <f>+[2]称号計算!S364</f>
        <v>0.81369999999999998</v>
      </c>
      <c r="N359" s="27">
        <f>+[2]称号計算!T364</f>
        <v>0.19539999999999999</v>
      </c>
      <c r="O359" s="5">
        <f>+[2]称号計算!U364</f>
        <v>0.97709999999999997</v>
      </c>
      <c r="P359" s="5">
        <f>+[2]称号計算!V364</f>
        <v>6.5100000000000005E-2</v>
      </c>
      <c r="Q359" s="5">
        <f>+[2]称号計算!W364</f>
        <v>6.5100000000000005E-2</v>
      </c>
      <c r="R359" s="5">
        <f>+[2]称号計算!X364</f>
        <v>4.8899999999999999E-2</v>
      </c>
      <c r="S359" s="13">
        <f>+[2]称号計算!Y364</f>
        <v>4.8899999999999999E-2</v>
      </c>
      <c r="T359" s="19">
        <f>+[2]称号計算!Z364</f>
        <v>4.9436999999999998</v>
      </c>
      <c r="U359" s="13">
        <v>1</v>
      </c>
    </row>
    <row r="360" spans="1:21">
      <c r="A360" s="12" t="s">
        <v>1271</v>
      </c>
      <c r="B360" s="23" t="s">
        <v>1631</v>
      </c>
      <c r="C360" s="27">
        <f>+[2]称号計算!I365</f>
        <v>1.5308999999999999</v>
      </c>
      <c r="D360" s="5">
        <f>+[2]称号計算!J365</f>
        <v>0.8236</v>
      </c>
      <c r="E360" s="5">
        <f>+[2]称号計算!K365</f>
        <v>4.4040999999999997</v>
      </c>
      <c r="F360" s="5">
        <f>+[2]称号計算!L365</f>
        <v>0.30830000000000002</v>
      </c>
      <c r="G360" s="5">
        <f>+[2]称号計算!M365</f>
        <v>1.1830000000000001</v>
      </c>
      <c r="H360" s="13">
        <f>+[2]称号計算!N365</f>
        <v>1.0931</v>
      </c>
      <c r="I360" s="27">
        <f>+[2]称号計算!O365</f>
        <v>1.9378</v>
      </c>
      <c r="J360" s="13">
        <f>+[2]称号計算!P365</f>
        <v>1.4123000000000001</v>
      </c>
      <c r="K360" s="27">
        <f>+[2]称号計算!Q365</f>
        <v>1.5503</v>
      </c>
      <c r="L360" s="5">
        <f>+[2]称号計算!R365</f>
        <v>2.4839000000000002</v>
      </c>
      <c r="M360" s="13">
        <f>+[2]称号計算!S365</f>
        <v>1.4798</v>
      </c>
      <c r="N360" s="27">
        <f>+[2]称号計算!T365</f>
        <v>0.56810000000000005</v>
      </c>
      <c r="O360" s="5">
        <f>+[2]称号計算!U365</f>
        <v>0.11360000000000001</v>
      </c>
      <c r="P360" s="5">
        <f>+[2]称号計算!V365</f>
        <v>3.7900000000000003E-2</v>
      </c>
      <c r="Q360" s="5">
        <f>+[2]称号計算!W365</f>
        <v>3.7900000000000003E-2</v>
      </c>
      <c r="R360" s="5">
        <f>+[2]称号計算!X365</f>
        <v>2.8400000000000002E-2</v>
      </c>
      <c r="S360" s="13">
        <f>+[2]称号計算!Y365</f>
        <v>2.8400000000000002E-2</v>
      </c>
      <c r="T360" s="19">
        <f>+[2]称号計算!Z365</f>
        <v>7.6874000000000002</v>
      </c>
      <c r="U360" s="13">
        <v>1</v>
      </c>
    </row>
    <row r="361" spans="1:21" ht="19.5" thickBot="1">
      <c r="A361" s="14" t="s">
        <v>1272</v>
      </c>
      <c r="B361" s="24" t="s">
        <v>1632</v>
      </c>
      <c r="C361" s="28">
        <f>+[2]称号計算!I366</f>
        <v>1.7905</v>
      </c>
      <c r="D361" s="15">
        <f>+[2]称号計算!J366</f>
        <v>1.9651000000000001</v>
      </c>
      <c r="E361" s="15">
        <f>+[2]称号計算!K366</f>
        <v>0.49619999999999997</v>
      </c>
      <c r="F361" s="15">
        <f>+[2]称号計算!L366</f>
        <v>4.9625000000000004</v>
      </c>
      <c r="G361" s="15">
        <f>+[2]称号計算!M366</f>
        <v>1.4341999999999999</v>
      </c>
      <c r="H361" s="16">
        <f>+[2]称号計算!N366</f>
        <v>1.6872</v>
      </c>
      <c r="I361" s="28">
        <f>+[2]称号計算!O366</f>
        <v>1.0916999999999999</v>
      </c>
      <c r="J361" s="16">
        <f>+[2]称号計算!P366</f>
        <v>1.2902</v>
      </c>
      <c r="K361" s="28">
        <f>+[2]称号計算!Q366</f>
        <v>0.87339999999999995</v>
      </c>
      <c r="L361" s="15">
        <f>+[2]称号計算!R366</f>
        <v>1.9850000000000001</v>
      </c>
      <c r="M361" s="16">
        <f>+[2]称号計算!S366</f>
        <v>1.3895</v>
      </c>
      <c r="N361" s="28">
        <f>+[2]称号計算!T366</f>
        <v>4.65E-2</v>
      </c>
      <c r="O361" s="15">
        <f>+[2]称号計算!U366</f>
        <v>4.65E-2</v>
      </c>
      <c r="P361" s="15">
        <f>+[2]称号計算!V366</f>
        <v>0.69789999999999996</v>
      </c>
      <c r="Q361" s="15">
        <f>+[2]称号計算!W366</f>
        <v>0.17449999999999999</v>
      </c>
      <c r="R361" s="15">
        <f>+[2]称号計算!X366</f>
        <v>3.49E-2</v>
      </c>
      <c r="S361" s="16">
        <f>+[2]称号計算!Y366</f>
        <v>3.49E-2</v>
      </c>
      <c r="T361" s="20">
        <f>+[2]称号計算!Z366</f>
        <v>5.9004000000000003</v>
      </c>
      <c r="U361" s="16">
        <v>0.9</v>
      </c>
    </row>
    <row r="362" spans="1:21">
      <c r="A362" s="9" t="s">
        <v>1273</v>
      </c>
      <c r="B362" s="22" t="s">
        <v>1633</v>
      </c>
      <c r="C362" s="26">
        <f>+[2]称号計算!I367</f>
        <v>1.9928999999999999</v>
      </c>
      <c r="D362" s="10">
        <f>+[2]称号計算!J367</f>
        <v>0.93</v>
      </c>
      <c r="E362" s="10">
        <f>+[2]称号計算!K367</f>
        <v>3.7744</v>
      </c>
      <c r="F362" s="10">
        <f>+[2]称号計算!L367</f>
        <v>0.31330000000000002</v>
      </c>
      <c r="G362" s="10">
        <f>+[2]称号計算!M367</f>
        <v>0.97529999999999994</v>
      </c>
      <c r="H362" s="11">
        <f>+[2]称号計算!N367</f>
        <v>2.6949999999999998</v>
      </c>
      <c r="I362" s="26">
        <f>+[2]称号計算!O367</f>
        <v>0.83040000000000003</v>
      </c>
      <c r="J362" s="11">
        <f>+[2]称号計算!P367</f>
        <v>0.9617</v>
      </c>
      <c r="K362" s="26">
        <f>+[2]称号計算!Q367</f>
        <v>0.81379999999999997</v>
      </c>
      <c r="L362" s="10">
        <f>+[2]称号計算!R367</f>
        <v>1.5098</v>
      </c>
      <c r="M362" s="11">
        <f>+[2]称号計算!S367</f>
        <v>0.9829</v>
      </c>
      <c r="N362" s="26">
        <f>+[2]称号計算!T367</f>
        <v>0.79530000000000001</v>
      </c>
      <c r="O362" s="10">
        <f>+[2]称号計算!U367</f>
        <v>0.15909999999999999</v>
      </c>
      <c r="P362" s="10">
        <f>+[2]称号計算!V367</f>
        <v>5.2999999999999999E-2</v>
      </c>
      <c r="Q362" s="10">
        <f>+[2]称号計算!W367</f>
        <v>5.2999999999999999E-2</v>
      </c>
      <c r="R362" s="10">
        <f>+[2]称号計算!X367</f>
        <v>3.9800000000000002E-2</v>
      </c>
      <c r="S362" s="11">
        <f>+[2]称号計算!Y367</f>
        <v>3.9800000000000002E-2</v>
      </c>
      <c r="T362" s="18">
        <f>+[2]称号計算!Z367</f>
        <v>5.3036000000000003</v>
      </c>
      <c r="U362" s="11">
        <v>0.55000000000000004</v>
      </c>
    </row>
    <row r="363" spans="1:21">
      <c r="A363" s="12" t="s">
        <v>1274</v>
      </c>
      <c r="B363" s="23" t="s">
        <v>1634</v>
      </c>
      <c r="C363" s="27">
        <f>+[2]称号計算!I368</f>
        <v>1.6163000000000001</v>
      </c>
      <c r="D363" s="5">
        <f>+[2]称号計算!J368</f>
        <v>0.71840000000000004</v>
      </c>
      <c r="E363" s="5">
        <f>+[2]称号計算!K368</f>
        <v>4.0815999999999999</v>
      </c>
      <c r="F363" s="5">
        <f>+[2]称号計算!L368</f>
        <v>0.40820000000000001</v>
      </c>
      <c r="G363" s="5">
        <f>+[2]称号計算!M368</f>
        <v>1.2490000000000001</v>
      </c>
      <c r="H363" s="13">
        <f>+[2]称号計算!N368</f>
        <v>1.2490000000000001</v>
      </c>
      <c r="I363" s="27">
        <f>+[2]称号計算!O368</f>
        <v>1.9755</v>
      </c>
      <c r="J363" s="13">
        <f>+[2]称号計算!P368</f>
        <v>1.2381</v>
      </c>
      <c r="K363" s="27">
        <f>+[2]称号計算!Q368</f>
        <v>1.0774999999999999</v>
      </c>
      <c r="L363" s="5">
        <f>+[2]称号計算!R368</f>
        <v>1.9265000000000001</v>
      </c>
      <c r="M363" s="13">
        <f>+[2]称号計算!S368</f>
        <v>1.0286</v>
      </c>
      <c r="N363" s="27">
        <f>+[2]称号計算!T368</f>
        <v>0.1166</v>
      </c>
      <c r="O363" s="5">
        <f>+[2]称号計算!U368</f>
        <v>0.58320000000000005</v>
      </c>
      <c r="P363" s="5">
        <f>+[2]称号計算!V368</f>
        <v>3.8899999999999997E-2</v>
      </c>
      <c r="Q363" s="5">
        <f>+[2]称号計算!W368</f>
        <v>3.8899999999999997E-2</v>
      </c>
      <c r="R363" s="5">
        <f>+[2]称号計算!X368</f>
        <v>2.92E-2</v>
      </c>
      <c r="S363" s="13">
        <f>+[2]称号計算!Y368</f>
        <v>2.92E-2</v>
      </c>
      <c r="T363" s="19">
        <f>+[2]称号計算!Z368</f>
        <v>6.0750999999999999</v>
      </c>
      <c r="U363" s="13">
        <v>0.5</v>
      </c>
    </row>
    <row r="364" spans="1:21">
      <c r="A364" s="12" t="s">
        <v>1275</v>
      </c>
      <c r="B364" s="23" t="s">
        <v>1635</v>
      </c>
      <c r="C364" s="27">
        <f>+[2]称号計算!I369</f>
        <v>1.3333999999999999</v>
      </c>
      <c r="D364" s="5">
        <f>+[2]称号計算!J369</f>
        <v>0.8095</v>
      </c>
      <c r="E364" s="5">
        <f>+[2]称号計算!K369</f>
        <v>4.3291000000000004</v>
      </c>
      <c r="F364" s="5">
        <f>+[2]称号計算!L369</f>
        <v>0.32469999999999999</v>
      </c>
      <c r="G364" s="5">
        <f>+[2]称号計算!M369</f>
        <v>1.1186</v>
      </c>
      <c r="H364" s="13">
        <f>+[2]称号計算!N369</f>
        <v>1.1480999999999999</v>
      </c>
      <c r="I364" s="27">
        <f>+[2]称号計算!O369</f>
        <v>2.0952999999999999</v>
      </c>
      <c r="J364" s="13">
        <f>+[2]称号計算!P369</f>
        <v>1.1856</v>
      </c>
      <c r="K364" s="27">
        <f>+[2]称号計算!Q369</f>
        <v>1.6953</v>
      </c>
      <c r="L364" s="5">
        <f>+[2]称号計算!R369</f>
        <v>2.2511000000000001</v>
      </c>
      <c r="M364" s="13">
        <f>+[2]称号計算!S369</f>
        <v>1.0667</v>
      </c>
      <c r="N364" s="27">
        <f>+[2]称号計算!T369</f>
        <v>2.64E-2</v>
      </c>
      <c r="O364" s="5">
        <f>+[2]称号計算!U369</f>
        <v>2.64E-2</v>
      </c>
      <c r="P364" s="5">
        <f>+[2]称号計算!V369</f>
        <v>2.64E-2</v>
      </c>
      <c r="Q364" s="5">
        <f>+[2]称号計算!W369</f>
        <v>2.64E-2</v>
      </c>
      <c r="R364" s="5">
        <f>+[2]称号計算!X369</f>
        <v>0.52769999999999995</v>
      </c>
      <c r="S364" s="13">
        <f>+[2]称号計算!Y369</f>
        <v>7.0400000000000004E-2</v>
      </c>
      <c r="T364" s="19">
        <f>+[2]称号計算!Z369</f>
        <v>7.7625999999999999</v>
      </c>
      <c r="U364" s="13">
        <v>0.25</v>
      </c>
    </row>
    <row r="365" spans="1:21">
      <c r="A365" s="12" t="s">
        <v>1276</v>
      </c>
      <c r="B365" s="23" t="s">
        <v>1636</v>
      </c>
      <c r="C365" s="27">
        <f>+[2]称号計算!I370</f>
        <v>1.8768</v>
      </c>
      <c r="D365" s="5">
        <f>+[2]称号計算!J370</f>
        <v>3.0985</v>
      </c>
      <c r="E365" s="5">
        <f>+[2]称号計算!K370</f>
        <v>0.2616</v>
      </c>
      <c r="F365" s="5">
        <f>+[2]称号計算!L370</f>
        <v>4.024</v>
      </c>
      <c r="G365" s="5">
        <f>+[2]称号計算!M370</f>
        <v>1.0535000000000001</v>
      </c>
      <c r="H365" s="13">
        <f>+[2]称号計算!N370</f>
        <v>2.8047</v>
      </c>
      <c r="I365" s="27">
        <f>+[2]称号計算!O370</f>
        <v>0.79679999999999995</v>
      </c>
      <c r="J365" s="13">
        <f>+[2]称号計算!P370</f>
        <v>1.0114000000000001</v>
      </c>
      <c r="K365" s="27">
        <f>+[2]称号計算!Q370</f>
        <v>0.67279999999999995</v>
      </c>
      <c r="L365" s="5">
        <f>+[2]称号計算!R370</f>
        <v>1.3521000000000001</v>
      </c>
      <c r="M365" s="13">
        <f>+[2]称号計算!S370</f>
        <v>1.1942999999999999</v>
      </c>
      <c r="N365" s="27">
        <f>+[2]称号計算!T370</f>
        <v>0.19739999999999999</v>
      </c>
      <c r="O365" s="5">
        <f>+[2]称号計算!U370</f>
        <v>0.98719999999999997</v>
      </c>
      <c r="P365" s="5">
        <f>+[2]称号計算!V370</f>
        <v>6.5799999999999997E-2</v>
      </c>
      <c r="Q365" s="5">
        <f>+[2]称号計算!W370</f>
        <v>6.5799999999999997E-2</v>
      </c>
      <c r="R365" s="5">
        <f>+[2]称号計算!X370</f>
        <v>4.9399999999999999E-2</v>
      </c>
      <c r="S365" s="13">
        <f>+[2]称号計算!Y370</f>
        <v>4.9399999999999999E-2</v>
      </c>
      <c r="T365" s="19">
        <f>+[2]称号計算!Z370</f>
        <v>5.5446999999999997</v>
      </c>
      <c r="U365" s="13">
        <v>1</v>
      </c>
    </row>
    <row r="366" spans="1:21">
      <c r="A366" s="12" t="s">
        <v>1277</v>
      </c>
      <c r="B366" s="23" t="s">
        <v>1637</v>
      </c>
      <c r="C366" s="27">
        <f>+[2]称号計算!I371</f>
        <v>1.6343000000000001</v>
      </c>
      <c r="D366" s="5">
        <f>+[2]称号計算!J371</f>
        <v>0.66659999999999997</v>
      </c>
      <c r="E366" s="5">
        <f>+[2]称号計算!K371</f>
        <v>4.8872999999999998</v>
      </c>
      <c r="F366" s="5">
        <f>+[2]称号計算!L371</f>
        <v>0.30299999999999999</v>
      </c>
      <c r="G366" s="5">
        <f>+[2]称号計算!M371</f>
        <v>1.2628999999999999</v>
      </c>
      <c r="H366" s="13">
        <f>+[2]称号計算!N371</f>
        <v>1.1632</v>
      </c>
      <c r="I366" s="27">
        <f>+[2]称号計算!O371</f>
        <v>2.0428999999999999</v>
      </c>
      <c r="J366" s="13">
        <f>+[2]称号計算!P371</f>
        <v>2.0331000000000001</v>
      </c>
      <c r="K366" s="27">
        <f>+[2]称号計算!Q371</f>
        <v>1.4408000000000001</v>
      </c>
      <c r="L366" s="5">
        <f>+[2]称号計算!R371</f>
        <v>1.6812</v>
      </c>
      <c r="M366" s="13">
        <f>+[2]称号計算!S371</f>
        <v>1.82</v>
      </c>
      <c r="N366" s="27">
        <f>+[2]称号計算!T371</f>
        <v>0.54530000000000001</v>
      </c>
      <c r="O366" s="5">
        <f>+[2]称号計算!U371</f>
        <v>0.1091</v>
      </c>
      <c r="P366" s="5">
        <f>+[2]称号計算!V371</f>
        <v>3.6400000000000002E-2</v>
      </c>
      <c r="Q366" s="5">
        <f>+[2]称号計算!W371</f>
        <v>3.6400000000000002E-2</v>
      </c>
      <c r="R366" s="5">
        <f>+[2]称号計算!X371</f>
        <v>2.7300000000000001E-2</v>
      </c>
      <c r="S366" s="13">
        <f>+[2]称号計算!Y371</f>
        <v>2.7300000000000001E-2</v>
      </c>
      <c r="T366" s="19">
        <f>+[2]称号計算!Z371</f>
        <v>7.3110999999999997</v>
      </c>
      <c r="U366" s="13">
        <v>1</v>
      </c>
    </row>
    <row r="367" spans="1:21" ht="19.5" thickBot="1">
      <c r="A367" s="14" t="s">
        <v>1278</v>
      </c>
      <c r="B367" s="24" t="s">
        <v>1638</v>
      </c>
      <c r="C367" s="28">
        <f>+[2]称号計算!I372</f>
        <v>2.0091999999999999</v>
      </c>
      <c r="D367" s="15">
        <f>+[2]称号計算!J372</f>
        <v>2.9133</v>
      </c>
      <c r="E367" s="15">
        <f>+[2]称号計算!K372</f>
        <v>0.45660000000000001</v>
      </c>
      <c r="F367" s="15">
        <f>+[2]称号計算!L372</f>
        <v>4.5663999999999998</v>
      </c>
      <c r="G367" s="15">
        <f>+[2]称号計算!M372</f>
        <v>1.5526</v>
      </c>
      <c r="H367" s="16">
        <f>+[2]称号計算!N372</f>
        <v>1.8631</v>
      </c>
      <c r="I367" s="28">
        <f>+[2]称号計算!O372</f>
        <v>1.2055</v>
      </c>
      <c r="J367" s="16">
        <f>+[2]称号計算!P372</f>
        <v>1.1081000000000001</v>
      </c>
      <c r="K367" s="28">
        <f>+[2]称号計算!Q372</f>
        <v>0.84389999999999998</v>
      </c>
      <c r="L367" s="15">
        <f>+[2]称号計算!R372</f>
        <v>1.7352000000000001</v>
      </c>
      <c r="M367" s="16">
        <f>+[2]称号計算!S372</f>
        <v>1.4703999999999999</v>
      </c>
      <c r="N367" s="28">
        <f>+[2]称号計算!T372</f>
        <v>5.8900000000000001E-2</v>
      </c>
      <c r="O367" s="15">
        <f>+[2]称号計算!U372</f>
        <v>5.8900000000000001E-2</v>
      </c>
      <c r="P367" s="15">
        <f>+[2]称号計算!V372</f>
        <v>0.88360000000000005</v>
      </c>
      <c r="Q367" s="15">
        <f>+[2]称号計算!W372</f>
        <v>0.22090000000000001</v>
      </c>
      <c r="R367" s="15">
        <f>+[2]称号計算!X372</f>
        <v>4.4200000000000003E-2</v>
      </c>
      <c r="S367" s="16">
        <f>+[2]称号計算!Y372</f>
        <v>4.4200000000000003E-2</v>
      </c>
      <c r="T367" s="20">
        <f>+[2]称号計算!Z372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1" t="s">
        <v>6</v>
      </c>
      <c r="B1" s="42" t="s">
        <v>7</v>
      </c>
      <c r="C1" s="43" t="s">
        <v>115</v>
      </c>
      <c r="D1" s="44" t="s">
        <v>145</v>
      </c>
      <c r="E1" s="44" t="s">
        <v>16</v>
      </c>
      <c r="F1" s="44" t="s">
        <v>17</v>
      </c>
      <c r="G1" s="44" t="s">
        <v>18</v>
      </c>
      <c r="H1" s="44" t="s">
        <v>19</v>
      </c>
      <c r="I1" s="44" t="s">
        <v>20</v>
      </c>
      <c r="J1" s="44" t="s">
        <v>21</v>
      </c>
      <c r="K1" s="44" t="s">
        <v>22</v>
      </c>
      <c r="L1" s="44" t="s">
        <v>23</v>
      </c>
      <c r="M1" s="44" t="s">
        <v>24</v>
      </c>
      <c r="N1" s="44" t="s">
        <v>25</v>
      </c>
      <c r="O1" s="44" t="s">
        <v>26</v>
      </c>
      <c r="P1" s="44" t="s">
        <v>27</v>
      </c>
      <c r="Q1" s="44" t="s">
        <v>28</v>
      </c>
      <c r="R1" s="44" t="s">
        <v>29</v>
      </c>
      <c r="S1" s="44" t="s">
        <v>85</v>
      </c>
      <c r="T1" s="44" t="s">
        <v>30</v>
      </c>
      <c r="U1" s="44" t="s">
        <v>31</v>
      </c>
      <c r="V1" s="42" t="s">
        <v>35</v>
      </c>
    </row>
    <row r="2" spans="1:22">
      <c r="A2" s="9" t="s">
        <v>137</v>
      </c>
      <c r="B2" s="10" t="s">
        <v>138</v>
      </c>
      <c r="C2" s="10" t="s">
        <v>139</v>
      </c>
      <c r="D2" s="10" t="s">
        <v>140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141</v>
      </c>
      <c r="B3" s="5" t="s">
        <v>142</v>
      </c>
      <c r="C3" s="5" t="s">
        <v>143</v>
      </c>
      <c r="D3" s="5" t="s">
        <v>144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163</v>
      </c>
      <c r="B4" s="5" t="s">
        <v>166</v>
      </c>
      <c r="C4" s="5" t="s">
        <v>146</v>
      </c>
      <c r="D4" s="5" t="s">
        <v>172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164</v>
      </c>
      <c r="B5" s="5" t="s">
        <v>167</v>
      </c>
      <c r="C5" s="5" t="s">
        <v>143</v>
      </c>
      <c r="D5" s="5" t="s">
        <v>171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165</v>
      </c>
      <c r="B6" s="15" t="s">
        <v>168</v>
      </c>
      <c r="C6" s="15" t="s">
        <v>169</v>
      </c>
      <c r="D6" s="15" t="s">
        <v>170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32A8-C17D-4BCB-9FB1-72E8D4F5E58D}">
  <dimension ref="A1:DT204"/>
  <sheetViews>
    <sheetView showGridLines="0" tabSelected="1" workbookViewId="0">
      <pane xSplit="2" ySplit="1" topLeftCell="L2" activePane="bottomRight" state="frozen"/>
      <selection pane="topRight"/>
      <selection pane="bottomLeft"/>
      <selection pane="bottomRight" activeCell="M8" sqref="M8"/>
    </sheetView>
  </sheetViews>
  <sheetFormatPr defaultRowHeight="18.75"/>
  <cols>
    <col min="1" max="1" width="22" style="71" customWidth="1"/>
    <col min="2" max="2" width="24" style="71" customWidth="1"/>
    <col min="3" max="3" width="48" style="71" customWidth="1"/>
    <col min="4" max="4" width="14" style="71" customWidth="1"/>
    <col min="5" max="5" width="16" style="71" customWidth="1"/>
    <col min="6" max="6" width="14" style="71" customWidth="1"/>
    <col min="7" max="7" width="17" style="71" customWidth="1"/>
    <col min="8" max="8" width="15" style="71" customWidth="1"/>
    <col min="9" max="9" width="18" style="71" customWidth="1"/>
    <col min="10" max="10" width="12" style="71" customWidth="1"/>
    <col min="11" max="11" width="20" style="71" customWidth="1"/>
    <col min="12" max="12" width="16" style="71" customWidth="1"/>
    <col min="13" max="13" width="19" style="71" customWidth="1"/>
    <col min="14" max="14" width="12" style="71" customWidth="1"/>
    <col min="15" max="15" width="14" style="71" customWidth="1"/>
    <col min="16" max="16" width="18" style="71" customWidth="1"/>
    <col min="17" max="17" width="14" style="71" customWidth="1"/>
    <col min="18" max="18" width="22" style="71" customWidth="1"/>
    <col min="19" max="20" width="14" style="71" customWidth="1"/>
    <col min="21" max="22" width="16" style="71" customWidth="1"/>
    <col min="23" max="23" width="17" style="71" customWidth="1"/>
    <col min="24" max="24" width="12" style="71" customWidth="1"/>
    <col min="25" max="26" width="42" style="71" customWidth="1"/>
    <col min="27" max="27" width="16" style="71" customWidth="1"/>
    <col min="28" max="29" width="19" style="71" customWidth="1"/>
    <col min="30" max="31" width="14" style="71" customWidth="1"/>
    <col min="32" max="33" width="16" style="71" customWidth="1"/>
    <col min="34" max="35" width="17" style="71" customWidth="1"/>
    <col min="36" max="36" width="14" style="71" customWidth="1"/>
    <col min="37" max="37" width="16" style="71" customWidth="1"/>
    <col min="38" max="39" width="19" style="71" customWidth="1"/>
    <col min="40" max="41" width="14" style="71" customWidth="1"/>
    <col min="42" max="43" width="16" style="71" customWidth="1"/>
    <col min="44" max="45" width="17" style="71" customWidth="1"/>
    <col min="46" max="46" width="14" style="71" customWidth="1"/>
    <col min="47" max="47" width="16" style="71" customWidth="1"/>
    <col min="48" max="49" width="19" style="71" customWidth="1"/>
    <col min="50" max="51" width="14" style="71" customWidth="1"/>
    <col min="52" max="53" width="16" style="71" customWidth="1"/>
    <col min="54" max="55" width="17" style="71" customWidth="1"/>
    <col min="56" max="56" width="14" style="71" customWidth="1"/>
    <col min="57" max="57" width="19" style="71" customWidth="1"/>
    <col min="58" max="58" width="20" style="71" customWidth="1"/>
    <col min="59" max="59" width="14" style="71" customWidth="1"/>
    <col min="60" max="60" width="46" style="71" customWidth="1"/>
    <col min="61" max="112" width="23" style="71" customWidth="1"/>
    <col min="113" max="123" width="22" style="71" customWidth="1"/>
    <col min="124" max="16384" width="9" style="71"/>
  </cols>
  <sheetData>
    <row r="1" spans="1:124" ht="42" customHeight="1">
      <c r="A1" s="74" t="s">
        <v>6</v>
      </c>
      <c r="B1" s="75" t="s">
        <v>7</v>
      </c>
      <c r="C1" s="75" t="s">
        <v>145</v>
      </c>
      <c r="D1" s="75" t="s">
        <v>1651</v>
      </c>
      <c r="E1" s="75" t="s">
        <v>1652</v>
      </c>
      <c r="F1" s="75" t="s">
        <v>1758</v>
      </c>
      <c r="G1" s="75" t="s">
        <v>1653</v>
      </c>
      <c r="H1" s="75" t="s">
        <v>1654</v>
      </c>
      <c r="I1" s="75" t="s">
        <v>1655</v>
      </c>
      <c r="J1" s="75" t="s">
        <v>1656</v>
      </c>
      <c r="K1" s="75" t="s">
        <v>1657</v>
      </c>
      <c r="L1" s="75" t="s">
        <v>1658</v>
      </c>
      <c r="M1" s="75" t="s">
        <v>1659</v>
      </c>
      <c r="N1" s="75" t="s">
        <v>1660</v>
      </c>
      <c r="O1" s="75" t="s">
        <v>1661</v>
      </c>
      <c r="P1" s="75" t="s">
        <v>14</v>
      </c>
      <c r="Q1" s="75" t="s">
        <v>1662</v>
      </c>
      <c r="R1" s="75" t="s">
        <v>1663</v>
      </c>
      <c r="S1" s="75" t="s">
        <v>1664</v>
      </c>
      <c r="T1" s="75" t="s">
        <v>1665</v>
      </c>
      <c r="U1" s="75" t="s">
        <v>1666</v>
      </c>
      <c r="V1" s="75" t="s">
        <v>1667</v>
      </c>
      <c r="W1" s="75" t="s">
        <v>1668</v>
      </c>
      <c r="X1" s="75" t="s">
        <v>1669</v>
      </c>
      <c r="Y1" s="75" t="s">
        <v>1670</v>
      </c>
      <c r="Z1" s="75" t="s">
        <v>1671</v>
      </c>
      <c r="AA1" s="76" t="s">
        <v>1672</v>
      </c>
      <c r="AB1" s="76" t="s">
        <v>1673</v>
      </c>
      <c r="AC1" s="76" t="s">
        <v>1674</v>
      </c>
      <c r="AD1" s="76" t="s">
        <v>1675</v>
      </c>
      <c r="AE1" s="76" t="s">
        <v>1676</v>
      </c>
      <c r="AF1" s="76" t="s">
        <v>1677</v>
      </c>
      <c r="AG1" s="76" t="s">
        <v>1678</v>
      </c>
      <c r="AH1" s="76" t="s">
        <v>1679</v>
      </c>
      <c r="AI1" s="76" t="s">
        <v>1680</v>
      </c>
      <c r="AJ1" s="76" t="s">
        <v>1681</v>
      </c>
      <c r="AK1" s="77" t="s">
        <v>1682</v>
      </c>
      <c r="AL1" s="77" t="s">
        <v>1683</v>
      </c>
      <c r="AM1" s="77" t="s">
        <v>1684</v>
      </c>
      <c r="AN1" s="77" t="s">
        <v>1685</v>
      </c>
      <c r="AO1" s="77" t="s">
        <v>1686</v>
      </c>
      <c r="AP1" s="77" t="s">
        <v>1687</v>
      </c>
      <c r="AQ1" s="77" t="s">
        <v>1688</v>
      </c>
      <c r="AR1" s="77" t="s">
        <v>1689</v>
      </c>
      <c r="AS1" s="77" t="s">
        <v>1690</v>
      </c>
      <c r="AT1" s="77" t="s">
        <v>1691</v>
      </c>
      <c r="AU1" s="78" t="s">
        <v>1692</v>
      </c>
      <c r="AV1" s="78" t="s">
        <v>1693</v>
      </c>
      <c r="AW1" s="78" t="s">
        <v>1694</v>
      </c>
      <c r="AX1" s="78" t="s">
        <v>1695</v>
      </c>
      <c r="AY1" s="78" t="s">
        <v>1696</v>
      </c>
      <c r="AZ1" s="78" t="s">
        <v>1697</v>
      </c>
      <c r="BA1" s="78" t="s">
        <v>1698</v>
      </c>
      <c r="BB1" s="78" t="s">
        <v>1699</v>
      </c>
      <c r="BC1" s="78" t="s">
        <v>1700</v>
      </c>
      <c r="BD1" s="78" t="s">
        <v>1701</v>
      </c>
      <c r="BE1" s="79" t="s">
        <v>1702</v>
      </c>
      <c r="BF1" s="79" t="s">
        <v>1703</v>
      </c>
      <c r="BG1" s="79" t="s">
        <v>1704</v>
      </c>
      <c r="BH1" s="80" t="s">
        <v>1759</v>
      </c>
      <c r="BI1" s="80" t="s">
        <v>1760</v>
      </c>
      <c r="BJ1" s="80" t="s">
        <v>1761</v>
      </c>
      <c r="BK1" s="80" t="s">
        <v>1762</v>
      </c>
      <c r="BL1" s="80" t="s">
        <v>1763</v>
      </c>
      <c r="BM1" s="80" t="s">
        <v>1764</v>
      </c>
      <c r="BN1" s="80" t="s">
        <v>1765</v>
      </c>
      <c r="BO1" s="80" t="s">
        <v>1766</v>
      </c>
      <c r="BP1" s="80" t="s">
        <v>1767</v>
      </c>
      <c r="BQ1" s="80" t="s">
        <v>1768</v>
      </c>
      <c r="BR1" s="80" t="s">
        <v>1769</v>
      </c>
      <c r="BS1" s="80" t="s">
        <v>1770</v>
      </c>
      <c r="BT1" s="80" t="s">
        <v>1771</v>
      </c>
      <c r="BU1" s="80" t="s">
        <v>1772</v>
      </c>
      <c r="BV1" s="80" t="s">
        <v>1773</v>
      </c>
      <c r="BW1" s="80" t="s">
        <v>1774</v>
      </c>
      <c r="BX1" s="80" t="s">
        <v>1775</v>
      </c>
      <c r="BY1" s="80" t="s">
        <v>1776</v>
      </c>
      <c r="BZ1" s="80" t="s">
        <v>1777</v>
      </c>
      <c r="CA1" s="80" t="s">
        <v>1778</v>
      </c>
      <c r="CB1" s="80" t="s">
        <v>1779</v>
      </c>
      <c r="CC1" s="80" t="s">
        <v>1780</v>
      </c>
      <c r="CD1" s="80" t="s">
        <v>1781</v>
      </c>
      <c r="CE1" s="80" t="s">
        <v>1782</v>
      </c>
      <c r="CF1" s="80" t="s">
        <v>1783</v>
      </c>
      <c r="CG1" s="80" t="s">
        <v>1784</v>
      </c>
      <c r="CH1" s="80" t="s">
        <v>1785</v>
      </c>
      <c r="CI1" s="80" t="s">
        <v>1786</v>
      </c>
      <c r="CJ1" s="80" t="s">
        <v>1787</v>
      </c>
      <c r="CK1" s="80" t="s">
        <v>1788</v>
      </c>
      <c r="CL1" s="80" t="s">
        <v>1789</v>
      </c>
      <c r="CM1" s="80" t="s">
        <v>1790</v>
      </c>
      <c r="CN1" s="80" t="s">
        <v>1791</v>
      </c>
      <c r="CO1" s="80" t="s">
        <v>1792</v>
      </c>
      <c r="CP1" s="80" t="s">
        <v>1793</v>
      </c>
      <c r="CQ1" s="80" t="s">
        <v>1794</v>
      </c>
      <c r="CR1" s="80" t="s">
        <v>1795</v>
      </c>
      <c r="CS1" s="80" t="s">
        <v>1796</v>
      </c>
      <c r="CT1" s="80" t="s">
        <v>1797</v>
      </c>
      <c r="CU1" s="80" t="s">
        <v>1798</v>
      </c>
      <c r="CV1" s="80" t="s">
        <v>1799</v>
      </c>
      <c r="CW1" s="80" t="s">
        <v>1800</v>
      </c>
      <c r="CX1" s="80" t="s">
        <v>1801</v>
      </c>
      <c r="CY1" s="80" t="s">
        <v>1802</v>
      </c>
      <c r="CZ1" s="80" t="s">
        <v>1803</v>
      </c>
      <c r="DA1" s="80" t="s">
        <v>1804</v>
      </c>
      <c r="DB1" s="80" t="s">
        <v>1805</v>
      </c>
      <c r="DC1" s="80" t="s">
        <v>1806</v>
      </c>
      <c r="DD1" s="80" t="s">
        <v>1807</v>
      </c>
      <c r="DE1" s="80" t="s">
        <v>1820</v>
      </c>
      <c r="DF1" s="80" t="s">
        <v>1821</v>
      </c>
      <c r="DG1" s="80" t="s">
        <v>1822</v>
      </c>
      <c r="DH1" s="80" t="s">
        <v>1823</v>
      </c>
      <c r="DI1" s="81" t="s">
        <v>1827</v>
      </c>
      <c r="DJ1" s="81" t="s">
        <v>1828</v>
      </c>
      <c r="DK1" s="81" t="s">
        <v>1829</v>
      </c>
      <c r="DL1" s="81" t="s">
        <v>1830</v>
      </c>
      <c r="DM1" s="81" t="s">
        <v>1831</v>
      </c>
      <c r="DN1" s="81" t="s">
        <v>1832</v>
      </c>
      <c r="DO1" s="81" t="s">
        <v>1833</v>
      </c>
      <c r="DP1" s="81" t="s">
        <v>1834</v>
      </c>
      <c r="DQ1" s="81" t="s">
        <v>1835</v>
      </c>
      <c r="DR1" s="81" t="s">
        <v>1836</v>
      </c>
      <c r="DS1" s="82" t="s">
        <v>1837</v>
      </c>
      <c r="DT1" s="112" t="s">
        <v>1921</v>
      </c>
    </row>
    <row r="2" spans="1:124" ht="24.95" customHeight="1">
      <c r="A2" s="83" t="s">
        <v>1808</v>
      </c>
      <c r="B2" s="84" t="s">
        <v>1705</v>
      </c>
      <c r="C2" s="85" t="s">
        <v>1706</v>
      </c>
      <c r="D2" s="86">
        <v>1</v>
      </c>
      <c r="E2" s="86">
        <v>1</v>
      </c>
      <c r="F2" s="86">
        <v>10</v>
      </c>
      <c r="G2" s="87">
        <v>5</v>
      </c>
      <c r="H2" s="87">
        <v>0</v>
      </c>
      <c r="I2" s="87">
        <v>0.2</v>
      </c>
      <c r="J2" s="87">
        <v>6</v>
      </c>
      <c r="K2" s="84" t="s">
        <v>1707</v>
      </c>
      <c r="L2" s="84" t="s">
        <v>1708</v>
      </c>
      <c r="M2" s="84" t="s">
        <v>1709</v>
      </c>
      <c r="N2" s="87">
        <v>2</v>
      </c>
      <c r="O2" s="86">
        <v>0</v>
      </c>
      <c r="P2" s="84" t="s">
        <v>1710</v>
      </c>
      <c r="Q2" s="84" t="s">
        <v>1711</v>
      </c>
      <c r="R2" s="84" t="s">
        <v>1712</v>
      </c>
      <c r="S2" s="87">
        <v>0</v>
      </c>
      <c r="T2" s="86">
        <v>1</v>
      </c>
      <c r="U2" s="84" t="s">
        <v>1713</v>
      </c>
      <c r="V2" s="88">
        <v>8</v>
      </c>
      <c r="W2" s="88">
        <v>3</v>
      </c>
      <c r="X2" s="88" t="s">
        <v>1711</v>
      </c>
      <c r="Y2" s="84"/>
      <c r="Z2" s="84"/>
      <c r="AA2" s="84" t="s">
        <v>1714</v>
      </c>
      <c r="AB2" s="84" t="s">
        <v>1714</v>
      </c>
      <c r="AC2" s="84" t="s">
        <v>1714</v>
      </c>
      <c r="AD2" s="87">
        <v>0</v>
      </c>
      <c r="AE2" s="87">
        <v>0</v>
      </c>
      <c r="AF2" s="87">
        <v>0</v>
      </c>
      <c r="AG2" s="84" t="s">
        <v>1714</v>
      </c>
      <c r="AH2" s="87">
        <v>0</v>
      </c>
      <c r="AI2" s="84" t="s">
        <v>1715</v>
      </c>
      <c r="AJ2" s="87">
        <v>1</v>
      </c>
      <c r="AK2" s="84" t="s">
        <v>1714</v>
      </c>
      <c r="AL2" s="84" t="s">
        <v>1714</v>
      </c>
      <c r="AM2" s="84" t="s">
        <v>1714</v>
      </c>
      <c r="AN2" s="87">
        <v>0</v>
      </c>
      <c r="AO2" s="87">
        <v>0</v>
      </c>
      <c r="AP2" s="87">
        <v>0</v>
      </c>
      <c r="AQ2" s="84" t="s">
        <v>1714</v>
      </c>
      <c r="AR2" s="87">
        <v>0</v>
      </c>
      <c r="AS2" s="84" t="s">
        <v>1715</v>
      </c>
      <c r="AT2" s="87">
        <v>1</v>
      </c>
      <c r="AU2" s="84" t="s">
        <v>1714</v>
      </c>
      <c r="AV2" s="84" t="s">
        <v>1714</v>
      </c>
      <c r="AW2" s="84" t="s">
        <v>1714</v>
      </c>
      <c r="AX2" s="87">
        <v>0</v>
      </c>
      <c r="AY2" s="87">
        <v>0</v>
      </c>
      <c r="AZ2" s="87">
        <v>0</v>
      </c>
      <c r="BA2" s="84" t="s">
        <v>1714</v>
      </c>
      <c r="BB2" s="87">
        <v>0</v>
      </c>
      <c r="BC2" s="84" t="s">
        <v>1715</v>
      </c>
      <c r="BD2" s="87">
        <v>1</v>
      </c>
      <c r="BE2" s="89">
        <v>8</v>
      </c>
      <c r="BF2" s="89">
        <v>3</v>
      </c>
      <c r="BG2" s="90" t="s">
        <v>1711</v>
      </c>
      <c r="BH2" s="91"/>
      <c r="BI2" s="91" t="s">
        <v>1721</v>
      </c>
      <c r="BJ2" s="91" t="s">
        <v>1721</v>
      </c>
      <c r="BK2" s="92">
        <v>360</v>
      </c>
      <c r="BL2" s="91" t="s">
        <v>1721</v>
      </c>
      <c r="BM2" s="92">
        <v>0.3</v>
      </c>
      <c r="BN2" s="92">
        <v>2</v>
      </c>
      <c r="BO2" s="91" t="s">
        <v>1721</v>
      </c>
      <c r="BP2" s="92">
        <v>3</v>
      </c>
      <c r="BQ2" s="92">
        <v>50</v>
      </c>
      <c r="BR2" s="92">
        <v>0.3</v>
      </c>
      <c r="BS2" s="91" t="s">
        <v>1824</v>
      </c>
      <c r="BT2" s="92">
        <v>8</v>
      </c>
      <c r="BU2" s="92">
        <v>0.8</v>
      </c>
      <c r="BV2" s="92">
        <v>2</v>
      </c>
      <c r="BW2" s="92">
        <v>0.8</v>
      </c>
      <c r="BX2" s="92">
        <v>12</v>
      </c>
      <c r="BY2" s="92">
        <v>0.8</v>
      </c>
      <c r="BZ2" s="92">
        <v>1.5</v>
      </c>
      <c r="CA2" s="92">
        <v>720</v>
      </c>
      <c r="CB2" s="92">
        <v>0.6</v>
      </c>
      <c r="CC2" s="92">
        <v>540</v>
      </c>
      <c r="CD2" s="92">
        <v>1.8</v>
      </c>
      <c r="CE2" s="92">
        <v>4</v>
      </c>
      <c r="CF2" s="92">
        <v>4</v>
      </c>
      <c r="CG2" s="91" t="s">
        <v>1711</v>
      </c>
      <c r="CH2" s="91" t="s">
        <v>1721</v>
      </c>
      <c r="CI2" s="91" t="s">
        <v>1721</v>
      </c>
      <c r="CJ2" s="92">
        <v>0.5</v>
      </c>
      <c r="CK2" s="92">
        <v>1.5</v>
      </c>
      <c r="CL2" s="92">
        <v>2.5</v>
      </c>
      <c r="CM2" s="92">
        <v>2.5</v>
      </c>
      <c r="CN2" s="91" t="s">
        <v>1721</v>
      </c>
      <c r="CO2" s="92">
        <v>1</v>
      </c>
      <c r="CP2" s="91" t="s">
        <v>1669</v>
      </c>
      <c r="CQ2" s="92">
        <v>10</v>
      </c>
      <c r="CR2" s="91" t="s">
        <v>1721</v>
      </c>
      <c r="CS2" s="92">
        <v>4</v>
      </c>
      <c r="CT2" s="92">
        <v>8</v>
      </c>
      <c r="CU2" s="92">
        <v>0.85</v>
      </c>
      <c r="CV2" s="91" t="s">
        <v>1721</v>
      </c>
      <c r="CW2" s="92">
        <v>2</v>
      </c>
      <c r="CX2" s="92">
        <v>50</v>
      </c>
      <c r="CY2" s="92">
        <v>0.5</v>
      </c>
      <c r="CZ2" s="92">
        <v>1</v>
      </c>
      <c r="DA2" s="91" t="s">
        <v>1721</v>
      </c>
      <c r="DB2" s="91" t="s">
        <v>1711</v>
      </c>
      <c r="DC2" s="92">
        <v>2</v>
      </c>
      <c r="DD2" s="92">
        <v>0.4</v>
      </c>
      <c r="DE2" s="91">
        <v>0.3</v>
      </c>
      <c r="DF2" s="93" t="s">
        <v>1825</v>
      </c>
      <c r="DG2" s="91">
        <v>60</v>
      </c>
      <c r="DH2" s="91">
        <v>0</v>
      </c>
      <c r="DI2" s="94" t="s">
        <v>1838</v>
      </c>
      <c r="DJ2" s="94" t="s">
        <v>1839</v>
      </c>
      <c r="DK2" s="94" t="s">
        <v>1840</v>
      </c>
      <c r="DL2" s="94" t="s">
        <v>1841</v>
      </c>
      <c r="DM2" s="94">
        <v>1</v>
      </c>
      <c r="DN2" s="94"/>
      <c r="DO2" s="94"/>
      <c r="DP2" s="94"/>
      <c r="DQ2" s="94"/>
      <c r="DR2" s="94"/>
      <c r="DS2" s="95"/>
      <c r="DT2" s="110">
        <v>1</v>
      </c>
    </row>
    <row r="3" spans="1:124" ht="24.95" customHeight="1">
      <c r="A3" s="83" t="s">
        <v>1809</v>
      </c>
      <c r="B3" s="84" t="s">
        <v>1716</v>
      </c>
      <c r="C3" s="85" t="s">
        <v>1717</v>
      </c>
      <c r="D3" s="86">
        <v>1</v>
      </c>
      <c r="E3" s="86">
        <v>1</v>
      </c>
      <c r="F3" s="86">
        <v>15</v>
      </c>
      <c r="G3" s="87">
        <v>8</v>
      </c>
      <c r="H3" s="87">
        <v>0</v>
      </c>
      <c r="I3" s="87">
        <v>0.2</v>
      </c>
      <c r="J3" s="87">
        <v>5</v>
      </c>
      <c r="K3" s="84" t="s">
        <v>1718</v>
      </c>
      <c r="L3" s="84" t="s">
        <v>1719</v>
      </c>
      <c r="M3" s="84" t="s">
        <v>1709</v>
      </c>
      <c r="N3" s="87">
        <v>1.5</v>
      </c>
      <c r="O3" s="86">
        <v>200</v>
      </c>
      <c r="P3" s="84" t="s">
        <v>1720</v>
      </c>
      <c r="Q3" s="84" t="s">
        <v>1721</v>
      </c>
      <c r="R3" s="84" t="s">
        <v>1712</v>
      </c>
      <c r="S3" s="87">
        <v>0</v>
      </c>
      <c r="T3" s="86">
        <v>1</v>
      </c>
      <c r="U3" s="84" t="s">
        <v>1713</v>
      </c>
      <c r="V3" s="88">
        <v>1</v>
      </c>
      <c r="W3" s="88">
        <v>0.8</v>
      </c>
      <c r="X3" s="88" t="s">
        <v>1721</v>
      </c>
      <c r="Y3" s="84"/>
      <c r="Z3" s="84"/>
      <c r="AA3" s="84" t="s">
        <v>1714</v>
      </c>
      <c r="AB3" s="84" t="s">
        <v>1714</v>
      </c>
      <c r="AC3" s="84" t="s">
        <v>1714</v>
      </c>
      <c r="AD3" s="87">
        <v>0</v>
      </c>
      <c r="AE3" s="87">
        <v>0</v>
      </c>
      <c r="AF3" s="87">
        <v>0</v>
      </c>
      <c r="AG3" s="84" t="s">
        <v>1714</v>
      </c>
      <c r="AH3" s="87">
        <v>0</v>
      </c>
      <c r="AI3" s="84" t="s">
        <v>1715</v>
      </c>
      <c r="AJ3" s="87">
        <v>1</v>
      </c>
      <c r="AK3" s="84" t="s">
        <v>1714</v>
      </c>
      <c r="AL3" s="84" t="s">
        <v>1714</v>
      </c>
      <c r="AM3" s="84" t="s">
        <v>1714</v>
      </c>
      <c r="AN3" s="87">
        <v>0</v>
      </c>
      <c r="AO3" s="87">
        <v>0</v>
      </c>
      <c r="AP3" s="87">
        <v>0</v>
      </c>
      <c r="AQ3" s="84" t="s">
        <v>1714</v>
      </c>
      <c r="AR3" s="87">
        <v>0</v>
      </c>
      <c r="AS3" s="84" t="s">
        <v>1715</v>
      </c>
      <c r="AT3" s="87">
        <v>1</v>
      </c>
      <c r="AU3" s="84" t="s">
        <v>1714</v>
      </c>
      <c r="AV3" s="84" t="s">
        <v>1714</v>
      </c>
      <c r="AW3" s="84" t="s">
        <v>1714</v>
      </c>
      <c r="AX3" s="87">
        <v>0</v>
      </c>
      <c r="AY3" s="87">
        <v>0</v>
      </c>
      <c r="AZ3" s="87">
        <v>0</v>
      </c>
      <c r="BA3" s="84" t="s">
        <v>1714</v>
      </c>
      <c r="BB3" s="87">
        <v>0</v>
      </c>
      <c r="BC3" s="84" t="s">
        <v>1715</v>
      </c>
      <c r="BD3" s="87">
        <v>1</v>
      </c>
      <c r="BE3" s="89">
        <v>1</v>
      </c>
      <c r="BF3" s="89">
        <v>0.8</v>
      </c>
      <c r="BG3" s="90" t="s">
        <v>1721</v>
      </c>
      <c r="BH3" s="91"/>
      <c r="BI3" s="91" t="s">
        <v>1721</v>
      </c>
      <c r="BJ3" s="91" t="s">
        <v>1721</v>
      </c>
      <c r="BK3" s="92">
        <v>360</v>
      </c>
      <c r="BL3" s="91" t="s">
        <v>1721</v>
      </c>
      <c r="BM3" s="92">
        <v>0.3</v>
      </c>
      <c r="BN3" s="92">
        <v>2</v>
      </c>
      <c r="BO3" s="91" t="s">
        <v>1721</v>
      </c>
      <c r="BP3" s="92">
        <v>3</v>
      </c>
      <c r="BQ3" s="92">
        <v>50</v>
      </c>
      <c r="BR3" s="92">
        <v>0.3</v>
      </c>
      <c r="BS3" s="91" t="s">
        <v>1842</v>
      </c>
      <c r="BT3" s="92">
        <v>8</v>
      </c>
      <c r="BU3" s="92">
        <v>0.8</v>
      </c>
      <c r="BV3" s="92">
        <v>2</v>
      </c>
      <c r="BW3" s="92">
        <v>0.8</v>
      </c>
      <c r="BX3" s="92">
        <v>12</v>
      </c>
      <c r="BY3" s="92">
        <v>0.8</v>
      </c>
      <c r="BZ3" s="92">
        <v>1.5</v>
      </c>
      <c r="CA3" s="92">
        <v>720</v>
      </c>
      <c r="CB3" s="92">
        <v>0.6</v>
      </c>
      <c r="CC3" s="92">
        <v>540</v>
      </c>
      <c r="CD3" s="92">
        <v>1.8</v>
      </c>
      <c r="CE3" s="92">
        <v>4</v>
      </c>
      <c r="CF3" s="92">
        <v>4</v>
      </c>
      <c r="CG3" s="91" t="s">
        <v>1711</v>
      </c>
      <c r="CH3" s="91" t="s">
        <v>1721</v>
      </c>
      <c r="CI3" s="91" t="s">
        <v>1721</v>
      </c>
      <c r="CJ3" s="92">
        <v>0.5</v>
      </c>
      <c r="CK3" s="92">
        <v>1.5</v>
      </c>
      <c r="CL3" s="92">
        <v>2.5</v>
      </c>
      <c r="CM3" s="92">
        <v>2.5</v>
      </c>
      <c r="CN3" s="91" t="s">
        <v>1721</v>
      </c>
      <c r="CO3" s="92">
        <v>1</v>
      </c>
      <c r="CP3" s="91" t="s">
        <v>1669</v>
      </c>
      <c r="CQ3" s="92">
        <v>10</v>
      </c>
      <c r="CR3" s="91" t="s">
        <v>1721</v>
      </c>
      <c r="CS3" s="92">
        <v>4</v>
      </c>
      <c r="CT3" s="92">
        <v>8</v>
      </c>
      <c r="CU3" s="92">
        <v>0.85</v>
      </c>
      <c r="CV3" s="91" t="s">
        <v>1721</v>
      </c>
      <c r="CW3" s="92">
        <v>2</v>
      </c>
      <c r="CX3" s="92">
        <v>50</v>
      </c>
      <c r="CY3" s="92">
        <v>0.5</v>
      </c>
      <c r="CZ3" s="92">
        <v>1</v>
      </c>
      <c r="DA3" s="91" t="s">
        <v>1721</v>
      </c>
      <c r="DB3" s="91" t="s">
        <v>1711</v>
      </c>
      <c r="DC3" s="92">
        <v>2</v>
      </c>
      <c r="DD3" s="92">
        <v>0.4</v>
      </c>
      <c r="DE3" s="91">
        <v>0.3</v>
      </c>
      <c r="DF3" s="93" t="s">
        <v>1825</v>
      </c>
      <c r="DG3" s="91">
        <v>60</v>
      </c>
      <c r="DH3" s="91">
        <v>0</v>
      </c>
      <c r="DI3" s="94" t="s">
        <v>1838</v>
      </c>
      <c r="DJ3" s="94" t="s">
        <v>1657</v>
      </c>
      <c r="DK3" s="94" t="s">
        <v>1657</v>
      </c>
      <c r="DL3" s="94" t="s">
        <v>1843</v>
      </c>
      <c r="DM3" s="94">
        <v>1</v>
      </c>
      <c r="DN3" s="94"/>
      <c r="DO3" s="94"/>
      <c r="DP3" s="94"/>
      <c r="DQ3" s="94"/>
      <c r="DR3" s="94"/>
      <c r="DS3" s="95"/>
      <c r="DT3" s="108">
        <v>2</v>
      </c>
    </row>
    <row r="4" spans="1:124" ht="24.95" customHeight="1">
      <c r="A4" s="83" t="s">
        <v>1810</v>
      </c>
      <c r="B4" s="84" t="s">
        <v>1723</v>
      </c>
      <c r="C4" s="85" t="s">
        <v>1724</v>
      </c>
      <c r="D4" s="86">
        <v>5</v>
      </c>
      <c r="E4" s="86">
        <v>2</v>
      </c>
      <c r="F4" s="86">
        <v>20</v>
      </c>
      <c r="G4" s="87">
        <v>10</v>
      </c>
      <c r="H4" s="87">
        <v>0.3</v>
      </c>
      <c r="I4" s="87">
        <v>0.2</v>
      </c>
      <c r="J4" s="87">
        <v>0</v>
      </c>
      <c r="K4" s="84" t="s">
        <v>1725</v>
      </c>
      <c r="L4" s="84" t="s">
        <v>1708</v>
      </c>
      <c r="M4" s="84" t="s">
        <v>1726</v>
      </c>
      <c r="N4" s="87">
        <v>1.5</v>
      </c>
      <c r="O4" s="86">
        <v>0</v>
      </c>
      <c r="P4" s="84" t="s">
        <v>1720</v>
      </c>
      <c r="Q4" s="84" t="s">
        <v>1711</v>
      </c>
      <c r="R4" s="84" t="s">
        <v>1727</v>
      </c>
      <c r="S4" s="87">
        <v>3</v>
      </c>
      <c r="T4" s="86">
        <v>0</v>
      </c>
      <c r="U4" s="84" t="s">
        <v>1713</v>
      </c>
      <c r="V4" s="88">
        <v>1</v>
      </c>
      <c r="W4" s="88">
        <v>0.45</v>
      </c>
      <c r="X4" s="88" t="s">
        <v>1721</v>
      </c>
      <c r="Y4" s="84"/>
      <c r="Z4" s="84"/>
      <c r="AA4" s="84" t="s">
        <v>1714</v>
      </c>
      <c r="AB4" s="84" t="s">
        <v>1714</v>
      </c>
      <c r="AC4" s="84" t="s">
        <v>1714</v>
      </c>
      <c r="AD4" s="87">
        <v>0</v>
      </c>
      <c r="AE4" s="87">
        <v>0</v>
      </c>
      <c r="AF4" s="87">
        <v>0</v>
      </c>
      <c r="AG4" s="84" t="s">
        <v>1714</v>
      </c>
      <c r="AH4" s="87">
        <v>0</v>
      </c>
      <c r="AI4" s="84" t="s">
        <v>1715</v>
      </c>
      <c r="AJ4" s="87">
        <v>1</v>
      </c>
      <c r="AK4" s="84" t="s">
        <v>1714</v>
      </c>
      <c r="AL4" s="84" t="s">
        <v>1714</v>
      </c>
      <c r="AM4" s="84" t="s">
        <v>1714</v>
      </c>
      <c r="AN4" s="87">
        <v>0</v>
      </c>
      <c r="AO4" s="87">
        <v>0</v>
      </c>
      <c r="AP4" s="87">
        <v>0</v>
      </c>
      <c r="AQ4" s="84" t="s">
        <v>1714</v>
      </c>
      <c r="AR4" s="87">
        <v>0</v>
      </c>
      <c r="AS4" s="84" t="s">
        <v>1715</v>
      </c>
      <c r="AT4" s="87">
        <v>1</v>
      </c>
      <c r="AU4" s="84" t="s">
        <v>1714</v>
      </c>
      <c r="AV4" s="84" t="s">
        <v>1714</v>
      </c>
      <c r="AW4" s="84" t="s">
        <v>1714</v>
      </c>
      <c r="AX4" s="87">
        <v>0</v>
      </c>
      <c r="AY4" s="87">
        <v>0</v>
      </c>
      <c r="AZ4" s="87">
        <v>0</v>
      </c>
      <c r="BA4" s="84" t="s">
        <v>1714</v>
      </c>
      <c r="BB4" s="87">
        <v>0</v>
      </c>
      <c r="BC4" s="84" t="s">
        <v>1715</v>
      </c>
      <c r="BD4" s="87">
        <v>1</v>
      </c>
      <c r="BE4" s="89">
        <v>1</v>
      </c>
      <c r="BF4" s="89">
        <v>0.45</v>
      </c>
      <c r="BG4" s="90" t="s">
        <v>1721</v>
      </c>
      <c r="BH4" s="91"/>
      <c r="BI4" s="91" t="s">
        <v>1711</v>
      </c>
      <c r="BJ4" s="91" t="s">
        <v>1721</v>
      </c>
      <c r="BK4" s="92">
        <v>360</v>
      </c>
      <c r="BL4" s="91" t="s">
        <v>1721</v>
      </c>
      <c r="BM4" s="92">
        <v>0.3</v>
      </c>
      <c r="BN4" s="92">
        <v>2</v>
      </c>
      <c r="BO4" s="91" t="s">
        <v>1721</v>
      </c>
      <c r="BP4" s="92">
        <v>3</v>
      </c>
      <c r="BQ4" s="92">
        <v>50</v>
      </c>
      <c r="BR4" s="92">
        <v>0.3</v>
      </c>
      <c r="BS4" s="91" t="s">
        <v>1842</v>
      </c>
      <c r="BT4" s="92">
        <v>8</v>
      </c>
      <c r="BU4" s="92">
        <v>0.8</v>
      </c>
      <c r="BV4" s="92">
        <v>2</v>
      </c>
      <c r="BW4" s="92">
        <v>0.8</v>
      </c>
      <c r="BX4" s="92">
        <v>12</v>
      </c>
      <c r="BY4" s="92">
        <v>0.8</v>
      </c>
      <c r="BZ4" s="92">
        <v>1.5</v>
      </c>
      <c r="CA4" s="92">
        <v>720</v>
      </c>
      <c r="CB4" s="92">
        <v>0.6</v>
      </c>
      <c r="CC4" s="92">
        <v>540</v>
      </c>
      <c r="CD4" s="92">
        <v>1.8</v>
      </c>
      <c r="CE4" s="92">
        <v>4</v>
      </c>
      <c r="CF4" s="92">
        <v>4</v>
      </c>
      <c r="CG4" s="91" t="s">
        <v>1711</v>
      </c>
      <c r="CH4" s="91" t="s">
        <v>1721</v>
      </c>
      <c r="CI4" s="91" t="s">
        <v>1721</v>
      </c>
      <c r="CJ4" s="92">
        <v>0.5</v>
      </c>
      <c r="CK4" s="92">
        <v>1.5</v>
      </c>
      <c r="CL4" s="92">
        <v>2.5</v>
      </c>
      <c r="CM4" s="92">
        <v>2.5</v>
      </c>
      <c r="CN4" s="91" t="s">
        <v>1721</v>
      </c>
      <c r="CO4" s="92">
        <v>1</v>
      </c>
      <c r="CP4" s="91" t="s">
        <v>1669</v>
      </c>
      <c r="CQ4" s="92">
        <v>10</v>
      </c>
      <c r="CR4" s="91" t="s">
        <v>1721</v>
      </c>
      <c r="CS4" s="92">
        <v>4</v>
      </c>
      <c r="CT4" s="92">
        <v>8</v>
      </c>
      <c r="CU4" s="92">
        <v>0.85</v>
      </c>
      <c r="CV4" s="91" t="s">
        <v>1721</v>
      </c>
      <c r="CW4" s="92">
        <v>2</v>
      </c>
      <c r="CX4" s="92">
        <v>50</v>
      </c>
      <c r="CY4" s="92">
        <v>0.5</v>
      </c>
      <c r="CZ4" s="92">
        <v>1</v>
      </c>
      <c r="DA4" s="91" t="s">
        <v>1721</v>
      </c>
      <c r="DB4" s="91" t="s">
        <v>1721</v>
      </c>
      <c r="DC4" s="92">
        <v>2</v>
      </c>
      <c r="DD4" s="92">
        <v>0.4</v>
      </c>
      <c r="DE4" s="91">
        <v>0.3</v>
      </c>
      <c r="DF4" s="93" t="s">
        <v>1825</v>
      </c>
      <c r="DG4" s="91">
        <v>60</v>
      </c>
      <c r="DH4" s="91">
        <v>0</v>
      </c>
      <c r="DI4" s="94" t="s">
        <v>1838</v>
      </c>
      <c r="DJ4" s="94" t="s">
        <v>1839</v>
      </c>
      <c r="DK4" s="94" t="s">
        <v>1840</v>
      </c>
      <c r="DL4" s="94" t="s">
        <v>1843</v>
      </c>
      <c r="DM4" s="94">
        <v>1</v>
      </c>
      <c r="DN4" s="94"/>
      <c r="DO4" s="94"/>
      <c r="DP4" s="94"/>
      <c r="DQ4" s="94"/>
      <c r="DR4" s="94"/>
      <c r="DS4" s="95"/>
      <c r="DT4" s="108">
        <v>3</v>
      </c>
    </row>
    <row r="5" spans="1:124" ht="24.95" customHeight="1">
      <c r="A5" s="83" t="s">
        <v>1811</v>
      </c>
      <c r="B5" s="84" t="s">
        <v>1728</v>
      </c>
      <c r="C5" s="85" t="s">
        <v>1729</v>
      </c>
      <c r="D5" s="86">
        <v>1</v>
      </c>
      <c r="E5" s="86">
        <v>1</v>
      </c>
      <c r="F5" s="86">
        <v>10</v>
      </c>
      <c r="G5" s="87">
        <v>5</v>
      </c>
      <c r="H5" s="87">
        <v>0</v>
      </c>
      <c r="I5" s="87">
        <v>0.2</v>
      </c>
      <c r="J5" s="87">
        <v>6</v>
      </c>
      <c r="K5" s="84" t="s">
        <v>1718</v>
      </c>
      <c r="L5" s="84" t="s">
        <v>1714</v>
      </c>
      <c r="M5" s="84" t="s">
        <v>1714</v>
      </c>
      <c r="N5" s="87">
        <v>0</v>
      </c>
      <c r="O5" s="86">
        <v>0</v>
      </c>
      <c r="P5" s="84" t="s">
        <v>1720</v>
      </c>
      <c r="Q5" s="84" t="s">
        <v>1721</v>
      </c>
      <c r="R5" s="84" t="s">
        <v>1712</v>
      </c>
      <c r="S5" s="87">
        <v>0</v>
      </c>
      <c r="T5" s="86">
        <v>1</v>
      </c>
      <c r="U5" s="84" t="s">
        <v>1713</v>
      </c>
      <c r="V5" s="88">
        <v>1</v>
      </c>
      <c r="W5" s="88">
        <v>0.8</v>
      </c>
      <c r="X5" s="88" t="s">
        <v>1721</v>
      </c>
      <c r="Y5" s="84"/>
      <c r="Z5" s="84"/>
      <c r="AA5" s="84" t="s">
        <v>1730</v>
      </c>
      <c r="AB5" s="84" t="s">
        <v>1726</v>
      </c>
      <c r="AC5" s="84" t="s">
        <v>1731</v>
      </c>
      <c r="AD5" s="87">
        <v>20</v>
      </c>
      <c r="AE5" s="87">
        <v>10</v>
      </c>
      <c r="AF5" s="87">
        <v>100</v>
      </c>
      <c r="AG5" s="84" t="s">
        <v>1714</v>
      </c>
      <c r="AH5" s="87">
        <v>0</v>
      </c>
      <c r="AI5" s="84" t="s">
        <v>1715</v>
      </c>
      <c r="AJ5" s="87">
        <v>1</v>
      </c>
      <c r="AK5" s="84" t="s">
        <v>1714</v>
      </c>
      <c r="AL5" s="84" t="s">
        <v>1714</v>
      </c>
      <c r="AM5" s="84" t="s">
        <v>1714</v>
      </c>
      <c r="AN5" s="87">
        <v>0</v>
      </c>
      <c r="AO5" s="87">
        <v>0</v>
      </c>
      <c r="AP5" s="87">
        <v>0</v>
      </c>
      <c r="AQ5" s="84" t="s">
        <v>1714</v>
      </c>
      <c r="AR5" s="87">
        <v>0</v>
      </c>
      <c r="AS5" s="84" t="s">
        <v>1715</v>
      </c>
      <c r="AT5" s="87">
        <v>1</v>
      </c>
      <c r="AU5" s="84" t="s">
        <v>1714</v>
      </c>
      <c r="AV5" s="84" t="s">
        <v>1714</v>
      </c>
      <c r="AW5" s="84" t="s">
        <v>1714</v>
      </c>
      <c r="AX5" s="87">
        <v>0</v>
      </c>
      <c r="AY5" s="87">
        <v>0</v>
      </c>
      <c r="AZ5" s="87">
        <v>0</v>
      </c>
      <c r="BA5" s="84" t="s">
        <v>1714</v>
      </c>
      <c r="BB5" s="87">
        <v>0</v>
      </c>
      <c r="BC5" s="84" t="s">
        <v>1715</v>
      </c>
      <c r="BD5" s="87">
        <v>1</v>
      </c>
      <c r="BE5" s="89">
        <v>1</v>
      </c>
      <c r="BF5" s="89">
        <v>0.8</v>
      </c>
      <c r="BG5" s="90" t="s">
        <v>1721</v>
      </c>
      <c r="BH5" s="91"/>
      <c r="BI5" s="91" t="s">
        <v>1721</v>
      </c>
      <c r="BJ5" s="91" t="s">
        <v>1721</v>
      </c>
      <c r="BK5" s="92">
        <v>360</v>
      </c>
      <c r="BL5" s="91" t="s">
        <v>1721</v>
      </c>
      <c r="BM5" s="92">
        <v>0.3</v>
      </c>
      <c r="BN5" s="92">
        <v>2</v>
      </c>
      <c r="BO5" s="91" t="s">
        <v>1721</v>
      </c>
      <c r="BP5" s="92">
        <v>3</v>
      </c>
      <c r="BQ5" s="92">
        <v>50</v>
      </c>
      <c r="BR5" s="92">
        <v>0.3</v>
      </c>
      <c r="BS5" s="91" t="s">
        <v>1842</v>
      </c>
      <c r="BT5" s="92">
        <v>8</v>
      </c>
      <c r="BU5" s="92">
        <v>0.8</v>
      </c>
      <c r="BV5" s="92">
        <v>2</v>
      </c>
      <c r="BW5" s="92">
        <v>0.8</v>
      </c>
      <c r="BX5" s="92">
        <v>12</v>
      </c>
      <c r="BY5" s="92">
        <v>0.8</v>
      </c>
      <c r="BZ5" s="92">
        <v>1.5</v>
      </c>
      <c r="CA5" s="92">
        <v>720</v>
      </c>
      <c r="CB5" s="92">
        <v>0.6</v>
      </c>
      <c r="CC5" s="92">
        <v>540</v>
      </c>
      <c r="CD5" s="92">
        <v>1.8</v>
      </c>
      <c r="CE5" s="92">
        <v>4</v>
      </c>
      <c r="CF5" s="92">
        <v>4</v>
      </c>
      <c r="CG5" s="91" t="s">
        <v>1711</v>
      </c>
      <c r="CH5" s="91" t="s">
        <v>1721</v>
      </c>
      <c r="CI5" s="91" t="s">
        <v>1721</v>
      </c>
      <c r="CJ5" s="92">
        <v>0.5</v>
      </c>
      <c r="CK5" s="92">
        <v>1.5</v>
      </c>
      <c r="CL5" s="92">
        <v>2.5</v>
      </c>
      <c r="CM5" s="92">
        <v>2.5</v>
      </c>
      <c r="CN5" s="91" t="s">
        <v>1721</v>
      </c>
      <c r="CO5" s="92">
        <v>1</v>
      </c>
      <c r="CP5" s="91" t="s">
        <v>1669</v>
      </c>
      <c r="CQ5" s="92">
        <v>10</v>
      </c>
      <c r="CR5" s="91" t="s">
        <v>1721</v>
      </c>
      <c r="CS5" s="92">
        <v>4</v>
      </c>
      <c r="CT5" s="92">
        <v>8</v>
      </c>
      <c r="CU5" s="92">
        <v>0.85</v>
      </c>
      <c r="CV5" s="91" t="s">
        <v>1721</v>
      </c>
      <c r="CW5" s="92">
        <v>2</v>
      </c>
      <c r="CX5" s="92">
        <v>50</v>
      </c>
      <c r="CY5" s="92">
        <v>0.5</v>
      </c>
      <c r="CZ5" s="92">
        <v>1</v>
      </c>
      <c r="DA5" s="91" t="s">
        <v>1721</v>
      </c>
      <c r="DB5" s="91" t="s">
        <v>1711</v>
      </c>
      <c r="DC5" s="92">
        <v>2</v>
      </c>
      <c r="DD5" s="92">
        <v>0.4</v>
      </c>
      <c r="DE5" s="91">
        <v>0.3</v>
      </c>
      <c r="DF5" s="93" t="s">
        <v>1825</v>
      </c>
      <c r="DG5" s="91">
        <v>60</v>
      </c>
      <c r="DH5" s="91">
        <v>0</v>
      </c>
      <c r="DI5" s="94" t="s">
        <v>1838</v>
      </c>
      <c r="DJ5" s="94" t="s">
        <v>1657</v>
      </c>
      <c r="DK5" s="94" t="s">
        <v>1657</v>
      </c>
      <c r="DL5" s="94" t="s">
        <v>1843</v>
      </c>
      <c r="DM5" s="94">
        <v>1</v>
      </c>
      <c r="DN5" s="94"/>
      <c r="DO5" s="94"/>
      <c r="DP5" s="94"/>
      <c r="DQ5" s="94"/>
      <c r="DR5" s="94"/>
      <c r="DS5" s="95"/>
      <c r="DT5" s="108">
        <v>4</v>
      </c>
    </row>
    <row r="6" spans="1:124" ht="24.95" customHeight="1">
      <c r="A6" s="83" t="s">
        <v>1812</v>
      </c>
      <c r="B6" s="84" t="s">
        <v>1732</v>
      </c>
      <c r="C6" s="85" t="s">
        <v>1733</v>
      </c>
      <c r="D6" s="86">
        <v>1</v>
      </c>
      <c r="E6" s="86">
        <v>1</v>
      </c>
      <c r="F6" s="86">
        <v>10</v>
      </c>
      <c r="G6" s="87">
        <v>5</v>
      </c>
      <c r="H6" s="87">
        <v>0</v>
      </c>
      <c r="I6" s="87">
        <v>0.2</v>
      </c>
      <c r="J6" s="87">
        <v>6</v>
      </c>
      <c r="K6" s="84" t="s">
        <v>1718</v>
      </c>
      <c r="L6" s="84" t="s">
        <v>1714</v>
      </c>
      <c r="M6" s="84" t="s">
        <v>1714</v>
      </c>
      <c r="N6" s="87">
        <v>0</v>
      </c>
      <c r="O6" s="86">
        <v>0</v>
      </c>
      <c r="P6" s="84" t="s">
        <v>1720</v>
      </c>
      <c r="Q6" s="84" t="s">
        <v>1721</v>
      </c>
      <c r="R6" s="84" t="s">
        <v>1712</v>
      </c>
      <c r="S6" s="87">
        <v>0</v>
      </c>
      <c r="T6" s="86">
        <v>1</v>
      </c>
      <c r="U6" s="84" t="s">
        <v>1713</v>
      </c>
      <c r="V6" s="88">
        <v>1</v>
      </c>
      <c r="W6" s="88">
        <v>0.8</v>
      </c>
      <c r="X6" s="88" t="s">
        <v>1721</v>
      </c>
      <c r="Y6" s="84"/>
      <c r="Z6" s="84"/>
      <c r="AA6" s="84" t="s">
        <v>1730</v>
      </c>
      <c r="AB6" s="84" t="s">
        <v>24</v>
      </c>
      <c r="AC6" s="84" t="s">
        <v>1731</v>
      </c>
      <c r="AD6" s="87">
        <v>30</v>
      </c>
      <c r="AE6" s="87">
        <v>10</v>
      </c>
      <c r="AF6" s="87">
        <v>100</v>
      </c>
      <c r="AG6" s="84" t="s">
        <v>1714</v>
      </c>
      <c r="AH6" s="87">
        <v>0</v>
      </c>
      <c r="AI6" s="84" t="s">
        <v>1715</v>
      </c>
      <c r="AJ6" s="87">
        <v>1</v>
      </c>
      <c r="AK6" s="84" t="s">
        <v>1714</v>
      </c>
      <c r="AL6" s="84" t="s">
        <v>1714</v>
      </c>
      <c r="AM6" s="84" t="s">
        <v>1714</v>
      </c>
      <c r="AN6" s="87">
        <v>0</v>
      </c>
      <c r="AO6" s="87">
        <v>0</v>
      </c>
      <c r="AP6" s="87">
        <v>0</v>
      </c>
      <c r="AQ6" s="84" t="s">
        <v>1714</v>
      </c>
      <c r="AR6" s="87">
        <v>0</v>
      </c>
      <c r="AS6" s="84" t="s">
        <v>1715</v>
      </c>
      <c r="AT6" s="87">
        <v>1</v>
      </c>
      <c r="AU6" s="84" t="s">
        <v>1714</v>
      </c>
      <c r="AV6" s="84" t="s">
        <v>1714</v>
      </c>
      <c r="AW6" s="84" t="s">
        <v>1714</v>
      </c>
      <c r="AX6" s="87">
        <v>0</v>
      </c>
      <c r="AY6" s="87">
        <v>0</v>
      </c>
      <c r="AZ6" s="87">
        <v>0</v>
      </c>
      <c r="BA6" s="84" t="s">
        <v>1714</v>
      </c>
      <c r="BB6" s="87">
        <v>0</v>
      </c>
      <c r="BC6" s="84" t="s">
        <v>1715</v>
      </c>
      <c r="BD6" s="87">
        <v>1</v>
      </c>
      <c r="BE6" s="89">
        <v>1</v>
      </c>
      <c r="BF6" s="89">
        <v>0.8</v>
      </c>
      <c r="BG6" s="90" t="s">
        <v>1721</v>
      </c>
      <c r="BH6" s="91"/>
      <c r="BI6" s="91" t="s">
        <v>1721</v>
      </c>
      <c r="BJ6" s="91" t="s">
        <v>1721</v>
      </c>
      <c r="BK6" s="92">
        <v>360</v>
      </c>
      <c r="BL6" s="91" t="s">
        <v>1721</v>
      </c>
      <c r="BM6" s="92">
        <v>0.3</v>
      </c>
      <c r="BN6" s="92">
        <v>2</v>
      </c>
      <c r="BO6" s="91" t="s">
        <v>1721</v>
      </c>
      <c r="BP6" s="92">
        <v>3</v>
      </c>
      <c r="BQ6" s="92">
        <v>50</v>
      </c>
      <c r="BR6" s="92">
        <v>0.3</v>
      </c>
      <c r="BS6" s="91" t="s">
        <v>1842</v>
      </c>
      <c r="BT6" s="92">
        <v>8</v>
      </c>
      <c r="BU6" s="92">
        <v>0.8</v>
      </c>
      <c r="BV6" s="92">
        <v>2</v>
      </c>
      <c r="BW6" s="92">
        <v>0.8</v>
      </c>
      <c r="BX6" s="92">
        <v>12</v>
      </c>
      <c r="BY6" s="92">
        <v>0.8</v>
      </c>
      <c r="BZ6" s="92">
        <v>1.5</v>
      </c>
      <c r="CA6" s="92">
        <v>720</v>
      </c>
      <c r="CB6" s="92">
        <v>0.6</v>
      </c>
      <c r="CC6" s="92">
        <v>540</v>
      </c>
      <c r="CD6" s="92">
        <v>1.8</v>
      </c>
      <c r="CE6" s="92">
        <v>4</v>
      </c>
      <c r="CF6" s="92">
        <v>4</v>
      </c>
      <c r="CG6" s="91" t="s">
        <v>1711</v>
      </c>
      <c r="CH6" s="91" t="s">
        <v>1721</v>
      </c>
      <c r="CI6" s="91" t="s">
        <v>1721</v>
      </c>
      <c r="CJ6" s="92">
        <v>0.5</v>
      </c>
      <c r="CK6" s="92">
        <v>1.5</v>
      </c>
      <c r="CL6" s="92">
        <v>2.5</v>
      </c>
      <c r="CM6" s="92">
        <v>2.5</v>
      </c>
      <c r="CN6" s="91" t="s">
        <v>1721</v>
      </c>
      <c r="CO6" s="92">
        <v>1</v>
      </c>
      <c r="CP6" s="91" t="s">
        <v>1669</v>
      </c>
      <c r="CQ6" s="92">
        <v>10</v>
      </c>
      <c r="CR6" s="91" t="s">
        <v>1721</v>
      </c>
      <c r="CS6" s="92">
        <v>4</v>
      </c>
      <c r="CT6" s="92">
        <v>8</v>
      </c>
      <c r="CU6" s="92">
        <v>0.85</v>
      </c>
      <c r="CV6" s="91" t="s">
        <v>1721</v>
      </c>
      <c r="CW6" s="92">
        <v>2</v>
      </c>
      <c r="CX6" s="92">
        <v>50</v>
      </c>
      <c r="CY6" s="92">
        <v>0.5</v>
      </c>
      <c r="CZ6" s="92">
        <v>1</v>
      </c>
      <c r="DA6" s="91" t="s">
        <v>1721</v>
      </c>
      <c r="DB6" s="91" t="s">
        <v>1711</v>
      </c>
      <c r="DC6" s="92">
        <v>2</v>
      </c>
      <c r="DD6" s="92">
        <v>0.4</v>
      </c>
      <c r="DE6" s="91">
        <v>0.3</v>
      </c>
      <c r="DF6" s="93" t="s">
        <v>1825</v>
      </c>
      <c r="DG6" s="91">
        <v>60</v>
      </c>
      <c r="DH6" s="91">
        <v>0</v>
      </c>
      <c r="DI6" s="94" t="s">
        <v>1838</v>
      </c>
      <c r="DJ6" s="94" t="s">
        <v>1657</v>
      </c>
      <c r="DK6" s="94" t="s">
        <v>1657</v>
      </c>
      <c r="DL6" s="94" t="s">
        <v>1843</v>
      </c>
      <c r="DM6" s="94">
        <v>1</v>
      </c>
      <c r="DN6" s="94"/>
      <c r="DO6" s="94"/>
      <c r="DP6" s="94"/>
      <c r="DQ6" s="94"/>
      <c r="DR6" s="94"/>
      <c r="DS6" s="95"/>
      <c r="DT6" s="108">
        <v>5</v>
      </c>
    </row>
    <row r="7" spans="1:124" ht="24.95" customHeight="1">
      <c r="A7" s="83" t="s">
        <v>1813</v>
      </c>
      <c r="B7" s="84" t="s">
        <v>1734</v>
      </c>
      <c r="C7" s="85" t="s">
        <v>1735</v>
      </c>
      <c r="D7" s="86">
        <v>1</v>
      </c>
      <c r="E7" s="86">
        <v>1</v>
      </c>
      <c r="F7" s="86">
        <v>10</v>
      </c>
      <c r="G7" s="87">
        <v>5</v>
      </c>
      <c r="H7" s="87">
        <v>0</v>
      </c>
      <c r="I7" s="87">
        <v>0.2</v>
      </c>
      <c r="J7" s="87">
        <v>6</v>
      </c>
      <c r="K7" s="84" t="s">
        <v>1707</v>
      </c>
      <c r="L7" s="84" t="s">
        <v>1708</v>
      </c>
      <c r="M7" s="84" t="s">
        <v>1709</v>
      </c>
      <c r="N7" s="87">
        <v>2</v>
      </c>
      <c r="O7" s="86">
        <v>0</v>
      </c>
      <c r="P7" s="84" t="s">
        <v>1720</v>
      </c>
      <c r="Q7" s="84" t="s">
        <v>1711</v>
      </c>
      <c r="R7" s="84" t="s">
        <v>1712</v>
      </c>
      <c r="S7" s="87">
        <v>0</v>
      </c>
      <c r="T7" s="86">
        <v>1</v>
      </c>
      <c r="U7" s="84" t="s">
        <v>1713</v>
      </c>
      <c r="V7" s="88">
        <v>8</v>
      </c>
      <c r="W7" s="88">
        <v>3</v>
      </c>
      <c r="X7" s="88" t="s">
        <v>1711</v>
      </c>
      <c r="Y7" s="84"/>
      <c r="Z7" s="84"/>
      <c r="AA7" s="84" t="s">
        <v>1736</v>
      </c>
      <c r="AB7" s="84" t="s">
        <v>1737</v>
      </c>
      <c r="AC7" s="84" t="s">
        <v>1731</v>
      </c>
      <c r="AD7" s="87">
        <v>20</v>
      </c>
      <c r="AE7" s="87">
        <v>8</v>
      </c>
      <c r="AF7" s="87">
        <v>100</v>
      </c>
      <c r="AG7" s="84" t="s">
        <v>1714</v>
      </c>
      <c r="AH7" s="87">
        <v>0</v>
      </c>
      <c r="AI7" s="84" t="s">
        <v>1715</v>
      </c>
      <c r="AJ7" s="87">
        <v>1</v>
      </c>
      <c r="AK7" s="84" t="s">
        <v>1714</v>
      </c>
      <c r="AL7" s="84" t="s">
        <v>1714</v>
      </c>
      <c r="AM7" s="84" t="s">
        <v>1714</v>
      </c>
      <c r="AN7" s="87">
        <v>0</v>
      </c>
      <c r="AO7" s="87">
        <v>0</v>
      </c>
      <c r="AP7" s="87">
        <v>0</v>
      </c>
      <c r="AQ7" s="84" t="s">
        <v>1714</v>
      </c>
      <c r="AR7" s="87">
        <v>0</v>
      </c>
      <c r="AS7" s="84" t="s">
        <v>1715</v>
      </c>
      <c r="AT7" s="87">
        <v>1</v>
      </c>
      <c r="AU7" s="84" t="s">
        <v>1714</v>
      </c>
      <c r="AV7" s="84" t="s">
        <v>1714</v>
      </c>
      <c r="AW7" s="84" t="s">
        <v>1714</v>
      </c>
      <c r="AX7" s="87">
        <v>0</v>
      </c>
      <c r="AY7" s="87">
        <v>0</v>
      </c>
      <c r="AZ7" s="87">
        <v>0</v>
      </c>
      <c r="BA7" s="84" t="s">
        <v>1714</v>
      </c>
      <c r="BB7" s="87">
        <v>0</v>
      </c>
      <c r="BC7" s="84" t="s">
        <v>1715</v>
      </c>
      <c r="BD7" s="87">
        <v>1</v>
      </c>
      <c r="BE7" s="89">
        <v>8</v>
      </c>
      <c r="BF7" s="89">
        <v>3</v>
      </c>
      <c r="BG7" s="90" t="s">
        <v>1711</v>
      </c>
      <c r="BH7" s="91"/>
      <c r="BI7" s="91" t="s">
        <v>1721</v>
      </c>
      <c r="BJ7" s="91" t="s">
        <v>1721</v>
      </c>
      <c r="BK7" s="92">
        <v>360</v>
      </c>
      <c r="BL7" s="91" t="s">
        <v>1721</v>
      </c>
      <c r="BM7" s="92">
        <v>0.3</v>
      </c>
      <c r="BN7" s="92">
        <v>2</v>
      </c>
      <c r="BO7" s="91" t="s">
        <v>1721</v>
      </c>
      <c r="BP7" s="92">
        <v>3</v>
      </c>
      <c r="BQ7" s="92">
        <v>50</v>
      </c>
      <c r="BR7" s="92">
        <v>0.3</v>
      </c>
      <c r="BS7" s="91" t="s">
        <v>1824</v>
      </c>
      <c r="BT7" s="92">
        <v>8</v>
      </c>
      <c r="BU7" s="92">
        <v>0.8</v>
      </c>
      <c r="BV7" s="92">
        <v>2</v>
      </c>
      <c r="BW7" s="92">
        <v>0.8</v>
      </c>
      <c r="BX7" s="92">
        <v>12</v>
      </c>
      <c r="BY7" s="92">
        <v>0.8</v>
      </c>
      <c r="BZ7" s="92">
        <v>1.5</v>
      </c>
      <c r="CA7" s="92">
        <v>720</v>
      </c>
      <c r="CB7" s="92">
        <v>0.6</v>
      </c>
      <c r="CC7" s="92">
        <v>540</v>
      </c>
      <c r="CD7" s="92">
        <v>1.8</v>
      </c>
      <c r="CE7" s="92">
        <v>4</v>
      </c>
      <c r="CF7" s="92">
        <v>4</v>
      </c>
      <c r="CG7" s="91" t="s">
        <v>1711</v>
      </c>
      <c r="CH7" s="91" t="s">
        <v>1721</v>
      </c>
      <c r="CI7" s="91" t="s">
        <v>1721</v>
      </c>
      <c r="CJ7" s="92">
        <v>0.5</v>
      </c>
      <c r="CK7" s="92">
        <v>1.5</v>
      </c>
      <c r="CL7" s="92">
        <v>2.5</v>
      </c>
      <c r="CM7" s="92">
        <v>2.5</v>
      </c>
      <c r="CN7" s="91" t="s">
        <v>1721</v>
      </c>
      <c r="CO7" s="92">
        <v>1</v>
      </c>
      <c r="CP7" s="91" t="s">
        <v>1669</v>
      </c>
      <c r="CQ7" s="92">
        <v>10</v>
      </c>
      <c r="CR7" s="91" t="s">
        <v>1721</v>
      </c>
      <c r="CS7" s="92">
        <v>4</v>
      </c>
      <c r="CT7" s="92">
        <v>8</v>
      </c>
      <c r="CU7" s="92">
        <v>0.85</v>
      </c>
      <c r="CV7" s="91" t="s">
        <v>1721</v>
      </c>
      <c r="CW7" s="92">
        <v>2</v>
      </c>
      <c r="CX7" s="92">
        <v>50</v>
      </c>
      <c r="CY7" s="92">
        <v>0.5</v>
      </c>
      <c r="CZ7" s="92">
        <v>1</v>
      </c>
      <c r="DA7" s="91" t="s">
        <v>1721</v>
      </c>
      <c r="DB7" s="91" t="s">
        <v>1711</v>
      </c>
      <c r="DC7" s="92">
        <v>2</v>
      </c>
      <c r="DD7" s="92">
        <v>0.4</v>
      </c>
      <c r="DE7" s="91">
        <v>0.3</v>
      </c>
      <c r="DF7" s="93" t="s">
        <v>1825</v>
      </c>
      <c r="DG7" s="91">
        <v>60</v>
      </c>
      <c r="DH7" s="91">
        <v>0</v>
      </c>
      <c r="DI7" s="94" t="s">
        <v>1838</v>
      </c>
      <c r="DJ7" s="94" t="s">
        <v>1839</v>
      </c>
      <c r="DK7" s="94" t="s">
        <v>1840</v>
      </c>
      <c r="DL7" s="94" t="s">
        <v>1841</v>
      </c>
      <c r="DM7" s="94">
        <v>1</v>
      </c>
      <c r="DN7" s="94"/>
      <c r="DO7" s="94"/>
      <c r="DP7" s="94"/>
      <c r="DQ7" s="94"/>
      <c r="DR7" s="94"/>
      <c r="DS7" s="95"/>
      <c r="DT7" s="108">
        <v>6</v>
      </c>
    </row>
    <row r="8" spans="1:124" ht="24.95" customHeight="1">
      <c r="A8" s="83" t="s">
        <v>1814</v>
      </c>
      <c r="B8" s="84" t="s">
        <v>1738</v>
      </c>
      <c r="C8" s="85" t="s">
        <v>1739</v>
      </c>
      <c r="D8" s="86">
        <v>1</v>
      </c>
      <c r="E8" s="86">
        <v>1</v>
      </c>
      <c r="F8" s="86">
        <v>10</v>
      </c>
      <c r="G8" s="87">
        <v>5</v>
      </c>
      <c r="H8" s="87">
        <v>0</v>
      </c>
      <c r="I8" s="87">
        <v>0.2</v>
      </c>
      <c r="J8" s="87">
        <v>0</v>
      </c>
      <c r="K8" s="84" t="s">
        <v>1725</v>
      </c>
      <c r="L8" s="84" t="s">
        <v>1714</v>
      </c>
      <c r="M8" s="84" t="s">
        <v>1714</v>
      </c>
      <c r="N8" s="87">
        <v>0</v>
      </c>
      <c r="O8" s="86">
        <v>0</v>
      </c>
      <c r="P8" s="84" t="s">
        <v>1720</v>
      </c>
      <c r="Q8" s="84" t="s">
        <v>1721</v>
      </c>
      <c r="R8" s="84" t="s">
        <v>1727</v>
      </c>
      <c r="S8" s="87">
        <v>3</v>
      </c>
      <c r="T8" s="86">
        <v>0</v>
      </c>
      <c r="U8" s="84" t="s">
        <v>1713</v>
      </c>
      <c r="V8" s="88">
        <v>1</v>
      </c>
      <c r="W8" s="88">
        <v>5</v>
      </c>
      <c r="X8" s="88" t="s">
        <v>1721</v>
      </c>
      <c r="Y8" s="84"/>
      <c r="Z8" s="84"/>
      <c r="AA8" s="84" t="s">
        <v>1736</v>
      </c>
      <c r="AB8" s="84" t="s">
        <v>24</v>
      </c>
      <c r="AC8" s="84" t="s">
        <v>1731</v>
      </c>
      <c r="AD8" s="87">
        <v>30</v>
      </c>
      <c r="AE8" s="87">
        <v>8</v>
      </c>
      <c r="AF8" s="87">
        <v>100</v>
      </c>
      <c r="AG8" s="84" t="s">
        <v>1714</v>
      </c>
      <c r="AH8" s="87">
        <v>0</v>
      </c>
      <c r="AI8" s="84" t="s">
        <v>1715</v>
      </c>
      <c r="AJ8" s="87">
        <v>1</v>
      </c>
      <c r="AK8" s="84" t="s">
        <v>1714</v>
      </c>
      <c r="AL8" s="84" t="s">
        <v>1714</v>
      </c>
      <c r="AM8" s="84" t="s">
        <v>1714</v>
      </c>
      <c r="AN8" s="87">
        <v>0</v>
      </c>
      <c r="AO8" s="87">
        <v>0</v>
      </c>
      <c r="AP8" s="87">
        <v>0</v>
      </c>
      <c r="AQ8" s="84" t="s">
        <v>1714</v>
      </c>
      <c r="AR8" s="87">
        <v>0</v>
      </c>
      <c r="AS8" s="84" t="s">
        <v>1715</v>
      </c>
      <c r="AT8" s="87">
        <v>1</v>
      </c>
      <c r="AU8" s="84" t="s">
        <v>1714</v>
      </c>
      <c r="AV8" s="84" t="s">
        <v>1714</v>
      </c>
      <c r="AW8" s="84" t="s">
        <v>1714</v>
      </c>
      <c r="AX8" s="87">
        <v>0</v>
      </c>
      <c r="AY8" s="87">
        <v>0</v>
      </c>
      <c r="AZ8" s="87">
        <v>0</v>
      </c>
      <c r="BA8" s="84" t="s">
        <v>1714</v>
      </c>
      <c r="BB8" s="87">
        <v>0</v>
      </c>
      <c r="BC8" s="84" t="s">
        <v>1715</v>
      </c>
      <c r="BD8" s="87">
        <v>1</v>
      </c>
      <c r="BE8" s="89">
        <v>1</v>
      </c>
      <c r="BF8" s="89">
        <v>5</v>
      </c>
      <c r="BG8" s="90" t="s">
        <v>1721</v>
      </c>
      <c r="BH8" s="91"/>
      <c r="BI8" s="91" t="s">
        <v>1711</v>
      </c>
      <c r="BJ8" s="91" t="s">
        <v>1721</v>
      </c>
      <c r="BK8" s="92">
        <v>360</v>
      </c>
      <c r="BL8" s="91" t="s">
        <v>1721</v>
      </c>
      <c r="BM8" s="92">
        <v>0.3</v>
      </c>
      <c r="BN8" s="92">
        <v>2</v>
      </c>
      <c r="BO8" s="91" t="s">
        <v>1721</v>
      </c>
      <c r="BP8" s="92">
        <v>3</v>
      </c>
      <c r="BQ8" s="92">
        <v>50</v>
      </c>
      <c r="BR8" s="92">
        <v>0.3</v>
      </c>
      <c r="BS8" s="91" t="s">
        <v>1842</v>
      </c>
      <c r="BT8" s="92">
        <v>8</v>
      </c>
      <c r="BU8" s="92">
        <v>0.8</v>
      </c>
      <c r="BV8" s="92">
        <v>2</v>
      </c>
      <c r="BW8" s="92">
        <v>0.8</v>
      </c>
      <c r="BX8" s="92">
        <v>12</v>
      </c>
      <c r="BY8" s="92">
        <v>0.8</v>
      </c>
      <c r="BZ8" s="92">
        <v>1.5</v>
      </c>
      <c r="CA8" s="92">
        <v>720</v>
      </c>
      <c r="CB8" s="92">
        <v>0.6</v>
      </c>
      <c r="CC8" s="92">
        <v>540</v>
      </c>
      <c r="CD8" s="92">
        <v>1.8</v>
      </c>
      <c r="CE8" s="92">
        <v>4</v>
      </c>
      <c r="CF8" s="92">
        <v>4</v>
      </c>
      <c r="CG8" s="91" t="s">
        <v>1711</v>
      </c>
      <c r="CH8" s="91" t="s">
        <v>1721</v>
      </c>
      <c r="CI8" s="91" t="s">
        <v>1721</v>
      </c>
      <c r="CJ8" s="92">
        <v>0.5</v>
      </c>
      <c r="CK8" s="92">
        <v>1.5</v>
      </c>
      <c r="CL8" s="92">
        <v>2.5</v>
      </c>
      <c r="CM8" s="92">
        <v>2.5</v>
      </c>
      <c r="CN8" s="91" t="s">
        <v>1721</v>
      </c>
      <c r="CO8" s="92">
        <v>1</v>
      </c>
      <c r="CP8" s="91" t="s">
        <v>1669</v>
      </c>
      <c r="CQ8" s="92">
        <v>10</v>
      </c>
      <c r="CR8" s="91" t="s">
        <v>1721</v>
      </c>
      <c r="CS8" s="92">
        <v>4</v>
      </c>
      <c r="CT8" s="92">
        <v>8</v>
      </c>
      <c r="CU8" s="92">
        <v>0.85</v>
      </c>
      <c r="CV8" s="91" t="s">
        <v>1721</v>
      </c>
      <c r="CW8" s="92">
        <v>2</v>
      </c>
      <c r="CX8" s="92">
        <v>50</v>
      </c>
      <c r="CY8" s="92">
        <v>0.5</v>
      </c>
      <c r="CZ8" s="92">
        <v>1</v>
      </c>
      <c r="DA8" s="91" t="s">
        <v>1721</v>
      </c>
      <c r="DB8" s="91" t="s">
        <v>1721</v>
      </c>
      <c r="DC8" s="92">
        <v>2</v>
      </c>
      <c r="DD8" s="92">
        <v>0.4</v>
      </c>
      <c r="DE8" s="91">
        <v>0.3</v>
      </c>
      <c r="DF8" s="93" t="s">
        <v>1825</v>
      </c>
      <c r="DG8" s="91">
        <v>60</v>
      </c>
      <c r="DH8" s="91">
        <v>0</v>
      </c>
      <c r="DI8" s="94" t="s">
        <v>1838</v>
      </c>
      <c r="DJ8" s="94" t="s">
        <v>1839</v>
      </c>
      <c r="DK8" s="94" t="s">
        <v>1840</v>
      </c>
      <c r="DL8" s="94" t="s">
        <v>1922</v>
      </c>
      <c r="DM8" s="94">
        <v>1</v>
      </c>
      <c r="DN8" s="94"/>
      <c r="DO8" s="94"/>
      <c r="DP8" s="94"/>
      <c r="DQ8" s="94"/>
      <c r="DR8" s="94"/>
      <c r="DS8" s="95"/>
      <c r="DT8" s="108">
        <v>7</v>
      </c>
    </row>
    <row r="9" spans="1:124" ht="24.95" customHeight="1">
      <c r="A9" s="83" t="s">
        <v>1815</v>
      </c>
      <c r="B9" s="84" t="s">
        <v>1740</v>
      </c>
      <c r="C9" s="85" t="s">
        <v>1741</v>
      </c>
      <c r="D9" s="86">
        <v>1</v>
      </c>
      <c r="E9" s="86">
        <v>1</v>
      </c>
      <c r="F9" s="86">
        <v>10</v>
      </c>
      <c r="G9" s="87">
        <v>5</v>
      </c>
      <c r="H9" s="87">
        <v>0</v>
      </c>
      <c r="I9" s="87">
        <v>0.2</v>
      </c>
      <c r="J9" s="87">
        <v>6</v>
      </c>
      <c r="K9" s="84" t="s">
        <v>1707</v>
      </c>
      <c r="L9" s="84" t="s">
        <v>1708</v>
      </c>
      <c r="M9" s="84" t="s">
        <v>1709</v>
      </c>
      <c r="N9" s="87">
        <v>2</v>
      </c>
      <c r="O9" s="86">
        <v>0</v>
      </c>
      <c r="P9" s="84" t="s">
        <v>1720</v>
      </c>
      <c r="Q9" s="84" t="s">
        <v>1711</v>
      </c>
      <c r="R9" s="84" t="s">
        <v>1712</v>
      </c>
      <c r="S9" s="87">
        <v>0</v>
      </c>
      <c r="T9" s="86">
        <v>1</v>
      </c>
      <c r="U9" s="84" t="s">
        <v>1713</v>
      </c>
      <c r="V9" s="88">
        <v>8</v>
      </c>
      <c r="W9" s="88">
        <v>3</v>
      </c>
      <c r="X9" s="88" t="s">
        <v>1711</v>
      </c>
      <c r="Y9" s="84"/>
      <c r="Z9" s="84"/>
      <c r="AA9" s="84" t="s">
        <v>1742</v>
      </c>
      <c r="AB9" s="84" t="s">
        <v>1714</v>
      </c>
      <c r="AC9" s="84" t="s">
        <v>1743</v>
      </c>
      <c r="AD9" s="87">
        <v>1</v>
      </c>
      <c r="AE9" s="87">
        <v>10</v>
      </c>
      <c r="AF9" s="87">
        <v>80</v>
      </c>
      <c r="AG9" s="84" t="s">
        <v>1744</v>
      </c>
      <c r="AH9" s="87">
        <v>2</v>
      </c>
      <c r="AI9" s="84" t="s">
        <v>1715</v>
      </c>
      <c r="AJ9" s="87">
        <v>1</v>
      </c>
      <c r="AK9" s="84" t="s">
        <v>1714</v>
      </c>
      <c r="AL9" s="84" t="s">
        <v>1714</v>
      </c>
      <c r="AM9" s="84" t="s">
        <v>1714</v>
      </c>
      <c r="AN9" s="87">
        <v>0</v>
      </c>
      <c r="AO9" s="87">
        <v>0</v>
      </c>
      <c r="AP9" s="87">
        <v>0</v>
      </c>
      <c r="AQ9" s="84" t="s">
        <v>1714</v>
      </c>
      <c r="AR9" s="87">
        <v>0</v>
      </c>
      <c r="AS9" s="84" t="s">
        <v>1715</v>
      </c>
      <c r="AT9" s="87">
        <v>1</v>
      </c>
      <c r="AU9" s="84" t="s">
        <v>1714</v>
      </c>
      <c r="AV9" s="84" t="s">
        <v>1714</v>
      </c>
      <c r="AW9" s="84" t="s">
        <v>1714</v>
      </c>
      <c r="AX9" s="87">
        <v>0</v>
      </c>
      <c r="AY9" s="87">
        <v>0</v>
      </c>
      <c r="AZ9" s="87">
        <v>0</v>
      </c>
      <c r="BA9" s="84" t="s">
        <v>1714</v>
      </c>
      <c r="BB9" s="87">
        <v>0</v>
      </c>
      <c r="BC9" s="84" t="s">
        <v>1715</v>
      </c>
      <c r="BD9" s="87">
        <v>1</v>
      </c>
      <c r="BE9" s="89">
        <v>8</v>
      </c>
      <c r="BF9" s="89">
        <v>3</v>
      </c>
      <c r="BG9" s="90" t="s">
        <v>1711</v>
      </c>
      <c r="BH9" s="91"/>
      <c r="BI9" s="91" t="s">
        <v>1721</v>
      </c>
      <c r="BJ9" s="91" t="s">
        <v>1721</v>
      </c>
      <c r="BK9" s="92">
        <v>360</v>
      </c>
      <c r="BL9" s="91" t="s">
        <v>1721</v>
      </c>
      <c r="BM9" s="92">
        <v>0.3</v>
      </c>
      <c r="BN9" s="92">
        <v>2</v>
      </c>
      <c r="BO9" s="91" t="s">
        <v>1721</v>
      </c>
      <c r="BP9" s="92">
        <v>3</v>
      </c>
      <c r="BQ9" s="92">
        <v>50</v>
      </c>
      <c r="BR9" s="92">
        <v>0.3</v>
      </c>
      <c r="BS9" s="91" t="s">
        <v>1824</v>
      </c>
      <c r="BT9" s="92">
        <v>8</v>
      </c>
      <c r="BU9" s="92">
        <v>0.8</v>
      </c>
      <c r="BV9" s="92">
        <v>2</v>
      </c>
      <c r="BW9" s="92">
        <v>0.8</v>
      </c>
      <c r="BX9" s="92">
        <v>12</v>
      </c>
      <c r="BY9" s="92">
        <v>0.8</v>
      </c>
      <c r="BZ9" s="92">
        <v>1.5</v>
      </c>
      <c r="CA9" s="92">
        <v>720</v>
      </c>
      <c r="CB9" s="92">
        <v>0.6</v>
      </c>
      <c r="CC9" s="92">
        <v>540</v>
      </c>
      <c r="CD9" s="92">
        <v>1.8</v>
      </c>
      <c r="CE9" s="92">
        <v>4</v>
      </c>
      <c r="CF9" s="92">
        <v>4</v>
      </c>
      <c r="CG9" s="91" t="s">
        <v>1711</v>
      </c>
      <c r="CH9" s="91" t="s">
        <v>1721</v>
      </c>
      <c r="CI9" s="91" t="s">
        <v>1721</v>
      </c>
      <c r="CJ9" s="92">
        <v>0.5</v>
      </c>
      <c r="CK9" s="92">
        <v>1.5</v>
      </c>
      <c r="CL9" s="92">
        <v>2.5</v>
      </c>
      <c r="CM9" s="92">
        <v>2.5</v>
      </c>
      <c r="CN9" s="91" t="s">
        <v>1721</v>
      </c>
      <c r="CO9" s="92">
        <v>1</v>
      </c>
      <c r="CP9" s="91" t="s">
        <v>1669</v>
      </c>
      <c r="CQ9" s="92">
        <v>10</v>
      </c>
      <c r="CR9" s="91" t="s">
        <v>1721</v>
      </c>
      <c r="CS9" s="92">
        <v>4</v>
      </c>
      <c r="CT9" s="92">
        <v>8</v>
      </c>
      <c r="CU9" s="92">
        <v>0.85</v>
      </c>
      <c r="CV9" s="91" t="s">
        <v>1721</v>
      </c>
      <c r="CW9" s="92">
        <v>2</v>
      </c>
      <c r="CX9" s="92">
        <v>50</v>
      </c>
      <c r="CY9" s="92">
        <v>0.5</v>
      </c>
      <c r="CZ9" s="92">
        <v>1</v>
      </c>
      <c r="DA9" s="91" t="s">
        <v>1721</v>
      </c>
      <c r="DB9" s="91" t="s">
        <v>1711</v>
      </c>
      <c r="DC9" s="92">
        <v>2</v>
      </c>
      <c r="DD9" s="92">
        <v>0.4</v>
      </c>
      <c r="DE9" s="91">
        <v>0.3</v>
      </c>
      <c r="DF9" s="93" t="s">
        <v>1825</v>
      </c>
      <c r="DG9" s="91">
        <v>60</v>
      </c>
      <c r="DH9" s="91">
        <v>0</v>
      </c>
      <c r="DI9" s="94" t="s">
        <v>1838</v>
      </c>
      <c r="DJ9" s="94" t="s">
        <v>1839</v>
      </c>
      <c r="DK9" s="94" t="s">
        <v>1840</v>
      </c>
      <c r="DL9" s="94" t="s">
        <v>1841</v>
      </c>
      <c r="DM9" s="94">
        <v>1</v>
      </c>
      <c r="DN9" s="94"/>
      <c r="DO9" s="94"/>
      <c r="DP9" s="94"/>
      <c r="DQ9" s="94"/>
      <c r="DR9" s="94"/>
      <c r="DS9" s="95"/>
      <c r="DT9" s="108">
        <v>8</v>
      </c>
    </row>
    <row r="10" spans="1:124" ht="24.95" customHeight="1">
      <c r="A10" s="83" t="s">
        <v>1816</v>
      </c>
      <c r="B10" s="84" t="s">
        <v>1745</v>
      </c>
      <c r="C10" s="85" t="s">
        <v>1746</v>
      </c>
      <c r="D10" s="86">
        <v>1</v>
      </c>
      <c r="E10" s="86">
        <v>1</v>
      </c>
      <c r="F10" s="86">
        <v>10</v>
      </c>
      <c r="G10" s="87">
        <v>5</v>
      </c>
      <c r="H10" s="87">
        <v>0</v>
      </c>
      <c r="I10" s="87">
        <v>0.2</v>
      </c>
      <c r="J10" s="87">
        <v>6</v>
      </c>
      <c r="K10" s="84" t="s">
        <v>1707</v>
      </c>
      <c r="L10" s="84" t="s">
        <v>1708</v>
      </c>
      <c r="M10" s="84" t="s">
        <v>1709</v>
      </c>
      <c r="N10" s="87">
        <v>2</v>
      </c>
      <c r="O10" s="86">
        <v>0</v>
      </c>
      <c r="P10" s="84" t="s">
        <v>1710</v>
      </c>
      <c r="Q10" s="84" t="s">
        <v>1711</v>
      </c>
      <c r="R10" s="84" t="s">
        <v>1712</v>
      </c>
      <c r="S10" s="87">
        <v>0</v>
      </c>
      <c r="T10" s="86">
        <v>1</v>
      </c>
      <c r="U10" s="84" t="s">
        <v>1713</v>
      </c>
      <c r="V10" s="88">
        <v>8</v>
      </c>
      <c r="W10" s="88">
        <v>3</v>
      </c>
      <c r="X10" s="88" t="s">
        <v>1711</v>
      </c>
      <c r="Y10" s="84"/>
      <c r="Z10" s="84"/>
      <c r="AA10" s="84" t="s">
        <v>1742</v>
      </c>
      <c r="AB10" s="84" t="s">
        <v>1714</v>
      </c>
      <c r="AC10" s="84" t="s">
        <v>1747</v>
      </c>
      <c r="AD10" s="87">
        <v>50</v>
      </c>
      <c r="AE10" s="87">
        <v>5</v>
      </c>
      <c r="AF10" s="87">
        <v>100</v>
      </c>
      <c r="AG10" s="84" t="s">
        <v>1748</v>
      </c>
      <c r="AH10" s="87">
        <v>1</v>
      </c>
      <c r="AI10" s="84" t="s">
        <v>1715</v>
      </c>
      <c r="AJ10" s="87">
        <v>1</v>
      </c>
      <c r="AK10" s="84" t="s">
        <v>1714</v>
      </c>
      <c r="AL10" s="84" t="s">
        <v>1714</v>
      </c>
      <c r="AM10" s="84" t="s">
        <v>1714</v>
      </c>
      <c r="AN10" s="87">
        <v>0</v>
      </c>
      <c r="AO10" s="87">
        <v>0</v>
      </c>
      <c r="AP10" s="87">
        <v>0</v>
      </c>
      <c r="AQ10" s="84" t="s">
        <v>1714</v>
      </c>
      <c r="AR10" s="87">
        <v>0</v>
      </c>
      <c r="AS10" s="84" t="s">
        <v>1715</v>
      </c>
      <c r="AT10" s="87">
        <v>1</v>
      </c>
      <c r="AU10" s="84" t="s">
        <v>1714</v>
      </c>
      <c r="AV10" s="84" t="s">
        <v>1714</v>
      </c>
      <c r="AW10" s="84" t="s">
        <v>1714</v>
      </c>
      <c r="AX10" s="87">
        <v>0</v>
      </c>
      <c r="AY10" s="87">
        <v>0</v>
      </c>
      <c r="AZ10" s="87">
        <v>0</v>
      </c>
      <c r="BA10" s="84" t="s">
        <v>1714</v>
      </c>
      <c r="BB10" s="87">
        <v>0</v>
      </c>
      <c r="BC10" s="84" t="s">
        <v>1715</v>
      </c>
      <c r="BD10" s="87">
        <v>1</v>
      </c>
      <c r="BE10" s="89">
        <v>8</v>
      </c>
      <c r="BF10" s="89">
        <v>3</v>
      </c>
      <c r="BG10" s="90" t="s">
        <v>1711</v>
      </c>
      <c r="BH10" s="91"/>
      <c r="BI10" s="91" t="s">
        <v>1721</v>
      </c>
      <c r="BJ10" s="91" t="s">
        <v>1721</v>
      </c>
      <c r="BK10" s="92">
        <v>360</v>
      </c>
      <c r="BL10" s="91" t="s">
        <v>1721</v>
      </c>
      <c r="BM10" s="92">
        <v>0.3</v>
      </c>
      <c r="BN10" s="92">
        <v>2</v>
      </c>
      <c r="BO10" s="91" t="s">
        <v>1721</v>
      </c>
      <c r="BP10" s="92">
        <v>3</v>
      </c>
      <c r="BQ10" s="92">
        <v>50</v>
      </c>
      <c r="BR10" s="92">
        <v>0.3</v>
      </c>
      <c r="BS10" s="91" t="s">
        <v>1824</v>
      </c>
      <c r="BT10" s="92">
        <v>8</v>
      </c>
      <c r="BU10" s="92">
        <v>0.8</v>
      </c>
      <c r="BV10" s="92">
        <v>2</v>
      </c>
      <c r="BW10" s="92">
        <v>0.8</v>
      </c>
      <c r="BX10" s="92">
        <v>12</v>
      </c>
      <c r="BY10" s="92">
        <v>0.8</v>
      </c>
      <c r="BZ10" s="92">
        <v>1.5</v>
      </c>
      <c r="CA10" s="92">
        <v>720</v>
      </c>
      <c r="CB10" s="92">
        <v>0.6</v>
      </c>
      <c r="CC10" s="92">
        <v>540</v>
      </c>
      <c r="CD10" s="92">
        <v>1.8</v>
      </c>
      <c r="CE10" s="92">
        <v>4</v>
      </c>
      <c r="CF10" s="92">
        <v>4</v>
      </c>
      <c r="CG10" s="91" t="s">
        <v>1711</v>
      </c>
      <c r="CH10" s="91" t="s">
        <v>1721</v>
      </c>
      <c r="CI10" s="91" t="s">
        <v>1721</v>
      </c>
      <c r="CJ10" s="92">
        <v>0.5</v>
      </c>
      <c r="CK10" s="92">
        <v>1.5</v>
      </c>
      <c r="CL10" s="92">
        <v>2.5</v>
      </c>
      <c r="CM10" s="92">
        <v>2.5</v>
      </c>
      <c r="CN10" s="91" t="s">
        <v>1721</v>
      </c>
      <c r="CO10" s="92">
        <v>1</v>
      </c>
      <c r="CP10" s="91" t="s">
        <v>1669</v>
      </c>
      <c r="CQ10" s="92">
        <v>10</v>
      </c>
      <c r="CR10" s="91" t="s">
        <v>1721</v>
      </c>
      <c r="CS10" s="92">
        <v>4</v>
      </c>
      <c r="CT10" s="92">
        <v>8</v>
      </c>
      <c r="CU10" s="92">
        <v>0.85</v>
      </c>
      <c r="CV10" s="91" t="s">
        <v>1721</v>
      </c>
      <c r="CW10" s="92">
        <v>2</v>
      </c>
      <c r="CX10" s="92">
        <v>50</v>
      </c>
      <c r="CY10" s="92">
        <v>0.5</v>
      </c>
      <c r="CZ10" s="92">
        <v>1</v>
      </c>
      <c r="DA10" s="91" t="s">
        <v>1721</v>
      </c>
      <c r="DB10" s="91" t="s">
        <v>1711</v>
      </c>
      <c r="DC10" s="92">
        <v>2</v>
      </c>
      <c r="DD10" s="92">
        <v>0.4</v>
      </c>
      <c r="DE10" s="91">
        <v>0.3</v>
      </c>
      <c r="DF10" s="93" t="s">
        <v>1825</v>
      </c>
      <c r="DG10" s="91">
        <v>60</v>
      </c>
      <c r="DH10" s="91">
        <v>0</v>
      </c>
      <c r="DI10" s="94" t="s">
        <v>1838</v>
      </c>
      <c r="DJ10" s="94" t="s">
        <v>1839</v>
      </c>
      <c r="DK10" s="94" t="s">
        <v>1840</v>
      </c>
      <c r="DL10" s="94" t="s">
        <v>1841</v>
      </c>
      <c r="DM10" s="94">
        <v>1</v>
      </c>
      <c r="DN10" s="94"/>
      <c r="DO10" s="94"/>
      <c r="DP10" s="94"/>
      <c r="DQ10" s="94"/>
      <c r="DR10" s="94"/>
      <c r="DS10" s="95"/>
      <c r="DT10" s="108">
        <v>9</v>
      </c>
    </row>
    <row r="11" spans="1:124" ht="24.95" customHeight="1">
      <c r="A11" s="83" t="s">
        <v>1817</v>
      </c>
      <c r="B11" s="84" t="s">
        <v>1749</v>
      </c>
      <c r="C11" s="85" t="s">
        <v>1750</v>
      </c>
      <c r="D11" s="86">
        <v>1</v>
      </c>
      <c r="E11" s="86">
        <v>1</v>
      </c>
      <c r="F11" s="86">
        <v>10</v>
      </c>
      <c r="G11" s="87">
        <v>5</v>
      </c>
      <c r="H11" s="87">
        <v>0</v>
      </c>
      <c r="I11" s="87">
        <v>0.2</v>
      </c>
      <c r="J11" s="87">
        <v>6</v>
      </c>
      <c r="K11" s="84" t="s">
        <v>1707</v>
      </c>
      <c r="L11" s="84" t="s">
        <v>1708</v>
      </c>
      <c r="M11" s="84" t="s">
        <v>1709</v>
      </c>
      <c r="N11" s="87">
        <v>2</v>
      </c>
      <c r="O11" s="86">
        <v>0</v>
      </c>
      <c r="P11" s="84" t="s">
        <v>1751</v>
      </c>
      <c r="Q11" s="84" t="s">
        <v>1711</v>
      </c>
      <c r="R11" s="84" t="s">
        <v>1712</v>
      </c>
      <c r="S11" s="87">
        <v>0</v>
      </c>
      <c r="T11" s="86">
        <v>1</v>
      </c>
      <c r="U11" s="84" t="s">
        <v>1713</v>
      </c>
      <c r="V11" s="88">
        <v>8</v>
      </c>
      <c r="W11" s="88">
        <v>3</v>
      </c>
      <c r="X11" s="88" t="s">
        <v>1711</v>
      </c>
      <c r="Y11" s="84"/>
      <c r="Z11" s="84"/>
      <c r="AA11" s="84" t="s">
        <v>1742</v>
      </c>
      <c r="AB11" s="84" t="s">
        <v>1714</v>
      </c>
      <c r="AC11" s="84" t="s">
        <v>1714</v>
      </c>
      <c r="AD11" s="87">
        <v>0</v>
      </c>
      <c r="AE11" s="87">
        <v>3</v>
      </c>
      <c r="AF11" s="87">
        <v>50</v>
      </c>
      <c r="AG11" s="84" t="s">
        <v>1752</v>
      </c>
      <c r="AH11" s="87">
        <v>0</v>
      </c>
      <c r="AI11" s="84" t="s">
        <v>1715</v>
      </c>
      <c r="AJ11" s="87">
        <v>1</v>
      </c>
      <c r="AK11" s="84" t="s">
        <v>1714</v>
      </c>
      <c r="AL11" s="84" t="s">
        <v>1714</v>
      </c>
      <c r="AM11" s="84" t="s">
        <v>1714</v>
      </c>
      <c r="AN11" s="87">
        <v>0</v>
      </c>
      <c r="AO11" s="87">
        <v>0</v>
      </c>
      <c r="AP11" s="87">
        <v>0</v>
      </c>
      <c r="AQ11" s="84" t="s">
        <v>1714</v>
      </c>
      <c r="AR11" s="87">
        <v>0</v>
      </c>
      <c r="AS11" s="84" t="s">
        <v>1715</v>
      </c>
      <c r="AT11" s="87">
        <v>1</v>
      </c>
      <c r="AU11" s="84" t="s">
        <v>1714</v>
      </c>
      <c r="AV11" s="84" t="s">
        <v>1714</v>
      </c>
      <c r="AW11" s="84" t="s">
        <v>1714</v>
      </c>
      <c r="AX11" s="87">
        <v>0</v>
      </c>
      <c r="AY11" s="87">
        <v>0</v>
      </c>
      <c r="AZ11" s="87">
        <v>0</v>
      </c>
      <c r="BA11" s="84" t="s">
        <v>1714</v>
      </c>
      <c r="BB11" s="87">
        <v>0</v>
      </c>
      <c r="BC11" s="84" t="s">
        <v>1715</v>
      </c>
      <c r="BD11" s="87">
        <v>1</v>
      </c>
      <c r="BE11" s="89">
        <v>8</v>
      </c>
      <c r="BF11" s="89">
        <v>3</v>
      </c>
      <c r="BG11" s="90" t="s">
        <v>1711</v>
      </c>
      <c r="BH11" s="91"/>
      <c r="BI11" s="91" t="s">
        <v>1721</v>
      </c>
      <c r="BJ11" s="91" t="s">
        <v>1721</v>
      </c>
      <c r="BK11" s="92">
        <v>360</v>
      </c>
      <c r="BL11" s="91" t="s">
        <v>1721</v>
      </c>
      <c r="BM11" s="92">
        <v>0.3</v>
      </c>
      <c r="BN11" s="92">
        <v>2</v>
      </c>
      <c r="BO11" s="91" t="s">
        <v>1721</v>
      </c>
      <c r="BP11" s="92">
        <v>3</v>
      </c>
      <c r="BQ11" s="92">
        <v>50</v>
      </c>
      <c r="BR11" s="92">
        <v>0.3</v>
      </c>
      <c r="BS11" s="91" t="s">
        <v>1824</v>
      </c>
      <c r="BT11" s="92">
        <v>8</v>
      </c>
      <c r="BU11" s="92">
        <v>0.8</v>
      </c>
      <c r="BV11" s="92">
        <v>2</v>
      </c>
      <c r="BW11" s="92">
        <v>0.8</v>
      </c>
      <c r="BX11" s="92">
        <v>12</v>
      </c>
      <c r="BY11" s="92">
        <v>0.8</v>
      </c>
      <c r="BZ11" s="92">
        <v>1.5</v>
      </c>
      <c r="CA11" s="92">
        <v>720</v>
      </c>
      <c r="CB11" s="92">
        <v>0.6</v>
      </c>
      <c r="CC11" s="92">
        <v>540</v>
      </c>
      <c r="CD11" s="92">
        <v>1.8</v>
      </c>
      <c r="CE11" s="92">
        <v>4</v>
      </c>
      <c r="CF11" s="92">
        <v>4</v>
      </c>
      <c r="CG11" s="91" t="s">
        <v>1711</v>
      </c>
      <c r="CH11" s="91" t="s">
        <v>1721</v>
      </c>
      <c r="CI11" s="91" t="s">
        <v>1721</v>
      </c>
      <c r="CJ11" s="92">
        <v>0.5</v>
      </c>
      <c r="CK11" s="92">
        <v>1.5</v>
      </c>
      <c r="CL11" s="92">
        <v>2.5</v>
      </c>
      <c r="CM11" s="92">
        <v>2.5</v>
      </c>
      <c r="CN11" s="91" t="s">
        <v>1721</v>
      </c>
      <c r="CO11" s="92">
        <v>1</v>
      </c>
      <c r="CP11" s="91" t="s">
        <v>1669</v>
      </c>
      <c r="CQ11" s="92">
        <v>10</v>
      </c>
      <c r="CR11" s="91" t="s">
        <v>1721</v>
      </c>
      <c r="CS11" s="92">
        <v>4</v>
      </c>
      <c r="CT11" s="92">
        <v>8</v>
      </c>
      <c r="CU11" s="92">
        <v>0.85</v>
      </c>
      <c r="CV11" s="91" t="s">
        <v>1721</v>
      </c>
      <c r="CW11" s="92">
        <v>2</v>
      </c>
      <c r="CX11" s="92">
        <v>50</v>
      </c>
      <c r="CY11" s="92">
        <v>0.5</v>
      </c>
      <c r="CZ11" s="92">
        <v>1</v>
      </c>
      <c r="DA11" s="91" t="s">
        <v>1721</v>
      </c>
      <c r="DB11" s="91" t="s">
        <v>1711</v>
      </c>
      <c r="DC11" s="92">
        <v>2</v>
      </c>
      <c r="DD11" s="92">
        <v>0.4</v>
      </c>
      <c r="DE11" s="91">
        <v>0.3</v>
      </c>
      <c r="DF11" s="93" t="s">
        <v>1825</v>
      </c>
      <c r="DG11" s="91">
        <v>60</v>
      </c>
      <c r="DH11" s="91">
        <v>0</v>
      </c>
      <c r="DI11" s="94" t="s">
        <v>1838</v>
      </c>
      <c r="DJ11" s="94" t="s">
        <v>1839</v>
      </c>
      <c r="DK11" s="94" t="s">
        <v>1840</v>
      </c>
      <c r="DL11" s="94" t="s">
        <v>1841</v>
      </c>
      <c r="DM11" s="94">
        <v>1</v>
      </c>
      <c r="DN11" s="94"/>
      <c r="DO11" s="94"/>
      <c r="DP11" s="94"/>
      <c r="DQ11" s="94"/>
      <c r="DR11" s="94"/>
      <c r="DS11" s="95"/>
      <c r="DT11" s="108">
        <v>10</v>
      </c>
    </row>
    <row r="12" spans="1:124" ht="24.95" customHeight="1">
      <c r="A12" s="83" t="s">
        <v>1818</v>
      </c>
      <c r="B12" s="84" t="s">
        <v>1753</v>
      </c>
      <c r="C12" s="85" t="s">
        <v>1754</v>
      </c>
      <c r="D12" s="86">
        <v>1</v>
      </c>
      <c r="E12" s="86">
        <v>1</v>
      </c>
      <c r="F12" s="86">
        <v>10</v>
      </c>
      <c r="G12" s="87">
        <v>5</v>
      </c>
      <c r="H12" s="87">
        <v>0</v>
      </c>
      <c r="I12" s="87">
        <v>0.2</v>
      </c>
      <c r="J12" s="87">
        <v>6</v>
      </c>
      <c r="K12" s="84" t="s">
        <v>1707</v>
      </c>
      <c r="L12" s="84" t="s">
        <v>1714</v>
      </c>
      <c r="M12" s="84" t="s">
        <v>1714</v>
      </c>
      <c r="N12" s="87">
        <v>0</v>
      </c>
      <c r="O12" s="86">
        <v>0</v>
      </c>
      <c r="P12" s="84" t="s">
        <v>1720</v>
      </c>
      <c r="Q12" s="84" t="s">
        <v>1721</v>
      </c>
      <c r="R12" s="84" t="s">
        <v>1712</v>
      </c>
      <c r="S12" s="87">
        <v>0</v>
      </c>
      <c r="T12" s="86">
        <v>1</v>
      </c>
      <c r="U12" s="84" t="s">
        <v>1713</v>
      </c>
      <c r="V12" s="88">
        <v>1</v>
      </c>
      <c r="W12" s="88">
        <v>0.8</v>
      </c>
      <c r="X12" s="88" t="s">
        <v>1721</v>
      </c>
      <c r="Y12" s="84"/>
      <c r="Z12" s="84"/>
      <c r="AA12" s="84" t="s">
        <v>1742</v>
      </c>
      <c r="AB12" s="84" t="s">
        <v>1714</v>
      </c>
      <c r="AC12" s="84" t="s">
        <v>1714</v>
      </c>
      <c r="AD12" s="87">
        <v>0</v>
      </c>
      <c r="AE12" s="87">
        <v>5</v>
      </c>
      <c r="AF12" s="87">
        <v>70</v>
      </c>
      <c r="AG12" s="84" t="s">
        <v>1755</v>
      </c>
      <c r="AH12" s="87">
        <v>0</v>
      </c>
      <c r="AI12" s="84" t="s">
        <v>1715</v>
      </c>
      <c r="AJ12" s="87">
        <v>1</v>
      </c>
      <c r="AK12" s="84" t="s">
        <v>1714</v>
      </c>
      <c r="AL12" s="84" t="s">
        <v>1714</v>
      </c>
      <c r="AM12" s="84" t="s">
        <v>1714</v>
      </c>
      <c r="AN12" s="87">
        <v>0</v>
      </c>
      <c r="AO12" s="87">
        <v>0</v>
      </c>
      <c r="AP12" s="87">
        <v>0</v>
      </c>
      <c r="AQ12" s="84" t="s">
        <v>1714</v>
      </c>
      <c r="AR12" s="87">
        <v>0</v>
      </c>
      <c r="AS12" s="84" t="s">
        <v>1715</v>
      </c>
      <c r="AT12" s="87">
        <v>1</v>
      </c>
      <c r="AU12" s="84" t="s">
        <v>1714</v>
      </c>
      <c r="AV12" s="84" t="s">
        <v>1714</v>
      </c>
      <c r="AW12" s="84" t="s">
        <v>1714</v>
      </c>
      <c r="AX12" s="87">
        <v>0</v>
      </c>
      <c r="AY12" s="87">
        <v>0</v>
      </c>
      <c r="AZ12" s="87">
        <v>0</v>
      </c>
      <c r="BA12" s="84" t="s">
        <v>1714</v>
      </c>
      <c r="BB12" s="87">
        <v>0</v>
      </c>
      <c r="BC12" s="84" t="s">
        <v>1715</v>
      </c>
      <c r="BD12" s="87">
        <v>1</v>
      </c>
      <c r="BE12" s="89">
        <v>1</v>
      </c>
      <c r="BF12" s="89">
        <v>0.8</v>
      </c>
      <c r="BG12" s="90" t="s">
        <v>1721</v>
      </c>
      <c r="BH12" s="91"/>
      <c r="BI12" s="91" t="s">
        <v>1711</v>
      </c>
      <c r="BJ12" s="91" t="s">
        <v>1721</v>
      </c>
      <c r="BK12" s="92">
        <v>360</v>
      </c>
      <c r="BL12" s="91" t="s">
        <v>1721</v>
      </c>
      <c r="BM12" s="92">
        <v>0.3</v>
      </c>
      <c r="BN12" s="92">
        <v>2</v>
      </c>
      <c r="BO12" s="91" t="s">
        <v>1721</v>
      </c>
      <c r="BP12" s="92">
        <v>3</v>
      </c>
      <c r="BQ12" s="92">
        <v>50</v>
      </c>
      <c r="BR12" s="92">
        <v>0.3</v>
      </c>
      <c r="BS12" s="91" t="s">
        <v>1842</v>
      </c>
      <c r="BT12" s="92">
        <v>8</v>
      </c>
      <c r="BU12" s="92">
        <v>0.8</v>
      </c>
      <c r="BV12" s="92">
        <v>2</v>
      </c>
      <c r="BW12" s="92">
        <v>0.8</v>
      </c>
      <c r="BX12" s="92">
        <v>12</v>
      </c>
      <c r="BY12" s="92">
        <v>0.8</v>
      </c>
      <c r="BZ12" s="92">
        <v>1.5</v>
      </c>
      <c r="CA12" s="92">
        <v>720</v>
      </c>
      <c r="CB12" s="92">
        <v>0.6</v>
      </c>
      <c r="CC12" s="92">
        <v>540</v>
      </c>
      <c r="CD12" s="92">
        <v>1.8</v>
      </c>
      <c r="CE12" s="92">
        <v>4</v>
      </c>
      <c r="CF12" s="92">
        <v>4</v>
      </c>
      <c r="CG12" s="91" t="s">
        <v>1711</v>
      </c>
      <c r="CH12" s="91" t="s">
        <v>1721</v>
      </c>
      <c r="CI12" s="91" t="s">
        <v>1721</v>
      </c>
      <c r="CJ12" s="92">
        <v>0.5</v>
      </c>
      <c r="CK12" s="92">
        <v>1.5</v>
      </c>
      <c r="CL12" s="92">
        <v>2.5</v>
      </c>
      <c r="CM12" s="92">
        <v>2.5</v>
      </c>
      <c r="CN12" s="91" t="s">
        <v>1721</v>
      </c>
      <c r="CO12" s="92">
        <v>1</v>
      </c>
      <c r="CP12" s="91" t="s">
        <v>1669</v>
      </c>
      <c r="CQ12" s="92">
        <v>10</v>
      </c>
      <c r="CR12" s="91" t="s">
        <v>1721</v>
      </c>
      <c r="CS12" s="92">
        <v>4</v>
      </c>
      <c r="CT12" s="92">
        <v>8</v>
      </c>
      <c r="CU12" s="92">
        <v>0.85</v>
      </c>
      <c r="CV12" s="91" t="s">
        <v>1721</v>
      </c>
      <c r="CW12" s="92">
        <v>2</v>
      </c>
      <c r="CX12" s="92">
        <v>50</v>
      </c>
      <c r="CY12" s="92">
        <v>0.5</v>
      </c>
      <c r="CZ12" s="92">
        <v>1</v>
      </c>
      <c r="DA12" s="91" t="s">
        <v>1721</v>
      </c>
      <c r="DB12" s="91" t="s">
        <v>1721</v>
      </c>
      <c r="DC12" s="92">
        <v>2</v>
      </c>
      <c r="DD12" s="92">
        <v>0.4</v>
      </c>
      <c r="DE12" s="91">
        <v>0.3</v>
      </c>
      <c r="DF12" s="93" t="s">
        <v>1825</v>
      </c>
      <c r="DG12" s="91">
        <v>60</v>
      </c>
      <c r="DH12" s="91">
        <v>0</v>
      </c>
      <c r="DI12" s="94" t="s">
        <v>1838</v>
      </c>
      <c r="DJ12" s="94" t="s">
        <v>1657</v>
      </c>
      <c r="DK12" s="94" t="s">
        <v>1657</v>
      </c>
      <c r="DL12" s="94" t="s">
        <v>1843</v>
      </c>
      <c r="DM12" s="94">
        <v>1</v>
      </c>
      <c r="DN12" s="94"/>
      <c r="DO12" s="94"/>
      <c r="DP12" s="94"/>
      <c r="DQ12" s="94"/>
      <c r="DR12" s="94"/>
      <c r="DS12" s="95"/>
      <c r="DT12" s="108">
        <v>11</v>
      </c>
    </row>
    <row r="13" spans="1:124" ht="24.95" customHeight="1">
      <c r="A13" s="83" t="s">
        <v>1819</v>
      </c>
      <c r="B13" s="84" t="s">
        <v>1756</v>
      </c>
      <c r="C13" s="85" t="s">
        <v>1757</v>
      </c>
      <c r="D13" s="86">
        <v>1</v>
      </c>
      <c r="E13" s="86">
        <v>1</v>
      </c>
      <c r="F13" s="86">
        <v>10</v>
      </c>
      <c r="G13" s="87">
        <v>5</v>
      </c>
      <c r="H13" s="87">
        <v>0</v>
      </c>
      <c r="I13" s="87">
        <v>0.2</v>
      </c>
      <c r="J13" s="87">
        <v>6</v>
      </c>
      <c r="K13" s="84" t="s">
        <v>1707</v>
      </c>
      <c r="L13" s="84" t="s">
        <v>1708</v>
      </c>
      <c r="M13" s="84" t="s">
        <v>1709</v>
      </c>
      <c r="N13" s="87">
        <v>2</v>
      </c>
      <c r="O13" s="86">
        <v>0</v>
      </c>
      <c r="P13" s="84" t="s">
        <v>1720</v>
      </c>
      <c r="Q13" s="84" t="s">
        <v>1711</v>
      </c>
      <c r="R13" s="84" t="s">
        <v>1712</v>
      </c>
      <c r="S13" s="87">
        <v>0</v>
      </c>
      <c r="T13" s="86">
        <v>1</v>
      </c>
      <c r="U13" s="84" t="s">
        <v>1713</v>
      </c>
      <c r="V13" s="88">
        <v>8</v>
      </c>
      <c r="W13" s="88">
        <v>3</v>
      </c>
      <c r="X13" s="88" t="s">
        <v>1711</v>
      </c>
      <c r="Y13" s="84"/>
      <c r="Z13" s="84"/>
      <c r="AA13" s="84" t="s">
        <v>1736</v>
      </c>
      <c r="AB13" s="84" t="s">
        <v>1737</v>
      </c>
      <c r="AC13" s="84" t="s">
        <v>1731</v>
      </c>
      <c r="AD13" s="87">
        <v>20</v>
      </c>
      <c r="AE13" s="87">
        <v>10</v>
      </c>
      <c r="AF13" s="87">
        <v>100</v>
      </c>
      <c r="AG13" s="84" t="s">
        <v>1714</v>
      </c>
      <c r="AH13" s="87">
        <v>0</v>
      </c>
      <c r="AI13" s="84" t="s">
        <v>1715</v>
      </c>
      <c r="AJ13" s="87">
        <v>1</v>
      </c>
      <c r="AK13" s="84" t="s">
        <v>1742</v>
      </c>
      <c r="AL13" s="84" t="s">
        <v>1714</v>
      </c>
      <c r="AM13" s="84" t="s">
        <v>1743</v>
      </c>
      <c r="AN13" s="87">
        <v>1</v>
      </c>
      <c r="AO13" s="87">
        <v>10</v>
      </c>
      <c r="AP13" s="87">
        <v>80</v>
      </c>
      <c r="AQ13" s="84" t="s">
        <v>1744</v>
      </c>
      <c r="AR13" s="87">
        <v>2</v>
      </c>
      <c r="AS13" s="84" t="s">
        <v>1715</v>
      </c>
      <c r="AT13" s="87">
        <v>1</v>
      </c>
      <c r="AU13" s="84" t="s">
        <v>1714</v>
      </c>
      <c r="AV13" s="84" t="s">
        <v>1714</v>
      </c>
      <c r="AW13" s="84" t="s">
        <v>1714</v>
      </c>
      <c r="AX13" s="87">
        <v>0</v>
      </c>
      <c r="AY13" s="87">
        <v>0</v>
      </c>
      <c r="AZ13" s="87">
        <v>0</v>
      </c>
      <c r="BA13" s="84" t="s">
        <v>1714</v>
      </c>
      <c r="BB13" s="87">
        <v>0</v>
      </c>
      <c r="BC13" s="84" t="s">
        <v>1715</v>
      </c>
      <c r="BD13" s="87">
        <v>1</v>
      </c>
      <c r="BE13" s="89">
        <v>8</v>
      </c>
      <c r="BF13" s="89">
        <v>3</v>
      </c>
      <c r="BG13" s="90" t="s">
        <v>1711</v>
      </c>
      <c r="BH13" s="91"/>
      <c r="BI13" s="91" t="s">
        <v>1721</v>
      </c>
      <c r="BJ13" s="91" t="s">
        <v>1721</v>
      </c>
      <c r="BK13" s="92">
        <v>360</v>
      </c>
      <c r="BL13" s="91" t="s">
        <v>1721</v>
      </c>
      <c r="BM13" s="92">
        <v>0.3</v>
      </c>
      <c r="BN13" s="92">
        <v>2</v>
      </c>
      <c r="BO13" s="91" t="s">
        <v>1721</v>
      </c>
      <c r="BP13" s="92">
        <v>3</v>
      </c>
      <c r="BQ13" s="92">
        <v>50</v>
      </c>
      <c r="BR13" s="92">
        <v>0.3</v>
      </c>
      <c r="BS13" s="91" t="s">
        <v>1824</v>
      </c>
      <c r="BT13" s="92">
        <v>8</v>
      </c>
      <c r="BU13" s="92">
        <v>0.8</v>
      </c>
      <c r="BV13" s="92">
        <v>2</v>
      </c>
      <c r="BW13" s="92">
        <v>0.8</v>
      </c>
      <c r="BX13" s="92">
        <v>12</v>
      </c>
      <c r="BY13" s="92">
        <v>0.8</v>
      </c>
      <c r="BZ13" s="92">
        <v>1.5</v>
      </c>
      <c r="CA13" s="92">
        <v>720</v>
      </c>
      <c r="CB13" s="92">
        <v>0.6</v>
      </c>
      <c r="CC13" s="92">
        <v>540</v>
      </c>
      <c r="CD13" s="92">
        <v>1.8</v>
      </c>
      <c r="CE13" s="92">
        <v>4</v>
      </c>
      <c r="CF13" s="92">
        <v>4</v>
      </c>
      <c r="CG13" s="91" t="s">
        <v>1711</v>
      </c>
      <c r="CH13" s="91" t="s">
        <v>1721</v>
      </c>
      <c r="CI13" s="91" t="s">
        <v>1721</v>
      </c>
      <c r="CJ13" s="92">
        <v>0.5</v>
      </c>
      <c r="CK13" s="92">
        <v>1.5</v>
      </c>
      <c r="CL13" s="92">
        <v>2.5</v>
      </c>
      <c r="CM13" s="92">
        <v>2.5</v>
      </c>
      <c r="CN13" s="91" t="s">
        <v>1721</v>
      </c>
      <c r="CO13" s="92">
        <v>1</v>
      </c>
      <c r="CP13" s="91" t="s">
        <v>1669</v>
      </c>
      <c r="CQ13" s="92">
        <v>10</v>
      </c>
      <c r="CR13" s="91" t="s">
        <v>1721</v>
      </c>
      <c r="CS13" s="92">
        <v>4</v>
      </c>
      <c r="CT13" s="92">
        <v>8</v>
      </c>
      <c r="CU13" s="92">
        <v>0.85</v>
      </c>
      <c r="CV13" s="91" t="s">
        <v>1721</v>
      </c>
      <c r="CW13" s="92">
        <v>2</v>
      </c>
      <c r="CX13" s="92">
        <v>50</v>
      </c>
      <c r="CY13" s="92">
        <v>0.5</v>
      </c>
      <c r="CZ13" s="92">
        <v>1</v>
      </c>
      <c r="DA13" s="91" t="s">
        <v>1721</v>
      </c>
      <c r="DB13" s="91" t="s">
        <v>1711</v>
      </c>
      <c r="DC13" s="92">
        <v>2</v>
      </c>
      <c r="DD13" s="92">
        <v>0.4</v>
      </c>
      <c r="DE13" s="91">
        <v>0.3</v>
      </c>
      <c r="DF13" s="93" t="s">
        <v>1825</v>
      </c>
      <c r="DG13" s="91">
        <v>60</v>
      </c>
      <c r="DH13" s="91">
        <v>0</v>
      </c>
      <c r="DI13" s="94" t="s">
        <v>1838</v>
      </c>
      <c r="DJ13" s="94" t="s">
        <v>1839</v>
      </c>
      <c r="DK13" s="94" t="s">
        <v>1840</v>
      </c>
      <c r="DL13" s="94" t="s">
        <v>1841</v>
      </c>
      <c r="DM13" s="94">
        <v>1</v>
      </c>
      <c r="DN13" s="94"/>
      <c r="DO13" s="94"/>
      <c r="DP13" s="94"/>
      <c r="DQ13" s="94"/>
      <c r="DR13" s="94"/>
      <c r="DS13" s="95"/>
      <c r="DT13" s="108">
        <v>12</v>
      </c>
    </row>
    <row r="14" spans="1:124" ht="24.95" customHeight="1">
      <c r="A14" s="96" t="s">
        <v>1844</v>
      </c>
      <c r="B14" s="97" t="s">
        <v>1845</v>
      </c>
      <c r="C14" s="97" t="s">
        <v>1846</v>
      </c>
      <c r="D14" s="98">
        <v>1</v>
      </c>
      <c r="E14" s="98">
        <v>1</v>
      </c>
      <c r="F14" s="98">
        <v>0</v>
      </c>
      <c r="G14" s="99">
        <v>0</v>
      </c>
      <c r="H14" s="99">
        <v>0</v>
      </c>
      <c r="I14" s="99">
        <v>0</v>
      </c>
      <c r="J14" s="99">
        <v>0</v>
      </c>
      <c r="K14" s="97" t="s">
        <v>1847</v>
      </c>
      <c r="L14" s="97" t="s">
        <v>1714</v>
      </c>
      <c r="M14" s="97" t="s">
        <v>1714</v>
      </c>
      <c r="N14" s="99">
        <v>0</v>
      </c>
      <c r="O14" s="98">
        <v>0</v>
      </c>
      <c r="P14" s="97" t="s">
        <v>1720</v>
      </c>
      <c r="Q14" s="97" t="s">
        <v>1721</v>
      </c>
      <c r="R14" s="97" t="s">
        <v>1847</v>
      </c>
      <c r="S14" s="99">
        <v>0</v>
      </c>
      <c r="T14" s="98">
        <v>1</v>
      </c>
      <c r="U14" s="97" t="s">
        <v>1722</v>
      </c>
      <c r="V14" s="100">
        <v>0</v>
      </c>
      <c r="W14" s="100">
        <v>0</v>
      </c>
      <c r="X14" s="100" t="s">
        <v>1721</v>
      </c>
      <c r="Y14" s="97"/>
      <c r="Z14" s="97"/>
      <c r="AA14" s="97"/>
      <c r="AB14" s="97"/>
      <c r="AC14" s="97"/>
      <c r="AD14" s="99"/>
      <c r="AE14" s="99"/>
      <c r="AF14" s="99"/>
      <c r="AG14" s="97"/>
      <c r="AH14" s="99"/>
      <c r="AI14" s="97"/>
      <c r="AJ14" s="99"/>
      <c r="AK14" s="97"/>
      <c r="AL14" s="97"/>
      <c r="AM14" s="97"/>
      <c r="AN14" s="99"/>
      <c r="AO14" s="99"/>
      <c r="AP14" s="99"/>
      <c r="AQ14" s="97"/>
      <c r="AR14" s="99"/>
      <c r="AS14" s="97"/>
      <c r="AT14" s="99"/>
      <c r="AU14" s="97"/>
      <c r="AV14" s="97"/>
      <c r="AW14" s="97"/>
      <c r="AX14" s="99"/>
      <c r="AY14" s="99"/>
      <c r="AZ14" s="99"/>
      <c r="BA14" s="97"/>
      <c r="BB14" s="99"/>
      <c r="BC14" s="97"/>
      <c r="BD14" s="99"/>
      <c r="BE14" s="99"/>
      <c r="BF14" s="99"/>
      <c r="BG14" s="97"/>
      <c r="BH14" s="97"/>
      <c r="BI14" s="97"/>
      <c r="BJ14" s="97"/>
      <c r="BK14" s="99"/>
      <c r="BL14" s="97"/>
      <c r="BM14" s="99"/>
      <c r="BN14" s="99"/>
      <c r="BO14" s="97"/>
      <c r="BP14" s="99"/>
      <c r="BQ14" s="99"/>
      <c r="BR14" s="99"/>
      <c r="BS14" s="97"/>
      <c r="BT14" s="99"/>
      <c r="BU14" s="99"/>
      <c r="BV14" s="99"/>
      <c r="BW14" s="99"/>
      <c r="BX14" s="99"/>
      <c r="BY14" s="99"/>
      <c r="BZ14" s="99"/>
      <c r="CA14" s="99"/>
      <c r="CB14" s="99"/>
      <c r="CC14" s="99"/>
      <c r="CD14" s="99"/>
      <c r="CE14" s="99"/>
      <c r="CF14" s="99"/>
      <c r="CG14" s="97"/>
      <c r="CH14" s="97"/>
      <c r="CI14" s="97"/>
      <c r="CJ14" s="99"/>
      <c r="CK14" s="99"/>
      <c r="CL14" s="99"/>
      <c r="CM14" s="99"/>
      <c r="CN14" s="97"/>
      <c r="CO14" s="99"/>
      <c r="CP14" s="97"/>
      <c r="CQ14" s="99"/>
      <c r="CR14" s="97"/>
      <c r="CS14" s="99"/>
      <c r="CT14" s="99"/>
      <c r="CU14" s="99"/>
      <c r="CV14" s="97"/>
      <c r="CW14" s="99"/>
      <c r="CX14" s="99"/>
      <c r="CY14" s="99"/>
      <c r="CZ14" s="99"/>
      <c r="DA14" s="97"/>
      <c r="DB14" s="97"/>
      <c r="DC14" s="99"/>
      <c r="DD14" s="99"/>
      <c r="DE14" s="97"/>
      <c r="DF14" s="97"/>
      <c r="DG14" s="97"/>
      <c r="DH14" s="97"/>
      <c r="DI14" s="94" t="s">
        <v>1848</v>
      </c>
      <c r="DJ14" s="94" t="s">
        <v>1839</v>
      </c>
      <c r="DK14" s="94" t="s">
        <v>1840</v>
      </c>
      <c r="DL14" s="94" t="s">
        <v>1841</v>
      </c>
      <c r="DM14" s="94">
        <v>1</v>
      </c>
      <c r="DN14" s="94" t="s">
        <v>1849</v>
      </c>
      <c r="DO14" s="94">
        <v>10</v>
      </c>
      <c r="DP14" s="94" t="s">
        <v>1714</v>
      </c>
      <c r="DQ14" s="94">
        <v>0</v>
      </c>
      <c r="DR14" s="94" t="s">
        <v>1714</v>
      </c>
      <c r="DS14" s="95">
        <v>0</v>
      </c>
      <c r="DT14" s="108"/>
    </row>
    <row r="15" spans="1:124" ht="24.95" customHeight="1">
      <c r="A15" s="96" t="s">
        <v>1850</v>
      </c>
      <c r="B15" s="97" t="s">
        <v>1851</v>
      </c>
      <c r="C15" s="97" t="s">
        <v>1846</v>
      </c>
      <c r="D15" s="98">
        <v>1</v>
      </c>
      <c r="E15" s="98">
        <v>1</v>
      </c>
      <c r="F15" s="98">
        <v>0</v>
      </c>
      <c r="G15" s="99">
        <v>0</v>
      </c>
      <c r="H15" s="99">
        <v>0</v>
      </c>
      <c r="I15" s="99">
        <v>0</v>
      </c>
      <c r="J15" s="99">
        <v>0</v>
      </c>
      <c r="K15" s="97" t="s">
        <v>1847</v>
      </c>
      <c r="L15" s="97" t="s">
        <v>1714</v>
      </c>
      <c r="M15" s="97" t="s">
        <v>1714</v>
      </c>
      <c r="N15" s="99">
        <v>0</v>
      </c>
      <c r="O15" s="98">
        <v>0</v>
      </c>
      <c r="P15" s="97" t="s">
        <v>1720</v>
      </c>
      <c r="Q15" s="97" t="s">
        <v>1721</v>
      </c>
      <c r="R15" s="97" t="s">
        <v>1847</v>
      </c>
      <c r="S15" s="99">
        <v>0</v>
      </c>
      <c r="T15" s="98">
        <v>1</v>
      </c>
      <c r="U15" s="97" t="s">
        <v>1722</v>
      </c>
      <c r="V15" s="100">
        <v>0</v>
      </c>
      <c r="W15" s="100">
        <v>0</v>
      </c>
      <c r="X15" s="100" t="s">
        <v>1721</v>
      </c>
      <c r="Y15" s="97"/>
      <c r="Z15" s="97"/>
      <c r="AA15" s="97"/>
      <c r="AB15" s="97"/>
      <c r="AC15" s="97"/>
      <c r="AD15" s="99"/>
      <c r="AE15" s="99"/>
      <c r="AF15" s="99"/>
      <c r="AG15" s="97"/>
      <c r="AH15" s="99"/>
      <c r="AI15" s="97"/>
      <c r="AJ15" s="99"/>
      <c r="AK15" s="97"/>
      <c r="AL15" s="97"/>
      <c r="AM15" s="97"/>
      <c r="AN15" s="99"/>
      <c r="AO15" s="99"/>
      <c r="AP15" s="99"/>
      <c r="AQ15" s="97"/>
      <c r="AR15" s="99"/>
      <c r="AS15" s="97"/>
      <c r="AT15" s="99"/>
      <c r="AU15" s="97"/>
      <c r="AV15" s="97"/>
      <c r="AW15" s="97"/>
      <c r="AX15" s="99"/>
      <c r="AY15" s="99"/>
      <c r="AZ15" s="99"/>
      <c r="BA15" s="97"/>
      <c r="BB15" s="99"/>
      <c r="BC15" s="97"/>
      <c r="BD15" s="99"/>
      <c r="BE15" s="99"/>
      <c r="BF15" s="99"/>
      <c r="BG15" s="97"/>
      <c r="BH15" s="97"/>
      <c r="BI15" s="97"/>
      <c r="BJ15" s="97"/>
      <c r="BK15" s="99"/>
      <c r="BL15" s="97"/>
      <c r="BM15" s="99"/>
      <c r="BN15" s="99"/>
      <c r="BO15" s="97"/>
      <c r="BP15" s="99"/>
      <c r="BQ15" s="99"/>
      <c r="BR15" s="99"/>
      <c r="BS15" s="97"/>
      <c r="BT15" s="99"/>
      <c r="BU15" s="99"/>
      <c r="BV15" s="99"/>
      <c r="BW15" s="99"/>
      <c r="BX15" s="99"/>
      <c r="BY15" s="99"/>
      <c r="BZ15" s="99"/>
      <c r="CA15" s="99"/>
      <c r="CB15" s="99"/>
      <c r="CC15" s="99"/>
      <c r="CD15" s="99"/>
      <c r="CE15" s="99"/>
      <c r="CF15" s="99"/>
      <c r="CG15" s="97"/>
      <c r="CH15" s="97"/>
      <c r="CI15" s="97"/>
      <c r="CJ15" s="99"/>
      <c r="CK15" s="99"/>
      <c r="CL15" s="99"/>
      <c r="CM15" s="99"/>
      <c r="CN15" s="97"/>
      <c r="CO15" s="99"/>
      <c r="CP15" s="97"/>
      <c r="CQ15" s="99"/>
      <c r="CR15" s="97"/>
      <c r="CS15" s="99"/>
      <c r="CT15" s="99"/>
      <c r="CU15" s="99"/>
      <c r="CV15" s="97"/>
      <c r="CW15" s="99"/>
      <c r="CX15" s="99"/>
      <c r="CY15" s="99"/>
      <c r="CZ15" s="99"/>
      <c r="DA15" s="97"/>
      <c r="DB15" s="97"/>
      <c r="DC15" s="99"/>
      <c r="DD15" s="99"/>
      <c r="DE15" s="97"/>
      <c r="DF15" s="97"/>
      <c r="DG15" s="97"/>
      <c r="DH15" s="97"/>
      <c r="DI15" s="94" t="s">
        <v>1848</v>
      </c>
      <c r="DJ15" s="94" t="s">
        <v>1839</v>
      </c>
      <c r="DK15" s="94" t="s">
        <v>1840</v>
      </c>
      <c r="DL15" s="94" t="s">
        <v>1841</v>
      </c>
      <c r="DM15" s="94">
        <v>1</v>
      </c>
      <c r="DN15" s="94" t="s">
        <v>1852</v>
      </c>
      <c r="DO15" s="94">
        <v>10</v>
      </c>
      <c r="DP15" s="94" t="s">
        <v>1714</v>
      </c>
      <c r="DQ15" s="94">
        <v>0</v>
      </c>
      <c r="DR15" s="94" t="s">
        <v>1714</v>
      </c>
      <c r="DS15" s="95">
        <v>0</v>
      </c>
      <c r="DT15" s="108"/>
    </row>
    <row r="16" spans="1:124" ht="24.95" customHeight="1">
      <c r="A16" s="96" t="s">
        <v>1853</v>
      </c>
      <c r="B16" s="97" t="s">
        <v>1854</v>
      </c>
      <c r="C16" s="97" t="s">
        <v>1846</v>
      </c>
      <c r="D16" s="98">
        <v>1</v>
      </c>
      <c r="E16" s="98">
        <v>1</v>
      </c>
      <c r="F16" s="98">
        <v>0</v>
      </c>
      <c r="G16" s="99">
        <v>0</v>
      </c>
      <c r="H16" s="99">
        <v>0</v>
      </c>
      <c r="I16" s="99">
        <v>0</v>
      </c>
      <c r="J16" s="99">
        <v>0</v>
      </c>
      <c r="K16" s="97" t="s">
        <v>1847</v>
      </c>
      <c r="L16" s="97" t="s">
        <v>1714</v>
      </c>
      <c r="M16" s="97" t="s">
        <v>1714</v>
      </c>
      <c r="N16" s="99">
        <v>0</v>
      </c>
      <c r="O16" s="98">
        <v>0</v>
      </c>
      <c r="P16" s="97" t="s">
        <v>1720</v>
      </c>
      <c r="Q16" s="97" t="s">
        <v>1721</v>
      </c>
      <c r="R16" s="97" t="s">
        <v>1847</v>
      </c>
      <c r="S16" s="99">
        <v>0</v>
      </c>
      <c r="T16" s="98">
        <v>1</v>
      </c>
      <c r="U16" s="97" t="s">
        <v>1722</v>
      </c>
      <c r="V16" s="100">
        <v>0</v>
      </c>
      <c r="W16" s="100">
        <v>0</v>
      </c>
      <c r="X16" s="100" t="s">
        <v>1721</v>
      </c>
      <c r="Y16" s="97"/>
      <c r="Z16" s="97"/>
      <c r="AA16" s="97"/>
      <c r="AB16" s="97"/>
      <c r="AC16" s="97"/>
      <c r="AD16" s="99"/>
      <c r="AE16" s="99"/>
      <c r="AF16" s="99"/>
      <c r="AG16" s="97"/>
      <c r="AH16" s="99"/>
      <c r="AI16" s="97"/>
      <c r="AJ16" s="99"/>
      <c r="AK16" s="97"/>
      <c r="AL16" s="97"/>
      <c r="AM16" s="97"/>
      <c r="AN16" s="99"/>
      <c r="AO16" s="99"/>
      <c r="AP16" s="99"/>
      <c r="AQ16" s="97"/>
      <c r="AR16" s="99"/>
      <c r="AS16" s="97"/>
      <c r="AT16" s="99"/>
      <c r="AU16" s="97"/>
      <c r="AV16" s="97"/>
      <c r="AW16" s="97"/>
      <c r="AX16" s="99"/>
      <c r="AY16" s="99"/>
      <c r="AZ16" s="99"/>
      <c r="BA16" s="97"/>
      <c r="BB16" s="99"/>
      <c r="BC16" s="97"/>
      <c r="BD16" s="99"/>
      <c r="BE16" s="99"/>
      <c r="BF16" s="99"/>
      <c r="BG16" s="97"/>
      <c r="BH16" s="97"/>
      <c r="BI16" s="97"/>
      <c r="BJ16" s="97"/>
      <c r="BK16" s="99"/>
      <c r="BL16" s="97"/>
      <c r="BM16" s="99"/>
      <c r="BN16" s="99"/>
      <c r="BO16" s="97"/>
      <c r="BP16" s="99"/>
      <c r="BQ16" s="99"/>
      <c r="BR16" s="99"/>
      <c r="BS16" s="97"/>
      <c r="BT16" s="99"/>
      <c r="BU16" s="99"/>
      <c r="BV16" s="99"/>
      <c r="BW16" s="99"/>
      <c r="BX16" s="99"/>
      <c r="BY16" s="99"/>
      <c r="BZ16" s="99"/>
      <c r="CA16" s="99"/>
      <c r="CB16" s="99"/>
      <c r="CC16" s="99"/>
      <c r="CD16" s="99"/>
      <c r="CE16" s="99"/>
      <c r="CF16" s="99"/>
      <c r="CG16" s="97"/>
      <c r="CH16" s="97"/>
      <c r="CI16" s="97"/>
      <c r="CJ16" s="99"/>
      <c r="CK16" s="99"/>
      <c r="CL16" s="99"/>
      <c r="CM16" s="99"/>
      <c r="CN16" s="97"/>
      <c r="CO16" s="99"/>
      <c r="CP16" s="97"/>
      <c r="CQ16" s="99"/>
      <c r="CR16" s="97"/>
      <c r="CS16" s="99"/>
      <c r="CT16" s="99"/>
      <c r="CU16" s="99"/>
      <c r="CV16" s="97"/>
      <c r="CW16" s="99"/>
      <c r="CX16" s="99"/>
      <c r="CY16" s="99"/>
      <c r="CZ16" s="99"/>
      <c r="DA16" s="97"/>
      <c r="DB16" s="97"/>
      <c r="DC16" s="99"/>
      <c r="DD16" s="99"/>
      <c r="DE16" s="97"/>
      <c r="DF16" s="97"/>
      <c r="DG16" s="97"/>
      <c r="DH16" s="97"/>
      <c r="DI16" s="94" t="s">
        <v>1848</v>
      </c>
      <c r="DJ16" s="94" t="s">
        <v>1839</v>
      </c>
      <c r="DK16" s="94" t="s">
        <v>1840</v>
      </c>
      <c r="DL16" s="94" t="s">
        <v>1841</v>
      </c>
      <c r="DM16" s="94">
        <v>1</v>
      </c>
      <c r="DN16" s="94" t="s">
        <v>1726</v>
      </c>
      <c r="DO16" s="94">
        <v>10</v>
      </c>
      <c r="DP16" s="94" t="s">
        <v>1714</v>
      </c>
      <c r="DQ16" s="94">
        <v>0</v>
      </c>
      <c r="DR16" s="94" t="s">
        <v>1714</v>
      </c>
      <c r="DS16" s="95">
        <v>0</v>
      </c>
      <c r="DT16" s="108"/>
    </row>
    <row r="17" spans="1:124" ht="24.95" customHeight="1">
      <c r="A17" s="96" t="s">
        <v>1855</v>
      </c>
      <c r="B17" s="97" t="s">
        <v>1856</v>
      </c>
      <c r="C17" s="97" t="s">
        <v>1846</v>
      </c>
      <c r="D17" s="98">
        <v>1</v>
      </c>
      <c r="E17" s="98">
        <v>1</v>
      </c>
      <c r="F17" s="98">
        <v>0</v>
      </c>
      <c r="G17" s="99">
        <v>0</v>
      </c>
      <c r="H17" s="99">
        <v>0</v>
      </c>
      <c r="I17" s="99">
        <v>0</v>
      </c>
      <c r="J17" s="99">
        <v>0</v>
      </c>
      <c r="K17" s="97" t="s">
        <v>1847</v>
      </c>
      <c r="L17" s="97" t="s">
        <v>1714</v>
      </c>
      <c r="M17" s="97" t="s">
        <v>1714</v>
      </c>
      <c r="N17" s="99">
        <v>0</v>
      </c>
      <c r="O17" s="98">
        <v>0</v>
      </c>
      <c r="P17" s="97" t="s">
        <v>1720</v>
      </c>
      <c r="Q17" s="97" t="s">
        <v>1721</v>
      </c>
      <c r="R17" s="97" t="s">
        <v>1847</v>
      </c>
      <c r="S17" s="99">
        <v>0</v>
      </c>
      <c r="T17" s="98">
        <v>1</v>
      </c>
      <c r="U17" s="97" t="s">
        <v>1722</v>
      </c>
      <c r="V17" s="100">
        <v>0</v>
      </c>
      <c r="W17" s="100">
        <v>0</v>
      </c>
      <c r="X17" s="100" t="s">
        <v>1721</v>
      </c>
      <c r="Y17" s="97"/>
      <c r="Z17" s="97"/>
      <c r="AA17" s="97"/>
      <c r="AB17" s="97"/>
      <c r="AC17" s="97"/>
      <c r="AD17" s="99"/>
      <c r="AE17" s="99"/>
      <c r="AF17" s="99"/>
      <c r="AG17" s="97"/>
      <c r="AH17" s="99"/>
      <c r="AI17" s="97"/>
      <c r="AJ17" s="99"/>
      <c r="AK17" s="97"/>
      <c r="AL17" s="97"/>
      <c r="AM17" s="97"/>
      <c r="AN17" s="99"/>
      <c r="AO17" s="99"/>
      <c r="AP17" s="99"/>
      <c r="AQ17" s="97"/>
      <c r="AR17" s="99"/>
      <c r="AS17" s="97"/>
      <c r="AT17" s="99"/>
      <c r="AU17" s="97"/>
      <c r="AV17" s="97"/>
      <c r="AW17" s="97"/>
      <c r="AX17" s="99"/>
      <c r="AY17" s="99"/>
      <c r="AZ17" s="99"/>
      <c r="BA17" s="97"/>
      <c r="BB17" s="99"/>
      <c r="BC17" s="97"/>
      <c r="BD17" s="99"/>
      <c r="BE17" s="99"/>
      <c r="BF17" s="99"/>
      <c r="BG17" s="97"/>
      <c r="BH17" s="97"/>
      <c r="BI17" s="97"/>
      <c r="BJ17" s="97"/>
      <c r="BK17" s="99"/>
      <c r="BL17" s="97"/>
      <c r="BM17" s="99"/>
      <c r="BN17" s="99"/>
      <c r="BO17" s="97"/>
      <c r="BP17" s="99"/>
      <c r="BQ17" s="99"/>
      <c r="BR17" s="99"/>
      <c r="BS17" s="97"/>
      <c r="BT17" s="99"/>
      <c r="BU17" s="99"/>
      <c r="BV17" s="99"/>
      <c r="BW17" s="99"/>
      <c r="BX17" s="99"/>
      <c r="BY17" s="99"/>
      <c r="BZ17" s="99"/>
      <c r="CA17" s="99"/>
      <c r="CB17" s="99"/>
      <c r="CC17" s="99"/>
      <c r="CD17" s="99"/>
      <c r="CE17" s="99"/>
      <c r="CF17" s="99"/>
      <c r="CG17" s="97"/>
      <c r="CH17" s="97"/>
      <c r="CI17" s="97"/>
      <c r="CJ17" s="99"/>
      <c r="CK17" s="99"/>
      <c r="CL17" s="99"/>
      <c r="CM17" s="99"/>
      <c r="CN17" s="97"/>
      <c r="CO17" s="99"/>
      <c r="CP17" s="97"/>
      <c r="CQ17" s="99"/>
      <c r="CR17" s="97"/>
      <c r="CS17" s="99"/>
      <c r="CT17" s="99"/>
      <c r="CU17" s="99"/>
      <c r="CV17" s="97"/>
      <c r="CW17" s="99"/>
      <c r="CX17" s="99"/>
      <c r="CY17" s="99"/>
      <c r="CZ17" s="99"/>
      <c r="DA17" s="97"/>
      <c r="DB17" s="97"/>
      <c r="DC17" s="99"/>
      <c r="DD17" s="99"/>
      <c r="DE17" s="97"/>
      <c r="DF17" s="97"/>
      <c r="DG17" s="97"/>
      <c r="DH17" s="97"/>
      <c r="DI17" s="94" t="s">
        <v>1848</v>
      </c>
      <c r="DJ17" s="94" t="s">
        <v>1839</v>
      </c>
      <c r="DK17" s="94" t="s">
        <v>1840</v>
      </c>
      <c r="DL17" s="94" t="s">
        <v>1841</v>
      </c>
      <c r="DM17" s="94">
        <v>1</v>
      </c>
      <c r="DN17" s="94" t="s">
        <v>1709</v>
      </c>
      <c r="DO17" s="94">
        <v>10</v>
      </c>
      <c r="DP17" s="94" t="s">
        <v>1714</v>
      </c>
      <c r="DQ17" s="94">
        <v>0</v>
      </c>
      <c r="DR17" s="94" t="s">
        <v>1714</v>
      </c>
      <c r="DS17" s="95">
        <v>0</v>
      </c>
      <c r="DT17" s="108"/>
    </row>
    <row r="18" spans="1:124" ht="24.95" customHeight="1">
      <c r="A18" s="96" t="s">
        <v>1857</v>
      </c>
      <c r="B18" s="97" t="s">
        <v>1858</v>
      </c>
      <c r="C18" s="97" t="s">
        <v>1846</v>
      </c>
      <c r="D18" s="98">
        <v>1</v>
      </c>
      <c r="E18" s="98">
        <v>1</v>
      </c>
      <c r="F18" s="98">
        <v>0</v>
      </c>
      <c r="G18" s="99">
        <v>0</v>
      </c>
      <c r="H18" s="99">
        <v>0</v>
      </c>
      <c r="I18" s="99">
        <v>0</v>
      </c>
      <c r="J18" s="99">
        <v>0</v>
      </c>
      <c r="K18" s="97" t="s">
        <v>1847</v>
      </c>
      <c r="L18" s="97" t="s">
        <v>1714</v>
      </c>
      <c r="M18" s="97" t="s">
        <v>1714</v>
      </c>
      <c r="N18" s="99">
        <v>0</v>
      </c>
      <c r="O18" s="98">
        <v>0</v>
      </c>
      <c r="P18" s="97" t="s">
        <v>1720</v>
      </c>
      <c r="Q18" s="97" t="s">
        <v>1721</v>
      </c>
      <c r="R18" s="97" t="s">
        <v>1847</v>
      </c>
      <c r="S18" s="99">
        <v>0</v>
      </c>
      <c r="T18" s="98">
        <v>1</v>
      </c>
      <c r="U18" s="97" t="s">
        <v>1722</v>
      </c>
      <c r="V18" s="100">
        <v>0</v>
      </c>
      <c r="W18" s="100">
        <v>0</v>
      </c>
      <c r="X18" s="100" t="s">
        <v>1721</v>
      </c>
      <c r="Y18" s="97"/>
      <c r="Z18" s="97"/>
      <c r="AA18" s="97"/>
      <c r="AB18" s="97"/>
      <c r="AC18" s="97"/>
      <c r="AD18" s="99"/>
      <c r="AE18" s="99"/>
      <c r="AF18" s="99"/>
      <c r="AG18" s="97"/>
      <c r="AH18" s="99"/>
      <c r="AI18" s="97"/>
      <c r="AJ18" s="99"/>
      <c r="AK18" s="97"/>
      <c r="AL18" s="97"/>
      <c r="AM18" s="97"/>
      <c r="AN18" s="99"/>
      <c r="AO18" s="99"/>
      <c r="AP18" s="99"/>
      <c r="AQ18" s="97"/>
      <c r="AR18" s="99"/>
      <c r="AS18" s="97"/>
      <c r="AT18" s="99"/>
      <c r="AU18" s="97"/>
      <c r="AV18" s="97"/>
      <c r="AW18" s="97"/>
      <c r="AX18" s="99"/>
      <c r="AY18" s="99"/>
      <c r="AZ18" s="99"/>
      <c r="BA18" s="97"/>
      <c r="BB18" s="99"/>
      <c r="BC18" s="97"/>
      <c r="BD18" s="99"/>
      <c r="BE18" s="99"/>
      <c r="BF18" s="99"/>
      <c r="BG18" s="97"/>
      <c r="BH18" s="97"/>
      <c r="BI18" s="97"/>
      <c r="BJ18" s="97"/>
      <c r="BK18" s="99"/>
      <c r="BL18" s="97"/>
      <c r="BM18" s="99"/>
      <c r="BN18" s="99"/>
      <c r="BO18" s="97"/>
      <c r="BP18" s="99"/>
      <c r="BQ18" s="99"/>
      <c r="BR18" s="99"/>
      <c r="BS18" s="97"/>
      <c r="BT18" s="99"/>
      <c r="BU18" s="99"/>
      <c r="BV18" s="99"/>
      <c r="BW18" s="99"/>
      <c r="BX18" s="99"/>
      <c r="BY18" s="99"/>
      <c r="BZ18" s="99"/>
      <c r="CA18" s="99"/>
      <c r="CB18" s="99"/>
      <c r="CC18" s="99"/>
      <c r="CD18" s="99"/>
      <c r="CE18" s="99"/>
      <c r="CF18" s="99"/>
      <c r="CG18" s="97"/>
      <c r="CH18" s="97"/>
      <c r="CI18" s="97"/>
      <c r="CJ18" s="99"/>
      <c r="CK18" s="99"/>
      <c r="CL18" s="99"/>
      <c r="CM18" s="99"/>
      <c r="CN18" s="97"/>
      <c r="CO18" s="99"/>
      <c r="CP18" s="97"/>
      <c r="CQ18" s="99"/>
      <c r="CR18" s="97"/>
      <c r="CS18" s="99"/>
      <c r="CT18" s="99"/>
      <c r="CU18" s="99"/>
      <c r="CV18" s="97"/>
      <c r="CW18" s="99"/>
      <c r="CX18" s="99"/>
      <c r="CY18" s="99"/>
      <c r="CZ18" s="99"/>
      <c r="DA18" s="97"/>
      <c r="DB18" s="97"/>
      <c r="DC18" s="99"/>
      <c r="DD18" s="99"/>
      <c r="DE18" s="97"/>
      <c r="DF18" s="97"/>
      <c r="DG18" s="97"/>
      <c r="DH18" s="97"/>
      <c r="DI18" s="94" t="s">
        <v>1848</v>
      </c>
      <c r="DJ18" s="94" t="s">
        <v>1839</v>
      </c>
      <c r="DK18" s="94" t="s">
        <v>1840</v>
      </c>
      <c r="DL18" s="94" t="s">
        <v>1841</v>
      </c>
      <c r="DM18" s="94">
        <v>1</v>
      </c>
      <c r="DN18" s="94" t="s">
        <v>1737</v>
      </c>
      <c r="DO18" s="94">
        <v>10</v>
      </c>
      <c r="DP18" s="94" t="s">
        <v>1714</v>
      </c>
      <c r="DQ18" s="94">
        <v>0</v>
      </c>
      <c r="DR18" s="94" t="s">
        <v>1714</v>
      </c>
      <c r="DS18" s="95">
        <v>0</v>
      </c>
      <c r="DT18" s="108"/>
    </row>
    <row r="19" spans="1:124" ht="24.95" customHeight="1">
      <c r="A19" s="96" t="s">
        <v>1859</v>
      </c>
      <c r="B19" s="97" t="s">
        <v>1860</v>
      </c>
      <c r="C19" s="97" t="s">
        <v>1846</v>
      </c>
      <c r="D19" s="98">
        <v>1</v>
      </c>
      <c r="E19" s="98">
        <v>1</v>
      </c>
      <c r="F19" s="98">
        <v>0</v>
      </c>
      <c r="G19" s="99">
        <v>0</v>
      </c>
      <c r="H19" s="99">
        <v>0</v>
      </c>
      <c r="I19" s="99">
        <v>0</v>
      </c>
      <c r="J19" s="99">
        <v>0</v>
      </c>
      <c r="K19" s="97" t="s">
        <v>1847</v>
      </c>
      <c r="L19" s="97" t="s">
        <v>1714</v>
      </c>
      <c r="M19" s="97" t="s">
        <v>1714</v>
      </c>
      <c r="N19" s="99">
        <v>0</v>
      </c>
      <c r="O19" s="98">
        <v>0</v>
      </c>
      <c r="P19" s="97" t="s">
        <v>1720</v>
      </c>
      <c r="Q19" s="97" t="s">
        <v>1721</v>
      </c>
      <c r="R19" s="97" t="s">
        <v>1847</v>
      </c>
      <c r="S19" s="99">
        <v>0</v>
      </c>
      <c r="T19" s="98">
        <v>1</v>
      </c>
      <c r="U19" s="97" t="s">
        <v>1722</v>
      </c>
      <c r="V19" s="100">
        <v>0</v>
      </c>
      <c r="W19" s="100">
        <v>0</v>
      </c>
      <c r="X19" s="100" t="s">
        <v>1721</v>
      </c>
      <c r="Y19" s="97"/>
      <c r="Z19" s="97"/>
      <c r="AA19" s="97"/>
      <c r="AB19" s="97"/>
      <c r="AC19" s="97"/>
      <c r="AD19" s="99"/>
      <c r="AE19" s="99"/>
      <c r="AF19" s="99"/>
      <c r="AG19" s="97"/>
      <c r="AH19" s="99"/>
      <c r="AI19" s="97"/>
      <c r="AJ19" s="99"/>
      <c r="AK19" s="97"/>
      <c r="AL19" s="97"/>
      <c r="AM19" s="97"/>
      <c r="AN19" s="99"/>
      <c r="AO19" s="99"/>
      <c r="AP19" s="99"/>
      <c r="AQ19" s="97"/>
      <c r="AR19" s="99"/>
      <c r="AS19" s="97"/>
      <c r="AT19" s="99"/>
      <c r="AU19" s="97"/>
      <c r="AV19" s="97"/>
      <c r="AW19" s="97"/>
      <c r="AX19" s="99"/>
      <c r="AY19" s="99"/>
      <c r="AZ19" s="99"/>
      <c r="BA19" s="97"/>
      <c r="BB19" s="99"/>
      <c r="BC19" s="97"/>
      <c r="BD19" s="99"/>
      <c r="BE19" s="99"/>
      <c r="BF19" s="99"/>
      <c r="BG19" s="97"/>
      <c r="BH19" s="97"/>
      <c r="BI19" s="97"/>
      <c r="BJ19" s="97"/>
      <c r="BK19" s="99"/>
      <c r="BL19" s="97"/>
      <c r="BM19" s="99"/>
      <c r="BN19" s="99"/>
      <c r="BO19" s="97"/>
      <c r="BP19" s="99"/>
      <c r="BQ19" s="99"/>
      <c r="BR19" s="99"/>
      <c r="BS19" s="97"/>
      <c r="BT19" s="99"/>
      <c r="BU19" s="99"/>
      <c r="BV19" s="99"/>
      <c r="BW19" s="99"/>
      <c r="BX19" s="99"/>
      <c r="BY19" s="99"/>
      <c r="BZ19" s="99"/>
      <c r="CA19" s="99"/>
      <c r="CB19" s="99"/>
      <c r="CC19" s="99"/>
      <c r="CD19" s="99"/>
      <c r="CE19" s="99"/>
      <c r="CF19" s="99"/>
      <c r="CG19" s="97"/>
      <c r="CH19" s="97"/>
      <c r="CI19" s="97"/>
      <c r="CJ19" s="99"/>
      <c r="CK19" s="99"/>
      <c r="CL19" s="99"/>
      <c r="CM19" s="99"/>
      <c r="CN19" s="97"/>
      <c r="CO19" s="99"/>
      <c r="CP19" s="97"/>
      <c r="CQ19" s="99"/>
      <c r="CR19" s="97"/>
      <c r="CS19" s="99"/>
      <c r="CT19" s="99"/>
      <c r="CU19" s="99"/>
      <c r="CV19" s="97"/>
      <c r="CW19" s="99"/>
      <c r="CX19" s="99"/>
      <c r="CY19" s="99"/>
      <c r="CZ19" s="99"/>
      <c r="DA19" s="97"/>
      <c r="DB19" s="97"/>
      <c r="DC19" s="99"/>
      <c r="DD19" s="99"/>
      <c r="DE19" s="97"/>
      <c r="DF19" s="97"/>
      <c r="DG19" s="97"/>
      <c r="DH19" s="97"/>
      <c r="DI19" s="94" t="s">
        <v>1848</v>
      </c>
      <c r="DJ19" s="94" t="s">
        <v>1839</v>
      </c>
      <c r="DK19" s="94" t="s">
        <v>1840</v>
      </c>
      <c r="DL19" s="94" t="s">
        <v>1841</v>
      </c>
      <c r="DM19" s="94">
        <v>1</v>
      </c>
      <c r="DN19" s="94" t="s">
        <v>1861</v>
      </c>
      <c r="DO19" s="94">
        <v>10</v>
      </c>
      <c r="DP19" s="94" t="s">
        <v>1714</v>
      </c>
      <c r="DQ19" s="94">
        <v>0</v>
      </c>
      <c r="DR19" s="94" t="s">
        <v>1714</v>
      </c>
      <c r="DS19" s="95">
        <v>0</v>
      </c>
      <c r="DT19" s="108"/>
    </row>
    <row r="20" spans="1:124" ht="24.95" customHeight="1">
      <c r="A20" s="96" t="s">
        <v>1862</v>
      </c>
      <c r="B20" s="97" t="s">
        <v>1863</v>
      </c>
      <c r="C20" s="97" t="s">
        <v>1846</v>
      </c>
      <c r="D20" s="98">
        <v>1</v>
      </c>
      <c r="E20" s="98">
        <v>1</v>
      </c>
      <c r="F20" s="98">
        <v>0</v>
      </c>
      <c r="G20" s="99">
        <v>0</v>
      </c>
      <c r="H20" s="99">
        <v>0</v>
      </c>
      <c r="I20" s="99">
        <v>0</v>
      </c>
      <c r="J20" s="99">
        <v>0</v>
      </c>
      <c r="K20" s="97" t="s">
        <v>1847</v>
      </c>
      <c r="L20" s="97" t="s">
        <v>1714</v>
      </c>
      <c r="M20" s="97" t="s">
        <v>1714</v>
      </c>
      <c r="N20" s="99">
        <v>0</v>
      </c>
      <c r="O20" s="98">
        <v>0</v>
      </c>
      <c r="P20" s="97" t="s">
        <v>1720</v>
      </c>
      <c r="Q20" s="97" t="s">
        <v>1721</v>
      </c>
      <c r="R20" s="97" t="s">
        <v>1847</v>
      </c>
      <c r="S20" s="99">
        <v>0</v>
      </c>
      <c r="T20" s="98">
        <v>1</v>
      </c>
      <c r="U20" s="97" t="s">
        <v>1722</v>
      </c>
      <c r="V20" s="100">
        <v>0</v>
      </c>
      <c r="W20" s="100">
        <v>0</v>
      </c>
      <c r="X20" s="100" t="s">
        <v>1721</v>
      </c>
      <c r="Y20" s="97"/>
      <c r="Z20" s="97"/>
      <c r="AA20" s="97"/>
      <c r="AB20" s="97"/>
      <c r="AC20" s="97"/>
      <c r="AD20" s="99"/>
      <c r="AE20" s="99"/>
      <c r="AF20" s="99"/>
      <c r="AG20" s="97"/>
      <c r="AH20" s="99"/>
      <c r="AI20" s="97"/>
      <c r="AJ20" s="99"/>
      <c r="AK20" s="97"/>
      <c r="AL20" s="97"/>
      <c r="AM20" s="97"/>
      <c r="AN20" s="99"/>
      <c r="AO20" s="99"/>
      <c r="AP20" s="99"/>
      <c r="AQ20" s="97"/>
      <c r="AR20" s="99"/>
      <c r="AS20" s="97"/>
      <c r="AT20" s="99"/>
      <c r="AU20" s="97"/>
      <c r="AV20" s="97"/>
      <c r="AW20" s="97"/>
      <c r="AX20" s="99"/>
      <c r="AY20" s="99"/>
      <c r="AZ20" s="99"/>
      <c r="BA20" s="97"/>
      <c r="BB20" s="99"/>
      <c r="BC20" s="97"/>
      <c r="BD20" s="99"/>
      <c r="BE20" s="99"/>
      <c r="BF20" s="99"/>
      <c r="BG20" s="97"/>
      <c r="BH20" s="97"/>
      <c r="BI20" s="97"/>
      <c r="BJ20" s="97"/>
      <c r="BK20" s="99"/>
      <c r="BL20" s="97"/>
      <c r="BM20" s="99"/>
      <c r="BN20" s="99"/>
      <c r="BO20" s="97"/>
      <c r="BP20" s="99"/>
      <c r="BQ20" s="99"/>
      <c r="BR20" s="99"/>
      <c r="BS20" s="97"/>
      <c r="BT20" s="99"/>
      <c r="BU20" s="99"/>
      <c r="BV20" s="99"/>
      <c r="BW20" s="99"/>
      <c r="BX20" s="99"/>
      <c r="BY20" s="99"/>
      <c r="BZ20" s="99"/>
      <c r="CA20" s="99"/>
      <c r="CB20" s="99"/>
      <c r="CC20" s="99"/>
      <c r="CD20" s="99"/>
      <c r="CE20" s="99"/>
      <c r="CF20" s="99"/>
      <c r="CG20" s="97"/>
      <c r="CH20" s="97"/>
      <c r="CI20" s="97"/>
      <c r="CJ20" s="99"/>
      <c r="CK20" s="99"/>
      <c r="CL20" s="99"/>
      <c r="CM20" s="99"/>
      <c r="CN20" s="97"/>
      <c r="CO20" s="99"/>
      <c r="CP20" s="97"/>
      <c r="CQ20" s="99"/>
      <c r="CR20" s="97"/>
      <c r="CS20" s="99"/>
      <c r="CT20" s="99"/>
      <c r="CU20" s="99"/>
      <c r="CV20" s="97"/>
      <c r="CW20" s="99"/>
      <c r="CX20" s="99"/>
      <c r="CY20" s="99"/>
      <c r="CZ20" s="99"/>
      <c r="DA20" s="97"/>
      <c r="DB20" s="97"/>
      <c r="DC20" s="99"/>
      <c r="DD20" s="99"/>
      <c r="DE20" s="97"/>
      <c r="DF20" s="97"/>
      <c r="DG20" s="97"/>
      <c r="DH20" s="97"/>
      <c r="DI20" s="94" t="s">
        <v>1848</v>
      </c>
      <c r="DJ20" s="94" t="s">
        <v>1839</v>
      </c>
      <c r="DK20" s="94" t="s">
        <v>1840</v>
      </c>
      <c r="DL20" s="94" t="s">
        <v>1841</v>
      </c>
      <c r="DM20" s="94">
        <v>1</v>
      </c>
      <c r="DN20" s="94" t="s">
        <v>24</v>
      </c>
      <c r="DO20" s="94">
        <v>10</v>
      </c>
      <c r="DP20" s="94" t="s">
        <v>1714</v>
      </c>
      <c r="DQ20" s="94">
        <v>0</v>
      </c>
      <c r="DR20" s="94" t="s">
        <v>1714</v>
      </c>
      <c r="DS20" s="95">
        <v>0</v>
      </c>
      <c r="DT20" s="108"/>
    </row>
    <row r="21" spans="1:124" ht="24.95" customHeight="1">
      <c r="A21" s="96" t="s">
        <v>1864</v>
      </c>
      <c r="B21" s="97" t="s">
        <v>1865</v>
      </c>
      <c r="C21" s="97" t="s">
        <v>1846</v>
      </c>
      <c r="D21" s="98">
        <v>1</v>
      </c>
      <c r="E21" s="98">
        <v>1</v>
      </c>
      <c r="F21" s="98">
        <v>0</v>
      </c>
      <c r="G21" s="99">
        <v>0</v>
      </c>
      <c r="H21" s="99">
        <v>0</v>
      </c>
      <c r="I21" s="99">
        <v>0</v>
      </c>
      <c r="J21" s="99">
        <v>0</v>
      </c>
      <c r="K21" s="97" t="s">
        <v>1847</v>
      </c>
      <c r="L21" s="97" t="s">
        <v>1714</v>
      </c>
      <c r="M21" s="97" t="s">
        <v>1714</v>
      </c>
      <c r="N21" s="99">
        <v>0</v>
      </c>
      <c r="O21" s="98">
        <v>0</v>
      </c>
      <c r="P21" s="97" t="s">
        <v>1720</v>
      </c>
      <c r="Q21" s="97" t="s">
        <v>1721</v>
      </c>
      <c r="R21" s="97" t="s">
        <v>1847</v>
      </c>
      <c r="S21" s="99">
        <v>0</v>
      </c>
      <c r="T21" s="98">
        <v>1</v>
      </c>
      <c r="U21" s="97" t="s">
        <v>1722</v>
      </c>
      <c r="V21" s="100">
        <v>0</v>
      </c>
      <c r="W21" s="100">
        <v>0</v>
      </c>
      <c r="X21" s="100" t="s">
        <v>1721</v>
      </c>
      <c r="Y21" s="97"/>
      <c r="Z21" s="97"/>
      <c r="AA21" s="97"/>
      <c r="AB21" s="97"/>
      <c r="AC21" s="97"/>
      <c r="AD21" s="99"/>
      <c r="AE21" s="99"/>
      <c r="AF21" s="99"/>
      <c r="AG21" s="97"/>
      <c r="AH21" s="99"/>
      <c r="AI21" s="97"/>
      <c r="AJ21" s="99"/>
      <c r="AK21" s="97"/>
      <c r="AL21" s="97"/>
      <c r="AM21" s="97"/>
      <c r="AN21" s="99"/>
      <c r="AO21" s="99"/>
      <c r="AP21" s="99"/>
      <c r="AQ21" s="97"/>
      <c r="AR21" s="99"/>
      <c r="AS21" s="97"/>
      <c r="AT21" s="99"/>
      <c r="AU21" s="97"/>
      <c r="AV21" s="97"/>
      <c r="AW21" s="97"/>
      <c r="AX21" s="99"/>
      <c r="AY21" s="99"/>
      <c r="AZ21" s="99"/>
      <c r="BA21" s="97"/>
      <c r="BB21" s="99"/>
      <c r="BC21" s="97"/>
      <c r="BD21" s="99"/>
      <c r="BE21" s="99"/>
      <c r="BF21" s="99"/>
      <c r="BG21" s="97"/>
      <c r="BH21" s="97"/>
      <c r="BI21" s="97"/>
      <c r="BJ21" s="97"/>
      <c r="BK21" s="99"/>
      <c r="BL21" s="97"/>
      <c r="BM21" s="99"/>
      <c r="BN21" s="99"/>
      <c r="BO21" s="97"/>
      <c r="BP21" s="99"/>
      <c r="BQ21" s="99"/>
      <c r="BR21" s="99"/>
      <c r="BS21" s="97"/>
      <c r="BT21" s="99"/>
      <c r="BU21" s="99"/>
      <c r="BV21" s="99"/>
      <c r="BW21" s="99"/>
      <c r="BX21" s="99"/>
      <c r="BY21" s="99"/>
      <c r="BZ21" s="99"/>
      <c r="CA21" s="99"/>
      <c r="CB21" s="99"/>
      <c r="CC21" s="99"/>
      <c r="CD21" s="99"/>
      <c r="CE21" s="99"/>
      <c r="CF21" s="99"/>
      <c r="CG21" s="97"/>
      <c r="CH21" s="97"/>
      <c r="CI21" s="97"/>
      <c r="CJ21" s="99"/>
      <c r="CK21" s="99"/>
      <c r="CL21" s="99"/>
      <c r="CM21" s="99"/>
      <c r="CN21" s="97"/>
      <c r="CO21" s="99"/>
      <c r="CP21" s="97"/>
      <c r="CQ21" s="99"/>
      <c r="CR21" s="97"/>
      <c r="CS21" s="99"/>
      <c r="CT21" s="99"/>
      <c r="CU21" s="99"/>
      <c r="CV21" s="97"/>
      <c r="CW21" s="99"/>
      <c r="CX21" s="99"/>
      <c r="CY21" s="99"/>
      <c r="CZ21" s="99"/>
      <c r="DA21" s="97"/>
      <c r="DB21" s="97"/>
      <c r="DC21" s="99"/>
      <c r="DD21" s="99"/>
      <c r="DE21" s="97"/>
      <c r="DF21" s="97"/>
      <c r="DG21" s="97"/>
      <c r="DH21" s="97"/>
      <c r="DI21" s="94" t="s">
        <v>1848</v>
      </c>
      <c r="DJ21" s="94" t="s">
        <v>1839</v>
      </c>
      <c r="DK21" s="94" t="s">
        <v>1840</v>
      </c>
      <c r="DL21" s="94" t="s">
        <v>1841</v>
      </c>
      <c r="DM21" s="94">
        <v>1</v>
      </c>
      <c r="DN21" s="94" t="s">
        <v>25</v>
      </c>
      <c r="DO21" s="94">
        <v>10</v>
      </c>
      <c r="DP21" s="94" t="s">
        <v>1714</v>
      </c>
      <c r="DQ21" s="94">
        <v>0</v>
      </c>
      <c r="DR21" s="94" t="s">
        <v>1714</v>
      </c>
      <c r="DS21" s="95">
        <v>0</v>
      </c>
      <c r="DT21" s="108"/>
    </row>
    <row r="22" spans="1:124" ht="24.95" customHeight="1">
      <c r="A22" s="96" t="s">
        <v>1866</v>
      </c>
      <c r="B22" s="97" t="s">
        <v>1867</v>
      </c>
      <c r="C22" s="97" t="s">
        <v>1846</v>
      </c>
      <c r="D22" s="98">
        <v>1</v>
      </c>
      <c r="E22" s="98">
        <v>1</v>
      </c>
      <c r="F22" s="98">
        <v>0</v>
      </c>
      <c r="G22" s="99">
        <v>0</v>
      </c>
      <c r="H22" s="99">
        <v>0</v>
      </c>
      <c r="I22" s="99">
        <v>0</v>
      </c>
      <c r="J22" s="99">
        <v>0</v>
      </c>
      <c r="K22" s="97" t="s">
        <v>1847</v>
      </c>
      <c r="L22" s="97" t="s">
        <v>1714</v>
      </c>
      <c r="M22" s="97" t="s">
        <v>1714</v>
      </c>
      <c r="N22" s="99">
        <v>0</v>
      </c>
      <c r="O22" s="98">
        <v>0</v>
      </c>
      <c r="P22" s="97" t="s">
        <v>1720</v>
      </c>
      <c r="Q22" s="97" t="s">
        <v>1721</v>
      </c>
      <c r="R22" s="97" t="s">
        <v>1847</v>
      </c>
      <c r="S22" s="99">
        <v>0</v>
      </c>
      <c r="T22" s="98">
        <v>1</v>
      </c>
      <c r="U22" s="97" t="s">
        <v>1722</v>
      </c>
      <c r="V22" s="100">
        <v>0</v>
      </c>
      <c r="W22" s="100">
        <v>0</v>
      </c>
      <c r="X22" s="100" t="s">
        <v>1721</v>
      </c>
      <c r="Y22" s="97"/>
      <c r="Z22" s="97"/>
      <c r="AA22" s="97"/>
      <c r="AB22" s="97"/>
      <c r="AC22" s="97"/>
      <c r="AD22" s="99"/>
      <c r="AE22" s="99"/>
      <c r="AF22" s="99"/>
      <c r="AG22" s="97"/>
      <c r="AH22" s="99"/>
      <c r="AI22" s="97"/>
      <c r="AJ22" s="99"/>
      <c r="AK22" s="97"/>
      <c r="AL22" s="97"/>
      <c r="AM22" s="97"/>
      <c r="AN22" s="99"/>
      <c r="AO22" s="99"/>
      <c r="AP22" s="99"/>
      <c r="AQ22" s="97"/>
      <c r="AR22" s="99"/>
      <c r="AS22" s="97"/>
      <c r="AT22" s="99"/>
      <c r="AU22" s="97"/>
      <c r="AV22" s="97"/>
      <c r="AW22" s="97"/>
      <c r="AX22" s="99"/>
      <c r="AY22" s="99"/>
      <c r="AZ22" s="99"/>
      <c r="BA22" s="97"/>
      <c r="BB22" s="99"/>
      <c r="BC22" s="97"/>
      <c r="BD22" s="99"/>
      <c r="BE22" s="99"/>
      <c r="BF22" s="99"/>
      <c r="BG22" s="97"/>
      <c r="BH22" s="97"/>
      <c r="BI22" s="97"/>
      <c r="BJ22" s="97"/>
      <c r="BK22" s="99"/>
      <c r="BL22" s="97"/>
      <c r="BM22" s="99"/>
      <c r="BN22" s="99"/>
      <c r="BO22" s="97"/>
      <c r="BP22" s="99"/>
      <c r="BQ22" s="99"/>
      <c r="BR22" s="99"/>
      <c r="BS22" s="97"/>
      <c r="BT22" s="99"/>
      <c r="BU22" s="99"/>
      <c r="BV22" s="99"/>
      <c r="BW22" s="99"/>
      <c r="BX22" s="99"/>
      <c r="BY22" s="99"/>
      <c r="BZ22" s="99"/>
      <c r="CA22" s="99"/>
      <c r="CB22" s="99"/>
      <c r="CC22" s="99"/>
      <c r="CD22" s="99"/>
      <c r="CE22" s="99"/>
      <c r="CF22" s="99"/>
      <c r="CG22" s="97"/>
      <c r="CH22" s="97"/>
      <c r="CI22" s="97"/>
      <c r="CJ22" s="99"/>
      <c r="CK22" s="99"/>
      <c r="CL22" s="99"/>
      <c r="CM22" s="99"/>
      <c r="CN22" s="97"/>
      <c r="CO22" s="99"/>
      <c r="CP22" s="97"/>
      <c r="CQ22" s="99"/>
      <c r="CR22" s="97"/>
      <c r="CS22" s="99"/>
      <c r="CT22" s="99"/>
      <c r="CU22" s="99"/>
      <c r="CV22" s="97"/>
      <c r="CW22" s="99"/>
      <c r="CX22" s="99"/>
      <c r="CY22" s="99"/>
      <c r="CZ22" s="99"/>
      <c r="DA22" s="97"/>
      <c r="DB22" s="97"/>
      <c r="DC22" s="99"/>
      <c r="DD22" s="99"/>
      <c r="DE22" s="97"/>
      <c r="DF22" s="97"/>
      <c r="DG22" s="97"/>
      <c r="DH22" s="97"/>
      <c r="DI22" s="94" t="s">
        <v>1848</v>
      </c>
      <c r="DJ22" s="94" t="s">
        <v>1839</v>
      </c>
      <c r="DK22" s="94" t="s">
        <v>1840</v>
      </c>
      <c r="DL22" s="94" t="s">
        <v>1841</v>
      </c>
      <c r="DM22" s="94">
        <v>1</v>
      </c>
      <c r="DN22" s="94" t="s">
        <v>26</v>
      </c>
      <c r="DO22" s="94">
        <v>10</v>
      </c>
      <c r="DP22" s="94" t="s">
        <v>1714</v>
      </c>
      <c r="DQ22" s="94">
        <v>0</v>
      </c>
      <c r="DR22" s="94" t="s">
        <v>1714</v>
      </c>
      <c r="DS22" s="95">
        <v>0</v>
      </c>
      <c r="DT22" s="108"/>
    </row>
    <row r="23" spans="1:124" ht="24.95" customHeight="1">
      <c r="A23" s="96" t="s">
        <v>1868</v>
      </c>
      <c r="B23" s="97" t="s">
        <v>1869</v>
      </c>
      <c r="C23" s="97" t="s">
        <v>1846</v>
      </c>
      <c r="D23" s="98">
        <v>1</v>
      </c>
      <c r="E23" s="98">
        <v>1</v>
      </c>
      <c r="F23" s="98">
        <v>0</v>
      </c>
      <c r="G23" s="99">
        <v>0</v>
      </c>
      <c r="H23" s="99">
        <v>0</v>
      </c>
      <c r="I23" s="99">
        <v>0</v>
      </c>
      <c r="J23" s="99">
        <v>0</v>
      </c>
      <c r="K23" s="97" t="s">
        <v>1847</v>
      </c>
      <c r="L23" s="97" t="s">
        <v>1714</v>
      </c>
      <c r="M23" s="97" t="s">
        <v>1714</v>
      </c>
      <c r="N23" s="99">
        <v>0</v>
      </c>
      <c r="O23" s="98">
        <v>0</v>
      </c>
      <c r="P23" s="97" t="s">
        <v>1720</v>
      </c>
      <c r="Q23" s="97" t="s">
        <v>1721</v>
      </c>
      <c r="R23" s="97" t="s">
        <v>1847</v>
      </c>
      <c r="S23" s="99">
        <v>0</v>
      </c>
      <c r="T23" s="98">
        <v>1</v>
      </c>
      <c r="U23" s="97" t="s">
        <v>1722</v>
      </c>
      <c r="V23" s="100">
        <v>0</v>
      </c>
      <c r="W23" s="100">
        <v>0</v>
      </c>
      <c r="X23" s="100" t="s">
        <v>1721</v>
      </c>
      <c r="Y23" s="97"/>
      <c r="Z23" s="97"/>
      <c r="AA23" s="97"/>
      <c r="AB23" s="97"/>
      <c r="AC23" s="97"/>
      <c r="AD23" s="99"/>
      <c r="AE23" s="99"/>
      <c r="AF23" s="99"/>
      <c r="AG23" s="97"/>
      <c r="AH23" s="99"/>
      <c r="AI23" s="97"/>
      <c r="AJ23" s="99"/>
      <c r="AK23" s="97"/>
      <c r="AL23" s="97"/>
      <c r="AM23" s="97"/>
      <c r="AN23" s="99"/>
      <c r="AO23" s="99"/>
      <c r="AP23" s="99"/>
      <c r="AQ23" s="97"/>
      <c r="AR23" s="99"/>
      <c r="AS23" s="97"/>
      <c r="AT23" s="99"/>
      <c r="AU23" s="97"/>
      <c r="AV23" s="97"/>
      <c r="AW23" s="97"/>
      <c r="AX23" s="99"/>
      <c r="AY23" s="99"/>
      <c r="AZ23" s="99"/>
      <c r="BA23" s="97"/>
      <c r="BB23" s="99"/>
      <c r="BC23" s="97"/>
      <c r="BD23" s="99"/>
      <c r="BE23" s="99"/>
      <c r="BF23" s="99"/>
      <c r="BG23" s="97"/>
      <c r="BH23" s="97"/>
      <c r="BI23" s="97"/>
      <c r="BJ23" s="97"/>
      <c r="BK23" s="99"/>
      <c r="BL23" s="97"/>
      <c r="BM23" s="99"/>
      <c r="BN23" s="99"/>
      <c r="BO23" s="97"/>
      <c r="BP23" s="99"/>
      <c r="BQ23" s="99"/>
      <c r="BR23" s="99"/>
      <c r="BS23" s="97"/>
      <c r="BT23" s="99"/>
      <c r="BU23" s="99"/>
      <c r="BV23" s="99"/>
      <c r="BW23" s="99"/>
      <c r="BX23" s="99"/>
      <c r="BY23" s="99"/>
      <c r="BZ23" s="99"/>
      <c r="CA23" s="99"/>
      <c r="CB23" s="99"/>
      <c r="CC23" s="99"/>
      <c r="CD23" s="99"/>
      <c r="CE23" s="99"/>
      <c r="CF23" s="99"/>
      <c r="CG23" s="97"/>
      <c r="CH23" s="97"/>
      <c r="CI23" s="97"/>
      <c r="CJ23" s="99"/>
      <c r="CK23" s="99"/>
      <c r="CL23" s="99"/>
      <c r="CM23" s="99"/>
      <c r="CN23" s="97"/>
      <c r="CO23" s="99"/>
      <c r="CP23" s="97"/>
      <c r="CQ23" s="99"/>
      <c r="CR23" s="97"/>
      <c r="CS23" s="99"/>
      <c r="CT23" s="99"/>
      <c r="CU23" s="99"/>
      <c r="CV23" s="97"/>
      <c r="CW23" s="99"/>
      <c r="CX23" s="99"/>
      <c r="CY23" s="99"/>
      <c r="CZ23" s="99"/>
      <c r="DA23" s="97"/>
      <c r="DB23" s="97"/>
      <c r="DC23" s="99"/>
      <c r="DD23" s="99"/>
      <c r="DE23" s="97"/>
      <c r="DF23" s="97"/>
      <c r="DG23" s="97"/>
      <c r="DH23" s="97"/>
      <c r="DI23" s="94" t="s">
        <v>1848</v>
      </c>
      <c r="DJ23" s="94" t="s">
        <v>1839</v>
      </c>
      <c r="DK23" s="94" t="s">
        <v>1840</v>
      </c>
      <c r="DL23" s="94" t="s">
        <v>1841</v>
      </c>
      <c r="DM23" s="94">
        <v>1</v>
      </c>
      <c r="DN23" s="94" t="s">
        <v>1870</v>
      </c>
      <c r="DO23" s="94">
        <v>10</v>
      </c>
      <c r="DP23" s="94" t="s">
        <v>1714</v>
      </c>
      <c r="DQ23" s="94">
        <v>0</v>
      </c>
      <c r="DR23" s="94" t="s">
        <v>1714</v>
      </c>
      <c r="DS23" s="95">
        <v>0</v>
      </c>
      <c r="DT23" s="108"/>
    </row>
    <row r="24" spans="1:124" ht="24.95" customHeight="1">
      <c r="A24" s="96" t="s">
        <v>1871</v>
      </c>
      <c r="B24" s="97" t="s">
        <v>1872</v>
      </c>
      <c r="C24" s="97" t="s">
        <v>1846</v>
      </c>
      <c r="D24" s="98">
        <v>1</v>
      </c>
      <c r="E24" s="98">
        <v>1</v>
      </c>
      <c r="F24" s="98">
        <v>0</v>
      </c>
      <c r="G24" s="99">
        <v>0</v>
      </c>
      <c r="H24" s="99">
        <v>0</v>
      </c>
      <c r="I24" s="99">
        <v>0</v>
      </c>
      <c r="J24" s="99">
        <v>0</v>
      </c>
      <c r="K24" s="97" t="s">
        <v>1847</v>
      </c>
      <c r="L24" s="97" t="s">
        <v>1714</v>
      </c>
      <c r="M24" s="97" t="s">
        <v>1714</v>
      </c>
      <c r="N24" s="99">
        <v>0</v>
      </c>
      <c r="O24" s="98">
        <v>0</v>
      </c>
      <c r="P24" s="97" t="s">
        <v>1720</v>
      </c>
      <c r="Q24" s="97" t="s">
        <v>1721</v>
      </c>
      <c r="R24" s="97" t="s">
        <v>1847</v>
      </c>
      <c r="S24" s="99">
        <v>0</v>
      </c>
      <c r="T24" s="98">
        <v>1</v>
      </c>
      <c r="U24" s="97" t="s">
        <v>1722</v>
      </c>
      <c r="V24" s="100">
        <v>0</v>
      </c>
      <c r="W24" s="100">
        <v>0</v>
      </c>
      <c r="X24" s="100" t="s">
        <v>1721</v>
      </c>
      <c r="Y24" s="97"/>
      <c r="Z24" s="97"/>
      <c r="AA24" s="97"/>
      <c r="AB24" s="97"/>
      <c r="AC24" s="97"/>
      <c r="AD24" s="99"/>
      <c r="AE24" s="99"/>
      <c r="AF24" s="99"/>
      <c r="AG24" s="97"/>
      <c r="AH24" s="99"/>
      <c r="AI24" s="97"/>
      <c r="AJ24" s="99"/>
      <c r="AK24" s="97"/>
      <c r="AL24" s="97"/>
      <c r="AM24" s="97"/>
      <c r="AN24" s="99"/>
      <c r="AO24" s="99"/>
      <c r="AP24" s="99"/>
      <c r="AQ24" s="97"/>
      <c r="AR24" s="99"/>
      <c r="AS24" s="97"/>
      <c r="AT24" s="99"/>
      <c r="AU24" s="97"/>
      <c r="AV24" s="97"/>
      <c r="AW24" s="97"/>
      <c r="AX24" s="99"/>
      <c r="AY24" s="99"/>
      <c r="AZ24" s="99"/>
      <c r="BA24" s="97"/>
      <c r="BB24" s="99"/>
      <c r="BC24" s="97"/>
      <c r="BD24" s="99"/>
      <c r="BE24" s="99"/>
      <c r="BF24" s="99"/>
      <c r="BG24" s="97"/>
      <c r="BH24" s="97"/>
      <c r="BI24" s="97"/>
      <c r="BJ24" s="97"/>
      <c r="BK24" s="99"/>
      <c r="BL24" s="97"/>
      <c r="BM24" s="99"/>
      <c r="BN24" s="99"/>
      <c r="BO24" s="97"/>
      <c r="BP24" s="99"/>
      <c r="BQ24" s="99"/>
      <c r="BR24" s="99"/>
      <c r="BS24" s="97"/>
      <c r="BT24" s="99"/>
      <c r="BU24" s="99"/>
      <c r="BV24" s="99"/>
      <c r="BW24" s="99"/>
      <c r="BX24" s="99"/>
      <c r="BY24" s="99"/>
      <c r="BZ24" s="99"/>
      <c r="CA24" s="99"/>
      <c r="CB24" s="99"/>
      <c r="CC24" s="99"/>
      <c r="CD24" s="99"/>
      <c r="CE24" s="99"/>
      <c r="CF24" s="99"/>
      <c r="CG24" s="97"/>
      <c r="CH24" s="97"/>
      <c r="CI24" s="97"/>
      <c r="CJ24" s="99"/>
      <c r="CK24" s="99"/>
      <c r="CL24" s="99"/>
      <c r="CM24" s="99"/>
      <c r="CN24" s="97"/>
      <c r="CO24" s="99"/>
      <c r="CP24" s="97"/>
      <c r="CQ24" s="99"/>
      <c r="CR24" s="97"/>
      <c r="CS24" s="99"/>
      <c r="CT24" s="99"/>
      <c r="CU24" s="99"/>
      <c r="CV24" s="97"/>
      <c r="CW24" s="99"/>
      <c r="CX24" s="99"/>
      <c r="CY24" s="99"/>
      <c r="CZ24" s="99"/>
      <c r="DA24" s="97"/>
      <c r="DB24" s="97"/>
      <c r="DC24" s="99"/>
      <c r="DD24" s="99"/>
      <c r="DE24" s="97"/>
      <c r="DF24" s="97"/>
      <c r="DG24" s="97"/>
      <c r="DH24" s="97"/>
      <c r="DI24" s="94" t="s">
        <v>1848</v>
      </c>
      <c r="DJ24" s="94" t="s">
        <v>1839</v>
      </c>
      <c r="DK24" s="94" t="s">
        <v>1840</v>
      </c>
      <c r="DL24" s="94" t="s">
        <v>1841</v>
      </c>
      <c r="DM24" s="94">
        <v>1</v>
      </c>
      <c r="DN24" s="94" t="s">
        <v>1873</v>
      </c>
      <c r="DO24" s="94">
        <v>10</v>
      </c>
      <c r="DP24" s="94" t="s">
        <v>1714</v>
      </c>
      <c r="DQ24" s="94">
        <v>0</v>
      </c>
      <c r="DR24" s="94" t="s">
        <v>1714</v>
      </c>
      <c r="DS24" s="95">
        <v>0</v>
      </c>
      <c r="DT24" s="108"/>
    </row>
    <row r="25" spans="1:124" ht="24.95" customHeight="1">
      <c r="A25" s="96" t="s">
        <v>1874</v>
      </c>
      <c r="B25" s="97" t="s">
        <v>1875</v>
      </c>
      <c r="C25" s="97" t="s">
        <v>1846</v>
      </c>
      <c r="D25" s="98">
        <v>1</v>
      </c>
      <c r="E25" s="98">
        <v>1</v>
      </c>
      <c r="F25" s="98">
        <v>0</v>
      </c>
      <c r="G25" s="99">
        <v>0</v>
      </c>
      <c r="H25" s="99">
        <v>0</v>
      </c>
      <c r="I25" s="99">
        <v>0</v>
      </c>
      <c r="J25" s="99">
        <v>0</v>
      </c>
      <c r="K25" s="97" t="s">
        <v>1847</v>
      </c>
      <c r="L25" s="97" t="s">
        <v>1714</v>
      </c>
      <c r="M25" s="97" t="s">
        <v>1714</v>
      </c>
      <c r="N25" s="99">
        <v>0</v>
      </c>
      <c r="O25" s="98">
        <v>0</v>
      </c>
      <c r="P25" s="97" t="s">
        <v>1720</v>
      </c>
      <c r="Q25" s="97" t="s">
        <v>1721</v>
      </c>
      <c r="R25" s="97" t="s">
        <v>1847</v>
      </c>
      <c r="S25" s="99">
        <v>0</v>
      </c>
      <c r="T25" s="98">
        <v>1</v>
      </c>
      <c r="U25" s="97" t="s">
        <v>1722</v>
      </c>
      <c r="V25" s="100">
        <v>0</v>
      </c>
      <c r="W25" s="100">
        <v>0</v>
      </c>
      <c r="X25" s="100" t="s">
        <v>1721</v>
      </c>
      <c r="Y25" s="97"/>
      <c r="Z25" s="97"/>
      <c r="AA25" s="97"/>
      <c r="AB25" s="97"/>
      <c r="AC25" s="97"/>
      <c r="AD25" s="99"/>
      <c r="AE25" s="99"/>
      <c r="AF25" s="99"/>
      <c r="AG25" s="97"/>
      <c r="AH25" s="99"/>
      <c r="AI25" s="97"/>
      <c r="AJ25" s="99"/>
      <c r="AK25" s="97"/>
      <c r="AL25" s="97"/>
      <c r="AM25" s="97"/>
      <c r="AN25" s="99"/>
      <c r="AO25" s="99"/>
      <c r="AP25" s="99"/>
      <c r="AQ25" s="97"/>
      <c r="AR25" s="99"/>
      <c r="AS25" s="97"/>
      <c r="AT25" s="99"/>
      <c r="AU25" s="97"/>
      <c r="AV25" s="97"/>
      <c r="AW25" s="97"/>
      <c r="AX25" s="99"/>
      <c r="AY25" s="99"/>
      <c r="AZ25" s="99"/>
      <c r="BA25" s="97"/>
      <c r="BB25" s="99"/>
      <c r="BC25" s="97"/>
      <c r="BD25" s="99"/>
      <c r="BE25" s="99"/>
      <c r="BF25" s="99"/>
      <c r="BG25" s="97"/>
      <c r="BH25" s="97"/>
      <c r="BI25" s="97"/>
      <c r="BJ25" s="97"/>
      <c r="BK25" s="99"/>
      <c r="BL25" s="97"/>
      <c r="BM25" s="99"/>
      <c r="BN25" s="99"/>
      <c r="BO25" s="97"/>
      <c r="BP25" s="99"/>
      <c r="BQ25" s="99"/>
      <c r="BR25" s="99"/>
      <c r="BS25" s="97"/>
      <c r="BT25" s="99"/>
      <c r="BU25" s="99"/>
      <c r="BV25" s="99"/>
      <c r="BW25" s="99"/>
      <c r="BX25" s="99"/>
      <c r="BY25" s="99"/>
      <c r="BZ25" s="99"/>
      <c r="CA25" s="99"/>
      <c r="CB25" s="99"/>
      <c r="CC25" s="99"/>
      <c r="CD25" s="99"/>
      <c r="CE25" s="99"/>
      <c r="CF25" s="99"/>
      <c r="CG25" s="97"/>
      <c r="CH25" s="97"/>
      <c r="CI25" s="97"/>
      <c r="CJ25" s="99"/>
      <c r="CK25" s="99"/>
      <c r="CL25" s="99"/>
      <c r="CM25" s="99"/>
      <c r="CN25" s="97"/>
      <c r="CO25" s="99"/>
      <c r="CP25" s="97"/>
      <c r="CQ25" s="99"/>
      <c r="CR25" s="97"/>
      <c r="CS25" s="99"/>
      <c r="CT25" s="99"/>
      <c r="CU25" s="99"/>
      <c r="CV25" s="97"/>
      <c r="CW25" s="99"/>
      <c r="CX25" s="99"/>
      <c r="CY25" s="99"/>
      <c r="CZ25" s="99"/>
      <c r="DA25" s="97"/>
      <c r="DB25" s="97"/>
      <c r="DC25" s="99"/>
      <c r="DD25" s="99"/>
      <c r="DE25" s="97"/>
      <c r="DF25" s="97"/>
      <c r="DG25" s="97"/>
      <c r="DH25" s="97"/>
      <c r="DI25" s="94" t="s">
        <v>1848</v>
      </c>
      <c r="DJ25" s="94" t="s">
        <v>1839</v>
      </c>
      <c r="DK25" s="94" t="s">
        <v>1840</v>
      </c>
      <c r="DL25" s="94" t="s">
        <v>1841</v>
      </c>
      <c r="DM25" s="94">
        <v>1</v>
      </c>
      <c r="DN25" s="94" t="s">
        <v>1876</v>
      </c>
      <c r="DO25" s="94">
        <v>10</v>
      </c>
      <c r="DP25" s="94" t="s">
        <v>1714</v>
      </c>
      <c r="DQ25" s="94">
        <v>0</v>
      </c>
      <c r="DR25" s="94" t="s">
        <v>1714</v>
      </c>
      <c r="DS25" s="95">
        <v>0</v>
      </c>
      <c r="DT25" s="108"/>
    </row>
    <row r="26" spans="1:124" ht="24.95" customHeight="1">
      <c r="A26" s="96" t="s">
        <v>1877</v>
      </c>
      <c r="B26" s="97" t="s">
        <v>1878</v>
      </c>
      <c r="C26" s="97" t="s">
        <v>1846</v>
      </c>
      <c r="D26" s="98">
        <v>1</v>
      </c>
      <c r="E26" s="98">
        <v>1</v>
      </c>
      <c r="F26" s="98">
        <v>0</v>
      </c>
      <c r="G26" s="99">
        <v>0</v>
      </c>
      <c r="H26" s="99">
        <v>0</v>
      </c>
      <c r="I26" s="99">
        <v>0</v>
      </c>
      <c r="J26" s="99">
        <v>0</v>
      </c>
      <c r="K26" s="97" t="s">
        <v>1847</v>
      </c>
      <c r="L26" s="97" t="s">
        <v>1714</v>
      </c>
      <c r="M26" s="97" t="s">
        <v>1714</v>
      </c>
      <c r="N26" s="99">
        <v>0</v>
      </c>
      <c r="O26" s="98">
        <v>0</v>
      </c>
      <c r="P26" s="97" t="s">
        <v>1720</v>
      </c>
      <c r="Q26" s="97" t="s">
        <v>1721</v>
      </c>
      <c r="R26" s="97" t="s">
        <v>1847</v>
      </c>
      <c r="S26" s="99">
        <v>0</v>
      </c>
      <c r="T26" s="98">
        <v>1</v>
      </c>
      <c r="U26" s="97" t="s">
        <v>1722</v>
      </c>
      <c r="V26" s="100">
        <v>0</v>
      </c>
      <c r="W26" s="100">
        <v>0</v>
      </c>
      <c r="X26" s="100" t="s">
        <v>1721</v>
      </c>
      <c r="Y26" s="97"/>
      <c r="Z26" s="97"/>
      <c r="AA26" s="97"/>
      <c r="AB26" s="97"/>
      <c r="AC26" s="97"/>
      <c r="AD26" s="99"/>
      <c r="AE26" s="99"/>
      <c r="AF26" s="99"/>
      <c r="AG26" s="97"/>
      <c r="AH26" s="99"/>
      <c r="AI26" s="97"/>
      <c r="AJ26" s="99"/>
      <c r="AK26" s="97"/>
      <c r="AL26" s="97"/>
      <c r="AM26" s="97"/>
      <c r="AN26" s="99"/>
      <c r="AO26" s="99"/>
      <c r="AP26" s="99"/>
      <c r="AQ26" s="97"/>
      <c r="AR26" s="99"/>
      <c r="AS26" s="97"/>
      <c r="AT26" s="99"/>
      <c r="AU26" s="97"/>
      <c r="AV26" s="97"/>
      <c r="AW26" s="97"/>
      <c r="AX26" s="99"/>
      <c r="AY26" s="99"/>
      <c r="AZ26" s="99"/>
      <c r="BA26" s="97"/>
      <c r="BB26" s="99"/>
      <c r="BC26" s="97"/>
      <c r="BD26" s="99"/>
      <c r="BE26" s="99"/>
      <c r="BF26" s="99"/>
      <c r="BG26" s="97"/>
      <c r="BH26" s="97"/>
      <c r="BI26" s="97"/>
      <c r="BJ26" s="97"/>
      <c r="BK26" s="99"/>
      <c r="BL26" s="97"/>
      <c r="BM26" s="99"/>
      <c r="BN26" s="99"/>
      <c r="BO26" s="97"/>
      <c r="BP26" s="99"/>
      <c r="BQ26" s="99"/>
      <c r="BR26" s="99"/>
      <c r="BS26" s="97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7"/>
      <c r="CH26" s="97"/>
      <c r="CI26" s="97"/>
      <c r="CJ26" s="99"/>
      <c r="CK26" s="99"/>
      <c r="CL26" s="99"/>
      <c r="CM26" s="99"/>
      <c r="CN26" s="97"/>
      <c r="CO26" s="99"/>
      <c r="CP26" s="97"/>
      <c r="CQ26" s="99"/>
      <c r="CR26" s="97"/>
      <c r="CS26" s="99"/>
      <c r="CT26" s="99"/>
      <c r="CU26" s="99"/>
      <c r="CV26" s="97"/>
      <c r="CW26" s="99"/>
      <c r="CX26" s="99"/>
      <c r="CY26" s="99"/>
      <c r="CZ26" s="99"/>
      <c r="DA26" s="97"/>
      <c r="DB26" s="97"/>
      <c r="DC26" s="99"/>
      <c r="DD26" s="99"/>
      <c r="DE26" s="97"/>
      <c r="DF26" s="97"/>
      <c r="DG26" s="97"/>
      <c r="DH26" s="97"/>
      <c r="DI26" s="94" t="s">
        <v>1848</v>
      </c>
      <c r="DJ26" s="94" t="s">
        <v>1839</v>
      </c>
      <c r="DK26" s="94" t="s">
        <v>1840</v>
      </c>
      <c r="DL26" s="94" t="s">
        <v>1841</v>
      </c>
      <c r="DM26" s="94">
        <v>1</v>
      </c>
      <c r="DN26" s="94" t="s">
        <v>1879</v>
      </c>
      <c r="DO26" s="94">
        <v>10</v>
      </c>
      <c r="DP26" s="94" t="s">
        <v>1714</v>
      </c>
      <c r="DQ26" s="94">
        <v>0</v>
      </c>
      <c r="DR26" s="94" t="s">
        <v>1714</v>
      </c>
      <c r="DS26" s="95">
        <v>0</v>
      </c>
      <c r="DT26" s="108"/>
    </row>
    <row r="27" spans="1:124" ht="24.95" customHeight="1">
      <c r="A27" s="96" t="s">
        <v>1880</v>
      </c>
      <c r="B27" s="97" t="s">
        <v>1881</v>
      </c>
      <c r="C27" s="97" t="s">
        <v>1846</v>
      </c>
      <c r="D27" s="98">
        <v>1</v>
      </c>
      <c r="E27" s="98">
        <v>1</v>
      </c>
      <c r="F27" s="98">
        <v>0</v>
      </c>
      <c r="G27" s="99">
        <v>0</v>
      </c>
      <c r="H27" s="99">
        <v>0</v>
      </c>
      <c r="I27" s="99">
        <v>0</v>
      </c>
      <c r="J27" s="99">
        <v>0</v>
      </c>
      <c r="K27" s="97" t="s">
        <v>1847</v>
      </c>
      <c r="L27" s="97" t="s">
        <v>1714</v>
      </c>
      <c r="M27" s="97" t="s">
        <v>1714</v>
      </c>
      <c r="N27" s="99">
        <v>0</v>
      </c>
      <c r="O27" s="98">
        <v>0</v>
      </c>
      <c r="P27" s="97" t="s">
        <v>1720</v>
      </c>
      <c r="Q27" s="97" t="s">
        <v>1721</v>
      </c>
      <c r="R27" s="97" t="s">
        <v>1847</v>
      </c>
      <c r="S27" s="99">
        <v>0</v>
      </c>
      <c r="T27" s="98">
        <v>1</v>
      </c>
      <c r="U27" s="97" t="s">
        <v>1722</v>
      </c>
      <c r="V27" s="100">
        <v>0</v>
      </c>
      <c r="W27" s="100">
        <v>0</v>
      </c>
      <c r="X27" s="100" t="s">
        <v>1721</v>
      </c>
      <c r="Y27" s="97"/>
      <c r="Z27" s="97"/>
      <c r="AA27" s="97"/>
      <c r="AB27" s="97"/>
      <c r="AC27" s="97"/>
      <c r="AD27" s="99"/>
      <c r="AE27" s="99"/>
      <c r="AF27" s="99"/>
      <c r="AG27" s="97"/>
      <c r="AH27" s="99"/>
      <c r="AI27" s="97"/>
      <c r="AJ27" s="99"/>
      <c r="AK27" s="97"/>
      <c r="AL27" s="97"/>
      <c r="AM27" s="97"/>
      <c r="AN27" s="99"/>
      <c r="AO27" s="99"/>
      <c r="AP27" s="99"/>
      <c r="AQ27" s="97"/>
      <c r="AR27" s="99"/>
      <c r="AS27" s="97"/>
      <c r="AT27" s="99"/>
      <c r="AU27" s="97"/>
      <c r="AV27" s="97"/>
      <c r="AW27" s="97"/>
      <c r="AX27" s="99"/>
      <c r="AY27" s="99"/>
      <c r="AZ27" s="99"/>
      <c r="BA27" s="97"/>
      <c r="BB27" s="99"/>
      <c r="BC27" s="97"/>
      <c r="BD27" s="99"/>
      <c r="BE27" s="99"/>
      <c r="BF27" s="99"/>
      <c r="BG27" s="97"/>
      <c r="BH27" s="97"/>
      <c r="BI27" s="97"/>
      <c r="BJ27" s="97"/>
      <c r="BK27" s="99"/>
      <c r="BL27" s="97"/>
      <c r="BM27" s="99"/>
      <c r="BN27" s="99"/>
      <c r="BO27" s="97"/>
      <c r="BP27" s="99"/>
      <c r="BQ27" s="99"/>
      <c r="BR27" s="99"/>
      <c r="BS27" s="97"/>
      <c r="BT27" s="99"/>
      <c r="BU27" s="99"/>
      <c r="BV27" s="99"/>
      <c r="BW27" s="99"/>
      <c r="BX27" s="99"/>
      <c r="BY27" s="99"/>
      <c r="BZ27" s="99"/>
      <c r="CA27" s="99"/>
      <c r="CB27" s="99"/>
      <c r="CC27" s="99"/>
      <c r="CD27" s="99"/>
      <c r="CE27" s="99"/>
      <c r="CF27" s="99"/>
      <c r="CG27" s="97"/>
      <c r="CH27" s="97"/>
      <c r="CI27" s="97"/>
      <c r="CJ27" s="99"/>
      <c r="CK27" s="99"/>
      <c r="CL27" s="99"/>
      <c r="CM27" s="99"/>
      <c r="CN27" s="97"/>
      <c r="CO27" s="99"/>
      <c r="CP27" s="97"/>
      <c r="CQ27" s="99"/>
      <c r="CR27" s="97"/>
      <c r="CS27" s="99"/>
      <c r="CT27" s="99"/>
      <c r="CU27" s="99"/>
      <c r="CV27" s="97"/>
      <c r="CW27" s="99"/>
      <c r="CX27" s="99"/>
      <c r="CY27" s="99"/>
      <c r="CZ27" s="99"/>
      <c r="DA27" s="97"/>
      <c r="DB27" s="97"/>
      <c r="DC27" s="99"/>
      <c r="DD27" s="99"/>
      <c r="DE27" s="97"/>
      <c r="DF27" s="97"/>
      <c r="DG27" s="97"/>
      <c r="DH27" s="97"/>
      <c r="DI27" s="94" t="s">
        <v>1848</v>
      </c>
      <c r="DJ27" s="94" t="s">
        <v>1839</v>
      </c>
      <c r="DK27" s="94" t="s">
        <v>1840</v>
      </c>
      <c r="DL27" s="94" t="s">
        <v>1841</v>
      </c>
      <c r="DM27" s="94">
        <v>1</v>
      </c>
      <c r="DN27" s="94" t="s">
        <v>1882</v>
      </c>
      <c r="DO27" s="94">
        <v>10</v>
      </c>
      <c r="DP27" s="94" t="s">
        <v>1714</v>
      </c>
      <c r="DQ27" s="94">
        <v>0</v>
      </c>
      <c r="DR27" s="94" t="s">
        <v>1714</v>
      </c>
      <c r="DS27" s="95">
        <v>0</v>
      </c>
      <c r="DT27" s="108"/>
    </row>
    <row r="28" spans="1:124" ht="24.95" customHeight="1">
      <c r="A28" s="96" t="s">
        <v>1883</v>
      </c>
      <c r="B28" s="97" t="s">
        <v>1884</v>
      </c>
      <c r="C28" s="97" t="s">
        <v>1846</v>
      </c>
      <c r="D28" s="98">
        <v>1</v>
      </c>
      <c r="E28" s="98">
        <v>1</v>
      </c>
      <c r="F28" s="98">
        <v>0</v>
      </c>
      <c r="G28" s="99">
        <v>0</v>
      </c>
      <c r="H28" s="99">
        <v>0</v>
      </c>
      <c r="I28" s="99">
        <v>0</v>
      </c>
      <c r="J28" s="99">
        <v>0</v>
      </c>
      <c r="K28" s="97" t="s">
        <v>1847</v>
      </c>
      <c r="L28" s="97" t="s">
        <v>1714</v>
      </c>
      <c r="M28" s="97" t="s">
        <v>1714</v>
      </c>
      <c r="N28" s="99">
        <v>0</v>
      </c>
      <c r="O28" s="98">
        <v>0</v>
      </c>
      <c r="P28" s="97" t="s">
        <v>1720</v>
      </c>
      <c r="Q28" s="97" t="s">
        <v>1721</v>
      </c>
      <c r="R28" s="97" t="s">
        <v>1847</v>
      </c>
      <c r="S28" s="99">
        <v>0</v>
      </c>
      <c r="T28" s="98">
        <v>1</v>
      </c>
      <c r="U28" s="97" t="s">
        <v>1722</v>
      </c>
      <c r="V28" s="100">
        <v>0</v>
      </c>
      <c r="W28" s="100">
        <v>0</v>
      </c>
      <c r="X28" s="100" t="s">
        <v>1721</v>
      </c>
      <c r="Y28" s="97"/>
      <c r="Z28" s="97"/>
      <c r="AA28" s="97"/>
      <c r="AB28" s="97"/>
      <c r="AC28" s="97"/>
      <c r="AD28" s="99"/>
      <c r="AE28" s="99"/>
      <c r="AF28" s="99"/>
      <c r="AG28" s="97"/>
      <c r="AH28" s="99"/>
      <c r="AI28" s="97"/>
      <c r="AJ28" s="99"/>
      <c r="AK28" s="97"/>
      <c r="AL28" s="97"/>
      <c r="AM28" s="97"/>
      <c r="AN28" s="99"/>
      <c r="AO28" s="99"/>
      <c r="AP28" s="99"/>
      <c r="AQ28" s="97"/>
      <c r="AR28" s="99"/>
      <c r="AS28" s="97"/>
      <c r="AT28" s="99"/>
      <c r="AU28" s="97"/>
      <c r="AV28" s="97"/>
      <c r="AW28" s="97"/>
      <c r="AX28" s="99"/>
      <c r="AY28" s="99"/>
      <c r="AZ28" s="99"/>
      <c r="BA28" s="97"/>
      <c r="BB28" s="99"/>
      <c r="BC28" s="97"/>
      <c r="BD28" s="99"/>
      <c r="BE28" s="99"/>
      <c r="BF28" s="99"/>
      <c r="BG28" s="97"/>
      <c r="BH28" s="97"/>
      <c r="BI28" s="97"/>
      <c r="BJ28" s="97"/>
      <c r="BK28" s="99"/>
      <c r="BL28" s="97"/>
      <c r="BM28" s="99"/>
      <c r="BN28" s="99"/>
      <c r="BO28" s="97"/>
      <c r="BP28" s="99"/>
      <c r="BQ28" s="99"/>
      <c r="BR28" s="99"/>
      <c r="BS28" s="97"/>
      <c r="BT28" s="99"/>
      <c r="BU28" s="99"/>
      <c r="BV28" s="99"/>
      <c r="BW28" s="99"/>
      <c r="BX28" s="99"/>
      <c r="BY28" s="99"/>
      <c r="BZ28" s="99"/>
      <c r="CA28" s="99"/>
      <c r="CB28" s="99"/>
      <c r="CC28" s="99"/>
      <c r="CD28" s="99"/>
      <c r="CE28" s="99"/>
      <c r="CF28" s="99"/>
      <c r="CG28" s="97"/>
      <c r="CH28" s="97"/>
      <c r="CI28" s="97"/>
      <c r="CJ28" s="99"/>
      <c r="CK28" s="99"/>
      <c r="CL28" s="99"/>
      <c r="CM28" s="99"/>
      <c r="CN28" s="97"/>
      <c r="CO28" s="99"/>
      <c r="CP28" s="97"/>
      <c r="CQ28" s="99"/>
      <c r="CR28" s="97"/>
      <c r="CS28" s="99"/>
      <c r="CT28" s="99"/>
      <c r="CU28" s="99"/>
      <c r="CV28" s="97"/>
      <c r="CW28" s="99"/>
      <c r="CX28" s="99"/>
      <c r="CY28" s="99"/>
      <c r="CZ28" s="99"/>
      <c r="DA28" s="97"/>
      <c r="DB28" s="97"/>
      <c r="DC28" s="99"/>
      <c r="DD28" s="99"/>
      <c r="DE28" s="97"/>
      <c r="DF28" s="97"/>
      <c r="DG28" s="97"/>
      <c r="DH28" s="97"/>
      <c r="DI28" s="94" t="s">
        <v>1848</v>
      </c>
      <c r="DJ28" s="94" t="s">
        <v>1839</v>
      </c>
      <c r="DK28" s="94" t="s">
        <v>1840</v>
      </c>
      <c r="DL28" s="94" t="s">
        <v>1841</v>
      </c>
      <c r="DM28" s="94">
        <v>1</v>
      </c>
      <c r="DN28" s="94" t="s">
        <v>1885</v>
      </c>
      <c r="DO28" s="94">
        <v>10</v>
      </c>
      <c r="DP28" s="94" t="s">
        <v>1714</v>
      </c>
      <c r="DQ28" s="94">
        <v>0</v>
      </c>
      <c r="DR28" s="94" t="s">
        <v>1714</v>
      </c>
      <c r="DS28" s="95">
        <v>0</v>
      </c>
      <c r="DT28" s="108"/>
    </row>
    <row r="29" spans="1:124" ht="24.95" customHeight="1">
      <c r="A29" s="96" t="s">
        <v>1886</v>
      </c>
      <c r="B29" s="97" t="s">
        <v>1887</v>
      </c>
      <c r="C29" s="97" t="s">
        <v>1846</v>
      </c>
      <c r="D29" s="98">
        <v>1</v>
      </c>
      <c r="E29" s="98">
        <v>1</v>
      </c>
      <c r="F29" s="98">
        <v>0</v>
      </c>
      <c r="G29" s="99">
        <v>0</v>
      </c>
      <c r="H29" s="99">
        <v>0</v>
      </c>
      <c r="I29" s="99">
        <v>0</v>
      </c>
      <c r="J29" s="99">
        <v>0</v>
      </c>
      <c r="K29" s="97" t="s">
        <v>1847</v>
      </c>
      <c r="L29" s="97" t="s">
        <v>1714</v>
      </c>
      <c r="M29" s="97" t="s">
        <v>1714</v>
      </c>
      <c r="N29" s="99">
        <v>0</v>
      </c>
      <c r="O29" s="98">
        <v>0</v>
      </c>
      <c r="P29" s="97" t="s">
        <v>1720</v>
      </c>
      <c r="Q29" s="97" t="s">
        <v>1721</v>
      </c>
      <c r="R29" s="97" t="s">
        <v>1847</v>
      </c>
      <c r="S29" s="99">
        <v>0</v>
      </c>
      <c r="T29" s="98">
        <v>1</v>
      </c>
      <c r="U29" s="97" t="s">
        <v>1722</v>
      </c>
      <c r="V29" s="100">
        <v>0</v>
      </c>
      <c r="W29" s="100">
        <v>0</v>
      </c>
      <c r="X29" s="100" t="s">
        <v>1721</v>
      </c>
      <c r="Y29" s="97"/>
      <c r="Z29" s="97"/>
      <c r="AA29" s="97"/>
      <c r="AB29" s="97"/>
      <c r="AC29" s="97"/>
      <c r="AD29" s="99"/>
      <c r="AE29" s="99"/>
      <c r="AF29" s="99"/>
      <c r="AG29" s="97"/>
      <c r="AH29" s="99"/>
      <c r="AI29" s="97"/>
      <c r="AJ29" s="99"/>
      <c r="AK29" s="97"/>
      <c r="AL29" s="97"/>
      <c r="AM29" s="97"/>
      <c r="AN29" s="99"/>
      <c r="AO29" s="99"/>
      <c r="AP29" s="99"/>
      <c r="AQ29" s="97"/>
      <c r="AR29" s="99"/>
      <c r="AS29" s="97"/>
      <c r="AT29" s="99"/>
      <c r="AU29" s="97"/>
      <c r="AV29" s="97"/>
      <c r="AW29" s="97"/>
      <c r="AX29" s="99"/>
      <c r="AY29" s="99"/>
      <c r="AZ29" s="99"/>
      <c r="BA29" s="97"/>
      <c r="BB29" s="99"/>
      <c r="BC29" s="97"/>
      <c r="BD29" s="99"/>
      <c r="BE29" s="99"/>
      <c r="BF29" s="99"/>
      <c r="BG29" s="97"/>
      <c r="BH29" s="97"/>
      <c r="BI29" s="97"/>
      <c r="BJ29" s="97"/>
      <c r="BK29" s="99"/>
      <c r="BL29" s="97"/>
      <c r="BM29" s="99"/>
      <c r="BN29" s="99"/>
      <c r="BO29" s="97"/>
      <c r="BP29" s="99"/>
      <c r="BQ29" s="99"/>
      <c r="BR29" s="99"/>
      <c r="BS29" s="97"/>
      <c r="BT29" s="99"/>
      <c r="BU29" s="99"/>
      <c r="BV29" s="99"/>
      <c r="BW29" s="99"/>
      <c r="BX29" s="99"/>
      <c r="BY29" s="99"/>
      <c r="BZ29" s="99"/>
      <c r="CA29" s="99"/>
      <c r="CB29" s="99"/>
      <c r="CC29" s="99"/>
      <c r="CD29" s="99"/>
      <c r="CE29" s="99"/>
      <c r="CF29" s="99"/>
      <c r="CG29" s="97"/>
      <c r="CH29" s="97"/>
      <c r="CI29" s="97"/>
      <c r="CJ29" s="99"/>
      <c r="CK29" s="99"/>
      <c r="CL29" s="99"/>
      <c r="CM29" s="99"/>
      <c r="CN29" s="97"/>
      <c r="CO29" s="99"/>
      <c r="CP29" s="97"/>
      <c r="CQ29" s="99"/>
      <c r="CR29" s="97"/>
      <c r="CS29" s="99"/>
      <c r="CT29" s="99"/>
      <c r="CU29" s="99"/>
      <c r="CV29" s="97"/>
      <c r="CW29" s="99"/>
      <c r="CX29" s="99"/>
      <c r="CY29" s="99"/>
      <c r="CZ29" s="99"/>
      <c r="DA29" s="97"/>
      <c r="DB29" s="97"/>
      <c r="DC29" s="99"/>
      <c r="DD29" s="99"/>
      <c r="DE29" s="97"/>
      <c r="DF29" s="97"/>
      <c r="DG29" s="97"/>
      <c r="DH29" s="97"/>
      <c r="DI29" s="94" t="s">
        <v>1848</v>
      </c>
      <c r="DJ29" s="94" t="s">
        <v>1839</v>
      </c>
      <c r="DK29" s="94" t="s">
        <v>1840</v>
      </c>
      <c r="DL29" s="94" t="s">
        <v>1841</v>
      </c>
      <c r="DM29" s="94">
        <v>1</v>
      </c>
      <c r="DN29" s="94" t="s">
        <v>1888</v>
      </c>
      <c r="DO29" s="94">
        <v>10</v>
      </c>
      <c r="DP29" s="94" t="s">
        <v>1714</v>
      </c>
      <c r="DQ29" s="94">
        <v>0</v>
      </c>
      <c r="DR29" s="94" t="s">
        <v>1714</v>
      </c>
      <c r="DS29" s="95">
        <v>0</v>
      </c>
      <c r="DT29" s="108"/>
    </row>
    <row r="30" spans="1:124" ht="24.95" customHeight="1">
      <c r="A30" s="96" t="s">
        <v>1889</v>
      </c>
      <c r="B30" s="97" t="s">
        <v>1890</v>
      </c>
      <c r="C30" s="97" t="s">
        <v>1846</v>
      </c>
      <c r="D30" s="98">
        <v>1</v>
      </c>
      <c r="E30" s="98">
        <v>1</v>
      </c>
      <c r="F30" s="98">
        <v>0</v>
      </c>
      <c r="G30" s="99">
        <v>0</v>
      </c>
      <c r="H30" s="99">
        <v>0</v>
      </c>
      <c r="I30" s="99">
        <v>0</v>
      </c>
      <c r="J30" s="99">
        <v>0</v>
      </c>
      <c r="K30" s="97" t="s">
        <v>1847</v>
      </c>
      <c r="L30" s="97" t="s">
        <v>1714</v>
      </c>
      <c r="M30" s="97" t="s">
        <v>1714</v>
      </c>
      <c r="N30" s="99">
        <v>0</v>
      </c>
      <c r="O30" s="98">
        <v>0</v>
      </c>
      <c r="P30" s="97" t="s">
        <v>1720</v>
      </c>
      <c r="Q30" s="97" t="s">
        <v>1721</v>
      </c>
      <c r="R30" s="97" t="s">
        <v>1847</v>
      </c>
      <c r="S30" s="99">
        <v>0</v>
      </c>
      <c r="T30" s="98">
        <v>1</v>
      </c>
      <c r="U30" s="97" t="s">
        <v>1722</v>
      </c>
      <c r="V30" s="100">
        <v>0</v>
      </c>
      <c r="W30" s="100">
        <v>0</v>
      </c>
      <c r="X30" s="100" t="s">
        <v>1721</v>
      </c>
      <c r="Y30" s="97"/>
      <c r="Z30" s="97"/>
      <c r="AA30" s="97"/>
      <c r="AB30" s="97"/>
      <c r="AC30" s="97"/>
      <c r="AD30" s="99"/>
      <c r="AE30" s="99"/>
      <c r="AF30" s="99"/>
      <c r="AG30" s="97"/>
      <c r="AH30" s="99"/>
      <c r="AI30" s="97"/>
      <c r="AJ30" s="99"/>
      <c r="AK30" s="97"/>
      <c r="AL30" s="97"/>
      <c r="AM30" s="97"/>
      <c r="AN30" s="99"/>
      <c r="AO30" s="99"/>
      <c r="AP30" s="99"/>
      <c r="AQ30" s="97"/>
      <c r="AR30" s="99"/>
      <c r="AS30" s="97"/>
      <c r="AT30" s="99"/>
      <c r="AU30" s="97"/>
      <c r="AV30" s="97"/>
      <c r="AW30" s="97"/>
      <c r="AX30" s="99"/>
      <c r="AY30" s="99"/>
      <c r="AZ30" s="99"/>
      <c r="BA30" s="97"/>
      <c r="BB30" s="99"/>
      <c r="BC30" s="97"/>
      <c r="BD30" s="99"/>
      <c r="BE30" s="99"/>
      <c r="BF30" s="99"/>
      <c r="BG30" s="97"/>
      <c r="BH30" s="97"/>
      <c r="BI30" s="97"/>
      <c r="BJ30" s="97"/>
      <c r="BK30" s="99"/>
      <c r="BL30" s="97"/>
      <c r="BM30" s="99"/>
      <c r="BN30" s="99"/>
      <c r="BO30" s="97"/>
      <c r="BP30" s="99"/>
      <c r="BQ30" s="99"/>
      <c r="BR30" s="99"/>
      <c r="BS30" s="97"/>
      <c r="BT30" s="99"/>
      <c r="BU30" s="99"/>
      <c r="BV30" s="99"/>
      <c r="BW30" s="99"/>
      <c r="BX30" s="99"/>
      <c r="BY30" s="99"/>
      <c r="BZ30" s="99"/>
      <c r="CA30" s="99"/>
      <c r="CB30" s="99"/>
      <c r="CC30" s="99"/>
      <c r="CD30" s="99"/>
      <c r="CE30" s="99"/>
      <c r="CF30" s="99"/>
      <c r="CG30" s="97"/>
      <c r="CH30" s="97"/>
      <c r="CI30" s="97"/>
      <c r="CJ30" s="99"/>
      <c r="CK30" s="99"/>
      <c r="CL30" s="99"/>
      <c r="CM30" s="99"/>
      <c r="CN30" s="97"/>
      <c r="CO30" s="99"/>
      <c r="CP30" s="97"/>
      <c r="CQ30" s="99"/>
      <c r="CR30" s="97"/>
      <c r="CS30" s="99"/>
      <c r="CT30" s="99"/>
      <c r="CU30" s="99"/>
      <c r="CV30" s="97"/>
      <c r="CW30" s="99"/>
      <c r="CX30" s="99"/>
      <c r="CY30" s="99"/>
      <c r="CZ30" s="99"/>
      <c r="DA30" s="97"/>
      <c r="DB30" s="97"/>
      <c r="DC30" s="99"/>
      <c r="DD30" s="99"/>
      <c r="DE30" s="97"/>
      <c r="DF30" s="97"/>
      <c r="DG30" s="97"/>
      <c r="DH30" s="97"/>
      <c r="DI30" s="94" t="s">
        <v>1848</v>
      </c>
      <c r="DJ30" s="94" t="s">
        <v>1839</v>
      </c>
      <c r="DK30" s="94" t="s">
        <v>1840</v>
      </c>
      <c r="DL30" s="94" t="s">
        <v>1841</v>
      </c>
      <c r="DM30" s="94">
        <v>1</v>
      </c>
      <c r="DN30" s="94" t="s">
        <v>1891</v>
      </c>
      <c r="DO30" s="94">
        <v>10</v>
      </c>
      <c r="DP30" s="94" t="s">
        <v>1714</v>
      </c>
      <c r="DQ30" s="94">
        <v>0</v>
      </c>
      <c r="DR30" s="94" t="s">
        <v>1714</v>
      </c>
      <c r="DS30" s="95">
        <v>0</v>
      </c>
      <c r="DT30" s="108"/>
    </row>
    <row r="31" spans="1:124" ht="24.95" customHeight="1">
      <c r="A31" s="96" t="s">
        <v>1892</v>
      </c>
      <c r="B31" s="97" t="s">
        <v>1893</v>
      </c>
      <c r="C31" s="97" t="s">
        <v>1846</v>
      </c>
      <c r="D31" s="98">
        <v>1</v>
      </c>
      <c r="E31" s="98">
        <v>1</v>
      </c>
      <c r="F31" s="98">
        <v>0</v>
      </c>
      <c r="G31" s="99">
        <v>0</v>
      </c>
      <c r="H31" s="99">
        <v>0</v>
      </c>
      <c r="I31" s="99">
        <v>0</v>
      </c>
      <c r="J31" s="99">
        <v>0</v>
      </c>
      <c r="K31" s="97" t="s">
        <v>1847</v>
      </c>
      <c r="L31" s="97" t="s">
        <v>1714</v>
      </c>
      <c r="M31" s="97" t="s">
        <v>1714</v>
      </c>
      <c r="N31" s="99">
        <v>0</v>
      </c>
      <c r="O31" s="98">
        <v>0</v>
      </c>
      <c r="P31" s="97" t="s">
        <v>1720</v>
      </c>
      <c r="Q31" s="97" t="s">
        <v>1721</v>
      </c>
      <c r="R31" s="97" t="s">
        <v>1847</v>
      </c>
      <c r="S31" s="99">
        <v>0</v>
      </c>
      <c r="T31" s="98">
        <v>1</v>
      </c>
      <c r="U31" s="97" t="s">
        <v>1722</v>
      </c>
      <c r="V31" s="100">
        <v>0</v>
      </c>
      <c r="W31" s="100">
        <v>0</v>
      </c>
      <c r="X31" s="100" t="s">
        <v>1721</v>
      </c>
      <c r="Y31" s="97"/>
      <c r="Z31" s="97"/>
      <c r="AA31" s="97"/>
      <c r="AB31" s="97"/>
      <c r="AC31" s="97"/>
      <c r="AD31" s="99"/>
      <c r="AE31" s="99"/>
      <c r="AF31" s="99"/>
      <c r="AG31" s="97"/>
      <c r="AH31" s="99"/>
      <c r="AI31" s="97"/>
      <c r="AJ31" s="99"/>
      <c r="AK31" s="97"/>
      <c r="AL31" s="97"/>
      <c r="AM31" s="97"/>
      <c r="AN31" s="99"/>
      <c r="AO31" s="99"/>
      <c r="AP31" s="99"/>
      <c r="AQ31" s="97"/>
      <c r="AR31" s="99"/>
      <c r="AS31" s="97"/>
      <c r="AT31" s="99"/>
      <c r="AU31" s="97"/>
      <c r="AV31" s="97"/>
      <c r="AW31" s="97"/>
      <c r="AX31" s="99"/>
      <c r="AY31" s="99"/>
      <c r="AZ31" s="99"/>
      <c r="BA31" s="97"/>
      <c r="BB31" s="99"/>
      <c r="BC31" s="97"/>
      <c r="BD31" s="99"/>
      <c r="BE31" s="99"/>
      <c r="BF31" s="99"/>
      <c r="BG31" s="97"/>
      <c r="BH31" s="97"/>
      <c r="BI31" s="97"/>
      <c r="BJ31" s="97"/>
      <c r="BK31" s="99"/>
      <c r="BL31" s="97"/>
      <c r="BM31" s="99"/>
      <c r="BN31" s="99"/>
      <c r="BO31" s="97"/>
      <c r="BP31" s="99"/>
      <c r="BQ31" s="99"/>
      <c r="BR31" s="99"/>
      <c r="BS31" s="97"/>
      <c r="BT31" s="99"/>
      <c r="BU31" s="99"/>
      <c r="BV31" s="99"/>
      <c r="BW31" s="99"/>
      <c r="BX31" s="99"/>
      <c r="BY31" s="99"/>
      <c r="BZ31" s="99"/>
      <c r="CA31" s="99"/>
      <c r="CB31" s="99"/>
      <c r="CC31" s="99"/>
      <c r="CD31" s="99"/>
      <c r="CE31" s="99"/>
      <c r="CF31" s="99"/>
      <c r="CG31" s="97"/>
      <c r="CH31" s="97"/>
      <c r="CI31" s="97"/>
      <c r="CJ31" s="99"/>
      <c r="CK31" s="99"/>
      <c r="CL31" s="99"/>
      <c r="CM31" s="99"/>
      <c r="CN31" s="97"/>
      <c r="CO31" s="99"/>
      <c r="CP31" s="97"/>
      <c r="CQ31" s="99"/>
      <c r="CR31" s="97"/>
      <c r="CS31" s="99"/>
      <c r="CT31" s="99"/>
      <c r="CU31" s="99"/>
      <c r="CV31" s="97"/>
      <c r="CW31" s="99"/>
      <c r="CX31" s="99"/>
      <c r="CY31" s="99"/>
      <c r="CZ31" s="99"/>
      <c r="DA31" s="97"/>
      <c r="DB31" s="97"/>
      <c r="DC31" s="99"/>
      <c r="DD31" s="99"/>
      <c r="DE31" s="97"/>
      <c r="DF31" s="97"/>
      <c r="DG31" s="97"/>
      <c r="DH31" s="97"/>
      <c r="DI31" s="94" t="s">
        <v>1848</v>
      </c>
      <c r="DJ31" s="94" t="s">
        <v>1839</v>
      </c>
      <c r="DK31" s="94" t="s">
        <v>1840</v>
      </c>
      <c r="DL31" s="94" t="s">
        <v>1841</v>
      </c>
      <c r="DM31" s="94">
        <v>1</v>
      </c>
      <c r="DN31" s="94" t="s">
        <v>1894</v>
      </c>
      <c r="DO31" s="94">
        <v>10</v>
      </c>
      <c r="DP31" s="94" t="s">
        <v>1714</v>
      </c>
      <c r="DQ31" s="94">
        <v>0</v>
      </c>
      <c r="DR31" s="94" t="s">
        <v>1714</v>
      </c>
      <c r="DS31" s="95">
        <v>0</v>
      </c>
      <c r="DT31" s="108"/>
    </row>
    <row r="32" spans="1:124" ht="24.95" customHeight="1">
      <c r="A32" s="96" t="s">
        <v>1895</v>
      </c>
      <c r="B32" s="97" t="s">
        <v>1896</v>
      </c>
      <c r="C32" s="97" t="s">
        <v>1846</v>
      </c>
      <c r="D32" s="98">
        <v>1</v>
      </c>
      <c r="E32" s="98">
        <v>1</v>
      </c>
      <c r="F32" s="98">
        <v>0</v>
      </c>
      <c r="G32" s="99">
        <v>0</v>
      </c>
      <c r="H32" s="99">
        <v>0</v>
      </c>
      <c r="I32" s="99">
        <v>0</v>
      </c>
      <c r="J32" s="99">
        <v>0</v>
      </c>
      <c r="K32" s="97" t="s">
        <v>1847</v>
      </c>
      <c r="L32" s="97" t="s">
        <v>1714</v>
      </c>
      <c r="M32" s="97" t="s">
        <v>1714</v>
      </c>
      <c r="N32" s="99">
        <v>0</v>
      </c>
      <c r="O32" s="98">
        <v>0</v>
      </c>
      <c r="P32" s="97" t="s">
        <v>1720</v>
      </c>
      <c r="Q32" s="97" t="s">
        <v>1721</v>
      </c>
      <c r="R32" s="97" t="s">
        <v>1847</v>
      </c>
      <c r="S32" s="99">
        <v>0</v>
      </c>
      <c r="T32" s="98">
        <v>1</v>
      </c>
      <c r="U32" s="97" t="s">
        <v>1722</v>
      </c>
      <c r="V32" s="100">
        <v>0</v>
      </c>
      <c r="W32" s="100">
        <v>0</v>
      </c>
      <c r="X32" s="100" t="s">
        <v>1721</v>
      </c>
      <c r="Y32" s="97"/>
      <c r="Z32" s="97"/>
      <c r="AA32" s="97"/>
      <c r="AB32" s="97"/>
      <c r="AC32" s="97"/>
      <c r="AD32" s="99"/>
      <c r="AE32" s="99"/>
      <c r="AF32" s="99"/>
      <c r="AG32" s="97"/>
      <c r="AH32" s="99"/>
      <c r="AI32" s="97"/>
      <c r="AJ32" s="99"/>
      <c r="AK32" s="97"/>
      <c r="AL32" s="97"/>
      <c r="AM32" s="97"/>
      <c r="AN32" s="99"/>
      <c r="AO32" s="99"/>
      <c r="AP32" s="99"/>
      <c r="AQ32" s="97"/>
      <c r="AR32" s="99"/>
      <c r="AS32" s="97"/>
      <c r="AT32" s="99"/>
      <c r="AU32" s="97"/>
      <c r="AV32" s="97"/>
      <c r="AW32" s="97"/>
      <c r="AX32" s="99"/>
      <c r="AY32" s="99"/>
      <c r="AZ32" s="99"/>
      <c r="BA32" s="97"/>
      <c r="BB32" s="99"/>
      <c r="BC32" s="97"/>
      <c r="BD32" s="99"/>
      <c r="BE32" s="99"/>
      <c r="BF32" s="99"/>
      <c r="BG32" s="97"/>
      <c r="BH32" s="97"/>
      <c r="BI32" s="97"/>
      <c r="BJ32" s="97"/>
      <c r="BK32" s="99"/>
      <c r="BL32" s="97"/>
      <c r="BM32" s="99"/>
      <c r="BN32" s="99"/>
      <c r="BO32" s="97"/>
      <c r="BP32" s="99"/>
      <c r="BQ32" s="99"/>
      <c r="BR32" s="99"/>
      <c r="BS32" s="97"/>
      <c r="BT32" s="99"/>
      <c r="BU32" s="99"/>
      <c r="BV32" s="99"/>
      <c r="BW32" s="99"/>
      <c r="BX32" s="99"/>
      <c r="BY32" s="99"/>
      <c r="BZ32" s="99"/>
      <c r="CA32" s="99"/>
      <c r="CB32" s="99"/>
      <c r="CC32" s="99"/>
      <c r="CD32" s="99"/>
      <c r="CE32" s="99"/>
      <c r="CF32" s="99"/>
      <c r="CG32" s="97"/>
      <c r="CH32" s="97"/>
      <c r="CI32" s="97"/>
      <c r="CJ32" s="99"/>
      <c r="CK32" s="99"/>
      <c r="CL32" s="99"/>
      <c r="CM32" s="99"/>
      <c r="CN32" s="97"/>
      <c r="CO32" s="99"/>
      <c r="CP32" s="97"/>
      <c r="CQ32" s="99"/>
      <c r="CR32" s="97"/>
      <c r="CS32" s="99"/>
      <c r="CT32" s="99"/>
      <c r="CU32" s="99"/>
      <c r="CV32" s="97"/>
      <c r="CW32" s="99"/>
      <c r="CX32" s="99"/>
      <c r="CY32" s="99"/>
      <c r="CZ32" s="99"/>
      <c r="DA32" s="97"/>
      <c r="DB32" s="97"/>
      <c r="DC32" s="99"/>
      <c r="DD32" s="99"/>
      <c r="DE32" s="97"/>
      <c r="DF32" s="97"/>
      <c r="DG32" s="97"/>
      <c r="DH32" s="97"/>
      <c r="DI32" s="94" t="s">
        <v>1848</v>
      </c>
      <c r="DJ32" s="94" t="s">
        <v>1839</v>
      </c>
      <c r="DK32" s="94" t="s">
        <v>1840</v>
      </c>
      <c r="DL32" s="94" t="s">
        <v>1841</v>
      </c>
      <c r="DM32" s="94">
        <v>1</v>
      </c>
      <c r="DN32" s="94" t="s">
        <v>1897</v>
      </c>
      <c r="DO32" s="94">
        <v>10</v>
      </c>
      <c r="DP32" s="94" t="s">
        <v>1714</v>
      </c>
      <c r="DQ32" s="94">
        <v>0</v>
      </c>
      <c r="DR32" s="94" t="s">
        <v>1714</v>
      </c>
      <c r="DS32" s="95">
        <v>0</v>
      </c>
      <c r="DT32" s="108"/>
    </row>
    <row r="33" spans="1:124" ht="24.95" customHeight="1">
      <c r="A33" s="96" t="s">
        <v>1898</v>
      </c>
      <c r="B33" s="97" t="s">
        <v>1899</v>
      </c>
      <c r="C33" s="97" t="s">
        <v>1846</v>
      </c>
      <c r="D33" s="98">
        <v>1</v>
      </c>
      <c r="E33" s="98">
        <v>1</v>
      </c>
      <c r="F33" s="98">
        <v>0</v>
      </c>
      <c r="G33" s="99">
        <v>0</v>
      </c>
      <c r="H33" s="99">
        <v>0</v>
      </c>
      <c r="I33" s="99">
        <v>0</v>
      </c>
      <c r="J33" s="99">
        <v>0</v>
      </c>
      <c r="K33" s="97" t="s">
        <v>1847</v>
      </c>
      <c r="L33" s="97" t="s">
        <v>1714</v>
      </c>
      <c r="M33" s="97" t="s">
        <v>1714</v>
      </c>
      <c r="N33" s="99">
        <v>0</v>
      </c>
      <c r="O33" s="98">
        <v>0</v>
      </c>
      <c r="P33" s="97" t="s">
        <v>1720</v>
      </c>
      <c r="Q33" s="97" t="s">
        <v>1721</v>
      </c>
      <c r="R33" s="97" t="s">
        <v>1847</v>
      </c>
      <c r="S33" s="99">
        <v>0</v>
      </c>
      <c r="T33" s="98">
        <v>1</v>
      </c>
      <c r="U33" s="97" t="s">
        <v>1722</v>
      </c>
      <c r="V33" s="100">
        <v>0</v>
      </c>
      <c r="W33" s="100">
        <v>0</v>
      </c>
      <c r="X33" s="100" t="s">
        <v>1721</v>
      </c>
      <c r="Y33" s="97"/>
      <c r="Z33" s="97"/>
      <c r="AA33" s="97"/>
      <c r="AB33" s="97"/>
      <c r="AC33" s="97"/>
      <c r="AD33" s="99"/>
      <c r="AE33" s="99"/>
      <c r="AF33" s="99"/>
      <c r="AG33" s="97"/>
      <c r="AH33" s="99"/>
      <c r="AI33" s="97"/>
      <c r="AJ33" s="99"/>
      <c r="AK33" s="97"/>
      <c r="AL33" s="97"/>
      <c r="AM33" s="97"/>
      <c r="AN33" s="99"/>
      <c r="AO33" s="99"/>
      <c r="AP33" s="99"/>
      <c r="AQ33" s="97"/>
      <c r="AR33" s="99"/>
      <c r="AS33" s="97"/>
      <c r="AT33" s="99"/>
      <c r="AU33" s="97"/>
      <c r="AV33" s="97"/>
      <c r="AW33" s="97"/>
      <c r="AX33" s="99"/>
      <c r="AY33" s="99"/>
      <c r="AZ33" s="99"/>
      <c r="BA33" s="97"/>
      <c r="BB33" s="99"/>
      <c r="BC33" s="97"/>
      <c r="BD33" s="99"/>
      <c r="BE33" s="99"/>
      <c r="BF33" s="99"/>
      <c r="BG33" s="97"/>
      <c r="BH33" s="97"/>
      <c r="BI33" s="97"/>
      <c r="BJ33" s="97"/>
      <c r="BK33" s="99"/>
      <c r="BL33" s="97"/>
      <c r="BM33" s="99"/>
      <c r="BN33" s="99"/>
      <c r="BO33" s="97"/>
      <c r="BP33" s="99"/>
      <c r="BQ33" s="99"/>
      <c r="BR33" s="99"/>
      <c r="BS33" s="97"/>
      <c r="BT33" s="99"/>
      <c r="BU33" s="99"/>
      <c r="BV33" s="99"/>
      <c r="BW33" s="99"/>
      <c r="BX33" s="99"/>
      <c r="BY33" s="99"/>
      <c r="BZ33" s="99"/>
      <c r="CA33" s="99"/>
      <c r="CB33" s="99"/>
      <c r="CC33" s="99"/>
      <c r="CD33" s="99"/>
      <c r="CE33" s="99"/>
      <c r="CF33" s="99"/>
      <c r="CG33" s="97"/>
      <c r="CH33" s="97"/>
      <c r="CI33" s="97"/>
      <c r="CJ33" s="99"/>
      <c r="CK33" s="99"/>
      <c r="CL33" s="99"/>
      <c r="CM33" s="99"/>
      <c r="CN33" s="97"/>
      <c r="CO33" s="99"/>
      <c r="CP33" s="97"/>
      <c r="CQ33" s="99"/>
      <c r="CR33" s="97"/>
      <c r="CS33" s="99"/>
      <c r="CT33" s="99"/>
      <c r="CU33" s="99"/>
      <c r="CV33" s="97"/>
      <c r="CW33" s="99"/>
      <c r="CX33" s="99"/>
      <c r="CY33" s="99"/>
      <c r="CZ33" s="99"/>
      <c r="DA33" s="97"/>
      <c r="DB33" s="97"/>
      <c r="DC33" s="99"/>
      <c r="DD33" s="99"/>
      <c r="DE33" s="97"/>
      <c r="DF33" s="97"/>
      <c r="DG33" s="97"/>
      <c r="DH33" s="97"/>
      <c r="DI33" s="94" t="s">
        <v>1848</v>
      </c>
      <c r="DJ33" s="94" t="s">
        <v>1839</v>
      </c>
      <c r="DK33" s="94" t="s">
        <v>1840</v>
      </c>
      <c r="DL33" s="94" t="s">
        <v>1841</v>
      </c>
      <c r="DM33" s="94">
        <v>1</v>
      </c>
      <c r="DN33" s="94" t="s">
        <v>1900</v>
      </c>
      <c r="DO33" s="94">
        <v>10</v>
      </c>
      <c r="DP33" s="94" t="s">
        <v>1714</v>
      </c>
      <c r="DQ33" s="94">
        <v>0</v>
      </c>
      <c r="DR33" s="94" t="s">
        <v>1714</v>
      </c>
      <c r="DS33" s="95">
        <v>0</v>
      </c>
      <c r="DT33" s="108"/>
    </row>
    <row r="34" spans="1:124" ht="24.95" customHeight="1">
      <c r="A34" s="96" t="s">
        <v>1901</v>
      </c>
      <c r="B34" s="97" t="s">
        <v>1902</v>
      </c>
      <c r="C34" s="97" t="s">
        <v>1903</v>
      </c>
      <c r="D34" s="98">
        <v>1</v>
      </c>
      <c r="E34" s="98">
        <v>1</v>
      </c>
      <c r="F34" s="98">
        <v>0</v>
      </c>
      <c r="G34" s="99">
        <v>0</v>
      </c>
      <c r="H34" s="99">
        <v>0</v>
      </c>
      <c r="I34" s="99">
        <v>0</v>
      </c>
      <c r="J34" s="99">
        <v>0</v>
      </c>
      <c r="K34" s="97" t="s">
        <v>1847</v>
      </c>
      <c r="L34" s="97" t="s">
        <v>1714</v>
      </c>
      <c r="M34" s="97" t="s">
        <v>1714</v>
      </c>
      <c r="N34" s="99">
        <v>0</v>
      </c>
      <c r="O34" s="98">
        <v>0</v>
      </c>
      <c r="P34" s="97" t="s">
        <v>1720</v>
      </c>
      <c r="Q34" s="97" t="s">
        <v>1721</v>
      </c>
      <c r="R34" s="97" t="s">
        <v>1847</v>
      </c>
      <c r="S34" s="99">
        <v>0</v>
      </c>
      <c r="T34" s="98">
        <v>1</v>
      </c>
      <c r="U34" s="97" t="s">
        <v>1722</v>
      </c>
      <c r="V34" s="100">
        <v>0</v>
      </c>
      <c r="W34" s="100">
        <v>0</v>
      </c>
      <c r="X34" s="100" t="s">
        <v>1721</v>
      </c>
      <c r="Y34" s="97"/>
      <c r="Z34" s="97"/>
      <c r="AA34" s="97"/>
      <c r="AB34" s="97"/>
      <c r="AC34" s="97"/>
      <c r="AD34" s="99"/>
      <c r="AE34" s="99"/>
      <c r="AF34" s="99"/>
      <c r="AG34" s="97"/>
      <c r="AH34" s="99"/>
      <c r="AI34" s="97"/>
      <c r="AJ34" s="99"/>
      <c r="AK34" s="97"/>
      <c r="AL34" s="97"/>
      <c r="AM34" s="97"/>
      <c r="AN34" s="99"/>
      <c r="AO34" s="99"/>
      <c r="AP34" s="99"/>
      <c r="AQ34" s="97"/>
      <c r="AR34" s="99"/>
      <c r="AS34" s="97"/>
      <c r="AT34" s="99"/>
      <c r="AU34" s="97"/>
      <c r="AV34" s="97"/>
      <c r="AW34" s="97"/>
      <c r="AX34" s="99"/>
      <c r="AY34" s="99"/>
      <c r="AZ34" s="99"/>
      <c r="BA34" s="97"/>
      <c r="BB34" s="99"/>
      <c r="BC34" s="97"/>
      <c r="BD34" s="99"/>
      <c r="BE34" s="99"/>
      <c r="BF34" s="99"/>
      <c r="BG34" s="97"/>
      <c r="BH34" s="97"/>
      <c r="BI34" s="97"/>
      <c r="BJ34" s="97"/>
      <c r="BK34" s="99"/>
      <c r="BL34" s="97"/>
      <c r="BM34" s="99"/>
      <c r="BN34" s="99"/>
      <c r="BO34" s="97"/>
      <c r="BP34" s="99"/>
      <c r="BQ34" s="99"/>
      <c r="BR34" s="99"/>
      <c r="BS34" s="97"/>
      <c r="BT34" s="99"/>
      <c r="BU34" s="99"/>
      <c r="BV34" s="99"/>
      <c r="BW34" s="99"/>
      <c r="BX34" s="99"/>
      <c r="BY34" s="99"/>
      <c r="BZ34" s="99"/>
      <c r="CA34" s="99"/>
      <c r="CB34" s="99"/>
      <c r="CC34" s="99"/>
      <c r="CD34" s="99"/>
      <c r="CE34" s="99"/>
      <c r="CF34" s="99"/>
      <c r="CG34" s="97"/>
      <c r="CH34" s="97"/>
      <c r="CI34" s="97"/>
      <c r="CJ34" s="99"/>
      <c r="CK34" s="99"/>
      <c r="CL34" s="99"/>
      <c r="CM34" s="99"/>
      <c r="CN34" s="97"/>
      <c r="CO34" s="99"/>
      <c r="CP34" s="97"/>
      <c r="CQ34" s="99"/>
      <c r="CR34" s="97"/>
      <c r="CS34" s="99"/>
      <c r="CT34" s="99"/>
      <c r="CU34" s="99"/>
      <c r="CV34" s="97"/>
      <c r="CW34" s="99"/>
      <c r="CX34" s="99"/>
      <c r="CY34" s="99"/>
      <c r="CZ34" s="99"/>
      <c r="DA34" s="97"/>
      <c r="DB34" s="97"/>
      <c r="DC34" s="99"/>
      <c r="DD34" s="99"/>
      <c r="DE34" s="97"/>
      <c r="DF34" s="97"/>
      <c r="DG34" s="97"/>
      <c r="DH34" s="97"/>
      <c r="DI34" s="94" t="s">
        <v>1848</v>
      </c>
      <c r="DJ34" s="94" t="s">
        <v>1839</v>
      </c>
      <c r="DK34" s="94" t="s">
        <v>1840</v>
      </c>
      <c r="DL34" s="94" t="s">
        <v>1841</v>
      </c>
      <c r="DM34" s="94">
        <v>1</v>
      </c>
      <c r="DN34" s="94" t="s">
        <v>1904</v>
      </c>
      <c r="DO34" s="94">
        <v>0</v>
      </c>
      <c r="DP34" s="94" t="s">
        <v>1714</v>
      </c>
      <c r="DQ34" s="94">
        <v>0</v>
      </c>
      <c r="DR34" s="94" t="s">
        <v>1714</v>
      </c>
      <c r="DS34" s="95">
        <v>0</v>
      </c>
      <c r="DT34" s="108"/>
    </row>
    <row r="35" spans="1:124" ht="24.95" customHeight="1">
      <c r="A35" s="96" t="s">
        <v>1905</v>
      </c>
      <c r="B35" s="97" t="s">
        <v>1906</v>
      </c>
      <c r="C35" s="97" t="s">
        <v>1903</v>
      </c>
      <c r="D35" s="98">
        <v>1</v>
      </c>
      <c r="E35" s="98">
        <v>1</v>
      </c>
      <c r="F35" s="98">
        <v>0</v>
      </c>
      <c r="G35" s="99">
        <v>0</v>
      </c>
      <c r="H35" s="99">
        <v>0</v>
      </c>
      <c r="I35" s="99">
        <v>0</v>
      </c>
      <c r="J35" s="99">
        <v>0</v>
      </c>
      <c r="K35" s="97" t="s">
        <v>1847</v>
      </c>
      <c r="L35" s="97" t="s">
        <v>1714</v>
      </c>
      <c r="M35" s="97" t="s">
        <v>1714</v>
      </c>
      <c r="N35" s="99">
        <v>0</v>
      </c>
      <c r="O35" s="98">
        <v>0</v>
      </c>
      <c r="P35" s="97" t="s">
        <v>1720</v>
      </c>
      <c r="Q35" s="97" t="s">
        <v>1721</v>
      </c>
      <c r="R35" s="97" t="s">
        <v>1847</v>
      </c>
      <c r="S35" s="99">
        <v>0</v>
      </c>
      <c r="T35" s="98">
        <v>1</v>
      </c>
      <c r="U35" s="97" t="s">
        <v>1722</v>
      </c>
      <c r="V35" s="100">
        <v>0</v>
      </c>
      <c r="W35" s="100">
        <v>0</v>
      </c>
      <c r="X35" s="100" t="s">
        <v>1721</v>
      </c>
      <c r="Y35" s="97"/>
      <c r="Z35" s="97"/>
      <c r="AA35" s="97"/>
      <c r="AB35" s="97"/>
      <c r="AC35" s="97"/>
      <c r="AD35" s="99"/>
      <c r="AE35" s="99"/>
      <c r="AF35" s="99"/>
      <c r="AG35" s="97"/>
      <c r="AH35" s="99"/>
      <c r="AI35" s="97"/>
      <c r="AJ35" s="99"/>
      <c r="AK35" s="97"/>
      <c r="AL35" s="97"/>
      <c r="AM35" s="97"/>
      <c r="AN35" s="99"/>
      <c r="AO35" s="99"/>
      <c r="AP35" s="99"/>
      <c r="AQ35" s="97"/>
      <c r="AR35" s="99"/>
      <c r="AS35" s="97"/>
      <c r="AT35" s="99"/>
      <c r="AU35" s="97"/>
      <c r="AV35" s="97"/>
      <c r="AW35" s="97"/>
      <c r="AX35" s="99"/>
      <c r="AY35" s="99"/>
      <c r="AZ35" s="99"/>
      <c r="BA35" s="97"/>
      <c r="BB35" s="99"/>
      <c r="BC35" s="97"/>
      <c r="BD35" s="99"/>
      <c r="BE35" s="99"/>
      <c r="BF35" s="99"/>
      <c r="BG35" s="97"/>
      <c r="BH35" s="97"/>
      <c r="BI35" s="97"/>
      <c r="BJ35" s="97"/>
      <c r="BK35" s="99"/>
      <c r="BL35" s="97"/>
      <c r="BM35" s="99"/>
      <c r="BN35" s="99"/>
      <c r="BO35" s="97"/>
      <c r="BP35" s="99"/>
      <c r="BQ35" s="99"/>
      <c r="BR35" s="99"/>
      <c r="BS35" s="97"/>
      <c r="BT35" s="99"/>
      <c r="BU35" s="99"/>
      <c r="BV35" s="99"/>
      <c r="BW35" s="99"/>
      <c r="BX35" s="99"/>
      <c r="BY35" s="99"/>
      <c r="BZ35" s="99"/>
      <c r="CA35" s="99"/>
      <c r="CB35" s="99"/>
      <c r="CC35" s="99"/>
      <c r="CD35" s="99"/>
      <c r="CE35" s="99"/>
      <c r="CF35" s="99"/>
      <c r="CG35" s="97"/>
      <c r="CH35" s="97"/>
      <c r="CI35" s="97"/>
      <c r="CJ35" s="99"/>
      <c r="CK35" s="99"/>
      <c r="CL35" s="99"/>
      <c r="CM35" s="99"/>
      <c r="CN35" s="97"/>
      <c r="CO35" s="99"/>
      <c r="CP35" s="97"/>
      <c r="CQ35" s="99"/>
      <c r="CR35" s="97"/>
      <c r="CS35" s="99"/>
      <c r="CT35" s="99"/>
      <c r="CU35" s="99"/>
      <c r="CV35" s="97"/>
      <c r="CW35" s="99"/>
      <c r="CX35" s="99"/>
      <c r="CY35" s="99"/>
      <c r="CZ35" s="99"/>
      <c r="DA35" s="97"/>
      <c r="DB35" s="97"/>
      <c r="DC35" s="99"/>
      <c r="DD35" s="99"/>
      <c r="DE35" s="97"/>
      <c r="DF35" s="97"/>
      <c r="DG35" s="97"/>
      <c r="DH35" s="97"/>
      <c r="DI35" s="94" t="s">
        <v>1848</v>
      </c>
      <c r="DJ35" s="94" t="s">
        <v>1839</v>
      </c>
      <c r="DK35" s="94" t="s">
        <v>1840</v>
      </c>
      <c r="DL35" s="94" t="s">
        <v>1841</v>
      </c>
      <c r="DM35" s="94">
        <v>1</v>
      </c>
      <c r="DN35" s="94" t="s">
        <v>1907</v>
      </c>
      <c r="DO35" s="94">
        <v>0</v>
      </c>
      <c r="DP35" s="94" t="s">
        <v>1714</v>
      </c>
      <c r="DQ35" s="94">
        <v>0</v>
      </c>
      <c r="DR35" s="94" t="s">
        <v>1714</v>
      </c>
      <c r="DS35" s="95">
        <v>0</v>
      </c>
      <c r="DT35" s="108"/>
    </row>
    <row r="36" spans="1:124" ht="24.95" customHeight="1">
      <c r="A36" s="96" t="s">
        <v>1908</v>
      </c>
      <c r="B36" s="97" t="s">
        <v>1909</v>
      </c>
      <c r="C36" s="97" t="s">
        <v>1846</v>
      </c>
      <c r="D36" s="98">
        <v>1</v>
      </c>
      <c r="E36" s="98">
        <v>1</v>
      </c>
      <c r="F36" s="98">
        <v>0</v>
      </c>
      <c r="G36" s="99">
        <v>0</v>
      </c>
      <c r="H36" s="99">
        <v>0</v>
      </c>
      <c r="I36" s="99">
        <v>0</v>
      </c>
      <c r="J36" s="99">
        <v>0</v>
      </c>
      <c r="K36" s="97" t="s">
        <v>1847</v>
      </c>
      <c r="L36" s="97" t="s">
        <v>1714</v>
      </c>
      <c r="M36" s="97" t="s">
        <v>1714</v>
      </c>
      <c r="N36" s="99">
        <v>0</v>
      </c>
      <c r="O36" s="98">
        <v>0</v>
      </c>
      <c r="P36" s="97" t="s">
        <v>1720</v>
      </c>
      <c r="Q36" s="97" t="s">
        <v>1721</v>
      </c>
      <c r="R36" s="97" t="s">
        <v>1847</v>
      </c>
      <c r="S36" s="99">
        <v>0</v>
      </c>
      <c r="T36" s="98">
        <v>1</v>
      </c>
      <c r="U36" s="97" t="s">
        <v>1722</v>
      </c>
      <c r="V36" s="100">
        <v>0</v>
      </c>
      <c r="W36" s="100">
        <v>0</v>
      </c>
      <c r="X36" s="100" t="s">
        <v>1721</v>
      </c>
      <c r="Y36" s="97"/>
      <c r="Z36" s="97"/>
      <c r="AA36" s="97"/>
      <c r="AB36" s="97"/>
      <c r="AC36" s="97"/>
      <c r="AD36" s="99"/>
      <c r="AE36" s="99"/>
      <c r="AF36" s="99"/>
      <c r="AG36" s="97"/>
      <c r="AH36" s="99"/>
      <c r="AI36" s="97"/>
      <c r="AJ36" s="99"/>
      <c r="AK36" s="97"/>
      <c r="AL36" s="97"/>
      <c r="AM36" s="97"/>
      <c r="AN36" s="99"/>
      <c r="AO36" s="99"/>
      <c r="AP36" s="99"/>
      <c r="AQ36" s="97"/>
      <c r="AR36" s="99"/>
      <c r="AS36" s="97"/>
      <c r="AT36" s="99"/>
      <c r="AU36" s="97"/>
      <c r="AV36" s="97"/>
      <c r="AW36" s="97"/>
      <c r="AX36" s="99"/>
      <c r="AY36" s="99"/>
      <c r="AZ36" s="99"/>
      <c r="BA36" s="97"/>
      <c r="BB36" s="99"/>
      <c r="BC36" s="97"/>
      <c r="BD36" s="99"/>
      <c r="BE36" s="99"/>
      <c r="BF36" s="99"/>
      <c r="BG36" s="97"/>
      <c r="BH36" s="97"/>
      <c r="BI36" s="97"/>
      <c r="BJ36" s="97"/>
      <c r="BK36" s="99"/>
      <c r="BL36" s="97"/>
      <c r="BM36" s="99"/>
      <c r="BN36" s="99"/>
      <c r="BO36" s="97"/>
      <c r="BP36" s="99"/>
      <c r="BQ36" s="99"/>
      <c r="BR36" s="99"/>
      <c r="BS36" s="97"/>
      <c r="BT36" s="99"/>
      <c r="BU36" s="99"/>
      <c r="BV36" s="99"/>
      <c r="BW36" s="99"/>
      <c r="BX36" s="99"/>
      <c r="BY36" s="99"/>
      <c r="BZ36" s="99"/>
      <c r="CA36" s="99"/>
      <c r="CB36" s="99"/>
      <c r="CC36" s="99"/>
      <c r="CD36" s="99"/>
      <c r="CE36" s="99"/>
      <c r="CF36" s="99"/>
      <c r="CG36" s="97"/>
      <c r="CH36" s="97"/>
      <c r="CI36" s="97"/>
      <c r="CJ36" s="99"/>
      <c r="CK36" s="99"/>
      <c r="CL36" s="99"/>
      <c r="CM36" s="99"/>
      <c r="CN36" s="97"/>
      <c r="CO36" s="99"/>
      <c r="CP36" s="97"/>
      <c r="CQ36" s="99"/>
      <c r="CR36" s="97"/>
      <c r="CS36" s="99"/>
      <c r="CT36" s="99"/>
      <c r="CU36" s="99"/>
      <c r="CV36" s="97"/>
      <c r="CW36" s="99"/>
      <c r="CX36" s="99"/>
      <c r="CY36" s="99"/>
      <c r="CZ36" s="99"/>
      <c r="DA36" s="97"/>
      <c r="DB36" s="97"/>
      <c r="DC36" s="99"/>
      <c r="DD36" s="99"/>
      <c r="DE36" s="97"/>
      <c r="DF36" s="97"/>
      <c r="DG36" s="97"/>
      <c r="DH36" s="97"/>
      <c r="DI36" s="94" t="s">
        <v>1848</v>
      </c>
      <c r="DJ36" s="94" t="s">
        <v>1839</v>
      </c>
      <c r="DK36" s="94" t="s">
        <v>1840</v>
      </c>
      <c r="DL36" s="94" t="s">
        <v>1841</v>
      </c>
      <c r="DM36" s="94">
        <v>1</v>
      </c>
      <c r="DN36" s="94" t="s">
        <v>1910</v>
      </c>
      <c r="DO36" s="94">
        <v>10</v>
      </c>
      <c r="DP36" s="94" t="s">
        <v>1714</v>
      </c>
      <c r="DQ36" s="94">
        <v>0</v>
      </c>
      <c r="DR36" s="94" t="s">
        <v>1714</v>
      </c>
      <c r="DS36" s="95">
        <v>0</v>
      </c>
      <c r="DT36" s="108"/>
    </row>
    <row r="37" spans="1:124" ht="24.95" customHeight="1">
      <c r="A37" s="96" t="s">
        <v>1911</v>
      </c>
      <c r="B37" s="97" t="s">
        <v>1912</v>
      </c>
      <c r="C37" s="97" t="s">
        <v>1846</v>
      </c>
      <c r="D37" s="98">
        <v>1</v>
      </c>
      <c r="E37" s="98">
        <v>1</v>
      </c>
      <c r="F37" s="98">
        <v>0</v>
      </c>
      <c r="G37" s="99">
        <v>0</v>
      </c>
      <c r="H37" s="99">
        <v>0</v>
      </c>
      <c r="I37" s="99">
        <v>0</v>
      </c>
      <c r="J37" s="99">
        <v>0</v>
      </c>
      <c r="K37" s="97" t="s">
        <v>1847</v>
      </c>
      <c r="L37" s="97" t="s">
        <v>1714</v>
      </c>
      <c r="M37" s="97" t="s">
        <v>1714</v>
      </c>
      <c r="N37" s="99">
        <v>0</v>
      </c>
      <c r="O37" s="98">
        <v>0</v>
      </c>
      <c r="P37" s="97" t="s">
        <v>1720</v>
      </c>
      <c r="Q37" s="97" t="s">
        <v>1721</v>
      </c>
      <c r="R37" s="97" t="s">
        <v>1847</v>
      </c>
      <c r="S37" s="99">
        <v>0</v>
      </c>
      <c r="T37" s="98">
        <v>1</v>
      </c>
      <c r="U37" s="97" t="s">
        <v>1722</v>
      </c>
      <c r="V37" s="100">
        <v>0</v>
      </c>
      <c r="W37" s="100">
        <v>0</v>
      </c>
      <c r="X37" s="100" t="s">
        <v>1721</v>
      </c>
      <c r="Y37" s="97"/>
      <c r="Z37" s="97"/>
      <c r="AA37" s="97"/>
      <c r="AB37" s="97"/>
      <c r="AC37" s="97"/>
      <c r="AD37" s="99"/>
      <c r="AE37" s="99"/>
      <c r="AF37" s="99"/>
      <c r="AG37" s="97"/>
      <c r="AH37" s="99"/>
      <c r="AI37" s="97"/>
      <c r="AJ37" s="99"/>
      <c r="AK37" s="97"/>
      <c r="AL37" s="97"/>
      <c r="AM37" s="97"/>
      <c r="AN37" s="99"/>
      <c r="AO37" s="99"/>
      <c r="AP37" s="99"/>
      <c r="AQ37" s="97"/>
      <c r="AR37" s="99"/>
      <c r="AS37" s="97"/>
      <c r="AT37" s="99"/>
      <c r="AU37" s="97"/>
      <c r="AV37" s="97"/>
      <c r="AW37" s="97"/>
      <c r="AX37" s="99"/>
      <c r="AY37" s="99"/>
      <c r="AZ37" s="99"/>
      <c r="BA37" s="97"/>
      <c r="BB37" s="99"/>
      <c r="BC37" s="97"/>
      <c r="BD37" s="99"/>
      <c r="BE37" s="99"/>
      <c r="BF37" s="99"/>
      <c r="BG37" s="97"/>
      <c r="BH37" s="97"/>
      <c r="BI37" s="97"/>
      <c r="BJ37" s="97"/>
      <c r="BK37" s="99"/>
      <c r="BL37" s="97"/>
      <c r="BM37" s="99"/>
      <c r="BN37" s="99"/>
      <c r="BO37" s="97"/>
      <c r="BP37" s="99"/>
      <c r="BQ37" s="99"/>
      <c r="BR37" s="99"/>
      <c r="BS37" s="97"/>
      <c r="BT37" s="99"/>
      <c r="BU37" s="99"/>
      <c r="BV37" s="99"/>
      <c r="BW37" s="99"/>
      <c r="BX37" s="99"/>
      <c r="BY37" s="99"/>
      <c r="BZ37" s="99"/>
      <c r="CA37" s="99"/>
      <c r="CB37" s="99"/>
      <c r="CC37" s="99"/>
      <c r="CD37" s="99"/>
      <c r="CE37" s="99"/>
      <c r="CF37" s="99"/>
      <c r="CG37" s="97"/>
      <c r="CH37" s="97"/>
      <c r="CI37" s="97"/>
      <c r="CJ37" s="99"/>
      <c r="CK37" s="99"/>
      <c r="CL37" s="99"/>
      <c r="CM37" s="99"/>
      <c r="CN37" s="97"/>
      <c r="CO37" s="99"/>
      <c r="CP37" s="97"/>
      <c r="CQ37" s="99"/>
      <c r="CR37" s="97"/>
      <c r="CS37" s="99"/>
      <c r="CT37" s="99"/>
      <c r="CU37" s="99"/>
      <c r="CV37" s="97"/>
      <c r="CW37" s="99"/>
      <c r="CX37" s="99"/>
      <c r="CY37" s="99"/>
      <c r="CZ37" s="99"/>
      <c r="DA37" s="97"/>
      <c r="DB37" s="97"/>
      <c r="DC37" s="99"/>
      <c r="DD37" s="99"/>
      <c r="DE37" s="97"/>
      <c r="DF37" s="97"/>
      <c r="DG37" s="97"/>
      <c r="DH37" s="97"/>
      <c r="DI37" s="94" t="s">
        <v>1848</v>
      </c>
      <c r="DJ37" s="94" t="s">
        <v>1839</v>
      </c>
      <c r="DK37" s="94" t="s">
        <v>1840</v>
      </c>
      <c r="DL37" s="94" t="s">
        <v>1841</v>
      </c>
      <c r="DM37" s="94">
        <v>1</v>
      </c>
      <c r="DN37" s="94" t="s">
        <v>1913</v>
      </c>
      <c r="DO37" s="94">
        <v>1</v>
      </c>
      <c r="DP37" s="94" t="s">
        <v>1714</v>
      </c>
      <c r="DQ37" s="94">
        <v>0</v>
      </c>
      <c r="DR37" s="94" t="s">
        <v>1714</v>
      </c>
      <c r="DS37" s="95">
        <v>0</v>
      </c>
      <c r="DT37" s="108"/>
    </row>
    <row r="38" spans="1:124" ht="24.95" customHeight="1">
      <c r="A38" s="96" t="s">
        <v>1914</v>
      </c>
      <c r="B38" s="97" t="s">
        <v>1915</v>
      </c>
      <c r="C38" s="97" t="s">
        <v>1846</v>
      </c>
      <c r="D38" s="98">
        <v>1</v>
      </c>
      <c r="E38" s="98">
        <v>1</v>
      </c>
      <c r="F38" s="98">
        <v>0</v>
      </c>
      <c r="G38" s="99">
        <v>0</v>
      </c>
      <c r="H38" s="99">
        <v>0</v>
      </c>
      <c r="I38" s="99">
        <v>0</v>
      </c>
      <c r="J38" s="99">
        <v>0</v>
      </c>
      <c r="K38" s="97" t="s">
        <v>1847</v>
      </c>
      <c r="L38" s="97" t="s">
        <v>1714</v>
      </c>
      <c r="M38" s="97" t="s">
        <v>1714</v>
      </c>
      <c r="N38" s="99">
        <v>0</v>
      </c>
      <c r="O38" s="98">
        <v>0</v>
      </c>
      <c r="P38" s="97" t="s">
        <v>1720</v>
      </c>
      <c r="Q38" s="97" t="s">
        <v>1721</v>
      </c>
      <c r="R38" s="97" t="s">
        <v>1847</v>
      </c>
      <c r="S38" s="99">
        <v>0</v>
      </c>
      <c r="T38" s="98">
        <v>1</v>
      </c>
      <c r="U38" s="97" t="s">
        <v>1722</v>
      </c>
      <c r="V38" s="100">
        <v>0</v>
      </c>
      <c r="W38" s="100">
        <v>0</v>
      </c>
      <c r="X38" s="100" t="s">
        <v>1721</v>
      </c>
      <c r="Y38" s="97"/>
      <c r="Z38" s="97"/>
      <c r="AA38" s="97"/>
      <c r="AB38" s="97"/>
      <c r="AC38" s="97"/>
      <c r="AD38" s="99"/>
      <c r="AE38" s="99"/>
      <c r="AF38" s="99"/>
      <c r="AG38" s="97"/>
      <c r="AH38" s="99"/>
      <c r="AI38" s="97"/>
      <c r="AJ38" s="99"/>
      <c r="AK38" s="97"/>
      <c r="AL38" s="97"/>
      <c r="AM38" s="97"/>
      <c r="AN38" s="99"/>
      <c r="AO38" s="99"/>
      <c r="AP38" s="99"/>
      <c r="AQ38" s="97"/>
      <c r="AR38" s="99"/>
      <c r="AS38" s="97"/>
      <c r="AT38" s="99"/>
      <c r="AU38" s="97"/>
      <c r="AV38" s="97"/>
      <c r="AW38" s="97"/>
      <c r="AX38" s="99"/>
      <c r="AY38" s="99"/>
      <c r="AZ38" s="99"/>
      <c r="BA38" s="97"/>
      <c r="BB38" s="99"/>
      <c r="BC38" s="97"/>
      <c r="BD38" s="99"/>
      <c r="BE38" s="99"/>
      <c r="BF38" s="99"/>
      <c r="BG38" s="97"/>
      <c r="BH38" s="97"/>
      <c r="BI38" s="97"/>
      <c r="BJ38" s="97"/>
      <c r="BK38" s="99"/>
      <c r="BL38" s="97"/>
      <c r="BM38" s="99"/>
      <c r="BN38" s="99"/>
      <c r="BO38" s="97"/>
      <c r="BP38" s="99"/>
      <c r="BQ38" s="99"/>
      <c r="BR38" s="99"/>
      <c r="BS38" s="97"/>
      <c r="BT38" s="99"/>
      <c r="BU38" s="99"/>
      <c r="BV38" s="99"/>
      <c r="BW38" s="99"/>
      <c r="BX38" s="99"/>
      <c r="BY38" s="99"/>
      <c r="BZ38" s="99"/>
      <c r="CA38" s="99"/>
      <c r="CB38" s="99"/>
      <c r="CC38" s="99"/>
      <c r="CD38" s="99"/>
      <c r="CE38" s="99"/>
      <c r="CF38" s="99"/>
      <c r="CG38" s="97"/>
      <c r="CH38" s="97"/>
      <c r="CI38" s="97"/>
      <c r="CJ38" s="99"/>
      <c r="CK38" s="99"/>
      <c r="CL38" s="99"/>
      <c r="CM38" s="99"/>
      <c r="CN38" s="97"/>
      <c r="CO38" s="99"/>
      <c r="CP38" s="97"/>
      <c r="CQ38" s="99"/>
      <c r="CR38" s="97"/>
      <c r="CS38" s="99"/>
      <c r="CT38" s="99"/>
      <c r="CU38" s="99"/>
      <c r="CV38" s="97"/>
      <c r="CW38" s="99"/>
      <c r="CX38" s="99"/>
      <c r="CY38" s="99"/>
      <c r="CZ38" s="99"/>
      <c r="DA38" s="97"/>
      <c r="DB38" s="97"/>
      <c r="DC38" s="99"/>
      <c r="DD38" s="99"/>
      <c r="DE38" s="97"/>
      <c r="DF38" s="97"/>
      <c r="DG38" s="97"/>
      <c r="DH38" s="97"/>
      <c r="DI38" s="94" t="s">
        <v>1848</v>
      </c>
      <c r="DJ38" s="94" t="s">
        <v>1839</v>
      </c>
      <c r="DK38" s="94" t="s">
        <v>1840</v>
      </c>
      <c r="DL38" s="94" t="s">
        <v>1841</v>
      </c>
      <c r="DM38" s="94">
        <v>1</v>
      </c>
      <c r="DN38" s="94" t="s">
        <v>1916</v>
      </c>
      <c r="DO38" s="94">
        <v>1</v>
      </c>
      <c r="DP38" s="94" t="s">
        <v>1714</v>
      </c>
      <c r="DQ38" s="94">
        <v>0</v>
      </c>
      <c r="DR38" s="94" t="s">
        <v>1714</v>
      </c>
      <c r="DS38" s="95">
        <v>0</v>
      </c>
      <c r="DT38" s="108"/>
    </row>
    <row r="39" spans="1:124" ht="24.95" customHeight="1">
      <c r="A39" s="101" t="s">
        <v>1917</v>
      </c>
      <c r="B39" s="102" t="s">
        <v>1918</v>
      </c>
      <c r="C39" s="102" t="s">
        <v>1846</v>
      </c>
      <c r="D39" s="103">
        <v>1</v>
      </c>
      <c r="E39" s="103">
        <v>1</v>
      </c>
      <c r="F39" s="103">
        <v>0</v>
      </c>
      <c r="G39" s="104">
        <v>0</v>
      </c>
      <c r="H39" s="104">
        <v>0</v>
      </c>
      <c r="I39" s="104">
        <v>0</v>
      </c>
      <c r="J39" s="104">
        <v>0</v>
      </c>
      <c r="K39" s="102" t="s">
        <v>1847</v>
      </c>
      <c r="L39" s="102" t="s">
        <v>1714</v>
      </c>
      <c r="M39" s="102" t="s">
        <v>1714</v>
      </c>
      <c r="N39" s="104">
        <v>0</v>
      </c>
      <c r="O39" s="103">
        <v>0</v>
      </c>
      <c r="P39" s="102" t="s">
        <v>1720</v>
      </c>
      <c r="Q39" s="102" t="s">
        <v>1721</v>
      </c>
      <c r="R39" s="102" t="s">
        <v>1847</v>
      </c>
      <c r="S39" s="104">
        <v>0</v>
      </c>
      <c r="T39" s="103">
        <v>1</v>
      </c>
      <c r="U39" s="102" t="s">
        <v>1722</v>
      </c>
      <c r="V39" s="105">
        <v>0</v>
      </c>
      <c r="W39" s="105">
        <v>0</v>
      </c>
      <c r="X39" s="105" t="s">
        <v>1721</v>
      </c>
      <c r="Y39" s="102"/>
      <c r="Z39" s="102"/>
      <c r="AA39" s="102"/>
      <c r="AB39" s="102"/>
      <c r="AC39" s="102"/>
      <c r="AD39" s="104"/>
      <c r="AE39" s="104"/>
      <c r="AF39" s="104"/>
      <c r="AG39" s="102"/>
      <c r="AH39" s="104"/>
      <c r="AI39" s="102"/>
      <c r="AJ39" s="104"/>
      <c r="AK39" s="102"/>
      <c r="AL39" s="102"/>
      <c r="AM39" s="102"/>
      <c r="AN39" s="104"/>
      <c r="AO39" s="104"/>
      <c r="AP39" s="104"/>
      <c r="AQ39" s="102"/>
      <c r="AR39" s="104"/>
      <c r="AS39" s="102"/>
      <c r="AT39" s="104"/>
      <c r="AU39" s="102"/>
      <c r="AV39" s="102"/>
      <c r="AW39" s="102"/>
      <c r="AX39" s="104"/>
      <c r="AY39" s="104"/>
      <c r="AZ39" s="104"/>
      <c r="BA39" s="102"/>
      <c r="BB39" s="104"/>
      <c r="BC39" s="102"/>
      <c r="BD39" s="104"/>
      <c r="BE39" s="104"/>
      <c r="BF39" s="104"/>
      <c r="BG39" s="102"/>
      <c r="BH39" s="102"/>
      <c r="BI39" s="102"/>
      <c r="BJ39" s="102"/>
      <c r="BK39" s="104"/>
      <c r="BL39" s="102"/>
      <c r="BM39" s="104"/>
      <c r="BN39" s="104"/>
      <c r="BO39" s="102"/>
      <c r="BP39" s="104"/>
      <c r="BQ39" s="104"/>
      <c r="BR39" s="104"/>
      <c r="BS39" s="102"/>
      <c r="BT39" s="104"/>
      <c r="BU39" s="104"/>
      <c r="BV39" s="104"/>
      <c r="BW39" s="104"/>
      <c r="BX39" s="104"/>
      <c r="BY39" s="104"/>
      <c r="BZ39" s="104"/>
      <c r="CA39" s="104"/>
      <c r="CB39" s="104"/>
      <c r="CC39" s="104"/>
      <c r="CD39" s="104"/>
      <c r="CE39" s="104"/>
      <c r="CF39" s="104"/>
      <c r="CG39" s="102"/>
      <c r="CH39" s="102"/>
      <c r="CI39" s="102"/>
      <c r="CJ39" s="104"/>
      <c r="CK39" s="104"/>
      <c r="CL39" s="104"/>
      <c r="CM39" s="104"/>
      <c r="CN39" s="102"/>
      <c r="CO39" s="104"/>
      <c r="CP39" s="102"/>
      <c r="CQ39" s="104"/>
      <c r="CR39" s="102"/>
      <c r="CS39" s="104"/>
      <c r="CT39" s="104"/>
      <c r="CU39" s="104"/>
      <c r="CV39" s="102"/>
      <c r="CW39" s="104"/>
      <c r="CX39" s="104"/>
      <c r="CY39" s="104"/>
      <c r="CZ39" s="104"/>
      <c r="DA39" s="102"/>
      <c r="DB39" s="102"/>
      <c r="DC39" s="104"/>
      <c r="DD39" s="104"/>
      <c r="DE39" s="102"/>
      <c r="DF39" s="102"/>
      <c r="DG39" s="102"/>
      <c r="DH39" s="102"/>
      <c r="DI39" s="106" t="s">
        <v>1848</v>
      </c>
      <c r="DJ39" s="106" t="s">
        <v>1839</v>
      </c>
      <c r="DK39" s="106" t="s">
        <v>1840</v>
      </c>
      <c r="DL39" s="106" t="s">
        <v>1841</v>
      </c>
      <c r="DM39" s="106">
        <v>1</v>
      </c>
      <c r="DN39" s="106" t="s">
        <v>1919</v>
      </c>
      <c r="DO39" s="106">
        <v>10</v>
      </c>
      <c r="DP39" s="106" t="s">
        <v>1714</v>
      </c>
      <c r="DQ39" s="106">
        <v>0</v>
      </c>
      <c r="DR39" s="106" t="s">
        <v>1714</v>
      </c>
      <c r="DS39" s="107">
        <v>0</v>
      </c>
      <c r="DT39" s="108"/>
    </row>
    <row r="40" spans="1:124" ht="24.95" customHeight="1">
      <c r="A40" s="96" t="s">
        <v>1923</v>
      </c>
      <c r="B40" s="97" t="s">
        <v>1723</v>
      </c>
      <c r="C40" s="97" t="s">
        <v>1924</v>
      </c>
      <c r="D40" s="98">
        <v>1</v>
      </c>
      <c r="E40" s="98">
        <v>1</v>
      </c>
      <c r="F40" s="98">
        <v>10</v>
      </c>
      <c r="G40" s="99">
        <v>8</v>
      </c>
      <c r="H40" s="99">
        <v>0</v>
      </c>
      <c r="I40" s="99">
        <v>0.2</v>
      </c>
      <c r="J40" s="99">
        <v>6</v>
      </c>
      <c r="K40" s="97" t="s">
        <v>1847</v>
      </c>
      <c r="L40" s="97" t="s">
        <v>1708</v>
      </c>
      <c r="M40" s="97" t="s">
        <v>1726</v>
      </c>
      <c r="N40" s="99">
        <v>1.5</v>
      </c>
      <c r="O40" s="98">
        <v>0</v>
      </c>
      <c r="P40" s="97" t="s">
        <v>1720</v>
      </c>
      <c r="Q40" s="97" t="s">
        <v>1721</v>
      </c>
      <c r="R40" s="97" t="s">
        <v>1727</v>
      </c>
      <c r="S40" s="99">
        <v>3</v>
      </c>
      <c r="T40" s="98">
        <v>0</v>
      </c>
      <c r="U40" s="97" t="s">
        <v>1713</v>
      </c>
      <c r="V40" s="100">
        <v>1</v>
      </c>
      <c r="W40" s="100">
        <v>0.35</v>
      </c>
      <c r="X40" s="100" t="s">
        <v>1721</v>
      </c>
      <c r="Y40" s="97"/>
      <c r="Z40" s="97"/>
      <c r="AA40" s="97" t="s">
        <v>1714</v>
      </c>
      <c r="AB40" s="97" t="s">
        <v>1714</v>
      </c>
      <c r="AC40" s="97" t="s">
        <v>1714</v>
      </c>
      <c r="AD40" s="99">
        <v>0</v>
      </c>
      <c r="AE40" s="99">
        <v>0</v>
      </c>
      <c r="AF40" s="99">
        <v>0</v>
      </c>
      <c r="AG40" s="97" t="s">
        <v>1714</v>
      </c>
      <c r="AH40" s="99">
        <v>0</v>
      </c>
      <c r="AI40" s="97" t="s">
        <v>1715</v>
      </c>
      <c r="AJ40" s="99">
        <v>1</v>
      </c>
      <c r="AK40" s="97" t="s">
        <v>1714</v>
      </c>
      <c r="AL40" s="97" t="s">
        <v>1714</v>
      </c>
      <c r="AM40" s="97" t="s">
        <v>1714</v>
      </c>
      <c r="AN40" s="99">
        <v>0</v>
      </c>
      <c r="AO40" s="99">
        <v>0</v>
      </c>
      <c r="AP40" s="99">
        <v>0</v>
      </c>
      <c r="AQ40" s="97" t="s">
        <v>1714</v>
      </c>
      <c r="AR40" s="99">
        <v>0</v>
      </c>
      <c r="AS40" s="97" t="s">
        <v>1715</v>
      </c>
      <c r="AT40" s="99">
        <v>1</v>
      </c>
      <c r="AU40" s="97" t="s">
        <v>1714</v>
      </c>
      <c r="AV40" s="97" t="s">
        <v>1714</v>
      </c>
      <c r="AW40" s="97" t="s">
        <v>1714</v>
      </c>
      <c r="AX40" s="99">
        <v>0</v>
      </c>
      <c r="AY40" s="99">
        <v>0</v>
      </c>
      <c r="AZ40" s="99">
        <v>0</v>
      </c>
      <c r="BA40" s="97" t="s">
        <v>1714</v>
      </c>
      <c r="BB40" s="99">
        <v>0</v>
      </c>
      <c r="BC40" s="97" t="s">
        <v>1715</v>
      </c>
      <c r="BD40" s="99">
        <v>1</v>
      </c>
      <c r="BE40" s="99">
        <v>1</v>
      </c>
      <c r="BF40" s="99">
        <v>0.35</v>
      </c>
      <c r="BG40" s="97" t="s">
        <v>1721</v>
      </c>
      <c r="BH40" s="97"/>
      <c r="BI40" s="97" t="s">
        <v>1711</v>
      </c>
      <c r="BJ40" s="97" t="s">
        <v>1721</v>
      </c>
      <c r="BK40" s="99">
        <v>360</v>
      </c>
      <c r="BL40" s="97" t="s">
        <v>1721</v>
      </c>
      <c r="BM40" s="99">
        <v>0.3</v>
      </c>
      <c r="BN40" s="99">
        <v>2</v>
      </c>
      <c r="BO40" s="97" t="s">
        <v>1721</v>
      </c>
      <c r="BP40" s="99">
        <v>3</v>
      </c>
      <c r="BQ40" s="99">
        <v>50</v>
      </c>
      <c r="BR40" s="99">
        <v>3</v>
      </c>
      <c r="BS40" s="97" t="s">
        <v>1842</v>
      </c>
      <c r="BT40" s="99">
        <v>8</v>
      </c>
      <c r="BU40" s="99">
        <v>0.8</v>
      </c>
      <c r="BV40" s="99">
        <v>2</v>
      </c>
      <c r="BW40" s="99">
        <v>0.8</v>
      </c>
      <c r="BX40" s="99">
        <v>12</v>
      </c>
      <c r="BY40" s="99">
        <v>0.8</v>
      </c>
      <c r="BZ40" s="99">
        <v>1.5</v>
      </c>
      <c r="CA40" s="99">
        <v>720</v>
      </c>
      <c r="CB40" s="99">
        <v>0.6</v>
      </c>
      <c r="CC40" s="99">
        <v>540</v>
      </c>
      <c r="CD40" s="99">
        <v>1.8</v>
      </c>
      <c r="CE40" s="99">
        <v>4</v>
      </c>
      <c r="CF40" s="99">
        <v>4</v>
      </c>
      <c r="CG40" s="97" t="s">
        <v>1711</v>
      </c>
      <c r="CH40" s="97" t="s">
        <v>1721</v>
      </c>
      <c r="CI40" s="97" t="s">
        <v>1721</v>
      </c>
      <c r="CJ40" s="99">
        <v>0.5</v>
      </c>
      <c r="CK40" s="99">
        <v>1.5</v>
      </c>
      <c r="CL40" s="99">
        <v>2.5</v>
      </c>
      <c r="CM40" s="99">
        <v>2.5</v>
      </c>
      <c r="CN40" s="97" t="s">
        <v>1721</v>
      </c>
      <c r="CO40" s="99">
        <v>1</v>
      </c>
      <c r="CP40" s="97" t="s">
        <v>1669</v>
      </c>
      <c r="CQ40" s="99">
        <v>10</v>
      </c>
      <c r="CR40" s="97" t="s">
        <v>1721</v>
      </c>
      <c r="CS40" s="99">
        <v>4</v>
      </c>
      <c r="CT40" s="99">
        <v>8</v>
      </c>
      <c r="CU40" s="99">
        <v>0.85</v>
      </c>
      <c r="CV40" s="97" t="s">
        <v>1721</v>
      </c>
      <c r="CW40" s="99">
        <v>2</v>
      </c>
      <c r="CX40" s="99">
        <v>50</v>
      </c>
      <c r="CY40" s="99">
        <v>0.5</v>
      </c>
      <c r="CZ40" s="99">
        <v>1</v>
      </c>
      <c r="DA40" s="97" t="s">
        <v>1721</v>
      </c>
      <c r="DB40" s="97" t="s">
        <v>1721</v>
      </c>
      <c r="DC40" s="99">
        <v>2</v>
      </c>
      <c r="DD40" s="99">
        <v>0.4</v>
      </c>
      <c r="DE40" s="97">
        <v>3</v>
      </c>
      <c r="DF40" s="97" t="s">
        <v>1925</v>
      </c>
      <c r="DG40" s="97">
        <v>60</v>
      </c>
      <c r="DH40" s="97">
        <v>0</v>
      </c>
      <c r="DI40" s="108" t="s">
        <v>1939</v>
      </c>
      <c r="DJ40" s="108" t="s">
        <v>1940</v>
      </c>
      <c r="DK40" s="108" t="s">
        <v>1941</v>
      </c>
      <c r="DL40" s="108" t="s">
        <v>1942</v>
      </c>
      <c r="DM40" s="108">
        <v>1</v>
      </c>
      <c r="DN40" s="108" t="s">
        <v>1944</v>
      </c>
      <c r="DO40" s="108">
        <v>0</v>
      </c>
      <c r="DP40" s="108" t="s">
        <v>1944</v>
      </c>
      <c r="DQ40" s="108">
        <v>0</v>
      </c>
      <c r="DR40" s="108" t="s">
        <v>1944</v>
      </c>
      <c r="DS40" s="109">
        <v>0</v>
      </c>
      <c r="DT40" s="108">
        <v>3</v>
      </c>
    </row>
    <row r="41" spans="1:124" ht="24.95" customHeight="1">
      <c r="A41" s="96" t="s">
        <v>1926</v>
      </c>
      <c r="B41" s="97" t="s">
        <v>1927</v>
      </c>
      <c r="C41" s="97" t="s">
        <v>1928</v>
      </c>
      <c r="D41" s="98">
        <v>1</v>
      </c>
      <c r="E41" s="98">
        <v>1</v>
      </c>
      <c r="F41" s="98">
        <v>10</v>
      </c>
      <c r="G41" s="99">
        <v>8</v>
      </c>
      <c r="H41" s="99">
        <v>0</v>
      </c>
      <c r="I41" s="99">
        <v>0.2</v>
      </c>
      <c r="J41" s="99">
        <v>6</v>
      </c>
      <c r="K41" s="97" t="s">
        <v>1847</v>
      </c>
      <c r="L41" s="97" t="s">
        <v>1708</v>
      </c>
      <c r="M41" s="97" t="s">
        <v>1709</v>
      </c>
      <c r="N41" s="99">
        <v>0.5</v>
      </c>
      <c r="O41" s="98">
        <v>0</v>
      </c>
      <c r="P41" s="97" t="s">
        <v>1710</v>
      </c>
      <c r="Q41" s="97" t="s">
        <v>1721</v>
      </c>
      <c r="R41" s="97" t="s">
        <v>1727</v>
      </c>
      <c r="S41" s="99">
        <v>3</v>
      </c>
      <c r="T41" s="98">
        <v>0</v>
      </c>
      <c r="U41" s="97" t="s">
        <v>1713</v>
      </c>
      <c r="V41" s="100">
        <v>1</v>
      </c>
      <c r="W41" s="100">
        <v>5</v>
      </c>
      <c r="X41" s="100" t="s">
        <v>1721</v>
      </c>
      <c r="Y41" s="97"/>
      <c r="Z41" s="97"/>
      <c r="AA41" s="97" t="s">
        <v>1714</v>
      </c>
      <c r="AB41" s="97" t="s">
        <v>1714</v>
      </c>
      <c r="AC41" s="97" t="s">
        <v>1714</v>
      </c>
      <c r="AD41" s="99">
        <v>0</v>
      </c>
      <c r="AE41" s="99">
        <v>0</v>
      </c>
      <c r="AF41" s="99">
        <v>0</v>
      </c>
      <c r="AG41" s="97" t="s">
        <v>1714</v>
      </c>
      <c r="AH41" s="99">
        <v>0</v>
      </c>
      <c r="AI41" s="97" t="s">
        <v>1715</v>
      </c>
      <c r="AJ41" s="99">
        <v>1</v>
      </c>
      <c r="AK41" s="97" t="s">
        <v>1714</v>
      </c>
      <c r="AL41" s="97" t="s">
        <v>1714</v>
      </c>
      <c r="AM41" s="97" t="s">
        <v>1714</v>
      </c>
      <c r="AN41" s="99">
        <v>0</v>
      </c>
      <c r="AO41" s="99">
        <v>0</v>
      </c>
      <c r="AP41" s="99">
        <v>0</v>
      </c>
      <c r="AQ41" s="97" t="s">
        <v>1714</v>
      </c>
      <c r="AR41" s="99">
        <v>0</v>
      </c>
      <c r="AS41" s="97" t="s">
        <v>1715</v>
      </c>
      <c r="AT41" s="99">
        <v>1</v>
      </c>
      <c r="AU41" s="97" t="s">
        <v>1714</v>
      </c>
      <c r="AV41" s="97" t="s">
        <v>1714</v>
      </c>
      <c r="AW41" s="97" t="s">
        <v>1714</v>
      </c>
      <c r="AX41" s="99">
        <v>0</v>
      </c>
      <c r="AY41" s="99">
        <v>0</v>
      </c>
      <c r="AZ41" s="99">
        <v>0</v>
      </c>
      <c r="BA41" s="97" t="s">
        <v>1714</v>
      </c>
      <c r="BB41" s="99">
        <v>0</v>
      </c>
      <c r="BC41" s="97" t="s">
        <v>1715</v>
      </c>
      <c r="BD41" s="99">
        <v>1</v>
      </c>
      <c r="BE41" s="99">
        <v>1</v>
      </c>
      <c r="BF41" s="99">
        <v>5</v>
      </c>
      <c r="BG41" s="97" t="s">
        <v>1721</v>
      </c>
      <c r="BH41" s="97"/>
      <c r="BI41" s="97" t="s">
        <v>1711</v>
      </c>
      <c r="BJ41" s="97" t="s">
        <v>1721</v>
      </c>
      <c r="BK41" s="99">
        <v>360</v>
      </c>
      <c r="BL41" s="97" t="s">
        <v>1721</v>
      </c>
      <c r="BM41" s="99">
        <v>0.3</v>
      </c>
      <c r="BN41" s="99">
        <v>2</v>
      </c>
      <c r="BO41" s="97" t="s">
        <v>1721</v>
      </c>
      <c r="BP41" s="99">
        <v>3</v>
      </c>
      <c r="BQ41" s="99">
        <v>50</v>
      </c>
      <c r="BR41" s="99">
        <v>3</v>
      </c>
      <c r="BS41" s="97" t="s">
        <v>1842</v>
      </c>
      <c r="BT41" s="99">
        <v>8</v>
      </c>
      <c r="BU41" s="99">
        <v>0.8</v>
      </c>
      <c r="BV41" s="99">
        <v>2</v>
      </c>
      <c r="BW41" s="99">
        <v>0.8</v>
      </c>
      <c r="BX41" s="99">
        <v>12</v>
      </c>
      <c r="BY41" s="99">
        <v>0.8</v>
      </c>
      <c r="BZ41" s="99">
        <v>1.5</v>
      </c>
      <c r="CA41" s="99">
        <v>720</v>
      </c>
      <c r="CB41" s="99">
        <v>0.6</v>
      </c>
      <c r="CC41" s="99">
        <v>540</v>
      </c>
      <c r="CD41" s="99">
        <v>1.8</v>
      </c>
      <c r="CE41" s="99">
        <v>4</v>
      </c>
      <c r="CF41" s="99">
        <v>4</v>
      </c>
      <c r="CG41" s="97" t="s">
        <v>1711</v>
      </c>
      <c r="CH41" s="97" t="s">
        <v>1721</v>
      </c>
      <c r="CI41" s="97" t="s">
        <v>1721</v>
      </c>
      <c r="CJ41" s="99">
        <v>0.5</v>
      </c>
      <c r="CK41" s="99">
        <v>1.5</v>
      </c>
      <c r="CL41" s="99">
        <v>2.5</v>
      </c>
      <c r="CM41" s="99">
        <v>2.5</v>
      </c>
      <c r="CN41" s="97" t="s">
        <v>1721</v>
      </c>
      <c r="CO41" s="99">
        <v>1</v>
      </c>
      <c r="CP41" s="97" t="s">
        <v>1669</v>
      </c>
      <c r="CQ41" s="99">
        <v>10</v>
      </c>
      <c r="CR41" s="97" t="s">
        <v>1721</v>
      </c>
      <c r="CS41" s="99">
        <v>4</v>
      </c>
      <c r="CT41" s="99">
        <v>8</v>
      </c>
      <c r="CU41" s="99">
        <v>0.85</v>
      </c>
      <c r="CV41" s="97" t="s">
        <v>1721</v>
      </c>
      <c r="CW41" s="99">
        <v>2</v>
      </c>
      <c r="CX41" s="99">
        <v>50</v>
      </c>
      <c r="CY41" s="99">
        <v>0.5</v>
      </c>
      <c r="CZ41" s="99">
        <v>1</v>
      </c>
      <c r="DA41" s="97" t="s">
        <v>1721</v>
      </c>
      <c r="DB41" s="97" t="s">
        <v>1721</v>
      </c>
      <c r="DC41" s="99">
        <v>2</v>
      </c>
      <c r="DD41" s="99">
        <v>0.4</v>
      </c>
      <c r="DE41" s="97">
        <v>3</v>
      </c>
      <c r="DF41" s="97" t="s">
        <v>1929</v>
      </c>
      <c r="DG41" s="97">
        <v>60</v>
      </c>
      <c r="DH41" s="97">
        <v>0</v>
      </c>
      <c r="DI41" s="108" t="s">
        <v>1939</v>
      </c>
      <c r="DJ41" s="108" t="s">
        <v>1940</v>
      </c>
      <c r="DK41" s="108" t="s">
        <v>1941</v>
      </c>
      <c r="DL41" s="108" t="s">
        <v>1943</v>
      </c>
      <c r="DM41" s="108">
        <v>0.5</v>
      </c>
      <c r="DN41" s="108" t="s">
        <v>1944</v>
      </c>
      <c r="DO41" s="108">
        <v>0</v>
      </c>
      <c r="DP41" s="108" t="s">
        <v>1944</v>
      </c>
      <c r="DQ41" s="108">
        <v>0</v>
      </c>
      <c r="DR41" s="108" t="s">
        <v>1944</v>
      </c>
      <c r="DS41" s="109">
        <v>0</v>
      </c>
      <c r="DT41" s="108">
        <v>7</v>
      </c>
    </row>
    <row r="42" spans="1:124" ht="24.95" customHeight="1">
      <c r="A42" s="96" t="s">
        <v>1930</v>
      </c>
      <c r="B42" s="97" t="s">
        <v>1931</v>
      </c>
      <c r="C42" s="97" t="s">
        <v>1932</v>
      </c>
      <c r="D42" s="98">
        <v>1</v>
      </c>
      <c r="E42" s="98">
        <v>1</v>
      </c>
      <c r="F42" s="98">
        <v>10</v>
      </c>
      <c r="G42" s="99">
        <v>8</v>
      </c>
      <c r="H42" s="99">
        <v>0</v>
      </c>
      <c r="I42" s="99">
        <v>0.2</v>
      </c>
      <c r="J42" s="99">
        <v>6</v>
      </c>
      <c r="K42" s="97" t="s">
        <v>1847</v>
      </c>
      <c r="L42" s="97" t="s">
        <v>1719</v>
      </c>
      <c r="M42" s="97" t="s">
        <v>1709</v>
      </c>
      <c r="N42" s="99">
        <v>0.8</v>
      </c>
      <c r="O42" s="98">
        <v>0</v>
      </c>
      <c r="P42" s="97" t="s">
        <v>1720</v>
      </c>
      <c r="Q42" s="97" t="s">
        <v>1721</v>
      </c>
      <c r="R42" s="97" t="s">
        <v>1933</v>
      </c>
      <c r="S42" s="99">
        <v>3</v>
      </c>
      <c r="T42" s="98">
        <v>0</v>
      </c>
      <c r="U42" s="97" t="s">
        <v>1713</v>
      </c>
      <c r="V42" s="100">
        <v>1</v>
      </c>
      <c r="W42" s="100">
        <v>5</v>
      </c>
      <c r="X42" s="100" t="s">
        <v>1721</v>
      </c>
      <c r="Y42" s="97"/>
      <c r="Z42" s="97"/>
      <c r="AA42" s="97" t="s">
        <v>1714</v>
      </c>
      <c r="AB42" s="97" t="s">
        <v>1714</v>
      </c>
      <c r="AC42" s="97" t="s">
        <v>1714</v>
      </c>
      <c r="AD42" s="99">
        <v>0</v>
      </c>
      <c r="AE42" s="99">
        <v>0</v>
      </c>
      <c r="AF42" s="99">
        <v>0</v>
      </c>
      <c r="AG42" s="97" t="s">
        <v>1714</v>
      </c>
      <c r="AH42" s="99">
        <v>0</v>
      </c>
      <c r="AI42" s="97" t="s">
        <v>1715</v>
      </c>
      <c r="AJ42" s="99">
        <v>1</v>
      </c>
      <c r="AK42" s="97" t="s">
        <v>1714</v>
      </c>
      <c r="AL42" s="97" t="s">
        <v>1714</v>
      </c>
      <c r="AM42" s="97" t="s">
        <v>1714</v>
      </c>
      <c r="AN42" s="99">
        <v>0</v>
      </c>
      <c r="AO42" s="99">
        <v>0</v>
      </c>
      <c r="AP42" s="99">
        <v>0</v>
      </c>
      <c r="AQ42" s="97" t="s">
        <v>1714</v>
      </c>
      <c r="AR42" s="99">
        <v>0</v>
      </c>
      <c r="AS42" s="97" t="s">
        <v>1715</v>
      </c>
      <c r="AT42" s="99">
        <v>1</v>
      </c>
      <c r="AU42" s="97" t="s">
        <v>1714</v>
      </c>
      <c r="AV42" s="97" t="s">
        <v>1714</v>
      </c>
      <c r="AW42" s="97" t="s">
        <v>1714</v>
      </c>
      <c r="AX42" s="99">
        <v>0</v>
      </c>
      <c r="AY42" s="99">
        <v>0</v>
      </c>
      <c r="AZ42" s="99">
        <v>0</v>
      </c>
      <c r="BA42" s="97" t="s">
        <v>1714</v>
      </c>
      <c r="BB42" s="99">
        <v>0</v>
      </c>
      <c r="BC42" s="97" t="s">
        <v>1715</v>
      </c>
      <c r="BD42" s="99">
        <v>1</v>
      </c>
      <c r="BE42" s="99">
        <v>1</v>
      </c>
      <c r="BF42" s="99">
        <v>5</v>
      </c>
      <c r="BG42" s="97" t="s">
        <v>1721</v>
      </c>
      <c r="BH42" s="97"/>
      <c r="BI42" s="97" t="s">
        <v>1711</v>
      </c>
      <c r="BJ42" s="97" t="s">
        <v>1721</v>
      </c>
      <c r="BK42" s="99">
        <v>360</v>
      </c>
      <c r="BL42" s="97" t="s">
        <v>1721</v>
      </c>
      <c r="BM42" s="99">
        <v>0.3</v>
      </c>
      <c r="BN42" s="99">
        <v>2</v>
      </c>
      <c r="BO42" s="97" t="s">
        <v>1721</v>
      </c>
      <c r="BP42" s="99">
        <v>3</v>
      </c>
      <c r="BQ42" s="99">
        <v>50</v>
      </c>
      <c r="BR42" s="99">
        <v>3</v>
      </c>
      <c r="BS42" s="97" t="s">
        <v>1842</v>
      </c>
      <c r="BT42" s="99">
        <v>8</v>
      </c>
      <c r="BU42" s="99">
        <v>0.8</v>
      </c>
      <c r="BV42" s="99">
        <v>2</v>
      </c>
      <c r="BW42" s="99">
        <v>0.8</v>
      </c>
      <c r="BX42" s="99">
        <v>12</v>
      </c>
      <c r="BY42" s="99">
        <v>0.8</v>
      </c>
      <c r="BZ42" s="99">
        <v>1.5</v>
      </c>
      <c r="CA42" s="99">
        <v>720</v>
      </c>
      <c r="CB42" s="99">
        <v>0.6</v>
      </c>
      <c r="CC42" s="99">
        <v>540</v>
      </c>
      <c r="CD42" s="99">
        <v>1.8</v>
      </c>
      <c r="CE42" s="99">
        <v>4</v>
      </c>
      <c r="CF42" s="99">
        <v>4</v>
      </c>
      <c r="CG42" s="97" t="s">
        <v>1711</v>
      </c>
      <c r="CH42" s="97" t="s">
        <v>1721</v>
      </c>
      <c r="CI42" s="97" t="s">
        <v>1721</v>
      </c>
      <c r="CJ42" s="99">
        <v>0.5</v>
      </c>
      <c r="CK42" s="99">
        <v>1.5</v>
      </c>
      <c r="CL42" s="99">
        <v>2.5</v>
      </c>
      <c r="CM42" s="99">
        <v>2.5</v>
      </c>
      <c r="CN42" s="97" t="s">
        <v>1721</v>
      </c>
      <c r="CO42" s="99">
        <v>1</v>
      </c>
      <c r="CP42" s="97" t="s">
        <v>1669</v>
      </c>
      <c r="CQ42" s="99">
        <v>10</v>
      </c>
      <c r="CR42" s="97" t="s">
        <v>1721</v>
      </c>
      <c r="CS42" s="99">
        <v>4</v>
      </c>
      <c r="CT42" s="99">
        <v>8</v>
      </c>
      <c r="CU42" s="99">
        <v>0.85</v>
      </c>
      <c r="CV42" s="97" t="s">
        <v>1721</v>
      </c>
      <c r="CW42" s="99">
        <v>2</v>
      </c>
      <c r="CX42" s="99">
        <v>50</v>
      </c>
      <c r="CY42" s="99">
        <v>0.5</v>
      </c>
      <c r="CZ42" s="99">
        <v>1</v>
      </c>
      <c r="DA42" s="97" t="s">
        <v>1721</v>
      </c>
      <c r="DB42" s="97" t="s">
        <v>1721</v>
      </c>
      <c r="DC42" s="99">
        <v>2</v>
      </c>
      <c r="DD42" s="99">
        <v>0.4</v>
      </c>
      <c r="DE42" s="97">
        <v>3</v>
      </c>
      <c r="DF42" s="97" t="s">
        <v>1934</v>
      </c>
      <c r="DG42" s="97">
        <v>60</v>
      </c>
      <c r="DH42" s="97">
        <v>0</v>
      </c>
      <c r="DI42" s="108" t="s">
        <v>1939</v>
      </c>
      <c r="DJ42" s="108" t="s">
        <v>1940</v>
      </c>
      <c r="DK42" s="108" t="s">
        <v>1941</v>
      </c>
      <c r="DL42" s="108" t="s">
        <v>1943</v>
      </c>
      <c r="DM42" s="108">
        <v>1</v>
      </c>
      <c r="DN42" s="108" t="s">
        <v>1944</v>
      </c>
      <c r="DO42" s="108">
        <v>0</v>
      </c>
      <c r="DP42" s="108" t="s">
        <v>1944</v>
      </c>
      <c r="DQ42" s="108">
        <v>0</v>
      </c>
      <c r="DR42" s="108" t="s">
        <v>1944</v>
      </c>
      <c r="DS42" s="109">
        <v>0</v>
      </c>
      <c r="DT42" s="108">
        <v>2</v>
      </c>
    </row>
    <row r="43" spans="1:124" ht="24.95" customHeight="1">
      <c r="A43" s="96" t="s">
        <v>1935</v>
      </c>
      <c r="B43" s="97" t="s">
        <v>1936</v>
      </c>
      <c r="C43" s="97" t="s">
        <v>1937</v>
      </c>
      <c r="D43" s="98">
        <v>1</v>
      </c>
      <c r="E43" s="98">
        <v>1</v>
      </c>
      <c r="F43" s="98">
        <v>10</v>
      </c>
      <c r="G43" s="99">
        <v>8</v>
      </c>
      <c r="H43" s="99">
        <v>0</v>
      </c>
      <c r="I43" s="99">
        <v>0.2</v>
      </c>
      <c r="J43" s="99">
        <v>6</v>
      </c>
      <c r="K43" s="97" t="s">
        <v>1847</v>
      </c>
      <c r="L43" s="97" t="s">
        <v>1714</v>
      </c>
      <c r="M43" s="97" t="s">
        <v>1714</v>
      </c>
      <c r="N43" s="99">
        <v>0</v>
      </c>
      <c r="O43" s="98">
        <v>0</v>
      </c>
      <c r="P43" s="97" t="s">
        <v>1720</v>
      </c>
      <c r="Q43" s="97" t="s">
        <v>1721</v>
      </c>
      <c r="R43" s="97" t="s">
        <v>1933</v>
      </c>
      <c r="S43" s="99">
        <v>3</v>
      </c>
      <c r="T43" s="98">
        <v>0</v>
      </c>
      <c r="U43" s="97" t="s">
        <v>1713</v>
      </c>
      <c r="V43" s="100">
        <v>1</v>
      </c>
      <c r="W43" s="100">
        <v>5</v>
      </c>
      <c r="X43" s="100" t="s">
        <v>1721</v>
      </c>
      <c r="Y43" s="97"/>
      <c r="Z43" s="97"/>
      <c r="AA43" s="97" t="s">
        <v>1730</v>
      </c>
      <c r="AB43" s="97" t="s">
        <v>1737</v>
      </c>
      <c r="AC43" s="97" t="s">
        <v>1731</v>
      </c>
      <c r="AD43" s="99">
        <v>30</v>
      </c>
      <c r="AE43" s="99">
        <v>1.5</v>
      </c>
      <c r="AF43" s="99">
        <v>100</v>
      </c>
      <c r="AG43" s="97" t="s">
        <v>1714</v>
      </c>
      <c r="AH43" s="99">
        <v>0</v>
      </c>
      <c r="AI43" s="97" t="s">
        <v>1715</v>
      </c>
      <c r="AJ43" s="99">
        <v>1</v>
      </c>
      <c r="AK43" s="97" t="s">
        <v>1714</v>
      </c>
      <c r="AL43" s="97" t="s">
        <v>1714</v>
      </c>
      <c r="AM43" s="97" t="s">
        <v>1714</v>
      </c>
      <c r="AN43" s="99">
        <v>0</v>
      </c>
      <c r="AO43" s="99">
        <v>0</v>
      </c>
      <c r="AP43" s="99">
        <v>0</v>
      </c>
      <c r="AQ43" s="97" t="s">
        <v>1714</v>
      </c>
      <c r="AR43" s="99">
        <v>0</v>
      </c>
      <c r="AS43" s="97" t="s">
        <v>1715</v>
      </c>
      <c r="AT43" s="99">
        <v>1</v>
      </c>
      <c r="AU43" s="97" t="s">
        <v>1714</v>
      </c>
      <c r="AV43" s="97" t="s">
        <v>1714</v>
      </c>
      <c r="AW43" s="97" t="s">
        <v>1714</v>
      </c>
      <c r="AX43" s="99">
        <v>0</v>
      </c>
      <c r="AY43" s="99">
        <v>0</v>
      </c>
      <c r="AZ43" s="99">
        <v>0</v>
      </c>
      <c r="BA43" s="97" t="s">
        <v>1714</v>
      </c>
      <c r="BB43" s="99">
        <v>0</v>
      </c>
      <c r="BC43" s="97" t="s">
        <v>1715</v>
      </c>
      <c r="BD43" s="99">
        <v>1</v>
      </c>
      <c r="BE43" s="99">
        <v>1</v>
      </c>
      <c r="BF43" s="99">
        <v>5</v>
      </c>
      <c r="BG43" s="97" t="s">
        <v>1721</v>
      </c>
      <c r="BH43" s="97"/>
      <c r="BI43" s="97" t="s">
        <v>1711</v>
      </c>
      <c r="BJ43" s="97" t="s">
        <v>1721</v>
      </c>
      <c r="BK43" s="99">
        <v>360</v>
      </c>
      <c r="BL43" s="97" t="s">
        <v>1721</v>
      </c>
      <c r="BM43" s="99">
        <v>0.3</v>
      </c>
      <c r="BN43" s="99">
        <v>2</v>
      </c>
      <c r="BO43" s="97" t="s">
        <v>1721</v>
      </c>
      <c r="BP43" s="99">
        <v>3</v>
      </c>
      <c r="BQ43" s="99">
        <v>50</v>
      </c>
      <c r="BR43" s="99">
        <v>3</v>
      </c>
      <c r="BS43" s="97" t="s">
        <v>1842</v>
      </c>
      <c r="BT43" s="99">
        <v>8</v>
      </c>
      <c r="BU43" s="99">
        <v>0.8</v>
      </c>
      <c r="BV43" s="99">
        <v>2</v>
      </c>
      <c r="BW43" s="99">
        <v>0.8</v>
      </c>
      <c r="BX43" s="99">
        <v>12</v>
      </c>
      <c r="BY43" s="99">
        <v>0.8</v>
      </c>
      <c r="BZ43" s="99">
        <v>1.5</v>
      </c>
      <c r="CA43" s="99">
        <v>720</v>
      </c>
      <c r="CB43" s="99">
        <v>0.6</v>
      </c>
      <c r="CC43" s="99">
        <v>540</v>
      </c>
      <c r="CD43" s="99">
        <v>1.8</v>
      </c>
      <c r="CE43" s="99">
        <v>4</v>
      </c>
      <c r="CF43" s="99">
        <v>4</v>
      </c>
      <c r="CG43" s="97" t="s">
        <v>1711</v>
      </c>
      <c r="CH43" s="97" t="s">
        <v>1721</v>
      </c>
      <c r="CI43" s="97" t="s">
        <v>1721</v>
      </c>
      <c r="CJ43" s="99">
        <v>0.5</v>
      </c>
      <c r="CK43" s="99">
        <v>1.5</v>
      </c>
      <c r="CL43" s="99">
        <v>2.5</v>
      </c>
      <c r="CM43" s="99">
        <v>2.5</v>
      </c>
      <c r="CN43" s="97" t="s">
        <v>1721</v>
      </c>
      <c r="CO43" s="99">
        <v>1</v>
      </c>
      <c r="CP43" s="97" t="s">
        <v>1669</v>
      </c>
      <c r="CQ43" s="99">
        <v>10</v>
      </c>
      <c r="CR43" s="97" t="s">
        <v>1721</v>
      </c>
      <c r="CS43" s="99">
        <v>4</v>
      </c>
      <c r="CT43" s="99">
        <v>8</v>
      </c>
      <c r="CU43" s="99">
        <v>0.85</v>
      </c>
      <c r="CV43" s="97" t="s">
        <v>1721</v>
      </c>
      <c r="CW43" s="99">
        <v>2</v>
      </c>
      <c r="CX43" s="99">
        <v>50</v>
      </c>
      <c r="CY43" s="99">
        <v>0.5</v>
      </c>
      <c r="CZ43" s="99">
        <v>1</v>
      </c>
      <c r="DA43" s="97" t="s">
        <v>1721</v>
      </c>
      <c r="DB43" s="97" t="s">
        <v>1721</v>
      </c>
      <c r="DC43" s="99">
        <v>2</v>
      </c>
      <c r="DD43" s="99">
        <v>0.4</v>
      </c>
      <c r="DE43" s="97">
        <v>3</v>
      </c>
      <c r="DF43" s="97" t="s">
        <v>1938</v>
      </c>
      <c r="DG43" s="97">
        <v>60</v>
      </c>
      <c r="DH43" s="97">
        <v>0</v>
      </c>
      <c r="DI43" s="108" t="s">
        <v>1939</v>
      </c>
      <c r="DJ43" s="108" t="s">
        <v>1940</v>
      </c>
      <c r="DK43" s="108" t="s">
        <v>1941</v>
      </c>
      <c r="DL43" s="108" t="s">
        <v>1943</v>
      </c>
      <c r="DM43" s="108">
        <v>1</v>
      </c>
      <c r="DN43" s="108" t="s">
        <v>1944</v>
      </c>
      <c r="DO43" s="108">
        <v>0</v>
      </c>
      <c r="DP43" s="108" t="s">
        <v>1944</v>
      </c>
      <c r="DQ43" s="108">
        <v>0</v>
      </c>
      <c r="DR43" s="108" t="s">
        <v>1944</v>
      </c>
      <c r="DS43" s="109">
        <v>0</v>
      </c>
      <c r="DT43" s="111">
        <v>4</v>
      </c>
    </row>
    <row r="44" spans="1:124" ht="24.95" customHeight="1">
      <c r="A44" s="68"/>
      <c r="D44" s="69"/>
      <c r="E44" s="69"/>
      <c r="F44" s="69"/>
      <c r="G44" s="70"/>
      <c r="H44" s="70"/>
      <c r="I44" s="70"/>
      <c r="J44" s="70"/>
      <c r="N44" s="70"/>
      <c r="O44" s="69"/>
      <c r="S44" s="70"/>
      <c r="T44" s="69"/>
      <c r="V44" s="72" t="str">
        <f t="shared" ref="V2:V69" si="0">IF($A44="","",IF(AND($U44="発射物",$DI44&lt;&gt;"パッシブ"),$BE44,0))</f>
        <v/>
      </c>
      <c r="W44" s="72" t="str">
        <f t="shared" ref="W2:W69" si="1">IF($A44="","",IF(AND($U44="発射物",$DI44&lt;&gt;"パッシブ"),$BF44,0))</f>
        <v/>
      </c>
      <c r="X44" s="72" t="str">
        <f t="shared" ref="X2:X69" si="2">IF($A44="","",IF(AND($U44="発射物",$DI44&lt;&gt;"パッシブ"),IF($BG44="有効","有効","無効"),"無効"))</f>
        <v/>
      </c>
      <c r="AD44" s="70"/>
      <c r="AE44" s="70"/>
      <c r="AF44" s="70"/>
      <c r="AH44" s="70"/>
      <c r="AJ44" s="70"/>
      <c r="AN44" s="70"/>
      <c r="AO44" s="70"/>
      <c r="AP44" s="70"/>
      <c r="AR44" s="70"/>
      <c r="AT44" s="70"/>
      <c r="AX44" s="70"/>
      <c r="AY44" s="70"/>
      <c r="AZ44" s="70"/>
      <c r="BB44" s="70"/>
      <c r="BD44" s="70"/>
      <c r="BE44" s="70"/>
      <c r="BF44" s="70"/>
      <c r="BK44" s="70"/>
      <c r="BM44" s="70"/>
      <c r="BN44" s="70"/>
      <c r="BP44" s="70"/>
      <c r="BQ44" s="70"/>
      <c r="BR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J44" s="70"/>
      <c r="CK44" s="70"/>
      <c r="CL44" s="70"/>
      <c r="CM44" s="70"/>
      <c r="CO44" s="70"/>
      <c r="CQ44" s="70"/>
      <c r="CS44" s="70"/>
      <c r="CT44" s="70"/>
      <c r="CU44" s="70"/>
      <c r="CW44" s="70"/>
      <c r="CX44" s="70"/>
      <c r="CY44" s="70"/>
      <c r="CZ44" s="70"/>
      <c r="DC44" s="70"/>
      <c r="DD44" s="70"/>
      <c r="DI44" s="73"/>
      <c r="DJ44" s="73"/>
      <c r="DK44" s="73"/>
      <c r="DL44" s="73"/>
      <c r="DM44" s="73"/>
      <c r="DN44" s="73"/>
      <c r="DO44" s="73"/>
      <c r="DP44" s="73"/>
      <c r="DQ44" s="73"/>
      <c r="DR44" s="73"/>
      <c r="DS44" s="73"/>
    </row>
    <row r="45" spans="1:124" ht="24.95" customHeight="1">
      <c r="A45" s="68"/>
      <c r="D45" s="69"/>
      <c r="E45" s="69"/>
      <c r="F45" s="69"/>
      <c r="G45" s="70"/>
      <c r="H45" s="70"/>
      <c r="I45" s="70"/>
      <c r="J45" s="70"/>
      <c r="N45" s="70"/>
      <c r="O45" s="69"/>
      <c r="S45" s="70"/>
      <c r="T45" s="69"/>
      <c r="V45" s="72" t="str">
        <f t="shared" si="0"/>
        <v/>
      </c>
      <c r="W45" s="72" t="str">
        <f t="shared" si="1"/>
        <v/>
      </c>
      <c r="X45" s="72" t="str">
        <f t="shared" si="2"/>
        <v/>
      </c>
      <c r="AD45" s="70"/>
      <c r="AE45" s="70"/>
      <c r="AF45" s="70"/>
      <c r="AH45" s="70"/>
      <c r="AJ45" s="70"/>
      <c r="AN45" s="70"/>
      <c r="AO45" s="70"/>
      <c r="AP45" s="70"/>
      <c r="AR45" s="70"/>
      <c r="AT45" s="70"/>
      <c r="AX45" s="70"/>
      <c r="AY45" s="70"/>
      <c r="AZ45" s="70"/>
      <c r="BB45" s="70"/>
      <c r="BD45" s="70"/>
      <c r="BE45" s="70"/>
      <c r="BF45" s="70"/>
      <c r="BK45" s="70"/>
      <c r="BM45" s="70"/>
      <c r="BN45" s="70"/>
      <c r="BP45" s="70"/>
      <c r="BQ45" s="70"/>
      <c r="BR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J45" s="70"/>
      <c r="CK45" s="70"/>
      <c r="CL45" s="70"/>
      <c r="CM45" s="70"/>
      <c r="CO45" s="70"/>
      <c r="CQ45" s="70"/>
      <c r="CS45" s="70"/>
      <c r="CT45" s="70"/>
      <c r="CU45" s="70"/>
      <c r="CW45" s="70"/>
      <c r="CX45" s="70"/>
      <c r="CY45" s="70"/>
      <c r="CZ45" s="70"/>
      <c r="DC45" s="70"/>
      <c r="DD45" s="70"/>
      <c r="DI45" s="73"/>
      <c r="DJ45" s="73"/>
      <c r="DK45" s="73"/>
      <c r="DL45" s="73"/>
      <c r="DM45" s="73"/>
      <c r="DN45" s="73"/>
      <c r="DO45" s="73"/>
      <c r="DP45" s="73"/>
      <c r="DQ45" s="73"/>
      <c r="DR45" s="73"/>
      <c r="DS45" s="73"/>
    </row>
    <row r="46" spans="1:124" ht="24.95" customHeight="1">
      <c r="A46" s="68"/>
      <c r="D46" s="69"/>
      <c r="E46" s="69"/>
      <c r="F46" s="69"/>
      <c r="G46" s="70"/>
      <c r="H46" s="70"/>
      <c r="I46" s="70"/>
      <c r="J46" s="70"/>
      <c r="N46" s="70"/>
      <c r="O46" s="69"/>
      <c r="S46" s="70"/>
      <c r="T46" s="69"/>
      <c r="V46" s="72" t="str">
        <f t="shared" si="0"/>
        <v/>
      </c>
      <c r="W46" s="72" t="str">
        <f t="shared" si="1"/>
        <v/>
      </c>
      <c r="X46" s="72" t="str">
        <f t="shared" si="2"/>
        <v/>
      </c>
      <c r="AD46" s="70"/>
      <c r="AE46" s="70"/>
      <c r="AF46" s="70"/>
      <c r="AH46" s="70"/>
      <c r="AJ46" s="70"/>
      <c r="AN46" s="70"/>
      <c r="AO46" s="70"/>
      <c r="AP46" s="70"/>
      <c r="AR46" s="70"/>
      <c r="AT46" s="70"/>
      <c r="AX46" s="70"/>
      <c r="AY46" s="70"/>
      <c r="AZ46" s="70"/>
      <c r="BB46" s="70"/>
      <c r="BD46" s="70"/>
      <c r="BE46" s="70"/>
      <c r="BF46" s="70"/>
      <c r="BK46" s="70"/>
      <c r="BM46" s="70"/>
      <c r="BN46" s="70"/>
      <c r="BP46" s="70"/>
      <c r="BQ46" s="70"/>
      <c r="BR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J46" s="70"/>
      <c r="CK46" s="70"/>
      <c r="CL46" s="70"/>
      <c r="CM46" s="70"/>
      <c r="CO46" s="70"/>
      <c r="CQ46" s="70"/>
      <c r="CS46" s="70"/>
      <c r="CT46" s="70"/>
      <c r="CU46" s="70"/>
      <c r="CW46" s="70"/>
      <c r="CX46" s="70"/>
      <c r="CY46" s="70"/>
      <c r="CZ46" s="70"/>
      <c r="DC46" s="70"/>
      <c r="DD46" s="70"/>
      <c r="DI46" s="73"/>
      <c r="DJ46" s="73"/>
      <c r="DK46" s="73"/>
      <c r="DL46" s="73"/>
      <c r="DM46" s="73"/>
      <c r="DN46" s="73"/>
      <c r="DO46" s="73"/>
      <c r="DP46" s="73"/>
      <c r="DQ46" s="73"/>
      <c r="DR46" s="73"/>
      <c r="DS46" s="73"/>
    </row>
    <row r="47" spans="1:124" ht="24.95" customHeight="1">
      <c r="A47" s="68"/>
      <c r="D47" s="69"/>
      <c r="E47" s="69"/>
      <c r="F47" s="69"/>
      <c r="G47" s="70"/>
      <c r="H47" s="70"/>
      <c r="I47" s="70"/>
      <c r="J47" s="70"/>
      <c r="N47" s="70"/>
      <c r="O47" s="69"/>
      <c r="S47" s="70"/>
      <c r="T47" s="69"/>
      <c r="V47" s="72" t="str">
        <f t="shared" si="0"/>
        <v/>
      </c>
      <c r="W47" s="72" t="str">
        <f t="shared" si="1"/>
        <v/>
      </c>
      <c r="X47" s="72" t="str">
        <f t="shared" si="2"/>
        <v/>
      </c>
      <c r="AD47" s="70"/>
      <c r="AE47" s="70"/>
      <c r="AF47" s="70"/>
      <c r="AH47" s="70"/>
      <c r="AJ47" s="70"/>
      <c r="AN47" s="70"/>
      <c r="AO47" s="70"/>
      <c r="AP47" s="70"/>
      <c r="AR47" s="70"/>
      <c r="AT47" s="70"/>
      <c r="AX47" s="70"/>
      <c r="AY47" s="70"/>
      <c r="AZ47" s="70"/>
      <c r="BB47" s="70"/>
      <c r="BD47" s="70"/>
      <c r="BE47" s="70"/>
      <c r="BF47" s="70"/>
      <c r="BK47" s="70"/>
      <c r="BM47" s="70"/>
      <c r="BN47" s="70"/>
      <c r="BP47" s="70"/>
      <c r="BQ47" s="70"/>
      <c r="BR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J47" s="70"/>
      <c r="CK47" s="70"/>
      <c r="CL47" s="70"/>
      <c r="CM47" s="70"/>
      <c r="CO47" s="70"/>
      <c r="CQ47" s="70"/>
      <c r="CS47" s="70"/>
      <c r="CT47" s="70"/>
      <c r="CU47" s="70"/>
      <c r="CW47" s="70"/>
      <c r="CX47" s="70"/>
      <c r="CY47" s="70"/>
      <c r="CZ47" s="70"/>
      <c r="DC47" s="70"/>
      <c r="DD47" s="70"/>
      <c r="DI47" s="73"/>
      <c r="DJ47" s="73"/>
      <c r="DK47" s="73"/>
      <c r="DL47" s="73"/>
      <c r="DM47" s="73"/>
      <c r="DN47" s="73"/>
      <c r="DO47" s="73"/>
      <c r="DP47" s="73"/>
      <c r="DQ47" s="73"/>
      <c r="DR47" s="73"/>
      <c r="DS47" s="73"/>
    </row>
    <row r="48" spans="1:124" ht="24.95" customHeight="1">
      <c r="A48" s="68"/>
      <c r="D48" s="69"/>
      <c r="E48" s="69"/>
      <c r="F48" s="69"/>
      <c r="G48" s="70"/>
      <c r="H48" s="70"/>
      <c r="I48" s="70"/>
      <c r="J48" s="70"/>
      <c r="N48" s="70"/>
      <c r="O48" s="69"/>
      <c r="S48" s="70"/>
      <c r="T48" s="69"/>
      <c r="V48" s="72" t="str">
        <f t="shared" si="0"/>
        <v/>
      </c>
      <c r="W48" s="72" t="str">
        <f t="shared" si="1"/>
        <v/>
      </c>
      <c r="X48" s="72" t="str">
        <f t="shared" si="2"/>
        <v/>
      </c>
      <c r="AD48" s="70"/>
      <c r="AE48" s="70"/>
      <c r="AF48" s="70"/>
      <c r="AH48" s="70"/>
      <c r="AJ48" s="70"/>
      <c r="AN48" s="70"/>
      <c r="AO48" s="70"/>
      <c r="AP48" s="70"/>
      <c r="AR48" s="70"/>
      <c r="AT48" s="70"/>
      <c r="AX48" s="70"/>
      <c r="AY48" s="70"/>
      <c r="AZ48" s="70"/>
      <c r="BB48" s="70"/>
      <c r="BD48" s="70"/>
      <c r="BE48" s="70"/>
      <c r="BF48" s="70"/>
      <c r="BK48" s="70"/>
      <c r="BM48" s="70"/>
      <c r="BN48" s="70"/>
      <c r="BP48" s="70"/>
      <c r="BQ48" s="70"/>
      <c r="BR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J48" s="70"/>
      <c r="CK48" s="70"/>
      <c r="CL48" s="70"/>
      <c r="CM48" s="70"/>
      <c r="CO48" s="70"/>
      <c r="CQ48" s="70"/>
      <c r="CS48" s="70"/>
      <c r="CT48" s="70"/>
      <c r="CU48" s="70"/>
      <c r="CW48" s="70"/>
      <c r="CX48" s="70"/>
      <c r="CY48" s="70"/>
      <c r="CZ48" s="70"/>
      <c r="DC48" s="70"/>
      <c r="DD48" s="70"/>
      <c r="DI48" s="73"/>
      <c r="DJ48" s="73"/>
      <c r="DK48" s="73"/>
      <c r="DL48" s="73"/>
      <c r="DM48" s="73"/>
      <c r="DN48" s="73"/>
      <c r="DO48" s="73"/>
      <c r="DP48" s="73"/>
      <c r="DQ48" s="73"/>
      <c r="DR48" s="73"/>
      <c r="DS48" s="73"/>
    </row>
    <row r="49" spans="1:123" ht="24.95" customHeight="1">
      <c r="A49" s="68"/>
      <c r="D49" s="69"/>
      <c r="E49" s="69"/>
      <c r="F49" s="69"/>
      <c r="G49" s="70"/>
      <c r="H49" s="70"/>
      <c r="I49" s="70"/>
      <c r="J49" s="70"/>
      <c r="N49" s="70"/>
      <c r="O49" s="69"/>
      <c r="S49" s="70"/>
      <c r="T49" s="69"/>
      <c r="V49" s="72" t="str">
        <f t="shared" si="0"/>
        <v/>
      </c>
      <c r="W49" s="72" t="str">
        <f t="shared" si="1"/>
        <v/>
      </c>
      <c r="X49" s="72" t="str">
        <f t="shared" si="2"/>
        <v/>
      </c>
      <c r="AD49" s="70"/>
      <c r="AE49" s="70"/>
      <c r="AF49" s="70"/>
      <c r="AH49" s="70"/>
      <c r="AJ49" s="70"/>
      <c r="AN49" s="70"/>
      <c r="AO49" s="70"/>
      <c r="AP49" s="70"/>
      <c r="AR49" s="70"/>
      <c r="AT49" s="70"/>
      <c r="AX49" s="70"/>
      <c r="AY49" s="70"/>
      <c r="AZ49" s="70"/>
      <c r="BB49" s="70"/>
      <c r="BD49" s="70"/>
      <c r="BE49" s="70"/>
      <c r="BF49" s="70"/>
      <c r="BK49" s="70"/>
      <c r="BM49" s="70"/>
      <c r="BN49" s="70"/>
      <c r="BP49" s="70"/>
      <c r="BQ49" s="70"/>
      <c r="BR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J49" s="70"/>
      <c r="CK49" s="70"/>
      <c r="CL49" s="70"/>
      <c r="CM49" s="70"/>
      <c r="CO49" s="70"/>
      <c r="CQ49" s="70"/>
      <c r="CS49" s="70"/>
      <c r="CT49" s="70"/>
      <c r="CU49" s="70"/>
      <c r="CW49" s="70"/>
      <c r="CX49" s="70"/>
      <c r="CY49" s="70"/>
      <c r="CZ49" s="70"/>
      <c r="DC49" s="70"/>
      <c r="DD49" s="70"/>
      <c r="DI49" s="73"/>
      <c r="DJ49" s="73"/>
      <c r="DK49" s="73"/>
      <c r="DL49" s="73"/>
      <c r="DM49" s="73"/>
      <c r="DN49" s="73"/>
      <c r="DO49" s="73"/>
      <c r="DP49" s="73"/>
      <c r="DQ49" s="73"/>
      <c r="DR49" s="73"/>
      <c r="DS49" s="73"/>
    </row>
    <row r="50" spans="1:123" ht="24.95" customHeight="1">
      <c r="A50" s="68"/>
      <c r="D50" s="69"/>
      <c r="E50" s="69"/>
      <c r="F50" s="69"/>
      <c r="G50" s="70"/>
      <c r="H50" s="70"/>
      <c r="I50" s="70"/>
      <c r="J50" s="70"/>
      <c r="N50" s="70"/>
      <c r="O50" s="69"/>
      <c r="S50" s="70"/>
      <c r="T50" s="69"/>
      <c r="V50" s="72" t="str">
        <f t="shared" si="0"/>
        <v/>
      </c>
      <c r="W50" s="72" t="str">
        <f t="shared" si="1"/>
        <v/>
      </c>
      <c r="X50" s="72" t="str">
        <f t="shared" si="2"/>
        <v/>
      </c>
      <c r="AD50" s="70"/>
      <c r="AE50" s="70"/>
      <c r="AF50" s="70"/>
      <c r="AH50" s="70"/>
      <c r="AJ50" s="70"/>
      <c r="AN50" s="70"/>
      <c r="AO50" s="70"/>
      <c r="AP50" s="70"/>
      <c r="AR50" s="70"/>
      <c r="AT50" s="70"/>
      <c r="AX50" s="70"/>
      <c r="AY50" s="70"/>
      <c r="AZ50" s="70"/>
      <c r="BB50" s="70"/>
      <c r="BD50" s="70"/>
      <c r="BE50" s="70"/>
      <c r="BF50" s="70"/>
      <c r="BK50" s="70"/>
      <c r="BM50" s="70"/>
      <c r="BN50" s="70"/>
      <c r="BP50" s="70"/>
      <c r="BQ50" s="70"/>
      <c r="BR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J50" s="70"/>
      <c r="CK50" s="70"/>
      <c r="CL50" s="70"/>
      <c r="CM50" s="70"/>
      <c r="CO50" s="70"/>
      <c r="CQ50" s="70"/>
      <c r="CS50" s="70"/>
      <c r="CT50" s="70"/>
      <c r="CU50" s="70"/>
      <c r="CW50" s="70"/>
      <c r="CX50" s="70"/>
      <c r="CY50" s="70"/>
      <c r="CZ50" s="70"/>
      <c r="DC50" s="70"/>
      <c r="DD50" s="70"/>
      <c r="DI50" s="73"/>
      <c r="DJ50" s="73"/>
      <c r="DK50" s="73"/>
      <c r="DL50" s="73"/>
      <c r="DM50" s="73"/>
      <c r="DN50" s="73"/>
      <c r="DO50" s="73"/>
      <c r="DP50" s="73"/>
      <c r="DQ50" s="73"/>
      <c r="DR50" s="73"/>
      <c r="DS50" s="73"/>
    </row>
    <row r="51" spans="1:123" ht="24.95" customHeight="1">
      <c r="A51" s="68"/>
      <c r="D51" s="69"/>
      <c r="E51" s="69"/>
      <c r="F51" s="69"/>
      <c r="G51" s="70"/>
      <c r="H51" s="70"/>
      <c r="I51" s="70"/>
      <c r="J51" s="70"/>
      <c r="N51" s="70"/>
      <c r="O51" s="69"/>
      <c r="S51" s="70"/>
      <c r="T51" s="69"/>
      <c r="V51" s="72" t="str">
        <f t="shared" si="0"/>
        <v/>
      </c>
      <c r="W51" s="72" t="str">
        <f t="shared" si="1"/>
        <v/>
      </c>
      <c r="X51" s="72" t="str">
        <f t="shared" si="2"/>
        <v/>
      </c>
      <c r="AD51" s="70"/>
      <c r="AE51" s="70"/>
      <c r="AF51" s="70"/>
      <c r="AH51" s="70"/>
      <c r="AJ51" s="70"/>
      <c r="AN51" s="70"/>
      <c r="AO51" s="70"/>
      <c r="AP51" s="70"/>
      <c r="AR51" s="70"/>
      <c r="AT51" s="70"/>
      <c r="AX51" s="70"/>
      <c r="AY51" s="70"/>
      <c r="AZ51" s="70"/>
      <c r="BB51" s="70"/>
      <c r="BD51" s="70"/>
      <c r="BE51" s="70"/>
      <c r="BF51" s="70"/>
      <c r="BK51" s="70"/>
      <c r="BM51" s="70"/>
      <c r="BN51" s="70"/>
      <c r="BP51" s="70"/>
      <c r="BQ51" s="70"/>
      <c r="BR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J51" s="70"/>
      <c r="CK51" s="70"/>
      <c r="CL51" s="70"/>
      <c r="CM51" s="70"/>
      <c r="CO51" s="70"/>
      <c r="CQ51" s="70"/>
      <c r="CS51" s="70"/>
      <c r="CT51" s="70"/>
      <c r="CU51" s="70"/>
      <c r="CW51" s="70"/>
      <c r="CX51" s="70"/>
      <c r="CY51" s="70"/>
      <c r="CZ51" s="70"/>
      <c r="DC51" s="70"/>
      <c r="DD51" s="70"/>
      <c r="DI51" s="73"/>
      <c r="DJ51" s="73"/>
      <c r="DK51" s="73"/>
      <c r="DL51" s="73"/>
      <c r="DM51" s="73"/>
      <c r="DN51" s="73"/>
      <c r="DO51" s="73"/>
      <c r="DP51" s="73"/>
      <c r="DQ51" s="73"/>
      <c r="DR51" s="73"/>
      <c r="DS51" s="73"/>
    </row>
    <row r="52" spans="1:123" ht="24.95" customHeight="1">
      <c r="A52" s="68"/>
      <c r="D52" s="69"/>
      <c r="E52" s="69"/>
      <c r="F52" s="69"/>
      <c r="G52" s="70"/>
      <c r="H52" s="70"/>
      <c r="I52" s="70"/>
      <c r="J52" s="70"/>
      <c r="N52" s="70"/>
      <c r="O52" s="69"/>
      <c r="S52" s="70"/>
      <c r="T52" s="69"/>
      <c r="V52" s="72" t="str">
        <f t="shared" si="0"/>
        <v/>
      </c>
      <c r="W52" s="72" t="str">
        <f t="shared" si="1"/>
        <v/>
      </c>
      <c r="X52" s="72" t="str">
        <f t="shared" si="2"/>
        <v/>
      </c>
      <c r="AD52" s="70"/>
      <c r="AE52" s="70"/>
      <c r="AF52" s="70"/>
      <c r="AH52" s="70"/>
      <c r="AJ52" s="70"/>
      <c r="AN52" s="70"/>
      <c r="AO52" s="70"/>
      <c r="AP52" s="70"/>
      <c r="AR52" s="70"/>
      <c r="AT52" s="70"/>
      <c r="AX52" s="70"/>
      <c r="AY52" s="70"/>
      <c r="AZ52" s="70"/>
      <c r="BB52" s="70"/>
      <c r="BD52" s="70"/>
      <c r="BE52" s="70"/>
      <c r="BF52" s="70"/>
      <c r="BK52" s="70"/>
      <c r="BM52" s="70"/>
      <c r="BN52" s="70"/>
      <c r="BP52" s="70"/>
      <c r="BQ52" s="70"/>
      <c r="BR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J52" s="70"/>
      <c r="CK52" s="70"/>
      <c r="CL52" s="70"/>
      <c r="CM52" s="70"/>
      <c r="CO52" s="70"/>
      <c r="CQ52" s="70"/>
      <c r="CS52" s="70"/>
      <c r="CT52" s="70"/>
      <c r="CU52" s="70"/>
      <c r="CW52" s="70"/>
      <c r="CX52" s="70"/>
      <c r="CY52" s="70"/>
      <c r="CZ52" s="70"/>
      <c r="DC52" s="70"/>
      <c r="DD52" s="70"/>
      <c r="DI52" s="73"/>
      <c r="DJ52" s="73"/>
      <c r="DK52" s="73"/>
      <c r="DL52" s="73"/>
      <c r="DM52" s="73"/>
      <c r="DN52" s="73"/>
      <c r="DO52" s="73"/>
      <c r="DP52" s="73"/>
      <c r="DQ52" s="73"/>
      <c r="DR52" s="73"/>
      <c r="DS52" s="73"/>
    </row>
    <row r="53" spans="1:123" ht="24.95" customHeight="1">
      <c r="A53" s="68"/>
      <c r="D53" s="69"/>
      <c r="E53" s="69"/>
      <c r="F53" s="69"/>
      <c r="G53" s="70"/>
      <c r="H53" s="70"/>
      <c r="I53" s="70"/>
      <c r="J53" s="70"/>
      <c r="N53" s="70"/>
      <c r="O53" s="69"/>
      <c r="S53" s="70"/>
      <c r="T53" s="69"/>
      <c r="V53" s="72" t="str">
        <f t="shared" si="0"/>
        <v/>
      </c>
      <c r="W53" s="72" t="str">
        <f t="shared" si="1"/>
        <v/>
      </c>
      <c r="X53" s="72" t="str">
        <f t="shared" si="2"/>
        <v/>
      </c>
      <c r="AD53" s="70"/>
      <c r="AE53" s="70"/>
      <c r="AF53" s="70"/>
      <c r="AH53" s="70"/>
      <c r="AJ53" s="70"/>
      <c r="AN53" s="70"/>
      <c r="AO53" s="70"/>
      <c r="AP53" s="70"/>
      <c r="AR53" s="70"/>
      <c r="AT53" s="70"/>
      <c r="AX53" s="70"/>
      <c r="AY53" s="70"/>
      <c r="AZ53" s="70"/>
      <c r="BB53" s="70"/>
      <c r="BD53" s="70"/>
      <c r="BE53" s="70"/>
      <c r="BF53" s="70"/>
      <c r="BK53" s="70"/>
      <c r="BM53" s="70"/>
      <c r="BN53" s="70"/>
      <c r="BP53" s="70"/>
      <c r="BQ53" s="70"/>
      <c r="BR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J53" s="70"/>
      <c r="CK53" s="70"/>
      <c r="CL53" s="70"/>
      <c r="CM53" s="70"/>
      <c r="CO53" s="70"/>
      <c r="CQ53" s="70"/>
      <c r="CS53" s="70"/>
      <c r="CT53" s="70"/>
      <c r="CU53" s="70"/>
      <c r="CW53" s="70"/>
      <c r="CX53" s="70"/>
      <c r="CY53" s="70"/>
      <c r="CZ53" s="70"/>
      <c r="DC53" s="70"/>
      <c r="DD53" s="70"/>
      <c r="DI53" s="73"/>
      <c r="DJ53" s="73"/>
      <c r="DK53" s="73"/>
      <c r="DL53" s="73"/>
      <c r="DM53" s="73"/>
      <c r="DN53" s="73"/>
      <c r="DO53" s="73"/>
      <c r="DP53" s="73"/>
      <c r="DQ53" s="73"/>
      <c r="DR53" s="73"/>
      <c r="DS53" s="73"/>
    </row>
    <row r="54" spans="1:123" ht="24.95" customHeight="1">
      <c r="A54" s="68"/>
      <c r="D54" s="69"/>
      <c r="E54" s="69"/>
      <c r="F54" s="69"/>
      <c r="G54" s="70"/>
      <c r="H54" s="70"/>
      <c r="I54" s="70"/>
      <c r="J54" s="70"/>
      <c r="N54" s="70"/>
      <c r="O54" s="69"/>
      <c r="S54" s="70"/>
      <c r="T54" s="69"/>
      <c r="V54" s="72" t="str">
        <f t="shared" si="0"/>
        <v/>
      </c>
      <c r="W54" s="72" t="str">
        <f t="shared" si="1"/>
        <v/>
      </c>
      <c r="X54" s="72" t="str">
        <f t="shared" si="2"/>
        <v/>
      </c>
      <c r="AD54" s="70"/>
      <c r="AE54" s="70"/>
      <c r="AF54" s="70"/>
      <c r="AH54" s="70"/>
      <c r="AJ54" s="70"/>
      <c r="AN54" s="70"/>
      <c r="AO54" s="70"/>
      <c r="AP54" s="70"/>
      <c r="AR54" s="70"/>
      <c r="AT54" s="70"/>
      <c r="AX54" s="70"/>
      <c r="AY54" s="70"/>
      <c r="AZ54" s="70"/>
      <c r="BB54" s="70"/>
      <c r="BD54" s="70"/>
      <c r="BE54" s="70"/>
      <c r="BF54" s="70"/>
      <c r="BK54" s="70"/>
      <c r="BM54" s="70"/>
      <c r="BN54" s="70"/>
      <c r="BP54" s="70"/>
      <c r="BQ54" s="70"/>
      <c r="BR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J54" s="70"/>
      <c r="CK54" s="70"/>
      <c r="CL54" s="70"/>
      <c r="CM54" s="70"/>
      <c r="CO54" s="70"/>
      <c r="CQ54" s="70"/>
      <c r="CS54" s="70"/>
      <c r="CT54" s="70"/>
      <c r="CU54" s="70"/>
      <c r="CW54" s="70"/>
      <c r="CX54" s="70"/>
      <c r="CY54" s="70"/>
      <c r="CZ54" s="70"/>
      <c r="DC54" s="70"/>
      <c r="DD54" s="70"/>
      <c r="DI54" s="73"/>
      <c r="DJ54" s="73"/>
      <c r="DK54" s="73"/>
      <c r="DL54" s="73"/>
      <c r="DM54" s="73"/>
      <c r="DN54" s="73"/>
      <c r="DO54" s="73"/>
      <c r="DP54" s="73"/>
      <c r="DQ54" s="73"/>
      <c r="DR54" s="73"/>
      <c r="DS54" s="73"/>
    </row>
    <row r="55" spans="1:123" ht="24.95" customHeight="1">
      <c r="A55" s="68"/>
      <c r="D55" s="69"/>
      <c r="E55" s="69"/>
      <c r="F55" s="69"/>
      <c r="G55" s="70"/>
      <c r="H55" s="70"/>
      <c r="I55" s="70"/>
      <c r="J55" s="70"/>
      <c r="N55" s="70"/>
      <c r="O55" s="69"/>
      <c r="S55" s="70"/>
      <c r="T55" s="69"/>
      <c r="V55" s="72" t="str">
        <f t="shared" si="0"/>
        <v/>
      </c>
      <c r="W55" s="72" t="str">
        <f t="shared" si="1"/>
        <v/>
      </c>
      <c r="X55" s="72" t="str">
        <f t="shared" si="2"/>
        <v/>
      </c>
      <c r="AD55" s="70"/>
      <c r="AE55" s="70"/>
      <c r="AF55" s="70"/>
      <c r="AH55" s="70"/>
      <c r="AJ55" s="70"/>
      <c r="AN55" s="70"/>
      <c r="AO55" s="70"/>
      <c r="AP55" s="70"/>
      <c r="AR55" s="70"/>
      <c r="AT55" s="70"/>
      <c r="AX55" s="70"/>
      <c r="AY55" s="70"/>
      <c r="AZ55" s="70"/>
      <c r="BB55" s="70"/>
      <c r="BD55" s="70"/>
      <c r="BE55" s="70"/>
      <c r="BF55" s="70"/>
      <c r="BK55" s="70"/>
      <c r="BM55" s="70"/>
      <c r="BN55" s="70"/>
      <c r="BP55" s="70"/>
      <c r="BQ55" s="70"/>
      <c r="BR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J55" s="70"/>
      <c r="CK55" s="70"/>
      <c r="CL55" s="70"/>
      <c r="CM55" s="70"/>
      <c r="CO55" s="70"/>
      <c r="CQ55" s="70"/>
      <c r="CS55" s="70"/>
      <c r="CT55" s="70"/>
      <c r="CU55" s="70"/>
      <c r="CW55" s="70"/>
      <c r="CX55" s="70"/>
      <c r="CY55" s="70"/>
      <c r="CZ55" s="70"/>
      <c r="DC55" s="70"/>
      <c r="DD55" s="70"/>
      <c r="DI55" s="73"/>
      <c r="DJ55" s="73"/>
      <c r="DK55" s="73"/>
      <c r="DL55" s="73"/>
      <c r="DM55" s="73"/>
      <c r="DN55" s="73"/>
      <c r="DO55" s="73"/>
      <c r="DP55" s="73"/>
      <c r="DQ55" s="73"/>
      <c r="DR55" s="73"/>
      <c r="DS55" s="73"/>
    </row>
    <row r="56" spans="1:123" ht="24.95" customHeight="1">
      <c r="A56" s="68"/>
      <c r="D56" s="69"/>
      <c r="E56" s="69"/>
      <c r="F56" s="69"/>
      <c r="G56" s="70"/>
      <c r="H56" s="70"/>
      <c r="I56" s="70"/>
      <c r="J56" s="70"/>
      <c r="N56" s="70"/>
      <c r="O56" s="69"/>
      <c r="S56" s="70"/>
      <c r="T56" s="69"/>
      <c r="V56" s="72" t="str">
        <f t="shared" si="0"/>
        <v/>
      </c>
      <c r="W56" s="72" t="str">
        <f t="shared" si="1"/>
        <v/>
      </c>
      <c r="X56" s="72" t="str">
        <f t="shared" si="2"/>
        <v/>
      </c>
      <c r="AD56" s="70"/>
      <c r="AE56" s="70"/>
      <c r="AF56" s="70"/>
      <c r="AH56" s="70"/>
      <c r="AJ56" s="70"/>
      <c r="AN56" s="70"/>
      <c r="AO56" s="70"/>
      <c r="AP56" s="70"/>
      <c r="AR56" s="70"/>
      <c r="AT56" s="70"/>
      <c r="AX56" s="70"/>
      <c r="AY56" s="70"/>
      <c r="AZ56" s="70"/>
      <c r="BB56" s="70"/>
      <c r="BD56" s="70"/>
      <c r="BE56" s="70"/>
      <c r="BF56" s="70"/>
      <c r="BK56" s="70"/>
      <c r="BM56" s="70"/>
      <c r="BN56" s="70"/>
      <c r="BP56" s="70"/>
      <c r="BQ56" s="70"/>
      <c r="BR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J56" s="70"/>
      <c r="CK56" s="70"/>
      <c r="CL56" s="70"/>
      <c r="CM56" s="70"/>
      <c r="CO56" s="70"/>
      <c r="CQ56" s="70"/>
      <c r="CS56" s="70"/>
      <c r="CT56" s="70"/>
      <c r="CU56" s="70"/>
      <c r="CW56" s="70"/>
      <c r="CX56" s="70"/>
      <c r="CY56" s="70"/>
      <c r="CZ56" s="70"/>
      <c r="DC56" s="70"/>
      <c r="DD56" s="70"/>
      <c r="DI56" s="73"/>
      <c r="DJ56" s="73"/>
      <c r="DK56" s="73"/>
      <c r="DL56" s="73"/>
      <c r="DM56" s="73"/>
      <c r="DN56" s="73"/>
      <c r="DO56" s="73"/>
      <c r="DP56" s="73"/>
      <c r="DQ56" s="73"/>
      <c r="DR56" s="73"/>
      <c r="DS56" s="73"/>
    </row>
    <row r="57" spans="1:123" ht="24.95" customHeight="1">
      <c r="A57" s="68"/>
      <c r="D57" s="69"/>
      <c r="E57" s="69"/>
      <c r="F57" s="69"/>
      <c r="G57" s="70"/>
      <c r="H57" s="70"/>
      <c r="I57" s="70"/>
      <c r="J57" s="70"/>
      <c r="N57" s="70"/>
      <c r="O57" s="69"/>
      <c r="S57" s="70"/>
      <c r="T57" s="69"/>
      <c r="V57" s="72" t="str">
        <f t="shared" si="0"/>
        <v/>
      </c>
      <c r="W57" s="72" t="str">
        <f t="shared" si="1"/>
        <v/>
      </c>
      <c r="X57" s="72" t="str">
        <f t="shared" si="2"/>
        <v/>
      </c>
      <c r="AD57" s="70"/>
      <c r="AE57" s="70"/>
      <c r="AF57" s="70"/>
      <c r="AH57" s="70"/>
      <c r="AJ57" s="70"/>
      <c r="AN57" s="70"/>
      <c r="AO57" s="70"/>
      <c r="AP57" s="70"/>
      <c r="AR57" s="70"/>
      <c r="AT57" s="70"/>
      <c r="AX57" s="70"/>
      <c r="AY57" s="70"/>
      <c r="AZ57" s="70"/>
      <c r="BB57" s="70"/>
      <c r="BD57" s="70"/>
      <c r="BE57" s="70"/>
      <c r="BF57" s="70"/>
      <c r="BK57" s="70"/>
      <c r="BM57" s="70"/>
      <c r="BN57" s="70"/>
      <c r="BP57" s="70"/>
      <c r="BQ57" s="70"/>
      <c r="BR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J57" s="70"/>
      <c r="CK57" s="70"/>
      <c r="CL57" s="70"/>
      <c r="CM57" s="70"/>
      <c r="CO57" s="70"/>
      <c r="CQ57" s="70"/>
      <c r="CS57" s="70"/>
      <c r="CT57" s="70"/>
      <c r="CU57" s="70"/>
      <c r="CW57" s="70"/>
      <c r="CX57" s="70"/>
      <c r="CY57" s="70"/>
      <c r="CZ57" s="70"/>
      <c r="DC57" s="70"/>
      <c r="DD57" s="70"/>
      <c r="DI57" s="73"/>
      <c r="DJ57" s="73"/>
      <c r="DK57" s="73"/>
      <c r="DL57" s="73"/>
      <c r="DM57" s="73"/>
      <c r="DN57" s="73"/>
      <c r="DO57" s="73"/>
      <c r="DP57" s="73"/>
      <c r="DQ57" s="73"/>
      <c r="DR57" s="73"/>
      <c r="DS57" s="73"/>
    </row>
    <row r="58" spans="1:123" ht="24.95" customHeight="1">
      <c r="A58" s="68"/>
      <c r="D58" s="69"/>
      <c r="E58" s="69"/>
      <c r="F58" s="69"/>
      <c r="G58" s="70"/>
      <c r="H58" s="70"/>
      <c r="I58" s="70"/>
      <c r="J58" s="70"/>
      <c r="N58" s="70"/>
      <c r="O58" s="69"/>
      <c r="S58" s="70"/>
      <c r="T58" s="69"/>
      <c r="V58" s="72" t="str">
        <f t="shared" si="0"/>
        <v/>
      </c>
      <c r="W58" s="72" t="str">
        <f t="shared" si="1"/>
        <v/>
      </c>
      <c r="X58" s="72" t="str">
        <f t="shared" si="2"/>
        <v/>
      </c>
      <c r="AD58" s="70"/>
      <c r="AE58" s="70"/>
      <c r="AF58" s="70"/>
      <c r="AH58" s="70"/>
      <c r="AJ58" s="70"/>
      <c r="AN58" s="70"/>
      <c r="AO58" s="70"/>
      <c r="AP58" s="70"/>
      <c r="AR58" s="70"/>
      <c r="AT58" s="70"/>
      <c r="AX58" s="70"/>
      <c r="AY58" s="70"/>
      <c r="AZ58" s="70"/>
      <c r="BB58" s="70"/>
      <c r="BD58" s="70"/>
      <c r="BE58" s="70"/>
      <c r="BF58" s="70"/>
      <c r="BK58" s="70"/>
      <c r="BM58" s="70"/>
      <c r="BN58" s="70"/>
      <c r="BP58" s="70"/>
      <c r="BQ58" s="70"/>
      <c r="BR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J58" s="70"/>
      <c r="CK58" s="70"/>
      <c r="CL58" s="70"/>
      <c r="CM58" s="70"/>
      <c r="CO58" s="70"/>
      <c r="CQ58" s="70"/>
      <c r="CS58" s="70"/>
      <c r="CT58" s="70"/>
      <c r="CU58" s="70"/>
      <c r="CW58" s="70"/>
      <c r="CX58" s="70"/>
      <c r="CY58" s="70"/>
      <c r="CZ58" s="70"/>
      <c r="DC58" s="70"/>
      <c r="DD58" s="70"/>
      <c r="DI58" s="73"/>
      <c r="DJ58" s="73"/>
      <c r="DK58" s="73"/>
      <c r="DL58" s="73"/>
      <c r="DM58" s="73"/>
      <c r="DN58" s="73"/>
      <c r="DO58" s="73"/>
      <c r="DP58" s="73"/>
      <c r="DQ58" s="73"/>
      <c r="DR58" s="73"/>
      <c r="DS58" s="73"/>
    </row>
    <row r="59" spans="1:123" ht="24.95" customHeight="1">
      <c r="A59" s="68"/>
      <c r="D59" s="69"/>
      <c r="E59" s="69"/>
      <c r="F59" s="69"/>
      <c r="G59" s="70"/>
      <c r="H59" s="70"/>
      <c r="I59" s="70"/>
      <c r="J59" s="70"/>
      <c r="N59" s="70"/>
      <c r="O59" s="69"/>
      <c r="S59" s="70"/>
      <c r="T59" s="69"/>
      <c r="V59" s="72" t="str">
        <f t="shared" si="0"/>
        <v/>
      </c>
      <c r="W59" s="72" t="str">
        <f t="shared" si="1"/>
        <v/>
      </c>
      <c r="X59" s="72" t="str">
        <f t="shared" si="2"/>
        <v/>
      </c>
      <c r="AD59" s="70"/>
      <c r="AE59" s="70"/>
      <c r="AF59" s="70"/>
      <c r="AH59" s="70"/>
      <c r="AJ59" s="70"/>
      <c r="AN59" s="70"/>
      <c r="AO59" s="70"/>
      <c r="AP59" s="70"/>
      <c r="AR59" s="70"/>
      <c r="AT59" s="70"/>
      <c r="AX59" s="70"/>
      <c r="AY59" s="70"/>
      <c r="AZ59" s="70"/>
      <c r="BB59" s="70"/>
      <c r="BD59" s="70"/>
      <c r="BE59" s="70"/>
      <c r="BF59" s="70"/>
      <c r="BK59" s="70"/>
      <c r="BM59" s="70"/>
      <c r="BN59" s="70"/>
      <c r="BP59" s="70"/>
      <c r="BQ59" s="70"/>
      <c r="BR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J59" s="70"/>
      <c r="CK59" s="70"/>
      <c r="CL59" s="70"/>
      <c r="CM59" s="70"/>
      <c r="CO59" s="70"/>
      <c r="CQ59" s="70"/>
      <c r="CS59" s="70"/>
      <c r="CT59" s="70"/>
      <c r="CU59" s="70"/>
      <c r="CW59" s="70"/>
      <c r="CX59" s="70"/>
      <c r="CY59" s="70"/>
      <c r="CZ59" s="70"/>
      <c r="DC59" s="70"/>
      <c r="DD59" s="70"/>
      <c r="DI59" s="73"/>
      <c r="DJ59" s="73"/>
      <c r="DK59" s="73"/>
      <c r="DL59" s="73"/>
      <c r="DM59" s="73"/>
      <c r="DN59" s="73"/>
      <c r="DO59" s="73"/>
      <c r="DP59" s="73"/>
      <c r="DQ59" s="73"/>
      <c r="DR59" s="73"/>
      <c r="DS59" s="73"/>
    </row>
    <row r="60" spans="1:123" ht="24.95" customHeight="1">
      <c r="A60" s="68"/>
      <c r="D60" s="69"/>
      <c r="E60" s="69"/>
      <c r="F60" s="69"/>
      <c r="G60" s="70"/>
      <c r="H60" s="70"/>
      <c r="I60" s="70"/>
      <c r="J60" s="70"/>
      <c r="N60" s="70"/>
      <c r="O60" s="69"/>
      <c r="S60" s="70"/>
      <c r="T60" s="69"/>
      <c r="V60" s="72" t="str">
        <f t="shared" si="0"/>
        <v/>
      </c>
      <c r="W60" s="72" t="str">
        <f t="shared" si="1"/>
        <v/>
      </c>
      <c r="X60" s="72" t="str">
        <f t="shared" si="2"/>
        <v/>
      </c>
      <c r="AD60" s="70"/>
      <c r="AE60" s="70"/>
      <c r="AF60" s="70"/>
      <c r="AH60" s="70"/>
      <c r="AJ60" s="70"/>
      <c r="AN60" s="70"/>
      <c r="AO60" s="70"/>
      <c r="AP60" s="70"/>
      <c r="AR60" s="70"/>
      <c r="AT60" s="70"/>
      <c r="AX60" s="70"/>
      <c r="AY60" s="70"/>
      <c r="AZ60" s="70"/>
      <c r="BB60" s="70"/>
      <c r="BD60" s="70"/>
      <c r="BE60" s="70"/>
      <c r="BF60" s="70"/>
      <c r="BK60" s="70"/>
      <c r="BM60" s="70"/>
      <c r="BN60" s="70"/>
      <c r="BP60" s="70"/>
      <c r="BQ60" s="70"/>
      <c r="BR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J60" s="70"/>
      <c r="CK60" s="70"/>
      <c r="CL60" s="70"/>
      <c r="CM60" s="70"/>
      <c r="CO60" s="70"/>
      <c r="CQ60" s="70"/>
      <c r="CS60" s="70"/>
      <c r="CT60" s="70"/>
      <c r="CU60" s="70"/>
      <c r="CW60" s="70"/>
      <c r="CX60" s="70"/>
      <c r="CY60" s="70"/>
      <c r="CZ60" s="70"/>
      <c r="DC60" s="70"/>
      <c r="DD60" s="70"/>
      <c r="DI60" s="73"/>
      <c r="DJ60" s="73"/>
      <c r="DK60" s="73"/>
      <c r="DL60" s="73"/>
      <c r="DM60" s="73"/>
      <c r="DN60" s="73"/>
      <c r="DO60" s="73"/>
      <c r="DP60" s="73"/>
      <c r="DQ60" s="73"/>
      <c r="DR60" s="73"/>
      <c r="DS60" s="73"/>
    </row>
    <row r="61" spans="1:123" ht="24.95" customHeight="1">
      <c r="A61" s="68"/>
      <c r="D61" s="69"/>
      <c r="E61" s="69"/>
      <c r="F61" s="69"/>
      <c r="G61" s="70"/>
      <c r="H61" s="70"/>
      <c r="I61" s="70"/>
      <c r="J61" s="70"/>
      <c r="N61" s="70"/>
      <c r="O61" s="69"/>
      <c r="S61" s="70"/>
      <c r="T61" s="69"/>
      <c r="V61" s="72" t="str">
        <f t="shared" si="0"/>
        <v/>
      </c>
      <c r="W61" s="72" t="str">
        <f t="shared" si="1"/>
        <v/>
      </c>
      <c r="X61" s="72" t="str">
        <f t="shared" si="2"/>
        <v/>
      </c>
      <c r="AD61" s="70"/>
      <c r="AE61" s="70"/>
      <c r="AF61" s="70"/>
      <c r="AH61" s="70"/>
      <c r="AJ61" s="70"/>
      <c r="AN61" s="70"/>
      <c r="AO61" s="70"/>
      <c r="AP61" s="70"/>
      <c r="AR61" s="70"/>
      <c r="AT61" s="70"/>
      <c r="AX61" s="70"/>
      <c r="AY61" s="70"/>
      <c r="AZ61" s="70"/>
      <c r="BB61" s="70"/>
      <c r="BD61" s="70"/>
      <c r="BE61" s="70"/>
      <c r="BF61" s="70"/>
      <c r="BK61" s="70"/>
      <c r="BM61" s="70"/>
      <c r="BN61" s="70"/>
      <c r="BP61" s="70"/>
      <c r="BQ61" s="70"/>
      <c r="BR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J61" s="70"/>
      <c r="CK61" s="70"/>
      <c r="CL61" s="70"/>
      <c r="CM61" s="70"/>
      <c r="CO61" s="70"/>
      <c r="CQ61" s="70"/>
      <c r="CS61" s="70"/>
      <c r="CT61" s="70"/>
      <c r="CU61" s="70"/>
      <c r="CW61" s="70"/>
      <c r="CX61" s="70"/>
      <c r="CY61" s="70"/>
      <c r="CZ61" s="70"/>
      <c r="DC61" s="70"/>
      <c r="DD61" s="70"/>
      <c r="DI61" s="73"/>
      <c r="DJ61" s="73"/>
      <c r="DK61" s="73"/>
      <c r="DL61" s="73"/>
      <c r="DM61" s="73"/>
      <c r="DN61" s="73"/>
      <c r="DO61" s="73"/>
      <c r="DP61" s="73"/>
      <c r="DQ61" s="73"/>
      <c r="DR61" s="73"/>
      <c r="DS61" s="73"/>
    </row>
    <row r="62" spans="1:123" ht="24.95" customHeight="1">
      <c r="A62" s="68"/>
      <c r="D62" s="69"/>
      <c r="E62" s="69"/>
      <c r="F62" s="69"/>
      <c r="G62" s="70"/>
      <c r="H62" s="70"/>
      <c r="I62" s="70"/>
      <c r="J62" s="70"/>
      <c r="N62" s="70"/>
      <c r="O62" s="69"/>
      <c r="S62" s="70"/>
      <c r="T62" s="69"/>
      <c r="V62" s="72" t="str">
        <f t="shared" si="0"/>
        <v/>
      </c>
      <c r="W62" s="72" t="str">
        <f t="shared" si="1"/>
        <v/>
      </c>
      <c r="X62" s="72" t="str">
        <f t="shared" si="2"/>
        <v/>
      </c>
      <c r="AD62" s="70"/>
      <c r="AE62" s="70"/>
      <c r="AF62" s="70"/>
      <c r="AH62" s="70"/>
      <c r="AJ62" s="70"/>
      <c r="AN62" s="70"/>
      <c r="AO62" s="70"/>
      <c r="AP62" s="70"/>
      <c r="AR62" s="70"/>
      <c r="AT62" s="70"/>
      <c r="AX62" s="70"/>
      <c r="AY62" s="70"/>
      <c r="AZ62" s="70"/>
      <c r="BB62" s="70"/>
      <c r="BD62" s="70"/>
      <c r="BE62" s="70"/>
      <c r="BF62" s="70"/>
      <c r="BK62" s="70"/>
      <c r="BM62" s="70"/>
      <c r="BN62" s="70"/>
      <c r="BP62" s="70"/>
      <c r="BQ62" s="70"/>
      <c r="BR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J62" s="70"/>
      <c r="CK62" s="70"/>
      <c r="CL62" s="70"/>
      <c r="CM62" s="70"/>
      <c r="CO62" s="70"/>
      <c r="CQ62" s="70"/>
      <c r="CS62" s="70"/>
      <c r="CT62" s="70"/>
      <c r="CU62" s="70"/>
      <c r="CW62" s="70"/>
      <c r="CX62" s="70"/>
      <c r="CY62" s="70"/>
      <c r="CZ62" s="70"/>
      <c r="DC62" s="70"/>
      <c r="DD62" s="70"/>
      <c r="DI62" s="73"/>
      <c r="DJ62" s="73"/>
      <c r="DK62" s="73"/>
      <c r="DL62" s="73"/>
      <c r="DM62" s="73"/>
      <c r="DN62" s="73"/>
      <c r="DO62" s="73"/>
      <c r="DP62" s="73"/>
      <c r="DQ62" s="73"/>
      <c r="DR62" s="73"/>
      <c r="DS62" s="73"/>
    </row>
    <row r="63" spans="1:123" ht="24.95" customHeight="1">
      <c r="A63" s="68"/>
      <c r="D63" s="69"/>
      <c r="E63" s="69"/>
      <c r="F63" s="69"/>
      <c r="G63" s="70"/>
      <c r="H63" s="70"/>
      <c r="I63" s="70"/>
      <c r="J63" s="70"/>
      <c r="N63" s="70"/>
      <c r="O63" s="69"/>
      <c r="S63" s="70"/>
      <c r="T63" s="69"/>
      <c r="V63" s="72" t="str">
        <f t="shared" si="0"/>
        <v/>
      </c>
      <c r="W63" s="72" t="str">
        <f t="shared" si="1"/>
        <v/>
      </c>
      <c r="X63" s="72" t="str">
        <f t="shared" si="2"/>
        <v/>
      </c>
      <c r="AD63" s="70"/>
      <c r="AE63" s="70"/>
      <c r="AF63" s="70"/>
      <c r="AH63" s="70"/>
      <c r="AJ63" s="70"/>
      <c r="AN63" s="70"/>
      <c r="AO63" s="70"/>
      <c r="AP63" s="70"/>
      <c r="AR63" s="70"/>
      <c r="AT63" s="70"/>
      <c r="AX63" s="70"/>
      <c r="AY63" s="70"/>
      <c r="AZ63" s="70"/>
      <c r="BB63" s="70"/>
      <c r="BD63" s="70"/>
      <c r="BE63" s="70"/>
      <c r="BF63" s="70"/>
      <c r="BK63" s="70"/>
      <c r="BM63" s="70"/>
      <c r="BN63" s="70"/>
      <c r="BP63" s="70"/>
      <c r="BQ63" s="70"/>
      <c r="BR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J63" s="70"/>
      <c r="CK63" s="70"/>
      <c r="CL63" s="70"/>
      <c r="CM63" s="70"/>
      <c r="CO63" s="70"/>
      <c r="CQ63" s="70"/>
      <c r="CS63" s="70"/>
      <c r="CT63" s="70"/>
      <c r="CU63" s="70"/>
      <c r="CW63" s="70"/>
      <c r="CX63" s="70"/>
      <c r="CY63" s="70"/>
      <c r="CZ63" s="70"/>
      <c r="DC63" s="70"/>
      <c r="DD63" s="70"/>
      <c r="DI63" s="73"/>
      <c r="DJ63" s="73"/>
      <c r="DK63" s="73"/>
      <c r="DL63" s="73"/>
      <c r="DM63" s="73"/>
      <c r="DN63" s="73"/>
      <c r="DO63" s="73"/>
      <c r="DP63" s="73"/>
      <c r="DQ63" s="73"/>
      <c r="DR63" s="73"/>
      <c r="DS63" s="73"/>
    </row>
    <row r="64" spans="1:123" ht="24.95" customHeight="1">
      <c r="A64" s="68"/>
      <c r="D64" s="69"/>
      <c r="E64" s="69"/>
      <c r="F64" s="69"/>
      <c r="G64" s="70"/>
      <c r="H64" s="70"/>
      <c r="I64" s="70"/>
      <c r="J64" s="70"/>
      <c r="N64" s="70"/>
      <c r="O64" s="69"/>
      <c r="S64" s="70"/>
      <c r="T64" s="69"/>
      <c r="V64" s="72" t="str">
        <f t="shared" si="0"/>
        <v/>
      </c>
      <c r="W64" s="72" t="str">
        <f t="shared" si="1"/>
        <v/>
      </c>
      <c r="X64" s="72" t="str">
        <f t="shared" si="2"/>
        <v/>
      </c>
      <c r="AD64" s="70"/>
      <c r="AE64" s="70"/>
      <c r="AF64" s="70"/>
      <c r="AH64" s="70"/>
      <c r="AJ64" s="70"/>
      <c r="AN64" s="70"/>
      <c r="AO64" s="70"/>
      <c r="AP64" s="70"/>
      <c r="AR64" s="70"/>
      <c r="AT64" s="70"/>
      <c r="AX64" s="70"/>
      <c r="AY64" s="70"/>
      <c r="AZ64" s="70"/>
      <c r="BB64" s="70"/>
      <c r="BD64" s="70"/>
      <c r="BE64" s="70"/>
      <c r="BF64" s="70"/>
      <c r="BK64" s="70"/>
      <c r="BM64" s="70"/>
      <c r="BN64" s="70"/>
      <c r="BP64" s="70"/>
      <c r="BQ64" s="70"/>
      <c r="BR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J64" s="70"/>
      <c r="CK64" s="70"/>
      <c r="CL64" s="70"/>
      <c r="CM64" s="70"/>
      <c r="CO64" s="70"/>
      <c r="CQ64" s="70"/>
      <c r="CS64" s="70"/>
      <c r="CT64" s="70"/>
      <c r="CU64" s="70"/>
      <c r="CW64" s="70"/>
      <c r="CX64" s="70"/>
      <c r="CY64" s="70"/>
      <c r="CZ64" s="70"/>
      <c r="DC64" s="70"/>
      <c r="DD64" s="70"/>
      <c r="DI64" s="73"/>
      <c r="DJ64" s="73"/>
      <c r="DK64" s="73"/>
      <c r="DL64" s="73"/>
      <c r="DM64" s="73"/>
      <c r="DN64" s="73"/>
      <c r="DO64" s="73"/>
      <c r="DP64" s="73"/>
      <c r="DQ64" s="73"/>
      <c r="DR64" s="73"/>
      <c r="DS64" s="73"/>
    </row>
    <row r="65" spans="1:123" ht="24.95" customHeight="1">
      <c r="A65" s="68"/>
      <c r="D65" s="69"/>
      <c r="E65" s="69"/>
      <c r="F65" s="69"/>
      <c r="G65" s="70"/>
      <c r="H65" s="70"/>
      <c r="I65" s="70"/>
      <c r="J65" s="70"/>
      <c r="N65" s="70"/>
      <c r="O65" s="69"/>
      <c r="S65" s="70"/>
      <c r="T65" s="69"/>
      <c r="V65" s="72" t="str">
        <f t="shared" si="0"/>
        <v/>
      </c>
      <c r="W65" s="72" t="str">
        <f t="shared" si="1"/>
        <v/>
      </c>
      <c r="X65" s="72" t="str">
        <f t="shared" si="2"/>
        <v/>
      </c>
      <c r="AD65" s="70"/>
      <c r="AE65" s="70"/>
      <c r="AF65" s="70"/>
      <c r="AH65" s="70"/>
      <c r="AJ65" s="70"/>
      <c r="AN65" s="70"/>
      <c r="AO65" s="70"/>
      <c r="AP65" s="70"/>
      <c r="AR65" s="70"/>
      <c r="AT65" s="70"/>
      <c r="AX65" s="70"/>
      <c r="AY65" s="70"/>
      <c r="AZ65" s="70"/>
      <c r="BB65" s="70"/>
      <c r="BD65" s="70"/>
      <c r="BE65" s="70"/>
      <c r="BF65" s="70"/>
      <c r="BK65" s="70"/>
      <c r="BM65" s="70"/>
      <c r="BN65" s="70"/>
      <c r="BP65" s="70"/>
      <c r="BQ65" s="70"/>
      <c r="BR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J65" s="70"/>
      <c r="CK65" s="70"/>
      <c r="CL65" s="70"/>
      <c r="CM65" s="70"/>
      <c r="CO65" s="70"/>
      <c r="CQ65" s="70"/>
      <c r="CS65" s="70"/>
      <c r="CT65" s="70"/>
      <c r="CU65" s="70"/>
      <c r="CW65" s="70"/>
      <c r="CX65" s="70"/>
      <c r="CY65" s="70"/>
      <c r="CZ65" s="70"/>
      <c r="DC65" s="70"/>
      <c r="DD65" s="70"/>
      <c r="DI65" s="73"/>
      <c r="DJ65" s="73"/>
      <c r="DK65" s="73"/>
      <c r="DL65" s="73"/>
      <c r="DM65" s="73"/>
      <c r="DN65" s="73"/>
      <c r="DO65" s="73"/>
      <c r="DP65" s="73"/>
      <c r="DQ65" s="73"/>
      <c r="DR65" s="73"/>
      <c r="DS65" s="73"/>
    </row>
    <row r="66" spans="1:123" ht="24.95" customHeight="1">
      <c r="A66" s="68"/>
      <c r="D66" s="69"/>
      <c r="E66" s="69"/>
      <c r="F66" s="69"/>
      <c r="G66" s="70"/>
      <c r="H66" s="70"/>
      <c r="I66" s="70"/>
      <c r="J66" s="70"/>
      <c r="N66" s="70"/>
      <c r="O66" s="69"/>
      <c r="S66" s="70"/>
      <c r="T66" s="69"/>
      <c r="V66" s="72" t="str">
        <f t="shared" si="0"/>
        <v/>
      </c>
      <c r="W66" s="72" t="str">
        <f t="shared" si="1"/>
        <v/>
      </c>
      <c r="X66" s="72" t="str">
        <f t="shared" si="2"/>
        <v/>
      </c>
      <c r="AD66" s="70"/>
      <c r="AE66" s="70"/>
      <c r="AF66" s="70"/>
      <c r="AH66" s="70"/>
      <c r="AJ66" s="70"/>
      <c r="AN66" s="70"/>
      <c r="AO66" s="70"/>
      <c r="AP66" s="70"/>
      <c r="AR66" s="70"/>
      <c r="AT66" s="70"/>
      <c r="AX66" s="70"/>
      <c r="AY66" s="70"/>
      <c r="AZ66" s="70"/>
      <c r="BB66" s="70"/>
      <c r="BD66" s="70"/>
      <c r="BE66" s="70"/>
      <c r="BF66" s="70"/>
      <c r="BK66" s="70"/>
      <c r="BM66" s="70"/>
      <c r="BN66" s="70"/>
      <c r="BP66" s="70"/>
      <c r="BQ66" s="70"/>
      <c r="BR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J66" s="70"/>
      <c r="CK66" s="70"/>
      <c r="CL66" s="70"/>
      <c r="CM66" s="70"/>
      <c r="CO66" s="70"/>
      <c r="CQ66" s="70"/>
      <c r="CS66" s="70"/>
      <c r="CT66" s="70"/>
      <c r="CU66" s="70"/>
      <c r="CW66" s="70"/>
      <c r="CX66" s="70"/>
      <c r="CY66" s="70"/>
      <c r="CZ66" s="70"/>
      <c r="DC66" s="70"/>
      <c r="DD66" s="70"/>
      <c r="DI66" s="73"/>
      <c r="DJ66" s="73"/>
      <c r="DK66" s="73"/>
      <c r="DL66" s="73"/>
      <c r="DM66" s="73"/>
      <c r="DN66" s="73"/>
      <c r="DO66" s="73"/>
      <c r="DP66" s="73"/>
      <c r="DQ66" s="73"/>
      <c r="DR66" s="73"/>
      <c r="DS66" s="73"/>
    </row>
    <row r="67" spans="1:123" ht="24.95" customHeight="1">
      <c r="A67" s="68"/>
      <c r="D67" s="69"/>
      <c r="E67" s="69"/>
      <c r="F67" s="69"/>
      <c r="G67" s="70"/>
      <c r="H67" s="70"/>
      <c r="I67" s="70"/>
      <c r="J67" s="70"/>
      <c r="N67" s="70"/>
      <c r="O67" s="69"/>
      <c r="S67" s="70"/>
      <c r="T67" s="69"/>
      <c r="V67" s="72" t="str">
        <f t="shared" si="0"/>
        <v/>
      </c>
      <c r="W67" s="72" t="str">
        <f t="shared" si="1"/>
        <v/>
      </c>
      <c r="X67" s="72" t="str">
        <f t="shared" si="2"/>
        <v/>
      </c>
      <c r="AD67" s="70"/>
      <c r="AE67" s="70"/>
      <c r="AF67" s="70"/>
      <c r="AH67" s="70"/>
      <c r="AJ67" s="70"/>
      <c r="AN67" s="70"/>
      <c r="AO67" s="70"/>
      <c r="AP67" s="70"/>
      <c r="AR67" s="70"/>
      <c r="AT67" s="70"/>
      <c r="AX67" s="70"/>
      <c r="AY67" s="70"/>
      <c r="AZ67" s="70"/>
      <c r="BB67" s="70"/>
      <c r="BD67" s="70"/>
      <c r="BE67" s="70"/>
      <c r="BF67" s="70"/>
      <c r="BK67" s="70"/>
      <c r="BM67" s="70"/>
      <c r="BN67" s="70"/>
      <c r="BP67" s="70"/>
      <c r="BQ67" s="70"/>
      <c r="BR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J67" s="70"/>
      <c r="CK67" s="70"/>
      <c r="CL67" s="70"/>
      <c r="CM67" s="70"/>
      <c r="CO67" s="70"/>
      <c r="CQ67" s="70"/>
      <c r="CS67" s="70"/>
      <c r="CT67" s="70"/>
      <c r="CU67" s="70"/>
      <c r="CW67" s="70"/>
      <c r="CX67" s="70"/>
      <c r="CY67" s="70"/>
      <c r="CZ67" s="70"/>
      <c r="DC67" s="70"/>
      <c r="DD67" s="70"/>
      <c r="DI67" s="73"/>
      <c r="DJ67" s="73"/>
      <c r="DK67" s="73"/>
      <c r="DL67" s="73"/>
      <c r="DM67" s="73"/>
      <c r="DN67" s="73"/>
      <c r="DO67" s="73"/>
      <c r="DP67" s="73"/>
      <c r="DQ67" s="73"/>
      <c r="DR67" s="73"/>
      <c r="DS67" s="73"/>
    </row>
    <row r="68" spans="1:123" ht="24.95" customHeight="1">
      <c r="A68" s="68"/>
      <c r="D68" s="69"/>
      <c r="E68" s="69"/>
      <c r="F68" s="69"/>
      <c r="G68" s="70"/>
      <c r="H68" s="70"/>
      <c r="I68" s="70"/>
      <c r="J68" s="70"/>
      <c r="N68" s="70"/>
      <c r="O68" s="69"/>
      <c r="S68" s="70"/>
      <c r="T68" s="69"/>
      <c r="V68" s="72" t="str">
        <f t="shared" si="0"/>
        <v/>
      </c>
      <c r="W68" s="72" t="str">
        <f t="shared" si="1"/>
        <v/>
      </c>
      <c r="X68" s="72" t="str">
        <f t="shared" si="2"/>
        <v/>
      </c>
      <c r="AD68" s="70"/>
      <c r="AE68" s="70"/>
      <c r="AF68" s="70"/>
      <c r="AH68" s="70"/>
      <c r="AJ68" s="70"/>
      <c r="AN68" s="70"/>
      <c r="AO68" s="70"/>
      <c r="AP68" s="70"/>
      <c r="AR68" s="70"/>
      <c r="AT68" s="70"/>
      <c r="AX68" s="70"/>
      <c r="AY68" s="70"/>
      <c r="AZ68" s="70"/>
      <c r="BB68" s="70"/>
      <c r="BD68" s="70"/>
      <c r="BE68" s="70"/>
      <c r="BF68" s="70"/>
      <c r="BK68" s="70"/>
      <c r="BM68" s="70"/>
      <c r="BN68" s="70"/>
      <c r="BP68" s="70"/>
      <c r="BQ68" s="70"/>
      <c r="BR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J68" s="70"/>
      <c r="CK68" s="70"/>
      <c r="CL68" s="70"/>
      <c r="CM68" s="70"/>
      <c r="CO68" s="70"/>
      <c r="CQ68" s="70"/>
      <c r="CS68" s="70"/>
      <c r="CT68" s="70"/>
      <c r="CU68" s="70"/>
      <c r="CW68" s="70"/>
      <c r="CX68" s="70"/>
      <c r="CY68" s="70"/>
      <c r="CZ68" s="70"/>
      <c r="DC68" s="70"/>
      <c r="DD68" s="70"/>
      <c r="DI68" s="73"/>
      <c r="DJ68" s="73"/>
      <c r="DK68" s="73"/>
      <c r="DL68" s="73"/>
      <c r="DM68" s="73"/>
      <c r="DN68" s="73"/>
      <c r="DO68" s="73"/>
      <c r="DP68" s="73"/>
      <c r="DQ68" s="73"/>
      <c r="DR68" s="73"/>
      <c r="DS68" s="73"/>
    </row>
    <row r="69" spans="1:123" ht="24.95" customHeight="1">
      <c r="A69" s="68"/>
      <c r="D69" s="69"/>
      <c r="E69" s="69"/>
      <c r="F69" s="69"/>
      <c r="G69" s="70"/>
      <c r="H69" s="70"/>
      <c r="I69" s="70"/>
      <c r="J69" s="70"/>
      <c r="N69" s="70"/>
      <c r="O69" s="69"/>
      <c r="S69" s="70"/>
      <c r="T69" s="69"/>
      <c r="V69" s="72" t="str">
        <f t="shared" si="0"/>
        <v/>
      </c>
      <c r="W69" s="72" t="str">
        <f t="shared" si="1"/>
        <v/>
      </c>
      <c r="X69" s="72" t="str">
        <f t="shared" si="2"/>
        <v/>
      </c>
      <c r="AD69" s="70"/>
      <c r="AE69" s="70"/>
      <c r="AF69" s="70"/>
      <c r="AH69" s="70"/>
      <c r="AJ69" s="70"/>
      <c r="AN69" s="70"/>
      <c r="AO69" s="70"/>
      <c r="AP69" s="70"/>
      <c r="AR69" s="70"/>
      <c r="AT69" s="70"/>
      <c r="AX69" s="70"/>
      <c r="AY69" s="70"/>
      <c r="AZ69" s="70"/>
      <c r="BB69" s="70"/>
      <c r="BD69" s="70"/>
      <c r="BE69" s="70"/>
      <c r="BF69" s="70"/>
      <c r="BK69" s="70"/>
      <c r="BM69" s="70"/>
      <c r="BN69" s="70"/>
      <c r="BP69" s="70"/>
      <c r="BQ69" s="70"/>
      <c r="BR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J69" s="70"/>
      <c r="CK69" s="70"/>
      <c r="CL69" s="70"/>
      <c r="CM69" s="70"/>
      <c r="CO69" s="70"/>
      <c r="CQ69" s="70"/>
      <c r="CS69" s="70"/>
      <c r="CT69" s="70"/>
      <c r="CU69" s="70"/>
      <c r="CW69" s="70"/>
      <c r="CX69" s="70"/>
      <c r="CY69" s="70"/>
      <c r="CZ69" s="70"/>
      <c r="DC69" s="70"/>
      <c r="DD69" s="70"/>
      <c r="DI69" s="73"/>
      <c r="DJ69" s="73"/>
      <c r="DK69" s="73"/>
      <c r="DL69" s="73"/>
      <c r="DM69" s="73"/>
      <c r="DN69" s="73"/>
      <c r="DO69" s="73"/>
      <c r="DP69" s="73"/>
      <c r="DQ69" s="73"/>
      <c r="DR69" s="73"/>
      <c r="DS69" s="73"/>
    </row>
    <row r="70" spans="1:123" ht="24.95" customHeight="1">
      <c r="A70" s="68"/>
      <c r="D70" s="69"/>
      <c r="E70" s="69"/>
      <c r="F70" s="69"/>
      <c r="G70" s="70"/>
      <c r="H70" s="70"/>
      <c r="I70" s="70"/>
      <c r="J70" s="70"/>
      <c r="N70" s="70"/>
      <c r="O70" s="69"/>
      <c r="S70" s="70"/>
      <c r="T70" s="69"/>
      <c r="V70" s="72" t="str">
        <f t="shared" ref="V70:V133" si="3">IF($A70="","",IF(AND($U70="発射物",$DI70&lt;&gt;"パッシブ"),$BE70,0))</f>
        <v/>
      </c>
      <c r="W70" s="72" t="str">
        <f t="shared" ref="W70:W133" si="4">IF($A70="","",IF(AND($U70="発射物",$DI70&lt;&gt;"パッシブ"),$BF70,0))</f>
        <v/>
      </c>
      <c r="X70" s="72" t="str">
        <f t="shared" ref="X70:X133" si="5">IF($A70="","",IF(AND($U70="発射物",$DI70&lt;&gt;"パッシブ"),IF($BG70="有効","有効","無効"),"無効"))</f>
        <v/>
      </c>
      <c r="AD70" s="70"/>
      <c r="AE70" s="70"/>
      <c r="AF70" s="70"/>
      <c r="AH70" s="70"/>
      <c r="AJ70" s="70"/>
      <c r="AN70" s="70"/>
      <c r="AO70" s="70"/>
      <c r="AP70" s="70"/>
      <c r="AR70" s="70"/>
      <c r="AT70" s="70"/>
      <c r="AX70" s="70"/>
      <c r="AY70" s="70"/>
      <c r="AZ70" s="70"/>
      <c r="BB70" s="70"/>
      <c r="BD70" s="70"/>
      <c r="BE70" s="70"/>
      <c r="BF70" s="70"/>
      <c r="BK70" s="70"/>
      <c r="BM70" s="70"/>
      <c r="BN70" s="70"/>
      <c r="BP70" s="70"/>
      <c r="BQ70" s="70"/>
      <c r="BR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J70" s="70"/>
      <c r="CK70" s="70"/>
      <c r="CL70" s="70"/>
      <c r="CM70" s="70"/>
      <c r="CO70" s="70"/>
      <c r="CQ70" s="70"/>
      <c r="CS70" s="70"/>
      <c r="CT70" s="70"/>
      <c r="CU70" s="70"/>
      <c r="CW70" s="70"/>
      <c r="CX70" s="70"/>
      <c r="CY70" s="70"/>
      <c r="CZ70" s="70"/>
      <c r="DC70" s="70"/>
      <c r="DD70" s="70"/>
      <c r="DI70" s="73"/>
      <c r="DJ70" s="73"/>
      <c r="DK70" s="73"/>
      <c r="DL70" s="73"/>
      <c r="DM70" s="73"/>
      <c r="DN70" s="73"/>
      <c r="DO70" s="73"/>
      <c r="DP70" s="73"/>
      <c r="DQ70" s="73"/>
      <c r="DR70" s="73"/>
      <c r="DS70" s="73"/>
    </row>
    <row r="71" spans="1:123" ht="24.95" customHeight="1">
      <c r="A71" s="68"/>
      <c r="D71" s="69"/>
      <c r="E71" s="69"/>
      <c r="F71" s="69"/>
      <c r="G71" s="70"/>
      <c r="H71" s="70"/>
      <c r="I71" s="70"/>
      <c r="J71" s="70"/>
      <c r="N71" s="70"/>
      <c r="O71" s="69"/>
      <c r="S71" s="70"/>
      <c r="T71" s="69"/>
      <c r="V71" s="72" t="str">
        <f t="shared" si="3"/>
        <v/>
      </c>
      <c r="W71" s="72" t="str">
        <f t="shared" si="4"/>
        <v/>
      </c>
      <c r="X71" s="72" t="str">
        <f t="shared" si="5"/>
        <v/>
      </c>
      <c r="AD71" s="70"/>
      <c r="AE71" s="70"/>
      <c r="AF71" s="70"/>
      <c r="AH71" s="70"/>
      <c r="AJ71" s="70"/>
      <c r="AN71" s="70"/>
      <c r="AO71" s="70"/>
      <c r="AP71" s="70"/>
      <c r="AR71" s="70"/>
      <c r="AT71" s="70"/>
      <c r="AX71" s="70"/>
      <c r="AY71" s="70"/>
      <c r="AZ71" s="70"/>
      <c r="BB71" s="70"/>
      <c r="BD71" s="70"/>
      <c r="BE71" s="70"/>
      <c r="BF71" s="70"/>
      <c r="BK71" s="70"/>
      <c r="BM71" s="70"/>
      <c r="BN71" s="70"/>
      <c r="BP71" s="70"/>
      <c r="BQ71" s="70"/>
      <c r="BR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J71" s="70"/>
      <c r="CK71" s="70"/>
      <c r="CL71" s="70"/>
      <c r="CM71" s="70"/>
      <c r="CO71" s="70"/>
      <c r="CQ71" s="70"/>
      <c r="CS71" s="70"/>
      <c r="CT71" s="70"/>
      <c r="CU71" s="70"/>
      <c r="CW71" s="70"/>
      <c r="CX71" s="70"/>
      <c r="CY71" s="70"/>
      <c r="CZ71" s="70"/>
      <c r="DC71" s="70"/>
      <c r="DD71" s="70"/>
      <c r="DI71" s="73"/>
      <c r="DJ71" s="73"/>
      <c r="DK71" s="73"/>
      <c r="DL71" s="73"/>
      <c r="DM71" s="73"/>
      <c r="DN71" s="73"/>
      <c r="DO71" s="73"/>
      <c r="DP71" s="73"/>
      <c r="DQ71" s="73"/>
      <c r="DR71" s="73"/>
      <c r="DS71" s="73"/>
    </row>
    <row r="72" spans="1:123" ht="24.95" customHeight="1">
      <c r="A72" s="68"/>
      <c r="D72" s="69"/>
      <c r="E72" s="69"/>
      <c r="F72" s="69"/>
      <c r="G72" s="70"/>
      <c r="H72" s="70"/>
      <c r="I72" s="70"/>
      <c r="J72" s="70"/>
      <c r="N72" s="70"/>
      <c r="O72" s="69"/>
      <c r="S72" s="70"/>
      <c r="T72" s="69"/>
      <c r="V72" s="72" t="str">
        <f t="shared" si="3"/>
        <v/>
      </c>
      <c r="W72" s="72" t="str">
        <f t="shared" si="4"/>
        <v/>
      </c>
      <c r="X72" s="72" t="str">
        <f t="shared" si="5"/>
        <v/>
      </c>
      <c r="AD72" s="70"/>
      <c r="AE72" s="70"/>
      <c r="AF72" s="70"/>
      <c r="AH72" s="70"/>
      <c r="AJ72" s="70"/>
      <c r="AN72" s="70"/>
      <c r="AO72" s="70"/>
      <c r="AP72" s="70"/>
      <c r="AR72" s="70"/>
      <c r="AT72" s="70"/>
      <c r="AX72" s="70"/>
      <c r="AY72" s="70"/>
      <c r="AZ72" s="70"/>
      <c r="BB72" s="70"/>
      <c r="BD72" s="70"/>
      <c r="BE72" s="70"/>
      <c r="BF72" s="70"/>
      <c r="BK72" s="70"/>
      <c r="BM72" s="70"/>
      <c r="BN72" s="70"/>
      <c r="BP72" s="70"/>
      <c r="BQ72" s="70"/>
      <c r="BR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J72" s="70"/>
      <c r="CK72" s="70"/>
      <c r="CL72" s="70"/>
      <c r="CM72" s="70"/>
      <c r="CO72" s="70"/>
      <c r="CQ72" s="70"/>
      <c r="CS72" s="70"/>
      <c r="CT72" s="70"/>
      <c r="CU72" s="70"/>
      <c r="CW72" s="70"/>
      <c r="CX72" s="70"/>
      <c r="CY72" s="70"/>
      <c r="CZ72" s="70"/>
      <c r="DC72" s="70"/>
      <c r="DD72" s="70"/>
      <c r="DI72" s="73"/>
      <c r="DJ72" s="73"/>
      <c r="DK72" s="73"/>
      <c r="DL72" s="73"/>
      <c r="DM72" s="73"/>
      <c r="DN72" s="73"/>
      <c r="DO72" s="73"/>
      <c r="DP72" s="73"/>
      <c r="DQ72" s="73"/>
      <c r="DR72" s="73"/>
      <c r="DS72" s="73"/>
    </row>
    <row r="73" spans="1:123" ht="24.95" customHeight="1">
      <c r="A73" s="68"/>
      <c r="D73" s="69"/>
      <c r="E73" s="69"/>
      <c r="F73" s="69"/>
      <c r="G73" s="70"/>
      <c r="H73" s="70"/>
      <c r="I73" s="70"/>
      <c r="J73" s="70"/>
      <c r="N73" s="70"/>
      <c r="O73" s="69"/>
      <c r="S73" s="70"/>
      <c r="T73" s="69"/>
      <c r="V73" s="72" t="str">
        <f t="shared" si="3"/>
        <v/>
      </c>
      <c r="W73" s="72" t="str">
        <f t="shared" si="4"/>
        <v/>
      </c>
      <c r="X73" s="72" t="str">
        <f t="shared" si="5"/>
        <v/>
      </c>
      <c r="AD73" s="70"/>
      <c r="AE73" s="70"/>
      <c r="AF73" s="70"/>
      <c r="AH73" s="70"/>
      <c r="AJ73" s="70"/>
      <c r="AN73" s="70"/>
      <c r="AO73" s="70"/>
      <c r="AP73" s="70"/>
      <c r="AR73" s="70"/>
      <c r="AT73" s="70"/>
      <c r="AX73" s="70"/>
      <c r="AY73" s="70"/>
      <c r="AZ73" s="70"/>
      <c r="BB73" s="70"/>
      <c r="BD73" s="70"/>
      <c r="BE73" s="70"/>
      <c r="BF73" s="70"/>
      <c r="BK73" s="70"/>
      <c r="BM73" s="70"/>
      <c r="BN73" s="70"/>
      <c r="BP73" s="70"/>
      <c r="BQ73" s="70"/>
      <c r="BR73" s="70"/>
      <c r="BT73" s="70"/>
      <c r="BU73" s="70"/>
      <c r="BV73" s="70"/>
      <c r="BW73" s="70"/>
      <c r="BX73" s="70"/>
      <c r="BY73" s="70"/>
      <c r="BZ73" s="70"/>
      <c r="CA73" s="70"/>
      <c r="CB73" s="70"/>
      <c r="CC73" s="70"/>
      <c r="CD73" s="70"/>
      <c r="CE73" s="70"/>
      <c r="CF73" s="70"/>
      <c r="CJ73" s="70"/>
      <c r="CK73" s="70"/>
      <c r="CL73" s="70"/>
      <c r="CM73" s="70"/>
      <c r="CO73" s="70"/>
      <c r="CQ73" s="70"/>
      <c r="CS73" s="70"/>
      <c r="CT73" s="70"/>
      <c r="CU73" s="70"/>
      <c r="CW73" s="70"/>
      <c r="CX73" s="70"/>
      <c r="CY73" s="70"/>
      <c r="CZ73" s="70"/>
      <c r="DC73" s="70"/>
      <c r="DD73" s="70"/>
      <c r="DI73" s="73"/>
      <c r="DJ73" s="73"/>
      <c r="DK73" s="73"/>
      <c r="DL73" s="73"/>
      <c r="DM73" s="73"/>
      <c r="DN73" s="73"/>
      <c r="DO73" s="73"/>
      <c r="DP73" s="73"/>
      <c r="DQ73" s="73"/>
      <c r="DR73" s="73"/>
      <c r="DS73" s="73"/>
    </row>
    <row r="74" spans="1:123" ht="24.95" customHeight="1">
      <c r="A74" s="68"/>
      <c r="D74" s="69"/>
      <c r="E74" s="69"/>
      <c r="F74" s="69"/>
      <c r="G74" s="70"/>
      <c r="H74" s="70"/>
      <c r="I74" s="70"/>
      <c r="J74" s="70"/>
      <c r="N74" s="70"/>
      <c r="O74" s="69"/>
      <c r="S74" s="70"/>
      <c r="T74" s="69"/>
      <c r="V74" s="72" t="str">
        <f t="shared" si="3"/>
        <v/>
      </c>
      <c r="W74" s="72" t="str">
        <f t="shared" si="4"/>
        <v/>
      </c>
      <c r="X74" s="72" t="str">
        <f t="shared" si="5"/>
        <v/>
      </c>
      <c r="AD74" s="70"/>
      <c r="AE74" s="70"/>
      <c r="AF74" s="70"/>
      <c r="AH74" s="70"/>
      <c r="AJ74" s="70"/>
      <c r="AN74" s="70"/>
      <c r="AO74" s="70"/>
      <c r="AP74" s="70"/>
      <c r="AR74" s="70"/>
      <c r="AT74" s="70"/>
      <c r="AX74" s="70"/>
      <c r="AY74" s="70"/>
      <c r="AZ74" s="70"/>
      <c r="BB74" s="70"/>
      <c r="BD74" s="70"/>
      <c r="BE74" s="70"/>
      <c r="BF74" s="70"/>
      <c r="BK74" s="70"/>
      <c r="BM74" s="70"/>
      <c r="BN74" s="70"/>
      <c r="BP74" s="70"/>
      <c r="BQ74" s="70"/>
      <c r="BR74" s="70"/>
      <c r="BT74" s="70"/>
      <c r="BU74" s="70"/>
      <c r="BV74" s="70"/>
      <c r="BW74" s="70"/>
      <c r="BX74" s="70"/>
      <c r="BY74" s="70"/>
      <c r="BZ74" s="70"/>
      <c r="CA74" s="70"/>
      <c r="CB74" s="70"/>
      <c r="CC74" s="70"/>
      <c r="CD74" s="70"/>
      <c r="CE74" s="70"/>
      <c r="CF74" s="70"/>
      <c r="CJ74" s="70"/>
      <c r="CK74" s="70"/>
      <c r="CL74" s="70"/>
      <c r="CM74" s="70"/>
      <c r="CO74" s="70"/>
      <c r="CQ74" s="70"/>
      <c r="CS74" s="70"/>
      <c r="CT74" s="70"/>
      <c r="CU74" s="70"/>
      <c r="CW74" s="70"/>
      <c r="CX74" s="70"/>
      <c r="CY74" s="70"/>
      <c r="CZ74" s="70"/>
      <c r="DC74" s="70"/>
      <c r="DD74" s="70"/>
      <c r="DI74" s="73"/>
      <c r="DJ74" s="73"/>
      <c r="DK74" s="73"/>
      <c r="DL74" s="73"/>
      <c r="DM74" s="73"/>
      <c r="DN74" s="73"/>
      <c r="DO74" s="73"/>
      <c r="DP74" s="73"/>
      <c r="DQ74" s="73"/>
      <c r="DR74" s="73"/>
      <c r="DS74" s="73"/>
    </row>
    <row r="75" spans="1:123" ht="24.95" customHeight="1">
      <c r="A75" s="68"/>
      <c r="D75" s="69"/>
      <c r="E75" s="69"/>
      <c r="F75" s="69"/>
      <c r="G75" s="70"/>
      <c r="H75" s="70"/>
      <c r="I75" s="70"/>
      <c r="J75" s="70"/>
      <c r="N75" s="70"/>
      <c r="O75" s="69"/>
      <c r="S75" s="70"/>
      <c r="T75" s="69"/>
      <c r="V75" s="72" t="str">
        <f t="shared" si="3"/>
        <v/>
      </c>
      <c r="W75" s="72" t="str">
        <f t="shared" si="4"/>
        <v/>
      </c>
      <c r="X75" s="72" t="str">
        <f t="shared" si="5"/>
        <v/>
      </c>
      <c r="AD75" s="70"/>
      <c r="AE75" s="70"/>
      <c r="AF75" s="70"/>
      <c r="AH75" s="70"/>
      <c r="AJ75" s="70"/>
      <c r="AN75" s="70"/>
      <c r="AO75" s="70"/>
      <c r="AP75" s="70"/>
      <c r="AR75" s="70"/>
      <c r="AT75" s="70"/>
      <c r="AX75" s="70"/>
      <c r="AY75" s="70"/>
      <c r="AZ75" s="70"/>
      <c r="BB75" s="70"/>
      <c r="BD75" s="70"/>
      <c r="BE75" s="70"/>
      <c r="BF75" s="70"/>
      <c r="BK75" s="70"/>
      <c r="BM75" s="70"/>
      <c r="BN75" s="70"/>
      <c r="BP75" s="70"/>
      <c r="BQ75" s="70"/>
      <c r="BR75" s="70"/>
      <c r="BT75" s="70"/>
      <c r="BU75" s="70"/>
      <c r="BV75" s="70"/>
      <c r="BW75" s="70"/>
      <c r="BX75" s="70"/>
      <c r="BY75" s="70"/>
      <c r="BZ75" s="70"/>
      <c r="CA75" s="70"/>
      <c r="CB75" s="70"/>
      <c r="CC75" s="70"/>
      <c r="CD75" s="70"/>
      <c r="CE75" s="70"/>
      <c r="CF75" s="70"/>
      <c r="CJ75" s="70"/>
      <c r="CK75" s="70"/>
      <c r="CL75" s="70"/>
      <c r="CM75" s="70"/>
      <c r="CO75" s="70"/>
      <c r="CQ75" s="70"/>
      <c r="CS75" s="70"/>
      <c r="CT75" s="70"/>
      <c r="CU75" s="70"/>
      <c r="CW75" s="70"/>
      <c r="CX75" s="70"/>
      <c r="CY75" s="70"/>
      <c r="CZ75" s="70"/>
      <c r="DC75" s="70"/>
      <c r="DD75" s="70"/>
      <c r="DI75" s="73"/>
      <c r="DJ75" s="73"/>
      <c r="DK75" s="73"/>
      <c r="DL75" s="73"/>
      <c r="DM75" s="73"/>
      <c r="DN75" s="73"/>
      <c r="DO75" s="73"/>
      <c r="DP75" s="73"/>
      <c r="DQ75" s="73"/>
      <c r="DR75" s="73"/>
      <c r="DS75" s="73"/>
    </row>
    <row r="76" spans="1:123" ht="24.95" customHeight="1">
      <c r="A76" s="68"/>
      <c r="D76" s="69"/>
      <c r="E76" s="69"/>
      <c r="F76" s="69"/>
      <c r="G76" s="70"/>
      <c r="H76" s="70"/>
      <c r="I76" s="70"/>
      <c r="J76" s="70"/>
      <c r="N76" s="70"/>
      <c r="O76" s="69"/>
      <c r="S76" s="70"/>
      <c r="T76" s="69"/>
      <c r="V76" s="72" t="str">
        <f t="shared" si="3"/>
        <v/>
      </c>
      <c r="W76" s="72" t="str">
        <f t="shared" si="4"/>
        <v/>
      </c>
      <c r="X76" s="72" t="str">
        <f t="shared" si="5"/>
        <v/>
      </c>
      <c r="AD76" s="70"/>
      <c r="AE76" s="70"/>
      <c r="AF76" s="70"/>
      <c r="AH76" s="70"/>
      <c r="AJ76" s="70"/>
      <c r="AN76" s="70"/>
      <c r="AO76" s="70"/>
      <c r="AP76" s="70"/>
      <c r="AR76" s="70"/>
      <c r="AT76" s="70"/>
      <c r="AX76" s="70"/>
      <c r="AY76" s="70"/>
      <c r="AZ76" s="70"/>
      <c r="BB76" s="70"/>
      <c r="BD76" s="70"/>
      <c r="BE76" s="70"/>
      <c r="BF76" s="70"/>
      <c r="BK76" s="70"/>
      <c r="BM76" s="70"/>
      <c r="BN76" s="70"/>
      <c r="BP76" s="70"/>
      <c r="BQ76" s="70"/>
      <c r="BR76" s="70"/>
      <c r="BT76" s="70"/>
      <c r="BU76" s="70"/>
      <c r="BV76" s="70"/>
      <c r="BW76" s="70"/>
      <c r="BX76" s="70"/>
      <c r="BY76" s="70"/>
      <c r="BZ76" s="70"/>
      <c r="CA76" s="70"/>
      <c r="CB76" s="70"/>
      <c r="CC76" s="70"/>
      <c r="CD76" s="70"/>
      <c r="CE76" s="70"/>
      <c r="CF76" s="70"/>
      <c r="CJ76" s="70"/>
      <c r="CK76" s="70"/>
      <c r="CL76" s="70"/>
      <c r="CM76" s="70"/>
      <c r="CO76" s="70"/>
      <c r="CQ76" s="70"/>
      <c r="CS76" s="70"/>
      <c r="CT76" s="70"/>
      <c r="CU76" s="70"/>
      <c r="CW76" s="70"/>
      <c r="CX76" s="70"/>
      <c r="CY76" s="70"/>
      <c r="CZ76" s="70"/>
      <c r="DC76" s="70"/>
      <c r="DD76" s="70"/>
      <c r="DI76" s="73"/>
      <c r="DJ76" s="73"/>
      <c r="DK76" s="73"/>
      <c r="DL76" s="73"/>
      <c r="DM76" s="73"/>
      <c r="DN76" s="73"/>
      <c r="DO76" s="73"/>
      <c r="DP76" s="73"/>
      <c r="DQ76" s="73"/>
      <c r="DR76" s="73"/>
      <c r="DS76" s="73"/>
    </row>
    <row r="77" spans="1:123" ht="24.95" customHeight="1">
      <c r="A77" s="68"/>
      <c r="D77" s="69"/>
      <c r="E77" s="69"/>
      <c r="F77" s="69"/>
      <c r="G77" s="70"/>
      <c r="H77" s="70"/>
      <c r="I77" s="70"/>
      <c r="J77" s="70"/>
      <c r="N77" s="70"/>
      <c r="O77" s="69"/>
      <c r="S77" s="70"/>
      <c r="T77" s="69"/>
      <c r="V77" s="72" t="str">
        <f t="shared" si="3"/>
        <v/>
      </c>
      <c r="W77" s="72" t="str">
        <f t="shared" si="4"/>
        <v/>
      </c>
      <c r="X77" s="72" t="str">
        <f t="shared" si="5"/>
        <v/>
      </c>
      <c r="AD77" s="70"/>
      <c r="AE77" s="70"/>
      <c r="AF77" s="70"/>
      <c r="AH77" s="70"/>
      <c r="AJ77" s="70"/>
      <c r="AN77" s="70"/>
      <c r="AO77" s="70"/>
      <c r="AP77" s="70"/>
      <c r="AR77" s="70"/>
      <c r="AT77" s="70"/>
      <c r="AX77" s="70"/>
      <c r="AY77" s="70"/>
      <c r="AZ77" s="70"/>
      <c r="BB77" s="70"/>
      <c r="BD77" s="70"/>
      <c r="BE77" s="70"/>
      <c r="BF77" s="70"/>
      <c r="BK77" s="70"/>
      <c r="BM77" s="70"/>
      <c r="BN77" s="70"/>
      <c r="BP77" s="70"/>
      <c r="BQ77" s="70"/>
      <c r="BR77" s="70"/>
      <c r="BT77" s="70"/>
      <c r="BU77" s="70"/>
      <c r="BV77" s="70"/>
      <c r="BW77" s="70"/>
      <c r="BX77" s="70"/>
      <c r="BY77" s="70"/>
      <c r="BZ77" s="70"/>
      <c r="CA77" s="70"/>
      <c r="CB77" s="70"/>
      <c r="CC77" s="70"/>
      <c r="CD77" s="70"/>
      <c r="CE77" s="70"/>
      <c r="CF77" s="70"/>
      <c r="CJ77" s="70"/>
      <c r="CK77" s="70"/>
      <c r="CL77" s="70"/>
      <c r="CM77" s="70"/>
      <c r="CO77" s="70"/>
      <c r="CQ77" s="70"/>
      <c r="CS77" s="70"/>
      <c r="CT77" s="70"/>
      <c r="CU77" s="70"/>
      <c r="CW77" s="70"/>
      <c r="CX77" s="70"/>
      <c r="CY77" s="70"/>
      <c r="CZ77" s="70"/>
      <c r="DC77" s="70"/>
      <c r="DD77" s="70"/>
      <c r="DI77" s="73"/>
      <c r="DJ77" s="73"/>
      <c r="DK77" s="73"/>
      <c r="DL77" s="73"/>
      <c r="DM77" s="73"/>
      <c r="DN77" s="73"/>
      <c r="DO77" s="73"/>
      <c r="DP77" s="73"/>
      <c r="DQ77" s="73"/>
      <c r="DR77" s="73"/>
      <c r="DS77" s="73"/>
    </row>
    <row r="78" spans="1:123" ht="24.95" customHeight="1">
      <c r="A78" s="68"/>
      <c r="D78" s="69"/>
      <c r="E78" s="69"/>
      <c r="F78" s="69"/>
      <c r="G78" s="70"/>
      <c r="H78" s="70"/>
      <c r="I78" s="70"/>
      <c r="J78" s="70"/>
      <c r="N78" s="70"/>
      <c r="O78" s="69"/>
      <c r="S78" s="70"/>
      <c r="T78" s="69"/>
      <c r="V78" s="72" t="str">
        <f t="shared" si="3"/>
        <v/>
      </c>
      <c r="W78" s="72" t="str">
        <f t="shared" si="4"/>
        <v/>
      </c>
      <c r="X78" s="72" t="str">
        <f t="shared" si="5"/>
        <v/>
      </c>
      <c r="AD78" s="70"/>
      <c r="AE78" s="70"/>
      <c r="AF78" s="70"/>
      <c r="AH78" s="70"/>
      <c r="AJ78" s="70"/>
      <c r="AN78" s="70"/>
      <c r="AO78" s="70"/>
      <c r="AP78" s="70"/>
      <c r="AR78" s="70"/>
      <c r="AT78" s="70"/>
      <c r="AX78" s="70"/>
      <c r="AY78" s="70"/>
      <c r="AZ78" s="70"/>
      <c r="BB78" s="70"/>
      <c r="BD78" s="70"/>
      <c r="BE78" s="70"/>
      <c r="BF78" s="70"/>
      <c r="BK78" s="70"/>
      <c r="BM78" s="70"/>
      <c r="BN78" s="70"/>
      <c r="BP78" s="70"/>
      <c r="BQ78" s="70"/>
      <c r="BR78" s="70"/>
      <c r="BT78" s="70"/>
      <c r="BU78" s="70"/>
      <c r="BV78" s="70"/>
      <c r="BW78" s="70"/>
      <c r="BX78" s="70"/>
      <c r="BY78" s="70"/>
      <c r="BZ78" s="70"/>
      <c r="CA78" s="70"/>
      <c r="CB78" s="70"/>
      <c r="CC78" s="70"/>
      <c r="CD78" s="70"/>
      <c r="CE78" s="70"/>
      <c r="CF78" s="70"/>
      <c r="CJ78" s="70"/>
      <c r="CK78" s="70"/>
      <c r="CL78" s="70"/>
      <c r="CM78" s="70"/>
      <c r="CO78" s="70"/>
      <c r="CQ78" s="70"/>
      <c r="CS78" s="70"/>
      <c r="CT78" s="70"/>
      <c r="CU78" s="70"/>
      <c r="CW78" s="70"/>
      <c r="CX78" s="70"/>
      <c r="CY78" s="70"/>
      <c r="CZ78" s="70"/>
      <c r="DC78" s="70"/>
      <c r="DD78" s="70"/>
      <c r="DI78" s="73"/>
      <c r="DJ78" s="73"/>
      <c r="DK78" s="73"/>
      <c r="DL78" s="73"/>
      <c r="DM78" s="73"/>
      <c r="DN78" s="73"/>
      <c r="DO78" s="73"/>
      <c r="DP78" s="73"/>
      <c r="DQ78" s="73"/>
      <c r="DR78" s="73"/>
      <c r="DS78" s="73"/>
    </row>
    <row r="79" spans="1:123" ht="24.95" customHeight="1">
      <c r="A79" s="68"/>
      <c r="D79" s="69"/>
      <c r="E79" s="69"/>
      <c r="F79" s="69"/>
      <c r="G79" s="70"/>
      <c r="H79" s="70"/>
      <c r="I79" s="70"/>
      <c r="J79" s="70"/>
      <c r="N79" s="70"/>
      <c r="O79" s="69"/>
      <c r="S79" s="70"/>
      <c r="T79" s="69"/>
      <c r="V79" s="72" t="str">
        <f t="shared" si="3"/>
        <v/>
      </c>
      <c r="W79" s="72" t="str">
        <f t="shared" si="4"/>
        <v/>
      </c>
      <c r="X79" s="72" t="str">
        <f t="shared" si="5"/>
        <v/>
      </c>
      <c r="AD79" s="70"/>
      <c r="AE79" s="70"/>
      <c r="AF79" s="70"/>
      <c r="AH79" s="70"/>
      <c r="AJ79" s="70"/>
      <c r="AN79" s="70"/>
      <c r="AO79" s="70"/>
      <c r="AP79" s="70"/>
      <c r="AR79" s="70"/>
      <c r="AT79" s="70"/>
      <c r="AX79" s="70"/>
      <c r="AY79" s="70"/>
      <c r="AZ79" s="70"/>
      <c r="BB79" s="70"/>
      <c r="BD79" s="70"/>
      <c r="BE79" s="70"/>
      <c r="BF79" s="70"/>
      <c r="BK79" s="70"/>
      <c r="BM79" s="70"/>
      <c r="BN79" s="70"/>
      <c r="BP79" s="70"/>
      <c r="BQ79" s="70"/>
      <c r="BR79" s="70"/>
      <c r="BT79" s="70"/>
      <c r="BU79" s="70"/>
      <c r="BV79" s="70"/>
      <c r="BW79" s="70"/>
      <c r="BX79" s="70"/>
      <c r="BY79" s="70"/>
      <c r="BZ79" s="70"/>
      <c r="CA79" s="70"/>
      <c r="CB79" s="70"/>
      <c r="CC79" s="70"/>
      <c r="CD79" s="70"/>
      <c r="CE79" s="70"/>
      <c r="CF79" s="70"/>
      <c r="CJ79" s="70"/>
      <c r="CK79" s="70"/>
      <c r="CL79" s="70"/>
      <c r="CM79" s="70"/>
      <c r="CO79" s="70"/>
      <c r="CQ79" s="70"/>
      <c r="CS79" s="70"/>
      <c r="CT79" s="70"/>
      <c r="CU79" s="70"/>
      <c r="CW79" s="70"/>
      <c r="CX79" s="70"/>
      <c r="CY79" s="70"/>
      <c r="CZ79" s="70"/>
      <c r="DC79" s="70"/>
      <c r="DD79" s="70"/>
      <c r="DI79" s="73"/>
      <c r="DJ79" s="73"/>
      <c r="DK79" s="73"/>
      <c r="DL79" s="73"/>
      <c r="DM79" s="73"/>
      <c r="DN79" s="73"/>
      <c r="DO79" s="73"/>
      <c r="DP79" s="73"/>
      <c r="DQ79" s="73"/>
      <c r="DR79" s="73"/>
      <c r="DS79" s="73"/>
    </row>
    <row r="80" spans="1:123" ht="24.95" customHeight="1">
      <c r="A80" s="68"/>
      <c r="D80" s="69"/>
      <c r="E80" s="69"/>
      <c r="F80" s="69"/>
      <c r="G80" s="70"/>
      <c r="H80" s="70"/>
      <c r="I80" s="70"/>
      <c r="J80" s="70"/>
      <c r="N80" s="70"/>
      <c r="O80" s="69"/>
      <c r="S80" s="70"/>
      <c r="T80" s="69"/>
      <c r="V80" s="72" t="str">
        <f t="shared" si="3"/>
        <v/>
      </c>
      <c r="W80" s="72" t="str">
        <f t="shared" si="4"/>
        <v/>
      </c>
      <c r="X80" s="72" t="str">
        <f t="shared" si="5"/>
        <v/>
      </c>
      <c r="AD80" s="70"/>
      <c r="AE80" s="70"/>
      <c r="AF80" s="70"/>
      <c r="AH80" s="70"/>
      <c r="AJ80" s="70"/>
      <c r="AN80" s="70"/>
      <c r="AO80" s="70"/>
      <c r="AP80" s="70"/>
      <c r="AR80" s="70"/>
      <c r="AT80" s="70"/>
      <c r="AX80" s="70"/>
      <c r="AY80" s="70"/>
      <c r="AZ80" s="70"/>
      <c r="BB80" s="70"/>
      <c r="BD80" s="70"/>
      <c r="BE80" s="70"/>
      <c r="BF80" s="70"/>
      <c r="BK80" s="70"/>
      <c r="BM80" s="70"/>
      <c r="BN80" s="70"/>
      <c r="BP80" s="70"/>
      <c r="BQ80" s="70"/>
      <c r="BR80" s="70"/>
      <c r="BT80" s="70"/>
      <c r="BU80" s="70"/>
      <c r="BV80" s="70"/>
      <c r="BW80" s="70"/>
      <c r="BX80" s="70"/>
      <c r="BY80" s="70"/>
      <c r="BZ80" s="70"/>
      <c r="CA80" s="70"/>
      <c r="CB80" s="70"/>
      <c r="CC80" s="70"/>
      <c r="CD80" s="70"/>
      <c r="CE80" s="70"/>
      <c r="CF80" s="70"/>
      <c r="CJ80" s="70"/>
      <c r="CK80" s="70"/>
      <c r="CL80" s="70"/>
      <c r="CM80" s="70"/>
      <c r="CO80" s="70"/>
      <c r="CQ80" s="70"/>
      <c r="CS80" s="70"/>
      <c r="CT80" s="70"/>
      <c r="CU80" s="70"/>
      <c r="CW80" s="70"/>
      <c r="CX80" s="70"/>
      <c r="CY80" s="70"/>
      <c r="CZ80" s="70"/>
      <c r="DC80" s="70"/>
      <c r="DD80" s="70"/>
      <c r="DI80" s="73"/>
      <c r="DJ80" s="73"/>
      <c r="DK80" s="73"/>
      <c r="DL80" s="73"/>
      <c r="DM80" s="73"/>
      <c r="DN80" s="73"/>
      <c r="DO80" s="73"/>
      <c r="DP80" s="73"/>
      <c r="DQ80" s="73"/>
      <c r="DR80" s="73"/>
      <c r="DS80" s="73"/>
    </row>
    <row r="81" spans="1:123" ht="24.95" customHeight="1">
      <c r="A81" s="68"/>
      <c r="D81" s="69"/>
      <c r="E81" s="69"/>
      <c r="F81" s="69"/>
      <c r="G81" s="70"/>
      <c r="H81" s="70"/>
      <c r="I81" s="70"/>
      <c r="J81" s="70"/>
      <c r="N81" s="70"/>
      <c r="O81" s="69"/>
      <c r="S81" s="70"/>
      <c r="T81" s="69"/>
      <c r="V81" s="72" t="str">
        <f t="shared" si="3"/>
        <v/>
      </c>
      <c r="W81" s="72" t="str">
        <f t="shared" si="4"/>
        <v/>
      </c>
      <c r="X81" s="72" t="str">
        <f t="shared" si="5"/>
        <v/>
      </c>
      <c r="AD81" s="70"/>
      <c r="AE81" s="70"/>
      <c r="AF81" s="70"/>
      <c r="AH81" s="70"/>
      <c r="AJ81" s="70"/>
      <c r="AN81" s="70"/>
      <c r="AO81" s="70"/>
      <c r="AP81" s="70"/>
      <c r="AR81" s="70"/>
      <c r="AT81" s="70"/>
      <c r="AX81" s="70"/>
      <c r="AY81" s="70"/>
      <c r="AZ81" s="70"/>
      <c r="BB81" s="70"/>
      <c r="BD81" s="70"/>
      <c r="BE81" s="70"/>
      <c r="BF81" s="70"/>
      <c r="BK81" s="70"/>
      <c r="BM81" s="70"/>
      <c r="BN81" s="70"/>
      <c r="BP81" s="70"/>
      <c r="BQ81" s="70"/>
      <c r="BR81" s="70"/>
      <c r="BT81" s="70"/>
      <c r="BU81" s="70"/>
      <c r="BV81" s="70"/>
      <c r="BW81" s="70"/>
      <c r="BX81" s="70"/>
      <c r="BY81" s="70"/>
      <c r="BZ81" s="70"/>
      <c r="CA81" s="70"/>
      <c r="CB81" s="70"/>
      <c r="CC81" s="70"/>
      <c r="CD81" s="70"/>
      <c r="CE81" s="70"/>
      <c r="CF81" s="70"/>
      <c r="CJ81" s="70"/>
      <c r="CK81" s="70"/>
      <c r="CL81" s="70"/>
      <c r="CM81" s="70"/>
      <c r="CO81" s="70"/>
      <c r="CQ81" s="70"/>
      <c r="CS81" s="70"/>
      <c r="CT81" s="70"/>
      <c r="CU81" s="70"/>
      <c r="CW81" s="70"/>
      <c r="CX81" s="70"/>
      <c r="CY81" s="70"/>
      <c r="CZ81" s="70"/>
      <c r="DC81" s="70"/>
      <c r="DD81" s="70"/>
      <c r="DI81" s="73"/>
      <c r="DJ81" s="73"/>
      <c r="DK81" s="73"/>
      <c r="DL81" s="73"/>
      <c r="DM81" s="73"/>
      <c r="DN81" s="73"/>
      <c r="DO81" s="73"/>
      <c r="DP81" s="73"/>
      <c r="DQ81" s="73"/>
      <c r="DR81" s="73"/>
      <c r="DS81" s="73"/>
    </row>
    <row r="82" spans="1:123" ht="24.95" customHeight="1">
      <c r="A82" s="68"/>
      <c r="D82" s="69"/>
      <c r="E82" s="69"/>
      <c r="F82" s="69"/>
      <c r="G82" s="70"/>
      <c r="H82" s="70"/>
      <c r="I82" s="70"/>
      <c r="J82" s="70"/>
      <c r="N82" s="70"/>
      <c r="O82" s="69"/>
      <c r="S82" s="70"/>
      <c r="T82" s="69"/>
      <c r="V82" s="72" t="str">
        <f t="shared" si="3"/>
        <v/>
      </c>
      <c r="W82" s="72" t="str">
        <f t="shared" si="4"/>
        <v/>
      </c>
      <c r="X82" s="72" t="str">
        <f t="shared" si="5"/>
        <v/>
      </c>
      <c r="AD82" s="70"/>
      <c r="AE82" s="70"/>
      <c r="AF82" s="70"/>
      <c r="AH82" s="70"/>
      <c r="AJ82" s="70"/>
      <c r="AN82" s="70"/>
      <c r="AO82" s="70"/>
      <c r="AP82" s="70"/>
      <c r="AR82" s="70"/>
      <c r="AT82" s="70"/>
      <c r="AX82" s="70"/>
      <c r="AY82" s="70"/>
      <c r="AZ82" s="70"/>
      <c r="BB82" s="70"/>
      <c r="BD82" s="70"/>
      <c r="BE82" s="70"/>
      <c r="BF82" s="70"/>
      <c r="BK82" s="70"/>
      <c r="BM82" s="70"/>
      <c r="BN82" s="70"/>
      <c r="BP82" s="70"/>
      <c r="BQ82" s="70"/>
      <c r="BR82" s="70"/>
      <c r="BT82" s="70"/>
      <c r="BU82" s="70"/>
      <c r="BV82" s="70"/>
      <c r="BW82" s="70"/>
      <c r="BX82" s="70"/>
      <c r="BY82" s="70"/>
      <c r="BZ82" s="70"/>
      <c r="CA82" s="70"/>
      <c r="CB82" s="70"/>
      <c r="CC82" s="70"/>
      <c r="CD82" s="70"/>
      <c r="CE82" s="70"/>
      <c r="CF82" s="70"/>
      <c r="CJ82" s="70"/>
      <c r="CK82" s="70"/>
      <c r="CL82" s="70"/>
      <c r="CM82" s="70"/>
      <c r="CO82" s="70"/>
      <c r="CQ82" s="70"/>
      <c r="CS82" s="70"/>
      <c r="CT82" s="70"/>
      <c r="CU82" s="70"/>
      <c r="CW82" s="70"/>
      <c r="CX82" s="70"/>
      <c r="CY82" s="70"/>
      <c r="CZ82" s="70"/>
      <c r="DC82" s="70"/>
      <c r="DD82" s="70"/>
      <c r="DI82" s="73"/>
      <c r="DJ82" s="73"/>
      <c r="DK82" s="73"/>
      <c r="DL82" s="73"/>
      <c r="DM82" s="73"/>
      <c r="DN82" s="73"/>
      <c r="DO82" s="73"/>
      <c r="DP82" s="73"/>
      <c r="DQ82" s="73"/>
      <c r="DR82" s="73"/>
      <c r="DS82" s="73"/>
    </row>
    <row r="83" spans="1:123" ht="24.95" customHeight="1">
      <c r="A83" s="68"/>
      <c r="D83" s="69"/>
      <c r="E83" s="69"/>
      <c r="F83" s="69"/>
      <c r="G83" s="70"/>
      <c r="H83" s="70"/>
      <c r="I83" s="70"/>
      <c r="J83" s="70"/>
      <c r="N83" s="70"/>
      <c r="O83" s="69"/>
      <c r="S83" s="70"/>
      <c r="T83" s="69"/>
      <c r="V83" s="72" t="str">
        <f t="shared" si="3"/>
        <v/>
      </c>
      <c r="W83" s="72" t="str">
        <f t="shared" si="4"/>
        <v/>
      </c>
      <c r="X83" s="72" t="str">
        <f t="shared" si="5"/>
        <v/>
      </c>
      <c r="AD83" s="70"/>
      <c r="AE83" s="70"/>
      <c r="AF83" s="70"/>
      <c r="AH83" s="70"/>
      <c r="AJ83" s="70"/>
      <c r="AN83" s="70"/>
      <c r="AO83" s="70"/>
      <c r="AP83" s="70"/>
      <c r="AR83" s="70"/>
      <c r="AT83" s="70"/>
      <c r="AX83" s="70"/>
      <c r="AY83" s="70"/>
      <c r="AZ83" s="70"/>
      <c r="BB83" s="70"/>
      <c r="BD83" s="70"/>
      <c r="BE83" s="70"/>
      <c r="BF83" s="70"/>
      <c r="BK83" s="70"/>
      <c r="BM83" s="70"/>
      <c r="BN83" s="70"/>
      <c r="BP83" s="70"/>
      <c r="BQ83" s="70"/>
      <c r="BR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  <c r="CD83" s="70"/>
      <c r="CE83" s="70"/>
      <c r="CF83" s="70"/>
      <c r="CJ83" s="70"/>
      <c r="CK83" s="70"/>
      <c r="CL83" s="70"/>
      <c r="CM83" s="70"/>
      <c r="CO83" s="70"/>
      <c r="CQ83" s="70"/>
      <c r="CS83" s="70"/>
      <c r="CT83" s="70"/>
      <c r="CU83" s="70"/>
      <c r="CW83" s="70"/>
      <c r="CX83" s="70"/>
      <c r="CY83" s="70"/>
      <c r="CZ83" s="70"/>
      <c r="DC83" s="70"/>
      <c r="DD83" s="70"/>
      <c r="DI83" s="73"/>
      <c r="DJ83" s="73"/>
      <c r="DK83" s="73"/>
      <c r="DL83" s="73"/>
      <c r="DM83" s="73"/>
      <c r="DN83" s="73"/>
      <c r="DO83" s="73"/>
      <c r="DP83" s="73"/>
      <c r="DQ83" s="73"/>
      <c r="DR83" s="73"/>
      <c r="DS83" s="73"/>
    </row>
    <row r="84" spans="1:123" ht="24.95" customHeight="1">
      <c r="A84" s="68"/>
      <c r="D84" s="69"/>
      <c r="E84" s="69"/>
      <c r="F84" s="69"/>
      <c r="G84" s="70"/>
      <c r="H84" s="70"/>
      <c r="I84" s="70"/>
      <c r="J84" s="70"/>
      <c r="N84" s="70"/>
      <c r="O84" s="69"/>
      <c r="S84" s="70"/>
      <c r="T84" s="69"/>
      <c r="V84" s="72" t="str">
        <f t="shared" si="3"/>
        <v/>
      </c>
      <c r="W84" s="72" t="str">
        <f t="shared" si="4"/>
        <v/>
      </c>
      <c r="X84" s="72" t="str">
        <f t="shared" si="5"/>
        <v/>
      </c>
      <c r="AD84" s="70"/>
      <c r="AE84" s="70"/>
      <c r="AF84" s="70"/>
      <c r="AH84" s="70"/>
      <c r="AJ84" s="70"/>
      <c r="AN84" s="70"/>
      <c r="AO84" s="70"/>
      <c r="AP84" s="70"/>
      <c r="AR84" s="70"/>
      <c r="AT84" s="70"/>
      <c r="AX84" s="70"/>
      <c r="AY84" s="70"/>
      <c r="AZ84" s="70"/>
      <c r="BB84" s="70"/>
      <c r="BD84" s="70"/>
      <c r="BE84" s="70"/>
      <c r="BF84" s="70"/>
      <c r="BK84" s="70"/>
      <c r="BM84" s="70"/>
      <c r="BN84" s="70"/>
      <c r="BP84" s="70"/>
      <c r="BQ84" s="70"/>
      <c r="BR84" s="70"/>
      <c r="BT84" s="70"/>
      <c r="BU84" s="70"/>
      <c r="BV84" s="70"/>
      <c r="BW84" s="70"/>
      <c r="BX84" s="70"/>
      <c r="BY84" s="70"/>
      <c r="BZ84" s="70"/>
      <c r="CA84" s="70"/>
      <c r="CB84" s="70"/>
      <c r="CC84" s="70"/>
      <c r="CD84" s="70"/>
      <c r="CE84" s="70"/>
      <c r="CF84" s="70"/>
      <c r="CJ84" s="70"/>
      <c r="CK84" s="70"/>
      <c r="CL84" s="70"/>
      <c r="CM84" s="70"/>
      <c r="CO84" s="70"/>
      <c r="CQ84" s="70"/>
      <c r="CS84" s="70"/>
      <c r="CT84" s="70"/>
      <c r="CU84" s="70"/>
      <c r="CW84" s="70"/>
      <c r="CX84" s="70"/>
      <c r="CY84" s="70"/>
      <c r="CZ84" s="70"/>
      <c r="DC84" s="70"/>
      <c r="DD84" s="70"/>
      <c r="DI84" s="73"/>
      <c r="DJ84" s="73"/>
      <c r="DK84" s="73"/>
      <c r="DL84" s="73"/>
      <c r="DM84" s="73"/>
      <c r="DN84" s="73"/>
      <c r="DO84" s="73"/>
      <c r="DP84" s="73"/>
      <c r="DQ84" s="73"/>
      <c r="DR84" s="73"/>
      <c r="DS84" s="73"/>
    </row>
    <row r="85" spans="1:123" ht="24.95" customHeight="1">
      <c r="A85" s="68"/>
      <c r="D85" s="69"/>
      <c r="E85" s="69"/>
      <c r="F85" s="69"/>
      <c r="G85" s="70"/>
      <c r="H85" s="70"/>
      <c r="I85" s="70"/>
      <c r="J85" s="70"/>
      <c r="N85" s="70"/>
      <c r="O85" s="69"/>
      <c r="S85" s="70"/>
      <c r="T85" s="69"/>
      <c r="V85" s="72" t="str">
        <f t="shared" si="3"/>
        <v/>
      </c>
      <c r="W85" s="72" t="str">
        <f t="shared" si="4"/>
        <v/>
      </c>
      <c r="X85" s="72" t="str">
        <f t="shared" si="5"/>
        <v/>
      </c>
      <c r="AD85" s="70"/>
      <c r="AE85" s="70"/>
      <c r="AF85" s="70"/>
      <c r="AH85" s="70"/>
      <c r="AJ85" s="70"/>
      <c r="AN85" s="70"/>
      <c r="AO85" s="70"/>
      <c r="AP85" s="70"/>
      <c r="AR85" s="70"/>
      <c r="AT85" s="70"/>
      <c r="AX85" s="70"/>
      <c r="AY85" s="70"/>
      <c r="AZ85" s="70"/>
      <c r="BB85" s="70"/>
      <c r="BD85" s="70"/>
      <c r="BE85" s="70"/>
      <c r="BF85" s="70"/>
      <c r="BK85" s="70"/>
      <c r="BM85" s="70"/>
      <c r="BN85" s="70"/>
      <c r="BP85" s="70"/>
      <c r="BQ85" s="70"/>
      <c r="BR85" s="70"/>
      <c r="BT85" s="70"/>
      <c r="BU85" s="70"/>
      <c r="BV85" s="70"/>
      <c r="BW85" s="70"/>
      <c r="BX85" s="70"/>
      <c r="BY85" s="70"/>
      <c r="BZ85" s="70"/>
      <c r="CA85" s="70"/>
      <c r="CB85" s="70"/>
      <c r="CC85" s="70"/>
      <c r="CD85" s="70"/>
      <c r="CE85" s="70"/>
      <c r="CF85" s="70"/>
      <c r="CJ85" s="70"/>
      <c r="CK85" s="70"/>
      <c r="CL85" s="70"/>
      <c r="CM85" s="70"/>
      <c r="CO85" s="70"/>
      <c r="CQ85" s="70"/>
      <c r="CS85" s="70"/>
      <c r="CT85" s="70"/>
      <c r="CU85" s="70"/>
      <c r="CW85" s="70"/>
      <c r="CX85" s="70"/>
      <c r="CY85" s="70"/>
      <c r="CZ85" s="70"/>
      <c r="DC85" s="70"/>
      <c r="DD85" s="70"/>
      <c r="DI85" s="73"/>
      <c r="DJ85" s="73"/>
      <c r="DK85" s="73"/>
      <c r="DL85" s="73"/>
      <c r="DM85" s="73"/>
      <c r="DN85" s="73"/>
      <c r="DO85" s="73"/>
      <c r="DP85" s="73"/>
      <c r="DQ85" s="73"/>
      <c r="DR85" s="73"/>
      <c r="DS85" s="73"/>
    </row>
    <row r="86" spans="1:123" ht="24.95" customHeight="1">
      <c r="A86" s="68"/>
      <c r="D86" s="69"/>
      <c r="E86" s="69"/>
      <c r="F86" s="69"/>
      <c r="G86" s="70"/>
      <c r="H86" s="70"/>
      <c r="I86" s="70"/>
      <c r="J86" s="70"/>
      <c r="N86" s="70"/>
      <c r="O86" s="69"/>
      <c r="S86" s="70"/>
      <c r="T86" s="69"/>
      <c r="V86" s="72" t="str">
        <f t="shared" si="3"/>
        <v/>
      </c>
      <c r="W86" s="72" t="str">
        <f t="shared" si="4"/>
        <v/>
      </c>
      <c r="X86" s="72" t="str">
        <f t="shared" si="5"/>
        <v/>
      </c>
      <c r="AD86" s="70"/>
      <c r="AE86" s="70"/>
      <c r="AF86" s="70"/>
      <c r="AH86" s="70"/>
      <c r="AJ86" s="70"/>
      <c r="AN86" s="70"/>
      <c r="AO86" s="70"/>
      <c r="AP86" s="70"/>
      <c r="AR86" s="70"/>
      <c r="AT86" s="70"/>
      <c r="AX86" s="70"/>
      <c r="AY86" s="70"/>
      <c r="AZ86" s="70"/>
      <c r="BB86" s="70"/>
      <c r="BD86" s="70"/>
      <c r="BE86" s="70"/>
      <c r="BF86" s="70"/>
      <c r="BK86" s="70"/>
      <c r="BM86" s="70"/>
      <c r="BN86" s="70"/>
      <c r="BP86" s="70"/>
      <c r="BQ86" s="70"/>
      <c r="BR86" s="70"/>
      <c r="BT86" s="70"/>
      <c r="BU86" s="70"/>
      <c r="BV86" s="70"/>
      <c r="BW86" s="70"/>
      <c r="BX86" s="70"/>
      <c r="BY86" s="70"/>
      <c r="BZ86" s="70"/>
      <c r="CA86" s="70"/>
      <c r="CB86" s="70"/>
      <c r="CC86" s="70"/>
      <c r="CD86" s="70"/>
      <c r="CE86" s="70"/>
      <c r="CF86" s="70"/>
      <c r="CJ86" s="70"/>
      <c r="CK86" s="70"/>
      <c r="CL86" s="70"/>
      <c r="CM86" s="70"/>
      <c r="CO86" s="70"/>
      <c r="CQ86" s="70"/>
      <c r="CS86" s="70"/>
      <c r="CT86" s="70"/>
      <c r="CU86" s="70"/>
      <c r="CW86" s="70"/>
      <c r="CX86" s="70"/>
      <c r="CY86" s="70"/>
      <c r="CZ86" s="70"/>
      <c r="DC86" s="70"/>
      <c r="DD86" s="70"/>
      <c r="DI86" s="73"/>
      <c r="DJ86" s="73"/>
      <c r="DK86" s="73"/>
      <c r="DL86" s="73"/>
      <c r="DM86" s="73"/>
      <c r="DN86" s="73"/>
      <c r="DO86" s="73"/>
      <c r="DP86" s="73"/>
      <c r="DQ86" s="73"/>
      <c r="DR86" s="73"/>
      <c r="DS86" s="73"/>
    </row>
    <row r="87" spans="1:123" ht="24.95" customHeight="1">
      <c r="A87" s="68"/>
      <c r="D87" s="69"/>
      <c r="E87" s="69"/>
      <c r="F87" s="69"/>
      <c r="G87" s="70"/>
      <c r="H87" s="70"/>
      <c r="I87" s="70"/>
      <c r="J87" s="70"/>
      <c r="N87" s="70"/>
      <c r="O87" s="69"/>
      <c r="S87" s="70"/>
      <c r="T87" s="69"/>
      <c r="V87" s="72" t="str">
        <f t="shared" si="3"/>
        <v/>
      </c>
      <c r="W87" s="72" t="str">
        <f t="shared" si="4"/>
        <v/>
      </c>
      <c r="X87" s="72" t="str">
        <f t="shared" si="5"/>
        <v/>
      </c>
      <c r="AD87" s="70"/>
      <c r="AE87" s="70"/>
      <c r="AF87" s="70"/>
      <c r="AH87" s="70"/>
      <c r="AJ87" s="70"/>
      <c r="AN87" s="70"/>
      <c r="AO87" s="70"/>
      <c r="AP87" s="70"/>
      <c r="AR87" s="70"/>
      <c r="AT87" s="70"/>
      <c r="AX87" s="70"/>
      <c r="AY87" s="70"/>
      <c r="AZ87" s="70"/>
      <c r="BB87" s="70"/>
      <c r="BD87" s="70"/>
      <c r="BE87" s="70"/>
      <c r="BF87" s="70"/>
      <c r="BK87" s="70"/>
      <c r="BM87" s="70"/>
      <c r="BN87" s="70"/>
      <c r="BP87" s="70"/>
      <c r="BQ87" s="70"/>
      <c r="BR87" s="70"/>
      <c r="BT87" s="70"/>
      <c r="BU87" s="70"/>
      <c r="BV87" s="70"/>
      <c r="BW87" s="70"/>
      <c r="BX87" s="70"/>
      <c r="BY87" s="70"/>
      <c r="BZ87" s="70"/>
      <c r="CA87" s="70"/>
      <c r="CB87" s="70"/>
      <c r="CC87" s="70"/>
      <c r="CD87" s="70"/>
      <c r="CE87" s="70"/>
      <c r="CF87" s="70"/>
      <c r="CJ87" s="70"/>
      <c r="CK87" s="70"/>
      <c r="CL87" s="70"/>
      <c r="CM87" s="70"/>
      <c r="CO87" s="70"/>
      <c r="CQ87" s="70"/>
      <c r="CS87" s="70"/>
      <c r="CT87" s="70"/>
      <c r="CU87" s="70"/>
      <c r="CW87" s="70"/>
      <c r="CX87" s="70"/>
      <c r="CY87" s="70"/>
      <c r="CZ87" s="70"/>
      <c r="DC87" s="70"/>
      <c r="DD87" s="70"/>
      <c r="DI87" s="73"/>
      <c r="DJ87" s="73"/>
      <c r="DK87" s="73"/>
      <c r="DL87" s="73"/>
      <c r="DM87" s="73"/>
      <c r="DN87" s="73"/>
      <c r="DO87" s="73"/>
      <c r="DP87" s="73"/>
      <c r="DQ87" s="73"/>
      <c r="DR87" s="73"/>
      <c r="DS87" s="73"/>
    </row>
    <row r="88" spans="1:123" ht="24.95" customHeight="1">
      <c r="A88" s="68"/>
      <c r="D88" s="69"/>
      <c r="E88" s="69"/>
      <c r="F88" s="69"/>
      <c r="G88" s="70"/>
      <c r="H88" s="70"/>
      <c r="I88" s="70"/>
      <c r="J88" s="70"/>
      <c r="N88" s="70"/>
      <c r="O88" s="69"/>
      <c r="S88" s="70"/>
      <c r="T88" s="69"/>
      <c r="V88" s="72" t="str">
        <f t="shared" si="3"/>
        <v/>
      </c>
      <c r="W88" s="72" t="str">
        <f t="shared" si="4"/>
        <v/>
      </c>
      <c r="X88" s="72" t="str">
        <f t="shared" si="5"/>
        <v/>
      </c>
      <c r="AD88" s="70"/>
      <c r="AE88" s="70"/>
      <c r="AF88" s="70"/>
      <c r="AH88" s="70"/>
      <c r="AJ88" s="70"/>
      <c r="AN88" s="70"/>
      <c r="AO88" s="70"/>
      <c r="AP88" s="70"/>
      <c r="AR88" s="70"/>
      <c r="AT88" s="70"/>
      <c r="AX88" s="70"/>
      <c r="AY88" s="70"/>
      <c r="AZ88" s="70"/>
      <c r="BB88" s="70"/>
      <c r="BD88" s="70"/>
      <c r="BE88" s="70"/>
      <c r="BF88" s="70"/>
      <c r="BK88" s="70"/>
      <c r="BM88" s="70"/>
      <c r="BN88" s="70"/>
      <c r="BP88" s="70"/>
      <c r="BQ88" s="70"/>
      <c r="BR88" s="70"/>
      <c r="BT88" s="70"/>
      <c r="BU88" s="70"/>
      <c r="BV88" s="70"/>
      <c r="BW88" s="70"/>
      <c r="BX88" s="70"/>
      <c r="BY88" s="70"/>
      <c r="BZ88" s="70"/>
      <c r="CA88" s="70"/>
      <c r="CB88" s="70"/>
      <c r="CC88" s="70"/>
      <c r="CD88" s="70"/>
      <c r="CE88" s="70"/>
      <c r="CF88" s="70"/>
      <c r="CJ88" s="70"/>
      <c r="CK88" s="70"/>
      <c r="CL88" s="70"/>
      <c r="CM88" s="70"/>
      <c r="CO88" s="70"/>
      <c r="CQ88" s="70"/>
      <c r="CS88" s="70"/>
      <c r="CT88" s="70"/>
      <c r="CU88" s="70"/>
      <c r="CW88" s="70"/>
      <c r="CX88" s="70"/>
      <c r="CY88" s="70"/>
      <c r="CZ88" s="70"/>
      <c r="DC88" s="70"/>
      <c r="DD88" s="70"/>
      <c r="DI88" s="73"/>
      <c r="DJ88" s="73"/>
      <c r="DK88" s="73"/>
      <c r="DL88" s="73"/>
      <c r="DM88" s="73"/>
      <c r="DN88" s="73"/>
      <c r="DO88" s="73"/>
      <c r="DP88" s="73"/>
      <c r="DQ88" s="73"/>
      <c r="DR88" s="73"/>
      <c r="DS88" s="73"/>
    </row>
    <row r="89" spans="1:123" ht="24.95" customHeight="1">
      <c r="A89" s="68"/>
      <c r="D89" s="69"/>
      <c r="E89" s="69"/>
      <c r="F89" s="69"/>
      <c r="G89" s="70"/>
      <c r="H89" s="70"/>
      <c r="I89" s="70"/>
      <c r="J89" s="70"/>
      <c r="N89" s="70"/>
      <c r="O89" s="69"/>
      <c r="S89" s="70"/>
      <c r="T89" s="69"/>
      <c r="V89" s="72" t="str">
        <f t="shared" si="3"/>
        <v/>
      </c>
      <c r="W89" s="72" t="str">
        <f t="shared" si="4"/>
        <v/>
      </c>
      <c r="X89" s="72" t="str">
        <f t="shared" si="5"/>
        <v/>
      </c>
      <c r="AD89" s="70"/>
      <c r="AE89" s="70"/>
      <c r="AF89" s="70"/>
      <c r="AH89" s="70"/>
      <c r="AJ89" s="70"/>
      <c r="AN89" s="70"/>
      <c r="AO89" s="70"/>
      <c r="AP89" s="70"/>
      <c r="AR89" s="70"/>
      <c r="AT89" s="70"/>
      <c r="AX89" s="70"/>
      <c r="AY89" s="70"/>
      <c r="AZ89" s="70"/>
      <c r="BB89" s="70"/>
      <c r="BD89" s="70"/>
      <c r="BE89" s="70"/>
      <c r="BF89" s="70"/>
      <c r="BK89" s="70"/>
      <c r="BM89" s="70"/>
      <c r="BN89" s="70"/>
      <c r="BP89" s="70"/>
      <c r="BQ89" s="70"/>
      <c r="BR89" s="70"/>
      <c r="BT89" s="70"/>
      <c r="BU89" s="70"/>
      <c r="BV89" s="70"/>
      <c r="BW89" s="70"/>
      <c r="BX89" s="70"/>
      <c r="BY89" s="70"/>
      <c r="BZ89" s="70"/>
      <c r="CA89" s="70"/>
      <c r="CB89" s="70"/>
      <c r="CC89" s="70"/>
      <c r="CD89" s="70"/>
      <c r="CE89" s="70"/>
      <c r="CF89" s="70"/>
      <c r="CJ89" s="70"/>
      <c r="CK89" s="70"/>
      <c r="CL89" s="70"/>
      <c r="CM89" s="70"/>
      <c r="CO89" s="70"/>
      <c r="CQ89" s="70"/>
      <c r="CS89" s="70"/>
      <c r="CT89" s="70"/>
      <c r="CU89" s="70"/>
      <c r="CW89" s="70"/>
      <c r="CX89" s="70"/>
      <c r="CY89" s="70"/>
      <c r="CZ89" s="70"/>
      <c r="DC89" s="70"/>
      <c r="DD89" s="70"/>
      <c r="DI89" s="73"/>
      <c r="DJ89" s="73"/>
      <c r="DK89" s="73"/>
      <c r="DL89" s="73"/>
      <c r="DM89" s="73"/>
      <c r="DN89" s="73"/>
      <c r="DO89" s="73"/>
      <c r="DP89" s="73"/>
      <c r="DQ89" s="73"/>
      <c r="DR89" s="73"/>
      <c r="DS89" s="73"/>
    </row>
    <row r="90" spans="1:123" ht="24.95" customHeight="1">
      <c r="A90" s="68"/>
      <c r="D90" s="69"/>
      <c r="E90" s="69"/>
      <c r="F90" s="69"/>
      <c r="G90" s="70"/>
      <c r="H90" s="70"/>
      <c r="I90" s="70"/>
      <c r="J90" s="70"/>
      <c r="N90" s="70"/>
      <c r="O90" s="69"/>
      <c r="S90" s="70"/>
      <c r="T90" s="69"/>
      <c r="V90" s="72" t="str">
        <f t="shared" si="3"/>
        <v/>
      </c>
      <c r="W90" s="72" t="str">
        <f t="shared" si="4"/>
        <v/>
      </c>
      <c r="X90" s="72" t="str">
        <f t="shared" si="5"/>
        <v/>
      </c>
      <c r="AD90" s="70"/>
      <c r="AE90" s="70"/>
      <c r="AF90" s="70"/>
      <c r="AH90" s="70"/>
      <c r="AJ90" s="70"/>
      <c r="AN90" s="70"/>
      <c r="AO90" s="70"/>
      <c r="AP90" s="70"/>
      <c r="AR90" s="70"/>
      <c r="AT90" s="70"/>
      <c r="AX90" s="70"/>
      <c r="AY90" s="70"/>
      <c r="AZ90" s="70"/>
      <c r="BB90" s="70"/>
      <c r="BD90" s="70"/>
      <c r="BE90" s="70"/>
      <c r="BF90" s="70"/>
      <c r="BK90" s="70"/>
      <c r="BM90" s="70"/>
      <c r="BN90" s="70"/>
      <c r="BP90" s="70"/>
      <c r="BQ90" s="70"/>
      <c r="BR90" s="70"/>
      <c r="BT90" s="70"/>
      <c r="BU90" s="70"/>
      <c r="BV90" s="70"/>
      <c r="BW90" s="70"/>
      <c r="BX90" s="70"/>
      <c r="BY90" s="70"/>
      <c r="BZ90" s="70"/>
      <c r="CA90" s="70"/>
      <c r="CB90" s="70"/>
      <c r="CC90" s="70"/>
      <c r="CD90" s="70"/>
      <c r="CE90" s="70"/>
      <c r="CF90" s="70"/>
      <c r="CJ90" s="70"/>
      <c r="CK90" s="70"/>
      <c r="CL90" s="70"/>
      <c r="CM90" s="70"/>
      <c r="CO90" s="70"/>
      <c r="CQ90" s="70"/>
      <c r="CS90" s="70"/>
      <c r="CT90" s="70"/>
      <c r="CU90" s="70"/>
      <c r="CW90" s="70"/>
      <c r="CX90" s="70"/>
      <c r="CY90" s="70"/>
      <c r="CZ90" s="70"/>
      <c r="DC90" s="70"/>
      <c r="DD90" s="70"/>
      <c r="DI90" s="73"/>
      <c r="DJ90" s="73"/>
      <c r="DK90" s="73"/>
      <c r="DL90" s="73"/>
      <c r="DM90" s="73"/>
      <c r="DN90" s="73"/>
      <c r="DO90" s="73"/>
      <c r="DP90" s="73"/>
      <c r="DQ90" s="73"/>
      <c r="DR90" s="73"/>
      <c r="DS90" s="73"/>
    </row>
    <row r="91" spans="1:123" ht="24.95" customHeight="1">
      <c r="A91" s="68"/>
      <c r="D91" s="69"/>
      <c r="E91" s="69"/>
      <c r="F91" s="69"/>
      <c r="G91" s="70"/>
      <c r="H91" s="70"/>
      <c r="I91" s="70"/>
      <c r="J91" s="70"/>
      <c r="N91" s="70"/>
      <c r="O91" s="69"/>
      <c r="S91" s="70"/>
      <c r="T91" s="69"/>
      <c r="V91" s="72" t="str">
        <f t="shared" si="3"/>
        <v/>
      </c>
      <c r="W91" s="72" t="str">
        <f t="shared" si="4"/>
        <v/>
      </c>
      <c r="X91" s="72" t="str">
        <f t="shared" si="5"/>
        <v/>
      </c>
      <c r="AD91" s="70"/>
      <c r="AE91" s="70"/>
      <c r="AF91" s="70"/>
      <c r="AH91" s="70"/>
      <c r="AJ91" s="70"/>
      <c r="AN91" s="70"/>
      <c r="AO91" s="70"/>
      <c r="AP91" s="70"/>
      <c r="AR91" s="70"/>
      <c r="AT91" s="70"/>
      <c r="AX91" s="70"/>
      <c r="AY91" s="70"/>
      <c r="AZ91" s="70"/>
      <c r="BB91" s="70"/>
      <c r="BD91" s="70"/>
      <c r="BE91" s="70"/>
      <c r="BF91" s="70"/>
      <c r="BK91" s="70"/>
      <c r="BM91" s="70"/>
      <c r="BN91" s="70"/>
      <c r="BP91" s="70"/>
      <c r="BQ91" s="70"/>
      <c r="BR91" s="70"/>
      <c r="BT91" s="70"/>
      <c r="BU91" s="70"/>
      <c r="BV91" s="70"/>
      <c r="BW91" s="70"/>
      <c r="BX91" s="70"/>
      <c r="BY91" s="70"/>
      <c r="BZ91" s="70"/>
      <c r="CA91" s="70"/>
      <c r="CB91" s="70"/>
      <c r="CC91" s="70"/>
      <c r="CD91" s="70"/>
      <c r="CE91" s="70"/>
      <c r="CF91" s="70"/>
      <c r="CJ91" s="70"/>
      <c r="CK91" s="70"/>
      <c r="CL91" s="70"/>
      <c r="CM91" s="70"/>
      <c r="CO91" s="70"/>
      <c r="CQ91" s="70"/>
      <c r="CS91" s="70"/>
      <c r="CT91" s="70"/>
      <c r="CU91" s="70"/>
      <c r="CW91" s="70"/>
      <c r="CX91" s="70"/>
      <c r="CY91" s="70"/>
      <c r="CZ91" s="70"/>
      <c r="DC91" s="70"/>
      <c r="DD91" s="70"/>
      <c r="DI91" s="73"/>
      <c r="DJ91" s="73"/>
      <c r="DK91" s="73"/>
      <c r="DL91" s="73"/>
      <c r="DM91" s="73"/>
      <c r="DN91" s="73"/>
      <c r="DO91" s="73"/>
      <c r="DP91" s="73"/>
      <c r="DQ91" s="73"/>
      <c r="DR91" s="73"/>
      <c r="DS91" s="73"/>
    </row>
    <row r="92" spans="1:123" ht="24.95" customHeight="1">
      <c r="A92" s="68"/>
      <c r="D92" s="69"/>
      <c r="E92" s="69"/>
      <c r="F92" s="69"/>
      <c r="G92" s="70"/>
      <c r="H92" s="70"/>
      <c r="I92" s="70"/>
      <c r="J92" s="70"/>
      <c r="N92" s="70"/>
      <c r="O92" s="69"/>
      <c r="S92" s="70"/>
      <c r="T92" s="69"/>
      <c r="V92" s="72" t="str">
        <f t="shared" si="3"/>
        <v/>
      </c>
      <c r="W92" s="72" t="str">
        <f t="shared" si="4"/>
        <v/>
      </c>
      <c r="X92" s="72" t="str">
        <f t="shared" si="5"/>
        <v/>
      </c>
      <c r="AD92" s="70"/>
      <c r="AE92" s="70"/>
      <c r="AF92" s="70"/>
      <c r="AH92" s="70"/>
      <c r="AJ92" s="70"/>
      <c r="AN92" s="70"/>
      <c r="AO92" s="70"/>
      <c r="AP92" s="70"/>
      <c r="AR92" s="70"/>
      <c r="AT92" s="70"/>
      <c r="AX92" s="70"/>
      <c r="AY92" s="70"/>
      <c r="AZ92" s="70"/>
      <c r="BB92" s="70"/>
      <c r="BD92" s="70"/>
      <c r="BE92" s="70"/>
      <c r="BF92" s="70"/>
      <c r="BK92" s="70"/>
      <c r="BM92" s="70"/>
      <c r="BN92" s="70"/>
      <c r="BP92" s="70"/>
      <c r="BQ92" s="70"/>
      <c r="BR92" s="70"/>
      <c r="BT92" s="70"/>
      <c r="BU92" s="70"/>
      <c r="BV92" s="70"/>
      <c r="BW92" s="70"/>
      <c r="BX92" s="70"/>
      <c r="BY92" s="70"/>
      <c r="BZ92" s="70"/>
      <c r="CA92" s="70"/>
      <c r="CB92" s="70"/>
      <c r="CC92" s="70"/>
      <c r="CD92" s="70"/>
      <c r="CE92" s="70"/>
      <c r="CF92" s="70"/>
      <c r="CJ92" s="70"/>
      <c r="CK92" s="70"/>
      <c r="CL92" s="70"/>
      <c r="CM92" s="70"/>
      <c r="CO92" s="70"/>
      <c r="CQ92" s="70"/>
      <c r="CS92" s="70"/>
      <c r="CT92" s="70"/>
      <c r="CU92" s="70"/>
      <c r="CW92" s="70"/>
      <c r="CX92" s="70"/>
      <c r="CY92" s="70"/>
      <c r="CZ92" s="70"/>
      <c r="DC92" s="70"/>
      <c r="DD92" s="70"/>
      <c r="DI92" s="73"/>
      <c r="DJ92" s="73"/>
      <c r="DK92" s="73"/>
      <c r="DL92" s="73"/>
      <c r="DM92" s="73"/>
      <c r="DN92" s="73"/>
      <c r="DO92" s="73"/>
      <c r="DP92" s="73"/>
      <c r="DQ92" s="73"/>
      <c r="DR92" s="73"/>
      <c r="DS92" s="73"/>
    </row>
    <row r="93" spans="1:123" ht="24.95" customHeight="1">
      <c r="A93" s="68"/>
      <c r="D93" s="69"/>
      <c r="E93" s="69"/>
      <c r="F93" s="69"/>
      <c r="G93" s="70"/>
      <c r="H93" s="70"/>
      <c r="I93" s="70"/>
      <c r="J93" s="70"/>
      <c r="N93" s="70"/>
      <c r="O93" s="69"/>
      <c r="S93" s="70"/>
      <c r="T93" s="69"/>
      <c r="V93" s="72" t="str">
        <f t="shared" si="3"/>
        <v/>
      </c>
      <c r="W93" s="72" t="str">
        <f t="shared" si="4"/>
        <v/>
      </c>
      <c r="X93" s="72" t="str">
        <f t="shared" si="5"/>
        <v/>
      </c>
      <c r="AD93" s="70"/>
      <c r="AE93" s="70"/>
      <c r="AF93" s="70"/>
      <c r="AH93" s="70"/>
      <c r="AJ93" s="70"/>
      <c r="AN93" s="70"/>
      <c r="AO93" s="70"/>
      <c r="AP93" s="70"/>
      <c r="AR93" s="70"/>
      <c r="AT93" s="70"/>
      <c r="AX93" s="70"/>
      <c r="AY93" s="70"/>
      <c r="AZ93" s="70"/>
      <c r="BB93" s="70"/>
      <c r="BD93" s="70"/>
      <c r="BE93" s="70"/>
      <c r="BF93" s="70"/>
      <c r="BK93" s="70"/>
      <c r="BM93" s="70"/>
      <c r="BN93" s="70"/>
      <c r="BP93" s="70"/>
      <c r="BQ93" s="70"/>
      <c r="BR93" s="70"/>
      <c r="BT93" s="70"/>
      <c r="BU93" s="70"/>
      <c r="BV93" s="70"/>
      <c r="BW93" s="70"/>
      <c r="BX93" s="70"/>
      <c r="BY93" s="70"/>
      <c r="BZ93" s="70"/>
      <c r="CA93" s="70"/>
      <c r="CB93" s="70"/>
      <c r="CC93" s="70"/>
      <c r="CD93" s="70"/>
      <c r="CE93" s="70"/>
      <c r="CF93" s="70"/>
      <c r="CJ93" s="70"/>
      <c r="CK93" s="70"/>
      <c r="CL93" s="70"/>
      <c r="CM93" s="70"/>
      <c r="CO93" s="70"/>
      <c r="CQ93" s="70"/>
      <c r="CS93" s="70"/>
      <c r="CT93" s="70"/>
      <c r="CU93" s="70"/>
      <c r="CW93" s="70"/>
      <c r="CX93" s="70"/>
      <c r="CY93" s="70"/>
      <c r="CZ93" s="70"/>
      <c r="DC93" s="70"/>
      <c r="DD93" s="70"/>
      <c r="DI93" s="73"/>
      <c r="DJ93" s="73"/>
      <c r="DK93" s="73"/>
      <c r="DL93" s="73"/>
      <c r="DM93" s="73"/>
      <c r="DN93" s="73"/>
      <c r="DO93" s="73"/>
      <c r="DP93" s="73"/>
      <c r="DQ93" s="73"/>
      <c r="DR93" s="73"/>
      <c r="DS93" s="73"/>
    </row>
    <row r="94" spans="1:123" ht="24.95" customHeight="1">
      <c r="A94" s="68"/>
      <c r="D94" s="69"/>
      <c r="E94" s="69"/>
      <c r="F94" s="69"/>
      <c r="G94" s="70"/>
      <c r="H94" s="70"/>
      <c r="I94" s="70"/>
      <c r="J94" s="70"/>
      <c r="N94" s="70"/>
      <c r="O94" s="69"/>
      <c r="S94" s="70"/>
      <c r="T94" s="69"/>
      <c r="V94" s="72" t="str">
        <f t="shared" si="3"/>
        <v/>
      </c>
      <c r="W94" s="72" t="str">
        <f t="shared" si="4"/>
        <v/>
      </c>
      <c r="X94" s="72" t="str">
        <f t="shared" si="5"/>
        <v/>
      </c>
      <c r="AD94" s="70"/>
      <c r="AE94" s="70"/>
      <c r="AF94" s="70"/>
      <c r="AH94" s="70"/>
      <c r="AJ94" s="70"/>
      <c r="AN94" s="70"/>
      <c r="AO94" s="70"/>
      <c r="AP94" s="70"/>
      <c r="AR94" s="70"/>
      <c r="AT94" s="70"/>
      <c r="AX94" s="70"/>
      <c r="AY94" s="70"/>
      <c r="AZ94" s="70"/>
      <c r="BB94" s="70"/>
      <c r="BD94" s="70"/>
      <c r="BE94" s="70"/>
      <c r="BF94" s="70"/>
      <c r="BK94" s="70"/>
      <c r="BM94" s="70"/>
      <c r="BN94" s="70"/>
      <c r="BP94" s="70"/>
      <c r="BQ94" s="70"/>
      <c r="BR94" s="70"/>
      <c r="BT94" s="70"/>
      <c r="BU94" s="70"/>
      <c r="BV94" s="70"/>
      <c r="BW94" s="70"/>
      <c r="BX94" s="70"/>
      <c r="BY94" s="70"/>
      <c r="BZ94" s="70"/>
      <c r="CA94" s="70"/>
      <c r="CB94" s="70"/>
      <c r="CC94" s="70"/>
      <c r="CD94" s="70"/>
      <c r="CE94" s="70"/>
      <c r="CF94" s="70"/>
      <c r="CJ94" s="70"/>
      <c r="CK94" s="70"/>
      <c r="CL94" s="70"/>
      <c r="CM94" s="70"/>
      <c r="CO94" s="70"/>
      <c r="CQ94" s="70"/>
      <c r="CS94" s="70"/>
      <c r="CT94" s="70"/>
      <c r="CU94" s="70"/>
      <c r="CW94" s="70"/>
      <c r="CX94" s="70"/>
      <c r="CY94" s="70"/>
      <c r="CZ94" s="70"/>
      <c r="DC94" s="70"/>
      <c r="DD94" s="70"/>
      <c r="DI94" s="73"/>
      <c r="DJ94" s="73"/>
      <c r="DK94" s="73"/>
      <c r="DL94" s="73"/>
      <c r="DM94" s="73"/>
      <c r="DN94" s="73"/>
      <c r="DO94" s="73"/>
      <c r="DP94" s="73"/>
      <c r="DQ94" s="73"/>
      <c r="DR94" s="73"/>
      <c r="DS94" s="73"/>
    </row>
    <row r="95" spans="1:123" ht="24.95" customHeight="1">
      <c r="A95" s="68"/>
      <c r="D95" s="69"/>
      <c r="E95" s="69"/>
      <c r="F95" s="69"/>
      <c r="G95" s="70"/>
      <c r="H95" s="70"/>
      <c r="I95" s="70"/>
      <c r="J95" s="70"/>
      <c r="N95" s="70"/>
      <c r="O95" s="69"/>
      <c r="S95" s="70"/>
      <c r="T95" s="69"/>
      <c r="V95" s="72" t="str">
        <f t="shared" si="3"/>
        <v/>
      </c>
      <c r="W95" s="72" t="str">
        <f t="shared" si="4"/>
        <v/>
      </c>
      <c r="X95" s="72" t="str">
        <f t="shared" si="5"/>
        <v/>
      </c>
      <c r="AD95" s="70"/>
      <c r="AE95" s="70"/>
      <c r="AF95" s="70"/>
      <c r="AH95" s="70"/>
      <c r="AJ95" s="70"/>
      <c r="AN95" s="70"/>
      <c r="AO95" s="70"/>
      <c r="AP95" s="70"/>
      <c r="AR95" s="70"/>
      <c r="AT95" s="70"/>
      <c r="AX95" s="70"/>
      <c r="AY95" s="70"/>
      <c r="AZ95" s="70"/>
      <c r="BB95" s="70"/>
      <c r="BD95" s="70"/>
      <c r="BE95" s="70"/>
      <c r="BF95" s="70"/>
      <c r="BK95" s="70"/>
      <c r="BM95" s="70"/>
      <c r="BN95" s="70"/>
      <c r="BP95" s="70"/>
      <c r="BQ95" s="70"/>
      <c r="BR95" s="70"/>
      <c r="BT95" s="70"/>
      <c r="BU95" s="70"/>
      <c r="BV95" s="70"/>
      <c r="BW95" s="70"/>
      <c r="BX95" s="70"/>
      <c r="BY95" s="70"/>
      <c r="BZ95" s="70"/>
      <c r="CA95" s="70"/>
      <c r="CB95" s="70"/>
      <c r="CC95" s="70"/>
      <c r="CD95" s="70"/>
      <c r="CE95" s="70"/>
      <c r="CF95" s="70"/>
      <c r="CJ95" s="70"/>
      <c r="CK95" s="70"/>
      <c r="CL95" s="70"/>
      <c r="CM95" s="70"/>
      <c r="CO95" s="70"/>
      <c r="CQ95" s="70"/>
      <c r="CS95" s="70"/>
      <c r="CT95" s="70"/>
      <c r="CU95" s="70"/>
      <c r="CW95" s="70"/>
      <c r="CX95" s="70"/>
      <c r="CY95" s="70"/>
      <c r="CZ95" s="70"/>
      <c r="DC95" s="70"/>
      <c r="DD95" s="70"/>
      <c r="DI95" s="73"/>
      <c r="DJ95" s="73"/>
      <c r="DK95" s="73"/>
      <c r="DL95" s="73"/>
      <c r="DM95" s="73"/>
      <c r="DN95" s="73"/>
      <c r="DO95" s="73"/>
      <c r="DP95" s="73"/>
      <c r="DQ95" s="73"/>
      <c r="DR95" s="73"/>
      <c r="DS95" s="73"/>
    </row>
    <row r="96" spans="1:123" ht="24.95" customHeight="1">
      <c r="A96" s="68"/>
      <c r="D96" s="69"/>
      <c r="E96" s="69"/>
      <c r="F96" s="69"/>
      <c r="G96" s="70"/>
      <c r="H96" s="70"/>
      <c r="I96" s="70"/>
      <c r="J96" s="70"/>
      <c r="N96" s="70"/>
      <c r="O96" s="69"/>
      <c r="S96" s="70"/>
      <c r="T96" s="69"/>
      <c r="V96" s="72" t="str">
        <f t="shared" si="3"/>
        <v/>
      </c>
      <c r="W96" s="72" t="str">
        <f t="shared" si="4"/>
        <v/>
      </c>
      <c r="X96" s="72" t="str">
        <f t="shared" si="5"/>
        <v/>
      </c>
      <c r="AD96" s="70"/>
      <c r="AE96" s="70"/>
      <c r="AF96" s="70"/>
      <c r="AH96" s="70"/>
      <c r="AJ96" s="70"/>
      <c r="AN96" s="70"/>
      <c r="AO96" s="70"/>
      <c r="AP96" s="70"/>
      <c r="AR96" s="70"/>
      <c r="AT96" s="70"/>
      <c r="AX96" s="70"/>
      <c r="AY96" s="70"/>
      <c r="AZ96" s="70"/>
      <c r="BB96" s="70"/>
      <c r="BD96" s="70"/>
      <c r="BE96" s="70"/>
      <c r="BF96" s="70"/>
      <c r="BK96" s="70"/>
      <c r="BM96" s="70"/>
      <c r="BN96" s="70"/>
      <c r="BP96" s="70"/>
      <c r="BQ96" s="70"/>
      <c r="BR96" s="70"/>
      <c r="BT96" s="70"/>
      <c r="BU96" s="70"/>
      <c r="BV96" s="70"/>
      <c r="BW96" s="70"/>
      <c r="BX96" s="70"/>
      <c r="BY96" s="70"/>
      <c r="BZ96" s="70"/>
      <c r="CA96" s="70"/>
      <c r="CB96" s="70"/>
      <c r="CC96" s="70"/>
      <c r="CD96" s="70"/>
      <c r="CE96" s="70"/>
      <c r="CF96" s="70"/>
      <c r="CJ96" s="70"/>
      <c r="CK96" s="70"/>
      <c r="CL96" s="70"/>
      <c r="CM96" s="70"/>
      <c r="CO96" s="70"/>
      <c r="CQ96" s="70"/>
      <c r="CS96" s="70"/>
      <c r="CT96" s="70"/>
      <c r="CU96" s="70"/>
      <c r="CW96" s="70"/>
      <c r="CX96" s="70"/>
      <c r="CY96" s="70"/>
      <c r="CZ96" s="70"/>
      <c r="DC96" s="70"/>
      <c r="DD96" s="70"/>
      <c r="DI96" s="73"/>
      <c r="DJ96" s="73"/>
      <c r="DK96" s="73"/>
      <c r="DL96" s="73"/>
      <c r="DM96" s="73"/>
      <c r="DN96" s="73"/>
      <c r="DO96" s="73"/>
      <c r="DP96" s="73"/>
      <c r="DQ96" s="73"/>
      <c r="DR96" s="73"/>
      <c r="DS96" s="73"/>
    </row>
    <row r="97" spans="1:123" ht="24.95" customHeight="1">
      <c r="A97" s="68"/>
      <c r="D97" s="69"/>
      <c r="E97" s="69"/>
      <c r="F97" s="69"/>
      <c r="G97" s="70"/>
      <c r="H97" s="70"/>
      <c r="I97" s="70"/>
      <c r="J97" s="70"/>
      <c r="N97" s="70"/>
      <c r="O97" s="69"/>
      <c r="S97" s="70"/>
      <c r="T97" s="69"/>
      <c r="V97" s="72" t="str">
        <f t="shared" si="3"/>
        <v/>
      </c>
      <c r="W97" s="72" t="str">
        <f t="shared" si="4"/>
        <v/>
      </c>
      <c r="X97" s="72" t="str">
        <f t="shared" si="5"/>
        <v/>
      </c>
      <c r="AD97" s="70"/>
      <c r="AE97" s="70"/>
      <c r="AF97" s="70"/>
      <c r="AH97" s="70"/>
      <c r="AJ97" s="70"/>
      <c r="AN97" s="70"/>
      <c r="AO97" s="70"/>
      <c r="AP97" s="70"/>
      <c r="AR97" s="70"/>
      <c r="AT97" s="70"/>
      <c r="AX97" s="70"/>
      <c r="AY97" s="70"/>
      <c r="AZ97" s="70"/>
      <c r="BB97" s="70"/>
      <c r="BD97" s="70"/>
      <c r="BE97" s="70"/>
      <c r="BF97" s="70"/>
      <c r="BK97" s="70"/>
      <c r="BM97" s="70"/>
      <c r="BN97" s="70"/>
      <c r="BP97" s="70"/>
      <c r="BQ97" s="70"/>
      <c r="BR97" s="70"/>
      <c r="BT97" s="70"/>
      <c r="BU97" s="70"/>
      <c r="BV97" s="70"/>
      <c r="BW97" s="70"/>
      <c r="BX97" s="70"/>
      <c r="BY97" s="70"/>
      <c r="BZ97" s="70"/>
      <c r="CA97" s="70"/>
      <c r="CB97" s="70"/>
      <c r="CC97" s="70"/>
      <c r="CD97" s="70"/>
      <c r="CE97" s="70"/>
      <c r="CF97" s="70"/>
      <c r="CJ97" s="70"/>
      <c r="CK97" s="70"/>
      <c r="CL97" s="70"/>
      <c r="CM97" s="70"/>
      <c r="CO97" s="70"/>
      <c r="CQ97" s="70"/>
      <c r="CS97" s="70"/>
      <c r="CT97" s="70"/>
      <c r="CU97" s="70"/>
      <c r="CW97" s="70"/>
      <c r="CX97" s="70"/>
      <c r="CY97" s="70"/>
      <c r="CZ97" s="70"/>
      <c r="DC97" s="70"/>
      <c r="DD97" s="70"/>
      <c r="DI97" s="73"/>
      <c r="DJ97" s="73"/>
      <c r="DK97" s="73"/>
      <c r="DL97" s="73"/>
      <c r="DM97" s="73"/>
      <c r="DN97" s="73"/>
      <c r="DO97" s="73"/>
      <c r="DP97" s="73"/>
      <c r="DQ97" s="73"/>
      <c r="DR97" s="73"/>
      <c r="DS97" s="73"/>
    </row>
    <row r="98" spans="1:123" ht="24.95" customHeight="1">
      <c r="A98" s="68"/>
      <c r="D98" s="69"/>
      <c r="E98" s="69"/>
      <c r="F98" s="69"/>
      <c r="G98" s="70"/>
      <c r="H98" s="70"/>
      <c r="I98" s="70"/>
      <c r="J98" s="70"/>
      <c r="N98" s="70"/>
      <c r="O98" s="69"/>
      <c r="S98" s="70"/>
      <c r="T98" s="69"/>
      <c r="V98" s="72" t="str">
        <f t="shared" si="3"/>
        <v/>
      </c>
      <c r="W98" s="72" t="str">
        <f t="shared" si="4"/>
        <v/>
      </c>
      <c r="X98" s="72" t="str">
        <f t="shared" si="5"/>
        <v/>
      </c>
      <c r="AD98" s="70"/>
      <c r="AE98" s="70"/>
      <c r="AF98" s="70"/>
      <c r="AH98" s="70"/>
      <c r="AJ98" s="70"/>
      <c r="AN98" s="70"/>
      <c r="AO98" s="70"/>
      <c r="AP98" s="70"/>
      <c r="AR98" s="70"/>
      <c r="AT98" s="70"/>
      <c r="AX98" s="70"/>
      <c r="AY98" s="70"/>
      <c r="AZ98" s="70"/>
      <c r="BB98" s="70"/>
      <c r="BD98" s="70"/>
      <c r="BE98" s="70"/>
      <c r="BF98" s="70"/>
      <c r="BK98" s="70"/>
      <c r="BM98" s="70"/>
      <c r="BN98" s="70"/>
      <c r="BP98" s="70"/>
      <c r="BQ98" s="70"/>
      <c r="BR98" s="70"/>
      <c r="BT98" s="70"/>
      <c r="BU98" s="70"/>
      <c r="BV98" s="70"/>
      <c r="BW98" s="70"/>
      <c r="BX98" s="70"/>
      <c r="BY98" s="70"/>
      <c r="BZ98" s="70"/>
      <c r="CA98" s="70"/>
      <c r="CB98" s="70"/>
      <c r="CC98" s="70"/>
      <c r="CD98" s="70"/>
      <c r="CE98" s="70"/>
      <c r="CF98" s="70"/>
      <c r="CJ98" s="70"/>
      <c r="CK98" s="70"/>
      <c r="CL98" s="70"/>
      <c r="CM98" s="70"/>
      <c r="CO98" s="70"/>
      <c r="CQ98" s="70"/>
      <c r="CS98" s="70"/>
      <c r="CT98" s="70"/>
      <c r="CU98" s="70"/>
      <c r="CW98" s="70"/>
      <c r="CX98" s="70"/>
      <c r="CY98" s="70"/>
      <c r="CZ98" s="70"/>
      <c r="DC98" s="70"/>
      <c r="DD98" s="70"/>
      <c r="DI98" s="73"/>
      <c r="DJ98" s="73"/>
      <c r="DK98" s="73"/>
      <c r="DL98" s="73"/>
      <c r="DM98" s="73"/>
      <c r="DN98" s="73"/>
      <c r="DO98" s="73"/>
      <c r="DP98" s="73"/>
      <c r="DQ98" s="73"/>
      <c r="DR98" s="73"/>
      <c r="DS98" s="73"/>
    </row>
    <row r="99" spans="1:123" ht="24.95" customHeight="1">
      <c r="A99" s="68"/>
      <c r="D99" s="69"/>
      <c r="E99" s="69"/>
      <c r="F99" s="69"/>
      <c r="G99" s="70"/>
      <c r="H99" s="70"/>
      <c r="I99" s="70"/>
      <c r="J99" s="70"/>
      <c r="N99" s="70"/>
      <c r="O99" s="69"/>
      <c r="S99" s="70"/>
      <c r="T99" s="69"/>
      <c r="V99" s="72" t="str">
        <f t="shared" si="3"/>
        <v/>
      </c>
      <c r="W99" s="72" t="str">
        <f t="shared" si="4"/>
        <v/>
      </c>
      <c r="X99" s="72" t="str">
        <f t="shared" si="5"/>
        <v/>
      </c>
      <c r="AD99" s="70"/>
      <c r="AE99" s="70"/>
      <c r="AF99" s="70"/>
      <c r="AH99" s="70"/>
      <c r="AJ99" s="70"/>
      <c r="AN99" s="70"/>
      <c r="AO99" s="70"/>
      <c r="AP99" s="70"/>
      <c r="AR99" s="70"/>
      <c r="AT99" s="70"/>
      <c r="AX99" s="70"/>
      <c r="AY99" s="70"/>
      <c r="AZ99" s="70"/>
      <c r="BB99" s="70"/>
      <c r="BD99" s="70"/>
      <c r="BE99" s="70"/>
      <c r="BF99" s="70"/>
      <c r="BK99" s="70"/>
      <c r="BM99" s="70"/>
      <c r="BN99" s="70"/>
      <c r="BP99" s="70"/>
      <c r="BQ99" s="70"/>
      <c r="BR99" s="70"/>
      <c r="BT99" s="70"/>
      <c r="BU99" s="70"/>
      <c r="BV99" s="70"/>
      <c r="BW99" s="70"/>
      <c r="BX99" s="70"/>
      <c r="BY99" s="70"/>
      <c r="BZ99" s="70"/>
      <c r="CA99" s="70"/>
      <c r="CB99" s="70"/>
      <c r="CC99" s="70"/>
      <c r="CD99" s="70"/>
      <c r="CE99" s="70"/>
      <c r="CF99" s="70"/>
      <c r="CJ99" s="70"/>
      <c r="CK99" s="70"/>
      <c r="CL99" s="70"/>
      <c r="CM99" s="70"/>
      <c r="CO99" s="70"/>
      <c r="CQ99" s="70"/>
      <c r="CS99" s="70"/>
      <c r="CT99" s="70"/>
      <c r="CU99" s="70"/>
      <c r="CW99" s="70"/>
      <c r="CX99" s="70"/>
      <c r="CY99" s="70"/>
      <c r="CZ99" s="70"/>
      <c r="DC99" s="70"/>
      <c r="DD99" s="70"/>
      <c r="DI99" s="73"/>
      <c r="DJ99" s="73"/>
      <c r="DK99" s="73"/>
      <c r="DL99" s="73"/>
      <c r="DM99" s="73"/>
      <c r="DN99" s="73"/>
      <c r="DO99" s="73"/>
      <c r="DP99" s="73"/>
      <c r="DQ99" s="73"/>
      <c r="DR99" s="73"/>
      <c r="DS99" s="73"/>
    </row>
    <row r="100" spans="1:123" ht="24.95" customHeight="1">
      <c r="A100" s="68"/>
      <c r="D100" s="69"/>
      <c r="E100" s="69"/>
      <c r="F100" s="69"/>
      <c r="G100" s="70"/>
      <c r="H100" s="70"/>
      <c r="I100" s="70"/>
      <c r="J100" s="70"/>
      <c r="N100" s="70"/>
      <c r="O100" s="69"/>
      <c r="S100" s="70"/>
      <c r="T100" s="69"/>
      <c r="V100" s="72" t="str">
        <f t="shared" si="3"/>
        <v/>
      </c>
      <c r="W100" s="72" t="str">
        <f t="shared" si="4"/>
        <v/>
      </c>
      <c r="X100" s="72" t="str">
        <f t="shared" si="5"/>
        <v/>
      </c>
      <c r="AD100" s="70"/>
      <c r="AE100" s="70"/>
      <c r="AF100" s="70"/>
      <c r="AH100" s="70"/>
      <c r="AJ100" s="70"/>
      <c r="AN100" s="70"/>
      <c r="AO100" s="70"/>
      <c r="AP100" s="70"/>
      <c r="AR100" s="70"/>
      <c r="AT100" s="70"/>
      <c r="AX100" s="70"/>
      <c r="AY100" s="70"/>
      <c r="AZ100" s="70"/>
      <c r="BB100" s="70"/>
      <c r="BD100" s="70"/>
      <c r="BE100" s="70"/>
      <c r="BF100" s="70"/>
      <c r="BK100" s="70"/>
      <c r="BM100" s="70"/>
      <c r="BN100" s="70"/>
      <c r="BP100" s="70"/>
      <c r="BQ100" s="70"/>
      <c r="BR100" s="70"/>
      <c r="BT100" s="70"/>
      <c r="BU100" s="70"/>
      <c r="BV100" s="70"/>
      <c r="BW100" s="70"/>
      <c r="BX100" s="70"/>
      <c r="BY100" s="70"/>
      <c r="BZ100" s="70"/>
      <c r="CA100" s="70"/>
      <c r="CB100" s="70"/>
      <c r="CC100" s="70"/>
      <c r="CD100" s="70"/>
      <c r="CE100" s="70"/>
      <c r="CF100" s="70"/>
      <c r="CJ100" s="70"/>
      <c r="CK100" s="70"/>
      <c r="CL100" s="70"/>
      <c r="CM100" s="70"/>
      <c r="CO100" s="70"/>
      <c r="CQ100" s="70"/>
      <c r="CS100" s="70"/>
      <c r="CT100" s="70"/>
      <c r="CU100" s="70"/>
      <c r="CW100" s="70"/>
      <c r="CX100" s="70"/>
      <c r="CY100" s="70"/>
      <c r="CZ100" s="70"/>
      <c r="DC100" s="70"/>
      <c r="DD100" s="70"/>
      <c r="DI100" s="73"/>
      <c r="DJ100" s="73"/>
      <c r="DK100" s="73"/>
      <c r="DL100" s="73"/>
      <c r="DM100" s="73"/>
      <c r="DN100" s="73"/>
      <c r="DO100" s="73"/>
      <c r="DP100" s="73"/>
      <c r="DQ100" s="73"/>
      <c r="DR100" s="73"/>
      <c r="DS100" s="73"/>
    </row>
    <row r="101" spans="1:123" ht="24.95" customHeight="1">
      <c r="A101" s="68"/>
      <c r="D101" s="69"/>
      <c r="E101" s="69"/>
      <c r="F101" s="69"/>
      <c r="G101" s="70"/>
      <c r="H101" s="70"/>
      <c r="I101" s="70"/>
      <c r="J101" s="70"/>
      <c r="N101" s="70"/>
      <c r="O101" s="69"/>
      <c r="S101" s="70"/>
      <c r="T101" s="69"/>
      <c r="V101" s="72" t="str">
        <f t="shared" si="3"/>
        <v/>
      </c>
      <c r="W101" s="72" t="str">
        <f t="shared" si="4"/>
        <v/>
      </c>
      <c r="X101" s="72" t="str">
        <f t="shared" si="5"/>
        <v/>
      </c>
      <c r="AD101" s="70"/>
      <c r="AE101" s="70"/>
      <c r="AF101" s="70"/>
      <c r="AH101" s="70"/>
      <c r="AJ101" s="70"/>
      <c r="AN101" s="70"/>
      <c r="AO101" s="70"/>
      <c r="AP101" s="70"/>
      <c r="AR101" s="70"/>
      <c r="AT101" s="70"/>
      <c r="AX101" s="70"/>
      <c r="AY101" s="70"/>
      <c r="AZ101" s="70"/>
      <c r="BB101" s="70"/>
      <c r="BD101" s="70"/>
      <c r="BE101" s="70"/>
      <c r="BF101" s="70"/>
      <c r="BK101" s="70"/>
      <c r="BM101" s="70"/>
      <c r="BN101" s="70"/>
      <c r="BP101" s="70"/>
      <c r="BQ101" s="70"/>
      <c r="BR101" s="70"/>
      <c r="BT101" s="70"/>
      <c r="BU101" s="70"/>
      <c r="BV101" s="70"/>
      <c r="BW101" s="70"/>
      <c r="BX101" s="70"/>
      <c r="BY101" s="70"/>
      <c r="BZ101" s="70"/>
      <c r="CA101" s="70"/>
      <c r="CB101" s="70"/>
      <c r="CC101" s="70"/>
      <c r="CD101" s="70"/>
      <c r="CE101" s="70"/>
      <c r="CF101" s="70"/>
      <c r="CJ101" s="70"/>
      <c r="CK101" s="70"/>
      <c r="CL101" s="70"/>
      <c r="CM101" s="70"/>
      <c r="CO101" s="70"/>
      <c r="CQ101" s="70"/>
      <c r="CS101" s="70"/>
      <c r="CT101" s="70"/>
      <c r="CU101" s="70"/>
      <c r="CW101" s="70"/>
      <c r="CX101" s="70"/>
      <c r="CY101" s="70"/>
      <c r="CZ101" s="70"/>
      <c r="DC101" s="70"/>
      <c r="DD101" s="70"/>
      <c r="DI101" s="73"/>
      <c r="DJ101" s="73"/>
      <c r="DK101" s="73"/>
      <c r="DL101" s="73"/>
      <c r="DM101" s="73"/>
      <c r="DN101" s="73"/>
      <c r="DO101" s="73"/>
      <c r="DP101" s="73"/>
      <c r="DQ101" s="73"/>
      <c r="DR101" s="73"/>
      <c r="DS101" s="73"/>
    </row>
    <row r="102" spans="1:123" ht="24.95" customHeight="1">
      <c r="A102" s="68"/>
      <c r="D102" s="69"/>
      <c r="E102" s="69"/>
      <c r="F102" s="69"/>
      <c r="G102" s="70"/>
      <c r="H102" s="70"/>
      <c r="I102" s="70"/>
      <c r="J102" s="70"/>
      <c r="N102" s="70"/>
      <c r="O102" s="69"/>
      <c r="S102" s="70"/>
      <c r="T102" s="69"/>
      <c r="V102" s="72" t="str">
        <f t="shared" si="3"/>
        <v/>
      </c>
      <c r="W102" s="72" t="str">
        <f t="shared" si="4"/>
        <v/>
      </c>
      <c r="X102" s="72" t="str">
        <f t="shared" si="5"/>
        <v/>
      </c>
      <c r="AD102" s="70"/>
      <c r="AE102" s="70"/>
      <c r="AF102" s="70"/>
      <c r="AH102" s="70"/>
      <c r="AJ102" s="70"/>
      <c r="AN102" s="70"/>
      <c r="AO102" s="70"/>
      <c r="AP102" s="70"/>
      <c r="AR102" s="70"/>
      <c r="AT102" s="70"/>
      <c r="AX102" s="70"/>
      <c r="AY102" s="70"/>
      <c r="AZ102" s="70"/>
      <c r="BB102" s="70"/>
      <c r="BD102" s="70"/>
      <c r="BE102" s="70"/>
      <c r="BF102" s="70"/>
      <c r="BK102" s="70"/>
      <c r="BM102" s="70"/>
      <c r="BN102" s="70"/>
      <c r="BP102" s="70"/>
      <c r="BQ102" s="70"/>
      <c r="BR102" s="70"/>
      <c r="BT102" s="70"/>
      <c r="BU102" s="70"/>
      <c r="BV102" s="70"/>
      <c r="BW102" s="70"/>
      <c r="BX102" s="70"/>
      <c r="BY102" s="70"/>
      <c r="BZ102" s="70"/>
      <c r="CA102" s="70"/>
      <c r="CB102" s="70"/>
      <c r="CC102" s="70"/>
      <c r="CD102" s="70"/>
      <c r="CE102" s="70"/>
      <c r="CF102" s="70"/>
      <c r="CJ102" s="70"/>
      <c r="CK102" s="70"/>
      <c r="CL102" s="70"/>
      <c r="CM102" s="70"/>
      <c r="CO102" s="70"/>
      <c r="CQ102" s="70"/>
      <c r="CS102" s="70"/>
      <c r="CT102" s="70"/>
      <c r="CU102" s="70"/>
      <c r="CW102" s="70"/>
      <c r="CX102" s="70"/>
      <c r="CY102" s="70"/>
      <c r="CZ102" s="70"/>
      <c r="DC102" s="70"/>
      <c r="DD102" s="70"/>
      <c r="DI102" s="73"/>
      <c r="DJ102" s="73"/>
      <c r="DK102" s="73"/>
      <c r="DL102" s="73"/>
      <c r="DM102" s="73"/>
      <c r="DN102" s="73"/>
      <c r="DO102" s="73"/>
      <c r="DP102" s="73"/>
      <c r="DQ102" s="73"/>
      <c r="DR102" s="73"/>
      <c r="DS102" s="73"/>
    </row>
    <row r="103" spans="1:123" ht="24.95" customHeight="1">
      <c r="A103" s="68"/>
      <c r="D103" s="69"/>
      <c r="E103" s="69"/>
      <c r="F103" s="69"/>
      <c r="G103" s="70"/>
      <c r="H103" s="70"/>
      <c r="I103" s="70"/>
      <c r="J103" s="70"/>
      <c r="N103" s="70"/>
      <c r="O103" s="69"/>
      <c r="S103" s="70"/>
      <c r="T103" s="69"/>
      <c r="V103" s="72" t="str">
        <f t="shared" si="3"/>
        <v/>
      </c>
      <c r="W103" s="72" t="str">
        <f t="shared" si="4"/>
        <v/>
      </c>
      <c r="X103" s="72" t="str">
        <f t="shared" si="5"/>
        <v/>
      </c>
      <c r="AD103" s="70"/>
      <c r="AE103" s="70"/>
      <c r="AF103" s="70"/>
      <c r="AH103" s="70"/>
      <c r="AJ103" s="70"/>
      <c r="AN103" s="70"/>
      <c r="AO103" s="70"/>
      <c r="AP103" s="70"/>
      <c r="AR103" s="70"/>
      <c r="AT103" s="70"/>
      <c r="AX103" s="70"/>
      <c r="AY103" s="70"/>
      <c r="AZ103" s="70"/>
      <c r="BB103" s="70"/>
      <c r="BD103" s="70"/>
      <c r="BE103" s="70"/>
      <c r="BF103" s="70"/>
      <c r="BK103" s="70"/>
      <c r="BM103" s="70"/>
      <c r="BN103" s="70"/>
      <c r="BP103" s="70"/>
      <c r="BQ103" s="70"/>
      <c r="BR103" s="70"/>
      <c r="BT103" s="70"/>
      <c r="BU103" s="70"/>
      <c r="BV103" s="70"/>
      <c r="BW103" s="70"/>
      <c r="BX103" s="70"/>
      <c r="BY103" s="70"/>
      <c r="BZ103" s="70"/>
      <c r="CA103" s="70"/>
      <c r="CB103" s="70"/>
      <c r="CC103" s="70"/>
      <c r="CD103" s="70"/>
      <c r="CE103" s="70"/>
      <c r="CF103" s="70"/>
      <c r="CJ103" s="70"/>
      <c r="CK103" s="70"/>
      <c r="CL103" s="70"/>
      <c r="CM103" s="70"/>
      <c r="CO103" s="70"/>
      <c r="CQ103" s="70"/>
      <c r="CS103" s="70"/>
      <c r="CT103" s="70"/>
      <c r="CU103" s="70"/>
      <c r="CW103" s="70"/>
      <c r="CX103" s="70"/>
      <c r="CY103" s="70"/>
      <c r="CZ103" s="70"/>
      <c r="DC103" s="70"/>
      <c r="DD103" s="70"/>
      <c r="DI103" s="73"/>
      <c r="DJ103" s="73"/>
      <c r="DK103" s="73"/>
      <c r="DL103" s="73"/>
      <c r="DM103" s="73"/>
      <c r="DN103" s="73"/>
      <c r="DO103" s="73"/>
      <c r="DP103" s="73"/>
      <c r="DQ103" s="73"/>
      <c r="DR103" s="73"/>
      <c r="DS103" s="73"/>
    </row>
    <row r="104" spans="1:123" ht="24.95" customHeight="1">
      <c r="A104" s="68"/>
      <c r="D104" s="69"/>
      <c r="E104" s="69"/>
      <c r="F104" s="69"/>
      <c r="G104" s="70"/>
      <c r="H104" s="70"/>
      <c r="I104" s="70"/>
      <c r="J104" s="70"/>
      <c r="N104" s="70"/>
      <c r="O104" s="69"/>
      <c r="S104" s="70"/>
      <c r="T104" s="69"/>
      <c r="V104" s="72" t="str">
        <f t="shared" si="3"/>
        <v/>
      </c>
      <c r="W104" s="72" t="str">
        <f t="shared" si="4"/>
        <v/>
      </c>
      <c r="X104" s="72" t="str">
        <f t="shared" si="5"/>
        <v/>
      </c>
      <c r="AD104" s="70"/>
      <c r="AE104" s="70"/>
      <c r="AF104" s="70"/>
      <c r="AH104" s="70"/>
      <c r="AJ104" s="70"/>
      <c r="AN104" s="70"/>
      <c r="AO104" s="70"/>
      <c r="AP104" s="70"/>
      <c r="AR104" s="70"/>
      <c r="AT104" s="70"/>
      <c r="AX104" s="70"/>
      <c r="AY104" s="70"/>
      <c r="AZ104" s="70"/>
      <c r="BB104" s="70"/>
      <c r="BD104" s="70"/>
      <c r="BE104" s="70"/>
      <c r="BF104" s="70"/>
      <c r="BK104" s="70"/>
      <c r="BM104" s="70"/>
      <c r="BN104" s="70"/>
      <c r="BP104" s="70"/>
      <c r="BQ104" s="70"/>
      <c r="BR104" s="70"/>
      <c r="BT104" s="70"/>
      <c r="BU104" s="70"/>
      <c r="BV104" s="70"/>
      <c r="BW104" s="70"/>
      <c r="BX104" s="70"/>
      <c r="BY104" s="70"/>
      <c r="BZ104" s="70"/>
      <c r="CA104" s="70"/>
      <c r="CB104" s="70"/>
      <c r="CC104" s="70"/>
      <c r="CD104" s="70"/>
      <c r="CE104" s="70"/>
      <c r="CF104" s="70"/>
      <c r="CJ104" s="70"/>
      <c r="CK104" s="70"/>
      <c r="CL104" s="70"/>
      <c r="CM104" s="70"/>
      <c r="CO104" s="70"/>
      <c r="CQ104" s="70"/>
      <c r="CS104" s="70"/>
      <c r="CT104" s="70"/>
      <c r="CU104" s="70"/>
      <c r="CW104" s="70"/>
      <c r="CX104" s="70"/>
      <c r="CY104" s="70"/>
      <c r="CZ104" s="70"/>
      <c r="DC104" s="70"/>
      <c r="DD104" s="70"/>
      <c r="DI104" s="73"/>
      <c r="DJ104" s="73"/>
      <c r="DK104" s="73"/>
      <c r="DL104" s="73"/>
      <c r="DM104" s="73"/>
      <c r="DN104" s="73"/>
      <c r="DO104" s="73"/>
      <c r="DP104" s="73"/>
      <c r="DQ104" s="73"/>
      <c r="DR104" s="73"/>
      <c r="DS104" s="73"/>
    </row>
    <row r="105" spans="1:123" ht="24.95" customHeight="1">
      <c r="A105" s="68"/>
      <c r="D105" s="69"/>
      <c r="E105" s="69"/>
      <c r="F105" s="69"/>
      <c r="G105" s="70"/>
      <c r="H105" s="70"/>
      <c r="I105" s="70"/>
      <c r="J105" s="70"/>
      <c r="N105" s="70"/>
      <c r="O105" s="69"/>
      <c r="S105" s="70"/>
      <c r="T105" s="69"/>
      <c r="V105" s="72" t="str">
        <f t="shared" si="3"/>
        <v/>
      </c>
      <c r="W105" s="72" t="str">
        <f t="shared" si="4"/>
        <v/>
      </c>
      <c r="X105" s="72" t="str">
        <f t="shared" si="5"/>
        <v/>
      </c>
      <c r="AD105" s="70"/>
      <c r="AE105" s="70"/>
      <c r="AF105" s="70"/>
      <c r="AH105" s="70"/>
      <c r="AJ105" s="70"/>
      <c r="AN105" s="70"/>
      <c r="AO105" s="70"/>
      <c r="AP105" s="70"/>
      <c r="AR105" s="70"/>
      <c r="AT105" s="70"/>
      <c r="AX105" s="70"/>
      <c r="AY105" s="70"/>
      <c r="AZ105" s="70"/>
      <c r="BB105" s="70"/>
      <c r="BD105" s="70"/>
      <c r="BE105" s="70"/>
      <c r="BF105" s="70"/>
      <c r="BK105" s="70"/>
      <c r="BM105" s="70"/>
      <c r="BN105" s="70"/>
      <c r="BP105" s="70"/>
      <c r="BQ105" s="70"/>
      <c r="BR105" s="70"/>
      <c r="BT105" s="70"/>
      <c r="BU105" s="70"/>
      <c r="BV105" s="70"/>
      <c r="BW105" s="70"/>
      <c r="BX105" s="70"/>
      <c r="BY105" s="70"/>
      <c r="BZ105" s="70"/>
      <c r="CA105" s="70"/>
      <c r="CB105" s="70"/>
      <c r="CC105" s="70"/>
      <c r="CD105" s="70"/>
      <c r="CE105" s="70"/>
      <c r="CF105" s="70"/>
      <c r="CJ105" s="70"/>
      <c r="CK105" s="70"/>
      <c r="CL105" s="70"/>
      <c r="CM105" s="70"/>
      <c r="CO105" s="70"/>
      <c r="CQ105" s="70"/>
      <c r="CS105" s="70"/>
      <c r="CT105" s="70"/>
      <c r="CU105" s="70"/>
      <c r="CW105" s="70"/>
      <c r="CX105" s="70"/>
      <c r="CY105" s="70"/>
      <c r="CZ105" s="70"/>
      <c r="DC105" s="70"/>
      <c r="DD105" s="70"/>
      <c r="DI105" s="73"/>
      <c r="DJ105" s="73"/>
      <c r="DK105" s="73"/>
      <c r="DL105" s="73"/>
      <c r="DM105" s="73"/>
      <c r="DN105" s="73"/>
      <c r="DO105" s="73"/>
      <c r="DP105" s="73"/>
      <c r="DQ105" s="73"/>
      <c r="DR105" s="73"/>
      <c r="DS105" s="73"/>
    </row>
    <row r="106" spans="1:123" ht="24.95" customHeight="1">
      <c r="A106" s="68"/>
      <c r="D106" s="69"/>
      <c r="E106" s="69"/>
      <c r="F106" s="69"/>
      <c r="G106" s="70"/>
      <c r="H106" s="70"/>
      <c r="I106" s="70"/>
      <c r="J106" s="70"/>
      <c r="N106" s="70"/>
      <c r="O106" s="69"/>
      <c r="S106" s="70"/>
      <c r="T106" s="69"/>
      <c r="V106" s="72" t="str">
        <f t="shared" si="3"/>
        <v/>
      </c>
      <c r="W106" s="72" t="str">
        <f t="shared" si="4"/>
        <v/>
      </c>
      <c r="X106" s="72" t="str">
        <f t="shared" si="5"/>
        <v/>
      </c>
      <c r="AD106" s="70"/>
      <c r="AE106" s="70"/>
      <c r="AF106" s="70"/>
      <c r="AH106" s="70"/>
      <c r="AJ106" s="70"/>
      <c r="AN106" s="70"/>
      <c r="AO106" s="70"/>
      <c r="AP106" s="70"/>
      <c r="AR106" s="70"/>
      <c r="AT106" s="70"/>
      <c r="AX106" s="70"/>
      <c r="AY106" s="70"/>
      <c r="AZ106" s="70"/>
      <c r="BB106" s="70"/>
      <c r="BD106" s="70"/>
      <c r="BE106" s="70"/>
      <c r="BF106" s="70"/>
      <c r="BK106" s="70"/>
      <c r="BM106" s="70"/>
      <c r="BN106" s="70"/>
      <c r="BP106" s="70"/>
      <c r="BQ106" s="70"/>
      <c r="BR106" s="70"/>
      <c r="BT106" s="70"/>
      <c r="BU106" s="70"/>
      <c r="BV106" s="70"/>
      <c r="BW106" s="70"/>
      <c r="BX106" s="70"/>
      <c r="BY106" s="70"/>
      <c r="BZ106" s="70"/>
      <c r="CA106" s="70"/>
      <c r="CB106" s="70"/>
      <c r="CC106" s="70"/>
      <c r="CD106" s="70"/>
      <c r="CE106" s="70"/>
      <c r="CF106" s="70"/>
      <c r="CJ106" s="70"/>
      <c r="CK106" s="70"/>
      <c r="CL106" s="70"/>
      <c r="CM106" s="70"/>
      <c r="CO106" s="70"/>
      <c r="CQ106" s="70"/>
      <c r="CS106" s="70"/>
      <c r="CT106" s="70"/>
      <c r="CU106" s="70"/>
      <c r="CW106" s="70"/>
      <c r="CX106" s="70"/>
      <c r="CY106" s="70"/>
      <c r="CZ106" s="70"/>
      <c r="DC106" s="70"/>
      <c r="DD106" s="70"/>
      <c r="DI106" s="73"/>
      <c r="DJ106" s="73"/>
      <c r="DK106" s="73"/>
      <c r="DL106" s="73"/>
      <c r="DM106" s="73"/>
      <c r="DN106" s="73"/>
      <c r="DO106" s="73"/>
      <c r="DP106" s="73"/>
      <c r="DQ106" s="73"/>
      <c r="DR106" s="73"/>
      <c r="DS106" s="73"/>
    </row>
    <row r="107" spans="1:123" ht="24.95" customHeight="1">
      <c r="A107" s="68"/>
      <c r="D107" s="69"/>
      <c r="E107" s="69"/>
      <c r="F107" s="69"/>
      <c r="G107" s="70"/>
      <c r="H107" s="70"/>
      <c r="I107" s="70"/>
      <c r="J107" s="70"/>
      <c r="N107" s="70"/>
      <c r="O107" s="69"/>
      <c r="S107" s="70"/>
      <c r="T107" s="69"/>
      <c r="V107" s="72" t="str">
        <f t="shared" si="3"/>
        <v/>
      </c>
      <c r="W107" s="72" t="str">
        <f t="shared" si="4"/>
        <v/>
      </c>
      <c r="X107" s="72" t="str">
        <f t="shared" si="5"/>
        <v/>
      </c>
      <c r="AD107" s="70"/>
      <c r="AE107" s="70"/>
      <c r="AF107" s="70"/>
      <c r="AH107" s="70"/>
      <c r="AJ107" s="70"/>
      <c r="AN107" s="70"/>
      <c r="AO107" s="70"/>
      <c r="AP107" s="70"/>
      <c r="AR107" s="70"/>
      <c r="AT107" s="70"/>
      <c r="AX107" s="70"/>
      <c r="AY107" s="70"/>
      <c r="AZ107" s="70"/>
      <c r="BB107" s="70"/>
      <c r="BD107" s="70"/>
      <c r="BE107" s="70"/>
      <c r="BF107" s="70"/>
      <c r="BK107" s="70"/>
      <c r="BM107" s="70"/>
      <c r="BN107" s="70"/>
      <c r="BP107" s="70"/>
      <c r="BQ107" s="70"/>
      <c r="BR107" s="70"/>
      <c r="BT107" s="70"/>
      <c r="BU107" s="70"/>
      <c r="BV107" s="70"/>
      <c r="BW107" s="70"/>
      <c r="BX107" s="70"/>
      <c r="BY107" s="70"/>
      <c r="BZ107" s="70"/>
      <c r="CA107" s="70"/>
      <c r="CB107" s="70"/>
      <c r="CC107" s="70"/>
      <c r="CD107" s="70"/>
      <c r="CE107" s="70"/>
      <c r="CF107" s="70"/>
      <c r="CJ107" s="70"/>
      <c r="CK107" s="70"/>
      <c r="CL107" s="70"/>
      <c r="CM107" s="70"/>
      <c r="CO107" s="70"/>
      <c r="CQ107" s="70"/>
      <c r="CS107" s="70"/>
      <c r="CT107" s="70"/>
      <c r="CU107" s="70"/>
      <c r="CW107" s="70"/>
      <c r="CX107" s="70"/>
      <c r="CY107" s="70"/>
      <c r="CZ107" s="70"/>
      <c r="DC107" s="70"/>
      <c r="DD107" s="70"/>
      <c r="DI107" s="73"/>
      <c r="DJ107" s="73"/>
      <c r="DK107" s="73"/>
      <c r="DL107" s="73"/>
      <c r="DM107" s="73"/>
      <c r="DN107" s="73"/>
      <c r="DO107" s="73"/>
      <c r="DP107" s="73"/>
      <c r="DQ107" s="73"/>
      <c r="DR107" s="73"/>
      <c r="DS107" s="73"/>
    </row>
    <row r="108" spans="1:123" ht="24.95" customHeight="1">
      <c r="A108" s="68"/>
      <c r="D108" s="69"/>
      <c r="E108" s="69"/>
      <c r="F108" s="69"/>
      <c r="G108" s="70"/>
      <c r="H108" s="70"/>
      <c r="I108" s="70"/>
      <c r="J108" s="70"/>
      <c r="N108" s="70"/>
      <c r="O108" s="69"/>
      <c r="S108" s="70"/>
      <c r="T108" s="69"/>
      <c r="V108" s="72" t="str">
        <f t="shared" si="3"/>
        <v/>
      </c>
      <c r="W108" s="72" t="str">
        <f t="shared" si="4"/>
        <v/>
      </c>
      <c r="X108" s="72" t="str">
        <f t="shared" si="5"/>
        <v/>
      </c>
      <c r="AD108" s="70"/>
      <c r="AE108" s="70"/>
      <c r="AF108" s="70"/>
      <c r="AH108" s="70"/>
      <c r="AJ108" s="70"/>
      <c r="AN108" s="70"/>
      <c r="AO108" s="70"/>
      <c r="AP108" s="70"/>
      <c r="AR108" s="70"/>
      <c r="AT108" s="70"/>
      <c r="AX108" s="70"/>
      <c r="AY108" s="70"/>
      <c r="AZ108" s="70"/>
      <c r="BB108" s="70"/>
      <c r="BD108" s="70"/>
      <c r="BE108" s="70"/>
      <c r="BF108" s="70"/>
      <c r="BK108" s="70"/>
      <c r="BM108" s="70"/>
      <c r="BN108" s="70"/>
      <c r="BP108" s="70"/>
      <c r="BQ108" s="70"/>
      <c r="BR108" s="70"/>
      <c r="BT108" s="70"/>
      <c r="BU108" s="70"/>
      <c r="BV108" s="70"/>
      <c r="BW108" s="70"/>
      <c r="BX108" s="70"/>
      <c r="BY108" s="70"/>
      <c r="BZ108" s="70"/>
      <c r="CA108" s="70"/>
      <c r="CB108" s="70"/>
      <c r="CC108" s="70"/>
      <c r="CD108" s="70"/>
      <c r="CE108" s="70"/>
      <c r="CF108" s="70"/>
      <c r="CJ108" s="70"/>
      <c r="CK108" s="70"/>
      <c r="CL108" s="70"/>
      <c r="CM108" s="70"/>
      <c r="CO108" s="70"/>
      <c r="CQ108" s="70"/>
      <c r="CS108" s="70"/>
      <c r="CT108" s="70"/>
      <c r="CU108" s="70"/>
      <c r="CW108" s="70"/>
      <c r="CX108" s="70"/>
      <c r="CY108" s="70"/>
      <c r="CZ108" s="70"/>
      <c r="DC108" s="70"/>
      <c r="DD108" s="70"/>
      <c r="DI108" s="73"/>
      <c r="DJ108" s="73"/>
      <c r="DK108" s="73"/>
      <c r="DL108" s="73"/>
      <c r="DM108" s="73"/>
      <c r="DN108" s="73"/>
      <c r="DO108" s="73"/>
      <c r="DP108" s="73"/>
      <c r="DQ108" s="73"/>
      <c r="DR108" s="73"/>
      <c r="DS108" s="73"/>
    </row>
    <row r="109" spans="1:123" ht="24.95" customHeight="1">
      <c r="A109" s="68"/>
      <c r="D109" s="69"/>
      <c r="E109" s="69"/>
      <c r="F109" s="69"/>
      <c r="G109" s="70"/>
      <c r="H109" s="70"/>
      <c r="I109" s="70"/>
      <c r="J109" s="70"/>
      <c r="N109" s="70"/>
      <c r="O109" s="69"/>
      <c r="S109" s="70"/>
      <c r="T109" s="69"/>
      <c r="V109" s="72" t="str">
        <f t="shared" si="3"/>
        <v/>
      </c>
      <c r="W109" s="72" t="str">
        <f t="shared" si="4"/>
        <v/>
      </c>
      <c r="X109" s="72" t="str">
        <f t="shared" si="5"/>
        <v/>
      </c>
      <c r="AD109" s="70"/>
      <c r="AE109" s="70"/>
      <c r="AF109" s="70"/>
      <c r="AH109" s="70"/>
      <c r="AJ109" s="70"/>
      <c r="AN109" s="70"/>
      <c r="AO109" s="70"/>
      <c r="AP109" s="70"/>
      <c r="AR109" s="70"/>
      <c r="AT109" s="70"/>
      <c r="AX109" s="70"/>
      <c r="AY109" s="70"/>
      <c r="AZ109" s="70"/>
      <c r="BB109" s="70"/>
      <c r="BD109" s="70"/>
      <c r="BE109" s="70"/>
      <c r="BF109" s="70"/>
      <c r="BK109" s="70"/>
      <c r="BM109" s="70"/>
      <c r="BN109" s="70"/>
      <c r="BP109" s="70"/>
      <c r="BQ109" s="70"/>
      <c r="BR109" s="70"/>
      <c r="BT109" s="70"/>
      <c r="BU109" s="70"/>
      <c r="BV109" s="70"/>
      <c r="BW109" s="70"/>
      <c r="BX109" s="70"/>
      <c r="BY109" s="70"/>
      <c r="BZ109" s="70"/>
      <c r="CA109" s="70"/>
      <c r="CB109" s="70"/>
      <c r="CC109" s="70"/>
      <c r="CD109" s="70"/>
      <c r="CE109" s="70"/>
      <c r="CF109" s="70"/>
      <c r="CJ109" s="70"/>
      <c r="CK109" s="70"/>
      <c r="CL109" s="70"/>
      <c r="CM109" s="70"/>
      <c r="CO109" s="70"/>
      <c r="CQ109" s="70"/>
      <c r="CS109" s="70"/>
      <c r="CT109" s="70"/>
      <c r="CU109" s="70"/>
      <c r="CW109" s="70"/>
      <c r="CX109" s="70"/>
      <c r="CY109" s="70"/>
      <c r="CZ109" s="70"/>
      <c r="DC109" s="70"/>
      <c r="DD109" s="70"/>
      <c r="DI109" s="73"/>
      <c r="DJ109" s="73"/>
      <c r="DK109" s="73"/>
      <c r="DL109" s="73"/>
      <c r="DM109" s="73"/>
      <c r="DN109" s="73"/>
      <c r="DO109" s="73"/>
      <c r="DP109" s="73"/>
      <c r="DQ109" s="73"/>
      <c r="DR109" s="73"/>
      <c r="DS109" s="73"/>
    </row>
    <row r="110" spans="1:123" ht="24.95" customHeight="1">
      <c r="A110" s="68"/>
      <c r="D110" s="69"/>
      <c r="E110" s="69"/>
      <c r="F110" s="69"/>
      <c r="G110" s="70"/>
      <c r="H110" s="70"/>
      <c r="I110" s="70"/>
      <c r="J110" s="70"/>
      <c r="N110" s="70"/>
      <c r="O110" s="69"/>
      <c r="S110" s="70"/>
      <c r="T110" s="69"/>
      <c r="V110" s="72" t="str">
        <f t="shared" si="3"/>
        <v/>
      </c>
      <c r="W110" s="72" t="str">
        <f t="shared" si="4"/>
        <v/>
      </c>
      <c r="X110" s="72" t="str">
        <f t="shared" si="5"/>
        <v/>
      </c>
      <c r="AD110" s="70"/>
      <c r="AE110" s="70"/>
      <c r="AF110" s="70"/>
      <c r="AH110" s="70"/>
      <c r="AJ110" s="70"/>
      <c r="AN110" s="70"/>
      <c r="AO110" s="70"/>
      <c r="AP110" s="70"/>
      <c r="AR110" s="70"/>
      <c r="AT110" s="70"/>
      <c r="AX110" s="70"/>
      <c r="AY110" s="70"/>
      <c r="AZ110" s="70"/>
      <c r="BB110" s="70"/>
      <c r="BD110" s="70"/>
      <c r="BE110" s="70"/>
      <c r="BF110" s="70"/>
      <c r="BK110" s="70"/>
      <c r="BM110" s="70"/>
      <c r="BN110" s="70"/>
      <c r="BP110" s="70"/>
      <c r="BQ110" s="70"/>
      <c r="BR110" s="70"/>
      <c r="BT110" s="70"/>
      <c r="BU110" s="70"/>
      <c r="BV110" s="70"/>
      <c r="BW110" s="70"/>
      <c r="BX110" s="70"/>
      <c r="BY110" s="70"/>
      <c r="BZ110" s="70"/>
      <c r="CA110" s="70"/>
      <c r="CB110" s="70"/>
      <c r="CC110" s="70"/>
      <c r="CD110" s="70"/>
      <c r="CE110" s="70"/>
      <c r="CF110" s="70"/>
      <c r="CJ110" s="70"/>
      <c r="CK110" s="70"/>
      <c r="CL110" s="70"/>
      <c r="CM110" s="70"/>
      <c r="CO110" s="70"/>
      <c r="CQ110" s="70"/>
      <c r="CS110" s="70"/>
      <c r="CT110" s="70"/>
      <c r="CU110" s="70"/>
      <c r="CW110" s="70"/>
      <c r="CX110" s="70"/>
      <c r="CY110" s="70"/>
      <c r="CZ110" s="70"/>
      <c r="DC110" s="70"/>
      <c r="DD110" s="70"/>
      <c r="DI110" s="73"/>
      <c r="DJ110" s="73"/>
      <c r="DK110" s="73"/>
      <c r="DL110" s="73"/>
      <c r="DM110" s="73"/>
      <c r="DN110" s="73"/>
      <c r="DO110" s="73"/>
      <c r="DP110" s="73"/>
      <c r="DQ110" s="73"/>
      <c r="DR110" s="73"/>
      <c r="DS110" s="73"/>
    </row>
    <row r="111" spans="1:123" ht="24.95" customHeight="1">
      <c r="A111" s="68"/>
      <c r="D111" s="69"/>
      <c r="E111" s="69"/>
      <c r="F111" s="69"/>
      <c r="G111" s="70"/>
      <c r="H111" s="70"/>
      <c r="I111" s="70"/>
      <c r="J111" s="70"/>
      <c r="N111" s="70"/>
      <c r="O111" s="69"/>
      <c r="S111" s="70"/>
      <c r="T111" s="69"/>
      <c r="V111" s="72" t="str">
        <f t="shared" si="3"/>
        <v/>
      </c>
      <c r="W111" s="72" t="str">
        <f t="shared" si="4"/>
        <v/>
      </c>
      <c r="X111" s="72" t="str">
        <f t="shared" si="5"/>
        <v/>
      </c>
      <c r="AD111" s="70"/>
      <c r="AE111" s="70"/>
      <c r="AF111" s="70"/>
      <c r="AH111" s="70"/>
      <c r="AJ111" s="70"/>
      <c r="AN111" s="70"/>
      <c r="AO111" s="70"/>
      <c r="AP111" s="70"/>
      <c r="AR111" s="70"/>
      <c r="AT111" s="70"/>
      <c r="AX111" s="70"/>
      <c r="AY111" s="70"/>
      <c r="AZ111" s="70"/>
      <c r="BB111" s="70"/>
      <c r="BD111" s="70"/>
      <c r="BE111" s="70"/>
      <c r="BF111" s="70"/>
      <c r="BK111" s="70"/>
      <c r="BM111" s="70"/>
      <c r="BN111" s="70"/>
      <c r="BP111" s="70"/>
      <c r="BQ111" s="70"/>
      <c r="BR111" s="70"/>
      <c r="BT111" s="70"/>
      <c r="BU111" s="70"/>
      <c r="BV111" s="70"/>
      <c r="BW111" s="70"/>
      <c r="BX111" s="70"/>
      <c r="BY111" s="70"/>
      <c r="BZ111" s="70"/>
      <c r="CA111" s="70"/>
      <c r="CB111" s="70"/>
      <c r="CC111" s="70"/>
      <c r="CD111" s="70"/>
      <c r="CE111" s="70"/>
      <c r="CF111" s="70"/>
      <c r="CJ111" s="70"/>
      <c r="CK111" s="70"/>
      <c r="CL111" s="70"/>
      <c r="CM111" s="70"/>
      <c r="CO111" s="70"/>
      <c r="CQ111" s="70"/>
      <c r="CS111" s="70"/>
      <c r="CT111" s="70"/>
      <c r="CU111" s="70"/>
      <c r="CW111" s="70"/>
      <c r="CX111" s="70"/>
      <c r="CY111" s="70"/>
      <c r="CZ111" s="70"/>
      <c r="DC111" s="70"/>
      <c r="DD111" s="70"/>
      <c r="DI111" s="73"/>
      <c r="DJ111" s="73"/>
      <c r="DK111" s="73"/>
      <c r="DL111" s="73"/>
      <c r="DM111" s="73"/>
      <c r="DN111" s="73"/>
      <c r="DO111" s="73"/>
      <c r="DP111" s="73"/>
      <c r="DQ111" s="73"/>
      <c r="DR111" s="73"/>
      <c r="DS111" s="73"/>
    </row>
    <row r="112" spans="1:123" ht="24.95" customHeight="1">
      <c r="A112" s="68"/>
      <c r="D112" s="69"/>
      <c r="E112" s="69"/>
      <c r="F112" s="69"/>
      <c r="G112" s="70"/>
      <c r="H112" s="70"/>
      <c r="I112" s="70"/>
      <c r="J112" s="70"/>
      <c r="N112" s="70"/>
      <c r="O112" s="69"/>
      <c r="S112" s="70"/>
      <c r="T112" s="69"/>
      <c r="V112" s="72" t="str">
        <f t="shared" si="3"/>
        <v/>
      </c>
      <c r="W112" s="72" t="str">
        <f t="shared" si="4"/>
        <v/>
      </c>
      <c r="X112" s="72" t="str">
        <f t="shared" si="5"/>
        <v/>
      </c>
      <c r="AD112" s="70"/>
      <c r="AE112" s="70"/>
      <c r="AF112" s="70"/>
      <c r="AH112" s="70"/>
      <c r="AJ112" s="70"/>
      <c r="AN112" s="70"/>
      <c r="AO112" s="70"/>
      <c r="AP112" s="70"/>
      <c r="AR112" s="70"/>
      <c r="AT112" s="70"/>
      <c r="AX112" s="70"/>
      <c r="AY112" s="70"/>
      <c r="AZ112" s="70"/>
      <c r="BB112" s="70"/>
      <c r="BD112" s="70"/>
      <c r="BE112" s="70"/>
      <c r="BF112" s="70"/>
      <c r="BK112" s="70"/>
      <c r="BM112" s="70"/>
      <c r="BN112" s="70"/>
      <c r="BP112" s="70"/>
      <c r="BQ112" s="70"/>
      <c r="BR112" s="70"/>
      <c r="BT112" s="70"/>
      <c r="BU112" s="70"/>
      <c r="BV112" s="70"/>
      <c r="BW112" s="70"/>
      <c r="BX112" s="70"/>
      <c r="BY112" s="70"/>
      <c r="BZ112" s="70"/>
      <c r="CA112" s="70"/>
      <c r="CB112" s="70"/>
      <c r="CC112" s="70"/>
      <c r="CD112" s="70"/>
      <c r="CE112" s="70"/>
      <c r="CF112" s="70"/>
      <c r="CJ112" s="70"/>
      <c r="CK112" s="70"/>
      <c r="CL112" s="70"/>
      <c r="CM112" s="70"/>
      <c r="CO112" s="70"/>
      <c r="CQ112" s="70"/>
      <c r="CS112" s="70"/>
      <c r="CT112" s="70"/>
      <c r="CU112" s="70"/>
      <c r="CW112" s="70"/>
      <c r="CX112" s="70"/>
      <c r="CY112" s="70"/>
      <c r="CZ112" s="70"/>
      <c r="DC112" s="70"/>
      <c r="DD112" s="70"/>
      <c r="DI112" s="73"/>
      <c r="DJ112" s="73"/>
      <c r="DK112" s="73"/>
      <c r="DL112" s="73"/>
      <c r="DM112" s="73"/>
      <c r="DN112" s="73"/>
      <c r="DO112" s="73"/>
      <c r="DP112" s="73"/>
      <c r="DQ112" s="73"/>
      <c r="DR112" s="73"/>
      <c r="DS112" s="73"/>
    </row>
    <row r="113" spans="1:123" ht="24.95" customHeight="1">
      <c r="A113" s="68"/>
      <c r="D113" s="69"/>
      <c r="E113" s="69"/>
      <c r="F113" s="69"/>
      <c r="G113" s="70"/>
      <c r="H113" s="70"/>
      <c r="I113" s="70"/>
      <c r="J113" s="70"/>
      <c r="N113" s="70"/>
      <c r="O113" s="69"/>
      <c r="S113" s="70"/>
      <c r="T113" s="69"/>
      <c r="V113" s="72" t="str">
        <f t="shared" si="3"/>
        <v/>
      </c>
      <c r="W113" s="72" t="str">
        <f t="shared" si="4"/>
        <v/>
      </c>
      <c r="X113" s="72" t="str">
        <f t="shared" si="5"/>
        <v/>
      </c>
      <c r="AD113" s="70"/>
      <c r="AE113" s="70"/>
      <c r="AF113" s="70"/>
      <c r="AH113" s="70"/>
      <c r="AJ113" s="70"/>
      <c r="AN113" s="70"/>
      <c r="AO113" s="70"/>
      <c r="AP113" s="70"/>
      <c r="AR113" s="70"/>
      <c r="AT113" s="70"/>
      <c r="AX113" s="70"/>
      <c r="AY113" s="70"/>
      <c r="AZ113" s="70"/>
      <c r="BB113" s="70"/>
      <c r="BD113" s="70"/>
      <c r="BE113" s="70"/>
      <c r="BF113" s="70"/>
      <c r="BK113" s="70"/>
      <c r="BM113" s="70"/>
      <c r="BN113" s="70"/>
      <c r="BP113" s="70"/>
      <c r="BQ113" s="70"/>
      <c r="BR113" s="70"/>
      <c r="BT113" s="70"/>
      <c r="BU113" s="70"/>
      <c r="BV113" s="70"/>
      <c r="BW113" s="70"/>
      <c r="BX113" s="70"/>
      <c r="BY113" s="70"/>
      <c r="BZ113" s="70"/>
      <c r="CA113" s="70"/>
      <c r="CB113" s="70"/>
      <c r="CC113" s="70"/>
      <c r="CD113" s="70"/>
      <c r="CE113" s="70"/>
      <c r="CF113" s="70"/>
      <c r="CJ113" s="70"/>
      <c r="CK113" s="70"/>
      <c r="CL113" s="70"/>
      <c r="CM113" s="70"/>
      <c r="CO113" s="70"/>
      <c r="CQ113" s="70"/>
      <c r="CS113" s="70"/>
      <c r="CT113" s="70"/>
      <c r="CU113" s="70"/>
      <c r="CW113" s="70"/>
      <c r="CX113" s="70"/>
      <c r="CY113" s="70"/>
      <c r="CZ113" s="70"/>
      <c r="DC113" s="70"/>
      <c r="DD113" s="70"/>
      <c r="DI113" s="73"/>
      <c r="DJ113" s="73"/>
      <c r="DK113" s="73"/>
      <c r="DL113" s="73"/>
      <c r="DM113" s="73"/>
      <c r="DN113" s="73"/>
      <c r="DO113" s="73"/>
      <c r="DP113" s="73"/>
      <c r="DQ113" s="73"/>
      <c r="DR113" s="73"/>
      <c r="DS113" s="73"/>
    </row>
    <row r="114" spans="1:123" ht="24.95" customHeight="1">
      <c r="A114" s="68"/>
      <c r="D114" s="69"/>
      <c r="E114" s="69"/>
      <c r="F114" s="69"/>
      <c r="G114" s="70"/>
      <c r="H114" s="70"/>
      <c r="I114" s="70"/>
      <c r="J114" s="70"/>
      <c r="N114" s="70"/>
      <c r="O114" s="69"/>
      <c r="S114" s="70"/>
      <c r="T114" s="69"/>
      <c r="V114" s="72" t="str">
        <f t="shared" si="3"/>
        <v/>
      </c>
      <c r="W114" s="72" t="str">
        <f t="shared" si="4"/>
        <v/>
      </c>
      <c r="X114" s="72" t="str">
        <f t="shared" si="5"/>
        <v/>
      </c>
      <c r="AD114" s="70"/>
      <c r="AE114" s="70"/>
      <c r="AF114" s="70"/>
      <c r="AH114" s="70"/>
      <c r="AJ114" s="70"/>
      <c r="AN114" s="70"/>
      <c r="AO114" s="70"/>
      <c r="AP114" s="70"/>
      <c r="AR114" s="70"/>
      <c r="AT114" s="70"/>
      <c r="AX114" s="70"/>
      <c r="AY114" s="70"/>
      <c r="AZ114" s="70"/>
      <c r="BB114" s="70"/>
      <c r="BD114" s="70"/>
      <c r="BE114" s="70"/>
      <c r="BF114" s="70"/>
      <c r="BK114" s="70"/>
      <c r="BM114" s="70"/>
      <c r="BN114" s="70"/>
      <c r="BP114" s="70"/>
      <c r="BQ114" s="70"/>
      <c r="BR114" s="70"/>
      <c r="BT114" s="70"/>
      <c r="BU114" s="70"/>
      <c r="BV114" s="70"/>
      <c r="BW114" s="70"/>
      <c r="BX114" s="70"/>
      <c r="BY114" s="70"/>
      <c r="BZ114" s="70"/>
      <c r="CA114" s="70"/>
      <c r="CB114" s="70"/>
      <c r="CC114" s="70"/>
      <c r="CD114" s="70"/>
      <c r="CE114" s="70"/>
      <c r="CF114" s="70"/>
      <c r="CJ114" s="70"/>
      <c r="CK114" s="70"/>
      <c r="CL114" s="70"/>
      <c r="CM114" s="70"/>
      <c r="CO114" s="70"/>
      <c r="CQ114" s="70"/>
      <c r="CS114" s="70"/>
      <c r="CT114" s="70"/>
      <c r="CU114" s="70"/>
      <c r="CW114" s="70"/>
      <c r="CX114" s="70"/>
      <c r="CY114" s="70"/>
      <c r="CZ114" s="70"/>
      <c r="DC114" s="70"/>
      <c r="DD114" s="70"/>
      <c r="DI114" s="73"/>
      <c r="DJ114" s="73"/>
      <c r="DK114" s="73"/>
      <c r="DL114" s="73"/>
      <c r="DM114" s="73"/>
      <c r="DN114" s="73"/>
      <c r="DO114" s="73"/>
      <c r="DP114" s="73"/>
      <c r="DQ114" s="73"/>
      <c r="DR114" s="73"/>
      <c r="DS114" s="73"/>
    </row>
    <row r="115" spans="1:123" ht="24.95" customHeight="1">
      <c r="A115" s="68"/>
      <c r="D115" s="69"/>
      <c r="E115" s="69"/>
      <c r="F115" s="69"/>
      <c r="G115" s="70"/>
      <c r="H115" s="70"/>
      <c r="I115" s="70"/>
      <c r="J115" s="70"/>
      <c r="N115" s="70"/>
      <c r="O115" s="69"/>
      <c r="S115" s="70"/>
      <c r="T115" s="69"/>
      <c r="V115" s="72" t="str">
        <f t="shared" si="3"/>
        <v/>
      </c>
      <c r="W115" s="72" t="str">
        <f t="shared" si="4"/>
        <v/>
      </c>
      <c r="X115" s="72" t="str">
        <f t="shared" si="5"/>
        <v/>
      </c>
      <c r="AD115" s="70"/>
      <c r="AE115" s="70"/>
      <c r="AF115" s="70"/>
      <c r="AH115" s="70"/>
      <c r="AJ115" s="70"/>
      <c r="AN115" s="70"/>
      <c r="AO115" s="70"/>
      <c r="AP115" s="70"/>
      <c r="AR115" s="70"/>
      <c r="AT115" s="70"/>
      <c r="AX115" s="70"/>
      <c r="AY115" s="70"/>
      <c r="AZ115" s="70"/>
      <c r="BB115" s="70"/>
      <c r="BD115" s="70"/>
      <c r="BE115" s="70"/>
      <c r="BF115" s="70"/>
      <c r="BK115" s="70"/>
      <c r="BM115" s="70"/>
      <c r="BN115" s="70"/>
      <c r="BP115" s="70"/>
      <c r="BQ115" s="70"/>
      <c r="BR115" s="70"/>
      <c r="BT115" s="70"/>
      <c r="BU115" s="70"/>
      <c r="BV115" s="70"/>
      <c r="BW115" s="70"/>
      <c r="BX115" s="70"/>
      <c r="BY115" s="70"/>
      <c r="BZ115" s="70"/>
      <c r="CA115" s="70"/>
      <c r="CB115" s="70"/>
      <c r="CC115" s="70"/>
      <c r="CD115" s="70"/>
      <c r="CE115" s="70"/>
      <c r="CF115" s="70"/>
      <c r="CJ115" s="70"/>
      <c r="CK115" s="70"/>
      <c r="CL115" s="70"/>
      <c r="CM115" s="70"/>
      <c r="CO115" s="70"/>
      <c r="CQ115" s="70"/>
      <c r="CS115" s="70"/>
      <c r="CT115" s="70"/>
      <c r="CU115" s="70"/>
      <c r="CW115" s="70"/>
      <c r="CX115" s="70"/>
      <c r="CY115" s="70"/>
      <c r="CZ115" s="70"/>
      <c r="DC115" s="70"/>
      <c r="DD115" s="70"/>
      <c r="DI115" s="73"/>
      <c r="DJ115" s="73"/>
      <c r="DK115" s="73"/>
      <c r="DL115" s="73"/>
      <c r="DM115" s="73"/>
      <c r="DN115" s="73"/>
      <c r="DO115" s="73"/>
      <c r="DP115" s="73"/>
      <c r="DQ115" s="73"/>
      <c r="DR115" s="73"/>
      <c r="DS115" s="73"/>
    </row>
    <row r="116" spans="1:123" ht="24.95" customHeight="1">
      <c r="A116" s="68"/>
      <c r="D116" s="69"/>
      <c r="E116" s="69"/>
      <c r="F116" s="69"/>
      <c r="G116" s="70"/>
      <c r="H116" s="70"/>
      <c r="I116" s="70"/>
      <c r="J116" s="70"/>
      <c r="N116" s="70"/>
      <c r="O116" s="69"/>
      <c r="S116" s="70"/>
      <c r="T116" s="69"/>
      <c r="V116" s="72" t="str">
        <f t="shared" si="3"/>
        <v/>
      </c>
      <c r="W116" s="72" t="str">
        <f t="shared" si="4"/>
        <v/>
      </c>
      <c r="X116" s="72" t="str">
        <f t="shared" si="5"/>
        <v/>
      </c>
      <c r="AD116" s="70"/>
      <c r="AE116" s="70"/>
      <c r="AF116" s="70"/>
      <c r="AH116" s="70"/>
      <c r="AJ116" s="70"/>
      <c r="AN116" s="70"/>
      <c r="AO116" s="70"/>
      <c r="AP116" s="70"/>
      <c r="AR116" s="70"/>
      <c r="AT116" s="70"/>
      <c r="AX116" s="70"/>
      <c r="AY116" s="70"/>
      <c r="AZ116" s="70"/>
      <c r="BB116" s="70"/>
      <c r="BD116" s="70"/>
      <c r="BE116" s="70"/>
      <c r="BF116" s="70"/>
      <c r="BK116" s="70"/>
      <c r="BM116" s="70"/>
      <c r="BN116" s="70"/>
      <c r="BP116" s="70"/>
      <c r="BQ116" s="70"/>
      <c r="BR116" s="70"/>
      <c r="BT116" s="70"/>
      <c r="BU116" s="70"/>
      <c r="BV116" s="70"/>
      <c r="BW116" s="70"/>
      <c r="BX116" s="70"/>
      <c r="BY116" s="70"/>
      <c r="BZ116" s="70"/>
      <c r="CA116" s="70"/>
      <c r="CB116" s="70"/>
      <c r="CC116" s="70"/>
      <c r="CD116" s="70"/>
      <c r="CE116" s="70"/>
      <c r="CF116" s="70"/>
      <c r="CJ116" s="70"/>
      <c r="CK116" s="70"/>
      <c r="CL116" s="70"/>
      <c r="CM116" s="70"/>
      <c r="CO116" s="70"/>
      <c r="CQ116" s="70"/>
      <c r="CS116" s="70"/>
      <c r="CT116" s="70"/>
      <c r="CU116" s="70"/>
      <c r="CW116" s="70"/>
      <c r="CX116" s="70"/>
      <c r="CY116" s="70"/>
      <c r="CZ116" s="70"/>
      <c r="DC116" s="70"/>
      <c r="DD116" s="70"/>
      <c r="DI116" s="73"/>
      <c r="DJ116" s="73"/>
      <c r="DK116" s="73"/>
      <c r="DL116" s="73"/>
      <c r="DM116" s="73"/>
      <c r="DN116" s="73"/>
      <c r="DO116" s="73"/>
      <c r="DP116" s="73"/>
      <c r="DQ116" s="73"/>
      <c r="DR116" s="73"/>
      <c r="DS116" s="73"/>
    </row>
    <row r="117" spans="1:123" ht="24.95" customHeight="1">
      <c r="A117" s="68"/>
      <c r="D117" s="69"/>
      <c r="E117" s="69"/>
      <c r="F117" s="69"/>
      <c r="G117" s="70"/>
      <c r="H117" s="70"/>
      <c r="I117" s="70"/>
      <c r="J117" s="70"/>
      <c r="N117" s="70"/>
      <c r="O117" s="69"/>
      <c r="S117" s="70"/>
      <c r="T117" s="69"/>
      <c r="V117" s="72" t="str">
        <f t="shared" si="3"/>
        <v/>
      </c>
      <c r="W117" s="72" t="str">
        <f t="shared" si="4"/>
        <v/>
      </c>
      <c r="X117" s="72" t="str">
        <f t="shared" si="5"/>
        <v/>
      </c>
      <c r="AD117" s="70"/>
      <c r="AE117" s="70"/>
      <c r="AF117" s="70"/>
      <c r="AH117" s="70"/>
      <c r="AJ117" s="70"/>
      <c r="AN117" s="70"/>
      <c r="AO117" s="70"/>
      <c r="AP117" s="70"/>
      <c r="AR117" s="70"/>
      <c r="AT117" s="70"/>
      <c r="AX117" s="70"/>
      <c r="AY117" s="70"/>
      <c r="AZ117" s="70"/>
      <c r="BB117" s="70"/>
      <c r="BD117" s="70"/>
      <c r="BE117" s="70"/>
      <c r="BF117" s="70"/>
      <c r="BK117" s="70"/>
      <c r="BM117" s="70"/>
      <c r="BN117" s="70"/>
      <c r="BP117" s="70"/>
      <c r="BQ117" s="70"/>
      <c r="BR117" s="70"/>
      <c r="BT117" s="70"/>
      <c r="BU117" s="70"/>
      <c r="BV117" s="70"/>
      <c r="BW117" s="70"/>
      <c r="BX117" s="70"/>
      <c r="BY117" s="70"/>
      <c r="BZ117" s="70"/>
      <c r="CA117" s="70"/>
      <c r="CB117" s="70"/>
      <c r="CC117" s="70"/>
      <c r="CD117" s="70"/>
      <c r="CE117" s="70"/>
      <c r="CF117" s="70"/>
      <c r="CJ117" s="70"/>
      <c r="CK117" s="70"/>
      <c r="CL117" s="70"/>
      <c r="CM117" s="70"/>
      <c r="CO117" s="70"/>
      <c r="CQ117" s="70"/>
      <c r="CS117" s="70"/>
      <c r="CT117" s="70"/>
      <c r="CU117" s="70"/>
      <c r="CW117" s="70"/>
      <c r="CX117" s="70"/>
      <c r="CY117" s="70"/>
      <c r="CZ117" s="70"/>
      <c r="DC117" s="70"/>
      <c r="DD117" s="70"/>
      <c r="DI117" s="73"/>
      <c r="DJ117" s="73"/>
      <c r="DK117" s="73"/>
      <c r="DL117" s="73"/>
      <c r="DM117" s="73"/>
      <c r="DN117" s="73"/>
      <c r="DO117" s="73"/>
      <c r="DP117" s="73"/>
      <c r="DQ117" s="73"/>
      <c r="DR117" s="73"/>
      <c r="DS117" s="73"/>
    </row>
    <row r="118" spans="1:123" ht="24.95" customHeight="1">
      <c r="A118" s="68"/>
      <c r="D118" s="69"/>
      <c r="E118" s="69"/>
      <c r="F118" s="69"/>
      <c r="G118" s="70"/>
      <c r="H118" s="70"/>
      <c r="I118" s="70"/>
      <c r="J118" s="70"/>
      <c r="N118" s="70"/>
      <c r="O118" s="69"/>
      <c r="S118" s="70"/>
      <c r="T118" s="69"/>
      <c r="V118" s="72" t="str">
        <f t="shared" si="3"/>
        <v/>
      </c>
      <c r="W118" s="72" t="str">
        <f t="shared" si="4"/>
        <v/>
      </c>
      <c r="X118" s="72" t="str">
        <f t="shared" si="5"/>
        <v/>
      </c>
      <c r="AD118" s="70"/>
      <c r="AE118" s="70"/>
      <c r="AF118" s="70"/>
      <c r="AH118" s="70"/>
      <c r="AJ118" s="70"/>
      <c r="AN118" s="70"/>
      <c r="AO118" s="70"/>
      <c r="AP118" s="70"/>
      <c r="AR118" s="70"/>
      <c r="AT118" s="70"/>
      <c r="AX118" s="70"/>
      <c r="AY118" s="70"/>
      <c r="AZ118" s="70"/>
      <c r="BB118" s="70"/>
      <c r="BD118" s="70"/>
      <c r="BE118" s="70"/>
      <c r="BF118" s="70"/>
      <c r="BK118" s="70"/>
      <c r="BM118" s="70"/>
      <c r="BN118" s="70"/>
      <c r="BP118" s="70"/>
      <c r="BQ118" s="70"/>
      <c r="BR118" s="70"/>
      <c r="BT118" s="70"/>
      <c r="BU118" s="70"/>
      <c r="BV118" s="70"/>
      <c r="BW118" s="70"/>
      <c r="BX118" s="70"/>
      <c r="BY118" s="70"/>
      <c r="BZ118" s="70"/>
      <c r="CA118" s="70"/>
      <c r="CB118" s="70"/>
      <c r="CC118" s="70"/>
      <c r="CD118" s="70"/>
      <c r="CE118" s="70"/>
      <c r="CF118" s="70"/>
      <c r="CJ118" s="70"/>
      <c r="CK118" s="70"/>
      <c r="CL118" s="70"/>
      <c r="CM118" s="70"/>
      <c r="CO118" s="70"/>
      <c r="CQ118" s="70"/>
      <c r="CS118" s="70"/>
      <c r="CT118" s="70"/>
      <c r="CU118" s="70"/>
      <c r="CW118" s="70"/>
      <c r="CX118" s="70"/>
      <c r="CY118" s="70"/>
      <c r="CZ118" s="70"/>
      <c r="DC118" s="70"/>
      <c r="DD118" s="70"/>
      <c r="DI118" s="73"/>
      <c r="DJ118" s="73"/>
      <c r="DK118" s="73"/>
      <c r="DL118" s="73"/>
      <c r="DM118" s="73"/>
      <c r="DN118" s="73"/>
      <c r="DO118" s="73"/>
      <c r="DP118" s="73"/>
      <c r="DQ118" s="73"/>
      <c r="DR118" s="73"/>
      <c r="DS118" s="73"/>
    </row>
    <row r="119" spans="1:123" ht="24.95" customHeight="1">
      <c r="A119" s="68"/>
      <c r="D119" s="69"/>
      <c r="E119" s="69"/>
      <c r="F119" s="69"/>
      <c r="G119" s="70"/>
      <c r="H119" s="70"/>
      <c r="I119" s="70"/>
      <c r="J119" s="70"/>
      <c r="N119" s="70"/>
      <c r="O119" s="69"/>
      <c r="S119" s="70"/>
      <c r="T119" s="69"/>
      <c r="V119" s="72" t="str">
        <f t="shared" si="3"/>
        <v/>
      </c>
      <c r="W119" s="72" t="str">
        <f t="shared" si="4"/>
        <v/>
      </c>
      <c r="X119" s="72" t="str">
        <f t="shared" si="5"/>
        <v/>
      </c>
      <c r="AD119" s="70"/>
      <c r="AE119" s="70"/>
      <c r="AF119" s="70"/>
      <c r="AH119" s="70"/>
      <c r="AJ119" s="70"/>
      <c r="AN119" s="70"/>
      <c r="AO119" s="70"/>
      <c r="AP119" s="70"/>
      <c r="AR119" s="70"/>
      <c r="AT119" s="70"/>
      <c r="AX119" s="70"/>
      <c r="AY119" s="70"/>
      <c r="AZ119" s="70"/>
      <c r="BB119" s="70"/>
      <c r="BD119" s="70"/>
      <c r="BE119" s="70"/>
      <c r="BF119" s="70"/>
      <c r="BK119" s="70"/>
      <c r="BM119" s="70"/>
      <c r="BN119" s="70"/>
      <c r="BP119" s="70"/>
      <c r="BQ119" s="70"/>
      <c r="BR119" s="70"/>
      <c r="BT119" s="70"/>
      <c r="BU119" s="70"/>
      <c r="BV119" s="70"/>
      <c r="BW119" s="70"/>
      <c r="BX119" s="70"/>
      <c r="BY119" s="70"/>
      <c r="BZ119" s="70"/>
      <c r="CA119" s="70"/>
      <c r="CB119" s="70"/>
      <c r="CC119" s="70"/>
      <c r="CD119" s="70"/>
      <c r="CE119" s="70"/>
      <c r="CF119" s="70"/>
      <c r="CJ119" s="70"/>
      <c r="CK119" s="70"/>
      <c r="CL119" s="70"/>
      <c r="CM119" s="70"/>
      <c r="CO119" s="70"/>
      <c r="CQ119" s="70"/>
      <c r="CS119" s="70"/>
      <c r="CT119" s="70"/>
      <c r="CU119" s="70"/>
      <c r="CW119" s="70"/>
      <c r="CX119" s="70"/>
      <c r="CY119" s="70"/>
      <c r="CZ119" s="70"/>
      <c r="DC119" s="70"/>
      <c r="DD119" s="70"/>
      <c r="DI119" s="73"/>
      <c r="DJ119" s="73"/>
      <c r="DK119" s="73"/>
      <c r="DL119" s="73"/>
      <c r="DM119" s="73"/>
      <c r="DN119" s="73"/>
      <c r="DO119" s="73"/>
      <c r="DP119" s="73"/>
      <c r="DQ119" s="73"/>
      <c r="DR119" s="73"/>
      <c r="DS119" s="73"/>
    </row>
    <row r="120" spans="1:123" ht="24.95" customHeight="1">
      <c r="A120" s="68"/>
      <c r="D120" s="69"/>
      <c r="E120" s="69"/>
      <c r="F120" s="69"/>
      <c r="G120" s="70"/>
      <c r="H120" s="70"/>
      <c r="I120" s="70"/>
      <c r="J120" s="70"/>
      <c r="N120" s="70"/>
      <c r="O120" s="69"/>
      <c r="S120" s="70"/>
      <c r="T120" s="69"/>
      <c r="V120" s="72" t="str">
        <f t="shared" si="3"/>
        <v/>
      </c>
      <c r="W120" s="72" t="str">
        <f t="shared" si="4"/>
        <v/>
      </c>
      <c r="X120" s="72" t="str">
        <f t="shared" si="5"/>
        <v/>
      </c>
      <c r="AD120" s="70"/>
      <c r="AE120" s="70"/>
      <c r="AF120" s="70"/>
      <c r="AH120" s="70"/>
      <c r="AJ120" s="70"/>
      <c r="AN120" s="70"/>
      <c r="AO120" s="70"/>
      <c r="AP120" s="70"/>
      <c r="AR120" s="70"/>
      <c r="AT120" s="70"/>
      <c r="AX120" s="70"/>
      <c r="AY120" s="70"/>
      <c r="AZ120" s="70"/>
      <c r="BB120" s="70"/>
      <c r="BD120" s="70"/>
      <c r="BE120" s="70"/>
      <c r="BF120" s="70"/>
      <c r="BK120" s="70"/>
      <c r="BM120" s="70"/>
      <c r="BN120" s="70"/>
      <c r="BP120" s="70"/>
      <c r="BQ120" s="70"/>
      <c r="BR120" s="70"/>
      <c r="BT120" s="70"/>
      <c r="BU120" s="70"/>
      <c r="BV120" s="70"/>
      <c r="BW120" s="70"/>
      <c r="BX120" s="70"/>
      <c r="BY120" s="70"/>
      <c r="BZ120" s="70"/>
      <c r="CA120" s="70"/>
      <c r="CB120" s="70"/>
      <c r="CC120" s="70"/>
      <c r="CD120" s="70"/>
      <c r="CE120" s="70"/>
      <c r="CF120" s="70"/>
      <c r="CJ120" s="70"/>
      <c r="CK120" s="70"/>
      <c r="CL120" s="70"/>
      <c r="CM120" s="70"/>
      <c r="CO120" s="70"/>
      <c r="CQ120" s="70"/>
      <c r="CS120" s="70"/>
      <c r="CT120" s="70"/>
      <c r="CU120" s="70"/>
      <c r="CW120" s="70"/>
      <c r="CX120" s="70"/>
      <c r="CY120" s="70"/>
      <c r="CZ120" s="70"/>
      <c r="DC120" s="70"/>
      <c r="DD120" s="70"/>
      <c r="DI120" s="73"/>
      <c r="DJ120" s="73"/>
      <c r="DK120" s="73"/>
      <c r="DL120" s="73"/>
      <c r="DM120" s="73"/>
      <c r="DN120" s="73"/>
      <c r="DO120" s="73"/>
      <c r="DP120" s="73"/>
      <c r="DQ120" s="73"/>
      <c r="DR120" s="73"/>
      <c r="DS120" s="73"/>
    </row>
    <row r="121" spans="1:123" ht="24.95" customHeight="1">
      <c r="A121" s="68"/>
      <c r="D121" s="69"/>
      <c r="E121" s="69"/>
      <c r="F121" s="69"/>
      <c r="G121" s="70"/>
      <c r="H121" s="70"/>
      <c r="I121" s="70"/>
      <c r="J121" s="70"/>
      <c r="N121" s="70"/>
      <c r="O121" s="69"/>
      <c r="S121" s="70"/>
      <c r="T121" s="69"/>
      <c r="V121" s="72" t="str">
        <f t="shared" si="3"/>
        <v/>
      </c>
      <c r="W121" s="72" t="str">
        <f t="shared" si="4"/>
        <v/>
      </c>
      <c r="X121" s="72" t="str">
        <f t="shared" si="5"/>
        <v/>
      </c>
      <c r="AD121" s="70"/>
      <c r="AE121" s="70"/>
      <c r="AF121" s="70"/>
      <c r="AH121" s="70"/>
      <c r="AJ121" s="70"/>
      <c r="AN121" s="70"/>
      <c r="AO121" s="70"/>
      <c r="AP121" s="70"/>
      <c r="AR121" s="70"/>
      <c r="AT121" s="70"/>
      <c r="AX121" s="70"/>
      <c r="AY121" s="70"/>
      <c r="AZ121" s="70"/>
      <c r="BB121" s="70"/>
      <c r="BD121" s="70"/>
      <c r="BE121" s="70"/>
      <c r="BF121" s="70"/>
      <c r="BK121" s="70"/>
      <c r="BM121" s="70"/>
      <c r="BN121" s="70"/>
      <c r="BP121" s="70"/>
      <c r="BQ121" s="70"/>
      <c r="BR121" s="70"/>
      <c r="BT121" s="70"/>
      <c r="BU121" s="70"/>
      <c r="BV121" s="70"/>
      <c r="BW121" s="70"/>
      <c r="BX121" s="70"/>
      <c r="BY121" s="70"/>
      <c r="BZ121" s="70"/>
      <c r="CA121" s="70"/>
      <c r="CB121" s="70"/>
      <c r="CC121" s="70"/>
      <c r="CD121" s="70"/>
      <c r="CE121" s="70"/>
      <c r="CF121" s="70"/>
      <c r="CJ121" s="70"/>
      <c r="CK121" s="70"/>
      <c r="CL121" s="70"/>
      <c r="CM121" s="70"/>
      <c r="CO121" s="70"/>
      <c r="CQ121" s="70"/>
      <c r="CS121" s="70"/>
      <c r="CT121" s="70"/>
      <c r="CU121" s="70"/>
      <c r="CW121" s="70"/>
      <c r="CX121" s="70"/>
      <c r="CY121" s="70"/>
      <c r="CZ121" s="70"/>
      <c r="DC121" s="70"/>
      <c r="DD121" s="70"/>
      <c r="DI121" s="73"/>
      <c r="DJ121" s="73"/>
      <c r="DK121" s="73"/>
      <c r="DL121" s="73"/>
      <c r="DM121" s="73"/>
      <c r="DN121" s="73"/>
      <c r="DO121" s="73"/>
      <c r="DP121" s="73"/>
      <c r="DQ121" s="73"/>
      <c r="DR121" s="73"/>
      <c r="DS121" s="73"/>
    </row>
    <row r="122" spans="1:123" ht="24.95" customHeight="1">
      <c r="A122" s="68"/>
      <c r="D122" s="69"/>
      <c r="E122" s="69"/>
      <c r="F122" s="69"/>
      <c r="G122" s="70"/>
      <c r="H122" s="70"/>
      <c r="I122" s="70"/>
      <c r="J122" s="70"/>
      <c r="N122" s="70"/>
      <c r="O122" s="69"/>
      <c r="S122" s="70"/>
      <c r="T122" s="69"/>
      <c r="V122" s="72" t="str">
        <f t="shared" si="3"/>
        <v/>
      </c>
      <c r="W122" s="72" t="str">
        <f t="shared" si="4"/>
        <v/>
      </c>
      <c r="X122" s="72" t="str">
        <f t="shared" si="5"/>
        <v/>
      </c>
      <c r="AD122" s="70"/>
      <c r="AE122" s="70"/>
      <c r="AF122" s="70"/>
      <c r="AH122" s="70"/>
      <c r="AJ122" s="70"/>
      <c r="AN122" s="70"/>
      <c r="AO122" s="70"/>
      <c r="AP122" s="70"/>
      <c r="AR122" s="70"/>
      <c r="AT122" s="70"/>
      <c r="AX122" s="70"/>
      <c r="AY122" s="70"/>
      <c r="AZ122" s="70"/>
      <c r="BB122" s="70"/>
      <c r="BD122" s="70"/>
      <c r="BE122" s="70"/>
      <c r="BF122" s="70"/>
      <c r="BK122" s="70"/>
      <c r="BM122" s="70"/>
      <c r="BN122" s="70"/>
      <c r="BP122" s="70"/>
      <c r="BQ122" s="70"/>
      <c r="BR122" s="70"/>
      <c r="BT122" s="70"/>
      <c r="BU122" s="70"/>
      <c r="BV122" s="70"/>
      <c r="BW122" s="70"/>
      <c r="BX122" s="70"/>
      <c r="BY122" s="70"/>
      <c r="BZ122" s="70"/>
      <c r="CA122" s="70"/>
      <c r="CB122" s="70"/>
      <c r="CC122" s="70"/>
      <c r="CD122" s="70"/>
      <c r="CE122" s="70"/>
      <c r="CF122" s="70"/>
      <c r="CJ122" s="70"/>
      <c r="CK122" s="70"/>
      <c r="CL122" s="70"/>
      <c r="CM122" s="70"/>
      <c r="CO122" s="70"/>
      <c r="CQ122" s="70"/>
      <c r="CS122" s="70"/>
      <c r="CT122" s="70"/>
      <c r="CU122" s="70"/>
      <c r="CW122" s="70"/>
      <c r="CX122" s="70"/>
      <c r="CY122" s="70"/>
      <c r="CZ122" s="70"/>
      <c r="DC122" s="70"/>
      <c r="DD122" s="70"/>
      <c r="DI122" s="73"/>
      <c r="DJ122" s="73"/>
      <c r="DK122" s="73"/>
      <c r="DL122" s="73"/>
      <c r="DM122" s="73"/>
      <c r="DN122" s="73"/>
      <c r="DO122" s="73"/>
      <c r="DP122" s="73"/>
      <c r="DQ122" s="73"/>
      <c r="DR122" s="73"/>
      <c r="DS122" s="73"/>
    </row>
    <row r="123" spans="1:123" ht="24.95" customHeight="1">
      <c r="A123" s="68"/>
      <c r="D123" s="69"/>
      <c r="E123" s="69"/>
      <c r="F123" s="69"/>
      <c r="G123" s="70"/>
      <c r="H123" s="70"/>
      <c r="I123" s="70"/>
      <c r="J123" s="70"/>
      <c r="N123" s="70"/>
      <c r="O123" s="69"/>
      <c r="S123" s="70"/>
      <c r="T123" s="69"/>
      <c r="V123" s="72" t="str">
        <f t="shared" si="3"/>
        <v/>
      </c>
      <c r="W123" s="72" t="str">
        <f t="shared" si="4"/>
        <v/>
      </c>
      <c r="X123" s="72" t="str">
        <f t="shared" si="5"/>
        <v/>
      </c>
      <c r="AD123" s="70"/>
      <c r="AE123" s="70"/>
      <c r="AF123" s="70"/>
      <c r="AH123" s="70"/>
      <c r="AJ123" s="70"/>
      <c r="AN123" s="70"/>
      <c r="AO123" s="70"/>
      <c r="AP123" s="70"/>
      <c r="AR123" s="70"/>
      <c r="AT123" s="70"/>
      <c r="AX123" s="70"/>
      <c r="AY123" s="70"/>
      <c r="AZ123" s="70"/>
      <c r="BB123" s="70"/>
      <c r="BD123" s="70"/>
      <c r="BE123" s="70"/>
      <c r="BF123" s="70"/>
      <c r="BK123" s="70"/>
      <c r="BM123" s="70"/>
      <c r="BN123" s="70"/>
      <c r="BP123" s="70"/>
      <c r="BQ123" s="70"/>
      <c r="BR123" s="70"/>
      <c r="BT123" s="70"/>
      <c r="BU123" s="70"/>
      <c r="BV123" s="70"/>
      <c r="BW123" s="70"/>
      <c r="BX123" s="70"/>
      <c r="BY123" s="70"/>
      <c r="BZ123" s="70"/>
      <c r="CA123" s="70"/>
      <c r="CB123" s="70"/>
      <c r="CC123" s="70"/>
      <c r="CD123" s="70"/>
      <c r="CE123" s="70"/>
      <c r="CF123" s="70"/>
      <c r="CJ123" s="70"/>
      <c r="CK123" s="70"/>
      <c r="CL123" s="70"/>
      <c r="CM123" s="70"/>
      <c r="CO123" s="70"/>
      <c r="CQ123" s="70"/>
      <c r="CS123" s="70"/>
      <c r="CT123" s="70"/>
      <c r="CU123" s="70"/>
      <c r="CW123" s="70"/>
      <c r="CX123" s="70"/>
      <c r="CY123" s="70"/>
      <c r="CZ123" s="70"/>
      <c r="DC123" s="70"/>
      <c r="DD123" s="70"/>
      <c r="DI123" s="73"/>
      <c r="DJ123" s="73"/>
      <c r="DK123" s="73"/>
      <c r="DL123" s="73"/>
      <c r="DM123" s="73"/>
      <c r="DN123" s="73"/>
      <c r="DO123" s="73"/>
      <c r="DP123" s="73"/>
      <c r="DQ123" s="73"/>
      <c r="DR123" s="73"/>
      <c r="DS123" s="73"/>
    </row>
    <row r="124" spans="1:123" ht="24.95" customHeight="1">
      <c r="A124" s="68"/>
      <c r="D124" s="69"/>
      <c r="E124" s="69"/>
      <c r="F124" s="69"/>
      <c r="G124" s="70"/>
      <c r="H124" s="70"/>
      <c r="I124" s="70"/>
      <c r="J124" s="70"/>
      <c r="N124" s="70"/>
      <c r="O124" s="69"/>
      <c r="S124" s="70"/>
      <c r="T124" s="69"/>
      <c r="V124" s="72" t="str">
        <f t="shared" si="3"/>
        <v/>
      </c>
      <c r="W124" s="72" t="str">
        <f t="shared" si="4"/>
        <v/>
      </c>
      <c r="X124" s="72" t="str">
        <f t="shared" si="5"/>
        <v/>
      </c>
      <c r="AD124" s="70"/>
      <c r="AE124" s="70"/>
      <c r="AF124" s="70"/>
      <c r="AH124" s="70"/>
      <c r="AJ124" s="70"/>
      <c r="AN124" s="70"/>
      <c r="AO124" s="70"/>
      <c r="AP124" s="70"/>
      <c r="AR124" s="70"/>
      <c r="AT124" s="70"/>
      <c r="AX124" s="70"/>
      <c r="AY124" s="70"/>
      <c r="AZ124" s="70"/>
      <c r="BB124" s="70"/>
      <c r="BD124" s="70"/>
      <c r="BE124" s="70"/>
      <c r="BF124" s="70"/>
      <c r="BK124" s="70"/>
      <c r="BM124" s="70"/>
      <c r="BN124" s="70"/>
      <c r="BP124" s="70"/>
      <c r="BQ124" s="70"/>
      <c r="BR124" s="70"/>
      <c r="BT124" s="70"/>
      <c r="BU124" s="70"/>
      <c r="BV124" s="70"/>
      <c r="BW124" s="70"/>
      <c r="BX124" s="70"/>
      <c r="BY124" s="70"/>
      <c r="BZ124" s="70"/>
      <c r="CA124" s="70"/>
      <c r="CB124" s="70"/>
      <c r="CC124" s="70"/>
      <c r="CD124" s="70"/>
      <c r="CE124" s="70"/>
      <c r="CF124" s="70"/>
      <c r="CJ124" s="70"/>
      <c r="CK124" s="70"/>
      <c r="CL124" s="70"/>
      <c r="CM124" s="70"/>
      <c r="CO124" s="70"/>
      <c r="CQ124" s="70"/>
      <c r="CS124" s="70"/>
      <c r="CT124" s="70"/>
      <c r="CU124" s="70"/>
      <c r="CW124" s="70"/>
      <c r="CX124" s="70"/>
      <c r="CY124" s="70"/>
      <c r="CZ124" s="70"/>
      <c r="DC124" s="70"/>
      <c r="DD124" s="70"/>
      <c r="DI124" s="73"/>
      <c r="DJ124" s="73"/>
      <c r="DK124" s="73"/>
      <c r="DL124" s="73"/>
      <c r="DM124" s="73"/>
      <c r="DN124" s="73"/>
      <c r="DO124" s="73"/>
      <c r="DP124" s="73"/>
      <c r="DQ124" s="73"/>
      <c r="DR124" s="73"/>
      <c r="DS124" s="73"/>
    </row>
    <row r="125" spans="1:123" ht="24.95" customHeight="1">
      <c r="A125" s="68"/>
      <c r="D125" s="69"/>
      <c r="E125" s="69"/>
      <c r="F125" s="69"/>
      <c r="G125" s="70"/>
      <c r="H125" s="70"/>
      <c r="I125" s="70"/>
      <c r="J125" s="70"/>
      <c r="N125" s="70"/>
      <c r="O125" s="69"/>
      <c r="S125" s="70"/>
      <c r="T125" s="69"/>
      <c r="V125" s="72" t="str">
        <f t="shared" si="3"/>
        <v/>
      </c>
      <c r="W125" s="72" t="str">
        <f t="shared" si="4"/>
        <v/>
      </c>
      <c r="X125" s="72" t="str">
        <f t="shared" si="5"/>
        <v/>
      </c>
      <c r="AD125" s="70"/>
      <c r="AE125" s="70"/>
      <c r="AF125" s="70"/>
      <c r="AH125" s="70"/>
      <c r="AJ125" s="70"/>
      <c r="AN125" s="70"/>
      <c r="AO125" s="70"/>
      <c r="AP125" s="70"/>
      <c r="AR125" s="70"/>
      <c r="AT125" s="70"/>
      <c r="AX125" s="70"/>
      <c r="AY125" s="70"/>
      <c r="AZ125" s="70"/>
      <c r="BB125" s="70"/>
      <c r="BD125" s="70"/>
      <c r="BE125" s="70"/>
      <c r="BF125" s="70"/>
      <c r="BK125" s="70"/>
      <c r="BM125" s="70"/>
      <c r="BN125" s="70"/>
      <c r="BP125" s="70"/>
      <c r="BQ125" s="70"/>
      <c r="BR125" s="70"/>
      <c r="BT125" s="70"/>
      <c r="BU125" s="70"/>
      <c r="BV125" s="70"/>
      <c r="BW125" s="70"/>
      <c r="BX125" s="70"/>
      <c r="BY125" s="70"/>
      <c r="BZ125" s="70"/>
      <c r="CA125" s="70"/>
      <c r="CB125" s="70"/>
      <c r="CC125" s="70"/>
      <c r="CD125" s="70"/>
      <c r="CE125" s="70"/>
      <c r="CF125" s="70"/>
      <c r="CJ125" s="70"/>
      <c r="CK125" s="70"/>
      <c r="CL125" s="70"/>
      <c r="CM125" s="70"/>
      <c r="CO125" s="70"/>
      <c r="CQ125" s="70"/>
      <c r="CS125" s="70"/>
      <c r="CT125" s="70"/>
      <c r="CU125" s="70"/>
      <c r="CW125" s="70"/>
      <c r="CX125" s="70"/>
      <c r="CY125" s="70"/>
      <c r="CZ125" s="70"/>
      <c r="DC125" s="70"/>
      <c r="DD125" s="70"/>
      <c r="DI125" s="73"/>
      <c r="DJ125" s="73"/>
      <c r="DK125" s="73"/>
      <c r="DL125" s="73"/>
      <c r="DM125" s="73"/>
      <c r="DN125" s="73"/>
      <c r="DO125" s="73"/>
      <c r="DP125" s="73"/>
      <c r="DQ125" s="73"/>
      <c r="DR125" s="73"/>
      <c r="DS125" s="73"/>
    </row>
    <row r="126" spans="1:123" ht="24.95" customHeight="1">
      <c r="A126" s="68"/>
      <c r="D126" s="69"/>
      <c r="E126" s="69"/>
      <c r="F126" s="69"/>
      <c r="G126" s="70"/>
      <c r="H126" s="70"/>
      <c r="I126" s="70"/>
      <c r="J126" s="70"/>
      <c r="N126" s="70"/>
      <c r="O126" s="69"/>
      <c r="S126" s="70"/>
      <c r="T126" s="69"/>
      <c r="V126" s="72" t="str">
        <f t="shared" si="3"/>
        <v/>
      </c>
      <c r="W126" s="72" t="str">
        <f t="shared" si="4"/>
        <v/>
      </c>
      <c r="X126" s="72" t="str">
        <f t="shared" si="5"/>
        <v/>
      </c>
      <c r="AD126" s="70"/>
      <c r="AE126" s="70"/>
      <c r="AF126" s="70"/>
      <c r="AH126" s="70"/>
      <c r="AJ126" s="70"/>
      <c r="AN126" s="70"/>
      <c r="AO126" s="70"/>
      <c r="AP126" s="70"/>
      <c r="AR126" s="70"/>
      <c r="AT126" s="70"/>
      <c r="AX126" s="70"/>
      <c r="AY126" s="70"/>
      <c r="AZ126" s="70"/>
      <c r="BB126" s="70"/>
      <c r="BD126" s="70"/>
      <c r="BE126" s="70"/>
      <c r="BF126" s="70"/>
      <c r="BK126" s="70"/>
      <c r="BM126" s="70"/>
      <c r="BN126" s="70"/>
      <c r="BP126" s="70"/>
      <c r="BQ126" s="70"/>
      <c r="BR126" s="70"/>
      <c r="BT126" s="70"/>
      <c r="BU126" s="70"/>
      <c r="BV126" s="70"/>
      <c r="BW126" s="70"/>
      <c r="BX126" s="70"/>
      <c r="BY126" s="70"/>
      <c r="BZ126" s="70"/>
      <c r="CA126" s="70"/>
      <c r="CB126" s="70"/>
      <c r="CC126" s="70"/>
      <c r="CD126" s="70"/>
      <c r="CE126" s="70"/>
      <c r="CF126" s="70"/>
      <c r="CJ126" s="70"/>
      <c r="CK126" s="70"/>
      <c r="CL126" s="70"/>
      <c r="CM126" s="70"/>
      <c r="CO126" s="70"/>
      <c r="CQ126" s="70"/>
      <c r="CS126" s="70"/>
      <c r="CT126" s="70"/>
      <c r="CU126" s="70"/>
      <c r="CW126" s="70"/>
      <c r="CX126" s="70"/>
      <c r="CY126" s="70"/>
      <c r="CZ126" s="70"/>
      <c r="DC126" s="70"/>
      <c r="DD126" s="70"/>
      <c r="DI126" s="73"/>
      <c r="DJ126" s="73"/>
      <c r="DK126" s="73"/>
      <c r="DL126" s="73"/>
      <c r="DM126" s="73"/>
      <c r="DN126" s="73"/>
      <c r="DO126" s="73"/>
      <c r="DP126" s="73"/>
      <c r="DQ126" s="73"/>
      <c r="DR126" s="73"/>
      <c r="DS126" s="73"/>
    </row>
    <row r="127" spans="1:123" ht="24.95" customHeight="1">
      <c r="A127" s="68"/>
      <c r="D127" s="69"/>
      <c r="E127" s="69"/>
      <c r="F127" s="69"/>
      <c r="G127" s="70"/>
      <c r="H127" s="70"/>
      <c r="I127" s="70"/>
      <c r="J127" s="70"/>
      <c r="N127" s="70"/>
      <c r="O127" s="69"/>
      <c r="S127" s="70"/>
      <c r="T127" s="69"/>
      <c r="V127" s="72" t="str">
        <f t="shared" si="3"/>
        <v/>
      </c>
      <c r="W127" s="72" t="str">
        <f t="shared" si="4"/>
        <v/>
      </c>
      <c r="X127" s="72" t="str">
        <f t="shared" si="5"/>
        <v/>
      </c>
      <c r="AD127" s="70"/>
      <c r="AE127" s="70"/>
      <c r="AF127" s="70"/>
      <c r="AH127" s="70"/>
      <c r="AJ127" s="70"/>
      <c r="AN127" s="70"/>
      <c r="AO127" s="70"/>
      <c r="AP127" s="70"/>
      <c r="AR127" s="70"/>
      <c r="AT127" s="70"/>
      <c r="AX127" s="70"/>
      <c r="AY127" s="70"/>
      <c r="AZ127" s="70"/>
      <c r="BB127" s="70"/>
      <c r="BD127" s="70"/>
      <c r="BE127" s="70"/>
      <c r="BF127" s="70"/>
      <c r="BK127" s="70"/>
      <c r="BM127" s="70"/>
      <c r="BN127" s="70"/>
      <c r="BP127" s="70"/>
      <c r="BQ127" s="70"/>
      <c r="BR127" s="70"/>
      <c r="BT127" s="70"/>
      <c r="BU127" s="70"/>
      <c r="BV127" s="70"/>
      <c r="BW127" s="70"/>
      <c r="BX127" s="70"/>
      <c r="BY127" s="70"/>
      <c r="BZ127" s="70"/>
      <c r="CA127" s="70"/>
      <c r="CB127" s="70"/>
      <c r="CC127" s="70"/>
      <c r="CD127" s="70"/>
      <c r="CE127" s="70"/>
      <c r="CF127" s="70"/>
      <c r="CJ127" s="70"/>
      <c r="CK127" s="70"/>
      <c r="CL127" s="70"/>
      <c r="CM127" s="70"/>
      <c r="CO127" s="70"/>
      <c r="CQ127" s="70"/>
      <c r="CS127" s="70"/>
      <c r="CT127" s="70"/>
      <c r="CU127" s="70"/>
      <c r="CW127" s="70"/>
      <c r="CX127" s="70"/>
      <c r="CY127" s="70"/>
      <c r="CZ127" s="70"/>
      <c r="DC127" s="70"/>
      <c r="DD127" s="70"/>
      <c r="DI127" s="73"/>
      <c r="DJ127" s="73"/>
      <c r="DK127" s="73"/>
      <c r="DL127" s="73"/>
      <c r="DM127" s="73"/>
      <c r="DN127" s="73"/>
      <c r="DO127" s="73"/>
      <c r="DP127" s="73"/>
      <c r="DQ127" s="73"/>
      <c r="DR127" s="73"/>
      <c r="DS127" s="73"/>
    </row>
    <row r="128" spans="1:123" ht="24.95" customHeight="1">
      <c r="A128" s="68"/>
      <c r="D128" s="69"/>
      <c r="E128" s="69"/>
      <c r="F128" s="69"/>
      <c r="G128" s="70"/>
      <c r="H128" s="70"/>
      <c r="I128" s="70"/>
      <c r="J128" s="70"/>
      <c r="N128" s="70"/>
      <c r="O128" s="69"/>
      <c r="S128" s="70"/>
      <c r="T128" s="69"/>
      <c r="V128" s="72" t="str">
        <f t="shared" si="3"/>
        <v/>
      </c>
      <c r="W128" s="72" t="str">
        <f t="shared" si="4"/>
        <v/>
      </c>
      <c r="X128" s="72" t="str">
        <f t="shared" si="5"/>
        <v/>
      </c>
      <c r="AD128" s="70"/>
      <c r="AE128" s="70"/>
      <c r="AF128" s="70"/>
      <c r="AH128" s="70"/>
      <c r="AJ128" s="70"/>
      <c r="AN128" s="70"/>
      <c r="AO128" s="70"/>
      <c r="AP128" s="70"/>
      <c r="AR128" s="70"/>
      <c r="AT128" s="70"/>
      <c r="AX128" s="70"/>
      <c r="AY128" s="70"/>
      <c r="AZ128" s="70"/>
      <c r="BB128" s="70"/>
      <c r="BD128" s="70"/>
      <c r="BE128" s="70"/>
      <c r="BF128" s="70"/>
      <c r="BK128" s="70"/>
      <c r="BM128" s="70"/>
      <c r="BN128" s="70"/>
      <c r="BP128" s="70"/>
      <c r="BQ128" s="70"/>
      <c r="BR128" s="70"/>
      <c r="BT128" s="70"/>
      <c r="BU128" s="70"/>
      <c r="BV128" s="70"/>
      <c r="BW128" s="70"/>
      <c r="BX128" s="70"/>
      <c r="BY128" s="70"/>
      <c r="BZ128" s="70"/>
      <c r="CA128" s="70"/>
      <c r="CB128" s="70"/>
      <c r="CC128" s="70"/>
      <c r="CD128" s="70"/>
      <c r="CE128" s="70"/>
      <c r="CF128" s="70"/>
      <c r="CJ128" s="70"/>
      <c r="CK128" s="70"/>
      <c r="CL128" s="70"/>
      <c r="CM128" s="70"/>
      <c r="CO128" s="70"/>
      <c r="CQ128" s="70"/>
      <c r="CS128" s="70"/>
      <c r="CT128" s="70"/>
      <c r="CU128" s="70"/>
      <c r="CW128" s="70"/>
      <c r="CX128" s="70"/>
      <c r="CY128" s="70"/>
      <c r="CZ128" s="70"/>
      <c r="DC128" s="70"/>
      <c r="DD128" s="70"/>
      <c r="DI128" s="73"/>
      <c r="DJ128" s="73"/>
      <c r="DK128" s="73"/>
      <c r="DL128" s="73"/>
      <c r="DM128" s="73"/>
      <c r="DN128" s="73"/>
      <c r="DO128" s="73"/>
      <c r="DP128" s="73"/>
      <c r="DQ128" s="73"/>
      <c r="DR128" s="73"/>
      <c r="DS128" s="73"/>
    </row>
    <row r="129" spans="1:123" ht="24.95" customHeight="1">
      <c r="A129" s="68"/>
      <c r="D129" s="69"/>
      <c r="E129" s="69"/>
      <c r="F129" s="69"/>
      <c r="G129" s="70"/>
      <c r="H129" s="70"/>
      <c r="I129" s="70"/>
      <c r="J129" s="70"/>
      <c r="N129" s="70"/>
      <c r="O129" s="69"/>
      <c r="S129" s="70"/>
      <c r="T129" s="69"/>
      <c r="V129" s="72" t="str">
        <f t="shared" si="3"/>
        <v/>
      </c>
      <c r="W129" s="72" t="str">
        <f t="shared" si="4"/>
        <v/>
      </c>
      <c r="X129" s="72" t="str">
        <f t="shared" si="5"/>
        <v/>
      </c>
      <c r="AD129" s="70"/>
      <c r="AE129" s="70"/>
      <c r="AF129" s="70"/>
      <c r="AH129" s="70"/>
      <c r="AJ129" s="70"/>
      <c r="AN129" s="70"/>
      <c r="AO129" s="70"/>
      <c r="AP129" s="70"/>
      <c r="AR129" s="70"/>
      <c r="AT129" s="70"/>
      <c r="AX129" s="70"/>
      <c r="AY129" s="70"/>
      <c r="AZ129" s="70"/>
      <c r="BB129" s="70"/>
      <c r="BD129" s="70"/>
      <c r="BE129" s="70"/>
      <c r="BF129" s="70"/>
      <c r="BK129" s="70"/>
      <c r="BM129" s="70"/>
      <c r="BN129" s="70"/>
      <c r="BP129" s="70"/>
      <c r="BQ129" s="70"/>
      <c r="BR129" s="70"/>
      <c r="BT129" s="70"/>
      <c r="BU129" s="70"/>
      <c r="BV129" s="70"/>
      <c r="BW129" s="70"/>
      <c r="BX129" s="70"/>
      <c r="BY129" s="70"/>
      <c r="BZ129" s="70"/>
      <c r="CA129" s="70"/>
      <c r="CB129" s="70"/>
      <c r="CC129" s="70"/>
      <c r="CD129" s="70"/>
      <c r="CE129" s="70"/>
      <c r="CF129" s="70"/>
      <c r="CJ129" s="70"/>
      <c r="CK129" s="70"/>
      <c r="CL129" s="70"/>
      <c r="CM129" s="70"/>
      <c r="CO129" s="70"/>
      <c r="CQ129" s="70"/>
      <c r="CS129" s="70"/>
      <c r="CT129" s="70"/>
      <c r="CU129" s="70"/>
      <c r="CW129" s="70"/>
      <c r="CX129" s="70"/>
      <c r="CY129" s="70"/>
      <c r="CZ129" s="70"/>
      <c r="DC129" s="70"/>
      <c r="DD129" s="70"/>
      <c r="DI129" s="73"/>
      <c r="DJ129" s="73"/>
      <c r="DK129" s="73"/>
      <c r="DL129" s="73"/>
      <c r="DM129" s="73"/>
      <c r="DN129" s="73"/>
      <c r="DO129" s="73"/>
      <c r="DP129" s="73"/>
      <c r="DQ129" s="73"/>
      <c r="DR129" s="73"/>
      <c r="DS129" s="73"/>
    </row>
    <row r="130" spans="1:123" ht="24.95" customHeight="1">
      <c r="A130" s="68"/>
      <c r="D130" s="69"/>
      <c r="E130" s="69"/>
      <c r="F130" s="69"/>
      <c r="G130" s="70"/>
      <c r="H130" s="70"/>
      <c r="I130" s="70"/>
      <c r="J130" s="70"/>
      <c r="N130" s="70"/>
      <c r="O130" s="69"/>
      <c r="S130" s="70"/>
      <c r="T130" s="69"/>
      <c r="V130" s="72" t="str">
        <f t="shared" si="3"/>
        <v/>
      </c>
      <c r="W130" s="72" t="str">
        <f t="shared" si="4"/>
        <v/>
      </c>
      <c r="X130" s="72" t="str">
        <f t="shared" si="5"/>
        <v/>
      </c>
      <c r="AD130" s="70"/>
      <c r="AE130" s="70"/>
      <c r="AF130" s="70"/>
      <c r="AH130" s="70"/>
      <c r="AJ130" s="70"/>
      <c r="AN130" s="70"/>
      <c r="AO130" s="70"/>
      <c r="AP130" s="70"/>
      <c r="AR130" s="70"/>
      <c r="AT130" s="70"/>
      <c r="AX130" s="70"/>
      <c r="AY130" s="70"/>
      <c r="AZ130" s="70"/>
      <c r="BB130" s="70"/>
      <c r="BD130" s="70"/>
      <c r="BE130" s="70"/>
      <c r="BF130" s="70"/>
      <c r="BK130" s="70"/>
      <c r="BM130" s="70"/>
      <c r="BN130" s="70"/>
      <c r="BP130" s="70"/>
      <c r="BQ130" s="70"/>
      <c r="BR130" s="70"/>
      <c r="BT130" s="70"/>
      <c r="BU130" s="70"/>
      <c r="BV130" s="70"/>
      <c r="BW130" s="70"/>
      <c r="BX130" s="70"/>
      <c r="BY130" s="70"/>
      <c r="BZ130" s="70"/>
      <c r="CA130" s="70"/>
      <c r="CB130" s="70"/>
      <c r="CC130" s="70"/>
      <c r="CD130" s="70"/>
      <c r="CE130" s="70"/>
      <c r="CF130" s="70"/>
      <c r="CJ130" s="70"/>
      <c r="CK130" s="70"/>
      <c r="CL130" s="70"/>
      <c r="CM130" s="70"/>
      <c r="CO130" s="70"/>
      <c r="CQ130" s="70"/>
      <c r="CS130" s="70"/>
      <c r="CT130" s="70"/>
      <c r="CU130" s="70"/>
      <c r="CW130" s="70"/>
      <c r="CX130" s="70"/>
      <c r="CY130" s="70"/>
      <c r="CZ130" s="70"/>
      <c r="DC130" s="70"/>
      <c r="DD130" s="70"/>
      <c r="DI130" s="73"/>
      <c r="DJ130" s="73"/>
      <c r="DK130" s="73"/>
      <c r="DL130" s="73"/>
      <c r="DM130" s="73"/>
      <c r="DN130" s="73"/>
      <c r="DO130" s="73"/>
      <c r="DP130" s="73"/>
      <c r="DQ130" s="73"/>
      <c r="DR130" s="73"/>
      <c r="DS130" s="73"/>
    </row>
    <row r="131" spans="1:123" ht="24.95" customHeight="1">
      <c r="A131" s="68"/>
      <c r="D131" s="69"/>
      <c r="E131" s="69"/>
      <c r="F131" s="69"/>
      <c r="G131" s="70"/>
      <c r="H131" s="70"/>
      <c r="I131" s="70"/>
      <c r="J131" s="70"/>
      <c r="N131" s="70"/>
      <c r="O131" s="69"/>
      <c r="S131" s="70"/>
      <c r="T131" s="69"/>
      <c r="V131" s="72" t="str">
        <f t="shared" si="3"/>
        <v/>
      </c>
      <c r="W131" s="72" t="str">
        <f t="shared" si="4"/>
        <v/>
      </c>
      <c r="X131" s="72" t="str">
        <f t="shared" si="5"/>
        <v/>
      </c>
      <c r="AD131" s="70"/>
      <c r="AE131" s="70"/>
      <c r="AF131" s="70"/>
      <c r="AH131" s="70"/>
      <c r="AJ131" s="70"/>
      <c r="AN131" s="70"/>
      <c r="AO131" s="70"/>
      <c r="AP131" s="70"/>
      <c r="AR131" s="70"/>
      <c r="AT131" s="70"/>
      <c r="AX131" s="70"/>
      <c r="AY131" s="70"/>
      <c r="AZ131" s="70"/>
      <c r="BB131" s="70"/>
      <c r="BD131" s="70"/>
      <c r="BE131" s="70"/>
      <c r="BF131" s="70"/>
      <c r="BK131" s="70"/>
      <c r="BM131" s="70"/>
      <c r="BN131" s="70"/>
      <c r="BP131" s="70"/>
      <c r="BQ131" s="70"/>
      <c r="BR131" s="70"/>
      <c r="BT131" s="70"/>
      <c r="BU131" s="70"/>
      <c r="BV131" s="70"/>
      <c r="BW131" s="70"/>
      <c r="BX131" s="70"/>
      <c r="BY131" s="70"/>
      <c r="BZ131" s="70"/>
      <c r="CA131" s="70"/>
      <c r="CB131" s="70"/>
      <c r="CC131" s="70"/>
      <c r="CD131" s="70"/>
      <c r="CE131" s="70"/>
      <c r="CF131" s="70"/>
      <c r="CJ131" s="70"/>
      <c r="CK131" s="70"/>
      <c r="CL131" s="70"/>
      <c r="CM131" s="70"/>
      <c r="CO131" s="70"/>
      <c r="CQ131" s="70"/>
      <c r="CS131" s="70"/>
      <c r="CT131" s="70"/>
      <c r="CU131" s="70"/>
      <c r="CW131" s="70"/>
      <c r="CX131" s="70"/>
      <c r="CY131" s="70"/>
      <c r="CZ131" s="70"/>
      <c r="DC131" s="70"/>
      <c r="DD131" s="70"/>
      <c r="DI131" s="73"/>
      <c r="DJ131" s="73"/>
      <c r="DK131" s="73"/>
      <c r="DL131" s="73"/>
      <c r="DM131" s="73"/>
      <c r="DN131" s="73"/>
      <c r="DO131" s="73"/>
      <c r="DP131" s="73"/>
      <c r="DQ131" s="73"/>
      <c r="DR131" s="73"/>
      <c r="DS131" s="73"/>
    </row>
    <row r="132" spans="1:123" ht="24.95" customHeight="1">
      <c r="A132" s="68"/>
      <c r="D132" s="69"/>
      <c r="E132" s="69"/>
      <c r="F132" s="69"/>
      <c r="G132" s="70"/>
      <c r="H132" s="70"/>
      <c r="I132" s="70"/>
      <c r="J132" s="70"/>
      <c r="N132" s="70"/>
      <c r="O132" s="69"/>
      <c r="S132" s="70"/>
      <c r="T132" s="69"/>
      <c r="V132" s="72" t="str">
        <f t="shared" si="3"/>
        <v/>
      </c>
      <c r="W132" s="72" t="str">
        <f t="shared" si="4"/>
        <v/>
      </c>
      <c r="X132" s="72" t="str">
        <f t="shared" si="5"/>
        <v/>
      </c>
      <c r="AD132" s="70"/>
      <c r="AE132" s="70"/>
      <c r="AF132" s="70"/>
      <c r="AH132" s="70"/>
      <c r="AJ132" s="70"/>
      <c r="AN132" s="70"/>
      <c r="AO132" s="70"/>
      <c r="AP132" s="70"/>
      <c r="AR132" s="70"/>
      <c r="AT132" s="70"/>
      <c r="AX132" s="70"/>
      <c r="AY132" s="70"/>
      <c r="AZ132" s="70"/>
      <c r="BB132" s="70"/>
      <c r="BD132" s="70"/>
      <c r="BE132" s="70"/>
      <c r="BF132" s="70"/>
      <c r="BK132" s="70"/>
      <c r="BM132" s="70"/>
      <c r="BN132" s="70"/>
      <c r="BP132" s="70"/>
      <c r="BQ132" s="70"/>
      <c r="BR132" s="70"/>
      <c r="BT132" s="70"/>
      <c r="BU132" s="70"/>
      <c r="BV132" s="70"/>
      <c r="BW132" s="70"/>
      <c r="BX132" s="70"/>
      <c r="BY132" s="70"/>
      <c r="BZ132" s="70"/>
      <c r="CA132" s="70"/>
      <c r="CB132" s="70"/>
      <c r="CC132" s="70"/>
      <c r="CD132" s="70"/>
      <c r="CE132" s="70"/>
      <c r="CF132" s="70"/>
      <c r="CJ132" s="70"/>
      <c r="CK132" s="70"/>
      <c r="CL132" s="70"/>
      <c r="CM132" s="70"/>
      <c r="CO132" s="70"/>
      <c r="CQ132" s="70"/>
      <c r="CS132" s="70"/>
      <c r="CT132" s="70"/>
      <c r="CU132" s="70"/>
      <c r="CW132" s="70"/>
      <c r="CX132" s="70"/>
      <c r="CY132" s="70"/>
      <c r="CZ132" s="70"/>
      <c r="DC132" s="70"/>
      <c r="DD132" s="70"/>
      <c r="DI132" s="73"/>
      <c r="DJ132" s="73"/>
      <c r="DK132" s="73"/>
      <c r="DL132" s="73"/>
      <c r="DM132" s="73"/>
      <c r="DN132" s="73"/>
      <c r="DO132" s="73"/>
      <c r="DP132" s="73"/>
      <c r="DQ132" s="73"/>
      <c r="DR132" s="73"/>
      <c r="DS132" s="73"/>
    </row>
    <row r="133" spans="1:123" ht="24.95" customHeight="1">
      <c r="A133" s="68"/>
      <c r="D133" s="69"/>
      <c r="E133" s="69"/>
      <c r="F133" s="69"/>
      <c r="G133" s="70"/>
      <c r="H133" s="70"/>
      <c r="I133" s="70"/>
      <c r="J133" s="70"/>
      <c r="N133" s="70"/>
      <c r="O133" s="69"/>
      <c r="S133" s="70"/>
      <c r="T133" s="69"/>
      <c r="V133" s="72" t="str">
        <f t="shared" si="3"/>
        <v/>
      </c>
      <c r="W133" s="72" t="str">
        <f t="shared" si="4"/>
        <v/>
      </c>
      <c r="X133" s="72" t="str">
        <f t="shared" si="5"/>
        <v/>
      </c>
      <c r="AD133" s="70"/>
      <c r="AE133" s="70"/>
      <c r="AF133" s="70"/>
      <c r="AH133" s="70"/>
      <c r="AJ133" s="70"/>
      <c r="AN133" s="70"/>
      <c r="AO133" s="70"/>
      <c r="AP133" s="70"/>
      <c r="AR133" s="70"/>
      <c r="AT133" s="70"/>
      <c r="AX133" s="70"/>
      <c r="AY133" s="70"/>
      <c r="AZ133" s="70"/>
      <c r="BB133" s="70"/>
      <c r="BD133" s="70"/>
      <c r="BE133" s="70"/>
      <c r="BF133" s="70"/>
      <c r="BK133" s="70"/>
      <c r="BM133" s="70"/>
      <c r="BN133" s="70"/>
      <c r="BP133" s="70"/>
      <c r="BQ133" s="70"/>
      <c r="BR133" s="70"/>
      <c r="BT133" s="70"/>
      <c r="BU133" s="70"/>
      <c r="BV133" s="70"/>
      <c r="BW133" s="70"/>
      <c r="BX133" s="70"/>
      <c r="BY133" s="70"/>
      <c r="BZ133" s="70"/>
      <c r="CA133" s="70"/>
      <c r="CB133" s="70"/>
      <c r="CC133" s="70"/>
      <c r="CD133" s="70"/>
      <c r="CE133" s="70"/>
      <c r="CF133" s="70"/>
      <c r="CJ133" s="70"/>
      <c r="CK133" s="70"/>
      <c r="CL133" s="70"/>
      <c r="CM133" s="70"/>
      <c r="CO133" s="70"/>
      <c r="CQ133" s="70"/>
      <c r="CS133" s="70"/>
      <c r="CT133" s="70"/>
      <c r="CU133" s="70"/>
      <c r="CW133" s="70"/>
      <c r="CX133" s="70"/>
      <c r="CY133" s="70"/>
      <c r="CZ133" s="70"/>
      <c r="DC133" s="70"/>
      <c r="DD133" s="70"/>
      <c r="DI133" s="73"/>
      <c r="DJ133" s="73"/>
      <c r="DK133" s="73"/>
      <c r="DL133" s="73"/>
      <c r="DM133" s="73"/>
      <c r="DN133" s="73"/>
      <c r="DO133" s="73"/>
      <c r="DP133" s="73"/>
      <c r="DQ133" s="73"/>
      <c r="DR133" s="73"/>
      <c r="DS133" s="73"/>
    </row>
    <row r="134" spans="1:123" ht="24.95" customHeight="1">
      <c r="A134" s="68"/>
      <c r="D134" s="69"/>
      <c r="E134" s="69"/>
      <c r="F134" s="69"/>
      <c r="G134" s="70"/>
      <c r="H134" s="70"/>
      <c r="I134" s="70"/>
      <c r="J134" s="70"/>
      <c r="N134" s="70"/>
      <c r="O134" s="69"/>
      <c r="S134" s="70"/>
      <c r="T134" s="69"/>
      <c r="V134" s="72" t="str">
        <f t="shared" ref="V134:V197" si="6">IF($A134="","",IF(AND($U134="発射物",$DI134&lt;&gt;"パッシブ"),$BE134,0))</f>
        <v/>
      </c>
      <c r="W134" s="72" t="str">
        <f t="shared" ref="W134:W197" si="7">IF($A134="","",IF(AND($U134="発射物",$DI134&lt;&gt;"パッシブ"),$BF134,0))</f>
        <v/>
      </c>
      <c r="X134" s="72" t="str">
        <f t="shared" ref="X134:X197" si="8">IF($A134="","",IF(AND($U134="発射物",$DI134&lt;&gt;"パッシブ"),IF($BG134="有効","有効","無効"),"無効"))</f>
        <v/>
      </c>
      <c r="AD134" s="70"/>
      <c r="AE134" s="70"/>
      <c r="AF134" s="70"/>
      <c r="AH134" s="70"/>
      <c r="AJ134" s="70"/>
      <c r="AN134" s="70"/>
      <c r="AO134" s="70"/>
      <c r="AP134" s="70"/>
      <c r="AR134" s="70"/>
      <c r="AT134" s="70"/>
      <c r="AX134" s="70"/>
      <c r="AY134" s="70"/>
      <c r="AZ134" s="70"/>
      <c r="BB134" s="70"/>
      <c r="BD134" s="70"/>
      <c r="BE134" s="70"/>
      <c r="BF134" s="70"/>
      <c r="BK134" s="70"/>
      <c r="BM134" s="70"/>
      <c r="BN134" s="70"/>
      <c r="BP134" s="70"/>
      <c r="BQ134" s="70"/>
      <c r="BR134" s="70"/>
      <c r="BT134" s="70"/>
      <c r="BU134" s="70"/>
      <c r="BV134" s="70"/>
      <c r="BW134" s="70"/>
      <c r="BX134" s="70"/>
      <c r="BY134" s="70"/>
      <c r="BZ134" s="70"/>
      <c r="CA134" s="70"/>
      <c r="CB134" s="70"/>
      <c r="CC134" s="70"/>
      <c r="CD134" s="70"/>
      <c r="CE134" s="70"/>
      <c r="CF134" s="70"/>
      <c r="CJ134" s="70"/>
      <c r="CK134" s="70"/>
      <c r="CL134" s="70"/>
      <c r="CM134" s="70"/>
      <c r="CO134" s="70"/>
      <c r="CQ134" s="70"/>
      <c r="CS134" s="70"/>
      <c r="CT134" s="70"/>
      <c r="CU134" s="70"/>
      <c r="CW134" s="70"/>
      <c r="CX134" s="70"/>
      <c r="CY134" s="70"/>
      <c r="CZ134" s="70"/>
      <c r="DC134" s="70"/>
      <c r="DD134" s="70"/>
      <c r="DI134" s="73"/>
      <c r="DJ134" s="73"/>
      <c r="DK134" s="73"/>
      <c r="DL134" s="73"/>
      <c r="DM134" s="73"/>
      <c r="DN134" s="73"/>
      <c r="DO134" s="73"/>
      <c r="DP134" s="73"/>
      <c r="DQ134" s="73"/>
      <c r="DR134" s="73"/>
      <c r="DS134" s="73"/>
    </row>
    <row r="135" spans="1:123" ht="24.95" customHeight="1">
      <c r="A135" s="68"/>
      <c r="D135" s="69"/>
      <c r="E135" s="69"/>
      <c r="F135" s="69"/>
      <c r="G135" s="70"/>
      <c r="H135" s="70"/>
      <c r="I135" s="70"/>
      <c r="J135" s="70"/>
      <c r="N135" s="70"/>
      <c r="O135" s="69"/>
      <c r="S135" s="70"/>
      <c r="T135" s="69"/>
      <c r="V135" s="72" t="str">
        <f t="shared" si="6"/>
        <v/>
      </c>
      <c r="W135" s="72" t="str">
        <f t="shared" si="7"/>
        <v/>
      </c>
      <c r="X135" s="72" t="str">
        <f t="shared" si="8"/>
        <v/>
      </c>
      <c r="AD135" s="70"/>
      <c r="AE135" s="70"/>
      <c r="AF135" s="70"/>
      <c r="AH135" s="70"/>
      <c r="AJ135" s="70"/>
      <c r="AN135" s="70"/>
      <c r="AO135" s="70"/>
      <c r="AP135" s="70"/>
      <c r="AR135" s="70"/>
      <c r="AT135" s="70"/>
      <c r="AX135" s="70"/>
      <c r="AY135" s="70"/>
      <c r="AZ135" s="70"/>
      <c r="BB135" s="70"/>
      <c r="BD135" s="70"/>
      <c r="BE135" s="70"/>
      <c r="BF135" s="70"/>
      <c r="BK135" s="70"/>
      <c r="BM135" s="70"/>
      <c r="BN135" s="70"/>
      <c r="BP135" s="70"/>
      <c r="BQ135" s="70"/>
      <c r="BR135" s="70"/>
      <c r="BT135" s="70"/>
      <c r="BU135" s="70"/>
      <c r="BV135" s="70"/>
      <c r="BW135" s="70"/>
      <c r="BX135" s="70"/>
      <c r="BY135" s="70"/>
      <c r="BZ135" s="70"/>
      <c r="CA135" s="70"/>
      <c r="CB135" s="70"/>
      <c r="CC135" s="70"/>
      <c r="CD135" s="70"/>
      <c r="CE135" s="70"/>
      <c r="CF135" s="70"/>
      <c r="CJ135" s="70"/>
      <c r="CK135" s="70"/>
      <c r="CL135" s="70"/>
      <c r="CM135" s="70"/>
      <c r="CO135" s="70"/>
      <c r="CQ135" s="70"/>
      <c r="CS135" s="70"/>
      <c r="CT135" s="70"/>
      <c r="CU135" s="70"/>
      <c r="CW135" s="70"/>
      <c r="CX135" s="70"/>
      <c r="CY135" s="70"/>
      <c r="CZ135" s="70"/>
      <c r="DC135" s="70"/>
      <c r="DD135" s="70"/>
      <c r="DI135" s="73"/>
      <c r="DJ135" s="73"/>
      <c r="DK135" s="73"/>
      <c r="DL135" s="73"/>
      <c r="DM135" s="73"/>
      <c r="DN135" s="73"/>
      <c r="DO135" s="73"/>
      <c r="DP135" s="73"/>
      <c r="DQ135" s="73"/>
      <c r="DR135" s="73"/>
      <c r="DS135" s="73"/>
    </row>
    <row r="136" spans="1:123" ht="24.95" customHeight="1">
      <c r="A136" s="68"/>
      <c r="D136" s="69"/>
      <c r="E136" s="69"/>
      <c r="F136" s="69"/>
      <c r="G136" s="70"/>
      <c r="H136" s="70"/>
      <c r="I136" s="70"/>
      <c r="J136" s="70"/>
      <c r="N136" s="70"/>
      <c r="O136" s="69"/>
      <c r="S136" s="70"/>
      <c r="T136" s="69"/>
      <c r="V136" s="72" t="str">
        <f t="shared" si="6"/>
        <v/>
      </c>
      <c r="W136" s="72" t="str">
        <f t="shared" si="7"/>
        <v/>
      </c>
      <c r="X136" s="72" t="str">
        <f t="shared" si="8"/>
        <v/>
      </c>
      <c r="AD136" s="70"/>
      <c r="AE136" s="70"/>
      <c r="AF136" s="70"/>
      <c r="AH136" s="70"/>
      <c r="AJ136" s="70"/>
      <c r="AN136" s="70"/>
      <c r="AO136" s="70"/>
      <c r="AP136" s="70"/>
      <c r="AR136" s="70"/>
      <c r="AT136" s="70"/>
      <c r="AX136" s="70"/>
      <c r="AY136" s="70"/>
      <c r="AZ136" s="70"/>
      <c r="BB136" s="70"/>
      <c r="BD136" s="70"/>
      <c r="BE136" s="70"/>
      <c r="BF136" s="70"/>
      <c r="BK136" s="70"/>
      <c r="BM136" s="70"/>
      <c r="BN136" s="70"/>
      <c r="BP136" s="70"/>
      <c r="BQ136" s="70"/>
      <c r="BR136" s="70"/>
      <c r="BT136" s="70"/>
      <c r="BU136" s="70"/>
      <c r="BV136" s="70"/>
      <c r="BW136" s="70"/>
      <c r="BX136" s="70"/>
      <c r="BY136" s="70"/>
      <c r="BZ136" s="70"/>
      <c r="CA136" s="70"/>
      <c r="CB136" s="70"/>
      <c r="CC136" s="70"/>
      <c r="CD136" s="70"/>
      <c r="CE136" s="70"/>
      <c r="CF136" s="70"/>
      <c r="CJ136" s="70"/>
      <c r="CK136" s="70"/>
      <c r="CL136" s="70"/>
      <c r="CM136" s="70"/>
      <c r="CO136" s="70"/>
      <c r="CQ136" s="70"/>
      <c r="CS136" s="70"/>
      <c r="CT136" s="70"/>
      <c r="CU136" s="70"/>
      <c r="CW136" s="70"/>
      <c r="CX136" s="70"/>
      <c r="CY136" s="70"/>
      <c r="CZ136" s="70"/>
      <c r="DC136" s="70"/>
      <c r="DD136" s="70"/>
      <c r="DI136" s="73"/>
      <c r="DJ136" s="73"/>
      <c r="DK136" s="73"/>
      <c r="DL136" s="73"/>
      <c r="DM136" s="73"/>
      <c r="DN136" s="73"/>
      <c r="DO136" s="73"/>
      <c r="DP136" s="73"/>
      <c r="DQ136" s="73"/>
      <c r="DR136" s="73"/>
      <c r="DS136" s="73"/>
    </row>
    <row r="137" spans="1:123" ht="24.95" customHeight="1">
      <c r="A137" s="68"/>
      <c r="D137" s="69"/>
      <c r="E137" s="69"/>
      <c r="F137" s="69"/>
      <c r="G137" s="70"/>
      <c r="H137" s="70"/>
      <c r="I137" s="70"/>
      <c r="J137" s="70"/>
      <c r="N137" s="70"/>
      <c r="O137" s="69"/>
      <c r="S137" s="70"/>
      <c r="T137" s="69"/>
      <c r="V137" s="72" t="str">
        <f t="shared" si="6"/>
        <v/>
      </c>
      <c r="W137" s="72" t="str">
        <f t="shared" si="7"/>
        <v/>
      </c>
      <c r="X137" s="72" t="str">
        <f t="shared" si="8"/>
        <v/>
      </c>
      <c r="AD137" s="70"/>
      <c r="AE137" s="70"/>
      <c r="AF137" s="70"/>
      <c r="AH137" s="70"/>
      <c r="AJ137" s="70"/>
      <c r="AN137" s="70"/>
      <c r="AO137" s="70"/>
      <c r="AP137" s="70"/>
      <c r="AR137" s="70"/>
      <c r="AT137" s="70"/>
      <c r="AX137" s="70"/>
      <c r="AY137" s="70"/>
      <c r="AZ137" s="70"/>
      <c r="BB137" s="70"/>
      <c r="BD137" s="70"/>
      <c r="BE137" s="70"/>
      <c r="BF137" s="70"/>
      <c r="BK137" s="70"/>
      <c r="BM137" s="70"/>
      <c r="BN137" s="70"/>
      <c r="BP137" s="70"/>
      <c r="BQ137" s="70"/>
      <c r="BR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0"/>
      <c r="CD137" s="70"/>
      <c r="CE137" s="70"/>
      <c r="CF137" s="70"/>
      <c r="CJ137" s="70"/>
      <c r="CK137" s="70"/>
      <c r="CL137" s="70"/>
      <c r="CM137" s="70"/>
      <c r="CO137" s="70"/>
      <c r="CQ137" s="70"/>
      <c r="CS137" s="70"/>
      <c r="CT137" s="70"/>
      <c r="CU137" s="70"/>
      <c r="CW137" s="70"/>
      <c r="CX137" s="70"/>
      <c r="CY137" s="70"/>
      <c r="CZ137" s="70"/>
      <c r="DC137" s="70"/>
      <c r="DD137" s="70"/>
      <c r="DI137" s="73"/>
      <c r="DJ137" s="73"/>
      <c r="DK137" s="73"/>
      <c r="DL137" s="73"/>
      <c r="DM137" s="73"/>
      <c r="DN137" s="73"/>
      <c r="DO137" s="73"/>
      <c r="DP137" s="73"/>
      <c r="DQ137" s="73"/>
      <c r="DR137" s="73"/>
      <c r="DS137" s="73"/>
    </row>
    <row r="138" spans="1:123" ht="24.95" customHeight="1">
      <c r="A138" s="68"/>
      <c r="D138" s="69"/>
      <c r="E138" s="69"/>
      <c r="F138" s="69"/>
      <c r="G138" s="70"/>
      <c r="H138" s="70"/>
      <c r="I138" s="70"/>
      <c r="J138" s="70"/>
      <c r="N138" s="70"/>
      <c r="O138" s="69"/>
      <c r="S138" s="70"/>
      <c r="T138" s="69"/>
      <c r="V138" s="72" t="str">
        <f t="shared" si="6"/>
        <v/>
      </c>
      <c r="W138" s="72" t="str">
        <f t="shared" si="7"/>
        <v/>
      </c>
      <c r="X138" s="72" t="str">
        <f t="shared" si="8"/>
        <v/>
      </c>
      <c r="AD138" s="70"/>
      <c r="AE138" s="70"/>
      <c r="AF138" s="70"/>
      <c r="AH138" s="70"/>
      <c r="AJ138" s="70"/>
      <c r="AN138" s="70"/>
      <c r="AO138" s="70"/>
      <c r="AP138" s="70"/>
      <c r="AR138" s="70"/>
      <c r="AT138" s="70"/>
      <c r="AX138" s="70"/>
      <c r="AY138" s="70"/>
      <c r="AZ138" s="70"/>
      <c r="BB138" s="70"/>
      <c r="BD138" s="70"/>
      <c r="BE138" s="70"/>
      <c r="BF138" s="70"/>
      <c r="BK138" s="70"/>
      <c r="BM138" s="70"/>
      <c r="BN138" s="70"/>
      <c r="BP138" s="70"/>
      <c r="BQ138" s="70"/>
      <c r="BR138" s="70"/>
      <c r="BT138" s="70"/>
      <c r="BU138" s="70"/>
      <c r="BV138" s="70"/>
      <c r="BW138" s="70"/>
      <c r="BX138" s="70"/>
      <c r="BY138" s="70"/>
      <c r="BZ138" s="70"/>
      <c r="CA138" s="70"/>
      <c r="CB138" s="70"/>
      <c r="CC138" s="70"/>
      <c r="CD138" s="70"/>
      <c r="CE138" s="70"/>
      <c r="CF138" s="70"/>
      <c r="CJ138" s="70"/>
      <c r="CK138" s="70"/>
      <c r="CL138" s="70"/>
      <c r="CM138" s="70"/>
      <c r="CO138" s="70"/>
      <c r="CQ138" s="70"/>
      <c r="CS138" s="70"/>
      <c r="CT138" s="70"/>
      <c r="CU138" s="70"/>
      <c r="CW138" s="70"/>
      <c r="CX138" s="70"/>
      <c r="CY138" s="70"/>
      <c r="CZ138" s="70"/>
      <c r="DC138" s="70"/>
      <c r="DD138" s="70"/>
      <c r="DI138" s="73"/>
      <c r="DJ138" s="73"/>
      <c r="DK138" s="73"/>
      <c r="DL138" s="73"/>
      <c r="DM138" s="73"/>
      <c r="DN138" s="73"/>
      <c r="DO138" s="73"/>
      <c r="DP138" s="73"/>
      <c r="DQ138" s="73"/>
      <c r="DR138" s="73"/>
      <c r="DS138" s="73"/>
    </row>
    <row r="139" spans="1:123" ht="24.95" customHeight="1">
      <c r="A139" s="68"/>
      <c r="D139" s="69"/>
      <c r="E139" s="69"/>
      <c r="F139" s="69"/>
      <c r="G139" s="70"/>
      <c r="H139" s="70"/>
      <c r="I139" s="70"/>
      <c r="J139" s="70"/>
      <c r="N139" s="70"/>
      <c r="O139" s="69"/>
      <c r="S139" s="70"/>
      <c r="T139" s="69"/>
      <c r="V139" s="72" t="str">
        <f t="shared" si="6"/>
        <v/>
      </c>
      <c r="W139" s="72" t="str">
        <f t="shared" si="7"/>
        <v/>
      </c>
      <c r="X139" s="72" t="str">
        <f t="shared" si="8"/>
        <v/>
      </c>
      <c r="AD139" s="70"/>
      <c r="AE139" s="70"/>
      <c r="AF139" s="70"/>
      <c r="AH139" s="70"/>
      <c r="AJ139" s="70"/>
      <c r="AN139" s="70"/>
      <c r="AO139" s="70"/>
      <c r="AP139" s="70"/>
      <c r="AR139" s="70"/>
      <c r="AT139" s="70"/>
      <c r="AX139" s="70"/>
      <c r="AY139" s="70"/>
      <c r="AZ139" s="70"/>
      <c r="BB139" s="70"/>
      <c r="BD139" s="70"/>
      <c r="BE139" s="70"/>
      <c r="BF139" s="70"/>
      <c r="BK139" s="70"/>
      <c r="BM139" s="70"/>
      <c r="BN139" s="70"/>
      <c r="BP139" s="70"/>
      <c r="BQ139" s="70"/>
      <c r="BR139" s="70"/>
      <c r="BT139" s="70"/>
      <c r="BU139" s="70"/>
      <c r="BV139" s="70"/>
      <c r="BW139" s="70"/>
      <c r="BX139" s="70"/>
      <c r="BY139" s="70"/>
      <c r="BZ139" s="70"/>
      <c r="CA139" s="70"/>
      <c r="CB139" s="70"/>
      <c r="CC139" s="70"/>
      <c r="CD139" s="70"/>
      <c r="CE139" s="70"/>
      <c r="CF139" s="70"/>
      <c r="CJ139" s="70"/>
      <c r="CK139" s="70"/>
      <c r="CL139" s="70"/>
      <c r="CM139" s="70"/>
      <c r="CO139" s="70"/>
      <c r="CQ139" s="70"/>
      <c r="CS139" s="70"/>
      <c r="CT139" s="70"/>
      <c r="CU139" s="70"/>
      <c r="CW139" s="70"/>
      <c r="CX139" s="70"/>
      <c r="CY139" s="70"/>
      <c r="CZ139" s="70"/>
      <c r="DC139" s="70"/>
      <c r="DD139" s="70"/>
      <c r="DI139" s="73"/>
      <c r="DJ139" s="73"/>
      <c r="DK139" s="73"/>
      <c r="DL139" s="73"/>
      <c r="DM139" s="73"/>
      <c r="DN139" s="73"/>
      <c r="DO139" s="73"/>
      <c r="DP139" s="73"/>
      <c r="DQ139" s="73"/>
      <c r="DR139" s="73"/>
      <c r="DS139" s="73"/>
    </row>
    <row r="140" spans="1:123" ht="24.95" customHeight="1">
      <c r="A140" s="68"/>
      <c r="D140" s="69"/>
      <c r="E140" s="69"/>
      <c r="F140" s="69"/>
      <c r="G140" s="70"/>
      <c r="H140" s="70"/>
      <c r="I140" s="70"/>
      <c r="J140" s="70"/>
      <c r="N140" s="70"/>
      <c r="O140" s="69"/>
      <c r="S140" s="70"/>
      <c r="T140" s="69"/>
      <c r="V140" s="72" t="str">
        <f t="shared" si="6"/>
        <v/>
      </c>
      <c r="W140" s="72" t="str">
        <f t="shared" si="7"/>
        <v/>
      </c>
      <c r="X140" s="72" t="str">
        <f t="shared" si="8"/>
        <v/>
      </c>
      <c r="AD140" s="70"/>
      <c r="AE140" s="70"/>
      <c r="AF140" s="70"/>
      <c r="AH140" s="70"/>
      <c r="AJ140" s="70"/>
      <c r="AN140" s="70"/>
      <c r="AO140" s="70"/>
      <c r="AP140" s="70"/>
      <c r="AR140" s="70"/>
      <c r="AT140" s="70"/>
      <c r="AX140" s="70"/>
      <c r="AY140" s="70"/>
      <c r="AZ140" s="70"/>
      <c r="BB140" s="70"/>
      <c r="BD140" s="70"/>
      <c r="BE140" s="70"/>
      <c r="BF140" s="70"/>
      <c r="BK140" s="70"/>
      <c r="BM140" s="70"/>
      <c r="BN140" s="70"/>
      <c r="BP140" s="70"/>
      <c r="BQ140" s="70"/>
      <c r="BR140" s="70"/>
      <c r="BT140" s="70"/>
      <c r="BU140" s="70"/>
      <c r="BV140" s="70"/>
      <c r="BW140" s="70"/>
      <c r="BX140" s="70"/>
      <c r="BY140" s="70"/>
      <c r="BZ140" s="70"/>
      <c r="CA140" s="70"/>
      <c r="CB140" s="70"/>
      <c r="CC140" s="70"/>
      <c r="CD140" s="70"/>
      <c r="CE140" s="70"/>
      <c r="CF140" s="70"/>
      <c r="CJ140" s="70"/>
      <c r="CK140" s="70"/>
      <c r="CL140" s="70"/>
      <c r="CM140" s="70"/>
      <c r="CO140" s="70"/>
      <c r="CQ140" s="70"/>
      <c r="CS140" s="70"/>
      <c r="CT140" s="70"/>
      <c r="CU140" s="70"/>
      <c r="CW140" s="70"/>
      <c r="CX140" s="70"/>
      <c r="CY140" s="70"/>
      <c r="CZ140" s="70"/>
      <c r="DC140" s="70"/>
      <c r="DD140" s="70"/>
      <c r="DI140" s="73"/>
      <c r="DJ140" s="73"/>
      <c r="DK140" s="73"/>
      <c r="DL140" s="73"/>
      <c r="DM140" s="73"/>
      <c r="DN140" s="73"/>
      <c r="DO140" s="73"/>
      <c r="DP140" s="73"/>
      <c r="DQ140" s="73"/>
      <c r="DR140" s="73"/>
      <c r="DS140" s="73"/>
    </row>
    <row r="141" spans="1:123" ht="24.95" customHeight="1">
      <c r="A141" s="68"/>
      <c r="D141" s="69"/>
      <c r="E141" s="69"/>
      <c r="F141" s="69"/>
      <c r="G141" s="70"/>
      <c r="H141" s="70"/>
      <c r="I141" s="70"/>
      <c r="J141" s="70"/>
      <c r="N141" s="70"/>
      <c r="O141" s="69"/>
      <c r="S141" s="70"/>
      <c r="T141" s="69"/>
      <c r="V141" s="72" t="str">
        <f t="shared" si="6"/>
        <v/>
      </c>
      <c r="W141" s="72" t="str">
        <f t="shared" si="7"/>
        <v/>
      </c>
      <c r="X141" s="72" t="str">
        <f t="shared" si="8"/>
        <v/>
      </c>
      <c r="AD141" s="70"/>
      <c r="AE141" s="70"/>
      <c r="AF141" s="70"/>
      <c r="AH141" s="70"/>
      <c r="AJ141" s="70"/>
      <c r="AN141" s="70"/>
      <c r="AO141" s="70"/>
      <c r="AP141" s="70"/>
      <c r="AR141" s="70"/>
      <c r="AT141" s="70"/>
      <c r="AX141" s="70"/>
      <c r="AY141" s="70"/>
      <c r="AZ141" s="70"/>
      <c r="BB141" s="70"/>
      <c r="BD141" s="70"/>
      <c r="BE141" s="70"/>
      <c r="BF141" s="70"/>
      <c r="BK141" s="70"/>
      <c r="BM141" s="70"/>
      <c r="BN141" s="70"/>
      <c r="BP141" s="70"/>
      <c r="BQ141" s="70"/>
      <c r="BR141" s="70"/>
      <c r="BT141" s="70"/>
      <c r="BU141" s="70"/>
      <c r="BV141" s="70"/>
      <c r="BW141" s="70"/>
      <c r="BX141" s="70"/>
      <c r="BY141" s="70"/>
      <c r="BZ141" s="70"/>
      <c r="CA141" s="70"/>
      <c r="CB141" s="70"/>
      <c r="CC141" s="70"/>
      <c r="CD141" s="70"/>
      <c r="CE141" s="70"/>
      <c r="CF141" s="70"/>
      <c r="CJ141" s="70"/>
      <c r="CK141" s="70"/>
      <c r="CL141" s="70"/>
      <c r="CM141" s="70"/>
      <c r="CO141" s="70"/>
      <c r="CQ141" s="70"/>
      <c r="CS141" s="70"/>
      <c r="CT141" s="70"/>
      <c r="CU141" s="70"/>
      <c r="CW141" s="70"/>
      <c r="CX141" s="70"/>
      <c r="CY141" s="70"/>
      <c r="CZ141" s="70"/>
      <c r="DC141" s="70"/>
      <c r="DD141" s="70"/>
      <c r="DI141" s="73"/>
      <c r="DJ141" s="73"/>
      <c r="DK141" s="73"/>
      <c r="DL141" s="73"/>
      <c r="DM141" s="73"/>
      <c r="DN141" s="73"/>
      <c r="DO141" s="73"/>
      <c r="DP141" s="73"/>
      <c r="DQ141" s="73"/>
      <c r="DR141" s="73"/>
      <c r="DS141" s="73"/>
    </row>
    <row r="142" spans="1:123" ht="24.95" customHeight="1">
      <c r="A142" s="68"/>
      <c r="D142" s="69"/>
      <c r="E142" s="69"/>
      <c r="F142" s="69"/>
      <c r="G142" s="70"/>
      <c r="H142" s="70"/>
      <c r="I142" s="70"/>
      <c r="J142" s="70"/>
      <c r="N142" s="70"/>
      <c r="O142" s="69"/>
      <c r="S142" s="70"/>
      <c r="T142" s="69"/>
      <c r="V142" s="72" t="str">
        <f t="shared" si="6"/>
        <v/>
      </c>
      <c r="W142" s="72" t="str">
        <f t="shared" si="7"/>
        <v/>
      </c>
      <c r="X142" s="72" t="str">
        <f t="shared" si="8"/>
        <v/>
      </c>
      <c r="AD142" s="70"/>
      <c r="AE142" s="70"/>
      <c r="AF142" s="70"/>
      <c r="AH142" s="70"/>
      <c r="AJ142" s="70"/>
      <c r="AN142" s="70"/>
      <c r="AO142" s="70"/>
      <c r="AP142" s="70"/>
      <c r="AR142" s="70"/>
      <c r="AT142" s="70"/>
      <c r="AX142" s="70"/>
      <c r="AY142" s="70"/>
      <c r="AZ142" s="70"/>
      <c r="BB142" s="70"/>
      <c r="BD142" s="70"/>
      <c r="BE142" s="70"/>
      <c r="BF142" s="70"/>
      <c r="BK142" s="70"/>
      <c r="BM142" s="70"/>
      <c r="BN142" s="70"/>
      <c r="BP142" s="70"/>
      <c r="BQ142" s="70"/>
      <c r="BR142" s="70"/>
      <c r="BT142" s="70"/>
      <c r="BU142" s="70"/>
      <c r="BV142" s="70"/>
      <c r="BW142" s="70"/>
      <c r="BX142" s="70"/>
      <c r="BY142" s="70"/>
      <c r="BZ142" s="70"/>
      <c r="CA142" s="70"/>
      <c r="CB142" s="70"/>
      <c r="CC142" s="70"/>
      <c r="CD142" s="70"/>
      <c r="CE142" s="70"/>
      <c r="CF142" s="70"/>
      <c r="CJ142" s="70"/>
      <c r="CK142" s="70"/>
      <c r="CL142" s="70"/>
      <c r="CM142" s="70"/>
      <c r="CO142" s="70"/>
      <c r="CQ142" s="70"/>
      <c r="CS142" s="70"/>
      <c r="CT142" s="70"/>
      <c r="CU142" s="70"/>
      <c r="CW142" s="70"/>
      <c r="CX142" s="70"/>
      <c r="CY142" s="70"/>
      <c r="CZ142" s="70"/>
      <c r="DC142" s="70"/>
      <c r="DD142" s="70"/>
      <c r="DI142" s="73"/>
      <c r="DJ142" s="73"/>
      <c r="DK142" s="73"/>
      <c r="DL142" s="73"/>
      <c r="DM142" s="73"/>
      <c r="DN142" s="73"/>
      <c r="DO142" s="73"/>
      <c r="DP142" s="73"/>
      <c r="DQ142" s="73"/>
      <c r="DR142" s="73"/>
      <c r="DS142" s="73"/>
    </row>
    <row r="143" spans="1:123" ht="24.95" customHeight="1">
      <c r="A143" s="68"/>
      <c r="D143" s="69"/>
      <c r="E143" s="69"/>
      <c r="F143" s="69"/>
      <c r="G143" s="70"/>
      <c r="H143" s="70"/>
      <c r="I143" s="70"/>
      <c r="J143" s="70"/>
      <c r="N143" s="70"/>
      <c r="O143" s="69"/>
      <c r="S143" s="70"/>
      <c r="T143" s="69"/>
      <c r="V143" s="72" t="str">
        <f t="shared" si="6"/>
        <v/>
      </c>
      <c r="W143" s="72" t="str">
        <f t="shared" si="7"/>
        <v/>
      </c>
      <c r="X143" s="72" t="str">
        <f t="shared" si="8"/>
        <v/>
      </c>
      <c r="AD143" s="70"/>
      <c r="AE143" s="70"/>
      <c r="AF143" s="70"/>
      <c r="AH143" s="70"/>
      <c r="AJ143" s="70"/>
      <c r="AN143" s="70"/>
      <c r="AO143" s="70"/>
      <c r="AP143" s="70"/>
      <c r="AR143" s="70"/>
      <c r="AT143" s="70"/>
      <c r="AX143" s="70"/>
      <c r="AY143" s="70"/>
      <c r="AZ143" s="70"/>
      <c r="BB143" s="70"/>
      <c r="BD143" s="70"/>
      <c r="BE143" s="70"/>
      <c r="BF143" s="70"/>
      <c r="BK143" s="70"/>
      <c r="BM143" s="70"/>
      <c r="BN143" s="70"/>
      <c r="BP143" s="70"/>
      <c r="BQ143" s="70"/>
      <c r="BR143" s="70"/>
      <c r="BT143" s="70"/>
      <c r="BU143" s="70"/>
      <c r="BV143" s="70"/>
      <c r="BW143" s="70"/>
      <c r="BX143" s="70"/>
      <c r="BY143" s="70"/>
      <c r="BZ143" s="70"/>
      <c r="CA143" s="70"/>
      <c r="CB143" s="70"/>
      <c r="CC143" s="70"/>
      <c r="CD143" s="70"/>
      <c r="CE143" s="70"/>
      <c r="CF143" s="70"/>
      <c r="CJ143" s="70"/>
      <c r="CK143" s="70"/>
      <c r="CL143" s="70"/>
      <c r="CM143" s="70"/>
      <c r="CO143" s="70"/>
      <c r="CQ143" s="70"/>
      <c r="CS143" s="70"/>
      <c r="CT143" s="70"/>
      <c r="CU143" s="70"/>
      <c r="CW143" s="70"/>
      <c r="CX143" s="70"/>
      <c r="CY143" s="70"/>
      <c r="CZ143" s="70"/>
      <c r="DC143" s="70"/>
      <c r="DD143" s="70"/>
      <c r="DI143" s="73"/>
      <c r="DJ143" s="73"/>
      <c r="DK143" s="73"/>
      <c r="DL143" s="73"/>
      <c r="DM143" s="73"/>
      <c r="DN143" s="73"/>
      <c r="DO143" s="73"/>
      <c r="DP143" s="73"/>
      <c r="DQ143" s="73"/>
      <c r="DR143" s="73"/>
      <c r="DS143" s="73"/>
    </row>
    <row r="144" spans="1:123" ht="24.95" customHeight="1">
      <c r="A144" s="68"/>
      <c r="D144" s="69"/>
      <c r="E144" s="69"/>
      <c r="F144" s="69"/>
      <c r="G144" s="70"/>
      <c r="H144" s="70"/>
      <c r="I144" s="70"/>
      <c r="J144" s="70"/>
      <c r="N144" s="70"/>
      <c r="O144" s="69"/>
      <c r="S144" s="70"/>
      <c r="T144" s="69"/>
      <c r="V144" s="72" t="str">
        <f t="shared" si="6"/>
        <v/>
      </c>
      <c r="W144" s="72" t="str">
        <f t="shared" si="7"/>
        <v/>
      </c>
      <c r="X144" s="72" t="str">
        <f t="shared" si="8"/>
        <v/>
      </c>
      <c r="AD144" s="70"/>
      <c r="AE144" s="70"/>
      <c r="AF144" s="70"/>
      <c r="AH144" s="70"/>
      <c r="AJ144" s="70"/>
      <c r="AN144" s="70"/>
      <c r="AO144" s="70"/>
      <c r="AP144" s="70"/>
      <c r="AR144" s="70"/>
      <c r="AT144" s="70"/>
      <c r="AX144" s="70"/>
      <c r="AY144" s="70"/>
      <c r="AZ144" s="70"/>
      <c r="BB144" s="70"/>
      <c r="BD144" s="70"/>
      <c r="BE144" s="70"/>
      <c r="BF144" s="70"/>
      <c r="BK144" s="70"/>
      <c r="BM144" s="70"/>
      <c r="BN144" s="70"/>
      <c r="BP144" s="70"/>
      <c r="BQ144" s="70"/>
      <c r="BR144" s="70"/>
      <c r="BT144" s="70"/>
      <c r="BU144" s="70"/>
      <c r="BV144" s="70"/>
      <c r="BW144" s="70"/>
      <c r="BX144" s="70"/>
      <c r="BY144" s="70"/>
      <c r="BZ144" s="70"/>
      <c r="CA144" s="70"/>
      <c r="CB144" s="70"/>
      <c r="CC144" s="70"/>
      <c r="CD144" s="70"/>
      <c r="CE144" s="70"/>
      <c r="CF144" s="70"/>
      <c r="CJ144" s="70"/>
      <c r="CK144" s="70"/>
      <c r="CL144" s="70"/>
      <c r="CM144" s="70"/>
      <c r="CO144" s="70"/>
      <c r="CQ144" s="70"/>
      <c r="CS144" s="70"/>
      <c r="CT144" s="70"/>
      <c r="CU144" s="70"/>
      <c r="CW144" s="70"/>
      <c r="CX144" s="70"/>
      <c r="CY144" s="70"/>
      <c r="CZ144" s="70"/>
      <c r="DC144" s="70"/>
      <c r="DD144" s="70"/>
      <c r="DI144" s="73"/>
      <c r="DJ144" s="73"/>
      <c r="DK144" s="73"/>
      <c r="DL144" s="73"/>
      <c r="DM144" s="73"/>
      <c r="DN144" s="73"/>
      <c r="DO144" s="73"/>
      <c r="DP144" s="73"/>
      <c r="DQ144" s="73"/>
      <c r="DR144" s="73"/>
      <c r="DS144" s="73"/>
    </row>
    <row r="145" spans="1:123" ht="24.95" customHeight="1">
      <c r="A145" s="68"/>
      <c r="D145" s="69"/>
      <c r="E145" s="69"/>
      <c r="F145" s="69"/>
      <c r="G145" s="70"/>
      <c r="H145" s="70"/>
      <c r="I145" s="70"/>
      <c r="J145" s="70"/>
      <c r="N145" s="70"/>
      <c r="O145" s="69"/>
      <c r="S145" s="70"/>
      <c r="T145" s="69"/>
      <c r="V145" s="72" t="str">
        <f t="shared" si="6"/>
        <v/>
      </c>
      <c r="W145" s="72" t="str">
        <f t="shared" si="7"/>
        <v/>
      </c>
      <c r="X145" s="72" t="str">
        <f t="shared" si="8"/>
        <v/>
      </c>
      <c r="AD145" s="70"/>
      <c r="AE145" s="70"/>
      <c r="AF145" s="70"/>
      <c r="AH145" s="70"/>
      <c r="AJ145" s="70"/>
      <c r="AN145" s="70"/>
      <c r="AO145" s="70"/>
      <c r="AP145" s="70"/>
      <c r="AR145" s="70"/>
      <c r="AT145" s="70"/>
      <c r="AX145" s="70"/>
      <c r="AY145" s="70"/>
      <c r="AZ145" s="70"/>
      <c r="BB145" s="70"/>
      <c r="BD145" s="70"/>
      <c r="BE145" s="70"/>
      <c r="BF145" s="70"/>
      <c r="BK145" s="70"/>
      <c r="BM145" s="70"/>
      <c r="BN145" s="70"/>
      <c r="BP145" s="70"/>
      <c r="BQ145" s="70"/>
      <c r="BR145" s="70"/>
      <c r="BT145" s="70"/>
      <c r="BU145" s="70"/>
      <c r="BV145" s="70"/>
      <c r="BW145" s="70"/>
      <c r="BX145" s="70"/>
      <c r="BY145" s="70"/>
      <c r="BZ145" s="70"/>
      <c r="CA145" s="70"/>
      <c r="CB145" s="70"/>
      <c r="CC145" s="70"/>
      <c r="CD145" s="70"/>
      <c r="CE145" s="70"/>
      <c r="CF145" s="70"/>
      <c r="CJ145" s="70"/>
      <c r="CK145" s="70"/>
      <c r="CL145" s="70"/>
      <c r="CM145" s="70"/>
      <c r="CO145" s="70"/>
      <c r="CQ145" s="70"/>
      <c r="CS145" s="70"/>
      <c r="CT145" s="70"/>
      <c r="CU145" s="70"/>
      <c r="CW145" s="70"/>
      <c r="CX145" s="70"/>
      <c r="CY145" s="70"/>
      <c r="CZ145" s="70"/>
      <c r="DC145" s="70"/>
      <c r="DD145" s="70"/>
      <c r="DI145" s="73"/>
      <c r="DJ145" s="73"/>
      <c r="DK145" s="73"/>
      <c r="DL145" s="73"/>
      <c r="DM145" s="73"/>
      <c r="DN145" s="73"/>
      <c r="DO145" s="73"/>
      <c r="DP145" s="73"/>
      <c r="DQ145" s="73"/>
      <c r="DR145" s="73"/>
      <c r="DS145" s="73"/>
    </row>
    <row r="146" spans="1:123" ht="24.95" customHeight="1">
      <c r="A146" s="68"/>
      <c r="D146" s="69"/>
      <c r="E146" s="69"/>
      <c r="F146" s="69"/>
      <c r="G146" s="70"/>
      <c r="H146" s="70"/>
      <c r="I146" s="70"/>
      <c r="J146" s="70"/>
      <c r="N146" s="70"/>
      <c r="O146" s="69"/>
      <c r="S146" s="70"/>
      <c r="T146" s="69"/>
      <c r="V146" s="72" t="str">
        <f t="shared" si="6"/>
        <v/>
      </c>
      <c r="W146" s="72" t="str">
        <f t="shared" si="7"/>
        <v/>
      </c>
      <c r="X146" s="72" t="str">
        <f t="shared" si="8"/>
        <v/>
      </c>
      <c r="AD146" s="70"/>
      <c r="AE146" s="70"/>
      <c r="AF146" s="70"/>
      <c r="AH146" s="70"/>
      <c r="AJ146" s="70"/>
      <c r="AN146" s="70"/>
      <c r="AO146" s="70"/>
      <c r="AP146" s="70"/>
      <c r="AR146" s="70"/>
      <c r="AT146" s="70"/>
      <c r="AX146" s="70"/>
      <c r="AY146" s="70"/>
      <c r="AZ146" s="70"/>
      <c r="BB146" s="70"/>
      <c r="BD146" s="70"/>
      <c r="BE146" s="70"/>
      <c r="BF146" s="70"/>
      <c r="BK146" s="70"/>
      <c r="BM146" s="70"/>
      <c r="BN146" s="70"/>
      <c r="BP146" s="70"/>
      <c r="BQ146" s="70"/>
      <c r="BR146" s="70"/>
      <c r="BT146" s="70"/>
      <c r="BU146" s="70"/>
      <c r="BV146" s="70"/>
      <c r="BW146" s="70"/>
      <c r="BX146" s="70"/>
      <c r="BY146" s="70"/>
      <c r="BZ146" s="70"/>
      <c r="CA146" s="70"/>
      <c r="CB146" s="70"/>
      <c r="CC146" s="70"/>
      <c r="CD146" s="70"/>
      <c r="CE146" s="70"/>
      <c r="CF146" s="70"/>
      <c r="CJ146" s="70"/>
      <c r="CK146" s="70"/>
      <c r="CL146" s="70"/>
      <c r="CM146" s="70"/>
      <c r="CO146" s="70"/>
      <c r="CQ146" s="70"/>
      <c r="CS146" s="70"/>
      <c r="CT146" s="70"/>
      <c r="CU146" s="70"/>
      <c r="CW146" s="70"/>
      <c r="CX146" s="70"/>
      <c r="CY146" s="70"/>
      <c r="CZ146" s="70"/>
      <c r="DC146" s="70"/>
      <c r="DD146" s="70"/>
      <c r="DI146" s="73"/>
      <c r="DJ146" s="73"/>
      <c r="DK146" s="73"/>
      <c r="DL146" s="73"/>
      <c r="DM146" s="73"/>
      <c r="DN146" s="73"/>
      <c r="DO146" s="73"/>
      <c r="DP146" s="73"/>
      <c r="DQ146" s="73"/>
      <c r="DR146" s="73"/>
      <c r="DS146" s="73"/>
    </row>
    <row r="147" spans="1:123" ht="24.95" customHeight="1">
      <c r="A147" s="68"/>
      <c r="D147" s="69"/>
      <c r="E147" s="69"/>
      <c r="F147" s="69"/>
      <c r="G147" s="70"/>
      <c r="H147" s="70"/>
      <c r="I147" s="70"/>
      <c r="J147" s="70"/>
      <c r="N147" s="70"/>
      <c r="O147" s="69"/>
      <c r="S147" s="70"/>
      <c r="T147" s="69"/>
      <c r="V147" s="72" t="str">
        <f t="shared" si="6"/>
        <v/>
      </c>
      <c r="W147" s="72" t="str">
        <f t="shared" si="7"/>
        <v/>
      </c>
      <c r="X147" s="72" t="str">
        <f t="shared" si="8"/>
        <v/>
      </c>
      <c r="AD147" s="70"/>
      <c r="AE147" s="70"/>
      <c r="AF147" s="70"/>
      <c r="AH147" s="70"/>
      <c r="AJ147" s="70"/>
      <c r="AN147" s="70"/>
      <c r="AO147" s="70"/>
      <c r="AP147" s="70"/>
      <c r="AR147" s="70"/>
      <c r="AT147" s="70"/>
      <c r="AX147" s="70"/>
      <c r="AY147" s="70"/>
      <c r="AZ147" s="70"/>
      <c r="BB147" s="70"/>
      <c r="BD147" s="70"/>
      <c r="BE147" s="70"/>
      <c r="BF147" s="70"/>
      <c r="BK147" s="70"/>
      <c r="BM147" s="70"/>
      <c r="BN147" s="70"/>
      <c r="BP147" s="70"/>
      <c r="BQ147" s="70"/>
      <c r="BR147" s="70"/>
      <c r="BT147" s="70"/>
      <c r="BU147" s="70"/>
      <c r="BV147" s="70"/>
      <c r="BW147" s="70"/>
      <c r="BX147" s="70"/>
      <c r="BY147" s="70"/>
      <c r="BZ147" s="70"/>
      <c r="CA147" s="70"/>
      <c r="CB147" s="70"/>
      <c r="CC147" s="70"/>
      <c r="CD147" s="70"/>
      <c r="CE147" s="70"/>
      <c r="CF147" s="70"/>
      <c r="CJ147" s="70"/>
      <c r="CK147" s="70"/>
      <c r="CL147" s="70"/>
      <c r="CM147" s="70"/>
      <c r="CO147" s="70"/>
      <c r="CQ147" s="70"/>
      <c r="CS147" s="70"/>
      <c r="CT147" s="70"/>
      <c r="CU147" s="70"/>
      <c r="CW147" s="70"/>
      <c r="CX147" s="70"/>
      <c r="CY147" s="70"/>
      <c r="CZ147" s="70"/>
      <c r="DC147" s="70"/>
      <c r="DD147" s="70"/>
      <c r="DI147" s="73"/>
      <c r="DJ147" s="73"/>
      <c r="DK147" s="73"/>
      <c r="DL147" s="73"/>
      <c r="DM147" s="73"/>
      <c r="DN147" s="73"/>
      <c r="DO147" s="73"/>
      <c r="DP147" s="73"/>
      <c r="DQ147" s="73"/>
      <c r="DR147" s="73"/>
      <c r="DS147" s="73"/>
    </row>
    <row r="148" spans="1:123" ht="24.95" customHeight="1">
      <c r="A148" s="68"/>
      <c r="D148" s="69"/>
      <c r="E148" s="69"/>
      <c r="F148" s="69"/>
      <c r="G148" s="70"/>
      <c r="H148" s="70"/>
      <c r="I148" s="70"/>
      <c r="J148" s="70"/>
      <c r="N148" s="70"/>
      <c r="O148" s="69"/>
      <c r="S148" s="70"/>
      <c r="T148" s="69"/>
      <c r="V148" s="72" t="str">
        <f t="shared" si="6"/>
        <v/>
      </c>
      <c r="W148" s="72" t="str">
        <f t="shared" si="7"/>
        <v/>
      </c>
      <c r="X148" s="72" t="str">
        <f t="shared" si="8"/>
        <v/>
      </c>
      <c r="AD148" s="70"/>
      <c r="AE148" s="70"/>
      <c r="AF148" s="70"/>
      <c r="AH148" s="70"/>
      <c r="AJ148" s="70"/>
      <c r="AN148" s="70"/>
      <c r="AO148" s="70"/>
      <c r="AP148" s="70"/>
      <c r="AR148" s="70"/>
      <c r="AT148" s="70"/>
      <c r="AX148" s="70"/>
      <c r="AY148" s="70"/>
      <c r="AZ148" s="70"/>
      <c r="BB148" s="70"/>
      <c r="BD148" s="70"/>
      <c r="BE148" s="70"/>
      <c r="BF148" s="70"/>
      <c r="BK148" s="70"/>
      <c r="BM148" s="70"/>
      <c r="BN148" s="70"/>
      <c r="BP148" s="70"/>
      <c r="BQ148" s="70"/>
      <c r="BR148" s="70"/>
      <c r="BT148" s="70"/>
      <c r="BU148" s="70"/>
      <c r="BV148" s="70"/>
      <c r="BW148" s="70"/>
      <c r="BX148" s="70"/>
      <c r="BY148" s="70"/>
      <c r="BZ148" s="70"/>
      <c r="CA148" s="70"/>
      <c r="CB148" s="70"/>
      <c r="CC148" s="70"/>
      <c r="CD148" s="70"/>
      <c r="CE148" s="70"/>
      <c r="CF148" s="70"/>
      <c r="CJ148" s="70"/>
      <c r="CK148" s="70"/>
      <c r="CL148" s="70"/>
      <c r="CM148" s="70"/>
      <c r="CO148" s="70"/>
      <c r="CQ148" s="70"/>
      <c r="CS148" s="70"/>
      <c r="CT148" s="70"/>
      <c r="CU148" s="70"/>
      <c r="CW148" s="70"/>
      <c r="CX148" s="70"/>
      <c r="CY148" s="70"/>
      <c r="CZ148" s="70"/>
      <c r="DC148" s="70"/>
      <c r="DD148" s="70"/>
      <c r="DI148" s="73"/>
      <c r="DJ148" s="73"/>
      <c r="DK148" s="73"/>
      <c r="DL148" s="73"/>
      <c r="DM148" s="73"/>
      <c r="DN148" s="73"/>
      <c r="DO148" s="73"/>
      <c r="DP148" s="73"/>
      <c r="DQ148" s="73"/>
      <c r="DR148" s="73"/>
      <c r="DS148" s="73"/>
    </row>
    <row r="149" spans="1:123" ht="24.95" customHeight="1">
      <c r="A149" s="68"/>
      <c r="D149" s="69"/>
      <c r="E149" s="69"/>
      <c r="F149" s="69"/>
      <c r="G149" s="70"/>
      <c r="H149" s="70"/>
      <c r="I149" s="70"/>
      <c r="J149" s="70"/>
      <c r="N149" s="70"/>
      <c r="O149" s="69"/>
      <c r="S149" s="70"/>
      <c r="T149" s="69"/>
      <c r="V149" s="72" t="str">
        <f t="shared" si="6"/>
        <v/>
      </c>
      <c r="W149" s="72" t="str">
        <f t="shared" si="7"/>
        <v/>
      </c>
      <c r="X149" s="72" t="str">
        <f t="shared" si="8"/>
        <v/>
      </c>
      <c r="AD149" s="70"/>
      <c r="AE149" s="70"/>
      <c r="AF149" s="70"/>
      <c r="AH149" s="70"/>
      <c r="AJ149" s="70"/>
      <c r="AN149" s="70"/>
      <c r="AO149" s="70"/>
      <c r="AP149" s="70"/>
      <c r="AR149" s="70"/>
      <c r="AT149" s="70"/>
      <c r="AX149" s="70"/>
      <c r="AY149" s="70"/>
      <c r="AZ149" s="70"/>
      <c r="BB149" s="70"/>
      <c r="BD149" s="70"/>
      <c r="BE149" s="70"/>
      <c r="BF149" s="70"/>
      <c r="BK149" s="70"/>
      <c r="BM149" s="70"/>
      <c r="BN149" s="70"/>
      <c r="BP149" s="70"/>
      <c r="BQ149" s="70"/>
      <c r="BR149" s="70"/>
      <c r="BT149" s="70"/>
      <c r="BU149" s="70"/>
      <c r="BV149" s="70"/>
      <c r="BW149" s="70"/>
      <c r="BX149" s="70"/>
      <c r="BY149" s="70"/>
      <c r="BZ149" s="70"/>
      <c r="CA149" s="70"/>
      <c r="CB149" s="70"/>
      <c r="CC149" s="70"/>
      <c r="CD149" s="70"/>
      <c r="CE149" s="70"/>
      <c r="CF149" s="70"/>
      <c r="CJ149" s="70"/>
      <c r="CK149" s="70"/>
      <c r="CL149" s="70"/>
      <c r="CM149" s="70"/>
      <c r="CO149" s="70"/>
      <c r="CQ149" s="70"/>
      <c r="CS149" s="70"/>
      <c r="CT149" s="70"/>
      <c r="CU149" s="70"/>
      <c r="CW149" s="70"/>
      <c r="CX149" s="70"/>
      <c r="CY149" s="70"/>
      <c r="CZ149" s="70"/>
      <c r="DC149" s="70"/>
      <c r="DD149" s="70"/>
      <c r="DI149" s="73"/>
      <c r="DJ149" s="73"/>
      <c r="DK149" s="73"/>
      <c r="DL149" s="73"/>
      <c r="DM149" s="73"/>
      <c r="DN149" s="73"/>
      <c r="DO149" s="73"/>
      <c r="DP149" s="73"/>
      <c r="DQ149" s="73"/>
      <c r="DR149" s="73"/>
      <c r="DS149" s="73"/>
    </row>
    <row r="150" spans="1:123" ht="24.95" customHeight="1">
      <c r="A150" s="68"/>
      <c r="D150" s="69"/>
      <c r="E150" s="69"/>
      <c r="F150" s="69"/>
      <c r="G150" s="70"/>
      <c r="H150" s="70"/>
      <c r="I150" s="70"/>
      <c r="J150" s="70"/>
      <c r="N150" s="70"/>
      <c r="O150" s="69"/>
      <c r="S150" s="70"/>
      <c r="T150" s="69"/>
      <c r="V150" s="72" t="str">
        <f t="shared" si="6"/>
        <v/>
      </c>
      <c r="W150" s="72" t="str">
        <f t="shared" si="7"/>
        <v/>
      </c>
      <c r="X150" s="72" t="str">
        <f t="shared" si="8"/>
        <v/>
      </c>
      <c r="AD150" s="70"/>
      <c r="AE150" s="70"/>
      <c r="AF150" s="70"/>
      <c r="AH150" s="70"/>
      <c r="AJ150" s="70"/>
      <c r="AN150" s="70"/>
      <c r="AO150" s="70"/>
      <c r="AP150" s="70"/>
      <c r="AR150" s="70"/>
      <c r="AT150" s="70"/>
      <c r="AX150" s="70"/>
      <c r="AY150" s="70"/>
      <c r="AZ150" s="70"/>
      <c r="BB150" s="70"/>
      <c r="BD150" s="70"/>
      <c r="BE150" s="70"/>
      <c r="BF150" s="70"/>
      <c r="BK150" s="70"/>
      <c r="BM150" s="70"/>
      <c r="BN150" s="70"/>
      <c r="BP150" s="70"/>
      <c r="BQ150" s="70"/>
      <c r="BR150" s="70"/>
      <c r="BT150" s="70"/>
      <c r="BU150" s="70"/>
      <c r="BV150" s="70"/>
      <c r="BW150" s="70"/>
      <c r="BX150" s="70"/>
      <c r="BY150" s="70"/>
      <c r="BZ150" s="70"/>
      <c r="CA150" s="70"/>
      <c r="CB150" s="70"/>
      <c r="CC150" s="70"/>
      <c r="CD150" s="70"/>
      <c r="CE150" s="70"/>
      <c r="CF150" s="70"/>
      <c r="CJ150" s="70"/>
      <c r="CK150" s="70"/>
      <c r="CL150" s="70"/>
      <c r="CM150" s="70"/>
      <c r="CO150" s="70"/>
      <c r="CQ150" s="70"/>
      <c r="CS150" s="70"/>
      <c r="CT150" s="70"/>
      <c r="CU150" s="70"/>
      <c r="CW150" s="70"/>
      <c r="CX150" s="70"/>
      <c r="CY150" s="70"/>
      <c r="CZ150" s="70"/>
      <c r="DC150" s="70"/>
      <c r="DD150" s="70"/>
      <c r="DI150" s="73"/>
      <c r="DJ150" s="73"/>
      <c r="DK150" s="73"/>
      <c r="DL150" s="73"/>
      <c r="DM150" s="73"/>
      <c r="DN150" s="73"/>
      <c r="DO150" s="73"/>
      <c r="DP150" s="73"/>
      <c r="DQ150" s="73"/>
      <c r="DR150" s="73"/>
      <c r="DS150" s="73"/>
    </row>
    <row r="151" spans="1:123" ht="24.95" customHeight="1">
      <c r="A151" s="68"/>
      <c r="D151" s="69"/>
      <c r="E151" s="69"/>
      <c r="F151" s="69"/>
      <c r="G151" s="70"/>
      <c r="H151" s="70"/>
      <c r="I151" s="70"/>
      <c r="J151" s="70"/>
      <c r="N151" s="70"/>
      <c r="O151" s="69"/>
      <c r="S151" s="70"/>
      <c r="T151" s="69"/>
      <c r="V151" s="72" t="str">
        <f t="shared" si="6"/>
        <v/>
      </c>
      <c r="W151" s="72" t="str">
        <f t="shared" si="7"/>
        <v/>
      </c>
      <c r="X151" s="72" t="str">
        <f t="shared" si="8"/>
        <v/>
      </c>
      <c r="AD151" s="70"/>
      <c r="AE151" s="70"/>
      <c r="AF151" s="70"/>
      <c r="AH151" s="70"/>
      <c r="AJ151" s="70"/>
      <c r="AN151" s="70"/>
      <c r="AO151" s="70"/>
      <c r="AP151" s="70"/>
      <c r="AR151" s="70"/>
      <c r="AT151" s="70"/>
      <c r="AX151" s="70"/>
      <c r="AY151" s="70"/>
      <c r="AZ151" s="70"/>
      <c r="BB151" s="70"/>
      <c r="BD151" s="70"/>
      <c r="BE151" s="70"/>
      <c r="BF151" s="70"/>
      <c r="BK151" s="70"/>
      <c r="BM151" s="70"/>
      <c r="BN151" s="70"/>
      <c r="BP151" s="70"/>
      <c r="BQ151" s="70"/>
      <c r="BR151" s="70"/>
      <c r="BT151" s="70"/>
      <c r="BU151" s="70"/>
      <c r="BV151" s="70"/>
      <c r="BW151" s="70"/>
      <c r="BX151" s="70"/>
      <c r="BY151" s="70"/>
      <c r="BZ151" s="70"/>
      <c r="CA151" s="70"/>
      <c r="CB151" s="70"/>
      <c r="CC151" s="70"/>
      <c r="CD151" s="70"/>
      <c r="CE151" s="70"/>
      <c r="CF151" s="70"/>
      <c r="CJ151" s="70"/>
      <c r="CK151" s="70"/>
      <c r="CL151" s="70"/>
      <c r="CM151" s="70"/>
      <c r="CO151" s="70"/>
      <c r="CQ151" s="70"/>
      <c r="CS151" s="70"/>
      <c r="CT151" s="70"/>
      <c r="CU151" s="70"/>
      <c r="CW151" s="70"/>
      <c r="CX151" s="70"/>
      <c r="CY151" s="70"/>
      <c r="CZ151" s="70"/>
      <c r="DC151" s="70"/>
      <c r="DD151" s="70"/>
      <c r="DI151" s="73"/>
      <c r="DJ151" s="73"/>
      <c r="DK151" s="73"/>
      <c r="DL151" s="73"/>
      <c r="DM151" s="73"/>
      <c r="DN151" s="73"/>
      <c r="DO151" s="73"/>
      <c r="DP151" s="73"/>
      <c r="DQ151" s="73"/>
      <c r="DR151" s="73"/>
      <c r="DS151" s="73"/>
    </row>
    <row r="152" spans="1:123" ht="24.95" customHeight="1">
      <c r="A152" s="68"/>
      <c r="D152" s="69"/>
      <c r="E152" s="69"/>
      <c r="F152" s="69"/>
      <c r="G152" s="70"/>
      <c r="H152" s="70"/>
      <c r="I152" s="70"/>
      <c r="J152" s="70"/>
      <c r="N152" s="70"/>
      <c r="O152" s="69"/>
      <c r="S152" s="70"/>
      <c r="T152" s="69"/>
      <c r="V152" s="72" t="str">
        <f t="shared" si="6"/>
        <v/>
      </c>
      <c r="W152" s="72" t="str">
        <f t="shared" si="7"/>
        <v/>
      </c>
      <c r="X152" s="72" t="str">
        <f t="shared" si="8"/>
        <v/>
      </c>
      <c r="AD152" s="70"/>
      <c r="AE152" s="70"/>
      <c r="AF152" s="70"/>
      <c r="AH152" s="70"/>
      <c r="AJ152" s="70"/>
      <c r="AN152" s="70"/>
      <c r="AO152" s="70"/>
      <c r="AP152" s="70"/>
      <c r="AR152" s="70"/>
      <c r="AT152" s="70"/>
      <c r="AX152" s="70"/>
      <c r="AY152" s="70"/>
      <c r="AZ152" s="70"/>
      <c r="BB152" s="70"/>
      <c r="BD152" s="70"/>
      <c r="BE152" s="70"/>
      <c r="BF152" s="70"/>
      <c r="BK152" s="70"/>
      <c r="BM152" s="70"/>
      <c r="BN152" s="70"/>
      <c r="BP152" s="70"/>
      <c r="BQ152" s="70"/>
      <c r="BR152" s="70"/>
      <c r="BT152" s="70"/>
      <c r="BU152" s="70"/>
      <c r="BV152" s="70"/>
      <c r="BW152" s="70"/>
      <c r="BX152" s="70"/>
      <c r="BY152" s="70"/>
      <c r="BZ152" s="70"/>
      <c r="CA152" s="70"/>
      <c r="CB152" s="70"/>
      <c r="CC152" s="70"/>
      <c r="CD152" s="70"/>
      <c r="CE152" s="70"/>
      <c r="CF152" s="70"/>
      <c r="CJ152" s="70"/>
      <c r="CK152" s="70"/>
      <c r="CL152" s="70"/>
      <c r="CM152" s="70"/>
      <c r="CO152" s="70"/>
      <c r="CQ152" s="70"/>
      <c r="CS152" s="70"/>
      <c r="CT152" s="70"/>
      <c r="CU152" s="70"/>
      <c r="CW152" s="70"/>
      <c r="CX152" s="70"/>
      <c r="CY152" s="70"/>
      <c r="CZ152" s="70"/>
      <c r="DC152" s="70"/>
      <c r="DD152" s="70"/>
      <c r="DI152" s="73"/>
      <c r="DJ152" s="73"/>
      <c r="DK152" s="73"/>
      <c r="DL152" s="73"/>
      <c r="DM152" s="73"/>
      <c r="DN152" s="73"/>
      <c r="DO152" s="73"/>
      <c r="DP152" s="73"/>
      <c r="DQ152" s="73"/>
      <c r="DR152" s="73"/>
      <c r="DS152" s="73"/>
    </row>
    <row r="153" spans="1:123" ht="24.95" customHeight="1">
      <c r="A153" s="68"/>
      <c r="D153" s="69"/>
      <c r="E153" s="69"/>
      <c r="F153" s="69"/>
      <c r="G153" s="70"/>
      <c r="H153" s="70"/>
      <c r="I153" s="70"/>
      <c r="J153" s="70"/>
      <c r="N153" s="70"/>
      <c r="O153" s="69"/>
      <c r="S153" s="70"/>
      <c r="T153" s="69"/>
      <c r="V153" s="72" t="str">
        <f t="shared" si="6"/>
        <v/>
      </c>
      <c r="W153" s="72" t="str">
        <f t="shared" si="7"/>
        <v/>
      </c>
      <c r="X153" s="72" t="str">
        <f t="shared" si="8"/>
        <v/>
      </c>
      <c r="AD153" s="70"/>
      <c r="AE153" s="70"/>
      <c r="AF153" s="70"/>
      <c r="AH153" s="70"/>
      <c r="AJ153" s="70"/>
      <c r="AN153" s="70"/>
      <c r="AO153" s="70"/>
      <c r="AP153" s="70"/>
      <c r="AR153" s="70"/>
      <c r="AT153" s="70"/>
      <c r="AX153" s="70"/>
      <c r="AY153" s="70"/>
      <c r="AZ153" s="70"/>
      <c r="BB153" s="70"/>
      <c r="BD153" s="70"/>
      <c r="BE153" s="70"/>
      <c r="BF153" s="70"/>
      <c r="BK153" s="70"/>
      <c r="BM153" s="70"/>
      <c r="BN153" s="70"/>
      <c r="BP153" s="70"/>
      <c r="BQ153" s="70"/>
      <c r="BR153" s="70"/>
      <c r="BT153" s="70"/>
      <c r="BU153" s="70"/>
      <c r="BV153" s="70"/>
      <c r="BW153" s="70"/>
      <c r="BX153" s="70"/>
      <c r="BY153" s="70"/>
      <c r="BZ153" s="70"/>
      <c r="CA153" s="70"/>
      <c r="CB153" s="70"/>
      <c r="CC153" s="70"/>
      <c r="CD153" s="70"/>
      <c r="CE153" s="70"/>
      <c r="CF153" s="70"/>
      <c r="CJ153" s="70"/>
      <c r="CK153" s="70"/>
      <c r="CL153" s="70"/>
      <c r="CM153" s="70"/>
      <c r="CO153" s="70"/>
      <c r="CQ153" s="70"/>
      <c r="CS153" s="70"/>
      <c r="CT153" s="70"/>
      <c r="CU153" s="70"/>
      <c r="CW153" s="70"/>
      <c r="CX153" s="70"/>
      <c r="CY153" s="70"/>
      <c r="CZ153" s="70"/>
      <c r="DC153" s="70"/>
      <c r="DD153" s="70"/>
      <c r="DI153" s="73"/>
      <c r="DJ153" s="73"/>
      <c r="DK153" s="73"/>
      <c r="DL153" s="73"/>
      <c r="DM153" s="73"/>
      <c r="DN153" s="73"/>
      <c r="DO153" s="73"/>
      <c r="DP153" s="73"/>
      <c r="DQ153" s="73"/>
      <c r="DR153" s="73"/>
      <c r="DS153" s="73"/>
    </row>
    <row r="154" spans="1:123" ht="24.95" customHeight="1">
      <c r="A154" s="68"/>
      <c r="D154" s="69"/>
      <c r="E154" s="69"/>
      <c r="F154" s="69"/>
      <c r="G154" s="70"/>
      <c r="H154" s="70"/>
      <c r="I154" s="70"/>
      <c r="J154" s="70"/>
      <c r="N154" s="70"/>
      <c r="O154" s="69"/>
      <c r="S154" s="70"/>
      <c r="T154" s="69"/>
      <c r="V154" s="72" t="str">
        <f t="shared" si="6"/>
        <v/>
      </c>
      <c r="W154" s="72" t="str">
        <f t="shared" si="7"/>
        <v/>
      </c>
      <c r="X154" s="72" t="str">
        <f t="shared" si="8"/>
        <v/>
      </c>
      <c r="AD154" s="70"/>
      <c r="AE154" s="70"/>
      <c r="AF154" s="70"/>
      <c r="AH154" s="70"/>
      <c r="AJ154" s="70"/>
      <c r="AN154" s="70"/>
      <c r="AO154" s="70"/>
      <c r="AP154" s="70"/>
      <c r="AR154" s="70"/>
      <c r="AT154" s="70"/>
      <c r="AX154" s="70"/>
      <c r="AY154" s="70"/>
      <c r="AZ154" s="70"/>
      <c r="BB154" s="70"/>
      <c r="BD154" s="70"/>
      <c r="BE154" s="70"/>
      <c r="BF154" s="70"/>
      <c r="BK154" s="70"/>
      <c r="BM154" s="70"/>
      <c r="BN154" s="70"/>
      <c r="BP154" s="70"/>
      <c r="BQ154" s="70"/>
      <c r="BR154" s="70"/>
      <c r="BT154" s="70"/>
      <c r="BU154" s="70"/>
      <c r="BV154" s="70"/>
      <c r="BW154" s="70"/>
      <c r="BX154" s="70"/>
      <c r="BY154" s="70"/>
      <c r="BZ154" s="70"/>
      <c r="CA154" s="70"/>
      <c r="CB154" s="70"/>
      <c r="CC154" s="70"/>
      <c r="CD154" s="70"/>
      <c r="CE154" s="70"/>
      <c r="CF154" s="70"/>
      <c r="CJ154" s="70"/>
      <c r="CK154" s="70"/>
      <c r="CL154" s="70"/>
      <c r="CM154" s="70"/>
      <c r="CO154" s="70"/>
      <c r="CQ154" s="70"/>
      <c r="CS154" s="70"/>
      <c r="CT154" s="70"/>
      <c r="CU154" s="70"/>
      <c r="CW154" s="70"/>
      <c r="CX154" s="70"/>
      <c r="CY154" s="70"/>
      <c r="CZ154" s="70"/>
      <c r="DC154" s="70"/>
      <c r="DD154" s="70"/>
      <c r="DI154" s="73"/>
      <c r="DJ154" s="73"/>
      <c r="DK154" s="73"/>
      <c r="DL154" s="73"/>
      <c r="DM154" s="73"/>
      <c r="DN154" s="73"/>
      <c r="DO154" s="73"/>
      <c r="DP154" s="73"/>
      <c r="DQ154" s="73"/>
      <c r="DR154" s="73"/>
      <c r="DS154" s="73"/>
    </row>
    <row r="155" spans="1:123" ht="24.95" customHeight="1">
      <c r="A155" s="68"/>
      <c r="D155" s="69"/>
      <c r="E155" s="69"/>
      <c r="F155" s="69"/>
      <c r="G155" s="70"/>
      <c r="H155" s="70"/>
      <c r="I155" s="70"/>
      <c r="J155" s="70"/>
      <c r="N155" s="70"/>
      <c r="O155" s="69"/>
      <c r="S155" s="70"/>
      <c r="T155" s="69"/>
      <c r="V155" s="72" t="str">
        <f t="shared" si="6"/>
        <v/>
      </c>
      <c r="W155" s="72" t="str">
        <f t="shared" si="7"/>
        <v/>
      </c>
      <c r="X155" s="72" t="str">
        <f t="shared" si="8"/>
        <v/>
      </c>
      <c r="AD155" s="70"/>
      <c r="AE155" s="70"/>
      <c r="AF155" s="70"/>
      <c r="AH155" s="70"/>
      <c r="AJ155" s="70"/>
      <c r="AN155" s="70"/>
      <c r="AO155" s="70"/>
      <c r="AP155" s="70"/>
      <c r="AR155" s="70"/>
      <c r="AT155" s="70"/>
      <c r="AX155" s="70"/>
      <c r="AY155" s="70"/>
      <c r="AZ155" s="70"/>
      <c r="BB155" s="70"/>
      <c r="BD155" s="70"/>
      <c r="BE155" s="70"/>
      <c r="BF155" s="70"/>
      <c r="BK155" s="70"/>
      <c r="BM155" s="70"/>
      <c r="BN155" s="70"/>
      <c r="BP155" s="70"/>
      <c r="BQ155" s="70"/>
      <c r="BR155" s="70"/>
      <c r="BT155" s="70"/>
      <c r="BU155" s="70"/>
      <c r="BV155" s="70"/>
      <c r="BW155" s="70"/>
      <c r="BX155" s="70"/>
      <c r="BY155" s="70"/>
      <c r="BZ155" s="70"/>
      <c r="CA155" s="70"/>
      <c r="CB155" s="70"/>
      <c r="CC155" s="70"/>
      <c r="CD155" s="70"/>
      <c r="CE155" s="70"/>
      <c r="CF155" s="70"/>
      <c r="CJ155" s="70"/>
      <c r="CK155" s="70"/>
      <c r="CL155" s="70"/>
      <c r="CM155" s="70"/>
      <c r="CO155" s="70"/>
      <c r="CQ155" s="70"/>
      <c r="CS155" s="70"/>
      <c r="CT155" s="70"/>
      <c r="CU155" s="70"/>
      <c r="CW155" s="70"/>
      <c r="CX155" s="70"/>
      <c r="CY155" s="70"/>
      <c r="CZ155" s="70"/>
      <c r="DC155" s="70"/>
      <c r="DD155" s="70"/>
      <c r="DI155" s="73"/>
      <c r="DJ155" s="73"/>
      <c r="DK155" s="73"/>
      <c r="DL155" s="73"/>
      <c r="DM155" s="73"/>
      <c r="DN155" s="73"/>
      <c r="DO155" s="73"/>
      <c r="DP155" s="73"/>
      <c r="DQ155" s="73"/>
      <c r="DR155" s="73"/>
      <c r="DS155" s="73"/>
    </row>
    <row r="156" spans="1:123" ht="24.95" customHeight="1">
      <c r="A156" s="68"/>
      <c r="D156" s="69"/>
      <c r="E156" s="69"/>
      <c r="F156" s="69"/>
      <c r="G156" s="70"/>
      <c r="H156" s="70"/>
      <c r="I156" s="70"/>
      <c r="J156" s="70"/>
      <c r="N156" s="70"/>
      <c r="O156" s="69"/>
      <c r="S156" s="70"/>
      <c r="T156" s="69"/>
      <c r="V156" s="72" t="str">
        <f t="shared" si="6"/>
        <v/>
      </c>
      <c r="W156" s="72" t="str">
        <f t="shared" si="7"/>
        <v/>
      </c>
      <c r="X156" s="72" t="str">
        <f t="shared" si="8"/>
        <v/>
      </c>
      <c r="AD156" s="70"/>
      <c r="AE156" s="70"/>
      <c r="AF156" s="70"/>
      <c r="AH156" s="70"/>
      <c r="AJ156" s="70"/>
      <c r="AN156" s="70"/>
      <c r="AO156" s="70"/>
      <c r="AP156" s="70"/>
      <c r="AR156" s="70"/>
      <c r="AT156" s="70"/>
      <c r="AX156" s="70"/>
      <c r="AY156" s="70"/>
      <c r="AZ156" s="70"/>
      <c r="BB156" s="70"/>
      <c r="BD156" s="70"/>
      <c r="BE156" s="70"/>
      <c r="BF156" s="70"/>
      <c r="BK156" s="70"/>
      <c r="BM156" s="70"/>
      <c r="BN156" s="70"/>
      <c r="BP156" s="70"/>
      <c r="BQ156" s="70"/>
      <c r="BR156" s="70"/>
      <c r="BT156" s="70"/>
      <c r="BU156" s="70"/>
      <c r="BV156" s="70"/>
      <c r="BW156" s="70"/>
      <c r="BX156" s="70"/>
      <c r="BY156" s="70"/>
      <c r="BZ156" s="70"/>
      <c r="CA156" s="70"/>
      <c r="CB156" s="70"/>
      <c r="CC156" s="70"/>
      <c r="CD156" s="70"/>
      <c r="CE156" s="70"/>
      <c r="CF156" s="70"/>
      <c r="CJ156" s="70"/>
      <c r="CK156" s="70"/>
      <c r="CL156" s="70"/>
      <c r="CM156" s="70"/>
      <c r="CO156" s="70"/>
      <c r="CQ156" s="70"/>
      <c r="CS156" s="70"/>
      <c r="CT156" s="70"/>
      <c r="CU156" s="70"/>
      <c r="CW156" s="70"/>
      <c r="CX156" s="70"/>
      <c r="CY156" s="70"/>
      <c r="CZ156" s="70"/>
      <c r="DC156" s="70"/>
      <c r="DD156" s="70"/>
      <c r="DI156" s="73"/>
      <c r="DJ156" s="73"/>
      <c r="DK156" s="73"/>
      <c r="DL156" s="73"/>
      <c r="DM156" s="73"/>
      <c r="DN156" s="73"/>
      <c r="DO156" s="73"/>
      <c r="DP156" s="73"/>
      <c r="DQ156" s="73"/>
      <c r="DR156" s="73"/>
      <c r="DS156" s="73"/>
    </row>
    <row r="157" spans="1:123" ht="24.95" customHeight="1">
      <c r="A157" s="68"/>
      <c r="D157" s="69"/>
      <c r="E157" s="69"/>
      <c r="F157" s="69"/>
      <c r="G157" s="70"/>
      <c r="H157" s="70"/>
      <c r="I157" s="70"/>
      <c r="J157" s="70"/>
      <c r="N157" s="70"/>
      <c r="O157" s="69"/>
      <c r="S157" s="70"/>
      <c r="T157" s="69"/>
      <c r="V157" s="72" t="str">
        <f t="shared" si="6"/>
        <v/>
      </c>
      <c r="W157" s="72" t="str">
        <f t="shared" si="7"/>
        <v/>
      </c>
      <c r="X157" s="72" t="str">
        <f t="shared" si="8"/>
        <v/>
      </c>
      <c r="AD157" s="70"/>
      <c r="AE157" s="70"/>
      <c r="AF157" s="70"/>
      <c r="AH157" s="70"/>
      <c r="AJ157" s="70"/>
      <c r="AN157" s="70"/>
      <c r="AO157" s="70"/>
      <c r="AP157" s="70"/>
      <c r="AR157" s="70"/>
      <c r="AT157" s="70"/>
      <c r="AX157" s="70"/>
      <c r="AY157" s="70"/>
      <c r="AZ157" s="70"/>
      <c r="BB157" s="70"/>
      <c r="BD157" s="70"/>
      <c r="BE157" s="70"/>
      <c r="BF157" s="70"/>
      <c r="BK157" s="70"/>
      <c r="BM157" s="70"/>
      <c r="BN157" s="70"/>
      <c r="BP157" s="70"/>
      <c r="BQ157" s="70"/>
      <c r="BR157" s="70"/>
      <c r="BT157" s="70"/>
      <c r="BU157" s="70"/>
      <c r="BV157" s="70"/>
      <c r="BW157" s="70"/>
      <c r="BX157" s="70"/>
      <c r="BY157" s="70"/>
      <c r="BZ157" s="70"/>
      <c r="CA157" s="70"/>
      <c r="CB157" s="70"/>
      <c r="CC157" s="70"/>
      <c r="CD157" s="70"/>
      <c r="CE157" s="70"/>
      <c r="CF157" s="70"/>
      <c r="CJ157" s="70"/>
      <c r="CK157" s="70"/>
      <c r="CL157" s="70"/>
      <c r="CM157" s="70"/>
      <c r="CO157" s="70"/>
      <c r="CQ157" s="70"/>
      <c r="CS157" s="70"/>
      <c r="CT157" s="70"/>
      <c r="CU157" s="70"/>
      <c r="CW157" s="70"/>
      <c r="CX157" s="70"/>
      <c r="CY157" s="70"/>
      <c r="CZ157" s="70"/>
      <c r="DC157" s="70"/>
      <c r="DD157" s="70"/>
      <c r="DI157" s="73"/>
      <c r="DJ157" s="73"/>
      <c r="DK157" s="73"/>
      <c r="DL157" s="73"/>
      <c r="DM157" s="73"/>
      <c r="DN157" s="73"/>
      <c r="DO157" s="73"/>
      <c r="DP157" s="73"/>
      <c r="DQ157" s="73"/>
      <c r="DR157" s="73"/>
      <c r="DS157" s="73"/>
    </row>
    <row r="158" spans="1:123" ht="24.95" customHeight="1">
      <c r="A158" s="68"/>
      <c r="D158" s="69"/>
      <c r="E158" s="69"/>
      <c r="F158" s="69"/>
      <c r="G158" s="70"/>
      <c r="H158" s="70"/>
      <c r="I158" s="70"/>
      <c r="J158" s="70"/>
      <c r="N158" s="70"/>
      <c r="O158" s="69"/>
      <c r="S158" s="70"/>
      <c r="T158" s="69"/>
      <c r="V158" s="72" t="str">
        <f t="shared" si="6"/>
        <v/>
      </c>
      <c r="W158" s="72" t="str">
        <f t="shared" si="7"/>
        <v/>
      </c>
      <c r="X158" s="72" t="str">
        <f t="shared" si="8"/>
        <v/>
      </c>
      <c r="AD158" s="70"/>
      <c r="AE158" s="70"/>
      <c r="AF158" s="70"/>
      <c r="AH158" s="70"/>
      <c r="AJ158" s="70"/>
      <c r="AN158" s="70"/>
      <c r="AO158" s="70"/>
      <c r="AP158" s="70"/>
      <c r="AR158" s="70"/>
      <c r="AT158" s="70"/>
      <c r="AX158" s="70"/>
      <c r="AY158" s="70"/>
      <c r="AZ158" s="70"/>
      <c r="BB158" s="70"/>
      <c r="BD158" s="70"/>
      <c r="BE158" s="70"/>
      <c r="BF158" s="70"/>
      <c r="BK158" s="70"/>
      <c r="BM158" s="70"/>
      <c r="BN158" s="70"/>
      <c r="BP158" s="70"/>
      <c r="BQ158" s="70"/>
      <c r="BR158" s="70"/>
      <c r="BT158" s="70"/>
      <c r="BU158" s="70"/>
      <c r="BV158" s="70"/>
      <c r="BW158" s="70"/>
      <c r="BX158" s="70"/>
      <c r="BY158" s="70"/>
      <c r="BZ158" s="70"/>
      <c r="CA158" s="70"/>
      <c r="CB158" s="70"/>
      <c r="CC158" s="70"/>
      <c r="CD158" s="70"/>
      <c r="CE158" s="70"/>
      <c r="CF158" s="70"/>
      <c r="CJ158" s="70"/>
      <c r="CK158" s="70"/>
      <c r="CL158" s="70"/>
      <c r="CM158" s="70"/>
      <c r="CO158" s="70"/>
      <c r="CQ158" s="70"/>
      <c r="CS158" s="70"/>
      <c r="CT158" s="70"/>
      <c r="CU158" s="70"/>
      <c r="CW158" s="70"/>
      <c r="CX158" s="70"/>
      <c r="CY158" s="70"/>
      <c r="CZ158" s="70"/>
      <c r="DC158" s="70"/>
      <c r="DD158" s="70"/>
      <c r="DI158" s="73"/>
      <c r="DJ158" s="73"/>
      <c r="DK158" s="73"/>
      <c r="DL158" s="73"/>
      <c r="DM158" s="73"/>
      <c r="DN158" s="73"/>
      <c r="DO158" s="73"/>
      <c r="DP158" s="73"/>
      <c r="DQ158" s="73"/>
      <c r="DR158" s="73"/>
      <c r="DS158" s="73"/>
    </row>
    <row r="159" spans="1:123" ht="24.95" customHeight="1">
      <c r="A159" s="68"/>
      <c r="D159" s="69"/>
      <c r="E159" s="69"/>
      <c r="F159" s="69"/>
      <c r="G159" s="70"/>
      <c r="H159" s="70"/>
      <c r="I159" s="70"/>
      <c r="J159" s="70"/>
      <c r="N159" s="70"/>
      <c r="O159" s="69"/>
      <c r="S159" s="70"/>
      <c r="T159" s="69"/>
      <c r="V159" s="72" t="str">
        <f t="shared" si="6"/>
        <v/>
      </c>
      <c r="W159" s="72" t="str">
        <f t="shared" si="7"/>
        <v/>
      </c>
      <c r="X159" s="72" t="str">
        <f t="shared" si="8"/>
        <v/>
      </c>
      <c r="AD159" s="70"/>
      <c r="AE159" s="70"/>
      <c r="AF159" s="70"/>
      <c r="AH159" s="70"/>
      <c r="AJ159" s="70"/>
      <c r="AN159" s="70"/>
      <c r="AO159" s="70"/>
      <c r="AP159" s="70"/>
      <c r="AR159" s="70"/>
      <c r="AT159" s="70"/>
      <c r="AX159" s="70"/>
      <c r="AY159" s="70"/>
      <c r="AZ159" s="70"/>
      <c r="BB159" s="70"/>
      <c r="BD159" s="70"/>
      <c r="BE159" s="70"/>
      <c r="BF159" s="70"/>
      <c r="BK159" s="70"/>
      <c r="BM159" s="70"/>
      <c r="BN159" s="70"/>
      <c r="BP159" s="70"/>
      <c r="BQ159" s="70"/>
      <c r="BR159" s="70"/>
      <c r="BT159" s="70"/>
      <c r="BU159" s="70"/>
      <c r="BV159" s="70"/>
      <c r="BW159" s="70"/>
      <c r="BX159" s="70"/>
      <c r="BY159" s="70"/>
      <c r="BZ159" s="70"/>
      <c r="CA159" s="70"/>
      <c r="CB159" s="70"/>
      <c r="CC159" s="70"/>
      <c r="CD159" s="70"/>
      <c r="CE159" s="70"/>
      <c r="CF159" s="70"/>
      <c r="CJ159" s="70"/>
      <c r="CK159" s="70"/>
      <c r="CL159" s="70"/>
      <c r="CM159" s="70"/>
      <c r="CO159" s="70"/>
      <c r="CQ159" s="70"/>
      <c r="CS159" s="70"/>
      <c r="CT159" s="70"/>
      <c r="CU159" s="70"/>
      <c r="CW159" s="70"/>
      <c r="CX159" s="70"/>
      <c r="CY159" s="70"/>
      <c r="CZ159" s="70"/>
      <c r="DC159" s="70"/>
      <c r="DD159" s="70"/>
      <c r="DI159" s="73"/>
      <c r="DJ159" s="73"/>
      <c r="DK159" s="73"/>
      <c r="DL159" s="73"/>
      <c r="DM159" s="73"/>
      <c r="DN159" s="73"/>
      <c r="DO159" s="73"/>
      <c r="DP159" s="73"/>
      <c r="DQ159" s="73"/>
      <c r="DR159" s="73"/>
      <c r="DS159" s="73"/>
    </row>
    <row r="160" spans="1:123" ht="24.95" customHeight="1">
      <c r="A160" s="68"/>
      <c r="D160" s="69"/>
      <c r="E160" s="69"/>
      <c r="F160" s="69"/>
      <c r="G160" s="70"/>
      <c r="H160" s="70"/>
      <c r="I160" s="70"/>
      <c r="J160" s="70"/>
      <c r="N160" s="70"/>
      <c r="O160" s="69"/>
      <c r="S160" s="70"/>
      <c r="T160" s="69"/>
      <c r="V160" s="72" t="str">
        <f t="shared" si="6"/>
        <v/>
      </c>
      <c r="W160" s="72" t="str">
        <f t="shared" si="7"/>
        <v/>
      </c>
      <c r="X160" s="72" t="str">
        <f t="shared" si="8"/>
        <v/>
      </c>
      <c r="AD160" s="70"/>
      <c r="AE160" s="70"/>
      <c r="AF160" s="70"/>
      <c r="AH160" s="70"/>
      <c r="AJ160" s="70"/>
      <c r="AN160" s="70"/>
      <c r="AO160" s="70"/>
      <c r="AP160" s="70"/>
      <c r="AR160" s="70"/>
      <c r="AT160" s="70"/>
      <c r="AX160" s="70"/>
      <c r="AY160" s="70"/>
      <c r="AZ160" s="70"/>
      <c r="BB160" s="70"/>
      <c r="BD160" s="70"/>
      <c r="BE160" s="70"/>
      <c r="BF160" s="70"/>
      <c r="BK160" s="70"/>
      <c r="BM160" s="70"/>
      <c r="BN160" s="70"/>
      <c r="BP160" s="70"/>
      <c r="BQ160" s="70"/>
      <c r="BR160" s="70"/>
      <c r="BT160" s="70"/>
      <c r="BU160" s="70"/>
      <c r="BV160" s="70"/>
      <c r="BW160" s="70"/>
      <c r="BX160" s="70"/>
      <c r="BY160" s="70"/>
      <c r="BZ160" s="70"/>
      <c r="CA160" s="70"/>
      <c r="CB160" s="70"/>
      <c r="CC160" s="70"/>
      <c r="CD160" s="70"/>
      <c r="CE160" s="70"/>
      <c r="CF160" s="70"/>
      <c r="CJ160" s="70"/>
      <c r="CK160" s="70"/>
      <c r="CL160" s="70"/>
      <c r="CM160" s="70"/>
      <c r="CO160" s="70"/>
      <c r="CQ160" s="70"/>
      <c r="CS160" s="70"/>
      <c r="CT160" s="70"/>
      <c r="CU160" s="70"/>
      <c r="CW160" s="70"/>
      <c r="CX160" s="70"/>
      <c r="CY160" s="70"/>
      <c r="CZ160" s="70"/>
      <c r="DC160" s="70"/>
      <c r="DD160" s="70"/>
      <c r="DI160" s="73"/>
      <c r="DJ160" s="73"/>
      <c r="DK160" s="73"/>
      <c r="DL160" s="73"/>
      <c r="DM160" s="73"/>
      <c r="DN160" s="73"/>
      <c r="DO160" s="73"/>
      <c r="DP160" s="73"/>
      <c r="DQ160" s="73"/>
      <c r="DR160" s="73"/>
      <c r="DS160" s="73"/>
    </row>
    <row r="161" spans="1:123" ht="24.95" customHeight="1">
      <c r="A161" s="68"/>
      <c r="D161" s="69"/>
      <c r="E161" s="69"/>
      <c r="F161" s="69"/>
      <c r="G161" s="70"/>
      <c r="H161" s="70"/>
      <c r="I161" s="70"/>
      <c r="J161" s="70"/>
      <c r="N161" s="70"/>
      <c r="O161" s="69"/>
      <c r="S161" s="70"/>
      <c r="T161" s="69"/>
      <c r="V161" s="72" t="str">
        <f t="shared" si="6"/>
        <v/>
      </c>
      <c r="W161" s="72" t="str">
        <f t="shared" si="7"/>
        <v/>
      </c>
      <c r="X161" s="72" t="str">
        <f t="shared" si="8"/>
        <v/>
      </c>
      <c r="AD161" s="70"/>
      <c r="AE161" s="70"/>
      <c r="AF161" s="70"/>
      <c r="AH161" s="70"/>
      <c r="AJ161" s="70"/>
      <c r="AN161" s="70"/>
      <c r="AO161" s="70"/>
      <c r="AP161" s="70"/>
      <c r="AR161" s="70"/>
      <c r="AT161" s="70"/>
      <c r="AX161" s="70"/>
      <c r="AY161" s="70"/>
      <c r="AZ161" s="70"/>
      <c r="BB161" s="70"/>
      <c r="BD161" s="70"/>
      <c r="BE161" s="70"/>
      <c r="BF161" s="70"/>
      <c r="BK161" s="70"/>
      <c r="BM161" s="70"/>
      <c r="BN161" s="70"/>
      <c r="BP161" s="70"/>
      <c r="BQ161" s="70"/>
      <c r="BR161" s="70"/>
      <c r="BT161" s="70"/>
      <c r="BU161" s="70"/>
      <c r="BV161" s="70"/>
      <c r="BW161" s="70"/>
      <c r="BX161" s="70"/>
      <c r="BY161" s="70"/>
      <c r="BZ161" s="70"/>
      <c r="CA161" s="70"/>
      <c r="CB161" s="70"/>
      <c r="CC161" s="70"/>
      <c r="CD161" s="70"/>
      <c r="CE161" s="70"/>
      <c r="CF161" s="70"/>
      <c r="CJ161" s="70"/>
      <c r="CK161" s="70"/>
      <c r="CL161" s="70"/>
      <c r="CM161" s="70"/>
      <c r="CO161" s="70"/>
      <c r="CQ161" s="70"/>
      <c r="CS161" s="70"/>
      <c r="CT161" s="70"/>
      <c r="CU161" s="70"/>
      <c r="CW161" s="70"/>
      <c r="CX161" s="70"/>
      <c r="CY161" s="70"/>
      <c r="CZ161" s="70"/>
      <c r="DC161" s="70"/>
      <c r="DD161" s="70"/>
      <c r="DI161" s="73"/>
      <c r="DJ161" s="73"/>
      <c r="DK161" s="73"/>
      <c r="DL161" s="73"/>
      <c r="DM161" s="73"/>
      <c r="DN161" s="73"/>
      <c r="DO161" s="73"/>
      <c r="DP161" s="73"/>
      <c r="DQ161" s="73"/>
      <c r="DR161" s="73"/>
      <c r="DS161" s="73"/>
    </row>
    <row r="162" spans="1:123" ht="24.95" customHeight="1">
      <c r="A162" s="68"/>
      <c r="D162" s="69"/>
      <c r="E162" s="69"/>
      <c r="F162" s="69"/>
      <c r="G162" s="70"/>
      <c r="H162" s="70"/>
      <c r="I162" s="70"/>
      <c r="J162" s="70"/>
      <c r="N162" s="70"/>
      <c r="O162" s="69"/>
      <c r="S162" s="70"/>
      <c r="T162" s="69"/>
      <c r="V162" s="72" t="str">
        <f t="shared" si="6"/>
        <v/>
      </c>
      <c r="W162" s="72" t="str">
        <f t="shared" si="7"/>
        <v/>
      </c>
      <c r="X162" s="72" t="str">
        <f t="shared" si="8"/>
        <v/>
      </c>
      <c r="AD162" s="70"/>
      <c r="AE162" s="70"/>
      <c r="AF162" s="70"/>
      <c r="AH162" s="70"/>
      <c r="AJ162" s="70"/>
      <c r="AN162" s="70"/>
      <c r="AO162" s="70"/>
      <c r="AP162" s="70"/>
      <c r="AR162" s="70"/>
      <c r="AT162" s="70"/>
      <c r="AX162" s="70"/>
      <c r="AY162" s="70"/>
      <c r="AZ162" s="70"/>
      <c r="BB162" s="70"/>
      <c r="BD162" s="70"/>
      <c r="BE162" s="70"/>
      <c r="BF162" s="70"/>
      <c r="BK162" s="70"/>
      <c r="BM162" s="70"/>
      <c r="BN162" s="70"/>
      <c r="BP162" s="70"/>
      <c r="BQ162" s="70"/>
      <c r="BR162" s="70"/>
      <c r="BT162" s="70"/>
      <c r="BU162" s="70"/>
      <c r="BV162" s="70"/>
      <c r="BW162" s="70"/>
      <c r="BX162" s="70"/>
      <c r="BY162" s="70"/>
      <c r="BZ162" s="70"/>
      <c r="CA162" s="70"/>
      <c r="CB162" s="70"/>
      <c r="CC162" s="70"/>
      <c r="CD162" s="70"/>
      <c r="CE162" s="70"/>
      <c r="CF162" s="70"/>
      <c r="CJ162" s="70"/>
      <c r="CK162" s="70"/>
      <c r="CL162" s="70"/>
      <c r="CM162" s="70"/>
      <c r="CO162" s="70"/>
      <c r="CQ162" s="70"/>
      <c r="CS162" s="70"/>
      <c r="CT162" s="70"/>
      <c r="CU162" s="70"/>
      <c r="CW162" s="70"/>
      <c r="CX162" s="70"/>
      <c r="CY162" s="70"/>
      <c r="CZ162" s="70"/>
      <c r="DC162" s="70"/>
      <c r="DD162" s="70"/>
      <c r="DI162" s="73"/>
      <c r="DJ162" s="73"/>
      <c r="DK162" s="73"/>
      <c r="DL162" s="73"/>
      <c r="DM162" s="73"/>
      <c r="DN162" s="73"/>
      <c r="DO162" s="73"/>
      <c r="DP162" s="73"/>
      <c r="DQ162" s="73"/>
      <c r="DR162" s="73"/>
      <c r="DS162" s="73"/>
    </row>
    <row r="163" spans="1:123" ht="24.95" customHeight="1">
      <c r="A163" s="68"/>
      <c r="D163" s="69"/>
      <c r="E163" s="69"/>
      <c r="F163" s="69"/>
      <c r="G163" s="70"/>
      <c r="H163" s="70"/>
      <c r="I163" s="70"/>
      <c r="J163" s="70"/>
      <c r="N163" s="70"/>
      <c r="O163" s="69"/>
      <c r="S163" s="70"/>
      <c r="T163" s="69"/>
      <c r="V163" s="72" t="str">
        <f t="shared" si="6"/>
        <v/>
      </c>
      <c r="W163" s="72" t="str">
        <f t="shared" si="7"/>
        <v/>
      </c>
      <c r="X163" s="72" t="str">
        <f t="shared" si="8"/>
        <v/>
      </c>
      <c r="AD163" s="70"/>
      <c r="AE163" s="70"/>
      <c r="AF163" s="70"/>
      <c r="AH163" s="70"/>
      <c r="AJ163" s="70"/>
      <c r="AN163" s="70"/>
      <c r="AO163" s="70"/>
      <c r="AP163" s="70"/>
      <c r="AR163" s="70"/>
      <c r="AT163" s="70"/>
      <c r="AX163" s="70"/>
      <c r="AY163" s="70"/>
      <c r="AZ163" s="70"/>
      <c r="BB163" s="70"/>
      <c r="BD163" s="70"/>
      <c r="BE163" s="70"/>
      <c r="BF163" s="70"/>
      <c r="BK163" s="70"/>
      <c r="BM163" s="70"/>
      <c r="BN163" s="70"/>
      <c r="BP163" s="70"/>
      <c r="BQ163" s="70"/>
      <c r="BR163" s="70"/>
      <c r="BT163" s="70"/>
      <c r="BU163" s="70"/>
      <c r="BV163" s="70"/>
      <c r="BW163" s="70"/>
      <c r="BX163" s="70"/>
      <c r="BY163" s="70"/>
      <c r="BZ163" s="70"/>
      <c r="CA163" s="70"/>
      <c r="CB163" s="70"/>
      <c r="CC163" s="70"/>
      <c r="CD163" s="70"/>
      <c r="CE163" s="70"/>
      <c r="CF163" s="70"/>
      <c r="CJ163" s="70"/>
      <c r="CK163" s="70"/>
      <c r="CL163" s="70"/>
      <c r="CM163" s="70"/>
      <c r="CO163" s="70"/>
      <c r="CQ163" s="70"/>
      <c r="CS163" s="70"/>
      <c r="CT163" s="70"/>
      <c r="CU163" s="70"/>
      <c r="CW163" s="70"/>
      <c r="CX163" s="70"/>
      <c r="CY163" s="70"/>
      <c r="CZ163" s="70"/>
      <c r="DC163" s="70"/>
      <c r="DD163" s="70"/>
      <c r="DI163" s="73"/>
      <c r="DJ163" s="73"/>
      <c r="DK163" s="73"/>
      <c r="DL163" s="73"/>
      <c r="DM163" s="73"/>
      <c r="DN163" s="73"/>
      <c r="DO163" s="73"/>
      <c r="DP163" s="73"/>
      <c r="DQ163" s="73"/>
      <c r="DR163" s="73"/>
      <c r="DS163" s="73"/>
    </row>
    <row r="164" spans="1:123" ht="24.95" customHeight="1">
      <c r="A164" s="68"/>
      <c r="D164" s="69"/>
      <c r="E164" s="69"/>
      <c r="F164" s="69"/>
      <c r="G164" s="70"/>
      <c r="H164" s="70"/>
      <c r="I164" s="70"/>
      <c r="J164" s="70"/>
      <c r="N164" s="70"/>
      <c r="O164" s="69"/>
      <c r="S164" s="70"/>
      <c r="T164" s="69"/>
      <c r="V164" s="72" t="str">
        <f t="shared" si="6"/>
        <v/>
      </c>
      <c r="W164" s="72" t="str">
        <f t="shared" si="7"/>
        <v/>
      </c>
      <c r="X164" s="72" t="str">
        <f t="shared" si="8"/>
        <v/>
      </c>
      <c r="AD164" s="70"/>
      <c r="AE164" s="70"/>
      <c r="AF164" s="70"/>
      <c r="AH164" s="70"/>
      <c r="AJ164" s="70"/>
      <c r="AN164" s="70"/>
      <c r="AO164" s="70"/>
      <c r="AP164" s="70"/>
      <c r="AR164" s="70"/>
      <c r="AT164" s="70"/>
      <c r="AX164" s="70"/>
      <c r="AY164" s="70"/>
      <c r="AZ164" s="70"/>
      <c r="BB164" s="70"/>
      <c r="BD164" s="70"/>
      <c r="BE164" s="70"/>
      <c r="BF164" s="70"/>
      <c r="BK164" s="70"/>
      <c r="BM164" s="70"/>
      <c r="BN164" s="70"/>
      <c r="BP164" s="70"/>
      <c r="BQ164" s="70"/>
      <c r="BR164" s="70"/>
      <c r="BT164" s="70"/>
      <c r="BU164" s="70"/>
      <c r="BV164" s="70"/>
      <c r="BW164" s="70"/>
      <c r="BX164" s="70"/>
      <c r="BY164" s="70"/>
      <c r="BZ164" s="70"/>
      <c r="CA164" s="70"/>
      <c r="CB164" s="70"/>
      <c r="CC164" s="70"/>
      <c r="CD164" s="70"/>
      <c r="CE164" s="70"/>
      <c r="CF164" s="70"/>
      <c r="CJ164" s="70"/>
      <c r="CK164" s="70"/>
      <c r="CL164" s="70"/>
      <c r="CM164" s="70"/>
      <c r="CO164" s="70"/>
      <c r="CQ164" s="70"/>
      <c r="CS164" s="70"/>
      <c r="CT164" s="70"/>
      <c r="CU164" s="70"/>
      <c r="CW164" s="70"/>
      <c r="CX164" s="70"/>
      <c r="CY164" s="70"/>
      <c r="CZ164" s="70"/>
      <c r="DC164" s="70"/>
      <c r="DD164" s="70"/>
      <c r="DI164" s="73"/>
      <c r="DJ164" s="73"/>
      <c r="DK164" s="73"/>
      <c r="DL164" s="73"/>
      <c r="DM164" s="73"/>
      <c r="DN164" s="73"/>
      <c r="DO164" s="73"/>
      <c r="DP164" s="73"/>
      <c r="DQ164" s="73"/>
      <c r="DR164" s="73"/>
      <c r="DS164" s="73"/>
    </row>
    <row r="165" spans="1:123" ht="24.95" customHeight="1">
      <c r="A165" s="68"/>
      <c r="D165" s="69"/>
      <c r="E165" s="69"/>
      <c r="F165" s="69"/>
      <c r="G165" s="70"/>
      <c r="H165" s="70"/>
      <c r="I165" s="70"/>
      <c r="J165" s="70"/>
      <c r="N165" s="70"/>
      <c r="O165" s="69"/>
      <c r="S165" s="70"/>
      <c r="T165" s="69"/>
      <c r="V165" s="72" t="str">
        <f t="shared" si="6"/>
        <v/>
      </c>
      <c r="W165" s="72" t="str">
        <f t="shared" si="7"/>
        <v/>
      </c>
      <c r="X165" s="72" t="str">
        <f t="shared" si="8"/>
        <v/>
      </c>
      <c r="AD165" s="70"/>
      <c r="AE165" s="70"/>
      <c r="AF165" s="70"/>
      <c r="AH165" s="70"/>
      <c r="AJ165" s="70"/>
      <c r="AN165" s="70"/>
      <c r="AO165" s="70"/>
      <c r="AP165" s="70"/>
      <c r="AR165" s="70"/>
      <c r="AT165" s="70"/>
      <c r="AX165" s="70"/>
      <c r="AY165" s="70"/>
      <c r="AZ165" s="70"/>
      <c r="BB165" s="70"/>
      <c r="BD165" s="70"/>
      <c r="BE165" s="70"/>
      <c r="BF165" s="70"/>
      <c r="BK165" s="70"/>
      <c r="BM165" s="70"/>
      <c r="BN165" s="70"/>
      <c r="BP165" s="70"/>
      <c r="BQ165" s="70"/>
      <c r="BR165" s="70"/>
      <c r="BT165" s="70"/>
      <c r="BU165" s="70"/>
      <c r="BV165" s="70"/>
      <c r="BW165" s="70"/>
      <c r="BX165" s="70"/>
      <c r="BY165" s="70"/>
      <c r="BZ165" s="70"/>
      <c r="CA165" s="70"/>
      <c r="CB165" s="70"/>
      <c r="CC165" s="70"/>
      <c r="CD165" s="70"/>
      <c r="CE165" s="70"/>
      <c r="CF165" s="70"/>
      <c r="CJ165" s="70"/>
      <c r="CK165" s="70"/>
      <c r="CL165" s="70"/>
      <c r="CM165" s="70"/>
      <c r="CO165" s="70"/>
      <c r="CQ165" s="70"/>
      <c r="CS165" s="70"/>
      <c r="CT165" s="70"/>
      <c r="CU165" s="70"/>
      <c r="CW165" s="70"/>
      <c r="CX165" s="70"/>
      <c r="CY165" s="70"/>
      <c r="CZ165" s="70"/>
      <c r="DC165" s="70"/>
      <c r="DD165" s="70"/>
      <c r="DI165" s="73"/>
      <c r="DJ165" s="73"/>
      <c r="DK165" s="73"/>
      <c r="DL165" s="73"/>
      <c r="DM165" s="73"/>
      <c r="DN165" s="73"/>
      <c r="DO165" s="73"/>
      <c r="DP165" s="73"/>
      <c r="DQ165" s="73"/>
      <c r="DR165" s="73"/>
      <c r="DS165" s="73"/>
    </row>
    <row r="166" spans="1:123" ht="24.95" customHeight="1">
      <c r="A166" s="68"/>
      <c r="D166" s="69"/>
      <c r="E166" s="69"/>
      <c r="F166" s="69"/>
      <c r="G166" s="70"/>
      <c r="H166" s="70"/>
      <c r="I166" s="70"/>
      <c r="J166" s="70"/>
      <c r="N166" s="70"/>
      <c r="O166" s="69"/>
      <c r="S166" s="70"/>
      <c r="T166" s="69"/>
      <c r="V166" s="72" t="str">
        <f t="shared" si="6"/>
        <v/>
      </c>
      <c r="W166" s="72" t="str">
        <f t="shared" si="7"/>
        <v/>
      </c>
      <c r="X166" s="72" t="str">
        <f t="shared" si="8"/>
        <v/>
      </c>
      <c r="AD166" s="70"/>
      <c r="AE166" s="70"/>
      <c r="AF166" s="70"/>
      <c r="AH166" s="70"/>
      <c r="AJ166" s="70"/>
      <c r="AN166" s="70"/>
      <c r="AO166" s="70"/>
      <c r="AP166" s="70"/>
      <c r="AR166" s="70"/>
      <c r="AT166" s="70"/>
      <c r="AX166" s="70"/>
      <c r="AY166" s="70"/>
      <c r="AZ166" s="70"/>
      <c r="BB166" s="70"/>
      <c r="BD166" s="70"/>
      <c r="BE166" s="70"/>
      <c r="BF166" s="70"/>
      <c r="BK166" s="70"/>
      <c r="BM166" s="70"/>
      <c r="BN166" s="70"/>
      <c r="BP166" s="70"/>
      <c r="BQ166" s="70"/>
      <c r="BR166" s="70"/>
      <c r="BT166" s="70"/>
      <c r="BU166" s="70"/>
      <c r="BV166" s="70"/>
      <c r="BW166" s="70"/>
      <c r="BX166" s="70"/>
      <c r="BY166" s="70"/>
      <c r="BZ166" s="70"/>
      <c r="CA166" s="70"/>
      <c r="CB166" s="70"/>
      <c r="CC166" s="70"/>
      <c r="CD166" s="70"/>
      <c r="CE166" s="70"/>
      <c r="CF166" s="70"/>
      <c r="CJ166" s="70"/>
      <c r="CK166" s="70"/>
      <c r="CL166" s="70"/>
      <c r="CM166" s="70"/>
      <c r="CO166" s="70"/>
      <c r="CQ166" s="70"/>
      <c r="CS166" s="70"/>
      <c r="CT166" s="70"/>
      <c r="CU166" s="70"/>
      <c r="CW166" s="70"/>
      <c r="CX166" s="70"/>
      <c r="CY166" s="70"/>
      <c r="CZ166" s="70"/>
      <c r="DC166" s="70"/>
      <c r="DD166" s="70"/>
      <c r="DI166" s="73"/>
      <c r="DJ166" s="73"/>
      <c r="DK166" s="73"/>
      <c r="DL166" s="73"/>
      <c r="DM166" s="73"/>
      <c r="DN166" s="73"/>
      <c r="DO166" s="73"/>
      <c r="DP166" s="73"/>
      <c r="DQ166" s="73"/>
      <c r="DR166" s="73"/>
      <c r="DS166" s="73"/>
    </row>
    <row r="167" spans="1:123" ht="24.95" customHeight="1">
      <c r="A167" s="68"/>
      <c r="D167" s="69"/>
      <c r="E167" s="69"/>
      <c r="F167" s="69"/>
      <c r="G167" s="70"/>
      <c r="H167" s="70"/>
      <c r="I167" s="70"/>
      <c r="J167" s="70"/>
      <c r="N167" s="70"/>
      <c r="O167" s="69"/>
      <c r="S167" s="70"/>
      <c r="T167" s="69"/>
      <c r="V167" s="72" t="str">
        <f t="shared" si="6"/>
        <v/>
      </c>
      <c r="W167" s="72" t="str">
        <f t="shared" si="7"/>
        <v/>
      </c>
      <c r="X167" s="72" t="str">
        <f t="shared" si="8"/>
        <v/>
      </c>
      <c r="AD167" s="70"/>
      <c r="AE167" s="70"/>
      <c r="AF167" s="70"/>
      <c r="AH167" s="70"/>
      <c r="AJ167" s="70"/>
      <c r="AN167" s="70"/>
      <c r="AO167" s="70"/>
      <c r="AP167" s="70"/>
      <c r="AR167" s="70"/>
      <c r="AT167" s="70"/>
      <c r="AX167" s="70"/>
      <c r="AY167" s="70"/>
      <c r="AZ167" s="70"/>
      <c r="BB167" s="70"/>
      <c r="BD167" s="70"/>
      <c r="BE167" s="70"/>
      <c r="BF167" s="70"/>
      <c r="BK167" s="70"/>
      <c r="BM167" s="70"/>
      <c r="BN167" s="70"/>
      <c r="BP167" s="70"/>
      <c r="BQ167" s="70"/>
      <c r="BR167" s="70"/>
      <c r="BT167" s="70"/>
      <c r="BU167" s="70"/>
      <c r="BV167" s="70"/>
      <c r="BW167" s="70"/>
      <c r="BX167" s="70"/>
      <c r="BY167" s="70"/>
      <c r="BZ167" s="70"/>
      <c r="CA167" s="70"/>
      <c r="CB167" s="70"/>
      <c r="CC167" s="70"/>
      <c r="CD167" s="70"/>
      <c r="CE167" s="70"/>
      <c r="CF167" s="70"/>
      <c r="CJ167" s="70"/>
      <c r="CK167" s="70"/>
      <c r="CL167" s="70"/>
      <c r="CM167" s="70"/>
      <c r="CO167" s="70"/>
      <c r="CQ167" s="70"/>
      <c r="CS167" s="70"/>
      <c r="CT167" s="70"/>
      <c r="CU167" s="70"/>
      <c r="CW167" s="70"/>
      <c r="CX167" s="70"/>
      <c r="CY167" s="70"/>
      <c r="CZ167" s="70"/>
      <c r="DC167" s="70"/>
      <c r="DD167" s="70"/>
      <c r="DI167" s="73"/>
      <c r="DJ167" s="73"/>
      <c r="DK167" s="73"/>
      <c r="DL167" s="73"/>
      <c r="DM167" s="73"/>
      <c r="DN167" s="73"/>
      <c r="DO167" s="73"/>
      <c r="DP167" s="73"/>
      <c r="DQ167" s="73"/>
      <c r="DR167" s="73"/>
      <c r="DS167" s="73"/>
    </row>
    <row r="168" spans="1:123" ht="24.95" customHeight="1">
      <c r="A168" s="68"/>
      <c r="D168" s="69"/>
      <c r="E168" s="69"/>
      <c r="F168" s="69"/>
      <c r="G168" s="70"/>
      <c r="H168" s="70"/>
      <c r="I168" s="70"/>
      <c r="J168" s="70"/>
      <c r="N168" s="70"/>
      <c r="O168" s="69"/>
      <c r="S168" s="70"/>
      <c r="T168" s="69"/>
      <c r="V168" s="72" t="str">
        <f t="shared" si="6"/>
        <v/>
      </c>
      <c r="W168" s="72" t="str">
        <f t="shared" si="7"/>
        <v/>
      </c>
      <c r="X168" s="72" t="str">
        <f t="shared" si="8"/>
        <v/>
      </c>
      <c r="AD168" s="70"/>
      <c r="AE168" s="70"/>
      <c r="AF168" s="70"/>
      <c r="AH168" s="70"/>
      <c r="AJ168" s="70"/>
      <c r="AN168" s="70"/>
      <c r="AO168" s="70"/>
      <c r="AP168" s="70"/>
      <c r="AR168" s="70"/>
      <c r="AT168" s="70"/>
      <c r="AX168" s="70"/>
      <c r="AY168" s="70"/>
      <c r="AZ168" s="70"/>
      <c r="BB168" s="70"/>
      <c r="BD168" s="70"/>
      <c r="BE168" s="70"/>
      <c r="BF168" s="70"/>
      <c r="BK168" s="70"/>
      <c r="BM168" s="70"/>
      <c r="BN168" s="70"/>
      <c r="BP168" s="70"/>
      <c r="BQ168" s="70"/>
      <c r="BR168" s="70"/>
      <c r="BT168" s="70"/>
      <c r="BU168" s="70"/>
      <c r="BV168" s="70"/>
      <c r="BW168" s="70"/>
      <c r="BX168" s="70"/>
      <c r="BY168" s="70"/>
      <c r="BZ168" s="70"/>
      <c r="CA168" s="70"/>
      <c r="CB168" s="70"/>
      <c r="CC168" s="70"/>
      <c r="CD168" s="70"/>
      <c r="CE168" s="70"/>
      <c r="CF168" s="70"/>
      <c r="CJ168" s="70"/>
      <c r="CK168" s="70"/>
      <c r="CL168" s="70"/>
      <c r="CM168" s="70"/>
      <c r="CO168" s="70"/>
      <c r="CQ168" s="70"/>
      <c r="CS168" s="70"/>
      <c r="CT168" s="70"/>
      <c r="CU168" s="70"/>
      <c r="CW168" s="70"/>
      <c r="CX168" s="70"/>
      <c r="CY168" s="70"/>
      <c r="CZ168" s="70"/>
      <c r="DC168" s="70"/>
      <c r="DD168" s="70"/>
      <c r="DI168" s="73"/>
      <c r="DJ168" s="73"/>
      <c r="DK168" s="73"/>
      <c r="DL168" s="73"/>
      <c r="DM168" s="73"/>
      <c r="DN168" s="73"/>
      <c r="DO168" s="73"/>
      <c r="DP168" s="73"/>
      <c r="DQ168" s="73"/>
      <c r="DR168" s="73"/>
      <c r="DS168" s="73"/>
    </row>
    <row r="169" spans="1:123" ht="24.95" customHeight="1">
      <c r="A169" s="68"/>
      <c r="D169" s="69"/>
      <c r="E169" s="69"/>
      <c r="F169" s="69"/>
      <c r="G169" s="70"/>
      <c r="H169" s="70"/>
      <c r="I169" s="70"/>
      <c r="J169" s="70"/>
      <c r="N169" s="70"/>
      <c r="O169" s="69"/>
      <c r="S169" s="70"/>
      <c r="T169" s="69"/>
      <c r="V169" s="72" t="str">
        <f t="shared" si="6"/>
        <v/>
      </c>
      <c r="W169" s="72" t="str">
        <f t="shared" si="7"/>
        <v/>
      </c>
      <c r="X169" s="72" t="str">
        <f t="shared" si="8"/>
        <v/>
      </c>
      <c r="AD169" s="70"/>
      <c r="AE169" s="70"/>
      <c r="AF169" s="70"/>
      <c r="AH169" s="70"/>
      <c r="AJ169" s="70"/>
      <c r="AN169" s="70"/>
      <c r="AO169" s="70"/>
      <c r="AP169" s="70"/>
      <c r="AR169" s="70"/>
      <c r="AT169" s="70"/>
      <c r="AX169" s="70"/>
      <c r="AY169" s="70"/>
      <c r="AZ169" s="70"/>
      <c r="BB169" s="70"/>
      <c r="BD169" s="70"/>
      <c r="BE169" s="70"/>
      <c r="BF169" s="70"/>
      <c r="BK169" s="70"/>
      <c r="BM169" s="70"/>
      <c r="BN169" s="70"/>
      <c r="BP169" s="70"/>
      <c r="BQ169" s="70"/>
      <c r="BR169" s="70"/>
      <c r="BT169" s="70"/>
      <c r="BU169" s="70"/>
      <c r="BV169" s="70"/>
      <c r="BW169" s="70"/>
      <c r="BX169" s="70"/>
      <c r="BY169" s="70"/>
      <c r="BZ169" s="70"/>
      <c r="CA169" s="70"/>
      <c r="CB169" s="70"/>
      <c r="CC169" s="70"/>
      <c r="CD169" s="70"/>
      <c r="CE169" s="70"/>
      <c r="CF169" s="70"/>
      <c r="CJ169" s="70"/>
      <c r="CK169" s="70"/>
      <c r="CL169" s="70"/>
      <c r="CM169" s="70"/>
      <c r="CO169" s="70"/>
      <c r="CQ169" s="70"/>
      <c r="CS169" s="70"/>
      <c r="CT169" s="70"/>
      <c r="CU169" s="70"/>
      <c r="CW169" s="70"/>
      <c r="CX169" s="70"/>
      <c r="CY169" s="70"/>
      <c r="CZ169" s="70"/>
      <c r="DC169" s="70"/>
      <c r="DD169" s="70"/>
      <c r="DI169" s="73"/>
      <c r="DJ169" s="73"/>
      <c r="DK169" s="73"/>
      <c r="DL169" s="73"/>
      <c r="DM169" s="73"/>
      <c r="DN169" s="73"/>
      <c r="DO169" s="73"/>
      <c r="DP169" s="73"/>
      <c r="DQ169" s="73"/>
      <c r="DR169" s="73"/>
      <c r="DS169" s="73"/>
    </row>
    <row r="170" spans="1:123" ht="24.95" customHeight="1">
      <c r="A170" s="68"/>
      <c r="D170" s="69"/>
      <c r="E170" s="69"/>
      <c r="F170" s="69"/>
      <c r="G170" s="70"/>
      <c r="H170" s="70"/>
      <c r="I170" s="70"/>
      <c r="J170" s="70"/>
      <c r="N170" s="70"/>
      <c r="O170" s="69"/>
      <c r="S170" s="70"/>
      <c r="T170" s="69"/>
      <c r="V170" s="72" t="str">
        <f t="shared" si="6"/>
        <v/>
      </c>
      <c r="W170" s="72" t="str">
        <f t="shared" si="7"/>
        <v/>
      </c>
      <c r="X170" s="72" t="str">
        <f t="shared" si="8"/>
        <v/>
      </c>
      <c r="AD170" s="70"/>
      <c r="AE170" s="70"/>
      <c r="AF170" s="70"/>
      <c r="AH170" s="70"/>
      <c r="AJ170" s="70"/>
      <c r="AN170" s="70"/>
      <c r="AO170" s="70"/>
      <c r="AP170" s="70"/>
      <c r="AR170" s="70"/>
      <c r="AT170" s="70"/>
      <c r="AX170" s="70"/>
      <c r="AY170" s="70"/>
      <c r="AZ170" s="70"/>
      <c r="BB170" s="70"/>
      <c r="BD170" s="70"/>
      <c r="BE170" s="70"/>
      <c r="BF170" s="70"/>
      <c r="BK170" s="70"/>
      <c r="BM170" s="70"/>
      <c r="BN170" s="70"/>
      <c r="BP170" s="70"/>
      <c r="BQ170" s="70"/>
      <c r="BR170" s="70"/>
      <c r="BT170" s="70"/>
      <c r="BU170" s="70"/>
      <c r="BV170" s="70"/>
      <c r="BW170" s="70"/>
      <c r="BX170" s="70"/>
      <c r="BY170" s="70"/>
      <c r="BZ170" s="70"/>
      <c r="CA170" s="70"/>
      <c r="CB170" s="70"/>
      <c r="CC170" s="70"/>
      <c r="CD170" s="70"/>
      <c r="CE170" s="70"/>
      <c r="CF170" s="70"/>
      <c r="CJ170" s="70"/>
      <c r="CK170" s="70"/>
      <c r="CL170" s="70"/>
      <c r="CM170" s="70"/>
      <c r="CO170" s="70"/>
      <c r="CQ170" s="70"/>
      <c r="CS170" s="70"/>
      <c r="CT170" s="70"/>
      <c r="CU170" s="70"/>
      <c r="CW170" s="70"/>
      <c r="CX170" s="70"/>
      <c r="CY170" s="70"/>
      <c r="CZ170" s="70"/>
      <c r="DC170" s="70"/>
      <c r="DD170" s="70"/>
      <c r="DI170" s="73"/>
      <c r="DJ170" s="73"/>
      <c r="DK170" s="73"/>
      <c r="DL170" s="73"/>
      <c r="DM170" s="73"/>
      <c r="DN170" s="73"/>
      <c r="DO170" s="73"/>
      <c r="DP170" s="73"/>
      <c r="DQ170" s="73"/>
      <c r="DR170" s="73"/>
      <c r="DS170" s="73"/>
    </row>
    <row r="171" spans="1:123" ht="24.95" customHeight="1">
      <c r="A171" s="68"/>
      <c r="D171" s="69"/>
      <c r="E171" s="69"/>
      <c r="F171" s="69"/>
      <c r="G171" s="70"/>
      <c r="H171" s="70"/>
      <c r="I171" s="70"/>
      <c r="J171" s="70"/>
      <c r="N171" s="70"/>
      <c r="O171" s="69"/>
      <c r="S171" s="70"/>
      <c r="T171" s="69"/>
      <c r="V171" s="72" t="str">
        <f t="shared" si="6"/>
        <v/>
      </c>
      <c r="W171" s="72" t="str">
        <f t="shared" si="7"/>
        <v/>
      </c>
      <c r="X171" s="72" t="str">
        <f t="shared" si="8"/>
        <v/>
      </c>
      <c r="AD171" s="70"/>
      <c r="AE171" s="70"/>
      <c r="AF171" s="70"/>
      <c r="AH171" s="70"/>
      <c r="AJ171" s="70"/>
      <c r="AN171" s="70"/>
      <c r="AO171" s="70"/>
      <c r="AP171" s="70"/>
      <c r="AR171" s="70"/>
      <c r="AT171" s="70"/>
      <c r="AX171" s="70"/>
      <c r="AY171" s="70"/>
      <c r="AZ171" s="70"/>
      <c r="BB171" s="70"/>
      <c r="BD171" s="70"/>
      <c r="BE171" s="70"/>
      <c r="BF171" s="70"/>
      <c r="BK171" s="70"/>
      <c r="BM171" s="70"/>
      <c r="BN171" s="70"/>
      <c r="BP171" s="70"/>
      <c r="BQ171" s="70"/>
      <c r="BR171" s="70"/>
      <c r="BT171" s="70"/>
      <c r="BU171" s="70"/>
      <c r="BV171" s="70"/>
      <c r="BW171" s="70"/>
      <c r="BX171" s="70"/>
      <c r="BY171" s="70"/>
      <c r="BZ171" s="70"/>
      <c r="CA171" s="70"/>
      <c r="CB171" s="70"/>
      <c r="CC171" s="70"/>
      <c r="CD171" s="70"/>
      <c r="CE171" s="70"/>
      <c r="CF171" s="70"/>
      <c r="CJ171" s="70"/>
      <c r="CK171" s="70"/>
      <c r="CL171" s="70"/>
      <c r="CM171" s="70"/>
      <c r="CO171" s="70"/>
      <c r="CQ171" s="70"/>
      <c r="CS171" s="70"/>
      <c r="CT171" s="70"/>
      <c r="CU171" s="70"/>
      <c r="CW171" s="70"/>
      <c r="CX171" s="70"/>
      <c r="CY171" s="70"/>
      <c r="CZ171" s="70"/>
      <c r="DC171" s="70"/>
      <c r="DD171" s="70"/>
      <c r="DI171" s="73"/>
      <c r="DJ171" s="73"/>
      <c r="DK171" s="73"/>
      <c r="DL171" s="73"/>
      <c r="DM171" s="73"/>
      <c r="DN171" s="73"/>
      <c r="DO171" s="73"/>
      <c r="DP171" s="73"/>
      <c r="DQ171" s="73"/>
      <c r="DR171" s="73"/>
      <c r="DS171" s="73"/>
    </row>
    <row r="172" spans="1:123" ht="24.95" customHeight="1">
      <c r="A172" s="68"/>
      <c r="D172" s="69"/>
      <c r="E172" s="69"/>
      <c r="F172" s="69"/>
      <c r="G172" s="70"/>
      <c r="H172" s="70"/>
      <c r="I172" s="70"/>
      <c r="J172" s="70"/>
      <c r="N172" s="70"/>
      <c r="O172" s="69"/>
      <c r="S172" s="70"/>
      <c r="T172" s="69"/>
      <c r="V172" s="72" t="str">
        <f t="shared" si="6"/>
        <v/>
      </c>
      <c r="W172" s="72" t="str">
        <f t="shared" si="7"/>
        <v/>
      </c>
      <c r="X172" s="72" t="str">
        <f t="shared" si="8"/>
        <v/>
      </c>
      <c r="AD172" s="70"/>
      <c r="AE172" s="70"/>
      <c r="AF172" s="70"/>
      <c r="AH172" s="70"/>
      <c r="AJ172" s="70"/>
      <c r="AN172" s="70"/>
      <c r="AO172" s="70"/>
      <c r="AP172" s="70"/>
      <c r="AR172" s="70"/>
      <c r="AT172" s="70"/>
      <c r="AX172" s="70"/>
      <c r="AY172" s="70"/>
      <c r="AZ172" s="70"/>
      <c r="BB172" s="70"/>
      <c r="BD172" s="70"/>
      <c r="BE172" s="70"/>
      <c r="BF172" s="70"/>
      <c r="BK172" s="70"/>
      <c r="BM172" s="70"/>
      <c r="BN172" s="70"/>
      <c r="BP172" s="70"/>
      <c r="BQ172" s="70"/>
      <c r="BR172" s="70"/>
      <c r="BT172" s="70"/>
      <c r="BU172" s="70"/>
      <c r="BV172" s="70"/>
      <c r="BW172" s="70"/>
      <c r="BX172" s="70"/>
      <c r="BY172" s="70"/>
      <c r="BZ172" s="70"/>
      <c r="CA172" s="70"/>
      <c r="CB172" s="70"/>
      <c r="CC172" s="70"/>
      <c r="CD172" s="70"/>
      <c r="CE172" s="70"/>
      <c r="CF172" s="70"/>
      <c r="CJ172" s="70"/>
      <c r="CK172" s="70"/>
      <c r="CL172" s="70"/>
      <c r="CM172" s="70"/>
      <c r="CO172" s="70"/>
      <c r="CQ172" s="70"/>
      <c r="CS172" s="70"/>
      <c r="CT172" s="70"/>
      <c r="CU172" s="70"/>
      <c r="CW172" s="70"/>
      <c r="CX172" s="70"/>
      <c r="CY172" s="70"/>
      <c r="CZ172" s="70"/>
      <c r="DC172" s="70"/>
      <c r="DD172" s="70"/>
      <c r="DI172" s="73"/>
      <c r="DJ172" s="73"/>
      <c r="DK172" s="73"/>
      <c r="DL172" s="73"/>
      <c r="DM172" s="73"/>
      <c r="DN172" s="73"/>
      <c r="DO172" s="73"/>
      <c r="DP172" s="73"/>
      <c r="DQ172" s="73"/>
      <c r="DR172" s="73"/>
      <c r="DS172" s="73"/>
    </row>
    <row r="173" spans="1:123" ht="24.95" customHeight="1">
      <c r="A173" s="68"/>
      <c r="D173" s="69"/>
      <c r="E173" s="69"/>
      <c r="F173" s="69"/>
      <c r="G173" s="70"/>
      <c r="H173" s="70"/>
      <c r="I173" s="70"/>
      <c r="J173" s="70"/>
      <c r="N173" s="70"/>
      <c r="O173" s="69"/>
      <c r="S173" s="70"/>
      <c r="T173" s="69"/>
      <c r="V173" s="72" t="str">
        <f t="shared" si="6"/>
        <v/>
      </c>
      <c r="W173" s="72" t="str">
        <f t="shared" si="7"/>
        <v/>
      </c>
      <c r="X173" s="72" t="str">
        <f t="shared" si="8"/>
        <v/>
      </c>
      <c r="AD173" s="70"/>
      <c r="AE173" s="70"/>
      <c r="AF173" s="70"/>
      <c r="AH173" s="70"/>
      <c r="AJ173" s="70"/>
      <c r="AN173" s="70"/>
      <c r="AO173" s="70"/>
      <c r="AP173" s="70"/>
      <c r="AR173" s="70"/>
      <c r="AT173" s="70"/>
      <c r="AX173" s="70"/>
      <c r="AY173" s="70"/>
      <c r="AZ173" s="70"/>
      <c r="BB173" s="70"/>
      <c r="BD173" s="70"/>
      <c r="BE173" s="70"/>
      <c r="BF173" s="70"/>
      <c r="BK173" s="70"/>
      <c r="BM173" s="70"/>
      <c r="BN173" s="70"/>
      <c r="BP173" s="70"/>
      <c r="BQ173" s="70"/>
      <c r="BR173" s="70"/>
      <c r="BT173" s="70"/>
      <c r="BU173" s="70"/>
      <c r="BV173" s="70"/>
      <c r="BW173" s="70"/>
      <c r="BX173" s="70"/>
      <c r="BY173" s="70"/>
      <c r="BZ173" s="70"/>
      <c r="CA173" s="70"/>
      <c r="CB173" s="70"/>
      <c r="CC173" s="70"/>
      <c r="CD173" s="70"/>
      <c r="CE173" s="70"/>
      <c r="CF173" s="70"/>
      <c r="CJ173" s="70"/>
      <c r="CK173" s="70"/>
      <c r="CL173" s="70"/>
      <c r="CM173" s="70"/>
      <c r="CO173" s="70"/>
      <c r="CQ173" s="70"/>
      <c r="CS173" s="70"/>
      <c r="CT173" s="70"/>
      <c r="CU173" s="70"/>
      <c r="CW173" s="70"/>
      <c r="CX173" s="70"/>
      <c r="CY173" s="70"/>
      <c r="CZ173" s="70"/>
      <c r="DC173" s="70"/>
      <c r="DD173" s="70"/>
      <c r="DI173" s="73"/>
      <c r="DJ173" s="73"/>
      <c r="DK173" s="73"/>
      <c r="DL173" s="73"/>
      <c r="DM173" s="73"/>
      <c r="DN173" s="73"/>
      <c r="DO173" s="73"/>
      <c r="DP173" s="73"/>
      <c r="DQ173" s="73"/>
      <c r="DR173" s="73"/>
      <c r="DS173" s="73"/>
    </row>
    <row r="174" spans="1:123" ht="24.95" customHeight="1">
      <c r="A174" s="68"/>
      <c r="D174" s="69"/>
      <c r="E174" s="69"/>
      <c r="F174" s="69"/>
      <c r="G174" s="70"/>
      <c r="H174" s="70"/>
      <c r="I174" s="70"/>
      <c r="J174" s="70"/>
      <c r="N174" s="70"/>
      <c r="O174" s="69"/>
      <c r="S174" s="70"/>
      <c r="T174" s="69"/>
      <c r="V174" s="72" t="str">
        <f t="shared" si="6"/>
        <v/>
      </c>
      <c r="W174" s="72" t="str">
        <f t="shared" si="7"/>
        <v/>
      </c>
      <c r="X174" s="72" t="str">
        <f t="shared" si="8"/>
        <v/>
      </c>
      <c r="AD174" s="70"/>
      <c r="AE174" s="70"/>
      <c r="AF174" s="70"/>
      <c r="AH174" s="70"/>
      <c r="AJ174" s="70"/>
      <c r="AN174" s="70"/>
      <c r="AO174" s="70"/>
      <c r="AP174" s="70"/>
      <c r="AR174" s="70"/>
      <c r="AT174" s="70"/>
      <c r="AX174" s="70"/>
      <c r="AY174" s="70"/>
      <c r="AZ174" s="70"/>
      <c r="BB174" s="70"/>
      <c r="BD174" s="70"/>
      <c r="BE174" s="70"/>
      <c r="BF174" s="70"/>
      <c r="BK174" s="70"/>
      <c r="BM174" s="70"/>
      <c r="BN174" s="70"/>
      <c r="BP174" s="70"/>
      <c r="BQ174" s="70"/>
      <c r="BR174" s="70"/>
      <c r="BT174" s="70"/>
      <c r="BU174" s="70"/>
      <c r="BV174" s="70"/>
      <c r="BW174" s="70"/>
      <c r="BX174" s="70"/>
      <c r="BY174" s="70"/>
      <c r="BZ174" s="70"/>
      <c r="CA174" s="70"/>
      <c r="CB174" s="70"/>
      <c r="CC174" s="70"/>
      <c r="CD174" s="70"/>
      <c r="CE174" s="70"/>
      <c r="CF174" s="70"/>
      <c r="CJ174" s="70"/>
      <c r="CK174" s="70"/>
      <c r="CL174" s="70"/>
      <c r="CM174" s="70"/>
      <c r="CO174" s="70"/>
      <c r="CQ174" s="70"/>
      <c r="CS174" s="70"/>
      <c r="CT174" s="70"/>
      <c r="CU174" s="70"/>
      <c r="CW174" s="70"/>
      <c r="CX174" s="70"/>
      <c r="CY174" s="70"/>
      <c r="CZ174" s="70"/>
      <c r="DC174" s="70"/>
      <c r="DD174" s="70"/>
      <c r="DI174" s="73"/>
      <c r="DJ174" s="73"/>
      <c r="DK174" s="73"/>
      <c r="DL174" s="73"/>
      <c r="DM174" s="73"/>
      <c r="DN174" s="73"/>
      <c r="DO174" s="73"/>
      <c r="DP174" s="73"/>
      <c r="DQ174" s="73"/>
      <c r="DR174" s="73"/>
      <c r="DS174" s="73"/>
    </row>
    <row r="175" spans="1:123" ht="24.95" customHeight="1">
      <c r="A175" s="68"/>
      <c r="D175" s="69"/>
      <c r="E175" s="69"/>
      <c r="F175" s="69"/>
      <c r="G175" s="70"/>
      <c r="H175" s="70"/>
      <c r="I175" s="70"/>
      <c r="J175" s="70"/>
      <c r="N175" s="70"/>
      <c r="O175" s="69"/>
      <c r="S175" s="70"/>
      <c r="T175" s="69"/>
      <c r="V175" s="72" t="str">
        <f t="shared" si="6"/>
        <v/>
      </c>
      <c r="W175" s="72" t="str">
        <f t="shared" si="7"/>
        <v/>
      </c>
      <c r="X175" s="72" t="str">
        <f t="shared" si="8"/>
        <v/>
      </c>
      <c r="AD175" s="70"/>
      <c r="AE175" s="70"/>
      <c r="AF175" s="70"/>
      <c r="AH175" s="70"/>
      <c r="AJ175" s="70"/>
      <c r="AN175" s="70"/>
      <c r="AO175" s="70"/>
      <c r="AP175" s="70"/>
      <c r="AR175" s="70"/>
      <c r="AT175" s="70"/>
      <c r="AX175" s="70"/>
      <c r="AY175" s="70"/>
      <c r="AZ175" s="70"/>
      <c r="BB175" s="70"/>
      <c r="BD175" s="70"/>
      <c r="BE175" s="70"/>
      <c r="BF175" s="70"/>
      <c r="BK175" s="70"/>
      <c r="BM175" s="70"/>
      <c r="BN175" s="70"/>
      <c r="BP175" s="70"/>
      <c r="BQ175" s="70"/>
      <c r="BR175" s="70"/>
      <c r="BT175" s="70"/>
      <c r="BU175" s="70"/>
      <c r="BV175" s="70"/>
      <c r="BW175" s="70"/>
      <c r="BX175" s="70"/>
      <c r="BY175" s="70"/>
      <c r="BZ175" s="70"/>
      <c r="CA175" s="70"/>
      <c r="CB175" s="70"/>
      <c r="CC175" s="70"/>
      <c r="CD175" s="70"/>
      <c r="CE175" s="70"/>
      <c r="CF175" s="70"/>
      <c r="CJ175" s="70"/>
      <c r="CK175" s="70"/>
      <c r="CL175" s="70"/>
      <c r="CM175" s="70"/>
      <c r="CO175" s="70"/>
      <c r="CQ175" s="70"/>
      <c r="CS175" s="70"/>
      <c r="CT175" s="70"/>
      <c r="CU175" s="70"/>
      <c r="CW175" s="70"/>
      <c r="CX175" s="70"/>
      <c r="CY175" s="70"/>
      <c r="CZ175" s="70"/>
      <c r="DC175" s="70"/>
      <c r="DD175" s="70"/>
      <c r="DI175" s="73"/>
      <c r="DJ175" s="73"/>
      <c r="DK175" s="73"/>
      <c r="DL175" s="73"/>
      <c r="DM175" s="73"/>
      <c r="DN175" s="73"/>
      <c r="DO175" s="73"/>
      <c r="DP175" s="73"/>
      <c r="DQ175" s="73"/>
      <c r="DR175" s="73"/>
      <c r="DS175" s="73"/>
    </row>
    <row r="176" spans="1:123" ht="24.95" customHeight="1">
      <c r="A176" s="68"/>
      <c r="D176" s="69"/>
      <c r="E176" s="69"/>
      <c r="F176" s="69"/>
      <c r="G176" s="70"/>
      <c r="H176" s="70"/>
      <c r="I176" s="70"/>
      <c r="J176" s="70"/>
      <c r="N176" s="70"/>
      <c r="O176" s="69"/>
      <c r="S176" s="70"/>
      <c r="T176" s="69"/>
      <c r="V176" s="72" t="str">
        <f t="shared" si="6"/>
        <v/>
      </c>
      <c r="W176" s="72" t="str">
        <f t="shared" si="7"/>
        <v/>
      </c>
      <c r="X176" s="72" t="str">
        <f t="shared" si="8"/>
        <v/>
      </c>
      <c r="AD176" s="70"/>
      <c r="AE176" s="70"/>
      <c r="AF176" s="70"/>
      <c r="AH176" s="70"/>
      <c r="AJ176" s="70"/>
      <c r="AN176" s="70"/>
      <c r="AO176" s="70"/>
      <c r="AP176" s="70"/>
      <c r="AR176" s="70"/>
      <c r="AT176" s="70"/>
      <c r="AX176" s="70"/>
      <c r="AY176" s="70"/>
      <c r="AZ176" s="70"/>
      <c r="BB176" s="70"/>
      <c r="BD176" s="70"/>
      <c r="BE176" s="70"/>
      <c r="BF176" s="70"/>
      <c r="BK176" s="70"/>
      <c r="BM176" s="70"/>
      <c r="BN176" s="70"/>
      <c r="BP176" s="70"/>
      <c r="BQ176" s="70"/>
      <c r="BR176" s="70"/>
      <c r="BT176" s="70"/>
      <c r="BU176" s="70"/>
      <c r="BV176" s="70"/>
      <c r="BW176" s="70"/>
      <c r="BX176" s="70"/>
      <c r="BY176" s="70"/>
      <c r="BZ176" s="70"/>
      <c r="CA176" s="70"/>
      <c r="CB176" s="70"/>
      <c r="CC176" s="70"/>
      <c r="CD176" s="70"/>
      <c r="CE176" s="70"/>
      <c r="CF176" s="70"/>
      <c r="CJ176" s="70"/>
      <c r="CK176" s="70"/>
      <c r="CL176" s="70"/>
      <c r="CM176" s="70"/>
      <c r="CO176" s="70"/>
      <c r="CQ176" s="70"/>
      <c r="CS176" s="70"/>
      <c r="CT176" s="70"/>
      <c r="CU176" s="70"/>
      <c r="CW176" s="70"/>
      <c r="CX176" s="70"/>
      <c r="CY176" s="70"/>
      <c r="CZ176" s="70"/>
      <c r="DC176" s="70"/>
      <c r="DD176" s="70"/>
      <c r="DI176" s="73"/>
      <c r="DJ176" s="73"/>
      <c r="DK176" s="73"/>
      <c r="DL176" s="73"/>
      <c r="DM176" s="73"/>
      <c r="DN176" s="73"/>
      <c r="DO176" s="73"/>
      <c r="DP176" s="73"/>
      <c r="DQ176" s="73"/>
      <c r="DR176" s="73"/>
      <c r="DS176" s="73"/>
    </row>
    <row r="177" spans="1:123" ht="24.95" customHeight="1">
      <c r="A177" s="68"/>
      <c r="D177" s="69"/>
      <c r="E177" s="69"/>
      <c r="F177" s="69"/>
      <c r="G177" s="70"/>
      <c r="H177" s="70"/>
      <c r="I177" s="70"/>
      <c r="J177" s="70"/>
      <c r="N177" s="70"/>
      <c r="O177" s="69"/>
      <c r="S177" s="70"/>
      <c r="T177" s="69"/>
      <c r="V177" s="72" t="str">
        <f t="shared" si="6"/>
        <v/>
      </c>
      <c r="W177" s="72" t="str">
        <f t="shared" si="7"/>
        <v/>
      </c>
      <c r="X177" s="72" t="str">
        <f t="shared" si="8"/>
        <v/>
      </c>
      <c r="AD177" s="70"/>
      <c r="AE177" s="70"/>
      <c r="AF177" s="70"/>
      <c r="AH177" s="70"/>
      <c r="AJ177" s="70"/>
      <c r="AN177" s="70"/>
      <c r="AO177" s="70"/>
      <c r="AP177" s="70"/>
      <c r="AR177" s="70"/>
      <c r="AT177" s="70"/>
      <c r="AX177" s="70"/>
      <c r="AY177" s="70"/>
      <c r="AZ177" s="70"/>
      <c r="BB177" s="70"/>
      <c r="BD177" s="70"/>
      <c r="BE177" s="70"/>
      <c r="BF177" s="70"/>
      <c r="BK177" s="70"/>
      <c r="BM177" s="70"/>
      <c r="BN177" s="70"/>
      <c r="BP177" s="70"/>
      <c r="BQ177" s="70"/>
      <c r="BR177" s="70"/>
      <c r="BT177" s="70"/>
      <c r="BU177" s="70"/>
      <c r="BV177" s="70"/>
      <c r="BW177" s="70"/>
      <c r="BX177" s="70"/>
      <c r="BY177" s="70"/>
      <c r="BZ177" s="70"/>
      <c r="CA177" s="70"/>
      <c r="CB177" s="70"/>
      <c r="CC177" s="70"/>
      <c r="CD177" s="70"/>
      <c r="CE177" s="70"/>
      <c r="CF177" s="70"/>
      <c r="CJ177" s="70"/>
      <c r="CK177" s="70"/>
      <c r="CL177" s="70"/>
      <c r="CM177" s="70"/>
      <c r="CO177" s="70"/>
      <c r="CQ177" s="70"/>
      <c r="CS177" s="70"/>
      <c r="CT177" s="70"/>
      <c r="CU177" s="70"/>
      <c r="CW177" s="70"/>
      <c r="CX177" s="70"/>
      <c r="CY177" s="70"/>
      <c r="CZ177" s="70"/>
      <c r="DC177" s="70"/>
      <c r="DD177" s="70"/>
      <c r="DI177" s="73"/>
      <c r="DJ177" s="73"/>
      <c r="DK177" s="73"/>
      <c r="DL177" s="73"/>
      <c r="DM177" s="73"/>
      <c r="DN177" s="73"/>
      <c r="DO177" s="73"/>
      <c r="DP177" s="73"/>
      <c r="DQ177" s="73"/>
      <c r="DR177" s="73"/>
      <c r="DS177" s="73"/>
    </row>
    <row r="178" spans="1:123" ht="24.95" customHeight="1">
      <c r="A178" s="68"/>
      <c r="D178" s="69"/>
      <c r="E178" s="69"/>
      <c r="F178" s="69"/>
      <c r="G178" s="70"/>
      <c r="H178" s="70"/>
      <c r="I178" s="70"/>
      <c r="J178" s="70"/>
      <c r="N178" s="70"/>
      <c r="O178" s="69"/>
      <c r="S178" s="70"/>
      <c r="T178" s="69"/>
      <c r="V178" s="72" t="str">
        <f t="shared" si="6"/>
        <v/>
      </c>
      <c r="W178" s="72" t="str">
        <f t="shared" si="7"/>
        <v/>
      </c>
      <c r="X178" s="72" t="str">
        <f t="shared" si="8"/>
        <v/>
      </c>
      <c r="AD178" s="70"/>
      <c r="AE178" s="70"/>
      <c r="AF178" s="70"/>
      <c r="AH178" s="70"/>
      <c r="AJ178" s="70"/>
      <c r="AN178" s="70"/>
      <c r="AO178" s="70"/>
      <c r="AP178" s="70"/>
      <c r="AR178" s="70"/>
      <c r="AT178" s="70"/>
      <c r="AX178" s="70"/>
      <c r="AY178" s="70"/>
      <c r="AZ178" s="70"/>
      <c r="BB178" s="70"/>
      <c r="BD178" s="70"/>
      <c r="BE178" s="70"/>
      <c r="BF178" s="70"/>
      <c r="BK178" s="70"/>
      <c r="BM178" s="70"/>
      <c r="BN178" s="70"/>
      <c r="BP178" s="70"/>
      <c r="BQ178" s="70"/>
      <c r="BR178" s="70"/>
      <c r="BT178" s="70"/>
      <c r="BU178" s="70"/>
      <c r="BV178" s="70"/>
      <c r="BW178" s="70"/>
      <c r="BX178" s="70"/>
      <c r="BY178" s="70"/>
      <c r="BZ178" s="70"/>
      <c r="CA178" s="70"/>
      <c r="CB178" s="70"/>
      <c r="CC178" s="70"/>
      <c r="CD178" s="70"/>
      <c r="CE178" s="70"/>
      <c r="CF178" s="70"/>
      <c r="CJ178" s="70"/>
      <c r="CK178" s="70"/>
      <c r="CL178" s="70"/>
      <c r="CM178" s="70"/>
      <c r="CO178" s="70"/>
      <c r="CQ178" s="70"/>
      <c r="CS178" s="70"/>
      <c r="CT178" s="70"/>
      <c r="CU178" s="70"/>
      <c r="CW178" s="70"/>
      <c r="CX178" s="70"/>
      <c r="CY178" s="70"/>
      <c r="CZ178" s="70"/>
      <c r="DC178" s="70"/>
      <c r="DD178" s="70"/>
      <c r="DI178" s="73"/>
      <c r="DJ178" s="73"/>
      <c r="DK178" s="73"/>
      <c r="DL178" s="73"/>
      <c r="DM178" s="73"/>
      <c r="DN178" s="73"/>
      <c r="DO178" s="73"/>
      <c r="DP178" s="73"/>
      <c r="DQ178" s="73"/>
      <c r="DR178" s="73"/>
      <c r="DS178" s="73"/>
    </row>
    <row r="179" spans="1:123" ht="24.95" customHeight="1">
      <c r="A179" s="68"/>
      <c r="D179" s="69"/>
      <c r="E179" s="69"/>
      <c r="F179" s="69"/>
      <c r="G179" s="70"/>
      <c r="H179" s="70"/>
      <c r="I179" s="70"/>
      <c r="J179" s="70"/>
      <c r="N179" s="70"/>
      <c r="O179" s="69"/>
      <c r="S179" s="70"/>
      <c r="T179" s="69"/>
      <c r="V179" s="72" t="str">
        <f t="shared" si="6"/>
        <v/>
      </c>
      <c r="W179" s="72" t="str">
        <f t="shared" si="7"/>
        <v/>
      </c>
      <c r="X179" s="72" t="str">
        <f t="shared" si="8"/>
        <v/>
      </c>
      <c r="AD179" s="70"/>
      <c r="AE179" s="70"/>
      <c r="AF179" s="70"/>
      <c r="AH179" s="70"/>
      <c r="AJ179" s="70"/>
      <c r="AN179" s="70"/>
      <c r="AO179" s="70"/>
      <c r="AP179" s="70"/>
      <c r="AR179" s="70"/>
      <c r="AT179" s="70"/>
      <c r="AX179" s="70"/>
      <c r="AY179" s="70"/>
      <c r="AZ179" s="70"/>
      <c r="BB179" s="70"/>
      <c r="BD179" s="70"/>
      <c r="BE179" s="70"/>
      <c r="BF179" s="70"/>
      <c r="BK179" s="70"/>
      <c r="BM179" s="70"/>
      <c r="BN179" s="70"/>
      <c r="BP179" s="70"/>
      <c r="BQ179" s="70"/>
      <c r="BR179" s="70"/>
      <c r="BT179" s="70"/>
      <c r="BU179" s="70"/>
      <c r="BV179" s="70"/>
      <c r="BW179" s="70"/>
      <c r="BX179" s="70"/>
      <c r="BY179" s="70"/>
      <c r="BZ179" s="70"/>
      <c r="CA179" s="70"/>
      <c r="CB179" s="70"/>
      <c r="CC179" s="70"/>
      <c r="CD179" s="70"/>
      <c r="CE179" s="70"/>
      <c r="CF179" s="70"/>
      <c r="CJ179" s="70"/>
      <c r="CK179" s="70"/>
      <c r="CL179" s="70"/>
      <c r="CM179" s="70"/>
      <c r="CO179" s="70"/>
      <c r="CQ179" s="70"/>
      <c r="CS179" s="70"/>
      <c r="CT179" s="70"/>
      <c r="CU179" s="70"/>
      <c r="CW179" s="70"/>
      <c r="CX179" s="70"/>
      <c r="CY179" s="70"/>
      <c r="CZ179" s="70"/>
      <c r="DC179" s="70"/>
      <c r="DD179" s="70"/>
      <c r="DI179" s="73"/>
      <c r="DJ179" s="73"/>
      <c r="DK179" s="73"/>
      <c r="DL179" s="73"/>
      <c r="DM179" s="73"/>
      <c r="DN179" s="73"/>
      <c r="DO179" s="73"/>
      <c r="DP179" s="73"/>
      <c r="DQ179" s="73"/>
      <c r="DR179" s="73"/>
      <c r="DS179" s="73"/>
    </row>
    <row r="180" spans="1:123" ht="24.95" customHeight="1">
      <c r="A180" s="68"/>
      <c r="D180" s="69"/>
      <c r="E180" s="69"/>
      <c r="F180" s="69"/>
      <c r="G180" s="70"/>
      <c r="H180" s="70"/>
      <c r="I180" s="70"/>
      <c r="J180" s="70"/>
      <c r="N180" s="70"/>
      <c r="O180" s="69"/>
      <c r="S180" s="70"/>
      <c r="T180" s="69"/>
      <c r="V180" s="72" t="str">
        <f t="shared" si="6"/>
        <v/>
      </c>
      <c r="W180" s="72" t="str">
        <f t="shared" si="7"/>
        <v/>
      </c>
      <c r="X180" s="72" t="str">
        <f t="shared" si="8"/>
        <v/>
      </c>
      <c r="AD180" s="70"/>
      <c r="AE180" s="70"/>
      <c r="AF180" s="70"/>
      <c r="AH180" s="70"/>
      <c r="AJ180" s="70"/>
      <c r="AN180" s="70"/>
      <c r="AO180" s="70"/>
      <c r="AP180" s="70"/>
      <c r="AR180" s="70"/>
      <c r="AT180" s="70"/>
      <c r="AX180" s="70"/>
      <c r="AY180" s="70"/>
      <c r="AZ180" s="70"/>
      <c r="BB180" s="70"/>
      <c r="BD180" s="70"/>
      <c r="BE180" s="70"/>
      <c r="BF180" s="70"/>
      <c r="BK180" s="70"/>
      <c r="BM180" s="70"/>
      <c r="BN180" s="70"/>
      <c r="BP180" s="70"/>
      <c r="BQ180" s="70"/>
      <c r="BR180" s="70"/>
      <c r="BT180" s="70"/>
      <c r="BU180" s="70"/>
      <c r="BV180" s="70"/>
      <c r="BW180" s="70"/>
      <c r="BX180" s="70"/>
      <c r="BY180" s="70"/>
      <c r="BZ180" s="70"/>
      <c r="CA180" s="70"/>
      <c r="CB180" s="70"/>
      <c r="CC180" s="70"/>
      <c r="CD180" s="70"/>
      <c r="CE180" s="70"/>
      <c r="CF180" s="70"/>
      <c r="CJ180" s="70"/>
      <c r="CK180" s="70"/>
      <c r="CL180" s="70"/>
      <c r="CM180" s="70"/>
      <c r="CO180" s="70"/>
      <c r="CQ180" s="70"/>
      <c r="CS180" s="70"/>
      <c r="CT180" s="70"/>
      <c r="CU180" s="70"/>
      <c r="CW180" s="70"/>
      <c r="CX180" s="70"/>
      <c r="CY180" s="70"/>
      <c r="CZ180" s="70"/>
      <c r="DC180" s="70"/>
      <c r="DD180" s="70"/>
      <c r="DI180" s="73"/>
      <c r="DJ180" s="73"/>
      <c r="DK180" s="73"/>
      <c r="DL180" s="73"/>
      <c r="DM180" s="73"/>
      <c r="DN180" s="73"/>
      <c r="DO180" s="73"/>
      <c r="DP180" s="73"/>
      <c r="DQ180" s="73"/>
      <c r="DR180" s="73"/>
      <c r="DS180" s="73"/>
    </row>
    <row r="181" spans="1:123" ht="24.95" customHeight="1">
      <c r="A181" s="68"/>
      <c r="D181" s="69"/>
      <c r="E181" s="69"/>
      <c r="F181" s="69"/>
      <c r="G181" s="70"/>
      <c r="H181" s="70"/>
      <c r="I181" s="70"/>
      <c r="J181" s="70"/>
      <c r="N181" s="70"/>
      <c r="O181" s="69"/>
      <c r="S181" s="70"/>
      <c r="T181" s="69"/>
      <c r="V181" s="72" t="str">
        <f t="shared" si="6"/>
        <v/>
      </c>
      <c r="W181" s="72" t="str">
        <f t="shared" si="7"/>
        <v/>
      </c>
      <c r="X181" s="72" t="str">
        <f t="shared" si="8"/>
        <v/>
      </c>
      <c r="AD181" s="70"/>
      <c r="AE181" s="70"/>
      <c r="AF181" s="70"/>
      <c r="AH181" s="70"/>
      <c r="AJ181" s="70"/>
      <c r="AN181" s="70"/>
      <c r="AO181" s="70"/>
      <c r="AP181" s="70"/>
      <c r="AR181" s="70"/>
      <c r="AT181" s="70"/>
      <c r="AX181" s="70"/>
      <c r="AY181" s="70"/>
      <c r="AZ181" s="70"/>
      <c r="BB181" s="70"/>
      <c r="BD181" s="70"/>
      <c r="BE181" s="70"/>
      <c r="BF181" s="70"/>
      <c r="BK181" s="70"/>
      <c r="BM181" s="70"/>
      <c r="BN181" s="70"/>
      <c r="BP181" s="70"/>
      <c r="BQ181" s="70"/>
      <c r="BR181" s="70"/>
      <c r="BT181" s="70"/>
      <c r="BU181" s="70"/>
      <c r="BV181" s="70"/>
      <c r="BW181" s="70"/>
      <c r="BX181" s="70"/>
      <c r="BY181" s="70"/>
      <c r="BZ181" s="70"/>
      <c r="CA181" s="70"/>
      <c r="CB181" s="70"/>
      <c r="CC181" s="70"/>
      <c r="CD181" s="70"/>
      <c r="CE181" s="70"/>
      <c r="CF181" s="70"/>
      <c r="CJ181" s="70"/>
      <c r="CK181" s="70"/>
      <c r="CL181" s="70"/>
      <c r="CM181" s="70"/>
      <c r="CO181" s="70"/>
      <c r="CQ181" s="70"/>
      <c r="CS181" s="70"/>
      <c r="CT181" s="70"/>
      <c r="CU181" s="70"/>
      <c r="CW181" s="70"/>
      <c r="CX181" s="70"/>
      <c r="CY181" s="70"/>
      <c r="CZ181" s="70"/>
      <c r="DC181" s="70"/>
      <c r="DD181" s="70"/>
      <c r="DI181" s="73"/>
      <c r="DJ181" s="73"/>
      <c r="DK181" s="73"/>
      <c r="DL181" s="73"/>
      <c r="DM181" s="73"/>
      <c r="DN181" s="73"/>
      <c r="DO181" s="73"/>
      <c r="DP181" s="73"/>
      <c r="DQ181" s="73"/>
      <c r="DR181" s="73"/>
      <c r="DS181" s="73"/>
    </row>
    <row r="182" spans="1:123" ht="24.95" customHeight="1">
      <c r="A182" s="68"/>
      <c r="D182" s="69"/>
      <c r="E182" s="69"/>
      <c r="F182" s="69"/>
      <c r="G182" s="70"/>
      <c r="H182" s="70"/>
      <c r="I182" s="70"/>
      <c r="J182" s="70"/>
      <c r="N182" s="70"/>
      <c r="O182" s="69"/>
      <c r="S182" s="70"/>
      <c r="T182" s="69"/>
      <c r="V182" s="72" t="str">
        <f t="shared" si="6"/>
        <v/>
      </c>
      <c r="W182" s="72" t="str">
        <f t="shared" si="7"/>
        <v/>
      </c>
      <c r="X182" s="72" t="str">
        <f t="shared" si="8"/>
        <v/>
      </c>
      <c r="AD182" s="70"/>
      <c r="AE182" s="70"/>
      <c r="AF182" s="70"/>
      <c r="AH182" s="70"/>
      <c r="AJ182" s="70"/>
      <c r="AN182" s="70"/>
      <c r="AO182" s="70"/>
      <c r="AP182" s="70"/>
      <c r="AR182" s="70"/>
      <c r="AT182" s="70"/>
      <c r="AX182" s="70"/>
      <c r="AY182" s="70"/>
      <c r="AZ182" s="70"/>
      <c r="BB182" s="70"/>
      <c r="BD182" s="70"/>
      <c r="BE182" s="70"/>
      <c r="BF182" s="70"/>
      <c r="BK182" s="70"/>
      <c r="BM182" s="70"/>
      <c r="BN182" s="70"/>
      <c r="BP182" s="70"/>
      <c r="BQ182" s="70"/>
      <c r="BR182" s="70"/>
      <c r="BT182" s="70"/>
      <c r="BU182" s="70"/>
      <c r="BV182" s="70"/>
      <c r="BW182" s="70"/>
      <c r="BX182" s="70"/>
      <c r="BY182" s="70"/>
      <c r="BZ182" s="70"/>
      <c r="CA182" s="70"/>
      <c r="CB182" s="70"/>
      <c r="CC182" s="70"/>
      <c r="CD182" s="70"/>
      <c r="CE182" s="70"/>
      <c r="CF182" s="70"/>
      <c r="CJ182" s="70"/>
      <c r="CK182" s="70"/>
      <c r="CL182" s="70"/>
      <c r="CM182" s="70"/>
      <c r="CO182" s="70"/>
      <c r="CQ182" s="70"/>
      <c r="CS182" s="70"/>
      <c r="CT182" s="70"/>
      <c r="CU182" s="70"/>
      <c r="CW182" s="70"/>
      <c r="CX182" s="70"/>
      <c r="CY182" s="70"/>
      <c r="CZ182" s="70"/>
      <c r="DC182" s="70"/>
      <c r="DD182" s="70"/>
      <c r="DI182" s="73"/>
      <c r="DJ182" s="73"/>
      <c r="DK182" s="73"/>
      <c r="DL182" s="73"/>
      <c r="DM182" s="73"/>
      <c r="DN182" s="73"/>
      <c r="DO182" s="73"/>
      <c r="DP182" s="73"/>
      <c r="DQ182" s="73"/>
      <c r="DR182" s="73"/>
      <c r="DS182" s="73"/>
    </row>
    <row r="183" spans="1:123" ht="24.95" customHeight="1">
      <c r="A183" s="68"/>
      <c r="D183" s="69"/>
      <c r="E183" s="69"/>
      <c r="F183" s="69"/>
      <c r="G183" s="70"/>
      <c r="H183" s="70"/>
      <c r="I183" s="70"/>
      <c r="J183" s="70"/>
      <c r="N183" s="70"/>
      <c r="O183" s="69"/>
      <c r="S183" s="70"/>
      <c r="T183" s="69"/>
      <c r="V183" s="72" t="str">
        <f t="shared" si="6"/>
        <v/>
      </c>
      <c r="W183" s="72" t="str">
        <f t="shared" si="7"/>
        <v/>
      </c>
      <c r="X183" s="72" t="str">
        <f t="shared" si="8"/>
        <v/>
      </c>
      <c r="AD183" s="70"/>
      <c r="AE183" s="70"/>
      <c r="AF183" s="70"/>
      <c r="AH183" s="70"/>
      <c r="AJ183" s="70"/>
      <c r="AN183" s="70"/>
      <c r="AO183" s="70"/>
      <c r="AP183" s="70"/>
      <c r="AR183" s="70"/>
      <c r="AT183" s="70"/>
      <c r="AX183" s="70"/>
      <c r="AY183" s="70"/>
      <c r="AZ183" s="70"/>
      <c r="BB183" s="70"/>
      <c r="BD183" s="70"/>
      <c r="BE183" s="70"/>
      <c r="BF183" s="70"/>
      <c r="BK183" s="70"/>
      <c r="BM183" s="70"/>
      <c r="BN183" s="70"/>
      <c r="BP183" s="70"/>
      <c r="BQ183" s="70"/>
      <c r="BR183" s="70"/>
      <c r="BT183" s="70"/>
      <c r="BU183" s="70"/>
      <c r="BV183" s="70"/>
      <c r="BW183" s="70"/>
      <c r="BX183" s="70"/>
      <c r="BY183" s="70"/>
      <c r="BZ183" s="70"/>
      <c r="CA183" s="70"/>
      <c r="CB183" s="70"/>
      <c r="CC183" s="70"/>
      <c r="CD183" s="70"/>
      <c r="CE183" s="70"/>
      <c r="CF183" s="70"/>
      <c r="CJ183" s="70"/>
      <c r="CK183" s="70"/>
      <c r="CL183" s="70"/>
      <c r="CM183" s="70"/>
      <c r="CO183" s="70"/>
      <c r="CQ183" s="70"/>
      <c r="CS183" s="70"/>
      <c r="CT183" s="70"/>
      <c r="CU183" s="70"/>
      <c r="CW183" s="70"/>
      <c r="CX183" s="70"/>
      <c r="CY183" s="70"/>
      <c r="CZ183" s="70"/>
      <c r="DC183" s="70"/>
      <c r="DD183" s="70"/>
      <c r="DI183" s="73"/>
      <c r="DJ183" s="73"/>
      <c r="DK183" s="73"/>
      <c r="DL183" s="73"/>
      <c r="DM183" s="73"/>
      <c r="DN183" s="73"/>
      <c r="DO183" s="73"/>
      <c r="DP183" s="73"/>
      <c r="DQ183" s="73"/>
      <c r="DR183" s="73"/>
      <c r="DS183" s="73"/>
    </row>
    <row r="184" spans="1:123" ht="24.95" customHeight="1">
      <c r="A184" s="68"/>
      <c r="D184" s="69"/>
      <c r="E184" s="69"/>
      <c r="F184" s="69"/>
      <c r="G184" s="70"/>
      <c r="H184" s="70"/>
      <c r="I184" s="70"/>
      <c r="J184" s="70"/>
      <c r="N184" s="70"/>
      <c r="O184" s="69"/>
      <c r="S184" s="70"/>
      <c r="T184" s="69"/>
      <c r="V184" s="72" t="str">
        <f t="shared" si="6"/>
        <v/>
      </c>
      <c r="W184" s="72" t="str">
        <f t="shared" si="7"/>
        <v/>
      </c>
      <c r="X184" s="72" t="str">
        <f t="shared" si="8"/>
        <v/>
      </c>
      <c r="AD184" s="70"/>
      <c r="AE184" s="70"/>
      <c r="AF184" s="70"/>
      <c r="AH184" s="70"/>
      <c r="AJ184" s="70"/>
      <c r="AN184" s="70"/>
      <c r="AO184" s="70"/>
      <c r="AP184" s="70"/>
      <c r="AR184" s="70"/>
      <c r="AT184" s="70"/>
      <c r="AX184" s="70"/>
      <c r="AY184" s="70"/>
      <c r="AZ184" s="70"/>
      <c r="BB184" s="70"/>
      <c r="BD184" s="70"/>
      <c r="BE184" s="70"/>
      <c r="BF184" s="70"/>
      <c r="BK184" s="70"/>
      <c r="BM184" s="70"/>
      <c r="BN184" s="70"/>
      <c r="BP184" s="70"/>
      <c r="BQ184" s="70"/>
      <c r="BR184" s="70"/>
      <c r="BT184" s="70"/>
      <c r="BU184" s="70"/>
      <c r="BV184" s="70"/>
      <c r="BW184" s="70"/>
      <c r="BX184" s="70"/>
      <c r="BY184" s="70"/>
      <c r="BZ184" s="70"/>
      <c r="CA184" s="70"/>
      <c r="CB184" s="70"/>
      <c r="CC184" s="70"/>
      <c r="CD184" s="70"/>
      <c r="CE184" s="70"/>
      <c r="CF184" s="70"/>
      <c r="CJ184" s="70"/>
      <c r="CK184" s="70"/>
      <c r="CL184" s="70"/>
      <c r="CM184" s="70"/>
      <c r="CO184" s="70"/>
      <c r="CQ184" s="70"/>
      <c r="CS184" s="70"/>
      <c r="CT184" s="70"/>
      <c r="CU184" s="70"/>
      <c r="CW184" s="70"/>
      <c r="CX184" s="70"/>
      <c r="CY184" s="70"/>
      <c r="CZ184" s="70"/>
      <c r="DC184" s="70"/>
      <c r="DD184" s="70"/>
      <c r="DI184" s="73"/>
      <c r="DJ184" s="73"/>
      <c r="DK184" s="73"/>
      <c r="DL184" s="73"/>
      <c r="DM184" s="73"/>
      <c r="DN184" s="73"/>
      <c r="DO184" s="73"/>
      <c r="DP184" s="73"/>
      <c r="DQ184" s="73"/>
      <c r="DR184" s="73"/>
      <c r="DS184" s="73"/>
    </row>
    <row r="185" spans="1:123" ht="24.95" customHeight="1">
      <c r="A185" s="68"/>
      <c r="D185" s="69"/>
      <c r="E185" s="69"/>
      <c r="F185" s="69"/>
      <c r="G185" s="70"/>
      <c r="H185" s="70"/>
      <c r="I185" s="70"/>
      <c r="J185" s="70"/>
      <c r="N185" s="70"/>
      <c r="O185" s="69"/>
      <c r="S185" s="70"/>
      <c r="T185" s="69"/>
      <c r="V185" s="72" t="str">
        <f t="shared" si="6"/>
        <v/>
      </c>
      <c r="W185" s="72" t="str">
        <f t="shared" si="7"/>
        <v/>
      </c>
      <c r="X185" s="72" t="str">
        <f t="shared" si="8"/>
        <v/>
      </c>
      <c r="AD185" s="70"/>
      <c r="AE185" s="70"/>
      <c r="AF185" s="70"/>
      <c r="AH185" s="70"/>
      <c r="AJ185" s="70"/>
      <c r="AN185" s="70"/>
      <c r="AO185" s="70"/>
      <c r="AP185" s="70"/>
      <c r="AR185" s="70"/>
      <c r="AT185" s="70"/>
      <c r="AX185" s="70"/>
      <c r="AY185" s="70"/>
      <c r="AZ185" s="70"/>
      <c r="BB185" s="70"/>
      <c r="BD185" s="70"/>
      <c r="BE185" s="70"/>
      <c r="BF185" s="70"/>
      <c r="BK185" s="70"/>
      <c r="BM185" s="70"/>
      <c r="BN185" s="70"/>
      <c r="BP185" s="70"/>
      <c r="BQ185" s="70"/>
      <c r="BR185" s="70"/>
      <c r="BT185" s="70"/>
      <c r="BU185" s="70"/>
      <c r="BV185" s="70"/>
      <c r="BW185" s="70"/>
      <c r="BX185" s="70"/>
      <c r="BY185" s="70"/>
      <c r="BZ185" s="70"/>
      <c r="CA185" s="70"/>
      <c r="CB185" s="70"/>
      <c r="CC185" s="70"/>
      <c r="CD185" s="70"/>
      <c r="CE185" s="70"/>
      <c r="CF185" s="70"/>
      <c r="CJ185" s="70"/>
      <c r="CK185" s="70"/>
      <c r="CL185" s="70"/>
      <c r="CM185" s="70"/>
      <c r="CO185" s="70"/>
      <c r="CQ185" s="70"/>
      <c r="CS185" s="70"/>
      <c r="CT185" s="70"/>
      <c r="CU185" s="70"/>
      <c r="CW185" s="70"/>
      <c r="CX185" s="70"/>
      <c r="CY185" s="70"/>
      <c r="CZ185" s="70"/>
      <c r="DC185" s="70"/>
      <c r="DD185" s="70"/>
      <c r="DI185" s="73"/>
      <c r="DJ185" s="73"/>
      <c r="DK185" s="73"/>
      <c r="DL185" s="73"/>
      <c r="DM185" s="73"/>
      <c r="DN185" s="73"/>
      <c r="DO185" s="73"/>
      <c r="DP185" s="73"/>
      <c r="DQ185" s="73"/>
      <c r="DR185" s="73"/>
      <c r="DS185" s="73"/>
    </row>
    <row r="186" spans="1:123" ht="24.95" customHeight="1">
      <c r="A186" s="68"/>
      <c r="D186" s="69"/>
      <c r="E186" s="69"/>
      <c r="F186" s="69"/>
      <c r="G186" s="70"/>
      <c r="H186" s="70"/>
      <c r="I186" s="70"/>
      <c r="J186" s="70"/>
      <c r="N186" s="70"/>
      <c r="O186" s="69"/>
      <c r="S186" s="70"/>
      <c r="T186" s="69"/>
      <c r="V186" s="72" t="str">
        <f t="shared" si="6"/>
        <v/>
      </c>
      <c r="W186" s="72" t="str">
        <f t="shared" si="7"/>
        <v/>
      </c>
      <c r="X186" s="72" t="str">
        <f t="shared" si="8"/>
        <v/>
      </c>
      <c r="AD186" s="70"/>
      <c r="AE186" s="70"/>
      <c r="AF186" s="70"/>
      <c r="AH186" s="70"/>
      <c r="AJ186" s="70"/>
      <c r="AN186" s="70"/>
      <c r="AO186" s="70"/>
      <c r="AP186" s="70"/>
      <c r="AR186" s="70"/>
      <c r="AT186" s="70"/>
      <c r="AX186" s="70"/>
      <c r="AY186" s="70"/>
      <c r="AZ186" s="70"/>
      <c r="BB186" s="70"/>
      <c r="BD186" s="70"/>
      <c r="BE186" s="70"/>
      <c r="BF186" s="70"/>
      <c r="BK186" s="70"/>
      <c r="BM186" s="70"/>
      <c r="BN186" s="70"/>
      <c r="BP186" s="70"/>
      <c r="BQ186" s="70"/>
      <c r="BR186" s="70"/>
      <c r="BT186" s="70"/>
      <c r="BU186" s="70"/>
      <c r="BV186" s="70"/>
      <c r="BW186" s="70"/>
      <c r="BX186" s="70"/>
      <c r="BY186" s="70"/>
      <c r="BZ186" s="70"/>
      <c r="CA186" s="70"/>
      <c r="CB186" s="70"/>
      <c r="CC186" s="70"/>
      <c r="CD186" s="70"/>
      <c r="CE186" s="70"/>
      <c r="CF186" s="70"/>
      <c r="CJ186" s="70"/>
      <c r="CK186" s="70"/>
      <c r="CL186" s="70"/>
      <c r="CM186" s="70"/>
      <c r="CO186" s="70"/>
      <c r="CQ186" s="70"/>
      <c r="CS186" s="70"/>
      <c r="CT186" s="70"/>
      <c r="CU186" s="70"/>
      <c r="CW186" s="70"/>
      <c r="CX186" s="70"/>
      <c r="CY186" s="70"/>
      <c r="CZ186" s="70"/>
      <c r="DC186" s="70"/>
      <c r="DD186" s="70"/>
      <c r="DI186" s="73"/>
      <c r="DJ186" s="73"/>
      <c r="DK186" s="73"/>
      <c r="DL186" s="73"/>
      <c r="DM186" s="73"/>
      <c r="DN186" s="73"/>
      <c r="DO186" s="73"/>
      <c r="DP186" s="73"/>
      <c r="DQ186" s="73"/>
      <c r="DR186" s="73"/>
      <c r="DS186" s="73"/>
    </row>
    <row r="187" spans="1:123" ht="24.95" customHeight="1">
      <c r="A187" s="68"/>
      <c r="D187" s="69"/>
      <c r="E187" s="69"/>
      <c r="F187" s="69"/>
      <c r="G187" s="70"/>
      <c r="H187" s="70"/>
      <c r="I187" s="70"/>
      <c r="J187" s="70"/>
      <c r="N187" s="70"/>
      <c r="O187" s="69"/>
      <c r="S187" s="70"/>
      <c r="T187" s="69"/>
      <c r="V187" s="72" t="str">
        <f t="shared" si="6"/>
        <v/>
      </c>
      <c r="W187" s="72" t="str">
        <f t="shared" si="7"/>
        <v/>
      </c>
      <c r="X187" s="72" t="str">
        <f t="shared" si="8"/>
        <v/>
      </c>
      <c r="AD187" s="70"/>
      <c r="AE187" s="70"/>
      <c r="AF187" s="70"/>
      <c r="AH187" s="70"/>
      <c r="AJ187" s="70"/>
      <c r="AN187" s="70"/>
      <c r="AO187" s="70"/>
      <c r="AP187" s="70"/>
      <c r="AR187" s="70"/>
      <c r="AT187" s="70"/>
      <c r="AX187" s="70"/>
      <c r="AY187" s="70"/>
      <c r="AZ187" s="70"/>
      <c r="BB187" s="70"/>
      <c r="BD187" s="70"/>
      <c r="BE187" s="70"/>
      <c r="BF187" s="70"/>
      <c r="BK187" s="70"/>
      <c r="BM187" s="70"/>
      <c r="BN187" s="70"/>
      <c r="BP187" s="70"/>
      <c r="BQ187" s="70"/>
      <c r="BR187" s="70"/>
      <c r="BT187" s="70"/>
      <c r="BU187" s="70"/>
      <c r="BV187" s="70"/>
      <c r="BW187" s="70"/>
      <c r="BX187" s="70"/>
      <c r="BY187" s="70"/>
      <c r="BZ187" s="70"/>
      <c r="CA187" s="70"/>
      <c r="CB187" s="70"/>
      <c r="CC187" s="70"/>
      <c r="CD187" s="70"/>
      <c r="CE187" s="70"/>
      <c r="CF187" s="70"/>
      <c r="CJ187" s="70"/>
      <c r="CK187" s="70"/>
      <c r="CL187" s="70"/>
      <c r="CM187" s="70"/>
      <c r="CO187" s="70"/>
      <c r="CQ187" s="70"/>
      <c r="CS187" s="70"/>
      <c r="CT187" s="70"/>
      <c r="CU187" s="70"/>
      <c r="CW187" s="70"/>
      <c r="CX187" s="70"/>
      <c r="CY187" s="70"/>
      <c r="CZ187" s="70"/>
      <c r="DC187" s="70"/>
      <c r="DD187" s="70"/>
      <c r="DI187" s="73"/>
      <c r="DJ187" s="73"/>
      <c r="DK187" s="73"/>
      <c r="DL187" s="73"/>
      <c r="DM187" s="73"/>
      <c r="DN187" s="73"/>
      <c r="DO187" s="73"/>
      <c r="DP187" s="73"/>
      <c r="DQ187" s="73"/>
      <c r="DR187" s="73"/>
      <c r="DS187" s="73"/>
    </row>
    <row r="188" spans="1:123" ht="24.95" customHeight="1">
      <c r="A188" s="68"/>
      <c r="D188" s="69"/>
      <c r="E188" s="69"/>
      <c r="F188" s="69"/>
      <c r="G188" s="70"/>
      <c r="H188" s="70"/>
      <c r="I188" s="70"/>
      <c r="J188" s="70"/>
      <c r="N188" s="70"/>
      <c r="O188" s="69"/>
      <c r="S188" s="70"/>
      <c r="T188" s="69"/>
      <c r="V188" s="72" t="str">
        <f t="shared" si="6"/>
        <v/>
      </c>
      <c r="W188" s="72" t="str">
        <f t="shared" si="7"/>
        <v/>
      </c>
      <c r="X188" s="72" t="str">
        <f t="shared" si="8"/>
        <v/>
      </c>
      <c r="AD188" s="70"/>
      <c r="AE188" s="70"/>
      <c r="AF188" s="70"/>
      <c r="AH188" s="70"/>
      <c r="AJ188" s="70"/>
      <c r="AN188" s="70"/>
      <c r="AO188" s="70"/>
      <c r="AP188" s="70"/>
      <c r="AR188" s="70"/>
      <c r="AT188" s="70"/>
      <c r="AX188" s="70"/>
      <c r="AY188" s="70"/>
      <c r="AZ188" s="70"/>
      <c r="BB188" s="70"/>
      <c r="BD188" s="70"/>
      <c r="BE188" s="70"/>
      <c r="BF188" s="70"/>
      <c r="BK188" s="70"/>
      <c r="BM188" s="70"/>
      <c r="BN188" s="70"/>
      <c r="BP188" s="70"/>
      <c r="BQ188" s="70"/>
      <c r="BR188" s="70"/>
      <c r="BT188" s="70"/>
      <c r="BU188" s="70"/>
      <c r="BV188" s="70"/>
      <c r="BW188" s="70"/>
      <c r="BX188" s="70"/>
      <c r="BY188" s="70"/>
      <c r="BZ188" s="70"/>
      <c r="CA188" s="70"/>
      <c r="CB188" s="70"/>
      <c r="CC188" s="70"/>
      <c r="CD188" s="70"/>
      <c r="CE188" s="70"/>
      <c r="CF188" s="70"/>
      <c r="CJ188" s="70"/>
      <c r="CK188" s="70"/>
      <c r="CL188" s="70"/>
      <c r="CM188" s="70"/>
      <c r="CO188" s="70"/>
      <c r="CQ188" s="70"/>
      <c r="CS188" s="70"/>
      <c r="CT188" s="70"/>
      <c r="CU188" s="70"/>
      <c r="CW188" s="70"/>
      <c r="CX188" s="70"/>
      <c r="CY188" s="70"/>
      <c r="CZ188" s="70"/>
      <c r="DC188" s="70"/>
      <c r="DD188" s="70"/>
      <c r="DI188" s="73"/>
      <c r="DJ188" s="73"/>
      <c r="DK188" s="73"/>
      <c r="DL188" s="73"/>
      <c r="DM188" s="73"/>
      <c r="DN188" s="73"/>
      <c r="DO188" s="73"/>
      <c r="DP188" s="73"/>
      <c r="DQ188" s="73"/>
      <c r="DR188" s="73"/>
      <c r="DS188" s="73"/>
    </row>
    <row r="189" spans="1:123" ht="24.95" customHeight="1">
      <c r="A189" s="68"/>
      <c r="D189" s="69"/>
      <c r="E189" s="69"/>
      <c r="F189" s="69"/>
      <c r="G189" s="70"/>
      <c r="H189" s="70"/>
      <c r="I189" s="70"/>
      <c r="J189" s="70"/>
      <c r="N189" s="70"/>
      <c r="O189" s="69"/>
      <c r="S189" s="70"/>
      <c r="T189" s="69"/>
      <c r="V189" s="72" t="str">
        <f t="shared" si="6"/>
        <v/>
      </c>
      <c r="W189" s="72" t="str">
        <f t="shared" si="7"/>
        <v/>
      </c>
      <c r="X189" s="72" t="str">
        <f t="shared" si="8"/>
        <v/>
      </c>
      <c r="AD189" s="70"/>
      <c r="AE189" s="70"/>
      <c r="AF189" s="70"/>
      <c r="AH189" s="70"/>
      <c r="AJ189" s="70"/>
      <c r="AN189" s="70"/>
      <c r="AO189" s="70"/>
      <c r="AP189" s="70"/>
      <c r="AR189" s="70"/>
      <c r="AT189" s="70"/>
      <c r="AX189" s="70"/>
      <c r="AY189" s="70"/>
      <c r="AZ189" s="70"/>
      <c r="BB189" s="70"/>
      <c r="BD189" s="70"/>
      <c r="BE189" s="70"/>
      <c r="BF189" s="70"/>
      <c r="BK189" s="70"/>
      <c r="BM189" s="70"/>
      <c r="BN189" s="70"/>
      <c r="BP189" s="70"/>
      <c r="BQ189" s="70"/>
      <c r="BR189" s="70"/>
      <c r="BT189" s="70"/>
      <c r="BU189" s="70"/>
      <c r="BV189" s="70"/>
      <c r="BW189" s="70"/>
      <c r="BX189" s="70"/>
      <c r="BY189" s="70"/>
      <c r="BZ189" s="70"/>
      <c r="CA189" s="70"/>
      <c r="CB189" s="70"/>
      <c r="CC189" s="70"/>
      <c r="CD189" s="70"/>
      <c r="CE189" s="70"/>
      <c r="CF189" s="70"/>
      <c r="CJ189" s="70"/>
      <c r="CK189" s="70"/>
      <c r="CL189" s="70"/>
      <c r="CM189" s="70"/>
      <c r="CO189" s="70"/>
      <c r="CQ189" s="70"/>
      <c r="CS189" s="70"/>
      <c r="CT189" s="70"/>
      <c r="CU189" s="70"/>
      <c r="CW189" s="70"/>
      <c r="CX189" s="70"/>
      <c r="CY189" s="70"/>
      <c r="CZ189" s="70"/>
      <c r="DC189" s="70"/>
      <c r="DD189" s="70"/>
      <c r="DI189" s="73"/>
      <c r="DJ189" s="73"/>
      <c r="DK189" s="73"/>
      <c r="DL189" s="73"/>
      <c r="DM189" s="73"/>
      <c r="DN189" s="73"/>
      <c r="DO189" s="73"/>
      <c r="DP189" s="73"/>
      <c r="DQ189" s="73"/>
      <c r="DR189" s="73"/>
      <c r="DS189" s="73"/>
    </row>
    <row r="190" spans="1:123" ht="24.95" customHeight="1">
      <c r="A190" s="68"/>
      <c r="D190" s="69"/>
      <c r="E190" s="69"/>
      <c r="F190" s="69"/>
      <c r="G190" s="70"/>
      <c r="H190" s="70"/>
      <c r="I190" s="70"/>
      <c r="J190" s="70"/>
      <c r="N190" s="70"/>
      <c r="O190" s="69"/>
      <c r="S190" s="70"/>
      <c r="T190" s="69"/>
      <c r="V190" s="72" t="str">
        <f t="shared" si="6"/>
        <v/>
      </c>
      <c r="W190" s="72" t="str">
        <f t="shared" si="7"/>
        <v/>
      </c>
      <c r="X190" s="72" t="str">
        <f t="shared" si="8"/>
        <v/>
      </c>
      <c r="AD190" s="70"/>
      <c r="AE190" s="70"/>
      <c r="AF190" s="70"/>
      <c r="AH190" s="70"/>
      <c r="AJ190" s="70"/>
      <c r="AN190" s="70"/>
      <c r="AO190" s="70"/>
      <c r="AP190" s="70"/>
      <c r="AR190" s="70"/>
      <c r="AT190" s="70"/>
      <c r="AX190" s="70"/>
      <c r="AY190" s="70"/>
      <c r="AZ190" s="70"/>
      <c r="BB190" s="70"/>
      <c r="BD190" s="70"/>
      <c r="BE190" s="70"/>
      <c r="BF190" s="70"/>
      <c r="BK190" s="70"/>
      <c r="BM190" s="70"/>
      <c r="BN190" s="70"/>
      <c r="BP190" s="70"/>
      <c r="BQ190" s="70"/>
      <c r="BR190" s="70"/>
      <c r="BT190" s="70"/>
      <c r="BU190" s="70"/>
      <c r="BV190" s="70"/>
      <c r="BW190" s="70"/>
      <c r="BX190" s="70"/>
      <c r="BY190" s="70"/>
      <c r="BZ190" s="70"/>
      <c r="CA190" s="70"/>
      <c r="CB190" s="70"/>
      <c r="CC190" s="70"/>
      <c r="CD190" s="70"/>
      <c r="CE190" s="70"/>
      <c r="CF190" s="70"/>
      <c r="CJ190" s="70"/>
      <c r="CK190" s="70"/>
      <c r="CL190" s="70"/>
      <c r="CM190" s="70"/>
      <c r="CO190" s="70"/>
      <c r="CQ190" s="70"/>
      <c r="CS190" s="70"/>
      <c r="CT190" s="70"/>
      <c r="CU190" s="70"/>
      <c r="CW190" s="70"/>
      <c r="CX190" s="70"/>
      <c r="CY190" s="70"/>
      <c r="CZ190" s="70"/>
      <c r="DC190" s="70"/>
      <c r="DD190" s="70"/>
      <c r="DI190" s="73"/>
      <c r="DJ190" s="73"/>
      <c r="DK190" s="73"/>
      <c r="DL190" s="73"/>
      <c r="DM190" s="73"/>
      <c r="DN190" s="73"/>
      <c r="DO190" s="73"/>
      <c r="DP190" s="73"/>
      <c r="DQ190" s="73"/>
      <c r="DR190" s="73"/>
      <c r="DS190" s="73"/>
    </row>
    <row r="191" spans="1:123" ht="24.95" customHeight="1">
      <c r="A191" s="68"/>
      <c r="D191" s="69"/>
      <c r="E191" s="69"/>
      <c r="F191" s="69"/>
      <c r="G191" s="70"/>
      <c r="H191" s="70"/>
      <c r="I191" s="70"/>
      <c r="J191" s="70"/>
      <c r="N191" s="70"/>
      <c r="O191" s="69"/>
      <c r="S191" s="70"/>
      <c r="T191" s="69"/>
      <c r="V191" s="72" t="str">
        <f t="shared" si="6"/>
        <v/>
      </c>
      <c r="W191" s="72" t="str">
        <f t="shared" si="7"/>
        <v/>
      </c>
      <c r="X191" s="72" t="str">
        <f t="shared" si="8"/>
        <v/>
      </c>
      <c r="AD191" s="70"/>
      <c r="AE191" s="70"/>
      <c r="AF191" s="70"/>
      <c r="AH191" s="70"/>
      <c r="AJ191" s="70"/>
      <c r="AN191" s="70"/>
      <c r="AO191" s="70"/>
      <c r="AP191" s="70"/>
      <c r="AR191" s="70"/>
      <c r="AT191" s="70"/>
      <c r="AX191" s="70"/>
      <c r="AY191" s="70"/>
      <c r="AZ191" s="70"/>
      <c r="BB191" s="70"/>
      <c r="BD191" s="70"/>
      <c r="BE191" s="70"/>
      <c r="BF191" s="70"/>
      <c r="BK191" s="70"/>
      <c r="BM191" s="70"/>
      <c r="BN191" s="70"/>
      <c r="BP191" s="70"/>
      <c r="BQ191" s="70"/>
      <c r="BR191" s="70"/>
      <c r="BT191" s="70"/>
      <c r="BU191" s="70"/>
      <c r="BV191" s="70"/>
      <c r="BW191" s="70"/>
      <c r="BX191" s="70"/>
      <c r="BY191" s="70"/>
      <c r="BZ191" s="70"/>
      <c r="CA191" s="70"/>
      <c r="CB191" s="70"/>
      <c r="CC191" s="70"/>
      <c r="CD191" s="70"/>
      <c r="CE191" s="70"/>
      <c r="CF191" s="70"/>
      <c r="CJ191" s="70"/>
      <c r="CK191" s="70"/>
      <c r="CL191" s="70"/>
      <c r="CM191" s="70"/>
      <c r="CO191" s="70"/>
      <c r="CQ191" s="70"/>
      <c r="CS191" s="70"/>
      <c r="CT191" s="70"/>
      <c r="CU191" s="70"/>
      <c r="CW191" s="70"/>
      <c r="CX191" s="70"/>
      <c r="CY191" s="70"/>
      <c r="CZ191" s="70"/>
      <c r="DC191" s="70"/>
      <c r="DD191" s="70"/>
      <c r="DI191" s="73"/>
      <c r="DJ191" s="73"/>
      <c r="DK191" s="73"/>
      <c r="DL191" s="73"/>
      <c r="DM191" s="73"/>
      <c r="DN191" s="73"/>
      <c r="DO191" s="73"/>
      <c r="DP191" s="73"/>
      <c r="DQ191" s="73"/>
      <c r="DR191" s="73"/>
      <c r="DS191" s="73"/>
    </row>
    <row r="192" spans="1:123" ht="24.95" customHeight="1">
      <c r="A192" s="68"/>
      <c r="D192" s="69"/>
      <c r="E192" s="69"/>
      <c r="F192" s="69"/>
      <c r="G192" s="70"/>
      <c r="H192" s="70"/>
      <c r="I192" s="70"/>
      <c r="J192" s="70"/>
      <c r="N192" s="70"/>
      <c r="O192" s="69"/>
      <c r="S192" s="70"/>
      <c r="T192" s="69"/>
      <c r="V192" s="72" t="str">
        <f t="shared" si="6"/>
        <v/>
      </c>
      <c r="W192" s="72" t="str">
        <f t="shared" si="7"/>
        <v/>
      </c>
      <c r="X192" s="72" t="str">
        <f t="shared" si="8"/>
        <v/>
      </c>
      <c r="AD192" s="70"/>
      <c r="AE192" s="70"/>
      <c r="AF192" s="70"/>
      <c r="AH192" s="70"/>
      <c r="AJ192" s="70"/>
      <c r="AN192" s="70"/>
      <c r="AO192" s="70"/>
      <c r="AP192" s="70"/>
      <c r="AR192" s="70"/>
      <c r="AT192" s="70"/>
      <c r="AX192" s="70"/>
      <c r="AY192" s="70"/>
      <c r="AZ192" s="70"/>
      <c r="BB192" s="70"/>
      <c r="BD192" s="70"/>
      <c r="BE192" s="70"/>
      <c r="BF192" s="70"/>
      <c r="BK192" s="70"/>
      <c r="BM192" s="70"/>
      <c r="BN192" s="70"/>
      <c r="BP192" s="70"/>
      <c r="BQ192" s="70"/>
      <c r="BR192" s="70"/>
      <c r="BT192" s="70"/>
      <c r="BU192" s="70"/>
      <c r="BV192" s="70"/>
      <c r="BW192" s="70"/>
      <c r="BX192" s="70"/>
      <c r="BY192" s="70"/>
      <c r="BZ192" s="70"/>
      <c r="CA192" s="70"/>
      <c r="CB192" s="70"/>
      <c r="CC192" s="70"/>
      <c r="CD192" s="70"/>
      <c r="CE192" s="70"/>
      <c r="CF192" s="70"/>
      <c r="CJ192" s="70"/>
      <c r="CK192" s="70"/>
      <c r="CL192" s="70"/>
      <c r="CM192" s="70"/>
      <c r="CO192" s="70"/>
      <c r="CQ192" s="70"/>
      <c r="CS192" s="70"/>
      <c r="CT192" s="70"/>
      <c r="CU192" s="70"/>
      <c r="CW192" s="70"/>
      <c r="CX192" s="70"/>
      <c r="CY192" s="70"/>
      <c r="CZ192" s="70"/>
      <c r="DC192" s="70"/>
      <c r="DD192" s="70"/>
      <c r="DI192" s="73"/>
      <c r="DJ192" s="73"/>
      <c r="DK192" s="73"/>
      <c r="DL192" s="73"/>
      <c r="DM192" s="73"/>
      <c r="DN192" s="73"/>
      <c r="DO192" s="73"/>
      <c r="DP192" s="73"/>
      <c r="DQ192" s="73"/>
      <c r="DR192" s="73"/>
      <c r="DS192" s="73"/>
    </row>
    <row r="193" spans="1:123" ht="24.95" customHeight="1">
      <c r="A193" s="68"/>
      <c r="D193" s="69"/>
      <c r="E193" s="69"/>
      <c r="F193" s="69"/>
      <c r="G193" s="70"/>
      <c r="H193" s="70"/>
      <c r="I193" s="70"/>
      <c r="J193" s="70"/>
      <c r="N193" s="70"/>
      <c r="O193" s="69"/>
      <c r="S193" s="70"/>
      <c r="T193" s="69"/>
      <c r="V193" s="72" t="str">
        <f t="shared" si="6"/>
        <v/>
      </c>
      <c r="W193" s="72" t="str">
        <f t="shared" si="7"/>
        <v/>
      </c>
      <c r="X193" s="72" t="str">
        <f t="shared" si="8"/>
        <v/>
      </c>
      <c r="AD193" s="70"/>
      <c r="AE193" s="70"/>
      <c r="AF193" s="70"/>
      <c r="AH193" s="70"/>
      <c r="AJ193" s="70"/>
      <c r="AN193" s="70"/>
      <c r="AO193" s="70"/>
      <c r="AP193" s="70"/>
      <c r="AR193" s="70"/>
      <c r="AT193" s="70"/>
      <c r="AX193" s="70"/>
      <c r="AY193" s="70"/>
      <c r="AZ193" s="70"/>
      <c r="BB193" s="70"/>
      <c r="BD193" s="70"/>
      <c r="BE193" s="70"/>
      <c r="BF193" s="70"/>
      <c r="BK193" s="70"/>
      <c r="BM193" s="70"/>
      <c r="BN193" s="70"/>
      <c r="BP193" s="70"/>
      <c r="BQ193" s="70"/>
      <c r="BR193" s="70"/>
      <c r="BT193" s="70"/>
      <c r="BU193" s="70"/>
      <c r="BV193" s="70"/>
      <c r="BW193" s="70"/>
      <c r="BX193" s="70"/>
      <c r="BY193" s="70"/>
      <c r="BZ193" s="70"/>
      <c r="CA193" s="70"/>
      <c r="CB193" s="70"/>
      <c r="CC193" s="70"/>
      <c r="CD193" s="70"/>
      <c r="CE193" s="70"/>
      <c r="CF193" s="70"/>
      <c r="CJ193" s="70"/>
      <c r="CK193" s="70"/>
      <c r="CL193" s="70"/>
      <c r="CM193" s="70"/>
      <c r="CO193" s="70"/>
      <c r="CQ193" s="70"/>
      <c r="CS193" s="70"/>
      <c r="CT193" s="70"/>
      <c r="CU193" s="70"/>
      <c r="CW193" s="70"/>
      <c r="CX193" s="70"/>
      <c r="CY193" s="70"/>
      <c r="CZ193" s="70"/>
      <c r="DC193" s="70"/>
      <c r="DD193" s="70"/>
      <c r="DI193" s="73"/>
      <c r="DJ193" s="73"/>
      <c r="DK193" s="73"/>
      <c r="DL193" s="73"/>
      <c r="DM193" s="73"/>
      <c r="DN193" s="73"/>
      <c r="DO193" s="73"/>
      <c r="DP193" s="73"/>
      <c r="DQ193" s="73"/>
      <c r="DR193" s="73"/>
      <c r="DS193" s="73"/>
    </row>
    <row r="194" spans="1:123" ht="24.95" customHeight="1">
      <c r="A194" s="68"/>
      <c r="D194" s="69"/>
      <c r="E194" s="69"/>
      <c r="F194" s="69"/>
      <c r="G194" s="70"/>
      <c r="H194" s="70"/>
      <c r="I194" s="70"/>
      <c r="J194" s="70"/>
      <c r="N194" s="70"/>
      <c r="O194" s="69"/>
      <c r="S194" s="70"/>
      <c r="T194" s="69"/>
      <c r="V194" s="72" t="str">
        <f t="shared" si="6"/>
        <v/>
      </c>
      <c r="W194" s="72" t="str">
        <f t="shared" si="7"/>
        <v/>
      </c>
      <c r="X194" s="72" t="str">
        <f t="shared" si="8"/>
        <v/>
      </c>
      <c r="AD194" s="70"/>
      <c r="AE194" s="70"/>
      <c r="AF194" s="70"/>
      <c r="AH194" s="70"/>
      <c r="AJ194" s="70"/>
      <c r="AN194" s="70"/>
      <c r="AO194" s="70"/>
      <c r="AP194" s="70"/>
      <c r="AR194" s="70"/>
      <c r="AT194" s="70"/>
      <c r="AX194" s="70"/>
      <c r="AY194" s="70"/>
      <c r="AZ194" s="70"/>
      <c r="BB194" s="70"/>
      <c r="BD194" s="70"/>
      <c r="BE194" s="70"/>
      <c r="BF194" s="70"/>
      <c r="BK194" s="70"/>
      <c r="BM194" s="70"/>
      <c r="BN194" s="70"/>
      <c r="BP194" s="70"/>
      <c r="BQ194" s="70"/>
      <c r="BR194" s="70"/>
      <c r="BT194" s="70"/>
      <c r="BU194" s="70"/>
      <c r="BV194" s="70"/>
      <c r="BW194" s="70"/>
      <c r="BX194" s="70"/>
      <c r="BY194" s="70"/>
      <c r="BZ194" s="70"/>
      <c r="CA194" s="70"/>
      <c r="CB194" s="70"/>
      <c r="CC194" s="70"/>
      <c r="CD194" s="70"/>
      <c r="CE194" s="70"/>
      <c r="CF194" s="70"/>
      <c r="CJ194" s="70"/>
      <c r="CK194" s="70"/>
      <c r="CL194" s="70"/>
      <c r="CM194" s="70"/>
      <c r="CO194" s="70"/>
      <c r="CQ194" s="70"/>
      <c r="CS194" s="70"/>
      <c r="CT194" s="70"/>
      <c r="CU194" s="70"/>
      <c r="CW194" s="70"/>
      <c r="CX194" s="70"/>
      <c r="CY194" s="70"/>
      <c r="CZ194" s="70"/>
      <c r="DC194" s="70"/>
      <c r="DD194" s="70"/>
      <c r="DI194" s="73"/>
      <c r="DJ194" s="73"/>
      <c r="DK194" s="73"/>
      <c r="DL194" s="73"/>
      <c r="DM194" s="73"/>
      <c r="DN194" s="73"/>
      <c r="DO194" s="73"/>
      <c r="DP194" s="73"/>
      <c r="DQ194" s="73"/>
      <c r="DR194" s="73"/>
      <c r="DS194" s="73"/>
    </row>
    <row r="195" spans="1:123" ht="24.95" customHeight="1">
      <c r="A195" s="68"/>
      <c r="D195" s="69"/>
      <c r="E195" s="69"/>
      <c r="F195" s="69"/>
      <c r="G195" s="70"/>
      <c r="H195" s="70"/>
      <c r="I195" s="70"/>
      <c r="J195" s="70"/>
      <c r="N195" s="70"/>
      <c r="O195" s="69"/>
      <c r="S195" s="70"/>
      <c r="T195" s="69"/>
      <c r="V195" s="72" t="str">
        <f t="shared" si="6"/>
        <v/>
      </c>
      <c r="W195" s="72" t="str">
        <f t="shared" si="7"/>
        <v/>
      </c>
      <c r="X195" s="72" t="str">
        <f t="shared" si="8"/>
        <v/>
      </c>
      <c r="AD195" s="70"/>
      <c r="AE195" s="70"/>
      <c r="AF195" s="70"/>
      <c r="AH195" s="70"/>
      <c r="AJ195" s="70"/>
      <c r="AN195" s="70"/>
      <c r="AO195" s="70"/>
      <c r="AP195" s="70"/>
      <c r="AR195" s="70"/>
      <c r="AT195" s="70"/>
      <c r="AX195" s="70"/>
      <c r="AY195" s="70"/>
      <c r="AZ195" s="70"/>
      <c r="BB195" s="70"/>
      <c r="BD195" s="70"/>
      <c r="BE195" s="70"/>
      <c r="BF195" s="70"/>
      <c r="BK195" s="70"/>
      <c r="BM195" s="70"/>
      <c r="BN195" s="70"/>
      <c r="BP195" s="70"/>
      <c r="BQ195" s="70"/>
      <c r="BR195" s="70"/>
      <c r="BT195" s="70"/>
      <c r="BU195" s="70"/>
      <c r="BV195" s="70"/>
      <c r="BW195" s="70"/>
      <c r="BX195" s="70"/>
      <c r="BY195" s="70"/>
      <c r="BZ195" s="70"/>
      <c r="CA195" s="70"/>
      <c r="CB195" s="70"/>
      <c r="CC195" s="70"/>
      <c r="CD195" s="70"/>
      <c r="CE195" s="70"/>
      <c r="CF195" s="70"/>
      <c r="CJ195" s="70"/>
      <c r="CK195" s="70"/>
      <c r="CL195" s="70"/>
      <c r="CM195" s="70"/>
      <c r="CO195" s="70"/>
      <c r="CQ195" s="70"/>
      <c r="CS195" s="70"/>
      <c r="CT195" s="70"/>
      <c r="CU195" s="70"/>
      <c r="CW195" s="70"/>
      <c r="CX195" s="70"/>
      <c r="CY195" s="70"/>
      <c r="CZ195" s="70"/>
      <c r="DC195" s="70"/>
      <c r="DD195" s="70"/>
      <c r="DI195" s="73"/>
      <c r="DJ195" s="73"/>
      <c r="DK195" s="73"/>
      <c r="DL195" s="73"/>
      <c r="DM195" s="73"/>
      <c r="DN195" s="73"/>
      <c r="DO195" s="73"/>
      <c r="DP195" s="73"/>
      <c r="DQ195" s="73"/>
      <c r="DR195" s="73"/>
      <c r="DS195" s="73"/>
    </row>
    <row r="196" spans="1:123" ht="24.95" customHeight="1">
      <c r="A196" s="68"/>
      <c r="D196" s="69"/>
      <c r="E196" s="69"/>
      <c r="F196" s="69"/>
      <c r="G196" s="70"/>
      <c r="H196" s="70"/>
      <c r="I196" s="70"/>
      <c r="J196" s="70"/>
      <c r="N196" s="70"/>
      <c r="O196" s="69"/>
      <c r="S196" s="70"/>
      <c r="T196" s="69"/>
      <c r="V196" s="72" t="str">
        <f t="shared" si="6"/>
        <v/>
      </c>
      <c r="W196" s="72" t="str">
        <f t="shared" si="7"/>
        <v/>
      </c>
      <c r="X196" s="72" t="str">
        <f t="shared" si="8"/>
        <v/>
      </c>
      <c r="AD196" s="70"/>
      <c r="AE196" s="70"/>
      <c r="AF196" s="70"/>
      <c r="AH196" s="70"/>
      <c r="AJ196" s="70"/>
      <c r="AN196" s="70"/>
      <c r="AO196" s="70"/>
      <c r="AP196" s="70"/>
      <c r="AR196" s="70"/>
      <c r="AT196" s="70"/>
      <c r="AX196" s="70"/>
      <c r="AY196" s="70"/>
      <c r="AZ196" s="70"/>
      <c r="BB196" s="70"/>
      <c r="BD196" s="70"/>
      <c r="BE196" s="70"/>
      <c r="BF196" s="70"/>
      <c r="BK196" s="70"/>
      <c r="BM196" s="70"/>
      <c r="BN196" s="70"/>
      <c r="BP196" s="70"/>
      <c r="BQ196" s="70"/>
      <c r="BR196" s="70"/>
      <c r="BT196" s="70"/>
      <c r="BU196" s="70"/>
      <c r="BV196" s="70"/>
      <c r="BW196" s="70"/>
      <c r="BX196" s="70"/>
      <c r="BY196" s="70"/>
      <c r="BZ196" s="70"/>
      <c r="CA196" s="70"/>
      <c r="CB196" s="70"/>
      <c r="CC196" s="70"/>
      <c r="CD196" s="70"/>
      <c r="CE196" s="70"/>
      <c r="CF196" s="70"/>
      <c r="CJ196" s="70"/>
      <c r="CK196" s="70"/>
      <c r="CL196" s="70"/>
      <c r="CM196" s="70"/>
      <c r="CO196" s="70"/>
      <c r="CQ196" s="70"/>
      <c r="CS196" s="70"/>
      <c r="CT196" s="70"/>
      <c r="CU196" s="70"/>
      <c r="CW196" s="70"/>
      <c r="CX196" s="70"/>
      <c r="CY196" s="70"/>
      <c r="CZ196" s="70"/>
      <c r="DC196" s="70"/>
      <c r="DD196" s="70"/>
      <c r="DI196" s="73"/>
      <c r="DJ196" s="73"/>
      <c r="DK196" s="73"/>
      <c r="DL196" s="73"/>
      <c r="DM196" s="73"/>
      <c r="DN196" s="73"/>
      <c r="DO196" s="73"/>
      <c r="DP196" s="73"/>
      <c r="DQ196" s="73"/>
      <c r="DR196" s="73"/>
      <c r="DS196" s="73"/>
    </row>
    <row r="197" spans="1:123" ht="24.95" customHeight="1">
      <c r="A197" s="68"/>
      <c r="D197" s="69"/>
      <c r="E197" s="69"/>
      <c r="F197" s="69"/>
      <c r="G197" s="70"/>
      <c r="H197" s="70"/>
      <c r="I197" s="70"/>
      <c r="J197" s="70"/>
      <c r="N197" s="70"/>
      <c r="O197" s="69"/>
      <c r="S197" s="70"/>
      <c r="T197" s="69"/>
      <c r="V197" s="72" t="str">
        <f t="shared" si="6"/>
        <v/>
      </c>
      <c r="W197" s="72" t="str">
        <f t="shared" si="7"/>
        <v/>
      </c>
      <c r="X197" s="72" t="str">
        <f t="shared" si="8"/>
        <v/>
      </c>
      <c r="AD197" s="70"/>
      <c r="AE197" s="70"/>
      <c r="AF197" s="70"/>
      <c r="AH197" s="70"/>
      <c r="AJ197" s="70"/>
      <c r="AN197" s="70"/>
      <c r="AO197" s="70"/>
      <c r="AP197" s="70"/>
      <c r="AR197" s="70"/>
      <c r="AT197" s="70"/>
      <c r="AX197" s="70"/>
      <c r="AY197" s="70"/>
      <c r="AZ197" s="70"/>
      <c r="BB197" s="70"/>
      <c r="BD197" s="70"/>
      <c r="BE197" s="70"/>
      <c r="BF197" s="70"/>
      <c r="BK197" s="70"/>
      <c r="BM197" s="70"/>
      <c r="BN197" s="70"/>
      <c r="BP197" s="70"/>
      <c r="BQ197" s="70"/>
      <c r="BR197" s="70"/>
      <c r="BT197" s="70"/>
      <c r="BU197" s="70"/>
      <c r="BV197" s="70"/>
      <c r="BW197" s="70"/>
      <c r="BX197" s="70"/>
      <c r="BY197" s="70"/>
      <c r="BZ197" s="70"/>
      <c r="CA197" s="70"/>
      <c r="CB197" s="70"/>
      <c r="CC197" s="70"/>
      <c r="CD197" s="70"/>
      <c r="CE197" s="70"/>
      <c r="CF197" s="70"/>
      <c r="CJ197" s="70"/>
      <c r="CK197" s="70"/>
      <c r="CL197" s="70"/>
      <c r="CM197" s="70"/>
      <c r="CO197" s="70"/>
      <c r="CQ197" s="70"/>
      <c r="CS197" s="70"/>
      <c r="CT197" s="70"/>
      <c r="CU197" s="70"/>
      <c r="CW197" s="70"/>
      <c r="CX197" s="70"/>
      <c r="CY197" s="70"/>
      <c r="CZ197" s="70"/>
      <c r="DC197" s="70"/>
      <c r="DD197" s="70"/>
      <c r="DI197" s="73"/>
      <c r="DJ197" s="73"/>
      <c r="DK197" s="73"/>
      <c r="DL197" s="73"/>
      <c r="DM197" s="73"/>
      <c r="DN197" s="73"/>
      <c r="DO197" s="73"/>
      <c r="DP197" s="73"/>
      <c r="DQ197" s="73"/>
      <c r="DR197" s="73"/>
      <c r="DS197" s="73"/>
    </row>
    <row r="198" spans="1:123" ht="24.95" customHeight="1">
      <c r="A198" s="68"/>
      <c r="D198" s="69"/>
      <c r="E198" s="69"/>
      <c r="F198" s="69"/>
      <c r="G198" s="70"/>
      <c r="H198" s="70"/>
      <c r="I198" s="70"/>
      <c r="J198" s="70"/>
      <c r="N198" s="70"/>
      <c r="O198" s="69"/>
      <c r="S198" s="70"/>
      <c r="T198" s="69"/>
      <c r="V198" s="72" t="str">
        <f t="shared" ref="V198:V204" si="9">IF($A198="","",IF(AND($U198="発射物",$DI198&lt;&gt;"パッシブ"),$BE198,0))</f>
        <v/>
      </c>
      <c r="W198" s="72" t="str">
        <f t="shared" ref="W198:W204" si="10">IF($A198="","",IF(AND($U198="発射物",$DI198&lt;&gt;"パッシブ"),$BF198,0))</f>
        <v/>
      </c>
      <c r="X198" s="72" t="str">
        <f t="shared" ref="X198:X204" si="11">IF($A198="","",IF(AND($U198="発射物",$DI198&lt;&gt;"パッシブ"),IF($BG198="有効","有効","無効"),"無効"))</f>
        <v/>
      </c>
      <c r="AD198" s="70"/>
      <c r="AE198" s="70"/>
      <c r="AF198" s="70"/>
      <c r="AH198" s="70"/>
      <c r="AJ198" s="70"/>
      <c r="AN198" s="70"/>
      <c r="AO198" s="70"/>
      <c r="AP198" s="70"/>
      <c r="AR198" s="70"/>
      <c r="AT198" s="70"/>
      <c r="AX198" s="70"/>
      <c r="AY198" s="70"/>
      <c r="AZ198" s="70"/>
      <c r="BB198" s="70"/>
      <c r="BD198" s="70"/>
      <c r="BE198" s="70"/>
      <c r="BF198" s="70"/>
      <c r="BK198" s="70"/>
      <c r="BM198" s="70"/>
      <c r="BN198" s="70"/>
      <c r="BP198" s="70"/>
      <c r="BQ198" s="70"/>
      <c r="BR198" s="70"/>
      <c r="BT198" s="70"/>
      <c r="BU198" s="70"/>
      <c r="BV198" s="70"/>
      <c r="BW198" s="70"/>
      <c r="BX198" s="70"/>
      <c r="BY198" s="70"/>
      <c r="BZ198" s="70"/>
      <c r="CA198" s="70"/>
      <c r="CB198" s="70"/>
      <c r="CC198" s="70"/>
      <c r="CD198" s="70"/>
      <c r="CE198" s="70"/>
      <c r="CF198" s="70"/>
      <c r="CJ198" s="70"/>
      <c r="CK198" s="70"/>
      <c r="CL198" s="70"/>
      <c r="CM198" s="70"/>
      <c r="CO198" s="70"/>
      <c r="CQ198" s="70"/>
      <c r="CS198" s="70"/>
      <c r="CT198" s="70"/>
      <c r="CU198" s="70"/>
      <c r="CW198" s="70"/>
      <c r="CX198" s="70"/>
      <c r="CY198" s="70"/>
      <c r="CZ198" s="70"/>
      <c r="DC198" s="70"/>
      <c r="DD198" s="70"/>
      <c r="DI198" s="73"/>
      <c r="DJ198" s="73"/>
      <c r="DK198" s="73"/>
      <c r="DL198" s="73"/>
      <c r="DM198" s="73"/>
      <c r="DN198" s="73"/>
      <c r="DO198" s="73"/>
      <c r="DP198" s="73"/>
      <c r="DQ198" s="73"/>
      <c r="DR198" s="73"/>
      <c r="DS198" s="73"/>
    </row>
    <row r="199" spans="1:123" ht="24.95" customHeight="1">
      <c r="A199" s="68"/>
      <c r="D199" s="69"/>
      <c r="E199" s="69"/>
      <c r="F199" s="69"/>
      <c r="G199" s="70"/>
      <c r="H199" s="70"/>
      <c r="I199" s="70"/>
      <c r="J199" s="70"/>
      <c r="N199" s="70"/>
      <c r="O199" s="69"/>
      <c r="S199" s="70"/>
      <c r="T199" s="69"/>
      <c r="V199" s="72" t="str">
        <f t="shared" si="9"/>
        <v/>
      </c>
      <c r="W199" s="72" t="str">
        <f t="shared" si="10"/>
        <v/>
      </c>
      <c r="X199" s="72" t="str">
        <f t="shared" si="11"/>
        <v/>
      </c>
      <c r="AD199" s="70"/>
      <c r="AE199" s="70"/>
      <c r="AF199" s="70"/>
      <c r="AH199" s="70"/>
      <c r="AJ199" s="70"/>
      <c r="AN199" s="70"/>
      <c r="AO199" s="70"/>
      <c r="AP199" s="70"/>
      <c r="AR199" s="70"/>
      <c r="AT199" s="70"/>
      <c r="AX199" s="70"/>
      <c r="AY199" s="70"/>
      <c r="AZ199" s="70"/>
      <c r="BB199" s="70"/>
      <c r="BD199" s="70"/>
      <c r="BE199" s="70"/>
      <c r="BF199" s="70"/>
      <c r="BK199" s="70"/>
      <c r="BM199" s="70"/>
      <c r="BN199" s="70"/>
      <c r="BP199" s="70"/>
      <c r="BQ199" s="70"/>
      <c r="BR199" s="70"/>
      <c r="BT199" s="70"/>
      <c r="BU199" s="70"/>
      <c r="BV199" s="70"/>
      <c r="BW199" s="70"/>
      <c r="BX199" s="70"/>
      <c r="BY199" s="70"/>
      <c r="BZ199" s="70"/>
      <c r="CA199" s="70"/>
      <c r="CB199" s="70"/>
      <c r="CC199" s="70"/>
      <c r="CD199" s="70"/>
      <c r="CE199" s="70"/>
      <c r="CF199" s="70"/>
      <c r="CJ199" s="70"/>
      <c r="CK199" s="70"/>
      <c r="CL199" s="70"/>
      <c r="CM199" s="70"/>
      <c r="CO199" s="70"/>
      <c r="CQ199" s="70"/>
      <c r="CS199" s="70"/>
      <c r="CT199" s="70"/>
      <c r="CU199" s="70"/>
      <c r="CW199" s="70"/>
      <c r="CX199" s="70"/>
      <c r="CY199" s="70"/>
      <c r="CZ199" s="70"/>
      <c r="DC199" s="70"/>
      <c r="DD199" s="70"/>
      <c r="DI199" s="73"/>
      <c r="DJ199" s="73"/>
      <c r="DK199" s="73"/>
      <c r="DL199" s="73"/>
      <c r="DM199" s="73"/>
      <c r="DN199" s="73"/>
      <c r="DO199" s="73"/>
      <c r="DP199" s="73"/>
      <c r="DQ199" s="73"/>
      <c r="DR199" s="73"/>
      <c r="DS199" s="73"/>
    </row>
    <row r="200" spans="1:123" ht="24.95" customHeight="1">
      <c r="A200" s="68"/>
      <c r="D200" s="69"/>
      <c r="E200" s="69"/>
      <c r="F200" s="69"/>
      <c r="G200" s="70"/>
      <c r="H200" s="70"/>
      <c r="I200" s="70"/>
      <c r="J200" s="70"/>
      <c r="N200" s="70"/>
      <c r="O200" s="69"/>
      <c r="S200" s="70"/>
      <c r="T200" s="69"/>
      <c r="V200" s="72" t="str">
        <f t="shared" si="9"/>
        <v/>
      </c>
      <c r="W200" s="72" t="str">
        <f t="shared" si="10"/>
        <v/>
      </c>
      <c r="X200" s="72" t="str">
        <f t="shared" si="11"/>
        <v/>
      </c>
      <c r="AD200" s="70"/>
      <c r="AE200" s="70"/>
      <c r="AF200" s="70"/>
      <c r="AH200" s="70"/>
      <c r="AJ200" s="70"/>
      <c r="AN200" s="70"/>
      <c r="AO200" s="70"/>
      <c r="AP200" s="70"/>
      <c r="AR200" s="70"/>
      <c r="AT200" s="70"/>
      <c r="AX200" s="70"/>
      <c r="AY200" s="70"/>
      <c r="AZ200" s="70"/>
      <c r="BB200" s="70"/>
      <c r="BD200" s="70"/>
      <c r="BE200" s="70"/>
      <c r="BF200" s="70"/>
      <c r="BK200" s="70"/>
      <c r="BM200" s="70"/>
      <c r="BN200" s="70"/>
      <c r="BP200" s="70"/>
      <c r="BQ200" s="70"/>
      <c r="BR200" s="70"/>
      <c r="BT200" s="70"/>
      <c r="BU200" s="70"/>
      <c r="BV200" s="70"/>
      <c r="BW200" s="70"/>
      <c r="BX200" s="70"/>
      <c r="BY200" s="70"/>
      <c r="BZ200" s="70"/>
      <c r="CA200" s="70"/>
      <c r="CB200" s="70"/>
      <c r="CC200" s="70"/>
      <c r="CD200" s="70"/>
      <c r="CE200" s="70"/>
      <c r="CF200" s="70"/>
      <c r="CJ200" s="70"/>
      <c r="CK200" s="70"/>
      <c r="CL200" s="70"/>
      <c r="CM200" s="70"/>
      <c r="CO200" s="70"/>
      <c r="CQ200" s="70"/>
      <c r="CS200" s="70"/>
      <c r="CT200" s="70"/>
      <c r="CU200" s="70"/>
      <c r="CW200" s="70"/>
      <c r="CX200" s="70"/>
      <c r="CY200" s="70"/>
      <c r="CZ200" s="70"/>
      <c r="DC200" s="70"/>
      <c r="DD200" s="70"/>
      <c r="DI200" s="73"/>
      <c r="DJ200" s="73"/>
      <c r="DK200" s="73"/>
      <c r="DL200" s="73"/>
      <c r="DM200" s="73"/>
      <c r="DN200" s="73"/>
      <c r="DO200" s="73"/>
      <c r="DP200" s="73"/>
      <c r="DQ200" s="73"/>
      <c r="DR200" s="73"/>
      <c r="DS200" s="73"/>
    </row>
    <row r="201" spans="1:123">
      <c r="A201" s="68"/>
      <c r="D201" s="69"/>
      <c r="E201" s="69"/>
      <c r="F201" s="69"/>
      <c r="G201" s="70"/>
      <c r="H201" s="70"/>
      <c r="I201" s="70"/>
      <c r="J201" s="70"/>
      <c r="N201" s="70"/>
      <c r="O201" s="69"/>
      <c r="S201" s="70"/>
      <c r="T201" s="69"/>
      <c r="V201" s="72" t="str">
        <f t="shared" si="9"/>
        <v/>
      </c>
      <c r="W201" s="72" t="str">
        <f t="shared" si="10"/>
        <v/>
      </c>
      <c r="X201" s="72" t="str">
        <f t="shared" si="11"/>
        <v/>
      </c>
      <c r="AD201" s="70"/>
      <c r="AE201" s="70"/>
      <c r="AF201" s="70"/>
      <c r="AH201" s="70"/>
      <c r="AJ201" s="70"/>
      <c r="AN201" s="70"/>
      <c r="AO201" s="70"/>
      <c r="AP201" s="70"/>
      <c r="AR201" s="70"/>
      <c r="AT201" s="70"/>
      <c r="AX201" s="70"/>
      <c r="AY201" s="70"/>
      <c r="AZ201" s="70"/>
      <c r="BB201" s="70"/>
      <c r="BD201" s="70"/>
      <c r="BE201" s="70"/>
      <c r="BF201" s="70"/>
      <c r="BK201" s="70"/>
      <c r="BM201" s="70"/>
      <c r="BN201" s="70"/>
      <c r="BP201" s="70"/>
      <c r="BQ201" s="70"/>
      <c r="BR201" s="70"/>
      <c r="BT201" s="70"/>
      <c r="BU201" s="70"/>
      <c r="BV201" s="70"/>
      <c r="BW201" s="70"/>
      <c r="BX201" s="70"/>
      <c r="BY201" s="70"/>
      <c r="BZ201" s="70"/>
      <c r="CA201" s="70"/>
      <c r="CB201" s="70"/>
      <c r="CC201" s="70"/>
      <c r="CD201" s="70"/>
      <c r="CE201" s="70"/>
      <c r="CF201" s="70"/>
      <c r="CJ201" s="70"/>
      <c r="CK201" s="70"/>
      <c r="CL201" s="70"/>
      <c r="CM201" s="70"/>
      <c r="CO201" s="70"/>
      <c r="CQ201" s="70"/>
      <c r="CS201" s="70"/>
      <c r="CT201" s="70"/>
      <c r="CU201" s="70"/>
      <c r="CW201" s="70"/>
      <c r="CX201" s="70"/>
      <c r="CY201" s="70"/>
      <c r="CZ201" s="70"/>
      <c r="DC201" s="70"/>
      <c r="DD201" s="70"/>
      <c r="DI201" s="73"/>
      <c r="DJ201" s="73"/>
      <c r="DK201" s="73"/>
      <c r="DL201" s="73"/>
      <c r="DM201" s="73"/>
      <c r="DN201" s="73"/>
      <c r="DO201" s="73"/>
      <c r="DP201" s="73"/>
      <c r="DQ201" s="73"/>
      <c r="DR201" s="73"/>
      <c r="DS201" s="73"/>
    </row>
    <row r="202" spans="1:123">
      <c r="A202" s="68"/>
      <c r="D202" s="69"/>
      <c r="E202" s="69"/>
      <c r="F202" s="69"/>
      <c r="G202" s="70"/>
      <c r="H202" s="70"/>
      <c r="I202" s="70"/>
      <c r="J202" s="70"/>
      <c r="N202" s="70"/>
      <c r="O202" s="69"/>
      <c r="S202" s="70"/>
      <c r="T202" s="69"/>
      <c r="V202" s="72" t="str">
        <f t="shared" si="9"/>
        <v/>
      </c>
      <c r="W202" s="72" t="str">
        <f t="shared" si="10"/>
        <v/>
      </c>
      <c r="X202" s="72" t="str">
        <f t="shared" si="11"/>
        <v/>
      </c>
      <c r="AD202" s="70"/>
      <c r="AE202" s="70"/>
      <c r="AF202" s="70"/>
      <c r="AH202" s="70"/>
      <c r="AJ202" s="70"/>
      <c r="AN202" s="70"/>
      <c r="AO202" s="70"/>
      <c r="AP202" s="70"/>
      <c r="AR202" s="70"/>
      <c r="AT202" s="70"/>
      <c r="AX202" s="70"/>
      <c r="AY202" s="70"/>
      <c r="AZ202" s="70"/>
      <c r="BB202" s="70"/>
      <c r="BD202" s="70"/>
      <c r="BE202" s="70"/>
      <c r="BF202" s="70"/>
      <c r="BK202" s="70"/>
      <c r="BM202" s="70"/>
      <c r="BN202" s="70"/>
      <c r="BP202" s="70"/>
      <c r="BQ202" s="70"/>
      <c r="BR202" s="70"/>
      <c r="BT202" s="70"/>
      <c r="BU202" s="70"/>
      <c r="BV202" s="70"/>
      <c r="BW202" s="70"/>
      <c r="BX202" s="70"/>
      <c r="BY202" s="70"/>
      <c r="BZ202" s="70"/>
      <c r="CA202" s="70"/>
      <c r="CB202" s="70"/>
      <c r="CC202" s="70"/>
      <c r="CD202" s="70"/>
      <c r="CE202" s="70"/>
      <c r="CF202" s="70"/>
      <c r="CJ202" s="70"/>
      <c r="CK202" s="70"/>
      <c r="CL202" s="70"/>
      <c r="CM202" s="70"/>
      <c r="CO202" s="70"/>
      <c r="CQ202" s="70"/>
      <c r="CS202" s="70"/>
      <c r="CT202" s="70"/>
      <c r="CU202" s="70"/>
      <c r="CW202" s="70"/>
      <c r="CX202" s="70"/>
      <c r="CY202" s="70"/>
      <c r="CZ202" s="70"/>
      <c r="DC202" s="70"/>
      <c r="DD202" s="70"/>
      <c r="DI202" s="73"/>
      <c r="DJ202" s="73"/>
      <c r="DK202" s="73"/>
      <c r="DL202" s="73"/>
      <c r="DM202" s="73"/>
      <c r="DN202" s="73"/>
      <c r="DO202" s="73"/>
      <c r="DP202" s="73"/>
      <c r="DQ202" s="73"/>
      <c r="DR202" s="73"/>
      <c r="DS202" s="73"/>
    </row>
    <row r="203" spans="1:123">
      <c r="A203" s="68"/>
      <c r="D203" s="69"/>
      <c r="E203" s="69"/>
      <c r="F203" s="69"/>
      <c r="G203" s="70"/>
      <c r="H203" s="70"/>
      <c r="I203" s="70"/>
      <c r="J203" s="70"/>
      <c r="N203" s="70"/>
      <c r="O203" s="69"/>
      <c r="S203" s="70"/>
      <c r="T203" s="69"/>
      <c r="V203" s="72" t="str">
        <f t="shared" si="9"/>
        <v/>
      </c>
      <c r="W203" s="72" t="str">
        <f t="shared" si="10"/>
        <v/>
      </c>
      <c r="X203" s="72" t="str">
        <f t="shared" si="11"/>
        <v/>
      </c>
      <c r="AD203" s="70"/>
      <c r="AE203" s="70"/>
      <c r="AF203" s="70"/>
      <c r="AH203" s="70"/>
      <c r="AJ203" s="70"/>
      <c r="AN203" s="70"/>
      <c r="AO203" s="70"/>
      <c r="AP203" s="70"/>
      <c r="AR203" s="70"/>
      <c r="AT203" s="70"/>
      <c r="AX203" s="70"/>
      <c r="AY203" s="70"/>
      <c r="AZ203" s="70"/>
      <c r="BB203" s="70"/>
      <c r="BD203" s="70"/>
      <c r="BE203" s="70"/>
      <c r="BF203" s="70"/>
      <c r="BK203" s="70"/>
      <c r="BM203" s="70"/>
      <c r="BN203" s="70"/>
      <c r="BP203" s="70"/>
      <c r="BQ203" s="70"/>
      <c r="BR203" s="70"/>
      <c r="BT203" s="70"/>
      <c r="BU203" s="70"/>
      <c r="BV203" s="70"/>
      <c r="BW203" s="70"/>
      <c r="BX203" s="70"/>
      <c r="BY203" s="70"/>
      <c r="BZ203" s="70"/>
      <c r="CA203" s="70"/>
      <c r="CB203" s="70"/>
      <c r="CC203" s="70"/>
      <c r="CD203" s="70"/>
      <c r="CE203" s="70"/>
      <c r="CF203" s="70"/>
      <c r="CJ203" s="70"/>
      <c r="CK203" s="70"/>
      <c r="CL203" s="70"/>
      <c r="CM203" s="70"/>
      <c r="CO203" s="70"/>
      <c r="CQ203" s="70"/>
      <c r="CS203" s="70"/>
      <c r="CT203" s="70"/>
      <c r="CU203" s="70"/>
      <c r="CW203" s="70"/>
      <c r="CX203" s="70"/>
      <c r="CY203" s="70"/>
      <c r="CZ203" s="70"/>
      <c r="DC203" s="70"/>
      <c r="DD203" s="70"/>
      <c r="DI203" s="73"/>
      <c r="DJ203" s="73"/>
      <c r="DK203" s="73"/>
      <c r="DL203" s="73"/>
      <c r="DM203" s="73"/>
      <c r="DN203" s="73"/>
      <c r="DO203" s="73"/>
      <c r="DP203" s="73"/>
      <c r="DQ203" s="73"/>
      <c r="DR203" s="73"/>
      <c r="DS203" s="73"/>
    </row>
    <row r="204" spans="1:123">
      <c r="A204" s="68"/>
      <c r="D204" s="69"/>
      <c r="E204" s="69"/>
      <c r="F204" s="69"/>
      <c r="G204" s="70"/>
      <c r="H204" s="70"/>
      <c r="I204" s="70"/>
      <c r="J204" s="70"/>
      <c r="N204" s="70"/>
      <c r="O204" s="69"/>
      <c r="S204" s="70"/>
      <c r="T204" s="69"/>
      <c r="V204" s="72" t="str">
        <f t="shared" si="9"/>
        <v/>
      </c>
      <c r="W204" s="72" t="str">
        <f t="shared" si="10"/>
        <v/>
      </c>
      <c r="X204" s="72" t="str">
        <f t="shared" si="11"/>
        <v/>
      </c>
      <c r="AD204" s="70"/>
      <c r="AE204" s="70"/>
      <c r="AF204" s="70"/>
      <c r="AH204" s="70"/>
      <c r="AJ204" s="70"/>
      <c r="AN204" s="70"/>
      <c r="AO204" s="70"/>
      <c r="AP204" s="70"/>
      <c r="AR204" s="70"/>
      <c r="AT204" s="70"/>
      <c r="AX204" s="70"/>
      <c r="AY204" s="70"/>
      <c r="AZ204" s="70"/>
      <c r="BB204" s="70"/>
      <c r="BD204" s="70"/>
      <c r="BE204" s="70"/>
      <c r="BF204" s="70"/>
      <c r="BK204" s="70"/>
      <c r="BM204" s="70"/>
      <c r="BN204" s="70"/>
      <c r="BP204" s="70"/>
      <c r="BQ204" s="70"/>
      <c r="BR204" s="70"/>
      <c r="BT204" s="70"/>
      <c r="BU204" s="70"/>
      <c r="BV204" s="70"/>
      <c r="BW204" s="70"/>
      <c r="BX204" s="70"/>
      <c r="BY204" s="70"/>
      <c r="BZ204" s="70"/>
      <c r="CA204" s="70"/>
      <c r="CB204" s="70"/>
      <c r="CC204" s="70"/>
      <c r="CD204" s="70"/>
      <c r="CE204" s="70"/>
      <c r="CF204" s="70"/>
      <c r="CJ204" s="70"/>
      <c r="CK204" s="70"/>
      <c r="CL204" s="70"/>
      <c r="CM204" s="70"/>
      <c r="CO204" s="70"/>
      <c r="CQ204" s="70"/>
      <c r="CS204" s="70"/>
      <c r="CT204" s="70"/>
      <c r="CU204" s="70"/>
      <c r="CW204" s="70"/>
      <c r="CX204" s="70"/>
      <c r="CY204" s="70"/>
      <c r="CZ204" s="70"/>
      <c r="DC204" s="70"/>
      <c r="DD204" s="70"/>
      <c r="DI204" s="73"/>
      <c r="DJ204" s="73"/>
      <c r="DK204" s="73"/>
      <c r="DL204" s="73"/>
      <c r="DM204" s="73"/>
      <c r="DN204" s="73"/>
      <c r="DO204" s="73"/>
      <c r="DP204" s="73"/>
      <c r="DQ204" s="73"/>
      <c r="DR204" s="73"/>
      <c r="DS204" s="73"/>
    </row>
  </sheetData>
  <phoneticPr fontId="1"/>
  <dataValidations count="18">
    <dataValidation type="list" sqref="AS2:AS204 BC2:BC204 AI2:AI204" xr:uid="{F995A39D-2C2E-4DEA-A06F-C83088B7D03F}">
      <formula1>"時間更新,重ね掛け,無視"</formula1>
    </dataValidation>
    <dataValidation type="list" sqref="AQ2:AQ204 BA2:BA204 AG2:AG204" xr:uid="{F53C62C5-53F4-4E41-867C-7098547DED46}">
      <formula1>"なし,毒,火傷,凍結,麻痺,睡眠,沈黙,暗闇,混乱"</formula1>
    </dataValidation>
    <dataValidation type="list" sqref="AM2:AM204 AW2:AW204 AC2:AC204" xr:uid="{4BC72514-D99E-4017-A14C-2F23DE4F1F01}">
      <formula1>"なし,割合変化,固定値変化,固定ダメージ,最大体力割合"</formula1>
    </dataValidation>
    <dataValidation type="list" sqref="AL2:AL204 AV2:AV204 AB2:AB204" xr:uid="{9EF439CF-6A52-49B9-B9A8-FF9BBD60F19E}">
      <formula1>"なし,攻撃力,魔法攻撃力,防御力,魔法防御力,移動速度,攻撃速度,攻撃範囲"</formula1>
    </dataValidation>
    <dataValidation type="list" sqref="AK2:AK204 AU2:AU204 AA2:AA204" xr:uid="{011DD07E-D14A-41BE-A042-E6C5A964242D}">
      <formula1>"なし,バフ,デバフ,状態異常"</formula1>
    </dataValidation>
    <dataValidation type="list" sqref="U2:U204" xr:uid="{6D4ACDC1-D457-44AA-8528-51C0122E0CE8}">
      <formula1>"即時,発射物"</formula1>
    </dataValidation>
    <dataValidation type="list" sqref="R2:R204" xr:uid="{55341B2D-D513-49D5-BDCF-2B821C11E846}">
      <formula1>"選択対象,自身,範囲内の敵,範囲内の味方"</formula1>
    </dataValidation>
    <dataValidation type="list" sqref="X2:X204 BG2:BG204 BI2:BJ204 BL2:BL204 BO2:BO204 CG2:CI204 CN2:CN204 CR2:CR204 CV2:CV204 DA2:DB204 Q2:Q204" xr:uid="{2747C453-A97F-4C73-93C6-A857DA1E27CA}">
      <formula1>"有効,無効"</formula1>
    </dataValidation>
    <dataValidation type="list" sqref="P2:P204" xr:uid="{B9323E9B-22E2-4BF3-9014-B3D4A02B1D47}">
      <formula1>"使用者と同じ,無属性,火,水,風,雷,光,闇"</formula1>
    </dataValidation>
    <dataValidation type="list" sqref="M2:M204" xr:uid="{52EA8E6A-BB51-435E-8C08-2699A3A8A7C6}">
      <formula1>"攻撃力,魔法攻撃力,最大体力,なし"</formula1>
    </dataValidation>
    <dataValidation type="list" sqref="L2:L204" xr:uid="{B683A67B-5599-493F-8474-6ECAA0162B63}">
      <formula1>"ダメージ,回復,なし"</formula1>
    </dataValidation>
    <dataValidation type="list" sqref="K2:K204" xr:uid="{CEECC6A4-2F00-47A0-9F30-98E63034AC79}">
      <formula1>"自身,敵一体,味方一体,自身中心,敵中心"</formula1>
    </dataValidation>
    <dataValidation type="list" sqref="CP2:CP204 BS2:BS204" xr:uid="{E84A8A05-1124-4F7C-A1D9-2CB9A3623DA1}">
      <formula1>"直進,追尾,拡大直進,その場,ブーメラン,周回後に射出,蛇行,加速,減速停止,遅延追尾,螺旋,往復,感応地雷,収束成長"</formula1>
    </dataValidation>
    <dataValidation type="list" sqref="DP2:DP204 DR2:DR204 DN2:DN204" xr:uid="{1087A787-86E4-4ED8-B39F-E615723419B7}">
      <formula1>"なし,最大HP,最大MP,攻撃力,魔法攻撃力,防御力,魔法防御力,移動速度,攻撃速度,攻撃範囲,会心率,会心倍率,素材ドロップ率,装備ドロップ率,火属性耐性,水属性耐性,風属性耐性,雷属性耐性,光属性耐性,闇属性耐性,全属性耐性,近接攻撃タイプ,遠距離攻撃タイプ,配合確率,武器取得数,称号抽選回数,敵リスポーン速度"</formula1>
    </dataValidation>
    <dataValidation type="list" sqref="DL2:DL204" xr:uid="{9AD219C5-5599-49F6-A03D-1312E55B35C1}">
      <formula1>"命中時,生成時,一定間隔"</formula1>
    </dataValidation>
    <dataValidation type="list" sqref="DK2:DK204" xr:uid="{260FFEED-F778-4F24-A4E5-5D021DE66E90}">
      <formula1>"追従なし,使用者,対象"</formula1>
    </dataValidation>
    <dataValidation type="list" sqref="DJ2:DJ204" xr:uid="{7CEE775D-F8FC-4210-93B5-3DC65545A527}">
      <formula1>"使用者,対象"</formula1>
    </dataValidation>
    <dataValidation type="list" sqref="DI2:DI204" xr:uid="{5563AE34-1BA9-4887-BF0D-53ED1EB36ECC}">
      <formula1>"アクティブ,パッシブ"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150</v>
      </c>
    </row>
    <row r="2" spans="1:3">
      <c r="A2" s="9" t="s">
        <v>149</v>
      </c>
      <c r="B2" s="10" t="s">
        <v>87</v>
      </c>
      <c r="C2" s="11" t="s">
        <v>151</v>
      </c>
    </row>
    <row r="3" spans="1:3">
      <c r="A3" s="12" t="s">
        <v>64</v>
      </c>
      <c r="B3" s="5" t="s">
        <v>153</v>
      </c>
      <c r="C3" s="13" t="s">
        <v>151</v>
      </c>
    </row>
    <row r="4" spans="1:3">
      <c r="A4" s="12" t="s">
        <v>66</v>
      </c>
      <c r="B4" s="5" t="s">
        <v>154</v>
      </c>
      <c r="C4" s="13" t="s">
        <v>151</v>
      </c>
    </row>
    <row r="5" spans="1:3">
      <c r="A5" s="12" t="s">
        <v>68</v>
      </c>
      <c r="B5" s="5" t="s">
        <v>155</v>
      </c>
      <c r="C5" s="13" t="s">
        <v>151</v>
      </c>
    </row>
    <row r="6" spans="1:3">
      <c r="A6" s="12" t="s">
        <v>70</v>
      </c>
      <c r="B6" s="5" t="s">
        <v>156</v>
      </c>
      <c r="C6" s="13" t="s">
        <v>151</v>
      </c>
    </row>
    <row r="7" spans="1:3">
      <c r="A7" s="12" t="s">
        <v>72</v>
      </c>
      <c r="B7" s="5" t="s">
        <v>157</v>
      </c>
      <c r="C7" s="13" t="s">
        <v>151</v>
      </c>
    </row>
    <row r="8" spans="1:3" ht="19.5" thickBot="1">
      <c r="A8" s="14" t="s">
        <v>110</v>
      </c>
      <c r="B8" s="15" t="s">
        <v>158</v>
      </c>
      <c r="C8" s="16" t="s">
        <v>152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36"/>
  </cols>
  <sheetData>
    <row r="1" spans="1:18" s="35" customFormat="1" ht="18.75" customHeight="1">
      <c r="A1" s="37" t="s">
        <v>93</v>
      </c>
      <c r="B1" s="37" t="s">
        <v>96</v>
      </c>
      <c r="C1" s="37" t="s">
        <v>96</v>
      </c>
      <c r="D1" s="37" t="s">
        <v>97</v>
      </c>
      <c r="E1" s="37" t="s">
        <v>98</v>
      </c>
      <c r="F1" s="37" t="s">
        <v>99</v>
      </c>
      <c r="G1" s="37" t="s">
        <v>100</v>
      </c>
      <c r="H1" s="37" t="s">
        <v>101</v>
      </c>
      <c r="I1" s="37" t="s">
        <v>102</v>
      </c>
      <c r="J1" s="37" t="s">
        <v>103</v>
      </c>
      <c r="K1" s="37" t="s">
        <v>104</v>
      </c>
      <c r="L1" s="37" t="s">
        <v>105</v>
      </c>
      <c r="M1" s="37" t="s">
        <v>160</v>
      </c>
      <c r="N1" s="37" t="s">
        <v>161</v>
      </c>
      <c r="O1" s="37" t="s">
        <v>162</v>
      </c>
      <c r="P1" s="37" t="s">
        <v>106</v>
      </c>
      <c r="Q1" s="37" t="s">
        <v>107</v>
      </c>
      <c r="R1" s="37" t="s">
        <v>108</v>
      </c>
    </row>
    <row r="2" spans="1:18" s="35" customFormat="1" ht="18.75" customHeight="1">
      <c r="A2" s="38" t="s">
        <v>178</v>
      </c>
      <c r="B2" s="38" t="s">
        <v>94</v>
      </c>
      <c r="C2" s="38" t="s">
        <v>95</v>
      </c>
      <c r="D2" s="38">
        <v>1</v>
      </c>
      <c r="E2" s="38" t="s">
        <v>173</v>
      </c>
      <c r="F2" s="38" t="s">
        <v>8</v>
      </c>
      <c r="G2" s="38" t="s">
        <v>9</v>
      </c>
      <c r="H2" s="38" t="s">
        <v>10</v>
      </c>
      <c r="I2" s="38" t="s">
        <v>11</v>
      </c>
      <c r="J2" s="38" t="s">
        <v>12</v>
      </c>
      <c r="K2" s="38" t="s">
        <v>13</v>
      </c>
      <c r="L2" s="38" t="s">
        <v>110</v>
      </c>
      <c r="M2" s="38" t="s">
        <v>163</v>
      </c>
      <c r="N2" s="38" t="s">
        <v>164</v>
      </c>
      <c r="O2" s="38" t="s">
        <v>165</v>
      </c>
      <c r="P2" s="39">
        <v>1</v>
      </c>
      <c r="Q2" s="39">
        <v>1</v>
      </c>
      <c r="R2" s="39">
        <v>5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0" customFormat="1">
      <c r="A1" s="40" t="s">
        <v>111</v>
      </c>
      <c r="B1" s="40" t="s">
        <v>112</v>
      </c>
      <c r="C1" s="40" t="s">
        <v>113</v>
      </c>
      <c r="D1" s="40" t="s">
        <v>114</v>
      </c>
      <c r="E1" s="40" t="s">
        <v>129</v>
      </c>
      <c r="F1" s="40" t="s">
        <v>115</v>
      </c>
      <c r="G1" s="40" t="s">
        <v>116</v>
      </c>
      <c r="H1" s="40" t="s">
        <v>117</v>
      </c>
      <c r="I1" s="40" t="s">
        <v>174</v>
      </c>
      <c r="J1" s="40" t="s">
        <v>175</v>
      </c>
      <c r="K1" s="40" t="s">
        <v>176</v>
      </c>
      <c r="L1" s="40" t="s">
        <v>177</v>
      </c>
    </row>
    <row r="2" spans="1:12">
      <c r="A2" t="s">
        <v>159</v>
      </c>
      <c r="B2">
        <v>51</v>
      </c>
      <c r="C2">
        <v>51</v>
      </c>
      <c r="D2">
        <v>12345</v>
      </c>
      <c r="E2" t="s">
        <v>130</v>
      </c>
      <c r="F2" t="s">
        <v>118</v>
      </c>
      <c r="G2" t="s">
        <v>122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159</v>
      </c>
      <c r="B3">
        <v>51</v>
      </c>
      <c r="C3">
        <v>51</v>
      </c>
      <c r="D3">
        <v>12345</v>
      </c>
      <c r="E3" t="s">
        <v>130</v>
      </c>
      <c r="F3" t="s">
        <v>119</v>
      </c>
      <c r="G3" t="s">
        <v>126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159</v>
      </c>
      <c r="B4">
        <v>51</v>
      </c>
      <c r="C4">
        <v>51</v>
      </c>
      <c r="D4">
        <v>12345</v>
      </c>
      <c r="E4" t="s">
        <v>130</v>
      </c>
      <c r="F4" t="s">
        <v>119</v>
      </c>
      <c r="G4" t="s">
        <v>127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159</v>
      </c>
      <c r="B5">
        <v>51</v>
      </c>
      <c r="C5">
        <v>51</v>
      </c>
      <c r="D5">
        <v>12345</v>
      </c>
      <c r="E5" t="s">
        <v>130</v>
      </c>
      <c r="F5" t="s">
        <v>119</v>
      </c>
      <c r="G5" t="s">
        <v>128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159</v>
      </c>
      <c r="B6">
        <v>51</v>
      </c>
      <c r="C6">
        <v>51</v>
      </c>
      <c r="D6">
        <v>12345</v>
      </c>
      <c r="E6" t="s">
        <v>130</v>
      </c>
      <c r="F6" t="s">
        <v>120</v>
      </c>
      <c r="G6" t="s">
        <v>125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159</v>
      </c>
      <c r="B7">
        <v>51</v>
      </c>
      <c r="C7">
        <v>51</v>
      </c>
      <c r="D7">
        <v>12345</v>
      </c>
      <c r="E7" t="s">
        <v>130</v>
      </c>
      <c r="F7" t="s">
        <v>121</v>
      </c>
      <c r="G7" t="s">
        <v>123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159</v>
      </c>
      <c r="B8">
        <v>51</v>
      </c>
      <c r="C8">
        <v>51</v>
      </c>
      <c r="D8">
        <v>12345</v>
      </c>
      <c r="E8" t="s">
        <v>130</v>
      </c>
      <c r="F8" t="s">
        <v>121</v>
      </c>
      <c r="G8" t="s">
        <v>124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159</v>
      </c>
      <c r="B9">
        <v>51</v>
      </c>
      <c r="C9">
        <v>51</v>
      </c>
      <c r="D9">
        <v>12345</v>
      </c>
      <c r="E9" t="s">
        <v>131</v>
      </c>
      <c r="F9" t="s">
        <v>132</v>
      </c>
      <c r="G9" t="s">
        <v>133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45" t="s">
        <v>180</v>
      </c>
      <c r="B1" t="s">
        <v>195</v>
      </c>
    </row>
    <row r="2" spans="1:8">
      <c r="A2" s="45" t="s">
        <v>189</v>
      </c>
      <c r="C2" t="s">
        <v>196</v>
      </c>
    </row>
    <row r="3" spans="1:8">
      <c r="A3" t="s">
        <v>118</v>
      </c>
      <c r="C3" s="45" t="s">
        <v>130</v>
      </c>
      <c r="D3" s="45" t="s">
        <v>198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45" t="s">
        <v>130</v>
      </c>
      <c r="D4" s="45" t="s">
        <v>197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132</v>
      </c>
      <c r="F6" t="str">
        <f>+A19</f>
        <v>当たり判定なしObject</v>
      </c>
    </row>
    <row r="7" spans="1:8">
      <c r="A7" t="s">
        <v>119</v>
      </c>
      <c r="C7" s="45" t="s">
        <v>131</v>
      </c>
      <c r="D7" s="45" t="s">
        <v>181</v>
      </c>
      <c r="E7" s="45" t="s">
        <v>182</v>
      </c>
      <c r="F7" s="45" t="s">
        <v>130</v>
      </c>
      <c r="G7" s="45" t="s">
        <v>190</v>
      </c>
      <c r="H7" s="45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45" t="s">
        <v>186</v>
      </c>
      <c r="D8" s="45" t="s">
        <v>183</v>
      </c>
      <c r="E8" s="45">
        <v>28.29</v>
      </c>
      <c r="F8" s="45" t="s">
        <v>130</v>
      </c>
      <c r="G8" s="45" t="s">
        <v>191</v>
      </c>
      <c r="H8" s="45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45" t="s">
        <v>130</v>
      </c>
      <c r="D9" s="45" t="s">
        <v>184</v>
      </c>
      <c r="E9" s="45">
        <v>26</v>
      </c>
      <c r="F9" s="45" t="s">
        <v>130</v>
      </c>
      <c r="G9" s="45" t="s">
        <v>192</v>
      </c>
      <c r="H9" s="45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45" t="s">
        <v>185</v>
      </c>
      <c r="D10" s="45" t="s">
        <v>187</v>
      </c>
      <c r="E10" s="45">
        <v>13.21</v>
      </c>
      <c r="F10" s="45" t="s">
        <v>130</v>
      </c>
      <c r="G10" s="45" t="s">
        <v>193</v>
      </c>
      <c r="H10" s="45">
        <v>8</v>
      </c>
    </row>
    <row r="11" spans="1:8">
      <c r="C11" s="45" t="s">
        <v>130</v>
      </c>
      <c r="D11" s="45" t="s">
        <v>188</v>
      </c>
      <c r="E11" s="45">
        <v>24</v>
      </c>
      <c r="F11" s="45" t="s">
        <v>130</v>
      </c>
      <c r="G11" s="45" t="s">
        <v>194</v>
      </c>
      <c r="H11" s="45">
        <v>16</v>
      </c>
    </row>
    <row r="12" spans="1:8">
      <c r="A12" t="s">
        <v>121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179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134</v>
      </c>
      <c r="B1" t="s">
        <v>135</v>
      </c>
      <c r="C1" t="s">
        <v>136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146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147</v>
      </c>
    </row>
    <row r="3" spans="1:5">
      <c r="A3" t="s">
        <v>46</v>
      </c>
      <c r="B3" t="s">
        <v>54</v>
      </c>
      <c r="E3" t="s">
        <v>148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77</v>
      </c>
    </row>
    <row r="7" spans="1:5">
      <c r="A7" t="s">
        <v>75</v>
      </c>
      <c r="B7" t="s">
        <v>75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zoomScale="340" zoomScaleNormal="340" workbookViewId="0">
      <selection activeCell="D1" sqref="D1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workbookViewId="0">
      <selection activeCell="A19" sqref="A19"/>
    </sheetView>
  </sheetViews>
  <sheetFormatPr defaultRowHeight="18.75"/>
  <cols>
    <col min="1" max="1" width="217.5" bestFit="1" customWidth="1"/>
  </cols>
  <sheetData>
    <row r="1" spans="1:1">
      <c r="A1" t="s">
        <v>1645</v>
      </c>
    </row>
    <row r="2" spans="1:1">
      <c r="A2" t="s">
        <v>1650</v>
      </c>
    </row>
    <row r="8" spans="1:1">
      <c r="A8" t="s">
        <v>1646</v>
      </c>
    </row>
    <row r="9" spans="1:1">
      <c r="A9" t="s">
        <v>1647</v>
      </c>
    </row>
    <row r="10" spans="1:1">
      <c r="A10" t="s">
        <v>1648</v>
      </c>
    </row>
    <row r="11" spans="1:1">
      <c r="A11" t="s">
        <v>1649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モンスター</vt:lpstr>
      <vt:lpstr>特殊配合</vt:lpstr>
      <vt:lpstr>称号</vt:lpstr>
      <vt:lpstr>装備</vt:lpstr>
      <vt:lpstr>スキル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2026-10-26T05:58:09Z</dcterms:modified>
</cp:coreProperties>
</file>